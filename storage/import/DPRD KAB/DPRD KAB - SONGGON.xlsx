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PRD KABUPATEN" sheetId="1" r:id="rId4"/>
    <sheet state="visible" name="SONGGON" sheetId="2" r:id="rId5"/>
    <sheet state="visible" name="BALAK" sheetId="3" r:id="rId6"/>
    <sheet state="visible" name="SRAGI" sheetId="4" r:id="rId7"/>
    <sheet state="visible" name="PARANGHARJO" sheetId="5" r:id="rId8"/>
    <sheet state="visible" name="BEDEWANG" sheetId="6" r:id="rId9"/>
    <sheet state="visible" name="BAYU" sheetId="7" r:id="rId10"/>
    <sheet state="visible" name="SUMBERARUM" sheetId="8" r:id="rId11"/>
    <sheet state="visible" name="SUMBERBULU" sheetId="9" r:id="rId12"/>
    <sheet state="visible" name="BANGUNSARI" sheetId="10" r:id="rId13"/>
  </sheets>
  <definedNames/>
  <calcPr/>
  <extLst>
    <ext uri="GoogleSheetsCustomDataVersion2">
      <go:sheetsCustomData xmlns:go="http://customooxmlschemas.google.com/" r:id="rId14" roundtripDataChecksum="ZcQWgGuw5JIQRxr8LPJ2WzHNsEQF3mrukRjuASnBIDM="/>
    </ext>
  </extLst>
</workbook>
</file>

<file path=xl/sharedStrings.xml><?xml version="1.0" encoding="utf-8"?>
<sst xmlns="http://schemas.openxmlformats.org/spreadsheetml/2006/main" count="2569" uniqueCount="181">
  <si>
    <t>Kecamatan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</si>
  <si>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</si>
  <si>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</si>
  <si>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</si>
  <si>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</si>
  <si>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</si>
  <si>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</si>
  <si>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</si>
  <si>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</si>
  <si>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</si>
  <si>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</si>
  <si>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</si>
  <si>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</si>
  <si>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</si>
  <si>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</si>
  <si>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</si>
  <si>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</si>
  <si>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</si>
  <si>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</si>
  <si>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</si>
  <si>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</si>
  <si>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</si>
  <si>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</si>
  <si>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</si>
  <si>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</si>
  <si>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</si>
  <si>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</si>
  <si>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</si>
  <si>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</si>
  <si>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</si>
  <si>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</si>
  <si>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</si>
  <si>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</si>
  <si>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</si>
  <si>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</si>
  <si>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</si>
  <si>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</si>
  <si>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</si>
  <si>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</si>
  <si>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1. H. MUHAMMAD ALI MAHRUS, S.H.I., M.H</t>
  </si>
  <si>
    <t>2. TUPANG SOEDARGO</t>
  </si>
  <si>
    <t>3. Hj. KHOLIFATUL HASANAH</t>
  </si>
  <si>
    <t>4. FUAD HUMAIDI, S.H.I.</t>
  </si>
  <si>
    <t>5. ENI WIJI LESTARI</t>
  </si>
  <si>
    <t>6. SONNY AGUS SETIAWAN</t>
  </si>
  <si>
    <t>JUMLAH SUARA SAH PARTAI POLITIK DAN CALON (A1 + A2)</t>
  </si>
  <si>
    <t>Partai Gerakan Indonesia Raya</t>
  </si>
  <si>
    <t>1. SUWITO</t>
  </si>
  <si>
    <t>2. LIMPAT PRAWIRO DIKDO</t>
  </si>
  <si>
    <t>3. PUPUT DESI PRATAMA EKA PUTRI</t>
  </si>
  <si>
    <t>4. RUDI HANDOKO</t>
  </si>
  <si>
    <t>5. IWAN SETIAWAN</t>
  </si>
  <si>
    <t>6. JUWITA INDRASARI</t>
  </si>
  <si>
    <t>Partai Demokrasi Indonesia Perjuangan</t>
  </si>
  <si>
    <t>1. AHMAD MASROHAN</t>
  </si>
  <si>
    <t>2. HARIYANTO</t>
  </si>
  <si>
    <t>3. INDAH MARHENI</t>
  </si>
  <si>
    <t>4. AGUS PRIYONO</t>
  </si>
  <si>
    <t>5. SETYA RAHAYU</t>
  </si>
  <si>
    <t>6. M. HAFI WIJAYA</t>
  </si>
  <si>
    <t>Partai Golongan Karya</t>
  </si>
  <si>
    <t>1. SRI YULIANI</t>
  </si>
  <si>
    <t>2. ACHMAD SUMARNO, S.E.</t>
  </si>
  <si>
    <t>3. MUHAMMAD SAHLAN, S.Sos., M.A.</t>
  </si>
  <si>
    <t>4. MAYA YUSEFA, S.Pd.</t>
  </si>
  <si>
    <t>5. SUPARMAN</t>
  </si>
  <si>
    <t>6. NURHIDAYAT</t>
  </si>
  <si>
    <t>5.</t>
  </si>
  <si>
    <t>Partai NasDem</t>
  </si>
  <si>
    <t>1. RATIH NUR HAYATI, S.T.</t>
  </si>
  <si>
    <t>2. ISTILAH MUSTOFA, S.H.</t>
  </si>
  <si>
    <t>3. ACHMAD RIDHO HADISISWOYO, S.Tr.P.</t>
  </si>
  <si>
    <t>4. AKHMAD ROSIDI</t>
  </si>
  <si>
    <t>5. MUHAMAD VAHID FAIQ</t>
  </si>
  <si>
    <t>6. TITIS MEILIKA WIYONO</t>
  </si>
  <si>
    <t>6.</t>
  </si>
  <si>
    <t>Partai Buruh</t>
  </si>
  <si>
    <t>7.</t>
  </si>
  <si>
    <t>Partai Gelombang Rakyat Indonesia</t>
  </si>
  <si>
    <t>1. RIFKI ALFAN SANI</t>
  </si>
  <si>
    <t>2. RAPI'I</t>
  </si>
  <si>
    <t>3. NUR IKA SETIAWATI</t>
  </si>
  <si>
    <t>8.</t>
  </si>
  <si>
    <t>Partai Keadilan Sejahtera</t>
  </si>
  <si>
    <t>1. VITA RIMA YANTI, S.KM.</t>
  </si>
  <si>
    <t>2. EKO WAHYU HIDAYAT, A.Md.</t>
  </si>
  <si>
    <t>3. EDY PURNOMO</t>
  </si>
  <si>
    <t>4. SUNTARIAS PUTRI DAMAYANTI, A.Ma.</t>
  </si>
  <si>
    <t>5. MUHAMMAD AFIF</t>
  </si>
  <si>
    <t>6. SHOHIB QOMAD DILLAH, S.T.P.</t>
  </si>
  <si>
    <t>9.</t>
  </si>
  <si>
    <t>Partai Kebangkitan Nusantara</t>
  </si>
  <si>
    <t>1. AGUS TARMIDI</t>
  </si>
  <si>
    <t>10.</t>
  </si>
  <si>
    <t>Partai Hati Nurani Rakyat</t>
  </si>
  <si>
    <t>1. MOHAMAD ROSUL</t>
  </si>
  <si>
    <t>2. H. AHMAD NUR ALCHAFFAF</t>
  </si>
  <si>
    <t>3. ISTIQUMILAILLI</t>
  </si>
  <si>
    <t>4. JOKO NUGROHO</t>
  </si>
  <si>
    <t>5. MEGA PRAMESWARI</t>
  </si>
  <si>
    <t>6. BUDI HARTONO</t>
  </si>
  <si>
    <t>11.</t>
  </si>
  <si>
    <t>Partai Garda Republik Indonesia</t>
  </si>
  <si>
    <t>12.</t>
  </si>
  <si>
    <t>Partai Amanat Nasional</t>
  </si>
  <si>
    <t>1. AHMAD THOHIR WIJAYA FIRDAUS</t>
  </si>
  <si>
    <t>2. HABIBI ALWI MAULANA</t>
  </si>
  <si>
    <t>3. DEWI SAFITRI</t>
  </si>
  <si>
    <t>4. YETI JUMIANIK</t>
  </si>
  <si>
    <t>13.</t>
  </si>
  <si>
    <t>Partai Bulan Bintang</t>
  </si>
  <si>
    <t>1. SEDYO EKANTORO</t>
  </si>
  <si>
    <t>2. YUDI ARISATA</t>
  </si>
  <si>
    <t>3. IDA YAYA ELISA</t>
  </si>
  <si>
    <t>4. SUWARSONO</t>
  </si>
  <si>
    <t>5. DINDA DWI AYU LESTARI</t>
  </si>
  <si>
    <t>6. SULAIMAN AFANDI</t>
  </si>
  <si>
    <t>14.</t>
  </si>
  <si>
    <t>Partai Demokrat</t>
  </si>
  <si>
    <t>1. YULIAWAN BAMBANG SUKIYANTO</t>
  </si>
  <si>
    <t>2. MOHAMMAD IQBAL LUTFI AR, S.E.</t>
  </si>
  <si>
    <t>3. SHIRLEY OLIVIA INGRID MAMANGKEY</t>
  </si>
  <si>
    <t>4. RUDY HARTONO</t>
  </si>
  <si>
    <t>5. NURHAYATI</t>
  </si>
  <si>
    <t>6. Drs. BAMBANG SANTOSA, M.A.P.</t>
  </si>
  <si>
    <t>15.</t>
  </si>
  <si>
    <t>Partai Solidaritas Indonesia</t>
  </si>
  <si>
    <t>1. KARIMAH, S.H.</t>
  </si>
  <si>
    <t>16.</t>
  </si>
  <si>
    <t>PARTAI PERINDO</t>
  </si>
  <si>
    <t>1. CHOIRUL ANWAR</t>
  </si>
  <si>
    <t>2. WENNY ANDRIANA</t>
  </si>
  <si>
    <t>3. GUNAWAN HARIO WIBOWO</t>
  </si>
  <si>
    <t>17.</t>
  </si>
  <si>
    <t>Partai Persatuan Pembangunan</t>
  </si>
  <si>
    <t>1. KUKUH WAHYUDI, S.E.</t>
  </si>
  <si>
    <t>2. H. KARYONO, S.P.</t>
  </si>
  <si>
    <t>3. ENY MASRUROH</t>
  </si>
  <si>
    <t>4. AROFIQ, S.E.</t>
  </si>
  <si>
    <t>5. MISBAHUL MUNIR</t>
  </si>
  <si>
    <t>6. SRI HASANAH</t>
  </si>
  <si>
    <t>18.</t>
  </si>
  <si>
    <t>Partai Ummat</t>
  </si>
  <si>
    <t>1. MOH. ROFII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</si>
  <si>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</si>
  <si>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</si>
  <si>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</si>
  <si>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</si>
  <si>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</si>
  <si>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</si>
  <si>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</si>
  <si>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</si>
  <si>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</si>
  <si>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</si>
  <si>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</si>
  <si>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</si>
  <si>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</si>
  <si>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</si>
  <si>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</si>
  <si>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</si>
  <si>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</si>
  <si>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</si>
  <si>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</si>
  <si>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</si>
  <si>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</si>
  <si>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</si>
  <si>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</si>
  <si>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</si>
  <si>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</si>
  <si>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</si>
  <si>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</si>
  <si>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</si>
  <si>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</si>
  <si>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TPS 021</t>
  </si>
  <si>
    <t>TPS 022</t>
  </si>
  <si>
    <t>TPS 023</t>
  </si>
  <si>
    <t>TPS 024</t>
  </si>
  <si>
    <t>TPS 025</t>
  </si>
  <si>
    <t>TPS 026</t>
  </si>
  <si>
    <t>TPS 027</t>
  </si>
  <si>
    <t>TPS 028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</si>
</sst>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Calibri"/>
      <scheme val="minor"/>
    </font>
    <font>
      <sz val="10.0"/>
      <color rgb="FF000000"/>
      <name val="Bookman Old Style"/>
    </font>
    <font>
      <b/>
      <sz val="10.0"/>
      <color theme="1"/>
      <name val="Bookman Old Style"/>
    </font>
    <font>
      <sz val="10.0"/>
      <color theme="1"/>
      <name val="Arial"/>
    </font>
    <font/>
    <font>
      <sz val="10.0"/>
      <color theme="1"/>
      <name val="Bookman Old Style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vertical="center"/>
    </xf>
    <xf borderId="0" fillId="0" fontId="3" numFmtId="0" xfId="0" applyFont="1"/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left" shrinkToFit="0" vertical="center" wrapText="1"/>
    </xf>
    <xf borderId="3" fillId="0" fontId="4" numFmtId="0" xfId="0" applyBorder="1" applyFont="1"/>
    <xf borderId="4" fillId="0" fontId="4" numFmtId="0" xfId="0" applyBorder="1" applyFont="1"/>
    <xf borderId="5" fillId="0" fontId="2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vertical="center"/>
    </xf>
    <xf borderId="0" fillId="0" fontId="2" numFmtId="0" xfId="0" applyFont="1"/>
    <xf borderId="1" fillId="0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left" shrinkToFit="0" vertical="center" wrapText="1"/>
    </xf>
    <xf borderId="7" fillId="0" fontId="4" numFmtId="0" xfId="0" applyBorder="1" applyFont="1"/>
    <xf borderId="6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6" fillId="0" fontId="5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left" shrinkToFit="0" vertical="center" wrapText="1"/>
    </xf>
    <xf borderId="8" fillId="0" fontId="4" numFmtId="0" xfId="0" applyBorder="1" applyFont="1"/>
    <xf borderId="2" fillId="0" fontId="5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5" numFmtId="3" xfId="0" applyAlignment="1" applyFont="1" applyNumberFormat="1">
      <alignment horizontal="center"/>
    </xf>
    <xf borderId="0" fillId="0" fontId="5" numFmtId="0" xfId="0" applyAlignment="1" applyFont="1">
      <alignment horizontal="center"/>
    </xf>
    <xf borderId="6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2" fillId="0" fontId="2" numFmtId="0" xfId="0" applyAlignment="1" applyBorder="1" applyFont="1">
      <alignment horizontal="center" vertical="center"/>
    </xf>
    <xf borderId="0" fillId="0" fontId="2" numFmtId="3" xfId="0" applyAlignment="1" applyFont="1" applyNumberFormat="1">
      <alignment horizontal="center"/>
    </xf>
    <xf borderId="0" fillId="0" fontId="5" numFmtId="0" xfId="0" applyAlignment="1" applyFont="1">
      <alignment vertical="center"/>
    </xf>
    <xf borderId="0" fillId="0" fontId="3" numFmtId="3" xfId="0" applyFont="1" applyNumberFormat="1"/>
    <xf borderId="11" fillId="0" fontId="5" numFmtId="0" xfId="0" applyAlignment="1" applyBorder="1" applyFont="1">
      <alignment horizontal="center" vertical="center"/>
    </xf>
    <xf borderId="8" fillId="0" fontId="5" numFmtId="0" xfId="0" applyAlignment="1" applyBorder="1" applyFont="1">
      <alignment horizontal="center" shrinkToFit="0" vertical="center" wrapText="1"/>
    </xf>
    <xf borderId="11" fillId="0" fontId="5" numFmtId="0" xfId="0" applyAlignment="1" applyBorder="1" applyFont="1">
      <alignment shrinkToFit="0" vertical="center" wrapText="1"/>
    </xf>
    <xf borderId="12" fillId="0" fontId="5" numFmtId="0" xfId="0" applyAlignment="1" applyBorder="1" applyFont="1">
      <alignment horizontal="center" vertical="center"/>
    </xf>
    <xf borderId="12" fillId="0" fontId="4" numFmtId="0" xfId="0" applyBorder="1" applyFont="1"/>
    <xf borderId="12" fillId="0" fontId="2" numFmtId="0" xfId="0" applyAlignment="1" applyBorder="1" applyFont="1">
      <alignment horizontal="center" vertical="center"/>
    </xf>
    <xf borderId="13" fillId="0" fontId="4" numFmtId="0" xfId="0" applyBorder="1" applyFont="1"/>
    <xf borderId="8" fillId="0" fontId="2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shrinkToFit="0" vertical="center" wrapText="1"/>
    </xf>
    <xf borderId="3" fillId="0" fontId="5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center" vertical="center"/>
    </xf>
    <xf borderId="6" fillId="0" fontId="5" numFmtId="0" xfId="0" applyAlignment="1" applyBorder="1" applyFont="1">
      <alignment vertical="center"/>
    </xf>
    <xf borderId="11" fillId="0" fontId="2" numFmtId="0" xfId="0" applyAlignment="1" applyBorder="1" applyFont="1">
      <alignment horizontal="center" vertical="center"/>
    </xf>
    <xf borderId="14" fillId="0" fontId="5" numFmtId="0" xfId="0" applyAlignment="1" applyBorder="1" applyFont="1">
      <alignment horizontal="left" shrinkToFit="0" vertical="center" wrapText="1"/>
    </xf>
    <xf borderId="15" fillId="0" fontId="4" numFmtId="0" xfId="0" applyBorder="1" applyFont="1"/>
    <xf borderId="7" fillId="0" fontId="5" numFmtId="0" xfId="0" applyAlignment="1" applyBorder="1" applyFont="1">
      <alignment horizontal="center" vertical="center"/>
    </xf>
    <xf borderId="14" fillId="0" fontId="4" numFmtId="0" xfId="0" applyBorder="1" applyFont="1"/>
    <xf borderId="2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shrinkToFit="0" vertical="center" wrapText="1"/>
    </xf>
    <xf borderId="4" fillId="0" fontId="5" numFmtId="0" xfId="0" applyAlignment="1" applyBorder="1" applyFont="1">
      <alignment shrinkToFit="0" vertical="center" wrapText="1"/>
    </xf>
    <xf borderId="3" fillId="0" fontId="2" numFmtId="0" xfId="0" applyAlignment="1" applyBorder="1" applyFont="1">
      <alignment horizontal="center" vertical="center"/>
    </xf>
    <xf borderId="7" fillId="0" fontId="5" numFmtId="0" xfId="0" applyAlignment="1" applyBorder="1" applyFont="1">
      <alignment vertical="center"/>
    </xf>
    <xf borderId="15" fillId="0" fontId="3" numFmtId="0" xfId="0" applyBorder="1" applyFont="1"/>
    <xf borderId="16" fillId="2" fontId="5" numFmtId="0" xfId="0" applyAlignment="1" applyBorder="1" applyFill="1" applyFont="1">
      <alignment horizontal="center" vertical="center"/>
    </xf>
    <xf borderId="17" fillId="2" fontId="5" numFmtId="0" xfId="0" applyAlignment="1" applyBorder="1" applyFont="1">
      <alignment horizontal="center" vertical="center"/>
    </xf>
    <xf borderId="17" fillId="2" fontId="3" numFmtId="3" xfId="0" applyBorder="1" applyFont="1" applyNumberFormat="1"/>
    <xf borderId="17" fillId="2" fontId="3" numFmtId="0" xfId="0" applyBorder="1" applyFont="1"/>
    <xf borderId="4" fillId="0" fontId="3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1" fillId="0" fontId="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vertical="center"/>
    </xf>
    <xf borderId="2" fillId="0" fontId="5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vertical="center"/>
    </xf>
    <xf borderId="2" fillId="0" fontId="2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vertical="center"/>
    </xf>
    <xf borderId="1" fillId="0" fontId="2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horizontal="center" vertical="center"/>
    </xf>
  </cellXfs>
  <cellStyles count="1">
    <cellStyle xfId="0" name="Normal" builtinId="0"/>
  </cellStyles>
  <dxfs count="7">
    <dxf>
      <font/>
      <fill>
        <patternFill patternType="solid">
          <fgColor rgb="FFF4C7C3"/>
          <bgColor rgb="FFF4C7C3"/>
        </patternFill>
      </fill>
      <border/>
    </dxf>
    <dxf>
      <font>
        <color rgb="FFCCCCCC"/>
      </font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7.14"/>
    <col customWidth="1" min="4" max="4" width="5.86"/>
    <col customWidth="1" min="5" max="5" width="21.71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0" customHeight="1"/>
    <row r="6" ht="15.0" customHeight="1"/>
    <row r="7" ht="15.0" customHeight="1"/>
    <row r="8" ht="15.0" customHeight="1">
      <c r="C8" s="1" t="s">
        <v>0</v>
      </c>
      <c r="D8" s="1"/>
    </row>
    <row r="9" ht="15.0" customHeight="1">
      <c r="C9" s="1" t="s">
        <v>1</v>
      </c>
      <c r="D9" s="1" t="s">
        <v>2</v>
      </c>
    </row>
    <row r="10" ht="15.0" customHeight="1">
      <c r="C10" s="1" t="s">
        <v>3</v>
      </c>
      <c r="D10" s="1" t="s">
        <v>4</v>
      </c>
    </row>
    <row r="11" ht="15.75" customHeight="1">
      <c r="A11" s="2"/>
      <c r="B11" s="3"/>
      <c r="C11" s="3"/>
      <c r="D11" s="3"/>
      <c r="E11" s="2"/>
      <c r="F11" s="2"/>
      <c r="G11" s="2"/>
      <c r="H11" s="2"/>
      <c r="I11" s="2"/>
      <c r="J11" s="2"/>
      <c r="K11" s="2"/>
      <c r="L11" s="2"/>
      <c r="M11" s="2"/>
      <c r="N11" s="2"/>
      <c r="O11" s="4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6" t="s">
        <v>5</v>
      </c>
      <c r="B12" s="7" t="s">
        <v>6</v>
      </c>
      <c r="C12" s="8"/>
      <c r="D12" s="9"/>
      <c r="E12" s="10" t="s">
        <v>7</v>
      </c>
      <c r="F12" s="11"/>
      <c r="G12" s="5"/>
      <c r="H12" s="5"/>
      <c r="I12" s="5"/>
      <c r="J12" s="5"/>
      <c r="K12" s="5"/>
      <c r="L12" s="5"/>
      <c r="M12" s="5"/>
      <c r="N12" s="5"/>
      <c r="O12" s="5"/>
      <c r="P12" s="12"/>
      <c r="Q12" s="5"/>
      <c r="R12" s="5"/>
      <c r="S12" s="5"/>
      <c r="T12" s="5"/>
      <c r="U12" s="5"/>
      <c r="V12" s="5"/>
      <c r="W12" s="12"/>
      <c r="X12" s="5"/>
      <c r="Y12" s="5"/>
      <c r="Z12" s="5"/>
    </row>
    <row r="13" ht="15.75" customHeight="1">
      <c r="A13" s="13" t="s">
        <v>8</v>
      </c>
      <c r="B13" s="14" t="s">
        <v>9</v>
      </c>
      <c r="C13" s="8"/>
      <c r="D13" s="9"/>
      <c r="E13" s="15"/>
      <c r="F13" s="16"/>
      <c r="G13" s="2"/>
      <c r="H13" s="2"/>
      <c r="I13" s="2"/>
      <c r="J13" s="2"/>
      <c r="K13" s="2"/>
      <c r="L13" s="2"/>
      <c r="M13" s="2"/>
      <c r="N13" s="2"/>
      <c r="O13" s="2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5.75" customHeight="1">
      <c r="A14" s="18"/>
      <c r="B14" s="19" t="s">
        <v>10</v>
      </c>
      <c r="C14" s="20"/>
      <c r="D14" s="13" t="s">
        <v>11</v>
      </c>
      <c r="E14" s="21">
        <f>SONGGON!AF14+BALAK!X14+SRAGI!AG14+PARANGHARJO!S14+BEDEWANG!W14+BAYU!AB14+SUMBERARUM!X14+SUMBERBULU!Q14+BANGUNSARI!O14</f>
        <v>22660</v>
      </c>
      <c r="F14" s="18"/>
      <c r="G14" s="22"/>
      <c r="H14" s="22"/>
      <c r="I14" s="22"/>
      <c r="J14" s="22"/>
      <c r="K14" s="22"/>
      <c r="L14" s="22"/>
      <c r="M14" s="22"/>
      <c r="N14" s="22"/>
      <c r="O14" s="22"/>
      <c r="P14" s="23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15.75" customHeight="1">
      <c r="A15" s="18"/>
      <c r="B15" s="25"/>
      <c r="C15" s="26"/>
      <c r="D15" s="13" t="s">
        <v>12</v>
      </c>
      <c r="E15" s="21">
        <f>SONGGON!AF15+BALAK!X15+SRAGI!AG15+PARANGHARJO!S15+BEDEWANG!W15+BAYU!AB15+SUMBERARUM!X15+SUMBERBULU!Q15+BANGUNSARI!O15</f>
        <v>22859</v>
      </c>
      <c r="F15" s="18"/>
      <c r="G15" s="22"/>
      <c r="H15" s="22"/>
      <c r="I15" s="22"/>
      <c r="J15" s="22"/>
      <c r="K15" s="22"/>
      <c r="L15" s="22"/>
      <c r="M15" s="22"/>
      <c r="N15" s="22"/>
      <c r="O15" s="22"/>
      <c r="P15" s="23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5.75" customHeight="1">
      <c r="A16" s="16"/>
      <c r="B16" s="15"/>
      <c r="C16" s="27"/>
      <c r="D16" s="6" t="s">
        <v>13</v>
      </c>
      <c r="E16" s="28">
        <f>SUM(E14:E15)</f>
        <v>45519</v>
      </c>
      <c r="F16" s="16"/>
      <c r="G16" s="2"/>
      <c r="H16" s="2"/>
      <c r="I16" s="2"/>
      <c r="J16" s="2"/>
      <c r="K16" s="2"/>
      <c r="L16" s="2"/>
      <c r="M16" s="2"/>
      <c r="N16" s="2"/>
      <c r="O16" s="2"/>
      <c r="P16" s="29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15.75" customHeight="1">
      <c r="A17" s="21"/>
      <c r="B17" s="8"/>
      <c r="C17" s="8"/>
      <c r="D17" s="9"/>
      <c r="E17" s="21"/>
      <c r="F17" s="18"/>
      <c r="G17" s="22"/>
      <c r="H17" s="22"/>
      <c r="I17" s="22"/>
      <c r="J17" s="22"/>
      <c r="K17" s="22"/>
      <c r="L17" s="22"/>
      <c r="M17" s="22"/>
      <c r="N17" s="22"/>
      <c r="O17" s="30"/>
      <c r="P17" s="31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32" t="s">
        <v>14</v>
      </c>
      <c r="B18" s="14" t="s">
        <v>15</v>
      </c>
      <c r="C18" s="8"/>
      <c r="D18" s="9"/>
      <c r="E18" s="21"/>
      <c r="F18" s="18"/>
      <c r="G18" s="22"/>
      <c r="H18" s="22"/>
      <c r="I18" s="22"/>
      <c r="J18" s="22"/>
      <c r="K18" s="22"/>
      <c r="L18" s="22"/>
      <c r="M18" s="22"/>
      <c r="N18" s="22"/>
      <c r="O18" s="30"/>
      <c r="P18" s="31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32"/>
      <c r="B19" s="33" t="s">
        <v>16</v>
      </c>
      <c r="C19" s="34" t="s">
        <v>17</v>
      </c>
      <c r="D19" s="13" t="s">
        <v>11</v>
      </c>
      <c r="E19" s="21">
        <f>SONGGON!AF19+BALAK!X19+SRAGI!AG19+PARANGHARJO!S19+BEDEWANG!W19+BAYU!AB19+SUMBERARUM!X19+SUMBERBULU!Q19+BANGUNSARI!O19</f>
        <v>16766</v>
      </c>
      <c r="F19" s="18"/>
      <c r="G19" s="22"/>
      <c r="H19" s="22"/>
      <c r="I19" s="22"/>
      <c r="J19" s="22"/>
      <c r="K19" s="22"/>
      <c r="L19" s="22"/>
      <c r="M19" s="22"/>
      <c r="N19" s="22"/>
      <c r="O19" s="22"/>
      <c r="P19" s="23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15.75" customHeight="1">
      <c r="A20" s="35"/>
      <c r="B20" s="26"/>
      <c r="C20" s="36"/>
      <c r="D20" s="13" t="s">
        <v>12</v>
      </c>
      <c r="E20" s="21">
        <f>SONGGON!AF20+BALAK!X20+SRAGI!AG20+PARANGHARJO!S20+BEDEWANG!W20+BAYU!AB20+SUMBERARUM!X20+SUMBERBULU!Q20+BANGUNSARI!O20</f>
        <v>18135</v>
      </c>
      <c r="F20" s="18"/>
      <c r="G20" s="22"/>
      <c r="H20" s="22"/>
      <c r="I20" s="22"/>
      <c r="J20" s="22"/>
      <c r="K20" s="22"/>
      <c r="L20" s="22"/>
      <c r="M20" s="22"/>
      <c r="N20" s="22"/>
      <c r="O20" s="22"/>
      <c r="P20" s="23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15.75" customHeight="1">
      <c r="A21" s="37"/>
      <c r="B21" s="27"/>
      <c r="C21" s="38"/>
      <c r="D21" s="6" t="s">
        <v>13</v>
      </c>
      <c r="E21" s="28">
        <f>SUM(E19:E20)</f>
        <v>34901</v>
      </c>
      <c r="F21" s="16"/>
      <c r="G21" s="2"/>
      <c r="H21" s="2"/>
      <c r="I21" s="2"/>
      <c r="J21" s="2"/>
      <c r="K21" s="2"/>
      <c r="L21" s="2"/>
      <c r="M21" s="2"/>
      <c r="N21" s="2"/>
      <c r="O21" s="2"/>
      <c r="P21" s="29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5.75" customHeight="1">
      <c r="A22" s="35"/>
      <c r="B22" s="33" t="s">
        <v>18</v>
      </c>
      <c r="C22" s="34" t="s">
        <v>19</v>
      </c>
      <c r="D22" s="13" t="s">
        <v>11</v>
      </c>
      <c r="E22" s="21">
        <f>SONGGON!AF22+BALAK!X22+SRAGI!AG22+PARANGHARJO!S22+BEDEWANG!W22+BAYU!AB22+SUMBERARUM!X22+SUMBERBULU!Q22+BANGUNSARI!O22</f>
        <v>5</v>
      </c>
      <c r="F22" s="18"/>
      <c r="G22" s="22"/>
      <c r="H22" s="22"/>
      <c r="I22" s="22"/>
      <c r="J22" s="22"/>
      <c r="K22" s="22"/>
      <c r="L22" s="22"/>
      <c r="M22" s="22"/>
      <c r="N22" s="22"/>
      <c r="O22" s="22"/>
      <c r="P22" s="23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5.75" customHeight="1">
      <c r="A23" s="35"/>
      <c r="B23" s="26"/>
      <c r="C23" s="36"/>
      <c r="D23" s="13" t="s">
        <v>12</v>
      </c>
      <c r="E23" s="21">
        <f>SONGGON!AF23+BALAK!X23+SRAGI!AG23+PARANGHARJO!S23+BEDEWANG!W23+BAYU!AB23+SUMBERARUM!X23+SUMBERBULU!Q23+BANGUNSARI!O23</f>
        <v>22</v>
      </c>
      <c r="F23" s="18"/>
      <c r="G23" s="22"/>
      <c r="H23" s="22"/>
      <c r="I23" s="22"/>
      <c r="J23" s="22"/>
      <c r="K23" s="22"/>
      <c r="L23" s="22"/>
      <c r="M23" s="22"/>
      <c r="N23" s="22"/>
      <c r="O23" s="22"/>
      <c r="P23" s="23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15.75" customHeight="1">
      <c r="A24" s="37"/>
      <c r="B24" s="27"/>
      <c r="C24" s="38"/>
      <c r="D24" s="6" t="s">
        <v>13</v>
      </c>
      <c r="E24" s="28">
        <f>SUM(E22:E23)</f>
        <v>27</v>
      </c>
      <c r="F24" s="16"/>
      <c r="G24" s="2"/>
      <c r="H24" s="2"/>
      <c r="I24" s="2"/>
      <c r="J24" s="2"/>
      <c r="K24" s="2"/>
      <c r="L24" s="2"/>
      <c r="M24" s="2"/>
      <c r="N24" s="2"/>
      <c r="O24" s="2"/>
      <c r="P24" s="29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5.75" customHeight="1">
      <c r="A25" s="35"/>
      <c r="B25" s="33" t="s">
        <v>20</v>
      </c>
      <c r="C25" s="34" t="s">
        <v>21</v>
      </c>
      <c r="D25" s="13" t="s">
        <v>11</v>
      </c>
      <c r="E25" s="21">
        <f>SONGGON!AF25+BALAK!X25+SRAGI!AG25+PARANGHARJO!S25+BEDEWANG!W25+BAYU!AB25+SUMBERARUM!X25+SUMBERBULU!Q25+BANGUNSARI!O25</f>
        <v>108</v>
      </c>
      <c r="F25" s="18"/>
      <c r="G25" s="22"/>
      <c r="H25" s="22"/>
      <c r="I25" s="22"/>
      <c r="J25" s="22"/>
      <c r="K25" s="22"/>
      <c r="L25" s="22"/>
      <c r="M25" s="22"/>
      <c r="N25" s="22"/>
      <c r="O25" s="22"/>
      <c r="P25" s="23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5.75" customHeight="1">
      <c r="A26" s="35"/>
      <c r="B26" s="26"/>
      <c r="C26" s="36"/>
      <c r="D26" s="13" t="s">
        <v>12</v>
      </c>
      <c r="E26" s="21">
        <f>SONGGON!AF26+BALAK!X26+SRAGI!AG26+PARANGHARJO!S26+BEDEWANG!W26+BAYU!AB26+SUMBERARUM!X26+SUMBERBULU!Q26+BANGUNSARI!O26</f>
        <v>109</v>
      </c>
      <c r="F26" s="18"/>
      <c r="G26" s="22"/>
      <c r="H26" s="22"/>
      <c r="I26" s="22"/>
      <c r="J26" s="22"/>
      <c r="K26" s="22"/>
      <c r="L26" s="22"/>
      <c r="M26" s="22"/>
      <c r="N26" s="22"/>
      <c r="O26" s="22"/>
      <c r="P26" s="23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5.75" customHeight="1">
      <c r="A27" s="37"/>
      <c r="B27" s="27"/>
      <c r="C27" s="38"/>
      <c r="D27" s="6" t="s">
        <v>13</v>
      </c>
      <c r="E27" s="28">
        <f>SUM(E25:E26)</f>
        <v>217</v>
      </c>
      <c r="F27" s="16"/>
      <c r="G27" s="2"/>
      <c r="H27" s="2"/>
      <c r="I27" s="2"/>
      <c r="J27" s="2"/>
      <c r="K27" s="2"/>
      <c r="L27" s="2"/>
      <c r="M27" s="2"/>
      <c r="N27" s="2"/>
      <c r="O27" s="2"/>
      <c r="P27" s="29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5.75" customHeight="1">
      <c r="A28" s="37"/>
      <c r="B28" s="39" t="s">
        <v>22</v>
      </c>
      <c r="C28" s="40" t="s">
        <v>23</v>
      </c>
      <c r="D28" s="6" t="s">
        <v>11</v>
      </c>
      <c r="E28" s="28">
        <f t="shared" ref="E28:E29" si="1">E19+E22+E25</f>
        <v>16879</v>
      </c>
      <c r="F28" s="16"/>
      <c r="G28" s="2"/>
      <c r="H28" s="2"/>
      <c r="I28" s="2"/>
      <c r="J28" s="2"/>
      <c r="K28" s="2"/>
      <c r="L28" s="2"/>
      <c r="M28" s="2"/>
      <c r="N28" s="2"/>
      <c r="O28" s="2"/>
      <c r="P28" s="29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5.75" customHeight="1">
      <c r="A29" s="37"/>
      <c r="B29" s="26"/>
      <c r="C29" s="36"/>
      <c r="D29" s="6" t="s">
        <v>12</v>
      </c>
      <c r="E29" s="28">
        <f t="shared" si="1"/>
        <v>18266</v>
      </c>
      <c r="F29" s="16"/>
      <c r="G29" s="2"/>
      <c r="H29" s="2"/>
      <c r="I29" s="2"/>
      <c r="J29" s="2"/>
      <c r="K29" s="2"/>
      <c r="L29" s="2"/>
      <c r="M29" s="2"/>
      <c r="N29" s="2"/>
      <c r="O29" s="2"/>
      <c r="P29" s="29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5.75" customHeight="1">
      <c r="A30" s="37"/>
      <c r="B30" s="27"/>
      <c r="C30" s="38"/>
      <c r="D30" s="6" t="s">
        <v>13</v>
      </c>
      <c r="E30" s="28">
        <f>SUM(E28:E29)</f>
        <v>35145</v>
      </c>
      <c r="F30" s="16"/>
      <c r="G30" s="2"/>
      <c r="H30" s="2"/>
      <c r="I30" s="2"/>
      <c r="J30" s="2"/>
      <c r="K30" s="2"/>
      <c r="L30" s="2"/>
      <c r="M30" s="2"/>
      <c r="N30" s="2"/>
      <c r="O30" s="2"/>
      <c r="P30" s="29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5.75" customHeight="1">
      <c r="A31" s="21"/>
      <c r="B31" s="8"/>
      <c r="C31" s="8"/>
      <c r="D31" s="9"/>
      <c r="E31" s="41"/>
      <c r="F31" s="18"/>
      <c r="G31" s="22"/>
      <c r="H31" s="22"/>
      <c r="I31" s="22"/>
      <c r="J31" s="22"/>
      <c r="K31" s="22"/>
      <c r="L31" s="22"/>
      <c r="M31" s="22"/>
      <c r="N31" s="22"/>
      <c r="O31" s="30"/>
      <c r="P31" s="31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42" t="s">
        <v>24</v>
      </c>
      <c r="B32" s="7" t="s">
        <v>25</v>
      </c>
      <c r="C32" s="8"/>
      <c r="D32" s="9"/>
      <c r="E32" s="28"/>
      <c r="F32" s="16"/>
      <c r="G32" s="2"/>
      <c r="H32" s="2"/>
      <c r="I32" s="2"/>
      <c r="J32" s="2"/>
      <c r="K32" s="2"/>
      <c r="L32" s="2"/>
      <c r="M32" s="2"/>
      <c r="N32" s="2"/>
      <c r="O32" s="4"/>
      <c r="P32" s="31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13">
        <v>1.0</v>
      </c>
      <c r="B33" s="14" t="s">
        <v>26</v>
      </c>
      <c r="C33" s="8"/>
      <c r="D33" s="9"/>
      <c r="E33" s="21">
        <f>SONGGON!AF33+BALAK!X33+SRAGI!AG33+PARANGHARJO!S33+BEDEWANG!W33+BAYU!AB33+SUMBERARUM!X33+SUMBERBULU!Q33+BANGUNSARI!O33</f>
        <v>46368</v>
      </c>
      <c r="F33" s="18"/>
      <c r="G33" s="22"/>
      <c r="H33" s="22"/>
      <c r="I33" s="22"/>
      <c r="J33" s="22"/>
      <c r="K33" s="22"/>
      <c r="L33" s="22"/>
      <c r="M33" s="22"/>
      <c r="N33" s="22"/>
      <c r="O33" s="22"/>
      <c r="P33" s="23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15.75" customHeight="1">
      <c r="A34" s="13">
        <v>2.0</v>
      </c>
      <c r="B34" s="14" t="s">
        <v>27</v>
      </c>
      <c r="C34" s="8"/>
      <c r="D34" s="9"/>
      <c r="E34" s="21">
        <f>SONGGON!AF34+BALAK!X34+SRAGI!AG34+PARANGHARJO!S34+BEDEWANG!W34+BAYU!AB34+SUMBERARUM!X34+SUMBERBULU!Q34+BANGUNSARI!O34</f>
        <v>35145</v>
      </c>
      <c r="F34" s="16"/>
      <c r="G34" s="2"/>
      <c r="H34" s="2"/>
      <c r="I34" s="2"/>
      <c r="J34" s="2"/>
      <c r="K34" s="2"/>
      <c r="L34" s="2"/>
      <c r="M34" s="2"/>
      <c r="N34" s="2"/>
      <c r="O34" s="2"/>
      <c r="P34" s="29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5.75" customHeight="1">
      <c r="A35" s="13">
        <v>3.0</v>
      </c>
      <c r="B35" s="14" t="s">
        <v>28</v>
      </c>
      <c r="C35" s="8"/>
      <c r="D35" s="9"/>
      <c r="E35" s="21">
        <f>SONGGON!AF35+BALAK!X35+SRAGI!AG35+PARANGHARJO!S35+BEDEWANG!W35+BAYU!AB35+SUMBERARUM!X35+SUMBERBULU!Q35+BANGUNSARI!O35</f>
        <v>58</v>
      </c>
      <c r="F35" s="18"/>
      <c r="G35" s="22"/>
      <c r="H35" s="22"/>
      <c r="I35" s="22"/>
      <c r="J35" s="22"/>
      <c r="K35" s="22"/>
      <c r="L35" s="22"/>
      <c r="M35" s="22"/>
      <c r="N35" s="22"/>
      <c r="O35" s="22"/>
      <c r="P35" s="23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15.75" customHeight="1">
      <c r="A36" s="13">
        <v>4.0</v>
      </c>
      <c r="B36" s="14" t="s">
        <v>29</v>
      </c>
      <c r="C36" s="8"/>
      <c r="D36" s="9"/>
      <c r="E36" s="28">
        <f>E33-(E34+E35)</f>
        <v>11165</v>
      </c>
      <c r="F36" s="16"/>
      <c r="G36" s="2"/>
      <c r="H36" s="2"/>
      <c r="I36" s="2"/>
      <c r="J36" s="2"/>
      <c r="K36" s="2"/>
      <c r="L36" s="2"/>
      <c r="M36" s="2"/>
      <c r="N36" s="2"/>
      <c r="O36" s="2"/>
      <c r="P36" s="29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5.75" customHeight="1">
      <c r="A37" s="21"/>
      <c r="B37" s="8"/>
      <c r="C37" s="8"/>
      <c r="D37" s="8"/>
      <c r="E37" s="8"/>
      <c r="F37" s="43"/>
      <c r="G37" s="5"/>
      <c r="H37" s="5"/>
      <c r="I37" s="5"/>
      <c r="J37" s="5"/>
      <c r="K37" s="22"/>
      <c r="L37" s="22"/>
      <c r="M37" s="22"/>
      <c r="N37" s="22"/>
      <c r="O37" s="30"/>
      <c r="P37" s="31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44" t="s">
        <v>30</v>
      </c>
      <c r="B38" s="7" t="s">
        <v>31</v>
      </c>
      <c r="C38" s="8"/>
      <c r="D38" s="9"/>
      <c r="E38" s="28"/>
      <c r="F38" s="16"/>
      <c r="G38" s="2"/>
      <c r="H38" s="2"/>
      <c r="I38" s="2"/>
      <c r="J38" s="2"/>
      <c r="K38" s="2"/>
      <c r="L38" s="2"/>
      <c r="M38" s="2"/>
      <c r="N38" s="2"/>
      <c r="O38" s="4"/>
      <c r="P38" s="31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32"/>
      <c r="B39" s="45" t="s">
        <v>32</v>
      </c>
      <c r="C39" s="20"/>
      <c r="D39" s="13" t="s">
        <v>11</v>
      </c>
      <c r="E39" s="21">
        <f>SONGGON!AF39+BALAK!X39+SRAGI!AG39+PARANGHARJO!S39+BEDEWANG!W39+BAYU!AB39+SUMBERARUM!X39+SUMBERBULU!Q39+BANGUNSARI!O39</f>
        <v>20</v>
      </c>
      <c r="F39" s="18"/>
      <c r="G39" s="22"/>
      <c r="H39" s="22"/>
      <c r="I39" s="22"/>
      <c r="J39" s="22"/>
      <c r="K39" s="22"/>
      <c r="L39" s="22"/>
      <c r="M39" s="22"/>
      <c r="N39" s="22"/>
      <c r="O39" s="22"/>
      <c r="P39" s="23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5.75" customHeight="1">
      <c r="A40" s="35"/>
      <c r="C40" s="26"/>
      <c r="D40" s="13" t="s">
        <v>12</v>
      </c>
      <c r="E40" s="21">
        <f>SONGGON!AF40+BALAK!X40+SRAGI!AG40+PARANGHARJO!S40+BEDEWANG!W40+BAYU!AB40+SUMBERARUM!X40+SUMBERBULU!Q40+BANGUNSARI!O40</f>
        <v>27</v>
      </c>
      <c r="F40" s="18"/>
      <c r="G40" s="22"/>
      <c r="H40" s="22"/>
      <c r="I40" s="22"/>
      <c r="J40" s="22"/>
      <c r="K40" s="22"/>
      <c r="L40" s="22"/>
      <c r="M40" s="22"/>
      <c r="N40" s="22"/>
      <c r="O40" s="22"/>
      <c r="P40" s="23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15.75" customHeight="1">
      <c r="A41" s="42"/>
      <c r="B41" s="46"/>
      <c r="C41" s="27"/>
      <c r="D41" s="6" t="s">
        <v>13</v>
      </c>
      <c r="E41" s="28">
        <f>SUM(E39:E40)</f>
        <v>47</v>
      </c>
      <c r="F41" s="16"/>
      <c r="G41" s="2"/>
      <c r="H41" s="2"/>
      <c r="I41" s="2"/>
      <c r="J41" s="2"/>
      <c r="K41" s="2"/>
      <c r="L41" s="2"/>
      <c r="M41" s="2"/>
      <c r="N41" s="2"/>
      <c r="O41" s="2"/>
      <c r="P41" s="29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5.75" customHeight="1">
      <c r="A42" s="47"/>
      <c r="B42" s="46"/>
      <c r="C42" s="46"/>
      <c r="D42" s="27"/>
      <c r="E42" s="21"/>
      <c r="F42" s="43"/>
      <c r="G42" s="5"/>
      <c r="H42" s="5"/>
      <c r="I42" s="5"/>
      <c r="J42" s="5"/>
      <c r="K42" s="22"/>
      <c r="L42" s="22"/>
      <c r="M42" s="22"/>
      <c r="N42" s="22"/>
      <c r="O42" s="30"/>
      <c r="P42" s="31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44" t="s">
        <v>33</v>
      </c>
      <c r="B43" s="7" t="s">
        <v>34</v>
      </c>
      <c r="C43" s="8"/>
      <c r="D43" s="9"/>
      <c r="E43" s="28"/>
      <c r="F43" s="16"/>
      <c r="G43" s="2"/>
      <c r="H43" s="2"/>
      <c r="I43" s="2"/>
      <c r="J43" s="2"/>
      <c r="K43" s="2"/>
      <c r="L43" s="2"/>
      <c r="M43" s="2"/>
      <c r="N43" s="2"/>
      <c r="O43" s="4"/>
      <c r="P43" s="31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45" t="s">
        <v>35</v>
      </c>
      <c r="B44" s="48"/>
      <c r="C44" s="48"/>
      <c r="D44" s="20"/>
      <c r="E44" s="21">
        <f>SONGGON!AF44+BALAK!X44+SRAGI!AG44+PARANGHARJO!S44+BEDEWANG!W44+BAYU!AB44+SUMBERARUM!X44+SUMBERBULU!Q44+BANGUNSARI!O44</f>
        <v>0</v>
      </c>
      <c r="F44" s="18"/>
      <c r="G44" s="22"/>
      <c r="H44" s="22"/>
      <c r="I44" s="22"/>
      <c r="J44" s="22"/>
      <c r="K44" s="22"/>
      <c r="L44" s="22"/>
      <c r="M44" s="22"/>
      <c r="N44" s="22"/>
      <c r="O44" s="30"/>
      <c r="P44" s="31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32" t="s">
        <v>36</v>
      </c>
      <c r="B45" s="49" t="s">
        <v>16</v>
      </c>
      <c r="C45" s="50" t="s">
        <v>37</v>
      </c>
      <c r="D45" s="9"/>
      <c r="E45" s="21">
        <f>SONGGON!AF45+BALAK!X45+SRAGI!AG45+PARANGHARJO!S45+BEDEWANG!W45+BAYU!AB45+SUMBERARUM!X45+SUMBERBULU!Q45+BANGUNSARI!O45</f>
        <v>1425</v>
      </c>
      <c r="F45" s="18"/>
      <c r="G45" s="22"/>
      <c r="H45" s="22"/>
      <c r="I45" s="22"/>
      <c r="J45" s="22"/>
      <c r="K45" s="22"/>
      <c r="L45" s="22"/>
      <c r="M45" s="22"/>
      <c r="N45" s="22"/>
      <c r="O45" s="22"/>
      <c r="P45" s="23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15.75" customHeight="1">
      <c r="A46" s="32" t="s">
        <v>38</v>
      </c>
      <c r="B46" s="51"/>
      <c r="C46" s="52" t="s">
        <v>39</v>
      </c>
      <c r="D46" s="53"/>
      <c r="E46" s="21">
        <f>SONGGON!AF46+BALAK!X46+SRAGI!AG46+PARANGHARJO!S46+BEDEWANG!W46+BAYU!AB46+SUMBERARUM!X46+SUMBERBULU!Q46+BANGUNSARI!O46</f>
        <v>5082</v>
      </c>
      <c r="F46" s="18"/>
      <c r="G46" s="22"/>
      <c r="H46" s="22"/>
      <c r="I46" s="22"/>
      <c r="J46" s="22"/>
      <c r="K46" s="22"/>
      <c r="L46" s="22"/>
      <c r="M46" s="22"/>
      <c r="N46" s="22"/>
      <c r="O46" s="22"/>
      <c r="P46" s="23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15.75" customHeight="1">
      <c r="A47" s="18"/>
      <c r="B47" s="51"/>
      <c r="C47" s="52" t="s">
        <v>40</v>
      </c>
      <c r="D47" s="53"/>
      <c r="E47" s="21">
        <f>SONGGON!AF47+BALAK!X47+SRAGI!AG47+PARANGHARJO!S47+BEDEWANG!W47+BAYU!AB47+SUMBERARUM!X47+SUMBERBULU!Q47+BANGUNSARI!O47</f>
        <v>1392</v>
      </c>
      <c r="F47" s="18"/>
      <c r="G47" s="22"/>
      <c r="H47" s="22"/>
      <c r="I47" s="22"/>
      <c r="J47" s="22"/>
      <c r="K47" s="22"/>
      <c r="L47" s="22"/>
      <c r="M47" s="22"/>
      <c r="N47" s="22"/>
      <c r="O47" s="22"/>
      <c r="P47" s="23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15.75" customHeight="1">
      <c r="A48" s="18"/>
      <c r="B48" s="51"/>
      <c r="C48" s="52" t="s">
        <v>41</v>
      </c>
      <c r="D48" s="53"/>
      <c r="E48" s="21">
        <f>SONGGON!AF48+BALAK!X48+SRAGI!AG48+PARANGHARJO!S48+BEDEWANG!W48+BAYU!AB48+SUMBERARUM!X48+SUMBERBULU!Q48+BANGUNSARI!O48</f>
        <v>102</v>
      </c>
      <c r="F48" s="18"/>
      <c r="G48" s="22"/>
      <c r="H48" s="22"/>
      <c r="I48" s="22"/>
      <c r="J48" s="22"/>
      <c r="K48" s="22"/>
      <c r="L48" s="22"/>
      <c r="M48" s="22"/>
      <c r="N48" s="22"/>
      <c r="O48" s="22"/>
      <c r="P48" s="23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15.75" customHeight="1">
      <c r="A49" s="18"/>
      <c r="B49" s="51"/>
      <c r="C49" s="52" t="s">
        <v>42</v>
      </c>
      <c r="D49" s="53"/>
      <c r="E49" s="21">
        <f>SONGGON!AF49+BALAK!X49+SRAGI!AG49+PARANGHARJO!S49+BEDEWANG!W49+BAYU!AB49+SUMBERARUM!X49+SUMBERBULU!Q49+BANGUNSARI!O49</f>
        <v>55</v>
      </c>
      <c r="F49" s="18"/>
      <c r="G49" s="22"/>
      <c r="H49" s="22"/>
      <c r="I49" s="22"/>
      <c r="J49" s="22"/>
      <c r="K49" s="22"/>
      <c r="L49" s="22"/>
      <c r="M49" s="22"/>
      <c r="N49" s="22"/>
      <c r="O49" s="22"/>
      <c r="P49" s="23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15.75" customHeight="1">
      <c r="A50" s="18"/>
      <c r="B50" s="51"/>
      <c r="C50" s="52" t="s">
        <v>43</v>
      </c>
      <c r="D50" s="53"/>
      <c r="E50" s="21">
        <f>SONGGON!AF50+BALAK!X50+SRAGI!AG50+PARANGHARJO!S50+BEDEWANG!W50+BAYU!AB50+SUMBERARUM!X50+SUMBERBULU!Q50+BANGUNSARI!O50</f>
        <v>22</v>
      </c>
      <c r="F50" s="18"/>
      <c r="G50" s="22"/>
      <c r="H50" s="22"/>
      <c r="I50" s="22"/>
      <c r="J50" s="22"/>
      <c r="K50" s="22"/>
      <c r="L50" s="22"/>
      <c r="M50" s="22"/>
      <c r="N50" s="22"/>
      <c r="O50" s="22"/>
      <c r="P50" s="23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15.75" customHeight="1">
      <c r="A51" s="18"/>
      <c r="B51" s="51"/>
      <c r="C51" s="52" t="s">
        <v>44</v>
      </c>
      <c r="D51" s="53"/>
      <c r="E51" s="21">
        <f>SONGGON!AF51+BALAK!X51+SRAGI!AG51+PARANGHARJO!S51+BEDEWANG!W51+BAYU!AB51+SUMBERARUM!X51+SUMBERBULU!Q51+BANGUNSARI!O51</f>
        <v>179</v>
      </c>
      <c r="F51" s="18"/>
      <c r="G51" s="22"/>
      <c r="H51" s="22"/>
      <c r="I51" s="22"/>
      <c r="J51" s="22"/>
      <c r="K51" s="22"/>
      <c r="L51" s="22"/>
      <c r="M51" s="22"/>
      <c r="N51" s="22"/>
      <c r="O51" s="22"/>
      <c r="P51" s="23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15.75" customHeight="1">
      <c r="A52" s="13" t="s">
        <v>14</v>
      </c>
      <c r="B52" s="49" t="s">
        <v>45</v>
      </c>
      <c r="C52" s="8"/>
      <c r="D52" s="9"/>
      <c r="E52" s="54">
        <f>SUM(E45:E51)</f>
        <v>8257</v>
      </c>
      <c r="F52" s="16"/>
      <c r="G52" s="2"/>
      <c r="H52" s="2"/>
      <c r="I52" s="2"/>
      <c r="J52" s="2"/>
      <c r="K52" s="2"/>
      <c r="L52" s="2"/>
      <c r="M52" s="2"/>
      <c r="N52" s="2"/>
      <c r="O52" s="2"/>
      <c r="P52" s="29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5.75" customHeight="1">
      <c r="A53" s="55"/>
      <c r="B53" s="56"/>
      <c r="C53" s="56"/>
      <c r="D53" s="56"/>
      <c r="E53" s="56"/>
      <c r="F53" s="57"/>
      <c r="G53" s="58"/>
      <c r="H53" s="58"/>
      <c r="I53" s="58"/>
      <c r="J53" s="58"/>
      <c r="K53" s="58"/>
      <c r="L53" s="58"/>
      <c r="M53" s="58"/>
      <c r="N53" s="58"/>
      <c r="O53" s="58"/>
      <c r="P53" s="59"/>
      <c r="Q53" s="5"/>
      <c r="R53" s="5"/>
      <c r="S53" s="5"/>
      <c r="T53" s="5"/>
      <c r="U53" s="5"/>
      <c r="V53" s="5"/>
      <c r="W53" s="60"/>
      <c r="X53" s="5"/>
      <c r="Y53" s="5"/>
      <c r="Z53" s="5"/>
    </row>
    <row r="54" ht="15.75" customHeight="1">
      <c r="A54" s="32" t="s">
        <v>36</v>
      </c>
      <c r="B54" s="49" t="s">
        <v>18</v>
      </c>
      <c r="C54" s="50" t="s">
        <v>46</v>
      </c>
      <c r="D54" s="9"/>
      <c r="E54" s="21">
        <f>SONGGON!AF54+BALAK!X54+SRAGI!AG54+PARANGHARJO!S54+BEDEWANG!W54+BAYU!AB54+SUMBERARUM!X54+SUMBERBULU!Q54+BANGUNSARI!O54</f>
        <v>1117</v>
      </c>
      <c r="F54" s="18"/>
      <c r="G54" s="22"/>
      <c r="H54" s="22"/>
      <c r="I54" s="22"/>
      <c r="J54" s="22"/>
      <c r="K54" s="22"/>
      <c r="L54" s="22"/>
      <c r="M54" s="22"/>
      <c r="N54" s="22"/>
      <c r="O54" s="22"/>
      <c r="P54" s="23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15.75" customHeight="1">
      <c r="A55" s="32" t="s">
        <v>38</v>
      </c>
      <c r="B55" s="51"/>
      <c r="C55" s="52" t="s">
        <v>47</v>
      </c>
      <c r="D55" s="53"/>
      <c r="E55" s="21">
        <f>SONGGON!AF55+BALAK!X55+SRAGI!AG55+PARANGHARJO!S55+BEDEWANG!W55+BAYU!AB55+SUMBERARUM!X55+SUMBERBULU!Q55+BANGUNSARI!O55</f>
        <v>1701</v>
      </c>
      <c r="F55" s="18"/>
      <c r="G55" s="22"/>
      <c r="H55" s="22"/>
      <c r="I55" s="22"/>
      <c r="J55" s="22"/>
      <c r="K55" s="22"/>
      <c r="L55" s="22"/>
      <c r="M55" s="22"/>
      <c r="N55" s="22"/>
      <c r="O55" s="22"/>
      <c r="P55" s="23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15.75" customHeight="1">
      <c r="A56" s="18"/>
      <c r="B56" s="51"/>
      <c r="C56" s="52" t="s">
        <v>48</v>
      </c>
      <c r="D56" s="53"/>
      <c r="E56" s="21">
        <f>SONGGON!AF56+BALAK!X56+SRAGI!AG56+PARANGHARJO!S56+BEDEWANG!W56+BAYU!AB56+SUMBERARUM!X56+SUMBERBULU!Q56+BANGUNSARI!O56</f>
        <v>1063</v>
      </c>
      <c r="F56" s="18"/>
      <c r="G56" s="22"/>
      <c r="H56" s="22"/>
      <c r="I56" s="22"/>
      <c r="J56" s="22"/>
      <c r="K56" s="22"/>
      <c r="L56" s="22"/>
      <c r="M56" s="22"/>
      <c r="N56" s="22"/>
      <c r="O56" s="22"/>
      <c r="P56" s="23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15.75" customHeight="1">
      <c r="A57" s="18"/>
      <c r="B57" s="51"/>
      <c r="C57" s="52" t="s">
        <v>49</v>
      </c>
      <c r="D57" s="53"/>
      <c r="E57" s="21">
        <f>SONGGON!AF57+BALAK!X57+SRAGI!AG57+PARANGHARJO!S57+BEDEWANG!W57+BAYU!AB57+SUMBERARUM!X57+SUMBERBULU!Q57+BANGUNSARI!O57</f>
        <v>88</v>
      </c>
      <c r="F57" s="18"/>
      <c r="G57" s="22"/>
      <c r="H57" s="22"/>
      <c r="I57" s="22"/>
      <c r="J57" s="22"/>
      <c r="K57" s="22"/>
      <c r="L57" s="22"/>
      <c r="M57" s="22"/>
      <c r="N57" s="22"/>
      <c r="O57" s="22"/>
      <c r="P57" s="23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15.75" customHeight="1">
      <c r="A58" s="18"/>
      <c r="B58" s="51"/>
      <c r="C58" s="52" t="s">
        <v>50</v>
      </c>
      <c r="D58" s="53"/>
      <c r="E58" s="21">
        <f>SONGGON!AF58+BALAK!X58+SRAGI!AG58+PARANGHARJO!S58+BEDEWANG!W58+BAYU!AB58+SUMBERARUM!X58+SUMBERBULU!Q58+BANGUNSARI!O58</f>
        <v>361</v>
      </c>
      <c r="F58" s="18"/>
      <c r="G58" s="22"/>
      <c r="H58" s="22"/>
      <c r="I58" s="22"/>
      <c r="J58" s="22"/>
      <c r="K58" s="22"/>
      <c r="L58" s="22"/>
      <c r="M58" s="22"/>
      <c r="N58" s="22"/>
      <c r="O58" s="22"/>
      <c r="P58" s="23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15.75" customHeight="1">
      <c r="A59" s="18"/>
      <c r="B59" s="51"/>
      <c r="C59" s="52" t="s">
        <v>51</v>
      </c>
      <c r="D59" s="53"/>
      <c r="E59" s="21">
        <f>SONGGON!AF59+BALAK!X59+SRAGI!AG59+PARANGHARJO!S59+BEDEWANG!W59+BAYU!AB59+SUMBERARUM!X59+SUMBERBULU!Q59+BANGUNSARI!O59</f>
        <v>30</v>
      </c>
      <c r="F59" s="18"/>
      <c r="G59" s="22"/>
      <c r="H59" s="22"/>
      <c r="I59" s="22"/>
      <c r="J59" s="22"/>
      <c r="K59" s="22"/>
      <c r="L59" s="22"/>
      <c r="M59" s="22"/>
      <c r="N59" s="22"/>
      <c r="O59" s="22"/>
      <c r="P59" s="23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15.75" customHeight="1">
      <c r="A60" s="18"/>
      <c r="B60" s="51"/>
      <c r="C60" s="52" t="s">
        <v>52</v>
      </c>
      <c r="D60" s="53"/>
      <c r="E60" s="21">
        <f>SONGGON!AF60+BALAK!X60+SRAGI!AG60+PARANGHARJO!S60+BEDEWANG!W60+BAYU!AB60+SUMBERARUM!X60+SUMBERBULU!Q60+BANGUNSARI!O60</f>
        <v>50</v>
      </c>
      <c r="F60" s="18"/>
      <c r="G60" s="22"/>
      <c r="H60" s="22"/>
      <c r="I60" s="22"/>
      <c r="J60" s="22"/>
      <c r="K60" s="22"/>
      <c r="L60" s="22"/>
      <c r="M60" s="22"/>
      <c r="N60" s="22"/>
      <c r="O60" s="22"/>
      <c r="P60" s="23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15.75" customHeight="1">
      <c r="A61" s="13" t="s">
        <v>14</v>
      </c>
      <c r="B61" s="49" t="s">
        <v>45</v>
      </c>
      <c r="C61" s="8"/>
      <c r="D61" s="9"/>
      <c r="E61" s="54">
        <f>SUM(E54:E60)</f>
        <v>4410</v>
      </c>
      <c r="F61" s="16"/>
      <c r="G61" s="2"/>
      <c r="H61" s="2"/>
      <c r="I61" s="2"/>
      <c r="J61" s="2"/>
      <c r="K61" s="2"/>
      <c r="L61" s="2"/>
      <c r="M61" s="2"/>
      <c r="N61" s="2"/>
      <c r="O61" s="2"/>
      <c r="P61" s="29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5.75" customHeight="1">
      <c r="A62" s="55"/>
      <c r="B62" s="56"/>
      <c r="C62" s="56"/>
      <c r="D62" s="56"/>
      <c r="E62" s="56"/>
      <c r="F62" s="57"/>
      <c r="G62" s="58"/>
      <c r="H62" s="58"/>
      <c r="I62" s="58"/>
      <c r="J62" s="58"/>
      <c r="K62" s="58"/>
      <c r="L62" s="58"/>
      <c r="M62" s="58"/>
      <c r="N62" s="58"/>
      <c r="O62" s="58"/>
      <c r="P62" s="59"/>
      <c r="Q62" s="5"/>
      <c r="R62" s="5"/>
      <c r="S62" s="5"/>
      <c r="T62" s="5"/>
      <c r="U62" s="5"/>
      <c r="V62" s="5"/>
      <c r="W62" s="60"/>
      <c r="X62" s="5"/>
      <c r="Y62" s="5"/>
      <c r="Z62" s="5"/>
    </row>
    <row r="63" ht="15.75" customHeight="1">
      <c r="A63" s="32" t="s">
        <v>36</v>
      </c>
      <c r="B63" s="49" t="s">
        <v>20</v>
      </c>
      <c r="C63" s="50" t="s">
        <v>53</v>
      </c>
      <c r="D63" s="9"/>
      <c r="E63" s="21">
        <f>SONGGON!AF63+BALAK!X63+SRAGI!AG63+PARANGHARJO!S63+BEDEWANG!W63+BAYU!AB63+SUMBERARUM!X63+SUMBERBULU!Q63+BANGUNSARI!O63</f>
        <v>1317</v>
      </c>
      <c r="F63" s="18"/>
      <c r="G63" s="22"/>
      <c r="H63" s="22"/>
      <c r="I63" s="22"/>
      <c r="J63" s="22"/>
      <c r="K63" s="22"/>
      <c r="L63" s="22"/>
      <c r="M63" s="22"/>
      <c r="N63" s="22"/>
      <c r="O63" s="22"/>
      <c r="P63" s="23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15.75" customHeight="1">
      <c r="A64" s="32" t="s">
        <v>38</v>
      </c>
      <c r="B64" s="51"/>
      <c r="C64" s="52" t="s">
        <v>54</v>
      </c>
      <c r="D64" s="53"/>
      <c r="E64" s="21">
        <f>SONGGON!AF64+BALAK!X64+SRAGI!AG64+PARANGHARJO!S64+BEDEWANG!W64+BAYU!AB64+SUMBERARUM!X64+SUMBERBULU!Q64+BANGUNSARI!O64</f>
        <v>772</v>
      </c>
      <c r="F64" s="18"/>
      <c r="G64" s="22"/>
      <c r="H64" s="22"/>
      <c r="I64" s="22"/>
      <c r="J64" s="22"/>
      <c r="K64" s="22"/>
      <c r="L64" s="22"/>
      <c r="M64" s="22"/>
      <c r="N64" s="22"/>
      <c r="O64" s="22"/>
      <c r="P64" s="23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15.75" customHeight="1">
      <c r="A65" s="18"/>
      <c r="B65" s="51"/>
      <c r="C65" s="52" t="s">
        <v>55</v>
      </c>
      <c r="D65" s="53"/>
      <c r="E65" s="21">
        <f>SONGGON!AF65+BALAK!X65+SRAGI!AG65+PARANGHARJO!S65+BEDEWANG!W65+BAYU!AB65+SUMBERARUM!X65+SUMBERBULU!Q65+BANGUNSARI!O65</f>
        <v>649</v>
      </c>
      <c r="F65" s="18"/>
      <c r="G65" s="22"/>
      <c r="H65" s="22"/>
      <c r="I65" s="22"/>
      <c r="J65" s="22"/>
      <c r="K65" s="22"/>
      <c r="L65" s="22"/>
      <c r="M65" s="22"/>
      <c r="N65" s="22"/>
      <c r="O65" s="22"/>
      <c r="P65" s="23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15.75" customHeight="1">
      <c r="A66" s="18"/>
      <c r="B66" s="51"/>
      <c r="C66" s="52" t="s">
        <v>56</v>
      </c>
      <c r="D66" s="53"/>
      <c r="E66" s="21">
        <f>SONGGON!AF66+BALAK!X66+SRAGI!AG66+PARANGHARJO!S66+BEDEWANG!W66+BAYU!AB66+SUMBERARUM!X66+SUMBERBULU!Q66+BANGUNSARI!O66</f>
        <v>464</v>
      </c>
      <c r="F66" s="18"/>
      <c r="G66" s="22"/>
      <c r="H66" s="22"/>
      <c r="I66" s="22"/>
      <c r="J66" s="22"/>
      <c r="K66" s="22"/>
      <c r="L66" s="22"/>
      <c r="M66" s="22"/>
      <c r="N66" s="22"/>
      <c r="O66" s="22"/>
      <c r="P66" s="23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15.75" customHeight="1">
      <c r="A67" s="18"/>
      <c r="B67" s="51"/>
      <c r="C67" s="52" t="s">
        <v>57</v>
      </c>
      <c r="D67" s="53"/>
      <c r="E67" s="21">
        <f>SONGGON!AF67+BALAK!X67+SRAGI!AG67+PARANGHARJO!S67+BEDEWANG!W67+BAYU!AB67+SUMBERARUM!X67+SUMBERBULU!Q67+BANGUNSARI!O67</f>
        <v>3628</v>
      </c>
      <c r="F67" s="18"/>
      <c r="G67" s="22"/>
      <c r="H67" s="22"/>
      <c r="I67" s="22"/>
      <c r="J67" s="22"/>
      <c r="K67" s="22"/>
      <c r="L67" s="22"/>
      <c r="M67" s="22"/>
      <c r="N67" s="22"/>
      <c r="O67" s="22"/>
      <c r="P67" s="23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15.75" customHeight="1">
      <c r="A68" s="18"/>
      <c r="B68" s="51"/>
      <c r="C68" s="52" t="s">
        <v>58</v>
      </c>
      <c r="D68" s="53"/>
      <c r="E68" s="21">
        <f>SONGGON!AF68+BALAK!X68+SRAGI!AG68+PARANGHARJO!S68+BEDEWANG!W68+BAYU!AB68+SUMBERARUM!X68+SUMBERBULU!Q68+BANGUNSARI!O68</f>
        <v>1075</v>
      </c>
      <c r="F68" s="18"/>
      <c r="G68" s="22"/>
      <c r="H68" s="22"/>
      <c r="I68" s="22"/>
      <c r="J68" s="22"/>
      <c r="K68" s="22"/>
      <c r="L68" s="22"/>
      <c r="M68" s="22"/>
      <c r="N68" s="22"/>
      <c r="O68" s="22"/>
      <c r="P68" s="23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15.75" customHeight="1">
      <c r="A69" s="18"/>
      <c r="B69" s="51"/>
      <c r="C69" s="52" t="s">
        <v>59</v>
      </c>
      <c r="D69" s="53"/>
      <c r="E69" s="21">
        <f>SONGGON!AF69+BALAK!X69+SRAGI!AG69+PARANGHARJO!S69+BEDEWANG!W69+BAYU!AB69+SUMBERARUM!X69+SUMBERBULU!Q69+BANGUNSARI!O69</f>
        <v>1899</v>
      </c>
      <c r="F69" s="18"/>
      <c r="G69" s="22"/>
      <c r="H69" s="22"/>
      <c r="I69" s="22"/>
      <c r="J69" s="22"/>
      <c r="K69" s="22"/>
      <c r="L69" s="22"/>
      <c r="M69" s="22"/>
      <c r="N69" s="22"/>
      <c r="O69" s="22"/>
      <c r="P69" s="23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15.75" customHeight="1">
      <c r="A70" s="13" t="s">
        <v>14</v>
      </c>
      <c r="B70" s="49" t="s">
        <v>45</v>
      </c>
      <c r="C70" s="8"/>
      <c r="D70" s="9"/>
      <c r="E70" s="54">
        <f>SUM(E63:E69)</f>
        <v>9804</v>
      </c>
      <c r="F70" s="16"/>
      <c r="G70" s="2"/>
      <c r="H70" s="2"/>
      <c r="I70" s="2"/>
      <c r="J70" s="2"/>
      <c r="K70" s="2"/>
      <c r="L70" s="2"/>
      <c r="M70" s="2"/>
      <c r="N70" s="2"/>
      <c r="O70" s="2"/>
      <c r="P70" s="29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5.75" customHeight="1">
      <c r="A71" s="55"/>
      <c r="B71" s="56"/>
      <c r="C71" s="56"/>
      <c r="D71" s="56"/>
      <c r="E71" s="56"/>
      <c r="F71" s="57"/>
      <c r="G71" s="58"/>
      <c r="H71" s="58"/>
      <c r="I71" s="58"/>
      <c r="J71" s="58"/>
      <c r="K71" s="58"/>
      <c r="L71" s="58"/>
      <c r="M71" s="58"/>
      <c r="N71" s="58"/>
      <c r="O71" s="58"/>
      <c r="P71" s="59"/>
      <c r="Q71" s="5"/>
      <c r="R71" s="5"/>
      <c r="S71" s="5"/>
      <c r="T71" s="5"/>
      <c r="U71" s="5"/>
      <c r="V71" s="5"/>
      <c r="W71" s="60"/>
      <c r="X71" s="5"/>
      <c r="Y71" s="5"/>
      <c r="Z71" s="5"/>
    </row>
    <row r="72" ht="15.75" customHeight="1">
      <c r="A72" s="32" t="s">
        <v>36</v>
      </c>
      <c r="B72" s="49" t="s">
        <v>22</v>
      </c>
      <c r="C72" s="50" t="s">
        <v>60</v>
      </c>
      <c r="D72" s="9"/>
      <c r="E72" s="21">
        <f>SONGGON!AF72+BALAK!X72+SRAGI!AG72+PARANGHARJO!S72+BEDEWANG!W72+BAYU!AB72+SUMBERARUM!X72+SUMBERBULU!Q72+BANGUNSARI!O72</f>
        <v>448</v>
      </c>
      <c r="F72" s="18"/>
      <c r="G72" s="22"/>
      <c r="H72" s="22"/>
      <c r="I72" s="22"/>
      <c r="J72" s="22"/>
      <c r="K72" s="22"/>
      <c r="L72" s="22"/>
      <c r="M72" s="22"/>
      <c r="N72" s="22"/>
      <c r="O72" s="22"/>
      <c r="P72" s="23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15.75" customHeight="1">
      <c r="A73" s="32" t="s">
        <v>38</v>
      </c>
      <c r="B73" s="51"/>
      <c r="C73" s="52" t="s">
        <v>61</v>
      </c>
      <c r="D73" s="53"/>
      <c r="E73" s="21">
        <f>SONGGON!AF73+BALAK!X73+SRAGI!AG73+PARANGHARJO!S73+BEDEWANG!W73+BAYU!AB73+SUMBERARUM!X73+SUMBERBULU!Q73+BANGUNSARI!O73</f>
        <v>1088</v>
      </c>
      <c r="F73" s="18"/>
      <c r="G73" s="22"/>
      <c r="H73" s="22"/>
      <c r="I73" s="22"/>
      <c r="J73" s="22"/>
      <c r="K73" s="22"/>
      <c r="L73" s="22"/>
      <c r="M73" s="22"/>
      <c r="N73" s="22"/>
      <c r="O73" s="22"/>
      <c r="P73" s="23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15.75" customHeight="1">
      <c r="A74" s="18"/>
      <c r="B74" s="51"/>
      <c r="C74" s="52" t="s">
        <v>62</v>
      </c>
      <c r="D74" s="53"/>
      <c r="E74" s="21">
        <f>SONGGON!AF74+BALAK!X74+SRAGI!AG74+PARANGHARJO!S74+BEDEWANG!W74+BAYU!AB74+SUMBERARUM!X74+SUMBERBULU!Q74+BANGUNSARI!O74</f>
        <v>56</v>
      </c>
      <c r="F74" s="18"/>
      <c r="G74" s="22"/>
      <c r="H74" s="22"/>
      <c r="I74" s="22"/>
      <c r="J74" s="22"/>
      <c r="K74" s="22"/>
      <c r="L74" s="22"/>
      <c r="M74" s="22"/>
      <c r="N74" s="22"/>
      <c r="O74" s="22"/>
      <c r="P74" s="23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t="15.75" customHeight="1">
      <c r="A75" s="18"/>
      <c r="B75" s="51"/>
      <c r="C75" s="52" t="s">
        <v>63</v>
      </c>
      <c r="D75" s="53"/>
      <c r="E75" s="21">
        <f>SONGGON!AF75+BALAK!X75+SRAGI!AG75+PARANGHARJO!S75+BEDEWANG!W75+BAYU!AB75+SUMBERARUM!X75+SUMBERBULU!Q75+BANGUNSARI!O75</f>
        <v>354</v>
      </c>
      <c r="F75" s="18"/>
      <c r="G75" s="22"/>
      <c r="H75" s="22"/>
      <c r="I75" s="22"/>
      <c r="J75" s="22"/>
      <c r="K75" s="22"/>
      <c r="L75" s="22"/>
      <c r="M75" s="22"/>
      <c r="N75" s="22"/>
      <c r="O75" s="22"/>
      <c r="P75" s="23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15.75" customHeight="1">
      <c r="A76" s="18"/>
      <c r="B76" s="51"/>
      <c r="C76" s="52" t="s">
        <v>64</v>
      </c>
      <c r="D76" s="53"/>
      <c r="E76" s="21">
        <f>SONGGON!AF76+BALAK!X76+SRAGI!AG76+PARANGHARJO!S76+BEDEWANG!W76+BAYU!AB76+SUMBERARUM!X76+SUMBERBULU!Q76+BANGUNSARI!O76</f>
        <v>40</v>
      </c>
      <c r="F76" s="18"/>
      <c r="G76" s="22"/>
      <c r="H76" s="22"/>
      <c r="I76" s="22"/>
      <c r="J76" s="22"/>
      <c r="K76" s="22"/>
      <c r="L76" s="22"/>
      <c r="M76" s="22"/>
      <c r="N76" s="22"/>
      <c r="O76" s="22"/>
      <c r="P76" s="23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15.75" customHeight="1">
      <c r="A77" s="18"/>
      <c r="B77" s="51"/>
      <c r="C77" s="52" t="s">
        <v>65</v>
      </c>
      <c r="D77" s="53"/>
      <c r="E77" s="21">
        <f>SONGGON!AF77+BALAK!X77+SRAGI!AG77+PARANGHARJO!S77+BEDEWANG!W77+BAYU!AB77+SUMBERARUM!X77+SUMBERBULU!Q77+BANGUNSARI!O77</f>
        <v>92</v>
      </c>
      <c r="F77" s="18"/>
      <c r="G77" s="22"/>
      <c r="H77" s="22"/>
      <c r="I77" s="22"/>
      <c r="J77" s="22"/>
      <c r="K77" s="22"/>
      <c r="L77" s="22"/>
      <c r="M77" s="22"/>
      <c r="N77" s="22"/>
      <c r="O77" s="22"/>
      <c r="P77" s="23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15.75" customHeight="1">
      <c r="A78" s="18"/>
      <c r="B78" s="51"/>
      <c r="C78" s="52" t="s">
        <v>66</v>
      </c>
      <c r="D78" s="53"/>
      <c r="E78" s="21">
        <f>SONGGON!AF78+BALAK!X78+SRAGI!AG78+PARANGHARJO!S78+BEDEWANG!W78+BAYU!AB78+SUMBERARUM!X78+SUMBERBULU!Q78+BANGUNSARI!O78</f>
        <v>8</v>
      </c>
      <c r="F78" s="18"/>
      <c r="G78" s="22"/>
      <c r="H78" s="22"/>
      <c r="I78" s="22"/>
      <c r="J78" s="22"/>
      <c r="K78" s="22"/>
      <c r="L78" s="22"/>
      <c r="M78" s="22"/>
      <c r="N78" s="22"/>
      <c r="O78" s="22"/>
      <c r="P78" s="23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15.75" customHeight="1">
      <c r="A79" s="13" t="s">
        <v>14</v>
      </c>
      <c r="B79" s="49" t="s">
        <v>45</v>
      </c>
      <c r="C79" s="8"/>
      <c r="D79" s="9"/>
      <c r="E79" s="54">
        <f>SUM(E72:E78)</f>
        <v>2086</v>
      </c>
      <c r="F79" s="16"/>
      <c r="G79" s="2"/>
      <c r="H79" s="2"/>
      <c r="I79" s="2"/>
      <c r="J79" s="2"/>
      <c r="K79" s="2"/>
      <c r="L79" s="2"/>
      <c r="M79" s="2"/>
      <c r="N79" s="2"/>
      <c r="O79" s="2"/>
      <c r="P79" s="29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5.75" customHeight="1">
      <c r="A80" s="55"/>
      <c r="B80" s="56"/>
      <c r="C80" s="56"/>
      <c r="D80" s="56"/>
      <c r="E80" s="56"/>
      <c r="F80" s="57"/>
      <c r="G80" s="58"/>
      <c r="H80" s="58"/>
      <c r="I80" s="58"/>
      <c r="J80" s="58"/>
      <c r="K80" s="58"/>
      <c r="L80" s="58"/>
      <c r="M80" s="58"/>
      <c r="N80" s="58"/>
      <c r="O80" s="58"/>
      <c r="P80" s="59"/>
      <c r="Q80" s="5"/>
      <c r="R80" s="5"/>
      <c r="S80" s="5"/>
      <c r="T80" s="5"/>
      <c r="U80" s="5"/>
      <c r="V80" s="5"/>
      <c r="W80" s="60"/>
      <c r="X80" s="5"/>
      <c r="Y80" s="5"/>
      <c r="Z80" s="5"/>
    </row>
    <row r="81" ht="15.75" customHeight="1">
      <c r="A81" s="32" t="s">
        <v>36</v>
      </c>
      <c r="B81" s="49" t="s">
        <v>67</v>
      </c>
      <c r="C81" s="50" t="s">
        <v>68</v>
      </c>
      <c r="D81" s="9"/>
      <c r="E81" s="21">
        <f>SONGGON!AF81+BALAK!X81+SRAGI!AG81+PARANGHARJO!S81+BEDEWANG!W81+BAYU!AB81+SUMBERARUM!X81+SUMBERBULU!Q81+BANGUNSARI!O81</f>
        <v>187</v>
      </c>
      <c r="F81" s="18"/>
      <c r="G81" s="22"/>
      <c r="H81" s="22"/>
      <c r="I81" s="22"/>
      <c r="J81" s="22"/>
      <c r="K81" s="22"/>
      <c r="L81" s="22"/>
      <c r="M81" s="22"/>
      <c r="N81" s="22"/>
      <c r="O81" s="22"/>
      <c r="P81" s="23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15.75" customHeight="1">
      <c r="A82" s="32" t="s">
        <v>38</v>
      </c>
      <c r="B82" s="51"/>
      <c r="C82" s="52" t="s">
        <v>69</v>
      </c>
      <c r="D82" s="53"/>
      <c r="E82" s="21">
        <f>SONGGON!AF82+BALAK!X82+SRAGI!AG82+PARANGHARJO!S82+BEDEWANG!W82+BAYU!AB82+SUMBERARUM!X82+SUMBERBULU!Q82+BANGUNSARI!O82</f>
        <v>924</v>
      </c>
      <c r="F82" s="18"/>
      <c r="G82" s="22"/>
      <c r="H82" s="22"/>
      <c r="I82" s="22"/>
      <c r="J82" s="22"/>
      <c r="K82" s="22"/>
      <c r="L82" s="22"/>
      <c r="M82" s="22"/>
      <c r="N82" s="22"/>
      <c r="O82" s="22"/>
      <c r="P82" s="23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15.75" customHeight="1">
      <c r="A83" s="18"/>
      <c r="B83" s="51"/>
      <c r="C83" s="52" t="s">
        <v>70</v>
      </c>
      <c r="D83" s="53"/>
      <c r="E83" s="21">
        <f>SONGGON!AF83+BALAK!X83+SRAGI!AG83+PARANGHARJO!S83+BEDEWANG!W83+BAYU!AB83+SUMBERARUM!X83+SUMBERBULU!Q83+BANGUNSARI!O83</f>
        <v>296</v>
      </c>
      <c r="F83" s="18"/>
      <c r="G83" s="22"/>
      <c r="H83" s="22"/>
      <c r="I83" s="22"/>
      <c r="J83" s="22"/>
      <c r="K83" s="22"/>
      <c r="L83" s="22"/>
      <c r="M83" s="22"/>
      <c r="N83" s="22"/>
      <c r="O83" s="22"/>
      <c r="P83" s="23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15.75" customHeight="1">
      <c r="A84" s="18"/>
      <c r="B84" s="51"/>
      <c r="C84" s="52" t="s">
        <v>71</v>
      </c>
      <c r="D84" s="53"/>
      <c r="E84" s="21">
        <f>SONGGON!AF84+BALAK!X84+SRAGI!AG84+PARANGHARJO!S84+BEDEWANG!W84+BAYU!AB84+SUMBERARUM!X84+SUMBERBULU!Q84+BANGUNSARI!O84</f>
        <v>17</v>
      </c>
      <c r="F84" s="18"/>
      <c r="G84" s="22"/>
      <c r="H84" s="22"/>
      <c r="I84" s="22"/>
      <c r="J84" s="22"/>
      <c r="K84" s="22"/>
      <c r="L84" s="22"/>
      <c r="M84" s="22"/>
      <c r="N84" s="22"/>
      <c r="O84" s="22"/>
      <c r="P84" s="23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15.75" customHeight="1">
      <c r="A85" s="18"/>
      <c r="B85" s="51"/>
      <c r="C85" s="52" t="s">
        <v>72</v>
      </c>
      <c r="D85" s="53"/>
      <c r="E85" s="21">
        <f>SONGGON!AF85+BALAK!X85+SRAGI!AG85+PARANGHARJO!S85+BEDEWANG!W85+BAYU!AB85+SUMBERARUM!X85+SUMBERBULU!Q85+BANGUNSARI!O85</f>
        <v>114</v>
      </c>
      <c r="F85" s="18"/>
      <c r="G85" s="22"/>
      <c r="H85" s="22"/>
      <c r="I85" s="22"/>
      <c r="J85" s="22"/>
      <c r="K85" s="22"/>
      <c r="L85" s="22"/>
      <c r="M85" s="22"/>
      <c r="N85" s="22"/>
      <c r="O85" s="22"/>
      <c r="P85" s="23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15.75" customHeight="1">
      <c r="A86" s="18"/>
      <c r="B86" s="51"/>
      <c r="C86" s="52" t="s">
        <v>73</v>
      </c>
      <c r="D86" s="53"/>
      <c r="E86" s="21">
        <f>SONGGON!AF86+BALAK!X86+SRAGI!AG86+PARANGHARJO!S86+BEDEWANG!W86+BAYU!AB86+SUMBERARUM!X86+SUMBERBULU!Q86+BANGUNSARI!O86</f>
        <v>50</v>
      </c>
      <c r="F86" s="18"/>
      <c r="G86" s="22"/>
      <c r="H86" s="22"/>
      <c r="I86" s="22"/>
      <c r="J86" s="22"/>
      <c r="K86" s="22"/>
      <c r="L86" s="22"/>
      <c r="M86" s="22"/>
      <c r="N86" s="22"/>
      <c r="O86" s="22"/>
      <c r="P86" s="23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15.75" customHeight="1">
      <c r="A87" s="18"/>
      <c r="B87" s="51"/>
      <c r="C87" s="52" t="s">
        <v>74</v>
      </c>
      <c r="D87" s="53"/>
      <c r="E87" s="21">
        <f>SONGGON!AF87+BALAK!X87+SRAGI!AG87+PARANGHARJO!S87+BEDEWANG!W87+BAYU!AB87+SUMBERARUM!X87+SUMBERBULU!Q87+BANGUNSARI!O87</f>
        <v>137</v>
      </c>
      <c r="F87" s="18"/>
      <c r="G87" s="22"/>
      <c r="H87" s="22"/>
      <c r="I87" s="22"/>
      <c r="J87" s="22"/>
      <c r="K87" s="22"/>
      <c r="L87" s="22"/>
      <c r="M87" s="22"/>
      <c r="N87" s="22"/>
      <c r="O87" s="22"/>
      <c r="P87" s="23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15.75" customHeight="1">
      <c r="A88" s="13" t="s">
        <v>14</v>
      </c>
      <c r="B88" s="49" t="s">
        <v>45</v>
      </c>
      <c r="C88" s="8"/>
      <c r="D88" s="9"/>
      <c r="E88" s="54">
        <f>SUM(E81:E87)</f>
        <v>1725</v>
      </c>
      <c r="F88" s="16"/>
      <c r="G88" s="2"/>
      <c r="H88" s="2"/>
      <c r="I88" s="2"/>
      <c r="J88" s="2"/>
      <c r="K88" s="2"/>
      <c r="L88" s="2"/>
      <c r="M88" s="2"/>
      <c r="N88" s="2"/>
      <c r="O88" s="2"/>
      <c r="P88" s="29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5.75" customHeight="1">
      <c r="A89" s="55"/>
      <c r="B89" s="56"/>
      <c r="C89" s="56"/>
      <c r="D89" s="56"/>
      <c r="E89" s="56"/>
      <c r="F89" s="57"/>
      <c r="G89" s="58"/>
      <c r="H89" s="58"/>
      <c r="I89" s="58"/>
      <c r="J89" s="58"/>
      <c r="K89" s="58"/>
      <c r="L89" s="58"/>
      <c r="M89" s="58"/>
      <c r="N89" s="58"/>
      <c r="O89" s="58"/>
      <c r="P89" s="59"/>
      <c r="Q89" s="5"/>
      <c r="R89" s="5"/>
      <c r="S89" s="5"/>
      <c r="T89" s="5"/>
      <c r="U89" s="5"/>
      <c r="V89" s="5"/>
      <c r="W89" s="60"/>
      <c r="X89" s="5"/>
      <c r="Y89" s="5"/>
      <c r="Z89" s="5"/>
    </row>
    <row r="90" ht="15.75" customHeight="1">
      <c r="A90" s="32" t="s">
        <v>36</v>
      </c>
      <c r="B90" s="49" t="s">
        <v>75</v>
      </c>
      <c r="C90" s="50" t="s">
        <v>76</v>
      </c>
      <c r="D90" s="9"/>
      <c r="E90" s="21">
        <f>SONGGON!AF90+BALAK!X90+SRAGI!AG90+PARANGHARJO!S90+BEDEWANG!W90+BAYU!AB90+SUMBERARUM!X90+SUMBERBULU!Q90+BANGUNSARI!O90</f>
        <v>145</v>
      </c>
      <c r="F90" s="18"/>
      <c r="G90" s="22"/>
      <c r="H90" s="22"/>
      <c r="I90" s="22"/>
      <c r="J90" s="22"/>
      <c r="K90" s="22"/>
      <c r="L90" s="22"/>
      <c r="M90" s="22"/>
      <c r="N90" s="22"/>
      <c r="O90" s="22"/>
      <c r="P90" s="23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t="15.75" customHeight="1">
      <c r="A91" s="32" t="s">
        <v>38</v>
      </c>
      <c r="B91" s="51"/>
      <c r="C91" s="52"/>
      <c r="D91" s="9"/>
      <c r="E91" s="21">
        <f>SONGGON!AF91+BALAK!X91+SRAGI!AG91+PARANGHARJO!S91+BEDEWANG!W91+BAYU!AB91+SUMBERARUM!X91+SUMBERBULU!Q91+BANGUNSARI!O91</f>
        <v>0</v>
      </c>
      <c r="F91" s="18"/>
      <c r="G91" s="22"/>
      <c r="H91" s="22"/>
      <c r="I91" s="22"/>
      <c r="J91" s="22"/>
      <c r="K91" s="22"/>
      <c r="L91" s="22"/>
      <c r="M91" s="22"/>
      <c r="N91" s="22"/>
      <c r="O91" s="22"/>
      <c r="P91" s="23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15.75" customHeight="1">
      <c r="A92" s="13" t="s">
        <v>14</v>
      </c>
      <c r="B92" s="49" t="s">
        <v>45</v>
      </c>
      <c r="C92" s="8"/>
      <c r="D92" s="9"/>
      <c r="E92" s="54">
        <f>SUM(E90:E91)</f>
        <v>145</v>
      </c>
      <c r="F92" s="16"/>
      <c r="G92" s="2"/>
      <c r="H92" s="2"/>
      <c r="I92" s="2"/>
      <c r="J92" s="2"/>
      <c r="K92" s="2"/>
      <c r="L92" s="2"/>
      <c r="M92" s="2"/>
      <c r="N92" s="2"/>
      <c r="O92" s="2"/>
      <c r="P92" s="29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5.75" customHeight="1">
      <c r="A93" s="55"/>
      <c r="B93" s="56"/>
      <c r="C93" s="56"/>
      <c r="D93" s="56"/>
      <c r="E93" s="56"/>
      <c r="F93" s="57"/>
      <c r="G93" s="58"/>
      <c r="H93" s="58"/>
      <c r="I93" s="58"/>
      <c r="J93" s="58"/>
      <c r="K93" s="58"/>
      <c r="L93" s="58"/>
      <c r="M93" s="58"/>
      <c r="N93" s="58"/>
      <c r="O93" s="58"/>
      <c r="P93" s="59"/>
      <c r="Q93" s="5"/>
      <c r="R93" s="5"/>
      <c r="S93" s="5"/>
      <c r="T93" s="5"/>
      <c r="U93" s="5"/>
      <c r="V93" s="5"/>
      <c r="W93" s="60"/>
      <c r="X93" s="5"/>
      <c r="Y93" s="5"/>
      <c r="Z93" s="5"/>
    </row>
    <row r="94" ht="15.75" customHeight="1">
      <c r="A94" s="32" t="s">
        <v>36</v>
      </c>
      <c r="B94" s="49" t="s">
        <v>77</v>
      </c>
      <c r="C94" s="50" t="s">
        <v>78</v>
      </c>
      <c r="D94" s="9"/>
      <c r="E94" s="21">
        <f>SONGGON!AF94+BALAK!X94+SRAGI!AG94+PARANGHARJO!S94+BEDEWANG!W94+BAYU!AB94+SUMBERARUM!X94+SUMBERBULU!Q94+BANGUNSARI!O94</f>
        <v>60</v>
      </c>
      <c r="F94" s="18"/>
      <c r="G94" s="22"/>
      <c r="H94" s="22"/>
      <c r="I94" s="22"/>
      <c r="J94" s="22"/>
      <c r="K94" s="22"/>
      <c r="L94" s="22"/>
      <c r="M94" s="22"/>
      <c r="N94" s="22"/>
      <c r="O94" s="22"/>
      <c r="P94" s="23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15.75" customHeight="1">
      <c r="A95" s="32" t="s">
        <v>38</v>
      </c>
      <c r="B95" s="51"/>
      <c r="C95" s="52" t="s">
        <v>79</v>
      </c>
      <c r="D95" s="53"/>
      <c r="E95" s="21">
        <f>SONGGON!AF95+BALAK!X95+SRAGI!AG95+PARANGHARJO!S95+BEDEWANG!W95+BAYU!AB95+SUMBERARUM!X95+SUMBERBULU!Q95+BANGUNSARI!O95</f>
        <v>17</v>
      </c>
      <c r="F95" s="18"/>
      <c r="G95" s="22"/>
      <c r="H95" s="22"/>
      <c r="I95" s="22"/>
      <c r="J95" s="22"/>
      <c r="K95" s="22"/>
      <c r="L95" s="22"/>
      <c r="M95" s="22"/>
      <c r="N95" s="22"/>
      <c r="O95" s="22"/>
      <c r="P95" s="23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15.75" customHeight="1">
      <c r="A96" s="32"/>
      <c r="B96" s="51"/>
      <c r="C96" s="52" t="s">
        <v>80</v>
      </c>
      <c r="D96" s="53"/>
      <c r="E96" s="21">
        <f>SONGGON!AF96+BALAK!X96+SRAGI!AG96+PARANGHARJO!S96+BEDEWANG!W96+BAYU!AB96+SUMBERARUM!X96+SUMBERBULU!Q96+BANGUNSARI!O96</f>
        <v>9</v>
      </c>
      <c r="F96" s="18"/>
      <c r="G96" s="22"/>
      <c r="H96" s="22"/>
      <c r="I96" s="22"/>
      <c r="J96" s="22"/>
      <c r="K96" s="22"/>
      <c r="L96" s="22"/>
      <c r="M96" s="22"/>
      <c r="N96" s="22"/>
      <c r="O96" s="22"/>
      <c r="P96" s="23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t="15.75" customHeight="1">
      <c r="A97" s="32"/>
      <c r="B97" s="51"/>
      <c r="C97" s="52" t="s">
        <v>81</v>
      </c>
      <c r="D97" s="53"/>
      <c r="E97" s="21">
        <f>SONGGON!AF97+BALAK!X97+SRAGI!AG97+PARANGHARJO!S97+BEDEWANG!W97+BAYU!AB97+SUMBERARUM!X97+SUMBERBULU!Q97+BANGUNSARI!O97</f>
        <v>5</v>
      </c>
      <c r="F97" s="18"/>
      <c r="G97" s="22"/>
      <c r="H97" s="22"/>
      <c r="I97" s="22"/>
      <c r="J97" s="22"/>
      <c r="K97" s="22"/>
      <c r="L97" s="22"/>
      <c r="M97" s="22"/>
      <c r="N97" s="22"/>
      <c r="O97" s="22"/>
      <c r="P97" s="23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15.75" customHeight="1">
      <c r="A98" s="13" t="s">
        <v>14</v>
      </c>
      <c r="B98" s="49" t="s">
        <v>45</v>
      </c>
      <c r="C98" s="8"/>
      <c r="D98" s="9"/>
      <c r="E98" s="54">
        <f>SUM(E94:E97)</f>
        <v>91</v>
      </c>
      <c r="F98" s="16"/>
      <c r="G98" s="2"/>
      <c r="H98" s="2"/>
      <c r="I98" s="2"/>
      <c r="J98" s="2"/>
      <c r="K98" s="2"/>
      <c r="L98" s="2"/>
      <c r="M98" s="2"/>
      <c r="N98" s="2"/>
      <c r="O98" s="2"/>
      <c r="P98" s="29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5.75" customHeight="1">
      <c r="A99" s="55"/>
      <c r="B99" s="56"/>
      <c r="C99" s="56"/>
      <c r="D99" s="56"/>
      <c r="E99" s="56"/>
      <c r="F99" s="57"/>
      <c r="G99" s="58"/>
      <c r="H99" s="58"/>
      <c r="I99" s="58"/>
      <c r="J99" s="58"/>
      <c r="K99" s="58"/>
      <c r="L99" s="58"/>
      <c r="M99" s="58"/>
      <c r="N99" s="58"/>
      <c r="O99" s="58"/>
      <c r="P99" s="59"/>
      <c r="Q99" s="5"/>
      <c r="R99" s="5"/>
      <c r="S99" s="5"/>
      <c r="T99" s="5"/>
      <c r="U99" s="5"/>
      <c r="V99" s="5"/>
      <c r="W99" s="60"/>
      <c r="X99" s="5"/>
      <c r="Y99" s="5"/>
      <c r="Z99" s="5"/>
    </row>
    <row r="100" ht="15.75" customHeight="1">
      <c r="A100" s="32" t="s">
        <v>36</v>
      </c>
      <c r="B100" s="49" t="s">
        <v>82</v>
      </c>
      <c r="C100" s="50" t="s">
        <v>83</v>
      </c>
      <c r="D100" s="9"/>
      <c r="E100" s="21">
        <f>SONGGON!AF100+BALAK!X100+SRAGI!AG100+PARANGHARJO!S100+BEDEWANG!W100+BAYU!AB100+SUMBERARUM!X100+SUMBERBULU!Q100+BANGUNSARI!O100</f>
        <v>194</v>
      </c>
      <c r="F100" s="18"/>
      <c r="G100" s="22"/>
      <c r="H100" s="22"/>
      <c r="I100" s="22"/>
      <c r="J100" s="22"/>
      <c r="K100" s="22"/>
      <c r="L100" s="22"/>
      <c r="M100" s="22"/>
      <c r="N100" s="22"/>
      <c r="O100" s="22"/>
      <c r="P100" s="23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t="15.75" customHeight="1">
      <c r="A101" s="32" t="s">
        <v>38</v>
      </c>
      <c r="B101" s="51"/>
      <c r="C101" s="52" t="s">
        <v>84</v>
      </c>
      <c r="D101" s="53"/>
      <c r="E101" s="21">
        <f>SONGGON!AF101+BALAK!X101+SRAGI!AG101+PARANGHARJO!S101+BEDEWANG!W101+BAYU!AB101+SUMBERARUM!X101+SUMBERBULU!Q101+BANGUNSARI!O101</f>
        <v>1700</v>
      </c>
      <c r="F101" s="18"/>
      <c r="G101" s="22"/>
      <c r="H101" s="22"/>
      <c r="I101" s="22"/>
      <c r="J101" s="22"/>
      <c r="K101" s="22"/>
      <c r="L101" s="22"/>
      <c r="M101" s="22"/>
      <c r="N101" s="22"/>
      <c r="O101" s="22"/>
      <c r="P101" s="23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15.75" customHeight="1">
      <c r="A102" s="18"/>
      <c r="B102" s="51"/>
      <c r="C102" s="52" t="s">
        <v>85</v>
      </c>
      <c r="D102" s="53"/>
      <c r="E102" s="21">
        <f>SONGGON!AF102+BALAK!X102+SRAGI!AG102+PARANGHARJO!S102+BEDEWANG!W102+BAYU!AB102+SUMBERARUM!X102+SUMBERBULU!Q102+BANGUNSARI!O102</f>
        <v>22</v>
      </c>
      <c r="F102" s="18"/>
      <c r="G102" s="22"/>
      <c r="H102" s="22"/>
      <c r="I102" s="22"/>
      <c r="J102" s="22"/>
      <c r="K102" s="22"/>
      <c r="L102" s="22"/>
      <c r="M102" s="22"/>
      <c r="N102" s="22"/>
      <c r="O102" s="22"/>
      <c r="P102" s="23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15.75" customHeight="1">
      <c r="A103" s="18"/>
      <c r="B103" s="51"/>
      <c r="C103" s="52" t="s">
        <v>86</v>
      </c>
      <c r="D103" s="53"/>
      <c r="E103" s="21">
        <f>SONGGON!AF103+BALAK!X103+SRAGI!AG103+PARANGHARJO!S103+BEDEWANG!W103+BAYU!AB103+SUMBERARUM!X103+SUMBERBULU!Q103+BANGUNSARI!O103</f>
        <v>43</v>
      </c>
      <c r="F103" s="18"/>
      <c r="G103" s="22"/>
      <c r="H103" s="22"/>
      <c r="I103" s="22"/>
      <c r="J103" s="22"/>
      <c r="K103" s="22"/>
      <c r="L103" s="22"/>
      <c r="M103" s="22"/>
      <c r="N103" s="22"/>
      <c r="O103" s="22"/>
      <c r="P103" s="23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15.75" customHeight="1">
      <c r="A104" s="18"/>
      <c r="B104" s="51"/>
      <c r="C104" s="52" t="s">
        <v>87</v>
      </c>
      <c r="D104" s="53"/>
      <c r="E104" s="21">
        <f>SONGGON!AF104+BALAK!X104+SRAGI!AG104+PARANGHARJO!S104+BEDEWANG!W104+BAYU!AB104+SUMBERARUM!X104+SUMBERBULU!Q104+BANGUNSARI!O104</f>
        <v>56</v>
      </c>
      <c r="F104" s="18"/>
      <c r="G104" s="22"/>
      <c r="H104" s="22"/>
      <c r="I104" s="22"/>
      <c r="J104" s="22"/>
      <c r="K104" s="22"/>
      <c r="L104" s="22"/>
      <c r="M104" s="22"/>
      <c r="N104" s="22"/>
      <c r="O104" s="22"/>
      <c r="P104" s="23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ht="15.75" customHeight="1">
      <c r="A105" s="18"/>
      <c r="B105" s="51"/>
      <c r="C105" s="52" t="s">
        <v>88</v>
      </c>
      <c r="D105" s="53"/>
      <c r="E105" s="21">
        <f>SONGGON!AF105+BALAK!X105+SRAGI!AG105+PARANGHARJO!S105+BEDEWANG!W105+BAYU!AB105+SUMBERARUM!X105+SUMBERBULU!Q105+BANGUNSARI!O105</f>
        <v>9</v>
      </c>
      <c r="F105" s="18"/>
      <c r="G105" s="22"/>
      <c r="H105" s="22"/>
      <c r="I105" s="22"/>
      <c r="J105" s="22"/>
      <c r="K105" s="22"/>
      <c r="L105" s="22"/>
      <c r="M105" s="22"/>
      <c r="N105" s="22"/>
      <c r="O105" s="22"/>
      <c r="P105" s="23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t="15.75" customHeight="1">
      <c r="A106" s="18"/>
      <c r="B106" s="51"/>
      <c r="C106" s="52" t="s">
        <v>89</v>
      </c>
      <c r="D106" s="53"/>
      <c r="E106" s="21">
        <f>SONGGON!AF106+BALAK!X106+SRAGI!AG106+PARANGHARJO!S106+BEDEWANG!W106+BAYU!AB106+SUMBERARUM!X106+SUMBERBULU!Q106+BANGUNSARI!O106</f>
        <v>67</v>
      </c>
      <c r="F106" s="18"/>
      <c r="G106" s="22"/>
      <c r="H106" s="22"/>
      <c r="I106" s="22"/>
      <c r="J106" s="22"/>
      <c r="K106" s="22"/>
      <c r="L106" s="22"/>
      <c r="M106" s="22"/>
      <c r="N106" s="22"/>
      <c r="O106" s="22"/>
      <c r="P106" s="23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ht="15.75" customHeight="1">
      <c r="A107" s="13" t="s">
        <v>14</v>
      </c>
      <c r="B107" s="49" t="s">
        <v>45</v>
      </c>
      <c r="C107" s="8"/>
      <c r="D107" s="9"/>
      <c r="E107" s="54">
        <f>SUM(E100:E106)</f>
        <v>2091</v>
      </c>
      <c r="F107" s="16"/>
      <c r="G107" s="2"/>
      <c r="H107" s="2"/>
      <c r="I107" s="2"/>
      <c r="J107" s="2"/>
      <c r="K107" s="2"/>
      <c r="L107" s="2"/>
      <c r="M107" s="2"/>
      <c r="N107" s="2"/>
      <c r="O107" s="2"/>
      <c r="P107" s="29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5.75" customHeight="1">
      <c r="A108" s="55"/>
      <c r="B108" s="56"/>
      <c r="C108" s="56"/>
      <c r="D108" s="56"/>
      <c r="E108" s="56"/>
      <c r="F108" s="57"/>
      <c r="G108" s="58"/>
      <c r="H108" s="58"/>
      <c r="I108" s="58"/>
      <c r="J108" s="58"/>
      <c r="K108" s="58"/>
      <c r="L108" s="58"/>
      <c r="M108" s="58"/>
      <c r="N108" s="58"/>
      <c r="O108" s="58"/>
      <c r="P108" s="59"/>
      <c r="Q108" s="5"/>
      <c r="R108" s="5"/>
      <c r="S108" s="5"/>
      <c r="T108" s="5"/>
      <c r="U108" s="5"/>
      <c r="V108" s="5"/>
      <c r="W108" s="60"/>
      <c r="X108" s="5"/>
      <c r="Y108" s="5"/>
      <c r="Z108" s="5"/>
    </row>
    <row r="109" ht="15.75" customHeight="1">
      <c r="A109" s="32" t="s">
        <v>36</v>
      </c>
      <c r="B109" s="49" t="s">
        <v>90</v>
      </c>
      <c r="C109" s="50" t="s">
        <v>91</v>
      </c>
      <c r="D109" s="9"/>
      <c r="E109" s="21">
        <f>SONGGON!AF109+BALAK!X109+SRAGI!AG109+PARANGHARJO!S109+BEDEWANG!W109+BAYU!AB109+SUMBERARUM!X109+SUMBERBULU!Q109+BANGUNSARI!O109</f>
        <v>12</v>
      </c>
      <c r="F109" s="18"/>
      <c r="G109" s="22"/>
      <c r="H109" s="22"/>
      <c r="I109" s="22"/>
      <c r="J109" s="22"/>
      <c r="K109" s="22"/>
      <c r="L109" s="22"/>
      <c r="M109" s="22"/>
      <c r="N109" s="22"/>
      <c r="O109" s="22"/>
      <c r="P109" s="23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ht="15.75" customHeight="1">
      <c r="A110" s="32" t="s">
        <v>38</v>
      </c>
      <c r="B110" s="49"/>
      <c r="C110" s="52" t="s">
        <v>92</v>
      </c>
      <c r="D110" s="61"/>
      <c r="E110" s="21">
        <f>SONGGON!AF110+BALAK!X110+SRAGI!AG110+PARANGHARJO!S110+BEDEWANG!W110+BAYU!AB110+SUMBERARUM!X110+SUMBERBULU!Q110+BANGUNSARI!O110</f>
        <v>0</v>
      </c>
      <c r="F110" s="18"/>
      <c r="G110" s="22"/>
      <c r="H110" s="22"/>
      <c r="I110" s="22"/>
      <c r="J110" s="22"/>
      <c r="K110" s="22"/>
      <c r="L110" s="22"/>
      <c r="M110" s="22"/>
      <c r="N110" s="22"/>
      <c r="O110" s="22"/>
      <c r="P110" s="23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ht="15.75" customHeight="1">
      <c r="A111" s="13" t="s">
        <v>14</v>
      </c>
      <c r="B111" s="49" t="s">
        <v>45</v>
      </c>
      <c r="C111" s="8"/>
      <c r="D111" s="9"/>
      <c r="E111" s="54">
        <f>SUM(E109:E110)</f>
        <v>12</v>
      </c>
      <c r="F111" s="16"/>
      <c r="G111" s="2"/>
      <c r="H111" s="2"/>
      <c r="I111" s="2"/>
      <c r="J111" s="2"/>
      <c r="K111" s="2"/>
      <c r="L111" s="2"/>
      <c r="M111" s="2"/>
      <c r="N111" s="2"/>
      <c r="O111" s="2"/>
      <c r="P111" s="29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5.75" customHeight="1">
      <c r="A112" s="55"/>
      <c r="B112" s="56"/>
      <c r="C112" s="56"/>
      <c r="D112" s="56"/>
      <c r="E112" s="56"/>
      <c r="F112" s="57"/>
      <c r="G112" s="58"/>
      <c r="H112" s="58"/>
      <c r="I112" s="58"/>
      <c r="J112" s="58"/>
      <c r="K112" s="58"/>
      <c r="L112" s="58"/>
      <c r="M112" s="58"/>
      <c r="N112" s="58"/>
      <c r="O112" s="58"/>
      <c r="P112" s="59"/>
      <c r="Q112" s="5"/>
      <c r="R112" s="5"/>
      <c r="S112" s="5"/>
      <c r="T112" s="5"/>
      <c r="U112" s="5"/>
      <c r="V112" s="5"/>
      <c r="W112" s="60"/>
      <c r="X112" s="5"/>
      <c r="Y112" s="5"/>
      <c r="Z112" s="5"/>
    </row>
    <row r="113" ht="15.75" customHeight="1">
      <c r="A113" s="32" t="s">
        <v>36</v>
      </c>
      <c r="B113" s="49" t="s">
        <v>93</v>
      </c>
      <c r="C113" s="50" t="s">
        <v>94</v>
      </c>
      <c r="D113" s="9"/>
      <c r="E113" s="21">
        <f>SONGGON!AF113+BALAK!X113+SRAGI!AG113+PARANGHARJO!S113+BEDEWANG!W113+BAYU!AB113+SUMBERARUM!X113+SUMBERBULU!Q113+BANGUNSARI!O113</f>
        <v>24</v>
      </c>
      <c r="F113" s="18"/>
      <c r="G113" s="22"/>
      <c r="H113" s="22"/>
      <c r="I113" s="22"/>
      <c r="J113" s="22"/>
      <c r="K113" s="22"/>
      <c r="L113" s="22"/>
      <c r="M113" s="22"/>
      <c r="N113" s="22"/>
      <c r="O113" s="22"/>
      <c r="P113" s="23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t="15.75" customHeight="1">
      <c r="A114" s="32" t="s">
        <v>38</v>
      </c>
      <c r="B114" s="51"/>
      <c r="C114" s="52" t="s">
        <v>95</v>
      </c>
      <c r="D114" s="53"/>
      <c r="E114" s="21">
        <f>SONGGON!AF114+BALAK!X114+SRAGI!AG114+PARANGHARJO!S114+BEDEWANG!W114+BAYU!AB114+SUMBERARUM!X114+SUMBERBULU!Q114+BANGUNSARI!O114</f>
        <v>9</v>
      </c>
      <c r="F114" s="18"/>
      <c r="G114" s="22"/>
      <c r="H114" s="22"/>
      <c r="I114" s="22"/>
      <c r="J114" s="22"/>
      <c r="K114" s="22"/>
      <c r="L114" s="22"/>
      <c r="M114" s="22"/>
      <c r="N114" s="22"/>
      <c r="O114" s="22"/>
      <c r="P114" s="23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ht="15.75" customHeight="1">
      <c r="A115" s="18"/>
      <c r="B115" s="51"/>
      <c r="C115" s="52" t="s">
        <v>96</v>
      </c>
      <c r="D115" s="53"/>
      <c r="E115" s="21">
        <f>SONGGON!AF115+BALAK!X115+SRAGI!AG115+PARANGHARJO!S115+BEDEWANG!W115+BAYU!AB115+SUMBERARUM!X115+SUMBERBULU!Q115+BANGUNSARI!O115</f>
        <v>28</v>
      </c>
      <c r="F115" s="18"/>
      <c r="G115" s="22"/>
      <c r="H115" s="22"/>
      <c r="I115" s="22"/>
      <c r="J115" s="22"/>
      <c r="K115" s="22"/>
      <c r="L115" s="22"/>
      <c r="M115" s="22"/>
      <c r="N115" s="22"/>
      <c r="O115" s="22"/>
      <c r="P115" s="23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t="15.75" customHeight="1">
      <c r="A116" s="18"/>
      <c r="B116" s="51"/>
      <c r="C116" s="52" t="s">
        <v>97</v>
      </c>
      <c r="D116" s="53"/>
      <c r="E116" s="21">
        <f>SONGGON!AF116+BALAK!X116+SRAGI!AG116+PARANGHARJO!S116+BEDEWANG!W116+BAYU!AB116+SUMBERARUM!X116+SUMBERBULU!Q116+BANGUNSARI!O116</f>
        <v>195</v>
      </c>
      <c r="F116" s="18"/>
      <c r="G116" s="22"/>
      <c r="H116" s="22"/>
      <c r="I116" s="22"/>
      <c r="J116" s="22"/>
      <c r="K116" s="22"/>
      <c r="L116" s="22"/>
      <c r="M116" s="22"/>
      <c r="N116" s="22"/>
      <c r="O116" s="22"/>
      <c r="P116" s="23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ht="15.75" customHeight="1">
      <c r="A117" s="18"/>
      <c r="B117" s="51"/>
      <c r="C117" s="52" t="s">
        <v>98</v>
      </c>
      <c r="D117" s="53"/>
      <c r="E117" s="21">
        <f>SONGGON!AF117+BALAK!X117+SRAGI!AG117+PARANGHARJO!S117+BEDEWANG!W117+BAYU!AB117+SUMBERARUM!X117+SUMBERBULU!Q117+BANGUNSARI!O117</f>
        <v>16</v>
      </c>
      <c r="F117" s="18"/>
      <c r="G117" s="22"/>
      <c r="H117" s="22"/>
      <c r="I117" s="22"/>
      <c r="J117" s="22"/>
      <c r="K117" s="22"/>
      <c r="L117" s="22"/>
      <c r="M117" s="22"/>
      <c r="N117" s="22"/>
      <c r="O117" s="22"/>
      <c r="P117" s="23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t="15.75" customHeight="1">
      <c r="A118" s="18"/>
      <c r="B118" s="51"/>
      <c r="C118" s="52" t="s">
        <v>99</v>
      </c>
      <c r="D118" s="53"/>
      <c r="E118" s="21">
        <f>SONGGON!AF118+BALAK!X118+SRAGI!AG118+PARANGHARJO!S118+BEDEWANG!W118+BAYU!AB118+SUMBERARUM!X118+SUMBERBULU!Q118+BANGUNSARI!O118</f>
        <v>2</v>
      </c>
      <c r="F118" s="18"/>
      <c r="G118" s="22"/>
      <c r="H118" s="22"/>
      <c r="I118" s="22"/>
      <c r="J118" s="22"/>
      <c r="K118" s="22"/>
      <c r="L118" s="22"/>
      <c r="M118" s="22"/>
      <c r="N118" s="22"/>
      <c r="O118" s="22"/>
      <c r="P118" s="23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t="15.75" customHeight="1">
      <c r="A119" s="18"/>
      <c r="B119" s="51"/>
      <c r="C119" s="52" t="s">
        <v>100</v>
      </c>
      <c r="D119" s="53"/>
      <c r="E119" s="21">
        <f>SONGGON!AF119+BALAK!X119+SRAGI!AG119+PARANGHARJO!S119+BEDEWANG!W119+BAYU!AB119+SUMBERARUM!X119+SUMBERBULU!Q119+BANGUNSARI!O119</f>
        <v>9</v>
      </c>
      <c r="F119" s="18"/>
      <c r="G119" s="22"/>
      <c r="H119" s="22"/>
      <c r="I119" s="22"/>
      <c r="J119" s="22"/>
      <c r="K119" s="22"/>
      <c r="L119" s="22"/>
      <c r="M119" s="22"/>
      <c r="N119" s="22"/>
      <c r="O119" s="22"/>
      <c r="P119" s="23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ht="15.75" customHeight="1">
      <c r="A120" s="13" t="s">
        <v>14</v>
      </c>
      <c r="B120" s="49" t="s">
        <v>45</v>
      </c>
      <c r="C120" s="8"/>
      <c r="D120" s="9"/>
      <c r="E120" s="54">
        <f>SUM(E113:E119)</f>
        <v>283</v>
      </c>
      <c r="F120" s="16"/>
      <c r="G120" s="2"/>
      <c r="H120" s="2"/>
      <c r="I120" s="2"/>
      <c r="J120" s="2"/>
      <c r="K120" s="2"/>
      <c r="L120" s="2"/>
      <c r="M120" s="2"/>
      <c r="N120" s="2"/>
      <c r="O120" s="2"/>
      <c r="P120" s="29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5.75" customHeight="1">
      <c r="A121" s="55"/>
      <c r="B121" s="56"/>
      <c r="C121" s="56"/>
      <c r="D121" s="56"/>
      <c r="E121" s="56"/>
      <c r="F121" s="57"/>
      <c r="G121" s="58"/>
      <c r="H121" s="58"/>
      <c r="I121" s="58"/>
      <c r="J121" s="58"/>
      <c r="K121" s="58"/>
      <c r="L121" s="58"/>
      <c r="M121" s="58"/>
      <c r="N121" s="58"/>
      <c r="O121" s="58"/>
      <c r="P121" s="59"/>
      <c r="Q121" s="5"/>
      <c r="R121" s="5"/>
      <c r="S121" s="5"/>
      <c r="T121" s="5"/>
      <c r="U121" s="5"/>
      <c r="V121" s="5"/>
      <c r="W121" s="60"/>
      <c r="X121" s="5"/>
      <c r="Y121" s="5"/>
      <c r="Z121" s="5"/>
    </row>
    <row r="122" ht="15.75" customHeight="1">
      <c r="A122" s="32" t="s">
        <v>36</v>
      </c>
      <c r="B122" s="49" t="s">
        <v>101</v>
      </c>
      <c r="C122" s="50" t="s">
        <v>102</v>
      </c>
      <c r="D122" s="9"/>
      <c r="E122" s="21">
        <f>SONGGON!AF122+BALAK!X122+SRAGI!AG122+PARANGHARJO!S122+BEDEWANG!W122+BAYU!AB122+SUMBERARUM!X122+SUMBERBULU!Q122+BANGUNSARI!O122</f>
        <v>41</v>
      </c>
      <c r="F122" s="18"/>
      <c r="G122" s="22"/>
      <c r="H122" s="22"/>
      <c r="I122" s="22"/>
      <c r="J122" s="22"/>
      <c r="K122" s="22"/>
      <c r="L122" s="22"/>
      <c r="M122" s="22"/>
      <c r="N122" s="22"/>
      <c r="O122" s="22"/>
      <c r="P122" s="23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ht="15.75" customHeight="1">
      <c r="A123" s="32" t="s">
        <v>38</v>
      </c>
      <c r="B123" s="51"/>
      <c r="C123" s="52"/>
      <c r="D123" s="53"/>
      <c r="E123" s="21">
        <f>SONGGON!AF123+BALAK!X123+SRAGI!AG123+PARANGHARJO!S123+BEDEWANG!W123+BAYU!AB123+SUMBERARUM!X123+SUMBERBULU!Q123+BANGUNSARI!O123</f>
        <v>0</v>
      </c>
      <c r="F123" s="18"/>
      <c r="G123" s="22"/>
      <c r="H123" s="22"/>
      <c r="I123" s="22"/>
      <c r="J123" s="22"/>
      <c r="K123" s="22"/>
      <c r="L123" s="22"/>
      <c r="M123" s="22"/>
      <c r="N123" s="22"/>
      <c r="O123" s="22"/>
      <c r="P123" s="23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ht="15.75" customHeight="1">
      <c r="A124" s="13" t="s">
        <v>14</v>
      </c>
      <c r="B124" s="49" t="s">
        <v>45</v>
      </c>
      <c r="C124" s="8"/>
      <c r="D124" s="9"/>
      <c r="E124" s="54">
        <f>SUM(E122:E123)</f>
        <v>41</v>
      </c>
      <c r="F124" s="16"/>
      <c r="G124" s="2"/>
      <c r="H124" s="2"/>
      <c r="I124" s="2"/>
      <c r="J124" s="2"/>
      <c r="K124" s="2"/>
      <c r="L124" s="2"/>
      <c r="M124" s="2"/>
      <c r="N124" s="2"/>
      <c r="O124" s="2"/>
      <c r="P124" s="29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5.75" customHeight="1">
      <c r="A125" s="55"/>
      <c r="B125" s="56"/>
      <c r="C125" s="56"/>
      <c r="D125" s="56"/>
      <c r="E125" s="56"/>
      <c r="F125" s="57"/>
      <c r="G125" s="58"/>
      <c r="H125" s="58"/>
      <c r="I125" s="58"/>
      <c r="J125" s="58"/>
      <c r="K125" s="58"/>
      <c r="L125" s="58"/>
      <c r="M125" s="58"/>
      <c r="N125" s="58"/>
      <c r="O125" s="58"/>
      <c r="P125" s="59"/>
      <c r="Q125" s="5"/>
      <c r="R125" s="5"/>
      <c r="S125" s="5"/>
      <c r="T125" s="5"/>
      <c r="U125" s="5"/>
      <c r="V125" s="5"/>
      <c r="W125" s="60"/>
      <c r="X125" s="5"/>
      <c r="Y125" s="5"/>
      <c r="Z125" s="5"/>
    </row>
    <row r="126" ht="15.75" customHeight="1">
      <c r="A126" s="32" t="s">
        <v>36</v>
      </c>
      <c r="B126" s="49" t="s">
        <v>103</v>
      </c>
      <c r="C126" s="50" t="s">
        <v>104</v>
      </c>
      <c r="D126" s="9"/>
      <c r="E126" s="21">
        <f>SONGGON!AF126+BALAK!X126+SRAGI!AG126+PARANGHARJO!S126+BEDEWANG!W126+BAYU!AB126+SUMBERARUM!X126+SUMBERBULU!Q126+BANGUNSARI!O126</f>
        <v>35</v>
      </c>
      <c r="F126" s="18"/>
      <c r="G126" s="22"/>
      <c r="H126" s="22"/>
      <c r="I126" s="22"/>
      <c r="J126" s="22"/>
      <c r="K126" s="22"/>
      <c r="L126" s="22"/>
      <c r="M126" s="22"/>
      <c r="N126" s="22"/>
      <c r="O126" s="22"/>
      <c r="P126" s="23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ht="15.75" customHeight="1">
      <c r="A127" s="32" t="s">
        <v>38</v>
      </c>
      <c r="B127" s="51"/>
      <c r="C127" s="52" t="s">
        <v>105</v>
      </c>
      <c r="D127" s="53"/>
      <c r="E127" s="21">
        <f>SONGGON!AF127+BALAK!X127+SRAGI!AG127+PARANGHARJO!S127+BEDEWANG!W127+BAYU!AB127+SUMBERARUM!X127+SUMBERBULU!Q127+BANGUNSARI!O127</f>
        <v>26</v>
      </c>
      <c r="F127" s="18"/>
      <c r="G127" s="22"/>
      <c r="H127" s="22"/>
      <c r="I127" s="22"/>
      <c r="J127" s="22"/>
      <c r="K127" s="22"/>
      <c r="L127" s="22"/>
      <c r="M127" s="22"/>
      <c r="N127" s="22"/>
      <c r="O127" s="22"/>
      <c r="P127" s="23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ht="15.75" customHeight="1">
      <c r="A128" s="18"/>
      <c r="B128" s="51"/>
      <c r="C128" s="52" t="s">
        <v>106</v>
      </c>
      <c r="D128" s="53"/>
      <c r="E128" s="21">
        <f>SONGGON!AF128+BALAK!X128+SRAGI!AG128+PARANGHARJO!S128+BEDEWANG!W128+BAYU!AB128+SUMBERARUM!X128+SUMBERBULU!Q128+BANGUNSARI!O128</f>
        <v>12</v>
      </c>
      <c r="F128" s="18"/>
      <c r="G128" s="22"/>
      <c r="H128" s="22"/>
      <c r="I128" s="22"/>
      <c r="J128" s="22"/>
      <c r="K128" s="22"/>
      <c r="L128" s="22"/>
      <c r="M128" s="22"/>
      <c r="N128" s="22"/>
      <c r="O128" s="22"/>
      <c r="P128" s="23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ht="15.75" customHeight="1">
      <c r="A129" s="18"/>
      <c r="B129" s="51"/>
      <c r="C129" s="52" t="s">
        <v>107</v>
      </c>
      <c r="D129" s="53"/>
      <c r="E129" s="21">
        <f>SONGGON!AF129+BALAK!X129+SRAGI!AG129+PARANGHARJO!S129+BEDEWANG!W129+BAYU!AB129+SUMBERARUM!X129+SUMBERBULU!Q129+BANGUNSARI!O129</f>
        <v>17</v>
      </c>
      <c r="F129" s="18"/>
      <c r="G129" s="22"/>
      <c r="H129" s="22"/>
      <c r="I129" s="22"/>
      <c r="J129" s="22"/>
      <c r="K129" s="22"/>
      <c r="L129" s="22"/>
      <c r="M129" s="22"/>
      <c r="N129" s="22"/>
      <c r="O129" s="22"/>
      <c r="P129" s="23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ht="15.75" customHeight="1">
      <c r="A130" s="18"/>
      <c r="B130" s="51"/>
      <c r="C130" s="52" t="s">
        <v>108</v>
      </c>
      <c r="D130" s="53"/>
      <c r="E130" s="21">
        <f>SONGGON!AF130+BALAK!X130+SRAGI!AG130+PARANGHARJO!S130+BEDEWANG!W130+BAYU!AB130+SUMBERARUM!X130+SUMBERBULU!Q130+BANGUNSARI!O130</f>
        <v>0</v>
      </c>
      <c r="F130" s="18"/>
      <c r="G130" s="22"/>
      <c r="H130" s="22"/>
      <c r="I130" s="22"/>
      <c r="J130" s="22"/>
      <c r="K130" s="22"/>
      <c r="L130" s="22"/>
      <c r="M130" s="22"/>
      <c r="N130" s="22"/>
      <c r="O130" s="22"/>
      <c r="P130" s="23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ht="15.75" customHeight="1">
      <c r="A131" s="13" t="s">
        <v>14</v>
      </c>
      <c r="B131" s="49" t="s">
        <v>45</v>
      </c>
      <c r="C131" s="8"/>
      <c r="D131" s="9"/>
      <c r="E131" s="54">
        <f>SUM(E126:E130)</f>
        <v>90</v>
      </c>
      <c r="F131" s="16"/>
      <c r="G131" s="2"/>
      <c r="H131" s="2"/>
      <c r="I131" s="2"/>
      <c r="J131" s="2"/>
      <c r="K131" s="2"/>
      <c r="L131" s="2"/>
      <c r="M131" s="2"/>
      <c r="N131" s="2"/>
      <c r="O131" s="2"/>
      <c r="P131" s="29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5.75" customHeight="1">
      <c r="A132" s="55"/>
      <c r="B132" s="56"/>
      <c r="C132" s="56"/>
      <c r="D132" s="56"/>
      <c r="E132" s="56"/>
      <c r="F132" s="57"/>
      <c r="G132" s="58"/>
      <c r="H132" s="58"/>
      <c r="I132" s="58"/>
      <c r="J132" s="58"/>
      <c r="K132" s="58"/>
      <c r="L132" s="58"/>
      <c r="M132" s="58"/>
      <c r="N132" s="58"/>
      <c r="O132" s="58"/>
      <c r="P132" s="59"/>
      <c r="Q132" s="5"/>
      <c r="R132" s="5"/>
      <c r="S132" s="5"/>
      <c r="T132" s="5"/>
      <c r="U132" s="5"/>
      <c r="V132" s="5"/>
      <c r="W132" s="60"/>
      <c r="X132" s="5"/>
      <c r="Y132" s="5"/>
      <c r="Z132" s="5"/>
    </row>
    <row r="133" ht="15.75" customHeight="1">
      <c r="A133" s="32" t="s">
        <v>36</v>
      </c>
      <c r="B133" s="49" t="s">
        <v>109</v>
      </c>
      <c r="C133" s="50" t="s">
        <v>110</v>
      </c>
      <c r="D133" s="9"/>
      <c r="E133" s="21">
        <f>SONGGON!AF133+BALAK!X133+SRAGI!AG133+PARANGHARJO!S133+BEDEWANG!W133+BAYU!AB133+SUMBERARUM!X133+SUMBERBULU!Q133+BANGUNSARI!O133</f>
        <v>16</v>
      </c>
      <c r="F133" s="18"/>
      <c r="G133" s="22"/>
      <c r="H133" s="22"/>
      <c r="I133" s="22"/>
      <c r="J133" s="22"/>
      <c r="K133" s="22"/>
      <c r="L133" s="22"/>
      <c r="M133" s="22"/>
      <c r="N133" s="22"/>
      <c r="O133" s="22"/>
      <c r="P133" s="23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ht="15.75" customHeight="1">
      <c r="A134" s="32" t="s">
        <v>38</v>
      </c>
      <c r="B134" s="51"/>
      <c r="C134" s="52" t="s">
        <v>111</v>
      </c>
      <c r="D134" s="53"/>
      <c r="E134" s="21">
        <f>SONGGON!AF134+BALAK!X134+SRAGI!AG134+PARANGHARJO!S134+BEDEWANG!W134+BAYU!AB134+SUMBERARUM!X134+SUMBERBULU!Q134+BANGUNSARI!O134</f>
        <v>5</v>
      </c>
      <c r="F134" s="18"/>
      <c r="G134" s="22"/>
      <c r="H134" s="22"/>
      <c r="I134" s="22"/>
      <c r="J134" s="22"/>
      <c r="K134" s="22"/>
      <c r="L134" s="22"/>
      <c r="M134" s="22"/>
      <c r="N134" s="22"/>
      <c r="O134" s="22"/>
      <c r="P134" s="23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ht="15.75" customHeight="1">
      <c r="A135" s="18"/>
      <c r="B135" s="51"/>
      <c r="C135" s="52" t="s">
        <v>112</v>
      </c>
      <c r="D135" s="53"/>
      <c r="E135" s="21">
        <f>SONGGON!AF135+BALAK!X135+SRAGI!AG135+PARANGHARJO!S135+BEDEWANG!W135+BAYU!AB135+SUMBERARUM!X135+SUMBERBULU!Q135+BANGUNSARI!O135</f>
        <v>2</v>
      </c>
      <c r="F135" s="18"/>
      <c r="G135" s="22"/>
      <c r="H135" s="22"/>
      <c r="I135" s="22"/>
      <c r="J135" s="22"/>
      <c r="K135" s="22"/>
      <c r="L135" s="22"/>
      <c r="M135" s="22"/>
      <c r="N135" s="22"/>
      <c r="O135" s="22"/>
      <c r="P135" s="23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ht="15.75" customHeight="1">
      <c r="A136" s="18"/>
      <c r="B136" s="51"/>
      <c r="C136" s="52" t="s">
        <v>113</v>
      </c>
      <c r="D136" s="53"/>
      <c r="E136" s="21">
        <f>SONGGON!AF136+BALAK!X136+SRAGI!AG136+PARANGHARJO!S136+BEDEWANG!W136+BAYU!AB136+SUMBERARUM!X136+SUMBERBULU!Q136+BANGUNSARI!O136</f>
        <v>0</v>
      </c>
      <c r="F136" s="18"/>
      <c r="G136" s="22"/>
      <c r="H136" s="22"/>
      <c r="I136" s="22"/>
      <c r="J136" s="22"/>
      <c r="K136" s="22"/>
      <c r="L136" s="22"/>
      <c r="M136" s="22"/>
      <c r="N136" s="22"/>
      <c r="O136" s="22"/>
      <c r="P136" s="23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ht="15.75" customHeight="1">
      <c r="A137" s="18"/>
      <c r="B137" s="51"/>
      <c r="C137" s="52" t="s">
        <v>114</v>
      </c>
      <c r="D137" s="53"/>
      <c r="E137" s="21">
        <f>SONGGON!AF137+BALAK!X137+SRAGI!AG137+PARANGHARJO!S137+BEDEWANG!W137+BAYU!AB137+SUMBERARUM!X137+SUMBERBULU!Q137+BANGUNSARI!O137</f>
        <v>2</v>
      </c>
      <c r="F137" s="18"/>
      <c r="G137" s="22"/>
      <c r="H137" s="22"/>
      <c r="I137" s="22"/>
      <c r="J137" s="22"/>
      <c r="K137" s="22"/>
      <c r="L137" s="22"/>
      <c r="M137" s="22"/>
      <c r="N137" s="22"/>
      <c r="O137" s="22"/>
      <c r="P137" s="23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ht="15.75" customHeight="1">
      <c r="A138" s="18"/>
      <c r="B138" s="51"/>
      <c r="C138" s="52" t="s">
        <v>115</v>
      </c>
      <c r="D138" s="53"/>
      <c r="E138" s="21">
        <f>SONGGON!AF138+BALAK!X138+SRAGI!AG138+PARANGHARJO!S138+BEDEWANG!W138+BAYU!AB138+SUMBERARUM!X138+SUMBERBULU!Q138+BANGUNSARI!O138</f>
        <v>1</v>
      </c>
      <c r="F138" s="18"/>
      <c r="G138" s="22"/>
      <c r="H138" s="22"/>
      <c r="I138" s="22"/>
      <c r="J138" s="22"/>
      <c r="K138" s="22"/>
      <c r="L138" s="22"/>
      <c r="M138" s="22"/>
      <c r="N138" s="22"/>
      <c r="O138" s="22"/>
      <c r="P138" s="23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ht="15.75" customHeight="1">
      <c r="A139" s="18"/>
      <c r="B139" s="51"/>
      <c r="C139" s="52" t="s">
        <v>116</v>
      </c>
      <c r="D139" s="53"/>
      <c r="E139" s="21">
        <f>SONGGON!AF139+BALAK!X139+SRAGI!AG139+PARANGHARJO!S139+BEDEWANG!W139+BAYU!AB139+SUMBERARUM!X139+SUMBERBULU!Q139+BANGUNSARI!O139</f>
        <v>1</v>
      </c>
      <c r="F139" s="18"/>
      <c r="G139" s="22"/>
      <c r="H139" s="22"/>
      <c r="I139" s="22"/>
      <c r="J139" s="22"/>
      <c r="K139" s="22"/>
      <c r="L139" s="22"/>
      <c r="M139" s="22"/>
      <c r="N139" s="22"/>
      <c r="O139" s="22"/>
      <c r="P139" s="23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t="15.75" customHeight="1">
      <c r="A140" s="13" t="s">
        <v>14</v>
      </c>
      <c r="B140" s="49" t="s">
        <v>45</v>
      </c>
      <c r="C140" s="8"/>
      <c r="D140" s="9"/>
      <c r="E140" s="54">
        <f>SUM(E133:E139)</f>
        <v>27</v>
      </c>
      <c r="F140" s="16"/>
      <c r="G140" s="2"/>
      <c r="H140" s="2"/>
      <c r="I140" s="2"/>
      <c r="J140" s="2"/>
      <c r="K140" s="2"/>
      <c r="L140" s="2"/>
      <c r="M140" s="2"/>
      <c r="N140" s="2"/>
      <c r="O140" s="2"/>
      <c r="P140" s="29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5.75" customHeight="1">
      <c r="A141" s="55"/>
      <c r="B141" s="56"/>
      <c r="C141" s="56"/>
      <c r="D141" s="56"/>
      <c r="E141" s="56"/>
      <c r="F141" s="57"/>
      <c r="G141" s="58"/>
      <c r="H141" s="58"/>
      <c r="I141" s="58"/>
      <c r="J141" s="58"/>
      <c r="K141" s="58"/>
      <c r="L141" s="58"/>
      <c r="M141" s="58"/>
      <c r="N141" s="58"/>
      <c r="O141" s="58"/>
      <c r="P141" s="59"/>
      <c r="Q141" s="5"/>
      <c r="R141" s="5"/>
      <c r="S141" s="5"/>
      <c r="T141" s="5"/>
      <c r="U141" s="5"/>
      <c r="V141" s="5"/>
      <c r="W141" s="60"/>
      <c r="X141" s="5"/>
      <c r="Y141" s="5"/>
      <c r="Z141" s="5"/>
    </row>
    <row r="142" ht="15.75" customHeight="1">
      <c r="A142" s="32" t="s">
        <v>36</v>
      </c>
      <c r="B142" s="49" t="s">
        <v>117</v>
      </c>
      <c r="C142" s="50" t="s">
        <v>118</v>
      </c>
      <c r="D142" s="9"/>
      <c r="E142" s="21">
        <f>SONGGON!AF142+BALAK!X142+SRAGI!AG142+PARANGHARJO!S142+BEDEWANG!W142+BAYU!AB142+SUMBERARUM!X142+SUMBERBULU!Q142+BANGUNSARI!O142</f>
        <v>367</v>
      </c>
      <c r="F142" s="18"/>
      <c r="G142" s="22"/>
      <c r="H142" s="22"/>
      <c r="I142" s="22"/>
      <c r="J142" s="22"/>
      <c r="K142" s="22"/>
      <c r="L142" s="22"/>
      <c r="M142" s="22"/>
      <c r="N142" s="22"/>
      <c r="O142" s="22"/>
      <c r="P142" s="23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ht="15.75" customHeight="1">
      <c r="A143" s="32" t="s">
        <v>38</v>
      </c>
      <c r="B143" s="51"/>
      <c r="C143" s="52" t="s">
        <v>119</v>
      </c>
      <c r="D143" s="53"/>
      <c r="E143" s="21">
        <f>SONGGON!AF143+BALAK!X143+SRAGI!AG143+PARANGHARJO!S143+BEDEWANG!W143+BAYU!AB143+SUMBERARUM!X143+SUMBERBULU!Q143+BANGUNSARI!O143</f>
        <v>1988</v>
      </c>
      <c r="F143" s="18"/>
      <c r="G143" s="22"/>
      <c r="H143" s="22"/>
      <c r="I143" s="22"/>
      <c r="J143" s="22"/>
      <c r="K143" s="22"/>
      <c r="L143" s="22"/>
      <c r="M143" s="22"/>
      <c r="N143" s="22"/>
      <c r="O143" s="22"/>
      <c r="P143" s="23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ht="15.75" customHeight="1">
      <c r="A144" s="18"/>
      <c r="B144" s="51"/>
      <c r="C144" s="52" t="s">
        <v>120</v>
      </c>
      <c r="D144" s="53"/>
      <c r="E144" s="21">
        <f>SONGGON!AF144+BALAK!X144+SRAGI!AG144+PARANGHARJO!S144+BEDEWANG!W144+BAYU!AB144+SUMBERARUM!X144+SUMBERBULU!Q144+BANGUNSARI!O144</f>
        <v>432</v>
      </c>
      <c r="F144" s="18"/>
      <c r="G144" s="22"/>
      <c r="H144" s="22"/>
      <c r="I144" s="22"/>
      <c r="J144" s="22"/>
      <c r="K144" s="22"/>
      <c r="L144" s="22"/>
      <c r="M144" s="22"/>
      <c r="N144" s="22"/>
      <c r="O144" s="22"/>
      <c r="P144" s="23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ht="15.75" customHeight="1">
      <c r="A145" s="18"/>
      <c r="B145" s="51"/>
      <c r="C145" s="52" t="s">
        <v>121</v>
      </c>
      <c r="D145" s="53"/>
      <c r="E145" s="21">
        <f>SONGGON!AF145+BALAK!X145+SRAGI!AG145+PARANGHARJO!S145+BEDEWANG!W145+BAYU!AB145+SUMBERARUM!X145+SUMBERBULU!Q145+BANGUNSARI!O145</f>
        <v>22</v>
      </c>
      <c r="F145" s="18"/>
      <c r="G145" s="22"/>
      <c r="H145" s="22"/>
      <c r="I145" s="22"/>
      <c r="J145" s="22"/>
      <c r="K145" s="22"/>
      <c r="L145" s="22"/>
      <c r="M145" s="22"/>
      <c r="N145" s="22"/>
      <c r="O145" s="22"/>
      <c r="P145" s="23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ht="15.75" customHeight="1">
      <c r="A146" s="18"/>
      <c r="B146" s="51"/>
      <c r="C146" s="52" t="s">
        <v>122</v>
      </c>
      <c r="D146" s="53"/>
      <c r="E146" s="21">
        <f>SONGGON!AF146+BALAK!X146+SRAGI!AG146+PARANGHARJO!S146+BEDEWANG!W146+BAYU!AB146+SUMBERARUM!X146+SUMBERBULU!Q146+BANGUNSARI!O146</f>
        <v>62</v>
      </c>
      <c r="F146" s="18"/>
      <c r="G146" s="22"/>
      <c r="H146" s="22"/>
      <c r="I146" s="22"/>
      <c r="J146" s="22"/>
      <c r="K146" s="22"/>
      <c r="L146" s="22"/>
      <c r="M146" s="22"/>
      <c r="N146" s="22"/>
      <c r="O146" s="22"/>
      <c r="P146" s="23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ht="15.75" customHeight="1">
      <c r="A147" s="18"/>
      <c r="B147" s="51"/>
      <c r="C147" s="52" t="s">
        <v>123</v>
      </c>
      <c r="D147" s="53"/>
      <c r="E147" s="21">
        <f>SONGGON!AF147+BALAK!X147+SRAGI!AG147+PARANGHARJO!S147+BEDEWANG!W147+BAYU!AB147+SUMBERARUM!X147+SUMBERBULU!Q147+BANGUNSARI!O147</f>
        <v>12</v>
      </c>
      <c r="F147" s="18"/>
      <c r="G147" s="22"/>
      <c r="H147" s="22"/>
      <c r="I147" s="22"/>
      <c r="J147" s="22"/>
      <c r="K147" s="22"/>
      <c r="L147" s="22"/>
      <c r="M147" s="22"/>
      <c r="N147" s="22"/>
      <c r="O147" s="22"/>
      <c r="P147" s="23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ht="15.75" customHeight="1">
      <c r="A148" s="18"/>
      <c r="B148" s="51"/>
      <c r="C148" s="52" t="s">
        <v>124</v>
      </c>
      <c r="D148" s="53"/>
      <c r="E148" s="21">
        <f>SONGGON!AF148+BALAK!X148+SRAGI!AG148+PARANGHARJO!S148+BEDEWANG!W148+BAYU!AB148+SUMBERARUM!X148+SUMBERBULU!Q148+BANGUNSARI!O148</f>
        <v>11</v>
      </c>
      <c r="F148" s="18"/>
      <c r="G148" s="22"/>
      <c r="H148" s="22"/>
      <c r="I148" s="22"/>
      <c r="J148" s="22"/>
      <c r="K148" s="22"/>
      <c r="L148" s="22"/>
      <c r="M148" s="22"/>
      <c r="N148" s="22"/>
      <c r="O148" s="22"/>
      <c r="P148" s="23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ht="15.75" customHeight="1">
      <c r="A149" s="13" t="s">
        <v>14</v>
      </c>
      <c r="B149" s="49" t="s">
        <v>45</v>
      </c>
      <c r="C149" s="8"/>
      <c r="D149" s="9"/>
      <c r="E149" s="54">
        <f>SUM(E142:E148)</f>
        <v>2894</v>
      </c>
      <c r="F149" s="16"/>
      <c r="G149" s="2"/>
      <c r="H149" s="2"/>
      <c r="I149" s="2"/>
      <c r="J149" s="2"/>
      <c r="K149" s="2"/>
      <c r="L149" s="2"/>
      <c r="M149" s="2"/>
      <c r="N149" s="2"/>
      <c r="O149" s="2"/>
      <c r="P149" s="29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5.75" customHeight="1">
      <c r="A150" s="55"/>
      <c r="B150" s="56"/>
      <c r="C150" s="56"/>
      <c r="D150" s="56"/>
      <c r="E150" s="56"/>
      <c r="F150" s="57"/>
      <c r="G150" s="58"/>
      <c r="H150" s="58"/>
      <c r="I150" s="58"/>
      <c r="J150" s="58"/>
      <c r="K150" s="58"/>
      <c r="L150" s="58"/>
      <c r="M150" s="58"/>
      <c r="N150" s="58"/>
      <c r="O150" s="58"/>
      <c r="P150" s="59"/>
      <c r="Q150" s="5"/>
      <c r="R150" s="5"/>
      <c r="S150" s="5"/>
      <c r="T150" s="5"/>
      <c r="U150" s="5"/>
      <c r="V150" s="5"/>
      <c r="W150" s="60"/>
      <c r="X150" s="5"/>
      <c r="Y150" s="5"/>
      <c r="Z150" s="5"/>
    </row>
    <row r="151" ht="15.75" customHeight="1">
      <c r="A151" s="32" t="s">
        <v>36</v>
      </c>
      <c r="B151" s="49" t="s">
        <v>125</v>
      </c>
      <c r="C151" s="50" t="s">
        <v>126</v>
      </c>
      <c r="D151" s="9"/>
      <c r="E151" s="21">
        <f>SONGGON!AF151+BALAK!X151+SRAGI!AG151+PARANGHARJO!S151+BEDEWANG!W151+BAYU!AB151+SUMBERARUM!X151+SUMBERBULU!Q151+BANGUNSARI!O151</f>
        <v>77</v>
      </c>
      <c r="F151" s="18"/>
      <c r="G151" s="22"/>
      <c r="H151" s="22"/>
      <c r="I151" s="22"/>
      <c r="J151" s="22"/>
      <c r="K151" s="22"/>
      <c r="L151" s="22"/>
      <c r="M151" s="22"/>
      <c r="N151" s="22"/>
      <c r="O151" s="22"/>
      <c r="P151" s="23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ht="15.75" customHeight="1">
      <c r="A152" s="32" t="s">
        <v>38</v>
      </c>
      <c r="B152" s="51"/>
      <c r="C152" s="52" t="s">
        <v>127</v>
      </c>
      <c r="D152" s="53"/>
      <c r="E152" s="21">
        <f>SONGGON!AF152+BALAK!X152+SRAGI!AG152+PARANGHARJO!S152+BEDEWANG!W152+BAYU!AB152+SUMBERARUM!X152+SUMBERBULU!Q152+BANGUNSARI!O152</f>
        <v>95</v>
      </c>
      <c r="F152" s="18"/>
      <c r="G152" s="22"/>
      <c r="H152" s="22"/>
      <c r="I152" s="22"/>
      <c r="J152" s="22"/>
      <c r="K152" s="22"/>
      <c r="L152" s="22"/>
      <c r="M152" s="22"/>
      <c r="N152" s="22"/>
      <c r="O152" s="22"/>
      <c r="P152" s="23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ht="15.75" customHeight="1">
      <c r="A153" s="13" t="s">
        <v>14</v>
      </c>
      <c r="B153" s="49" t="s">
        <v>45</v>
      </c>
      <c r="C153" s="8"/>
      <c r="D153" s="9"/>
      <c r="E153" s="54">
        <f>SUM(E151:E152)</f>
        <v>172</v>
      </c>
      <c r="F153" s="16"/>
      <c r="G153" s="2"/>
      <c r="H153" s="2"/>
      <c r="I153" s="2"/>
      <c r="J153" s="2"/>
      <c r="K153" s="2"/>
      <c r="L153" s="2"/>
      <c r="M153" s="2"/>
      <c r="N153" s="2"/>
      <c r="O153" s="2"/>
      <c r="P153" s="29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5.75" customHeight="1">
      <c r="A154" s="55"/>
      <c r="B154" s="56"/>
      <c r="C154" s="56"/>
      <c r="D154" s="56"/>
      <c r="E154" s="56"/>
      <c r="F154" s="57"/>
      <c r="G154" s="58"/>
      <c r="H154" s="58"/>
      <c r="I154" s="58"/>
      <c r="J154" s="58"/>
      <c r="K154" s="58"/>
      <c r="L154" s="58"/>
      <c r="M154" s="58"/>
      <c r="N154" s="58"/>
      <c r="O154" s="58"/>
      <c r="P154" s="59"/>
      <c r="Q154" s="5"/>
      <c r="R154" s="5"/>
      <c r="S154" s="5"/>
      <c r="T154" s="5"/>
      <c r="U154" s="5"/>
      <c r="V154" s="5"/>
      <c r="W154" s="60"/>
      <c r="X154" s="5"/>
      <c r="Y154" s="5"/>
      <c r="Z154" s="5"/>
    </row>
    <row r="155" ht="15.75" customHeight="1">
      <c r="A155" s="32" t="s">
        <v>36</v>
      </c>
      <c r="B155" s="49" t="s">
        <v>128</v>
      </c>
      <c r="C155" s="50" t="s">
        <v>129</v>
      </c>
      <c r="D155" s="9"/>
      <c r="E155" s="21">
        <f>SONGGON!AF155+BALAK!X155+SRAGI!AG155+PARANGHARJO!S155+BEDEWANG!W155+BAYU!AB155+SUMBERARUM!X155+SUMBERBULU!Q155+BANGUNSARI!O155</f>
        <v>19</v>
      </c>
      <c r="F155" s="18"/>
      <c r="G155" s="22"/>
      <c r="H155" s="22"/>
      <c r="I155" s="22"/>
      <c r="J155" s="22"/>
      <c r="K155" s="22"/>
      <c r="L155" s="22"/>
      <c r="M155" s="22"/>
      <c r="N155" s="22"/>
      <c r="O155" s="22"/>
      <c r="P155" s="23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ht="15.75" customHeight="1">
      <c r="A156" s="32"/>
      <c r="B156" s="49"/>
      <c r="C156" s="52" t="s">
        <v>130</v>
      </c>
      <c r="D156" s="61"/>
      <c r="E156" s="21">
        <f>SONGGON!AF156+BALAK!X156+SRAGI!AG156+PARANGHARJO!S156+BEDEWANG!W156+BAYU!AB156+SUMBERARUM!X156+SUMBERBULU!Q156+BANGUNSARI!O156</f>
        <v>40</v>
      </c>
      <c r="F156" s="18"/>
      <c r="G156" s="22"/>
      <c r="H156" s="22"/>
      <c r="I156" s="22"/>
      <c r="J156" s="22"/>
      <c r="K156" s="22"/>
      <c r="L156" s="22"/>
      <c r="M156" s="22"/>
      <c r="N156" s="22"/>
      <c r="O156" s="22"/>
      <c r="P156" s="23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ht="15.75" customHeight="1">
      <c r="A157" s="32"/>
      <c r="B157" s="49"/>
      <c r="C157" s="52" t="s">
        <v>131</v>
      </c>
      <c r="D157" s="61"/>
      <c r="E157" s="21">
        <f>SONGGON!AF157+BALAK!X157+SRAGI!AG157+PARANGHARJO!S157+BEDEWANG!W157+BAYU!AB157+SUMBERARUM!X157+SUMBERBULU!Q157+BANGUNSARI!O157</f>
        <v>6</v>
      </c>
      <c r="F157" s="18"/>
      <c r="G157" s="22"/>
      <c r="H157" s="22"/>
      <c r="I157" s="22"/>
      <c r="J157" s="22"/>
      <c r="K157" s="22"/>
      <c r="L157" s="22"/>
      <c r="M157" s="22"/>
      <c r="N157" s="22"/>
      <c r="O157" s="22"/>
      <c r="P157" s="23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ht="15.75" customHeight="1">
      <c r="A158" s="32"/>
      <c r="B158" s="49"/>
      <c r="C158" s="52" t="s">
        <v>132</v>
      </c>
      <c r="D158" s="61"/>
      <c r="E158" s="21">
        <f>SONGGON!AF158+BALAK!X158+SRAGI!AG158+PARANGHARJO!S158+BEDEWANG!W158+BAYU!AB158+SUMBERARUM!X158+SUMBERBULU!Q158+BANGUNSARI!O158</f>
        <v>4</v>
      </c>
      <c r="F158" s="18"/>
      <c r="G158" s="22"/>
      <c r="H158" s="22"/>
      <c r="I158" s="22"/>
      <c r="J158" s="22"/>
      <c r="K158" s="22"/>
      <c r="L158" s="22"/>
      <c r="M158" s="22"/>
      <c r="N158" s="22"/>
      <c r="O158" s="22"/>
      <c r="P158" s="23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ht="15.75" customHeight="1">
      <c r="A159" s="13" t="s">
        <v>14</v>
      </c>
      <c r="B159" s="49" t="s">
        <v>45</v>
      </c>
      <c r="C159" s="8"/>
      <c r="D159" s="9"/>
      <c r="E159" s="54">
        <f>SUM(E155:E158)</f>
        <v>69</v>
      </c>
      <c r="F159" s="16"/>
      <c r="G159" s="2"/>
      <c r="H159" s="2"/>
      <c r="I159" s="2"/>
      <c r="J159" s="2"/>
      <c r="K159" s="2"/>
      <c r="L159" s="2"/>
      <c r="M159" s="2"/>
      <c r="N159" s="2"/>
      <c r="O159" s="2"/>
      <c r="P159" s="29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5.75" customHeight="1">
      <c r="A160" s="55"/>
      <c r="B160" s="56"/>
      <c r="C160" s="56"/>
      <c r="D160" s="56"/>
      <c r="E160" s="56"/>
      <c r="F160" s="57"/>
      <c r="G160" s="58"/>
      <c r="H160" s="58"/>
      <c r="I160" s="58"/>
      <c r="J160" s="58"/>
      <c r="K160" s="58"/>
      <c r="L160" s="58"/>
      <c r="M160" s="58"/>
      <c r="N160" s="58"/>
      <c r="O160" s="58"/>
      <c r="P160" s="59"/>
      <c r="Q160" s="5"/>
      <c r="R160" s="5"/>
      <c r="S160" s="5"/>
      <c r="T160" s="5"/>
      <c r="U160" s="5"/>
      <c r="V160" s="5"/>
      <c r="W160" s="60"/>
      <c r="X160" s="5"/>
      <c r="Y160" s="5"/>
      <c r="Z160" s="5"/>
    </row>
    <row r="161" ht="15.75" customHeight="1">
      <c r="A161" s="32" t="s">
        <v>36</v>
      </c>
      <c r="B161" s="49" t="s">
        <v>133</v>
      </c>
      <c r="C161" s="50" t="s">
        <v>134</v>
      </c>
      <c r="D161" s="9"/>
      <c r="E161" s="21">
        <f>SONGGON!AF161+BALAK!X161+SRAGI!AG161+PARANGHARJO!S161+BEDEWANG!W161+BAYU!AB161+SUMBERARUM!X161+SUMBERBULU!Q161+BANGUNSARI!O161</f>
        <v>113</v>
      </c>
      <c r="F161" s="18"/>
      <c r="G161" s="22"/>
      <c r="H161" s="22"/>
      <c r="I161" s="22"/>
      <c r="J161" s="22"/>
      <c r="K161" s="22"/>
      <c r="L161" s="22"/>
      <c r="M161" s="22"/>
      <c r="N161" s="22"/>
      <c r="O161" s="22"/>
      <c r="P161" s="23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ht="15.75" customHeight="1">
      <c r="A162" s="32" t="s">
        <v>38</v>
      </c>
      <c r="B162" s="51"/>
      <c r="C162" s="52" t="s">
        <v>135</v>
      </c>
      <c r="D162" s="53"/>
      <c r="E162" s="21">
        <f>SONGGON!AF162+BALAK!X162+SRAGI!AG162+PARANGHARJO!S162+BEDEWANG!W162+BAYU!AB162+SUMBERARUM!X162+SUMBERBULU!Q162+BANGUNSARI!O162</f>
        <v>304</v>
      </c>
      <c r="F162" s="18"/>
      <c r="G162" s="22"/>
      <c r="H162" s="22"/>
      <c r="I162" s="22"/>
      <c r="J162" s="22"/>
      <c r="K162" s="22"/>
      <c r="L162" s="22"/>
      <c r="M162" s="22"/>
      <c r="N162" s="22"/>
      <c r="O162" s="22"/>
      <c r="P162" s="23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ht="15.75" customHeight="1">
      <c r="A163" s="18"/>
      <c r="B163" s="51"/>
      <c r="C163" s="52" t="s">
        <v>136</v>
      </c>
      <c r="D163" s="53"/>
      <c r="E163" s="21">
        <f>SONGGON!AF163+BALAK!X163+SRAGI!AG163+PARANGHARJO!S163+BEDEWANG!W163+BAYU!AB163+SUMBERARUM!X163+SUMBERBULU!Q163+BANGUNSARI!O163</f>
        <v>116</v>
      </c>
      <c r="F163" s="18"/>
      <c r="G163" s="22"/>
      <c r="H163" s="22"/>
      <c r="I163" s="22"/>
      <c r="J163" s="22"/>
      <c r="K163" s="22"/>
      <c r="L163" s="22"/>
      <c r="M163" s="22"/>
      <c r="N163" s="22"/>
      <c r="O163" s="22"/>
      <c r="P163" s="23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ht="15.75" customHeight="1">
      <c r="A164" s="18"/>
      <c r="B164" s="51"/>
      <c r="C164" s="52" t="s">
        <v>137</v>
      </c>
      <c r="D164" s="53"/>
      <c r="E164" s="21">
        <f>SONGGON!AF164+BALAK!X164+SRAGI!AG164+PARANGHARJO!S164+BEDEWANG!W164+BAYU!AB164+SUMBERARUM!X164+SUMBERBULU!Q164+BANGUNSARI!O164</f>
        <v>13</v>
      </c>
      <c r="F164" s="18"/>
      <c r="G164" s="22"/>
      <c r="H164" s="22"/>
      <c r="I164" s="22"/>
      <c r="J164" s="22"/>
      <c r="K164" s="22"/>
      <c r="L164" s="22"/>
      <c r="M164" s="22"/>
      <c r="N164" s="22"/>
      <c r="O164" s="22"/>
      <c r="P164" s="23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ht="15.75" customHeight="1">
      <c r="A165" s="18"/>
      <c r="B165" s="51"/>
      <c r="C165" s="52" t="s">
        <v>138</v>
      </c>
      <c r="D165" s="53"/>
      <c r="E165" s="21">
        <f>SONGGON!AF165+BALAK!X165+SRAGI!AG165+PARANGHARJO!S165+BEDEWANG!W165+BAYU!AB165+SUMBERARUM!X165+SUMBERBULU!Q165+BANGUNSARI!O165</f>
        <v>4</v>
      </c>
      <c r="F165" s="18"/>
      <c r="G165" s="22"/>
      <c r="H165" s="22"/>
      <c r="I165" s="22"/>
      <c r="J165" s="22"/>
      <c r="K165" s="22"/>
      <c r="L165" s="22"/>
      <c r="M165" s="22"/>
      <c r="N165" s="22"/>
      <c r="O165" s="22"/>
      <c r="P165" s="23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ht="15.75" customHeight="1">
      <c r="A166" s="18"/>
      <c r="B166" s="51"/>
      <c r="C166" s="52" t="s">
        <v>139</v>
      </c>
      <c r="D166" s="53"/>
      <c r="E166" s="21">
        <f>SONGGON!AF166+BALAK!X166+SRAGI!AG166+PARANGHARJO!S166+BEDEWANG!W166+BAYU!AB166+SUMBERARUM!X166+SUMBERBULU!Q166+BANGUNSARI!O166</f>
        <v>31</v>
      </c>
      <c r="F166" s="18"/>
      <c r="G166" s="22"/>
      <c r="H166" s="22"/>
      <c r="I166" s="22"/>
      <c r="J166" s="22"/>
      <c r="K166" s="22"/>
      <c r="L166" s="22"/>
      <c r="M166" s="22"/>
      <c r="N166" s="22"/>
      <c r="O166" s="22"/>
      <c r="P166" s="23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ht="15.75" customHeight="1">
      <c r="A167" s="18"/>
      <c r="B167" s="51"/>
      <c r="C167" s="52" t="s">
        <v>140</v>
      </c>
      <c r="D167" s="53"/>
      <c r="E167" s="21">
        <f>SONGGON!AF167+BALAK!X167+SRAGI!AG167+PARANGHARJO!S167+BEDEWANG!W167+BAYU!AB167+SUMBERARUM!X167+SUMBERBULU!Q167+BANGUNSARI!O167</f>
        <v>11</v>
      </c>
      <c r="F167" s="18"/>
      <c r="G167" s="22"/>
      <c r="H167" s="22"/>
      <c r="I167" s="22"/>
      <c r="J167" s="22"/>
      <c r="K167" s="22"/>
      <c r="L167" s="22"/>
      <c r="M167" s="22"/>
      <c r="N167" s="22"/>
      <c r="O167" s="22"/>
      <c r="P167" s="23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ht="15.75" customHeight="1">
      <c r="A168" s="13" t="s">
        <v>14</v>
      </c>
      <c r="B168" s="49" t="s">
        <v>45</v>
      </c>
      <c r="C168" s="8"/>
      <c r="D168" s="9"/>
      <c r="E168" s="54">
        <f>SUM(E161:E167)</f>
        <v>592</v>
      </c>
      <c r="F168" s="16"/>
      <c r="G168" s="2"/>
      <c r="H168" s="2"/>
      <c r="I168" s="2"/>
      <c r="J168" s="2"/>
      <c r="K168" s="2"/>
      <c r="L168" s="2"/>
      <c r="M168" s="2"/>
      <c r="N168" s="2"/>
      <c r="O168" s="2"/>
      <c r="P168" s="29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5.75" customHeight="1">
      <c r="A169" s="55"/>
      <c r="B169" s="56"/>
      <c r="C169" s="56"/>
      <c r="D169" s="56"/>
      <c r="E169" s="56"/>
      <c r="F169" s="57"/>
      <c r="G169" s="58"/>
      <c r="H169" s="58"/>
      <c r="I169" s="58"/>
      <c r="J169" s="58"/>
      <c r="K169" s="58"/>
      <c r="L169" s="58"/>
      <c r="M169" s="58"/>
      <c r="N169" s="58"/>
      <c r="O169" s="58"/>
      <c r="P169" s="59"/>
      <c r="Q169" s="5"/>
      <c r="R169" s="5"/>
      <c r="S169" s="5"/>
      <c r="T169" s="5"/>
      <c r="U169" s="5"/>
      <c r="V169" s="5"/>
      <c r="W169" s="60"/>
      <c r="X169" s="5"/>
      <c r="Y169" s="5"/>
      <c r="Z169" s="5"/>
    </row>
    <row r="170" ht="15.75" customHeight="1">
      <c r="A170" s="32" t="s">
        <v>36</v>
      </c>
      <c r="B170" s="49" t="s">
        <v>141</v>
      </c>
      <c r="C170" s="50" t="s">
        <v>142</v>
      </c>
      <c r="D170" s="9"/>
      <c r="E170" s="21">
        <f>SONGGON!AF170+BALAK!X170+SRAGI!AG170+PARANGHARJO!S170+BEDEWANG!W170+BAYU!AB170+SUMBERARUM!X170+SUMBERBULU!Q170+BANGUNSARI!O170</f>
        <v>34</v>
      </c>
      <c r="F170" s="18"/>
      <c r="G170" s="22"/>
      <c r="H170" s="22"/>
      <c r="I170" s="22"/>
      <c r="J170" s="22"/>
      <c r="K170" s="22"/>
      <c r="L170" s="22"/>
      <c r="M170" s="22"/>
      <c r="N170" s="22"/>
      <c r="O170" s="22"/>
      <c r="P170" s="23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ht="15.75" customHeight="1">
      <c r="A171" s="32" t="s">
        <v>38</v>
      </c>
      <c r="B171" s="51"/>
      <c r="C171" s="52" t="s">
        <v>143</v>
      </c>
      <c r="D171" s="53"/>
      <c r="E171" s="21">
        <f>SONGGON!AF171+BALAK!X171+SRAGI!AG171+PARANGHARJO!S171+BEDEWANG!W171+BAYU!AB171+SUMBERARUM!X171+SUMBERBULU!Q171+BANGUNSARI!O171</f>
        <v>28</v>
      </c>
      <c r="F171" s="18"/>
      <c r="G171" s="22"/>
      <c r="H171" s="22"/>
      <c r="I171" s="22"/>
      <c r="J171" s="22"/>
      <c r="K171" s="22"/>
      <c r="L171" s="22"/>
      <c r="M171" s="22"/>
      <c r="N171" s="22"/>
      <c r="O171" s="22"/>
      <c r="P171" s="23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ht="15.75" customHeight="1">
      <c r="A172" s="13" t="s">
        <v>14</v>
      </c>
      <c r="B172" s="49" t="s">
        <v>45</v>
      </c>
      <c r="C172" s="8"/>
      <c r="D172" s="9"/>
      <c r="E172" s="54">
        <f>SUM(E170:E171)</f>
        <v>62</v>
      </c>
      <c r="F172" s="16"/>
      <c r="G172" s="2"/>
      <c r="H172" s="2"/>
      <c r="I172" s="2"/>
      <c r="J172" s="2"/>
      <c r="K172" s="2"/>
      <c r="L172" s="2"/>
      <c r="M172" s="2"/>
      <c r="N172" s="2"/>
      <c r="O172" s="2"/>
      <c r="P172" s="29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5.75" customHeight="1">
      <c r="A173" s="47"/>
      <c r="B173" s="46"/>
      <c r="C173" s="46"/>
      <c r="D173" s="27"/>
      <c r="E173" s="21"/>
      <c r="F173" s="18"/>
      <c r="G173" s="22"/>
      <c r="H173" s="22"/>
      <c r="I173" s="22"/>
      <c r="J173" s="22"/>
      <c r="K173" s="22"/>
      <c r="L173" s="22"/>
      <c r="M173" s="22"/>
      <c r="N173" s="22"/>
      <c r="O173" s="30"/>
      <c r="P173" s="31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44" t="s">
        <v>144</v>
      </c>
      <c r="B174" s="7" t="s">
        <v>145</v>
      </c>
      <c r="C174" s="8"/>
      <c r="D174" s="9"/>
      <c r="E174" s="21"/>
      <c r="F174" s="16"/>
      <c r="G174" s="2"/>
      <c r="H174" s="2"/>
      <c r="I174" s="2"/>
      <c r="J174" s="2"/>
      <c r="K174" s="2"/>
      <c r="L174" s="2"/>
      <c r="M174" s="2"/>
      <c r="N174" s="2"/>
      <c r="O174" s="4"/>
      <c r="P174" s="31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44"/>
      <c r="B175" s="62" t="s">
        <v>146</v>
      </c>
      <c r="C175" s="63" t="s">
        <v>147</v>
      </c>
      <c r="D175" s="9"/>
      <c r="E175" s="21">
        <f>SONGGON!AF175+BALAK!X175+SRAGI!AG175+PARANGHARJO!S175+BEDEWANG!W175+BAYU!AB175+SUMBERARUM!X175+SUMBERBULU!Q175+BANGUNSARI!O175</f>
        <v>32851</v>
      </c>
      <c r="F175" s="16"/>
      <c r="G175" s="2"/>
      <c r="H175" s="2"/>
      <c r="I175" s="2"/>
      <c r="J175" s="2"/>
      <c r="K175" s="2"/>
      <c r="L175" s="2"/>
      <c r="M175" s="2"/>
      <c r="N175" s="2"/>
      <c r="O175" s="2"/>
      <c r="P175" s="29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5.75" customHeight="1">
      <c r="A176" s="37"/>
      <c r="B176" s="62" t="s">
        <v>148</v>
      </c>
      <c r="C176" s="63" t="s">
        <v>149</v>
      </c>
      <c r="D176" s="9"/>
      <c r="E176" s="21">
        <f>SONGGON!AF176+BALAK!X176+SRAGI!AG176+PARANGHARJO!S176+BEDEWANG!W176+BAYU!AB176+SUMBERARUM!X176+SUMBERBULU!Q176+BANGUNSARI!O176</f>
        <v>2294</v>
      </c>
      <c r="F176" s="18"/>
      <c r="G176" s="22"/>
      <c r="H176" s="22"/>
      <c r="I176" s="22"/>
      <c r="J176" s="22"/>
      <c r="K176" s="22"/>
      <c r="L176" s="22"/>
      <c r="M176" s="22"/>
      <c r="N176" s="22"/>
      <c r="O176" s="22"/>
      <c r="P176" s="23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ht="15.75" customHeight="1">
      <c r="A177" s="42"/>
      <c r="B177" s="62" t="s">
        <v>150</v>
      </c>
      <c r="C177" s="63" t="s">
        <v>151</v>
      </c>
      <c r="D177" s="9"/>
      <c r="E177" s="28">
        <f>SUM(E175:E176)</f>
        <v>35145</v>
      </c>
      <c r="F177" s="16"/>
      <c r="G177" s="2"/>
      <c r="H177" s="2"/>
      <c r="I177" s="2"/>
      <c r="J177" s="2"/>
      <c r="K177" s="2"/>
      <c r="L177" s="2"/>
      <c r="M177" s="2"/>
      <c r="N177" s="2"/>
      <c r="O177" s="2"/>
      <c r="P177" s="29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5.75" customHeight="1">
      <c r="A178" s="22"/>
      <c r="B178" s="64"/>
      <c r="C178" s="65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30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22"/>
      <c r="B179" s="64"/>
      <c r="C179" s="65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hidden="1" customHeight="1">
      <c r="A180" s="22"/>
      <c r="B180" s="64"/>
      <c r="C180" s="65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hidden="1" customHeight="1">
      <c r="A181" s="22"/>
      <c r="B181" s="64"/>
      <c r="C181" s="65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hidden="1" customHeight="1">
      <c r="A182" s="22"/>
      <c r="B182" s="64"/>
      <c r="C182" s="65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30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hidden="1" customHeight="1">
      <c r="A183" s="22"/>
      <c r="B183" s="64"/>
      <c r="C183" s="65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30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hidden="1" customHeight="1">
      <c r="A184" s="22"/>
      <c r="B184" s="64"/>
      <c r="C184" s="65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30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hidden="1" customHeight="1">
      <c r="A185" s="22"/>
      <c r="B185" s="64"/>
      <c r="C185" s="65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30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hidden="1" customHeight="1">
      <c r="A186" s="22"/>
      <c r="B186" s="64"/>
      <c r="C186" s="65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30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hidden="1" customHeight="1">
      <c r="A187" s="22"/>
      <c r="B187" s="64"/>
      <c r="C187" s="65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30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hidden="1" customHeight="1">
      <c r="A188" s="22"/>
      <c r="B188" s="64"/>
      <c r="C188" s="65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30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hidden="1" customHeight="1">
      <c r="A189" s="22"/>
      <c r="B189" s="64"/>
      <c r="C189" s="65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30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hidden="1" customHeight="1">
      <c r="A190" s="22"/>
      <c r="B190" s="64"/>
      <c r="C190" s="65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30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hidden="1" customHeight="1">
      <c r="A191" s="22"/>
      <c r="B191" s="64"/>
      <c r="C191" s="65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30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hidden="1" customHeight="1">
      <c r="A192" s="22"/>
      <c r="B192" s="64"/>
      <c r="C192" s="65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30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hidden="1" customHeight="1">
      <c r="A193" s="22"/>
      <c r="B193" s="64"/>
      <c r="C193" s="65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30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hidden="1" customHeight="1">
      <c r="A194" s="22"/>
      <c r="B194" s="64"/>
      <c r="C194" s="65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30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hidden="1" customHeight="1">
      <c r="A195" s="22"/>
      <c r="B195" s="64"/>
      <c r="C195" s="65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30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hidden="1" customHeight="1">
      <c r="A196" s="22"/>
      <c r="B196" s="64"/>
      <c r="C196" s="65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30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hidden="1" customHeight="1">
      <c r="A197" s="22"/>
      <c r="B197" s="64"/>
      <c r="C197" s="65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30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hidden="1" customHeight="1">
      <c r="A198" s="22"/>
      <c r="B198" s="64"/>
      <c r="C198" s="65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30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hidden="1" customHeight="1">
      <c r="A199" s="22"/>
      <c r="B199" s="64"/>
      <c r="C199" s="65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30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hidden="1" customHeight="1">
      <c r="A200" s="22"/>
      <c r="B200" s="64"/>
      <c r="C200" s="65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30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hidden="1" customHeight="1">
      <c r="A201" s="22"/>
      <c r="B201" s="64"/>
      <c r="C201" s="65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30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hidden="1" customHeight="1">
      <c r="A202" s="22"/>
      <c r="B202" s="64"/>
      <c r="C202" s="65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30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hidden="1" customHeight="1">
      <c r="A203" s="22"/>
      <c r="B203" s="64"/>
      <c r="C203" s="65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30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hidden="1" customHeight="1">
      <c r="A204" s="22"/>
      <c r="B204" s="64"/>
      <c r="C204" s="65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30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hidden="1" customHeight="1">
      <c r="A205" s="22"/>
      <c r="B205" s="64"/>
      <c r="C205" s="65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30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hidden="1" customHeight="1">
      <c r="A206" s="22"/>
      <c r="B206" s="64"/>
      <c r="C206" s="65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30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hidden="1" customHeight="1">
      <c r="A207" s="22"/>
      <c r="B207" s="64"/>
      <c r="C207" s="65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30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hidden="1" customHeight="1">
      <c r="A208" s="22"/>
      <c r="B208" s="64"/>
      <c r="C208" s="65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30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hidden="1" customHeight="1">
      <c r="A209" s="22"/>
      <c r="B209" s="64"/>
      <c r="C209" s="65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30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hidden="1" customHeight="1">
      <c r="A210" s="22"/>
      <c r="B210" s="64"/>
      <c r="C210" s="65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30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hidden="1" customHeight="1">
      <c r="A211" s="22"/>
      <c r="B211" s="64"/>
      <c r="C211" s="65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30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hidden="1" customHeight="1">
      <c r="A212" s="22"/>
      <c r="B212" s="64"/>
      <c r="C212" s="65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30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hidden="1" customHeight="1">
      <c r="A213" s="22"/>
      <c r="B213" s="64"/>
      <c r="C213" s="65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30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hidden="1" customHeight="1">
      <c r="A214" s="22"/>
      <c r="B214" s="64"/>
      <c r="C214" s="65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30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hidden="1" customHeight="1">
      <c r="A215" s="22"/>
      <c r="B215" s="64"/>
      <c r="C215" s="65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30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hidden="1" customHeight="1">
      <c r="A216" s="22"/>
      <c r="B216" s="64"/>
      <c r="C216" s="65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30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hidden="1" customHeight="1">
      <c r="A217" s="22"/>
      <c r="B217" s="64"/>
      <c r="C217" s="65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30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hidden="1" customHeight="1">
      <c r="A218" s="22"/>
      <c r="B218" s="64"/>
      <c r="C218" s="65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30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hidden="1" customHeight="1">
      <c r="A219" s="22"/>
      <c r="B219" s="64"/>
      <c r="C219" s="65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30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hidden="1" customHeight="1">
      <c r="A220" s="22"/>
      <c r="B220" s="64"/>
      <c r="C220" s="65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30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hidden="1" customHeight="1">
      <c r="A221" s="22"/>
      <c r="B221" s="64"/>
      <c r="C221" s="65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30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hidden="1" customHeight="1">
      <c r="A222" s="22"/>
      <c r="B222" s="64"/>
      <c r="C222" s="65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30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hidden="1" customHeight="1">
      <c r="A223" s="22"/>
      <c r="B223" s="64"/>
      <c r="C223" s="65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30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hidden="1" customHeight="1">
      <c r="A224" s="22"/>
      <c r="B224" s="64"/>
      <c r="C224" s="65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30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hidden="1" customHeight="1">
      <c r="A225" s="22"/>
      <c r="B225" s="64"/>
      <c r="C225" s="65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30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hidden="1" customHeight="1">
      <c r="A226" s="22"/>
      <c r="B226" s="64"/>
      <c r="C226" s="65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30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hidden="1" customHeight="1">
      <c r="A227" s="22"/>
      <c r="B227" s="64"/>
      <c r="C227" s="65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30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hidden="1" customHeight="1">
      <c r="A228" s="22"/>
      <c r="B228" s="64"/>
      <c r="C228" s="65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30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hidden="1" customHeight="1">
      <c r="A229" s="22"/>
      <c r="B229" s="64"/>
      <c r="C229" s="65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30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hidden="1" customHeight="1">
      <c r="A230" s="22"/>
      <c r="B230" s="64"/>
      <c r="C230" s="65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30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hidden="1" customHeight="1">
      <c r="A231" s="22"/>
      <c r="B231" s="64"/>
      <c r="C231" s="65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30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hidden="1" customHeight="1">
      <c r="A232" s="22"/>
      <c r="B232" s="64"/>
      <c r="C232" s="65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30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hidden="1" customHeight="1">
      <c r="A233" s="22"/>
      <c r="B233" s="64"/>
      <c r="C233" s="65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30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hidden="1" customHeight="1">
      <c r="A234" s="22"/>
      <c r="B234" s="64"/>
      <c r="C234" s="65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30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hidden="1" customHeight="1">
      <c r="A235" s="22"/>
      <c r="B235" s="64"/>
      <c r="C235" s="65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30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hidden="1" customHeight="1">
      <c r="A236" s="22"/>
      <c r="B236" s="64"/>
      <c r="C236" s="65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30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hidden="1" customHeight="1">
      <c r="A237" s="22"/>
      <c r="B237" s="64"/>
      <c r="C237" s="65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30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hidden="1" customHeight="1">
      <c r="A238" s="22"/>
      <c r="B238" s="64"/>
      <c r="C238" s="65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30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hidden="1" customHeight="1">
      <c r="A239" s="22"/>
      <c r="B239" s="64"/>
      <c r="C239" s="65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30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hidden="1" customHeight="1">
      <c r="A240" s="22"/>
      <c r="B240" s="64"/>
      <c r="C240" s="65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30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hidden="1" customHeight="1">
      <c r="A241" s="22"/>
      <c r="B241" s="64"/>
      <c r="C241" s="65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30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hidden="1" customHeight="1">
      <c r="A242" s="22"/>
      <c r="B242" s="64"/>
      <c r="C242" s="65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30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hidden="1" customHeight="1">
      <c r="A243" s="22"/>
      <c r="B243" s="64"/>
      <c r="C243" s="65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30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hidden="1" customHeight="1">
      <c r="A244" s="22"/>
      <c r="B244" s="64"/>
      <c r="C244" s="65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30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hidden="1" customHeight="1">
      <c r="A245" s="22"/>
      <c r="B245" s="64"/>
      <c r="C245" s="65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30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hidden="1" customHeight="1">
      <c r="A246" s="22"/>
      <c r="B246" s="64"/>
      <c r="C246" s="65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30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hidden="1" customHeight="1">
      <c r="A247" s="22"/>
      <c r="B247" s="64"/>
      <c r="C247" s="65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30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hidden="1" customHeight="1">
      <c r="A248" s="22"/>
      <c r="B248" s="64"/>
      <c r="C248" s="65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30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hidden="1" customHeight="1">
      <c r="A249" s="22"/>
      <c r="B249" s="64"/>
      <c r="C249" s="65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30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hidden="1" customHeight="1">
      <c r="A250" s="22"/>
      <c r="B250" s="64"/>
      <c r="C250" s="65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30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hidden="1" customHeight="1">
      <c r="A251" s="22"/>
      <c r="B251" s="64"/>
      <c r="C251" s="65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30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hidden="1" customHeight="1">
      <c r="A252" s="22"/>
      <c r="B252" s="64"/>
      <c r="C252" s="65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30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hidden="1" customHeight="1">
      <c r="A253" s="22"/>
      <c r="B253" s="64"/>
      <c r="C253" s="65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30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hidden="1" customHeight="1">
      <c r="A254" s="22"/>
      <c r="B254" s="64"/>
      <c r="C254" s="65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30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hidden="1" customHeight="1">
      <c r="A255" s="22"/>
      <c r="B255" s="64"/>
      <c r="C255" s="65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30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hidden="1" customHeight="1">
      <c r="A256" s="22"/>
      <c r="B256" s="64"/>
      <c r="C256" s="65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30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hidden="1" customHeight="1">
      <c r="A257" s="22"/>
      <c r="B257" s="64"/>
      <c r="C257" s="65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30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hidden="1" customHeight="1">
      <c r="A258" s="22"/>
      <c r="B258" s="64"/>
      <c r="C258" s="65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30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hidden="1" customHeight="1">
      <c r="A259" s="22"/>
      <c r="B259" s="64"/>
      <c r="C259" s="65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30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hidden="1" customHeight="1">
      <c r="A260" s="22"/>
      <c r="B260" s="64"/>
      <c r="C260" s="65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30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hidden="1" customHeight="1">
      <c r="A261" s="22"/>
      <c r="B261" s="64"/>
      <c r="C261" s="65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30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hidden="1" customHeight="1">
      <c r="A262" s="22"/>
      <c r="B262" s="64"/>
      <c r="C262" s="65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30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hidden="1" customHeight="1">
      <c r="A263" s="22"/>
      <c r="B263" s="64"/>
      <c r="C263" s="65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30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hidden="1" customHeight="1">
      <c r="A264" s="22"/>
      <c r="B264" s="64"/>
      <c r="C264" s="65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30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hidden="1" customHeight="1">
      <c r="A265" s="22"/>
      <c r="B265" s="64"/>
      <c r="C265" s="65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30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hidden="1" customHeight="1">
      <c r="A266" s="22"/>
      <c r="B266" s="64"/>
      <c r="C266" s="65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30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hidden="1" customHeight="1">
      <c r="A267" s="22"/>
      <c r="B267" s="64"/>
      <c r="C267" s="65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30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hidden="1" customHeight="1">
      <c r="A268" s="22"/>
      <c r="B268" s="64"/>
      <c r="C268" s="65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30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hidden="1" customHeight="1">
      <c r="A269" s="22"/>
      <c r="B269" s="64"/>
      <c r="C269" s="65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30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hidden="1" customHeight="1">
      <c r="A270" s="22"/>
      <c r="B270" s="64"/>
      <c r="C270" s="65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30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hidden="1" customHeight="1">
      <c r="A271" s="22"/>
      <c r="B271" s="64"/>
      <c r="C271" s="65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30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hidden="1" customHeight="1">
      <c r="A272" s="22"/>
      <c r="B272" s="64"/>
      <c r="C272" s="65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30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hidden="1" customHeight="1">
      <c r="A273" s="22"/>
      <c r="B273" s="64"/>
      <c r="C273" s="65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30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hidden="1" customHeight="1">
      <c r="A274" s="22"/>
      <c r="B274" s="64"/>
      <c r="C274" s="65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30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hidden="1" customHeight="1">
      <c r="A275" s="22"/>
      <c r="B275" s="64"/>
      <c r="C275" s="65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30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hidden="1" customHeight="1">
      <c r="A276" s="22"/>
      <c r="B276" s="64"/>
      <c r="C276" s="65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30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hidden="1" customHeight="1">
      <c r="A277" s="22"/>
      <c r="B277" s="64"/>
      <c r="C277" s="65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30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hidden="1" customHeight="1">
      <c r="A278" s="22"/>
      <c r="B278" s="64"/>
      <c r="C278" s="65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30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hidden="1" customHeight="1">
      <c r="A279" s="22"/>
      <c r="B279" s="64"/>
      <c r="C279" s="65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30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hidden="1" customHeight="1">
      <c r="A280" s="22"/>
      <c r="B280" s="64"/>
      <c r="C280" s="65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30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hidden="1" customHeight="1">
      <c r="A281" s="22"/>
      <c r="B281" s="64"/>
      <c r="C281" s="65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30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hidden="1" customHeight="1">
      <c r="A282" s="22"/>
      <c r="B282" s="64"/>
      <c r="C282" s="65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30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hidden="1" customHeight="1">
      <c r="A283" s="22"/>
      <c r="B283" s="64"/>
      <c r="C283" s="65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30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hidden="1" customHeight="1">
      <c r="A284" s="22"/>
      <c r="B284" s="64"/>
      <c r="C284" s="65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30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hidden="1" customHeight="1">
      <c r="A285" s="22"/>
      <c r="B285" s="64"/>
      <c r="C285" s="65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30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hidden="1" customHeight="1">
      <c r="A286" s="22"/>
      <c r="B286" s="64"/>
      <c r="C286" s="65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30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hidden="1" customHeight="1">
      <c r="A287" s="22"/>
      <c r="B287" s="64"/>
      <c r="C287" s="65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30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hidden="1" customHeight="1">
      <c r="A288" s="22"/>
      <c r="B288" s="64"/>
      <c r="C288" s="65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30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hidden="1" customHeight="1">
      <c r="A289" s="22"/>
      <c r="B289" s="64"/>
      <c r="C289" s="65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30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hidden="1" customHeight="1">
      <c r="A290" s="22"/>
      <c r="B290" s="64"/>
      <c r="C290" s="65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30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hidden="1" customHeight="1">
      <c r="A291" s="22"/>
      <c r="B291" s="64"/>
      <c r="C291" s="65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30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hidden="1" customHeight="1">
      <c r="A292" s="22"/>
      <c r="B292" s="64"/>
      <c r="C292" s="65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30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hidden="1" customHeight="1">
      <c r="A293" s="22"/>
      <c r="B293" s="64"/>
      <c r="C293" s="65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30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hidden="1" customHeight="1">
      <c r="A294" s="22"/>
      <c r="B294" s="64"/>
      <c r="C294" s="65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30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hidden="1" customHeight="1">
      <c r="A295" s="22"/>
      <c r="B295" s="64"/>
      <c r="C295" s="65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30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hidden="1" customHeight="1">
      <c r="A296" s="22"/>
      <c r="B296" s="64"/>
      <c r="C296" s="65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30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hidden="1" customHeight="1">
      <c r="A297" s="22"/>
      <c r="B297" s="64"/>
      <c r="C297" s="65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30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hidden="1" customHeight="1">
      <c r="A298" s="22"/>
      <c r="B298" s="64"/>
      <c r="C298" s="65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30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hidden="1" customHeight="1">
      <c r="A299" s="22"/>
      <c r="B299" s="64"/>
      <c r="C299" s="65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30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hidden="1" customHeight="1">
      <c r="A300" s="22"/>
      <c r="B300" s="64"/>
      <c r="C300" s="65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30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hidden="1" customHeight="1">
      <c r="A301" s="22"/>
      <c r="B301" s="64"/>
      <c r="C301" s="65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30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hidden="1" customHeight="1">
      <c r="A302" s="22"/>
      <c r="B302" s="64"/>
      <c r="C302" s="65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30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hidden="1" customHeight="1">
      <c r="A303" s="22"/>
      <c r="B303" s="64"/>
      <c r="C303" s="65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30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hidden="1" customHeight="1">
      <c r="A304" s="22"/>
      <c r="B304" s="64"/>
      <c r="C304" s="65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30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hidden="1" customHeight="1">
      <c r="A305" s="22"/>
      <c r="B305" s="64"/>
      <c r="C305" s="65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30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hidden="1" customHeight="1">
      <c r="A306" s="22"/>
      <c r="B306" s="64"/>
      <c r="C306" s="65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30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hidden="1" customHeight="1">
      <c r="A307" s="22"/>
      <c r="B307" s="64"/>
      <c r="C307" s="65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30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hidden="1" customHeight="1">
      <c r="A308" s="22"/>
      <c r="B308" s="64"/>
      <c r="C308" s="65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30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hidden="1" customHeight="1">
      <c r="A309" s="22"/>
      <c r="B309" s="64"/>
      <c r="C309" s="65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30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hidden="1" customHeight="1">
      <c r="A310" s="22"/>
      <c r="B310" s="64"/>
      <c r="C310" s="65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30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hidden="1" customHeight="1">
      <c r="A311" s="22"/>
      <c r="B311" s="64"/>
      <c r="C311" s="65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30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hidden="1" customHeight="1">
      <c r="A312" s="22"/>
      <c r="B312" s="64"/>
      <c r="C312" s="65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30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hidden="1" customHeight="1">
      <c r="A313" s="22"/>
      <c r="B313" s="64"/>
      <c r="C313" s="65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30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hidden="1" customHeight="1">
      <c r="A314" s="22"/>
      <c r="B314" s="64"/>
      <c r="C314" s="65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30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hidden="1" customHeight="1">
      <c r="A315" s="22"/>
      <c r="B315" s="64"/>
      <c r="C315" s="65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30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hidden="1" customHeight="1">
      <c r="A316" s="22"/>
      <c r="B316" s="64"/>
      <c r="C316" s="65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30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hidden="1" customHeight="1">
      <c r="A317" s="22"/>
      <c r="B317" s="64"/>
      <c r="C317" s="65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30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hidden="1" customHeight="1">
      <c r="A318" s="22"/>
      <c r="B318" s="64"/>
      <c r="C318" s="65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30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hidden="1" customHeight="1">
      <c r="A319" s="22"/>
      <c r="B319" s="64"/>
      <c r="C319" s="65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30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hidden="1" customHeight="1">
      <c r="A320" s="22"/>
      <c r="B320" s="64"/>
      <c r="C320" s="65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30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hidden="1" customHeight="1">
      <c r="A321" s="22"/>
      <c r="B321" s="64"/>
      <c r="C321" s="65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30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hidden="1" customHeight="1">
      <c r="A322" s="22"/>
      <c r="B322" s="64"/>
      <c r="C322" s="65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30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hidden="1" customHeight="1">
      <c r="A323" s="22"/>
      <c r="B323" s="64"/>
      <c r="C323" s="65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30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hidden="1" customHeight="1">
      <c r="A324" s="22"/>
      <c r="B324" s="64"/>
      <c r="C324" s="65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30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hidden="1" customHeight="1">
      <c r="A325" s="22"/>
      <c r="B325" s="64"/>
      <c r="C325" s="65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30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hidden="1" customHeight="1">
      <c r="A326" s="22"/>
      <c r="B326" s="64"/>
      <c r="C326" s="65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30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hidden="1" customHeight="1">
      <c r="A327" s="22"/>
      <c r="B327" s="64"/>
      <c r="C327" s="65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30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hidden="1" customHeight="1">
      <c r="A328" s="22"/>
      <c r="B328" s="64"/>
      <c r="C328" s="65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30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hidden="1" customHeight="1">
      <c r="A329" s="22"/>
      <c r="B329" s="64"/>
      <c r="C329" s="65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30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hidden="1" customHeight="1">
      <c r="A330" s="22"/>
      <c r="B330" s="64"/>
      <c r="C330" s="65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30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hidden="1" customHeight="1">
      <c r="A331" s="22"/>
      <c r="B331" s="64"/>
      <c r="C331" s="65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30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hidden="1" customHeight="1">
      <c r="A332" s="22"/>
      <c r="B332" s="64"/>
      <c r="C332" s="65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30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hidden="1" customHeight="1">
      <c r="A333" s="22"/>
      <c r="B333" s="64"/>
      <c r="C333" s="65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30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hidden="1" customHeight="1">
      <c r="A334" s="22"/>
      <c r="B334" s="64"/>
      <c r="C334" s="65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30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hidden="1" customHeight="1">
      <c r="A335" s="22"/>
      <c r="B335" s="64"/>
      <c r="C335" s="65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30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hidden="1" customHeight="1">
      <c r="A336" s="22"/>
      <c r="B336" s="64"/>
      <c r="C336" s="65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30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hidden="1" customHeight="1">
      <c r="A337" s="22"/>
      <c r="B337" s="64"/>
      <c r="C337" s="65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30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hidden="1" customHeight="1">
      <c r="A338" s="22"/>
      <c r="B338" s="64"/>
      <c r="C338" s="65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30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hidden="1" customHeight="1">
      <c r="A339" s="22"/>
      <c r="B339" s="64"/>
      <c r="C339" s="65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30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hidden="1" customHeight="1">
      <c r="A340" s="22"/>
      <c r="B340" s="64"/>
      <c r="C340" s="65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30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hidden="1" customHeight="1">
      <c r="A341" s="22"/>
      <c r="B341" s="64"/>
      <c r="C341" s="65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30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hidden="1" customHeight="1">
      <c r="A342" s="22"/>
      <c r="B342" s="64"/>
      <c r="C342" s="65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30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hidden="1" customHeight="1">
      <c r="A343" s="22"/>
      <c r="B343" s="64"/>
      <c r="C343" s="65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30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hidden="1" customHeight="1">
      <c r="A344" s="22"/>
      <c r="B344" s="64"/>
      <c r="C344" s="65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30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hidden="1" customHeight="1">
      <c r="A345" s="22"/>
      <c r="B345" s="64"/>
      <c r="C345" s="65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30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hidden="1" customHeight="1">
      <c r="A346" s="22"/>
      <c r="B346" s="64"/>
      <c r="C346" s="65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30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hidden="1" customHeight="1">
      <c r="A347" s="22"/>
      <c r="B347" s="64"/>
      <c r="C347" s="65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30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hidden="1" customHeight="1">
      <c r="A348" s="22"/>
      <c r="B348" s="64"/>
      <c r="C348" s="65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30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hidden="1" customHeight="1">
      <c r="A349" s="22"/>
      <c r="B349" s="64"/>
      <c r="C349" s="65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30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hidden="1" customHeight="1">
      <c r="A350" s="22"/>
      <c r="B350" s="64"/>
      <c r="C350" s="65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30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hidden="1" customHeight="1">
      <c r="A351" s="22"/>
      <c r="B351" s="64"/>
      <c r="C351" s="65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30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hidden="1" customHeight="1">
      <c r="A352" s="22"/>
      <c r="B352" s="64"/>
      <c r="C352" s="65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30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hidden="1" customHeight="1">
      <c r="A353" s="22"/>
      <c r="B353" s="64"/>
      <c r="C353" s="65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30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hidden="1" customHeight="1">
      <c r="A354" s="22"/>
      <c r="B354" s="64"/>
      <c r="C354" s="65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30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hidden="1" customHeight="1">
      <c r="A355" s="22"/>
      <c r="B355" s="64"/>
      <c r="C355" s="65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30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hidden="1" customHeight="1">
      <c r="A356" s="22"/>
      <c r="B356" s="64"/>
      <c r="C356" s="65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30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hidden="1" customHeight="1">
      <c r="A357" s="22"/>
      <c r="B357" s="64"/>
      <c r="C357" s="65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30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hidden="1" customHeight="1">
      <c r="A358" s="22"/>
      <c r="B358" s="64"/>
      <c r="C358" s="65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30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hidden="1" customHeight="1">
      <c r="A359" s="22"/>
      <c r="B359" s="64"/>
      <c r="C359" s="65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30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hidden="1" customHeight="1">
      <c r="A360" s="22"/>
      <c r="B360" s="64"/>
      <c r="C360" s="65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30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hidden="1" customHeight="1">
      <c r="A361" s="22"/>
      <c r="B361" s="64"/>
      <c r="C361" s="65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30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hidden="1" customHeight="1">
      <c r="A362" s="22"/>
      <c r="B362" s="64"/>
      <c r="C362" s="65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30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hidden="1" customHeight="1">
      <c r="A363" s="22"/>
      <c r="B363" s="64"/>
      <c r="C363" s="65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30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hidden="1" customHeight="1">
      <c r="A364" s="22"/>
      <c r="B364" s="64"/>
      <c r="C364" s="65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30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hidden="1" customHeight="1">
      <c r="A365" s="22"/>
      <c r="B365" s="64"/>
      <c r="C365" s="65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30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hidden="1" customHeight="1">
      <c r="A366" s="22"/>
      <c r="B366" s="64"/>
      <c r="C366" s="65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30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hidden="1" customHeight="1">
      <c r="A367" s="22"/>
      <c r="B367" s="64"/>
      <c r="C367" s="65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30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hidden="1" customHeight="1">
      <c r="A368" s="22"/>
      <c r="B368" s="64"/>
      <c r="C368" s="65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30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hidden="1" customHeight="1">
      <c r="A369" s="22"/>
      <c r="B369" s="64"/>
      <c r="C369" s="65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30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hidden="1" customHeight="1">
      <c r="A370" s="22"/>
      <c r="B370" s="64"/>
      <c r="C370" s="65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30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hidden="1" customHeight="1">
      <c r="A371" s="22"/>
      <c r="B371" s="64"/>
      <c r="C371" s="65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30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hidden="1" customHeight="1">
      <c r="A372" s="22"/>
      <c r="B372" s="64"/>
      <c r="C372" s="65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30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hidden="1" customHeight="1">
      <c r="A373" s="22"/>
      <c r="B373" s="64"/>
      <c r="C373" s="65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30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hidden="1" customHeight="1">
      <c r="A374" s="22"/>
      <c r="B374" s="64"/>
      <c r="C374" s="65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30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hidden="1" customHeight="1">
      <c r="A375" s="22"/>
      <c r="B375" s="64"/>
      <c r="C375" s="65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30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hidden="1" customHeight="1">
      <c r="A376" s="22"/>
      <c r="B376" s="64"/>
      <c r="C376" s="65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30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hidden="1" customHeight="1">
      <c r="A377" s="22"/>
      <c r="B377" s="64"/>
      <c r="C377" s="65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30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8">
    <mergeCell ref="C126:D126"/>
    <mergeCell ref="B131:D131"/>
    <mergeCell ref="C133:D133"/>
    <mergeCell ref="B140:D140"/>
    <mergeCell ref="C142:D142"/>
    <mergeCell ref="B149:D149"/>
    <mergeCell ref="C151:D151"/>
    <mergeCell ref="A173:D173"/>
    <mergeCell ref="B174:D174"/>
    <mergeCell ref="C175:D175"/>
    <mergeCell ref="C176:D176"/>
    <mergeCell ref="C177:D177"/>
    <mergeCell ref="B153:D153"/>
    <mergeCell ref="C155:D155"/>
    <mergeCell ref="B159:D159"/>
    <mergeCell ref="C161:D161"/>
    <mergeCell ref="B168:D168"/>
    <mergeCell ref="C170:D170"/>
    <mergeCell ref="B172:D172"/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B38:D38"/>
    <mergeCell ref="B39:C41"/>
    <mergeCell ref="A42:D42"/>
    <mergeCell ref="B43:D43"/>
    <mergeCell ref="A44:D44"/>
    <mergeCell ref="C45:D45"/>
    <mergeCell ref="B52:D52"/>
    <mergeCell ref="C54:D54"/>
    <mergeCell ref="B61:D61"/>
    <mergeCell ref="C63:D63"/>
    <mergeCell ref="B70:D70"/>
    <mergeCell ref="C72:D72"/>
    <mergeCell ref="B79:D79"/>
    <mergeCell ref="C81:D81"/>
    <mergeCell ref="B88:D88"/>
    <mergeCell ref="C90:D90"/>
    <mergeCell ref="C91:D91"/>
    <mergeCell ref="B92:D92"/>
    <mergeCell ref="C94:D94"/>
    <mergeCell ref="B98:D98"/>
    <mergeCell ref="C100:D100"/>
    <mergeCell ref="B107:D107"/>
    <mergeCell ref="C109:D109"/>
    <mergeCell ref="B111:D111"/>
    <mergeCell ref="C113:D113"/>
    <mergeCell ref="B120:D120"/>
    <mergeCell ref="C122:D122"/>
    <mergeCell ref="B124:D124"/>
  </mergeCells>
  <conditionalFormatting sqref="E177">
    <cfRule type="expression" dxfId="0" priority="1">
      <formula>E177&lt;&gt;E30</formula>
    </cfRule>
  </conditionalFormatting>
  <conditionalFormatting sqref="E177">
    <cfRule type="expression" dxfId="0" priority="2">
      <formula>E177&lt;&gt;E34</formula>
    </cfRule>
  </conditionalFormatting>
  <conditionalFormatting sqref="F179:O181">
    <cfRule type="cellIs" dxfId="0" priority="3" operator="equal">
      <formula>"FALSE"</formula>
    </cfRule>
  </conditionalFormatting>
  <conditionalFormatting sqref="E30">
    <cfRule type="expression" dxfId="0" priority="4">
      <formula>E30&lt;&gt;E177</formula>
    </cfRule>
  </conditionalFormatting>
  <conditionalFormatting sqref="E30">
    <cfRule type="expression" dxfId="0" priority="5">
      <formula>E30&lt;&gt;E34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1" width="8.71"/>
    <col customWidth="1" min="32" max="32" width="11.0"/>
  </cols>
  <sheetData>
    <row r="1" ht="12.75" customHeight="1"/>
    <row r="2" ht="12.75" customHeight="1">
      <c r="C2" s="1" t="s">
        <v>0</v>
      </c>
      <c r="D2" s="1"/>
    </row>
    <row r="3" ht="12.75" customHeight="1">
      <c r="C3" s="1" t="s">
        <v>1</v>
      </c>
      <c r="D3" s="1" t="s">
        <v>2</v>
      </c>
    </row>
    <row r="4" ht="12.75" customHeight="1">
      <c r="C4" s="1" t="s">
        <v>3</v>
      </c>
      <c r="D4" s="1" t="s">
        <v>4</v>
      </c>
    </row>
    <row r="5" ht="12.75" customHeight="1">
      <c r="C5" s="1"/>
      <c r="D5" s="1"/>
    </row>
    <row r="6" ht="12.75" customHeight="1">
      <c r="C6" s="1"/>
      <c r="D6" s="1"/>
    </row>
    <row r="7" ht="12.75" customHeight="1">
      <c r="C7" s="1"/>
      <c r="D7" s="1"/>
    </row>
    <row r="8" ht="12.75" customHeight="1">
      <c r="C8" s="1"/>
      <c r="D8" s="1"/>
    </row>
    <row r="9" ht="12.75" customHeight="1">
      <c r="C9" s="1" t="s">
        <v>152</v>
      </c>
      <c r="D9" s="1"/>
    </row>
    <row r="10" ht="12.75" customHeight="1"/>
    <row r="11" ht="12.75" customHeight="1"/>
    <row r="12" ht="12.75" customHeight="1">
      <c r="A12" s="6" t="s">
        <v>5</v>
      </c>
      <c r="B12" s="7" t="s">
        <v>6</v>
      </c>
      <c r="C12" s="8"/>
      <c r="D12" s="8"/>
      <c r="E12" s="2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9"/>
      <c r="AF12" s="39" t="s">
        <v>7</v>
      </c>
    </row>
    <row r="13" ht="12.75" customHeight="1">
      <c r="A13" s="13" t="s">
        <v>8</v>
      </c>
      <c r="B13" s="14" t="s">
        <v>9</v>
      </c>
      <c r="C13" s="8"/>
      <c r="D13" s="9"/>
      <c r="E13" s="42" t="s">
        <v>153</v>
      </c>
      <c r="F13" s="42" t="s">
        <v>154</v>
      </c>
      <c r="G13" s="42" t="s">
        <v>155</v>
      </c>
      <c r="H13" s="42" t="s">
        <v>156</v>
      </c>
      <c r="I13" s="42" t="s">
        <v>157</v>
      </c>
      <c r="J13" s="42" t="s">
        <v>158</v>
      </c>
      <c r="K13" s="42" t="s">
        <v>159</v>
      </c>
      <c r="L13" s="42" t="s">
        <v>160</v>
      </c>
      <c r="M13" s="42" t="s">
        <v>161</v>
      </c>
      <c r="N13" s="42" t="s">
        <v>162</v>
      </c>
      <c r="O13" s="42" t="s">
        <v>163</v>
      </c>
      <c r="P13" s="42" t="s">
        <v>164</v>
      </c>
      <c r="Q13" s="42" t="s">
        <v>165</v>
      </c>
      <c r="R13" s="42" t="s">
        <v>166</v>
      </c>
      <c r="S13" s="42" t="s">
        <v>167</v>
      </c>
      <c r="T13" s="42" t="s">
        <v>168</v>
      </c>
      <c r="U13" s="42" t="s">
        <v>169</v>
      </c>
      <c r="V13" s="42" t="s">
        <v>170</v>
      </c>
      <c r="W13" s="42" t="s">
        <v>171</v>
      </c>
      <c r="X13" s="42" t="s">
        <v>172</v>
      </c>
      <c r="Y13" s="42" t="s">
        <v>173</v>
      </c>
      <c r="Z13" s="42" t="s">
        <v>174</v>
      </c>
      <c r="AA13" s="42" t="s">
        <v>175</v>
      </c>
      <c r="AB13" s="42" t="s">
        <v>176</v>
      </c>
      <c r="AC13" s="42" t="s">
        <v>177</v>
      </c>
      <c r="AD13" s="42" t="s">
        <v>178</v>
      </c>
      <c r="AE13" s="42" t="s">
        <v>179</v>
      </c>
      <c r="AF13" s="27"/>
    </row>
    <row r="14" ht="12.75" customHeight="1">
      <c r="A14" s="18"/>
      <c r="B14" s="19" t="s">
        <v>10</v>
      </c>
      <c r="C14" s="20"/>
      <c r="D14" s="13" t="s">
        <v>11</v>
      </c>
      <c r="E14" s="66">
        <v>105.0</v>
      </c>
      <c r="F14" s="66">
        <v>135.0</v>
      </c>
      <c r="G14" s="66">
        <v>112.0</v>
      </c>
      <c r="H14" s="66">
        <v>110.0</v>
      </c>
      <c r="I14" s="66">
        <v>120.0</v>
      </c>
      <c r="J14" s="66">
        <v>136.0</v>
      </c>
      <c r="K14" s="66">
        <v>146.0</v>
      </c>
      <c r="L14" s="66">
        <v>92.0</v>
      </c>
      <c r="M14" s="66">
        <v>81.0</v>
      </c>
      <c r="N14" s="66">
        <v>119.0</v>
      </c>
      <c r="O14" s="66">
        <v>140.0</v>
      </c>
      <c r="P14" s="66">
        <v>140.0</v>
      </c>
      <c r="Q14" s="66">
        <v>140.0</v>
      </c>
      <c r="R14" s="66">
        <v>145.0</v>
      </c>
      <c r="S14" s="66">
        <v>139.0</v>
      </c>
      <c r="T14" s="66">
        <v>94.0</v>
      </c>
      <c r="U14" s="66">
        <v>127.0</v>
      </c>
      <c r="V14" s="66">
        <v>157.0</v>
      </c>
      <c r="W14" s="66">
        <v>149.0</v>
      </c>
      <c r="X14" s="66">
        <v>127.0</v>
      </c>
      <c r="Y14" s="66">
        <v>140.0</v>
      </c>
      <c r="Z14" s="66">
        <v>127.0</v>
      </c>
      <c r="AA14" s="66">
        <v>122.0</v>
      </c>
      <c r="AB14" s="66">
        <v>147.0</v>
      </c>
      <c r="AC14" s="66">
        <v>150.0</v>
      </c>
      <c r="AD14" s="66">
        <v>148.0</v>
      </c>
      <c r="AE14" s="66">
        <v>136.0</v>
      </c>
      <c r="AF14" s="6">
        <f t="shared" ref="AF14:AF16" si="1">SUM(E14:AE14)</f>
        <v>3484</v>
      </c>
    </row>
    <row r="15" ht="12.75" customHeight="1">
      <c r="A15" s="18"/>
      <c r="B15" s="25"/>
      <c r="C15" s="26"/>
      <c r="D15" s="13" t="s">
        <v>12</v>
      </c>
      <c r="E15" s="66">
        <v>127.0</v>
      </c>
      <c r="F15" s="66">
        <v>134.0</v>
      </c>
      <c r="G15" s="66">
        <v>128.0</v>
      </c>
      <c r="H15" s="66">
        <v>110.0</v>
      </c>
      <c r="I15" s="66">
        <v>127.0</v>
      </c>
      <c r="J15" s="66">
        <v>130.0</v>
      </c>
      <c r="K15" s="66">
        <v>142.0</v>
      </c>
      <c r="L15" s="66">
        <v>98.0</v>
      </c>
      <c r="M15" s="66">
        <v>97.0</v>
      </c>
      <c r="N15" s="66">
        <v>129.0</v>
      </c>
      <c r="O15" s="66">
        <v>140.0</v>
      </c>
      <c r="P15" s="66">
        <v>136.0</v>
      </c>
      <c r="Q15" s="66">
        <v>134.0</v>
      </c>
      <c r="R15" s="66">
        <v>139.0</v>
      </c>
      <c r="S15" s="66">
        <v>141.0</v>
      </c>
      <c r="T15" s="66">
        <v>103.0</v>
      </c>
      <c r="U15" s="66">
        <v>127.0</v>
      </c>
      <c r="V15" s="66">
        <v>142.0</v>
      </c>
      <c r="W15" s="66">
        <v>148.0</v>
      </c>
      <c r="X15" s="66">
        <v>131.0</v>
      </c>
      <c r="Y15" s="66">
        <v>150.0</v>
      </c>
      <c r="Z15" s="66">
        <v>137.0</v>
      </c>
      <c r="AA15" s="66">
        <v>110.0</v>
      </c>
      <c r="AB15" s="66">
        <v>132.0</v>
      </c>
      <c r="AC15" s="66">
        <v>148.0</v>
      </c>
      <c r="AD15" s="66">
        <v>151.0</v>
      </c>
      <c r="AE15" s="66">
        <v>144.0</v>
      </c>
      <c r="AF15" s="6">
        <f t="shared" si="1"/>
        <v>3535</v>
      </c>
    </row>
    <row r="16" ht="12.75" customHeight="1">
      <c r="A16" s="16"/>
      <c r="B16" s="15"/>
      <c r="C16" s="27"/>
      <c r="D16" s="6" t="s">
        <v>13</v>
      </c>
      <c r="E16" s="6">
        <f t="shared" ref="E16:AE16" si="2">SUM(E14:E15)</f>
        <v>232</v>
      </c>
      <c r="F16" s="6">
        <f t="shared" si="2"/>
        <v>269</v>
      </c>
      <c r="G16" s="6">
        <f t="shared" si="2"/>
        <v>240</v>
      </c>
      <c r="H16" s="6">
        <f t="shared" si="2"/>
        <v>220</v>
      </c>
      <c r="I16" s="6">
        <f t="shared" si="2"/>
        <v>247</v>
      </c>
      <c r="J16" s="6">
        <f t="shared" si="2"/>
        <v>266</v>
      </c>
      <c r="K16" s="6">
        <f t="shared" si="2"/>
        <v>288</v>
      </c>
      <c r="L16" s="6">
        <f t="shared" si="2"/>
        <v>190</v>
      </c>
      <c r="M16" s="6">
        <f t="shared" si="2"/>
        <v>178</v>
      </c>
      <c r="N16" s="6">
        <f t="shared" si="2"/>
        <v>248</v>
      </c>
      <c r="O16" s="6">
        <f t="shared" si="2"/>
        <v>280</v>
      </c>
      <c r="P16" s="6">
        <f t="shared" si="2"/>
        <v>276</v>
      </c>
      <c r="Q16" s="6">
        <f t="shared" si="2"/>
        <v>274</v>
      </c>
      <c r="R16" s="6">
        <f t="shared" si="2"/>
        <v>284</v>
      </c>
      <c r="S16" s="6">
        <f t="shared" si="2"/>
        <v>280</v>
      </c>
      <c r="T16" s="6">
        <f t="shared" si="2"/>
        <v>197</v>
      </c>
      <c r="U16" s="6">
        <f t="shared" si="2"/>
        <v>254</v>
      </c>
      <c r="V16" s="6">
        <f t="shared" si="2"/>
        <v>299</v>
      </c>
      <c r="W16" s="6">
        <f t="shared" si="2"/>
        <v>297</v>
      </c>
      <c r="X16" s="6">
        <f t="shared" si="2"/>
        <v>258</v>
      </c>
      <c r="Y16" s="6">
        <f t="shared" si="2"/>
        <v>290</v>
      </c>
      <c r="Z16" s="6">
        <f t="shared" si="2"/>
        <v>264</v>
      </c>
      <c r="AA16" s="6">
        <f t="shared" si="2"/>
        <v>232</v>
      </c>
      <c r="AB16" s="6">
        <f t="shared" si="2"/>
        <v>279</v>
      </c>
      <c r="AC16" s="6">
        <f t="shared" si="2"/>
        <v>298</v>
      </c>
      <c r="AD16" s="6">
        <f t="shared" si="2"/>
        <v>299</v>
      </c>
      <c r="AE16" s="6">
        <f t="shared" si="2"/>
        <v>280</v>
      </c>
      <c r="AF16" s="6">
        <f t="shared" si="1"/>
        <v>7019</v>
      </c>
    </row>
    <row r="17" ht="12.75" customHeight="1">
      <c r="A17" s="21"/>
      <c r="B17" s="8"/>
      <c r="C17" s="8"/>
      <c r="D17" s="9"/>
      <c r="E17" s="13"/>
      <c r="F17" s="13"/>
      <c r="G17" s="13"/>
      <c r="H17" s="13"/>
      <c r="I17" s="13"/>
      <c r="J17" s="13"/>
      <c r="K17" s="13"/>
      <c r="L17" s="13"/>
      <c r="M17" s="13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"/>
    </row>
    <row r="18" ht="12.75" customHeight="1">
      <c r="A18" s="32" t="s">
        <v>14</v>
      </c>
      <c r="B18" s="14" t="s">
        <v>15</v>
      </c>
      <c r="C18" s="8"/>
      <c r="D18" s="9"/>
      <c r="E18" s="13"/>
      <c r="F18" s="13"/>
      <c r="G18" s="13"/>
      <c r="H18" s="13"/>
      <c r="I18" s="13"/>
      <c r="J18" s="13"/>
      <c r="K18" s="13"/>
      <c r="L18" s="13"/>
      <c r="M18" s="13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"/>
    </row>
    <row r="19" ht="12.75" customHeight="1">
      <c r="A19" s="32"/>
      <c r="B19" s="33" t="s">
        <v>16</v>
      </c>
      <c r="C19" s="34" t="s">
        <v>17</v>
      </c>
      <c r="D19" s="13" t="s">
        <v>11</v>
      </c>
      <c r="E19" s="66">
        <v>77.0</v>
      </c>
      <c r="F19" s="66">
        <v>95.0</v>
      </c>
      <c r="G19" s="66">
        <v>67.0</v>
      </c>
      <c r="H19" s="66">
        <v>84.0</v>
      </c>
      <c r="I19" s="66">
        <v>101.0</v>
      </c>
      <c r="J19" s="66">
        <v>95.0</v>
      </c>
      <c r="K19" s="66">
        <v>104.0</v>
      </c>
      <c r="L19" s="66">
        <v>65.0</v>
      </c>
      <c r="M19" s="66">
        <v>59.0</v>
      </c>
      <c r="N19" s="66">
        <v>80.0</v>
      </c>
      <c r="O19" s="66">
        <v>108.0</v>
      </c>
      <c r="P19" s="66">
        <v>103.0</v>
      </c>
      <c r="Q19" s="66">
        <v>109.0</v>
      </c>
      <c r="R19" s="66">
        <v>105.0</v>
      </c>
      <c r="S19" s="66">
        <v>101.0</v>
      </c>
      <c r="T19" s="66">
        <v>76.0</v>
      </c>
      <c r="U19" s="66">
        <v>95.0</v>
      </c>
      <c r="V19" s="66">
        <v>119.0</v>
      </c>
      <c r="W19" s="66">
        <v>110.0</v>
      </c>
      <c r="X19" s="66">
        <v>95.0</v>
      </c>
      <c r="Y19" s="66">
        <v>99.0</v>
      </c>
      <c r="Z19" s="66">
        <v>98.0</v>
      </c>
      <c r="AA19" s="66">
        <v>95.0</v>
      </c>
      <c r="AB19" s="66">
        <v>110.0</v>
      </c>
      <c r="AC19" s="66">
        <v>115.0</v>
      </c>
      <c r="AD19" s="66">
        <v>127.0</v>
      </c>
      <c r="AE19" s="66">
        <v>112.0</v>
      </c>
      <c r="AF19" s="6">
        <f t="shared" ref="AF19:AF30" si="3">SUM(E19:AE19)</f>
        <v>2604</v>
      </c>
    </row>
    <row r="20" ht="12.75" customHeight="1">
      <c r="A20" s="35"/>
      <c r="B20" s="26"/>
      <c r="C20" s="36"/>
      <c r="D20" s="13" t="s">
        <v>12</v>
      </c>
      <c r="E20" s="66">
        <v>107.0</v>
      </c>
      <c r="F20" s="66">
        <v>106.0</v>
      </c>
      <c r="G20" s="66">
        <v>88.0</v>
      </c>
      <c r="H20" s="66">
        <v>90.0</v>
      </c>
      <c r="I20" s="66">
        <v>104.0</v>
      </c>
      <c r="J20" s="66">
        <v>104.0</v>
      </c>
      <c r="K20" s="66">
        <v>108.0</v>
      </c>
      <c r="L20" s="66">
        <v>69.0</v>
      </c>
      <c r="M20" s="66">
        <v>68.0</v>
      </c>
      <c r="N20" s="66">
        <v>100.0</v>
      </c>
      <c r="O20" s="66">
        <v>108.0</v>
      </c>
      <c r="P20" s="66">
        <v>115.0</v>
      </c>
      <c r="Q20" s="66">
        <v>103.0</v>
      </c>
      <c r="R20" s="66">
        <v>115.0</v>
      </c>
      <c r="S20" s="66">
        <v>115.0</v>
      </c>
      <c r="T20" s="66">
        <v>81.0</v>
      </c>
      <c r="U20" s="66">
        <v>105.0</v>
      </c>
      <c r="V20" s="66">
        <v>120.0</v>
      </c>
      <c r="W20" s="66">
        <v>128.0</v>
      </c>
      <c r="X20" s="66">
        <v>110.0</v>
      </c>
      <c r="Y20" s="66">
        <v>116.0</v>
      </c>
      <c r="Z20" s="66">
        <v>116.0</v>
      </c>
      <c r="AA20" s="66">
        <v>93.0</v>
      </c>
      <c r="AB20" s="66">
        <v>109.0</v>
      </c>
      <c r="AC20" s="66">
        <v>114.0</v>
      </c>
      <c r="AD20" s="66">
        <v>132.0</v>
      </c>
      <c r="AE20" s="66">
        <v>127.0</v>
      </c>
      <c r="AF20" s="6">
        <f t="shared" si="3"/>
        <v>2851</v>
      </c>
    </row>
    <row r="21" ht="12.75" customHeight="1">
      <c r="A21" s="37"/>
      <c r="B21" s="27"/>
      <c r="C21" s="38"/>
      <c r="D21" s="6" t="s">
        <v>13</v>
      </c>
      <c r="E21" s="6">
        <f t="shared" ref="E21:AE21" si="4">SUM(E19:E20)</f>
        <v>184</v>
      </c>
      <c r="F21" s="6">
        <f t="shared" si="4"/>
        <v>201</v>
      </c>
      <c r="G21" s="6">
        <f t="shared" si="4"/>
        <v>155</v>
      </c>
      <c r="H21" s="6">
        <f t="shared" si="4"/>
        <v>174</v>
      </c>
      <c r="I21" s="6">
        <f t="shared" si="4"/>
        <v>205</v>
      </c>
      <c r="J21" s="6">
        <f t="shared" si="4"/>
        <v>199</v>
      </c>
      <c r="K21" s="6">
        <f t="shared" si="4"/>
        <v>212</v>
      </c>
      <c r="L21" s="6">
        <f t="shared" si="4"/>
        <v>134</v>
      </c>
      <c r="M21" s="6">
        <f t="shared" si="4"/>
        <v>127</v>
      </c>
      <c r="N21" s="6">
        <f t="shared" si="4"/>
        <v>180</v>
      </c>
      <c r="O21" s="6">
        <f t="shared" si="4"/>
        <v>216</v>
      </c>
      <c r="P21" s="6">
        <f t="shared" si="4"/>
        <v>218</v>
      </c>
      <c r="Q21" s="6">
        <f t="shared" si="4"/>
        <v>212</v>
      </c>
      <c r="R21" s="6">
        <f t="shared" si="4"/>
        <v>220</v>
      </c>
      <c r="S21" s="6">
        <f t="shared" si="4"/>
        <v>216</v>
      </c>
      <c r="T21" s="6">
        <f t="shared" si="4"/>
        <v>157</v>
      </c>
      <c r="U21" s="6">
        <f t="shared" si="4"/>
        <v>200</v>
      </c>
      <c r="V21" s="6">
        <f t="shared" si="4"/>
        <v>239</v>
      </c>
      <c r="W21" s="6">
        <f t="shared" si="4"/>
        <v>238</v>
      </c>
      <c r="X21" s="6">
        <f t="shared" si="4"/>
        <v>205</v>
      </c>
      <c r="Y21" s="6">
        <f t="shared" si="4"/>
        <v>215</v>
      </c>
      <c r="Z21" s="6">
        <f t="shared" si="4"/>
        <v>214</v>
      </c>
      <c r="AA21" s="6">
        <f t="shared" si="4"/>
        <v>188</v>
      </c>
      <c r="AB21" s="6">
        <f t="shared" si="4"/>
        <v>219</v>
      </c>
      <c r="AC21" s="6">
        <f t="shared" si="4"/>
        <v>229</v>
      </c>
      <c r="AD21" s="6">
        <f t="shared" si="4"/>
        <v>259</v>
      </c>
      <c r="AE21" s="6">
        <f t="shared" si="4"/>
        <v>239</v>
      </c>
      <c r="AF21" s="6">
        <f t="shared" si="3"/>
        <v>5455</v>
      </c>
    </row>
    <row r="22" ht="12.75" customHeight="1">
      <c r="A22" s="35"/>
      <c r="B22" s="33" t="s">
        <v>18</v>
      </c>
      <c r="C22" s="34" t="s">
        <v>19</v>
      </c>
      <c r="D22" s="13" t="s">
        <v>11</v>
      </c>
      <c r="E22" s="68">
        <v>0.0</v>
      </c>
      <c r="F22" s="68">
        <v>0.0</v>
      </c>
      <c r="G22" s="68">
        <v>0.0</v>
      </c>
      <c r="H22" s="68">
        <v>0.0</v>
      </c>
      <c r="I22" s="68">
        <v>0.0</v>
      </c>
      <c r="J22" s="68">
        <v>0.0</v>
      </c>
      <c r="K22" s="68">
        <v>0.0</v>
      </c>
      <c r="L22" s="68">
        <v>0.0</v>
      </c>
      <c r="M22" s="68">
        <v>0.0</v>
      </c>
      <c r="N22" s="68">
        <v>0.0</v>
      </c>
      <c r="O22" s="68">
        <v>0.0</v>
      </c>
      <c r="P22" s="68">
        <v>0.0</v>
      </c>
      <c r="Q22" s="68">
        <v>0.0</v>
      </c>
      <c r="R22" s="68">
        <v>0.0</v>
      </c>
      <c r="S22" s="68">
        <v>0.0</v>
      </c>
      <c r="T22" s="68">
        <v>0.0</v>
      </c>
      <c r="U22" s="68">
        <v>0.0</v>
      </c>
      <c r="V22" s="68">
        <v>0.0</v>
      </c>
      <c r="W22" s="68">
        <v>1.0</v>
      </c>
      <c r="X22" s="68">
        <v>0.0</v>
      </c>
      <c r="Y22" s="68">
        <v>0.0</v>
      </c>
      <c r="Z22" s="68">
        <v>0.0</v>
      </c>
      <c r="AA22" s="68">
        <v>0.0</v>
      </c>
      <c r="AB22" s="68">
        <v>0.0</v>
      </c>
      <c r="AC22" s="68">
        <v>0.0</v>
      </c>
      <c r="AD22" s="68">
        <v>0.0</v>
      </c>
      <c r="AE22" s="68">
        <v>0.0</v>
      </c>
      <c r="AF22" s="6">
        <f t="shared" si="3"/>
        <v>1</v>
      </c>
    </row>
    <row r="23" ht="12.75" customHeight="1">
      <c r="A23" s="35"/>
      <c r="B23" s="26"/>
      <c r="C23" s="36"/>
      <c r="D23" s="13" t="s">
        <v>12</v>
      </c>
      <c r="E23" s="68">
        <v>0.0</v>
      </c>
      <c r="F23" s="68">
        <v>0.0</v>
      </c>
      <c r="G23" s="68">
        <v>0.0</v>
      </c>
      <c r="H23" s="68">
        <v>0.0</v>
      </c>
      <c r="I23" s="68">
        <v>0.0</v>
      </c>
      <c r="J23" s="68">
        <v>0.0</v>
      </c>
      <c r="K23" s="68">
        <v>0.0</v>
      </c>
      <c r="L23" s="68">
        <v>0.0</v>
      </c>
      <c r="M23" s="68">
        <v>0.0</v>
      </c>
      <c r="N23" s="68">
        <v>0.0</v>
      </c>
      <c r="O23" s="68">
        <v>0.0</v>
      </c>
      <c r="P23" s="68">
        <v>0.0</v>
      </c>
      <c r="Q23" s="68">
        <v>0.0</v>
      </c>
      <c r="R23" s="68">
        <v>0.0</v>
      </c>
      <c r="S23" s="68">
        <v>0.0</v>
      </c>
      <c r="T23" s="68">
        <v>0.0</v>
      </c>
      <c r="U23" s="68">
        <v>0.0</v>
      </c>
      <c r="V23" s="68">
        <v>0.0</v>
      </c>
      <c r="W23" s="68">
        <v>1.0</v>
      </c>
      <c r="X23" s="68">
        <v>0.0</v>
      </c>
      <c r="Y23" s="68">
        <v>1.0</v>
      </c>
      <c r="Z23" s="68">
        <v>0.0</v>
      </c>
      <c r="AA23" s="68">
        <v>0.0</v>
      </c>
      <c r="AB23" s="68">
        <v>0.0</v>
      </c>
      <c r="AC23" s="68">
        <v>0.0</v>
      </c>
      <c r="AD23" s="68">
        <v>0.0</v>
      </c>
      <c r="AE23" s="68">
        <v>0.0</v>
      </c>
      <c r="AF23" s="6">
        <f t="shared" si="3"/>
        <v>2</v>
      </c>
    </row>
    <row r="24" ht="12.75" customHeight="1">
      <c r="A24" s="37"/>
      <c r="B24" s="27"/>
      <c r="C24" s="38"/>
      <c r="D24" s="6" t="s">
        <v>13</v>
      </c>
      <c r="E24" s="6">
        <f t="shared" ref="E24:AE24" si="5">SUM(E22:E23)</f>
        <v>0</v>
      </c>
      <c r="F24" s="6">
        <f t="shared" si="5"/>
        <v>0</v>
      </c>
      <c r="G24" s="6">
        <f t="shared" si="5"/>
        <v>0</v>
      </c>
      <c r="H24" s="6">
        <f t="shared" si="5"/>
        <v>0</v>
      </c>
      <c r="I24" s="6">
        <f t="shared" si="5"/>
        <v>0</v>
      </c>
      <c r="J24" s="6">
        <f t="shared" si="5"/>
        <v>0</v>
      </c>
      <c r="K24" s="6">
        <f t="shared" si="5"/>
        <v>0</v>
      </c>
      <c r="L24" s="6">
        <f t="shared" si="5"/>
        <v>0</v>
      </c>
      <c r="M24" s="6">
        <f t="shared" si="5"/>
        <v>0</v>
      </c>
      <c r="N24" s="6">
        <f t="shared" si="5"/>
        <v>0</v>
      </c>
      <c r="O24" s="6">
        <f t="shared" si="5"/>
        <v>0</v>
      </c>
      <c r="P24" s="6">
        <f t="shared" si="5"/>
        <v>0</v>
      </c>
      <c r="Q24" s="6">
        <f t="shared" si="5"/>
        <v>0</v>
      </c>
      <c r="R24" s="6">
        <f t="shared" si="5"/>
        <v>0</v>
      </c>
      <c r="S24" s="6">
        <f t="shared" si="5"/>
        <v>0</v>
      </c>
      <c r="T24" s="6">
        <f t="shared" si="5"/>
        <v>0</v>
      </c>
      <c r="U24" s="6">
        <f t="shared" si="5"/>
        <v>0</v>
      </c>
      <c r="V24" s="6">
        <f t="shared" si="5"/>
        <v>0</v>
      </c>
      <c r="W24" s="6">
        <f t="shared" si="5"/>
        <v>2</v>
      </c>
      <c r="X24" s="6">
        <f t="shared" si="5"/>
        <v>0</v>
      </c>
      <c r="Y24" s="6">
        <f t="shared" si="5"/>
        <v>1</v>
      </c>
      <c r="Z24" s="6">
        <f t="shared" si="5"/>
        <v>0</v>
      </c>
      <c r="AA24" s="6">
        <f t="shared" si="5"/>
        <v>0</v>
      </c>
      <c r="AB24" s="6">
        <f t="shared" si="5"/>
        <v>0</v>
      </c>
      <c r="AC24" s="6">
        <f t="shared" si="5"/>
        <v>0</v>
      </c>
      <c r="AD24" s="6">
        <f t="shared" si="5"/>
        <v>0</v>
      </c>
      <c r="AE24" s="6">
        <f t="shared" si="5"/>
        <v>0</v>
      </c>
      <c r="AF24" s="6">
        <f t="shared" si="3"/>
        <v>3</v>
      </c>
    </row>
    <row r="25" ht="12.75" customHeight="1">
      <c r="A25" s="35"/>
      <c r="B25" s="33" t="s">
        <v>20</v>
      </c>
      <c r="C25" s="34" t="s">
        <v>21</v>
      </c>
      <c r="D25" s="13" t="s">
        <v>11</v>
      </c>
      <c r="E25" s="68">
        <v>0.0</v>
      </c>
      <c r="F25" s="68">
        <v>2.0</v>
      </c>
      <c r="G25" s="68">
        <v>1.0</v>
      </c>
      <c r="H25" s="68">
        <v>1.0</v>
      </c>
      <c r="I25" s="68">
        <v>3.0</v>
      </c>
      <c r="J25" s="68">
        <v>0.0</v>
      </c>
      <c r="K25" s="68">
        <v>0.0</v>
      </c>
      <c r="L25" s="68">
        <v>0.0</v>
      </c>
      <c r="M25" s="68">
        <v>0.0</v>
      </c>
      <c r="N25" s="68">
        <v>1.0</v>
      </c>
      <c r="O25" s="68">
        <v>1.0</v>
      </c>
      <c r="P25" s="68">
        <v>2.0</v>
      </c>
      <c r="Q25" s="68">
        <v>1.0</v>
      </c>
      <c r="R25" s="68">
        <v>1.0</v>
      </c>
      <c r="S25" s="68">
        <v>0.0</v>
      </c>
      <c r="T25" s="68">
        <v>1.0</v>
      </c>
      <c r="U25" s="68">
        <v>0.0</v>
      </c>
      <c r="V25" s="68">
        <v>0.0</v>
      </c>
      <c r="W25" s="68">
        <v>5.0</v>
      </c>
      <c r="X25" s="68">
        <v>0.0</v>
      </c>
      <c r="Y25" s="68">
        <v>0.0</v>
      </c>
      <c r="Z25" s="68">
        <v>1.0</v>
      </c>
      <c r="AA25" s="68">
        <v>1.0</v>
      </c>
      <c r="AB25" s="68">
        <v>0.0</v>
      </c>
      <c r="AC25" s="68">
        <v>0.0</v>
      </c>
      <c r="AD25" s="68">
        <v>0.0</v>
      </c>
      <c r="AE25" s="68">
        <v>0.0</v>
      </c>
      <c r="AF25" s="6">
        <f t="shared" si="3"/>
        <v>21</v>
      </c>
    </row>
    <row r="26" ht="12.75" customHeight="1">
      <c r="A26" s="35"/>
      <c r="B26" s="26"/>
      <c r="C26" s="36"/>
      <c r="D26" s="13" t="s">
        <v>12</v>
      </c>
      <c r="E26" s="68">
        <v>1.0</v>
      </c>
      <c r="F26" s="68">
        <v>0.0</v>
      </c>
      <c r="G26" s="68">
        <v>0.0</v>
      </c>
      <c r="H26" s="68">
        <v>0.0</v>
      </c>
      <c r="I26" s="68">
        <v>1.0</v>
      </c>
      <c r="J26" s="68">
        <v>0.0</v>
      </c>
      <c r="K26" s="68">
        <v>0.0</v>
      </c>
      <c r="L26" s="68">
        <v>0.0</v>
      </c>
      <c r="M26" s="68">
        <v>0.0</v>
      </c>
      <c r="N26" s="68">
        <v>0.0</v>
      </c>
      <c r="O26" s="68">
        <v>0.0</v>
      </c>
      <c r="P26" s="68">
        <v>0.0</v>
      </c>
      <c r="Q26" s="68">
        <v>0.0</v>
      </c>
      <c r="R26" s="68">
        <v>1.0</v>
      </c>
      <c r="S26" s="68">
        <v>0.0</v>
      </c>
      <c r="T26" s="68">
        <v>0.0</v>
      </c>
      <c r="U26" s="68">
        <v>0.0</v>
      </c>
      <c r="V26" s="68">
        <v>0.0</v>
      </c>
      <c r="W26" s="68">
        <v>4.0</v>
      </c>
      <c r="X26" s="68">
        <v>1.0</v>
      </c>
      <c r="Y26" s="68">
        <v>1.0</v>
      </c>
      <c r="Z26" s="68">
        <v>0.0</v>
      </c>
      <c r="AA26" s="68">
        <v>2.0</v>
      </c>
      <c r="AB26" s="68">
        <v>0.0</v>
      </c>
      <c r="AC26" s="68">
        <v>0.0</v>
      </c>
      <c r="AD26" s="68">
        <v>0.0</v>
      </c>
      <c r="AE26" s="68">
        <v>0.0</v>
      </c>
      <c r="AF26" s="6">
        <f t="shared" si="3"/>
        <v>11</v>
      </c>
    </row>
    <row r="27" ht="12.75" customHeight="1">
      <c r="A27" s="37"/>
      <c r="B27" s="27"/>
      <c r="C27" s="38"/>
      <c r="D27" s="6" t="s">
        <v>13</v>
      </c>
      <c r="E27" s="6">
        <f t="shared" ref="E27:AE27" si="6">SUM(E25:E26)</f>
        <v>1</v>
      </c>
      <c r="F27" s="6">
        <f t="shared" si="6"/>
        <v>2</v>
      </c>
      <c r="G27" s="6">
        <f t="shared" si="6"/>
        <v>1</v>
      </c>
      <c r="H27" s="6">
        <f t="shared" si="6"/>
        <v>1</v>
      </c>
      <c r="I27" s="6">
        <f t="shared" si="6"/>
        <v>4</v>
      </c>
      <c r="J27" s="6">
        <f t="shared" si="6"/>
        <v>0</v>
      </c>
      <c r="K27" s="6">
        <f t="shared" si="6"/>
        <v>0</v>
      </c>
      <c r="L27" s="6">
        <f t="shared" si="6"/>
        <v>0</v>
      </c>
      <c r="M27" s="6">
        <f t="shared" si="6"/>
        <v>0</v>
      </c>
      <c r="N27" s="6">
        <f t="shared" si="6"/>
        <v>1</v>
      </c>
      <c r="O27" s="6">
        <f t="shared" si="6"/>
        <v>1</v>
      </c>
      <c r="P27" s="6">
        <f t="shared" si="6"/>
        <v>2</v>
      </c>
      <c r="Q27" s="6">
        <f t="shared" si="6"/>
        <v>1</v>
      </c>
      <c r="R27" s="6">
        <f t="shared" si="6"/>
        <v>2</v>
      </c>
      <c r="S27" s="6">
        <f t="shared" si="6"/>
        <v>0</v>
      </c>
      <c r="T27" s="6">
        <f t="shared" si="6"/>
        <v>1</v>
      </c>
      <c r="U27" s="6">
        <f t="shared" si="6"/>
        <v>0</v>
      </c>
      <c r="V27" s="6">
        <f t="shared" si="6"/>
        <v>0</v>
      </c>
      <c r="W27" s="6">
        <f t="shared" si="6"/>
        <v>9</v>
      </c>
      <c r="X27" s="6">
        <f t="shared" si="6"/>
        <v>1</v>
      </c>
      <c r="Y27" s="6">
        <f t="shared" si="6"/>
        <v>1</v>
      </c>
      <c r="Z27" s="6">
        <f t="shared" si="6"/>
        <v>1</v>
      </c>
      <c r="AA27" s="6">
        <f t="shared" si="6"/>
        <v>3</v>
      </c>
      <c r="AB27" s="6">
        <f t="shared" si="6"/>
        <v>0</v>
      </c>
      <c r="AC27" s="6">
        <f t="shared" si="6"/>
        <v>0</v>
      </c>
      <c r="AD27" s="6">
        <f t="shared" si="6"/>
        <v>0</v>
      </c>
      <c r="AE27" s="6">
        <f t="shared" si="6"/>
        <v>0</v>
      </c>
      <c r="AF27" s="6">
        <f t="shared" si="3"/>
        <v>32</v>
      </c>
    </row>
    <row r="28" ht="12.75" customHeight="1">
      <c r="A28" s="37"/>
      <c r="B28" s="39" t="s">
        <v>22</v>
      </c>
      <c r="C28" s="40" t="s">
        <v>23</v>
      </c>
      <c r="D28" s="6" t="s">
        <v>11</v>
      </c>
      <c r="E28" s="6">
        <f t="shared" ref="E28:AE28" si="7">SUM(E19,E22,E25)</f>
        <v>77</v>
      </c>
      <c r="F28" s="6">
        <f t="shared" si="7"/>
        <v>97</v>
      </c>
      <c r="G28" s="6">
        <f t="shared" si="7"/>
        <v>68</v>
      </c>
      <c r="H28" s="6">
        <f t="shared" si="7"/>
        <v>85</v>
      </c>
      <c r="I28" s="6">
        <f t="shared" si="7"/>
        <v>104</v>
      </c>
      <c r="J28" s="6">
        <f t="shared" si="7"/>
        <v>95</v>
      </c>
      <c r="K28" s="6">
        <f t="shared" si="7"/>
        <v>104</v>
      </c>
      <c r="L28" s="6">
        <f t="shared" si="7"/>
        <v>65</v>
      </c>
      <c r="M28" s="6">
        <f t="shared" si="7"/>
        <v>59</v>
      </c>
      <c r="N28" s="6">
        <f t="shared" si="7"/>
        <v>81</v>
      </c>
      <c r="O28" s="6">
        <f t="shared" si="7"/>
        <v>109</v>
      </c>
      <c r="P28" s="6">
        <f t="shared" si="7"/>
        <v>105</v>
      </c>
      <c r="Q28" s="6">
        <f t="shared" si="7"/>
        <v>110</v>
      </c>
      <c r="R28" s="6">
        <f t="shared" si="7"/>
        <v>106</v>
      </c>
      <c r="S28" s="6">
        <f t="shared" si="7"/>
        <v>101</v>
      </c>
      <c r="T28" s="6">
        <f t="shared" si="7"/>
        <v>77</v>
      </c>
      <c r="U28" s="6">
        <f t="shared" si="7"/>
        <v>95</v>
      </c>
      <c r="V28" s="6">
        <f t="shared" si="7"/>
        <v>119</v>
      </c>
      <c r="W28" s="6">
        <f t="shared" si="7"/>
        <v>116</v>
      </c>
      <c r="X28" s="6">
        <f t="shared" si="7"/>
        <v>95</v>
      </c>
      <c r="Y28" s="6">
        <f t="shared" si="7"/>
        <v>99</v>
      </c>
      <c r="Z28" s="6">
        <f t="shared" si="7"/>
        <v>99</v>
      </c>
      <c r="AA28" s="6">
        <f t="shared" si="7"/>
        <v>96</v>
      </c>
      <c r="AB28" s="6">
        <f t="shared" si="7"/>
        <v>110</v>
      </c>
      <c r="AC28" s="6">
        <f t="shared" si="7"/>
        <v>115</v>
      </c>
      <c r="AD28" s="6">
        <f t="shared" si="7"/>
        <v>127</v>
      </c>
      <c r="AE28" s="6">
        <f t="shared" si="7"/>
        <v>112</v>
      </c>
      <c r="AF28" s="6">
        <f t="shared" si="3"/>
        <v>2626</v>
      </c>
    </row>
    <row r="29" ht="12.75" customHeight="1">
      <c r="A29" s="37"/>
      <c r="B29" s="26"/>
      <c r="C29" s="36"/>
      <c r="D29" s="6" t="s">
        <v>12</v>
      </c>
      <c r="E29" s="6">
        <f t="shared" ref="E29:AE29" si="8">SUM(E20,E23,E26)</f>
        <v>108</v>
      </c>
      <c r="F29" s="6">
        <f t="shared" si="8"/>
        <v>106</v>
      </c>
      <c r="G29" s="6">
        <f t="shared" si="8"/>
        <v>88</v>
      </c>
      <c r="H29" s="6">
        <f t="shared" si="8"/>
        <v>90</v>
      </c>
      <c r="I29" s="6">
        <f t="shared" si="8"/>
        <v>105</v>
      </c>
      <c r="J29" s="6">
        <f t="shared" si="8"/>
        <v>104</v>
      </c>
      <c r="K29" s="6">
        <f t="shared" si="8"/>
        <v>108</v>
      </c>
      <c r="L29" s="6">
        <f t="shared" si="8"/>
        <v>69</v>
      </c>
      <c r="M29" s="6">
        <f t="shared" si="8"/>
        <v>68</v>
      </c>
      <c r="N29" s="6">
        <f t="shared" si="8"/>
        <v>100</v>
      </c>
      <c r="O29" s="6">
        <f t="shared" si="8"/>
        <v>108</v>
      </c>
      <c r="P29" s="6">
        <f t="shared" si="8"/>
        <v>115</v>
      </c>
      <c r="Q29" s="6">
        <f t="shared" si="8"/>
        <v>103</v>
      </c>
      <c r="R29" s="6">
        <f t="shared" si="8"/>
        <v>116</v>
      </c>
      <c r="S29" s="6">
        <f t="shared" si="8"/>
        <v>115</v>
      </c>
      <c r="T29" s="6">
        <f t="shared" si="8"/>
        <v>81</v>
      </c>
      <c r="U29" s="6">
        <f t="shared" si="8"/>
        <v>105</v>
      </c>
      <c r="V29" s="6">
        <f t="shared" si="8"/>
        <v>120</v>
      </c>
      <c r="W29" s="6">
        <f t="shared" si="8"/>
        <v>133</v>
      </c>
      <c r="X29" s="6">
        <f t="shared" si="8"/>
        <v>111</v>
      </c>
      <c r="Y29" s="6">
        <f t="shared" si="8"/>
        <v>118</v>
      </c>
      <c r="Z29" s="6">
        <f t="shared" si="8"/>
        <v>116</v>
      </c>
      <c r="AA29" s="6">
        <f t="shared" si="8"/>
        <v>95</v>
      </c>
      <c r="AB29" s="6">
        <f t="shared" si="8"/>
        <v>109</v>
      </c>
      <c r="AC29" s="6">
        <f t="shared" si="8"/>
        <v>114</v>
      </c>
      <c r="AD29" s="6">
        <f t="shared" si="8"/>
        <v>132</v>
      </c>
      <c r="AE29" s="6">
        <f t="shared" si="8"/>
        <v>127</v>
      </c>
      <c r="AF29" s="6">
        <f t="shared" si="3"/>
        <v>2864</v>
      </c>
    </row>
    <row r="30" ht="12.75" customHeight="1">
      <c r="A30" s="37"/>
      <c r="B30" s="27"/>
      <c r="C30" s="38"/>
      <c r="D30" s="6" t="s">
        <v>13</v>
      </c>
      <c r="E30" s="6">
        <f t="shared" ref="E30:AE30" si="9">SUM(E28:E29)</f>
        <v>185</v>
      </c>
      <c r="F30" s="6">
        <f t="shared" si="9"/>
        <v>203</v>
      </c>
      <c r="G30" s="6">
        <f t="shared" si="9"/>
        <v>156</v>
      </c>
      <c r="H30" s="6">
        <f t="shared" si="9"/>
        <v>175</v>
      </c>
      <c r="I30" s="6">
        <f t="shared" si="9"/>
        <v>209</v>
      </c>
      <c r="J30" s="6">
        <f t="shared" si="9"/>
        <v>199</v>
      </c>
      <c r="K30" s="6">
        <f t="shared" si="9"/>
        <v>212</v>
      </c>
      <c r="L30" s="6">
        <f t="shared" si="9"/>
        <v>134</v>
      </c>
      <c r="M30" s="6">
        <f t="shared" si="9"/>
        <v>127</v>
      </c>
      <c r="N30" s="6">
        <f t="shared" si="9"/>
        <v>181</v>
      </c>
      <c r="O30" s="6">
        <f t="shared" si="9"/>
        <v>217</v>
      </c>
      <c r="P30" s="6">
        <f t="shared" si="9"/>
        <v>220</v>
      </c>
      <c r="Q30" s="6">
        <f t="shared" si="9"/>
        <v>213</v>
      </c>
      <c r="R30" s="6">
        <f t="shared" si="9"/>
        <v>222</v>
      </c>
      <c r="S30" s="6">
        <f t="shared" si="9"/>
        <v>216</v>
      </c>
      <c r="T30" s="6">
        <f t="shared" si="9"/>
        <v>158</v>
      </c>
      <c r="U30" s="6">
        <f t="shared" si="9"/>
        <v>200</v>
      </c>
      <c r="V30" s="6">
        <f t="shared" si="9"/>
        <v>239</v>
      </c>
      <c r="W30" s="6">
        <f t="shared" si="9"/>
        <v>249</v>
      </c>
      <c r="X30" s="6">
        <f t="shared" si="9"/>
        <v>206</v>
      </c>
      <c r="Y30" s="6">
        <f t="shared" si="9"/>
        <v>217</v>
      </c>
      <c r="Z30" s="6">
        <f t="shared" si="9"/>
        <v>215</v>
      </c>
      <c r="AA30" s="6">
        <f t="shared" si="9"/>
        <v>191</v>
      </c>
      <c r="AB30" s="6">
        <f t="shared" si="9"/>
        <v>219</v>
      </c>
      <c r="AC30" s="6">
        <f t="shared" si="9"/>
        <v>229</v>
      </c>
      <c r="AD30" s="6">
        <f t="shared" si="9"/>
        <v>259</v>
      </c>
      <c r="AE30" s="6">
        <f t="shared" si="9"/>
        <v>239</v>
      </c>
      <c r="AF30" s="6">
        <f t="shared" si="3"/>
        <v>5490</v>
      </c>
    </row>
    <row r="31" ht="12.75" customHeight="1">
      <c r="A31" s="21"/>
      <c r="B31" s="8"/>
      <c r="C31" s="8"/>
      <c r="D31" s="9"/>
      <c r="E31" s="13"/>
      <c r="F31" s="13"/>
      <c r="G31" s="13"/>
      <c r="H31" s="13"/>
      <c r="I31" s="13"/>
      <c r="J31" s="13"/>
      <c r="K31" s="13"/>
      <c r="L31" s="13"/>
      <c r="M31" s="13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"/>
    </row>
    <row r="32" ht="12.75" customHeight="1">
      <c r="A32" s="42" t="s">
        <v>24</v>
      </c>
      <c r="B32" s="7" t="s">
        <v>25</v>
      </c>
      <c r="C32" s="8"/>
      <c r="D32" s="9"/>
      <c r="E32" s="6"/>
      <c r="F32" s="6"/>
      <c r="G32" s="6"/>
      <c r="H32" s="6"/>
      <c r="I32" s="6"/>
      <c r="J32" s="6"/>
      <c r="K32" s="6"/>
      <c r="L32" s="6"/>
      <c r="M32" s="6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"/>
    </row>
    <row r="33" ht="12.75" customHeight="1">
      <c r="A33" s="13">
        <v>1.0</v>
      </c>
      <c r="B33" s="14" t="s">
        <v>26</v>
      </c>
      <c r="C33" s="8"/>
      <c r="D33" s="9"/>
      <c r="E33" s="68">
        <v>237.0</v>
      </c>
      <c r="F33" s="68">
        <v>275.0</v>
      </c>
      <c r="G33" s="68">
        <v>246.0</v>
      </c>
      <c r="H33" s="68">
        <v>225.0</v>
      </c>
      <c r="I33" s="68">
        <v>252.0</v>
      </c>
      <c r="J33" s="68">
        <v>270.0</v>
      </c>
      <c r="K33" s="68">
        <v>294.0</v>
      </c>
      <c r="L33" s="68">
        <v>184.0</v>
      </c>
      <c r="M33" s="68">
        <v>182.0</v>
      </c>
      <c r="N33" s="68">
        <v>253.0</v>
      </c>
      <c r="O33" s="68">
        <v>287.0</v>
      </c>
      <c r="P33" s="68">
        <v>290.0</v>
      </c>
      <c r="Q33" s="68">
        <v>280.0</v>
      </c>
      <c r="R33" s="68">
        <v>290.0</v>
      </c>
      <c r="S33" s="68">
        <v>286.0</v>
      </c>
      <c r="T33" s="68">
        <v>201.0</v>
      </c>
      <c r="U33" s="68">
        <v>259.0</v>
      </c>
      <c r="V33" s="68">
        <v>305.0</v>
      </c>
      <c r="W33" s="68">
        <v>303.0</v>
      </c>
      <c r="X33" s="68">
        <v>264.0</v>
      </c>
      <c r="Y33" s="68">
        <v>296.0</v>
      </c>
      <c r="Z33" s="68">
        <v>270.0</v>
      </c>
      <c r="AA33" s="68">
        <v>238.0</v>
      </c>
      <c r="AB33" s="68">
        <v>286.0</v>
      </c>
      <c r="AC33" s="68">
        <v>304.0</v>
      </c>
      <c r="AD33" s="68">
        <v>305.0</v>
      </c>
      <c r="AE33" s="68">
        <v>280.0</v>
      </c>
      <c r="AF33" s="6">
        <f t="shared" ref="AF33:AF36" si="10">SUM(E33:AE33)</f>
        <v>7162</v>
      </c>
    </row>
    <row r="34" ht="12.75" customHeight="1">
      <c r="A34" s="13">
        <v>2.0</v>
      </c>
      <c r="B34" s="14" t="s">
        <v>27</v>
      </c>
      <c r="C34" s="8"/>
      <c r="D34" s="9"/>
      <c r="E34" s="68">
        <v>185.0</v>
      </c>
      <c r="F34" s="68">
        <v>203.0</v>
      </c>
      <c r="G34" s="68">
        <v>156.0</v>
      </c>
      <c r="H34" s="68">
        <v>175.0</v>
      </c>
      <c r="I34" s="68">
        <v>209.0</v>
      </c>
      <c r="J34" s="68">
        <v>199.0</v>
      </c>
      <c r="K34" s="68">
        <v>212.0</v>
      </c>
      <c r="L34" s="68">
        <v>134.0</v>
      </c>
      <c r="M34" s="68">
        <v>127.0</v>
      </c>
      <c r="N34" s="68">
        <v>181.0</v>
      </c>
      <c r="O34" s="68">
        <v>217.0</v>
      </c>
      <c r="P34" s="68">
        <v>220.0</v>
      </c>
      <c r="Q34" s="68">
        <v>213.0</v>
      </c>
      <c r="R34" s="68">
        <v>222.0</v>
      </c>
      <c r="S34" s="68">
        <v>216.0</v>
      </c>
      <c r="T34" s="70">
        <v>158.0</v>
      </c>
      <c r="U34" s="70">
        <v>200.0</v>
      </c>
      <c r="V34" s="70">
        <v>239.0</v>
      </c>
      <c r="W34" s="70">
        <v>249.0</v>
      </c>
      <c r="X34" s="70">
        <v>206.0</v>
      </c>
      <c r="Y34" s="70">
        <v>217.0</v>
      </c>
      <c r="Z34" s="70">
        <v>215.0</v>
      </c>
      <c r="AA34" s="70">
        <v>191.0</v>
      </c>
      <c r="AB34" s="70">
        <v>219.0</v>
      </c>
      <c r="AC34" s="70">
        <v>229.0</v>
      </c>
      <c r="AD34" s="70">
        <v>259.0</v>
      </c>
      <c r="AE34" s="70">
        <v>239.0</v>
      </c>
      <c r="AF34" s="6">
        <f t="shared" si="10"/>
        <v>5490</v>
      </c>
    </row>
    <row r="35" ht="12.75" customHeight="1">
      <c r="A35" s="13">
        <v>3.0</v>
      </c>
      <c r="B35" s="14" t="s">
        <v>28</v>
      </c>
      <c r="C35" s="8"/>
      <c r="D35" s="9"/>
      <c r="E35" s="68">
        <v>1.0</v>
      </c>
      <c r="F35" s="68">
        <v>0.0</v>
      </c>
      <c r="G35" s="68">
        <v>0.0</v>
      </c>
      <c r="H35" s="68">
        <v>0.0</v>
      </c>
      <c r="I35" s="68">
        <v>1.0</v>
      </c>
      <c r="J35" s="68">
        <v>0.0</v>
      </c>
      <c r="K35" s="68">
        <v>0.0</v>
      </c>
      <c r="L35" s="68">
        <v>3.0</v>
      </c>
      <c r="M35" s="68">
        <v>3.0</v>
      </c>
      <c r="N35" s="68">
        <v>1.0</v>
      </c>
      <c r="O35" s="68">
        <v>2.0</v>
      </c>
      <c r="P35" s="68">
        <v>0.0</v>
      </c>
      <c r="Q35" s="68">
        <v>1.0</v>
      </c>
      <c r="R35" s="68">
        <v>0.0</v>
      </c>
      <c r="S35" s="68">
        <v>0.0</v>
      </c>
      <c r="T35" s="68">
        <v>1.0</v>
      </c>
      <c r="U35" s="68">
        <v>0.0</v>
      </c>
      <c r="V35" s="68">
        <v>0.0</v>
      </c>
      <c r="W35" s="68">
        <v>0.0</v>
      </c>
      <c r="X35" s="68">
        <v>1.0</v>
      </c>
      <c r="Y35" s="68">
        <v>1.0</v>
      </c>
      <c r="Z35" s="68">
        <v>0.0</v>
      </c>
      <c r="AA35" s="68">
        <v>0.0</v>
      </c>
      <c r="AB35" s="68">
        <v>0.0</v>
      </c>
      <c r="AC35" s="68">
        <v>0.0</v>
      </c>
      <c r="AD35" s="68">
        <v>0.0</v>
      </c>
      <c r="AE35" s="68">
        <v>0.0</v>
      </c>
      <c r="AF35" s="6">
        <f t="shared" si="10"/>
        <v>15</v>
      </c>
    </row>
    <row r="36" ht="12.75" customHeight="1">
      <c r="A36" s="13">
        <v>4.0</v>
      </c>
      <c r="B36" s="14" t="s">
        <v>29</v>
      </c>
      <c r="C36" s="8"/>
      <c r="D36" s="9"/>
      <c r="E36" s="6">
        <f t="shared" ref="E36:AE36" si="11">E33-(E34+E35)</f>
        <v>51</v>
      </c>
      <c r="F36" s="6">
        <f t="shared" si="11"/>
        <v>72</v>
      </c>
      <c r="G36" s="6">
        <f t="shared" si="11"/>
        <v>90</v>
      </c>
      <c r="H36" s="6">
        <f t="shared" si="11"/>
        <v>50</v>
      </c>
      <c r="I36" s="6">
        <f t="shared" si="11"/>
        <v>42</v>
      </c>
      <c r="J36" s="6">
        <f t="shared" si="11"/>
        <v>71</v>
      </c>
      <c r="K36" s="6">
        <f t="shared" si="11"/>
        <v>82</v>
      </c>
      <c r="L36" s="6">
        <f t="shared" si="11"/>
        <v>47</v>
      </c>
      <c r="M36" s="6">
        <f t="shared" si="11"/>
        <v>52</v>
      </c>
      <c r="N36" s="6">
        <f t="shared" si="11"/>
        <v>71</v>
      </c>
      <c r="O36" s="6">
        <f t="shared" si="11"/>
        <v>68</v>
      </c>
      <c r="P36" s="6">
        <f t="shared" si="11"/>
        <v>70</v>
      </c>
      <c r="Q36" s="6">
        <f t="shared" si="11"/>
        <v>66</v>
      </c>
      <c r="R36" s="6">
        <f t="shared" si="11"/>
        <v>68</v>
      </c>
      <c r="S36" s="6">
        <f t="shared" si="11"/>
        <v>70</v>
      </c>
      <c r="T36" s="6">
        <f t="shared" si="11"/>
        <v>42</v>
      </c>
      <c r="U36" s="6">
        <f t="shared" si="11"/>
        <v>59</v>
      </c>
      <c r="V36" s="6">
        <f t="shared" si="11"/>
        <v>66</v>
      </c>
      <c r="W36" s="6">
        <f t="shared" si="11"/>
        <v>54</v>
      </c>
      <c r="X36" s="6">
        <f t="shared" si="11"/>
        <v>57</v>
      </c>
      <c r="Y36" s="6">
        <f t="shared" si="11"/>
        <v>78</v>
      </c>
      <c r="Z36" s="6">
        <f t="shared" si="11"/>
        <v>55</v>
      </c>
      <c r="AA36" s="6">
        <f t="shared" si="11"/>
        <v>47</v>
      </c>
      <c r="AB36" s="6">
        <f t="shared" si="11"/>
        <v>67</v>
      </c>
      <c r="AC36" s="6">
        <f t="shared" si="11"/>
        <v>75</v>
      </c>
      <c r="AD36" s="6">
        <f t="shared" si="11"/>
        <v>46</v>
      </c>
      <c r="AE36" s="6">
        <f t="shared" si="11"/>
        <v>41</v>
      </c>
      <c r="AF36" s="6">
        <f t="shared" si="10"/>
        <v>1657</v>
      </c>
    </row>
    <row r="37" ht="12.75" customHeight="1">
      <c r="A37" s="21"/>
      <c r="B37" s="8"/>
      <c r="C37" s="8"/>
      <c r="D37" s="8"/>
      <c r="E37" s="21"/>
      <c r="F37" s="8"/>
      <c r="G37" s="8"/>
      <c r="H37" s="8"/>
      <c r="I37" s="9"/>
      <c r="J37" s="13"/>
      <c r="K37" s="13"/>
      <c r="L37" s="13"/>
      <c r="M37" s="13"/>
      <c r="N37" s="67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6"/>
    </row>
    <row r="38" ht="12.75" customHeight="1">
      <c r="A38" s="44" t="s">
        <v>30</v>
      </c>
      <c r="B38" s="7" t="s">
        <v>31</v>
      </c>
      <c r="C38" s="8"/>
      <c r="D38" s="9"/>
      <c r="E38" s="6"/>
      <c r="F38" s="6"/>
      <c r="G38" s="6"/>
      <c r="H38" s="6"/>
      <c r="I38" s="6"/>
      <c r="J38" s="6"/>
      <c r="K38" s="6"/>
      <c r="L38" s="6"/>
      <c r="M38" s="6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"/>
    </row>
    <row r="39" ht="12.75" customHeight="1">
      <c r="A39" s="32"/>
      <c r="B39" s="45" t="s">
        <v>32</v>
      </c>
      <c r="C39" s="20"/>
      <c r="D39" s="13" t="s">
        <v>11</v>
      </c>
      <c r="E39" s="68">
        <v>0.0</v>
      </c>
      <c r="F39" s="68">
        <v>0.0</v>
      </c>
      <c r="G39" s="68">
        <v>0.0</v>
      </c>
      <c r="H39" s="68">
        <v>0.0</v>
      </c>
      <c r="I39" s="68">
        <v>0.0</v>
      </c>
      <c r="J39" s="68">
        <v>0.0</v>
      </c>
      <c r="K39" s="68">
        <v>1.0</v>
      </c>
      <c r="L39" s="68">
        <v>0.0</v>
      </c>
      <c r="M39" s="68">
        <v>0.0</v>
      </c>
      <c r="N39" s="68">
        <v>0.0</v>
      </c>
      <c r="O39" s="68">
        <v>0.0</v>
      </c>
      <c r="P39" s="68">
        <v>0.0</v>
      </c>
      <c r="Q39" s="68">
        <v>0.0</v>
      </c>
      <c r="R39" s="68">
        <v>2.0</v>
      </c>
      <c r="S39" s="68">
        <v>0.0</v>
      </c>
      <c r="T39" s="68">
        <v>0.0</v>
      </c>
      <c r="U39" s="68">
        <v>0.0</v>
      </c>
      <c r="V39" s="68">
        <v>2.0</v>
      </c>
      <c r="W39" s="68">
        <v>0.0</v>
      </c>
      <c r="X39" s="68">
        <v>0.0</v>
      </c>
      <c r="Y39" s="68">
        <v>0.0</v>
      </c>
      <c r="Z39" s="68">
        <v>0.0</v>
      </c>
      <c r="AA39" s="68">
        <v>0.0</v>
      </c>
      <c r="AB39" s="68">
        <v>0.0</v>
      </c>
      <c r="AC39" s="68">
        <v>0.0</v>
      </c>
      <c r="AD39" s="68">
        <v>0.0</v>
      </c>
      <c r="AE39" s="68">
        <v>0.0</v>
      </c>
      <c r="AF39" s="6">
        <f t="shared" ref="AF39:AF41" si="12">SUM(E39:AE39)</f>
        <v>5</v>
      </c>
    </row>
    <row r="40" ht="12.75" customHeight="1">
      <c r="A40" s="35"/>
      <c r="C40" s="26"/>
      <c r="D40" s="13" t="s">
        <v>12</v>
      </c>
      <c r="E40" s="68">
        <v>0.0</v>
      </c>
      <c r="F40" s="68">
        <v>0.0</v>
      </c>
      <c r="G40" s="68">
        <v>0.0</v>
      </c>
      <c r="H40" s="68">
        <v>0.0</v>
      </c>
      <c r="I40" s="68">
        <v>1.0</v>
      </c>
      <c r="J40" s="68">
        <v>0.0</v>
      </c>
      <c r="K40" s="68">
        <v>0.0</v>
      </c>
      <c r="L40" s="68">
        <v>0.0</v>
      </c>
      <c r="M40" s="68">
        <v>0.0</v>
      </c>
      <c r="N40" s="68">
        <v>2.0</v>
      </c>
      <c r="O40" s="68">
        <v>0.0</v>
      </c>
      <c r="P40" s="68">
        <v>0.0</v>
      </c>
      <c r="Q40" s="68">
        <v>0.0</v>
      </c>
      <c r="R40" s="68">
        <v>4.0</v>
      </c>
      <c r="S40" s="68">
        <v>0.0</v>
      </c>
      <c r="T40" s="68">
        <v>0.0</v>
      </c>
      <c r="U40" s="68">
        <v>0.0</v>
      </c>
      <c r="V40" s="68">
        <v>2.0</v>
      </c>
      <c r="W40" s="68">
        <v>0.0</v>
      </c>
      <c r="X40" s="68">
        <v>0.0</v>
      </c>
      <c r="Y40" s="68">
        <v>2.0</v>
      </c>
      <c r="Z40" s="68">
        <v>0.0</v>
      </c>
      <c r="AA40" s="68">
        <v>0.0</v>
      </c>
      <c r="AB40" s="68">
        <v>0.0</v>
      </c>
      <c r="AC40" s="68">
        <v>0.0</v>
      </c>
      <c r="AD40" s="68">
        <v>0.0</v>
      </c>
      <c r="AE40" s="68">
        <v>0.0</v>
      </c>
      <c r="AF40" s="6">
        <f t="shared" si="12"/>
        <v>11</v>
      </c>
    </row>
    <row r="41" ht="12.75" customHeight="1">
      <c r="A41" s="42"/>
      <c r="B41" s="46"/>
      <c r="C41" s="27"/>
      <c r="D41" s="6" t="s">
        <v>13</v>
      </c>
      <c r="E41" s="6">
        <f t="shared" ref="E41:AE41" si="13">SUM(E39:E40)</f>
        <v>0</v>
      </c>
      <c r="F41" s="6">
        <f t="shared" si="13"/>
        <v>0</v>
      </c>
      <c r="G41" s="6">
        <f t="shared" si="13"/>
        <v>0</v>
      </c>
      <c r="H41" s="6">
        <f t="shared" si="13"/>
        <v>0</v>
      </c>
      <c r="I41" s="6">
        <f t="shared" si="13"/>
        <v>1</v>
      </c>
      <c r="J41" s="6">
        <f t="shared" si="13"/>
        <v>0</v>
      </c>
      <c r="K41" s="6">
        <f t="shared" si="13"/>
        <v>1</v>
      </c>
      <c r="L41" s="6">
        <f t="shared" si="13"/>
        <v>0</v>
      </c>
      <c r="M41" s="6">
        <f t="shared" si="13"/>
        <v>0</v>
      </c>
      <c r="N41" s="6">
        <f t="shared" si="13"/>
        <v>2</v>
      </c>
      <c r="O41" s="6">
        <f t="shared" si="13"/>
        <v>0</v>
      </c>
      <c r="P41" s="6">
        <f t="shared" si="13"/>
        <v>0</v>
      </c>
      <c r="Q41" s="6">
        <f t="shared" si="13"/>
        <v>0</v>
      </c>
      <c r="R41" s="6">
        <f t="shared" si="13"/>
        <v>6</v>
      </c>
      <c r="S41" s="6">
        <f t="shared" si="13"/>
        <v>0</v>
      </c>
      <c r="T41" s="6">
        <f t="shared" si="13"/>
        <v>0</v>
      </c>
      <c r="U41" s="6">
        <f t="shared" si="13"/>
        <v>0</v>
      </c>
      <c r="V41" s="6">
        <f t="shared" si="13"/>
        <v>4</v>
      </c>
      <c r="W41" s="6">
        <f t="shared" si="13"/>
        <v>0</v>
      </c>
      <c r="X41" s="6">
        <f t="shared" si="13"/>
        <v>0</v>
      </c>
      <c r="Y41" s="6">
        <f t="shared" si="13"/>
        <v>2</v>
      </c>
      <c r="Z41" s="6">
        <f t="shared" si="13"/>
        <v>0</v>
      </c>
      <c r="AA41" s="6">
        <f t="shared" si="13"/>
        <v>0</v>
      </c>
      <c r="AB41" s="6">
        <f t="shared" si="13"/>
        <v>0</v>
      </c>
      <c r="AC41" s="6">
        <f t="shared" si="13"/>
        <v>0</v>
      </c>
      <c r="AD41" s="6">
        <f t="shared" si="13"/>
        <v>0</v>
      </c>
      <c r="AE41" s="6">
        <f t="shared" si="13"/>
        <v>0</v>
      </c>
      <c r="AF41" s="6">
        <f t="shared" si="12"/>
        <v>16</v>
      </c>
    </row>
    <row r="42" ht="12.75" customHeight="1">
      <c r="A42" s="47"/>
      <c r="B42" s="46"/>
      <c r="C42" s="46"/>
      <c r="D42" s="27"/>
      <c r="E42" s="21"/>
      <c r="F42" s="8"/>
      <c r="G42" s="8"/>
      <c r="H42" s="8"/>
      <c r="I42" s="9"/>
      <c r="J42" s="13"/>
      <c r="K42" s="13"/>
      <c r="L42" s="13"/>
      <c r="M42" s="13"/>
      <c r="N42" s="67"/>
      <c r="AF42" s="6"/>
    </row>
    <row r="43" ht="12.75" customHeight="1">
      <c r="A43" s="44" t="s">
        <v>33</v>
      </c>
      <c r="B43" s="7" t="s">
        <v>34</v>
      </c>
      <c r="C43" s="8"/>
      <c r="D43" s="9"/>
      <c r="E43" s="28"/>
      <c r="F43" s="6"/>
      <c r="G43" s="6"/>
      <c r="H43" s="6"/>
      <c r="I43" s="6"/>
      <c r="J43" s="6"/>
      <c r="K43" s="6"/>
      <c r="L43" s="6"/>
      <c r="M43" s="6"/>
      <c r="N43" s="69"/>
      <c r="AF43" s="6"/>
    </row>
    <row r="44" ht="12.75" customHeight="1">
      <c r="A44" s="45" t="s">
        <v>35</v>
      </c>
      <c r="B44" s="48"/>
      <c r="C44" s="48"/>
      <c r="D44" s="20"/>
      <c r="E44" s="21"/>
      <c r="F44" s="13"/>
      <c r="G44" s="13"/>
      <c r="H44" s="13"/>
      <c r="I44" s="13"/>
      <c r="J44" s="13"/>
      <c r="K44" s="13"/>
      <c r="L44" s="13"/>
      <c r="M44" s="13"/>
      <c r="N44" s="67"/>
      <c r="AF44" s="6"/>
    </row>
    <row r="45" ht="12.75" customHeight="1">
      <c r="A45" s="32" t="s">
        <v>36</v>
      </c>
      <c r="B45" s="49" t="s">
        <v>16</v>
      </c>
      <c r="C45" s="50" t="s">
        <v>37</v>
      </c>
      <c r="D45" s="9"/>
      <c r="E45" s="66">
        <v>13.0</v>
      </c>
      <c r="F45" s="66">
        <v>7.0</v>
      </c>
      <c r="G45" s="66">
        <v>4.0</v>
      </c>
      <c r="H45" s="66">
        <v>3.0</v>
      </c>
      <c r="I45" s="66">
        <v>5.0</v>
      </c>
      <c r="J45" s="66">
        <v>6.0</v>
      </c>
      <c r="K45" s="66">
        <v>5.0</v>
      </c>
      <c r="L45" s="66">
        <v>3.0</v>
      </c>
      <c r="M45" s="66">
        <v>11.0</v>
      </c>
      <c r="N45" s="66">
        <v>3.0</v>
      </c>
      <c r="O45" s="66">
        <v>10.0</v>
      </c>
      <c r="P45" s="66">
        <v>10.0</v>
      </c>
      <c r="Q45" s="66">
        <v>5.0</v>
      </c>
      <c r="R45" s="66">
        <v>8.0</v>
      </c>
      <c r="S45" s="66">
        <v>13.0</v>
      </c>
      <c r="T45" s="66">
        <v>3.0</v>
      </c>
      <c r="U45" s="66">
        <v>2.0</v>
      </c>
      <c r="V45" s="66">
        <v>5.0</v>
      </c>
      <c r="W45" s="66">
        <v>7.0</v>
      </c>
      <c r="X45" s="66">
        <v>8.0</v>
      </c>
      <c r="Y45" s="66">
        <v>4.0</v>
      </c>
      <c r="Z45" s="66">
        <v>7.0</v>
      </c>
      <c r="AA45" s="66">
        <v>5.0</v>
      </c>
      <c r="AB45" s="66">
        <v>11.0</v>
      </c>
      <c r="AC45" s="66">
        <v>9.0</v>
      </c>
      <c r="AD45" s="66">
        <v>8.0</v>
      </c>
      <c r="AE45" s="66">
        <v>5.0</v>
      </c>
      <c r="AF45" s="6">
        <f t="shared" ref="AF45:AF52" si="14">SUM(E45:AE45)</f>
        <v>180</v>
      </c>
    </row>
    <row r="46" ht="12.75" customHeight="1">
      <c r="A46" s="32" t="s">
        <v>38</v>
      </c>
      <c r="B46" s="51"/>
      <c r="C46" s="52" t="s">
        <v>39</v>
      </c>
      <c r="D46" s="53"/>
      <c r="E46" s="66">
        <v>25.0</v>
      </c>
      <c r="F46" s="66">
        <v>28.0</v>
      </c>
      <c r="G46" s="66">
        <v>14.0</v>
      </c>
      <c r="H46" s="66">
        <v>11.0</v>
      </c>
      <c r="I46" s="66">
        <v>23.0</v>
      </c>
      <c r="J46" s="66">
        <v>25.0</v>
      </c>
      <c r="K46" s="66">
        <v>8.0</v>
      </c>
      <c r="L46" s="66">
        <v>39.0</v>
      </c>
      <c r="M46" s="66">
        <v>43.0</v>
      </c>
      <c r="N46" s="66">
        <v>29.0</v>
      </c>
      <c r="O46" s="66">
        <v>39.0</v>
      </c>
      <c r="P46" s="66">
        <v>24.0</v>
      </c>
      <c r="Q46" s="66">
        <v>29.0</v>
      </c>
      <c r="R46" s="66">
        <v>43.0</v>
      </c>
      <c r="S46" s="66">
        <v>53.0</v>
      </c>
      <c r="T46" s="66">
        <v>4.0</v>
      </c>
      <c r="U46" s="66">
        <v>2.0</v>
      </c>
      <c r="V46" s="66">
        <v>22.0</v>
      </c>
      <c r="W46" s="66">
        <v>22.0</v>
      </c>
      <c r="X46" s="66">
        <v>11.0</v>
      </c>
      <c r="Y46" s="66">
        <v>7.0</v>
      </c>
      <c r="Z46" s="66">
        <v>18.0</v>
      </c>
      <c r="AA46" s="66">
        <v>35.0</v>
      </c>
      <c r="AB46" s="66">
        <v>49.0</v>
      </c>
      <c r="AC46" s="66">
        <v>37.0</v>
      </c>
      <c r="AD46" s="66">
        <v>34.0</v>
      </c>
      <c r="AE46" s="66">
        <v>9.0</v>
      </c>
      <c r="AF46" s="6">
        <f t="shared" si="14"/>
        <v>683</v>
      </c>
    </row>
    <row r="47" ht="12.75" customHeight="1">
      <c r="A47" s="18"/>
      <c r="B47" s="51"/>
      <c r="C47" s="52" t="s">
        <v>40</v>
      </c>
      <c r="D47" s="53"/>
      <c r="E47" s="66">
        <v>6.0</v>
      </c>
      <c r="F47" s="66">
        <v>10.0</v>
      </c>
      <c r="G47" s="66">
        <v>12.0</v>
      </c>
      <c r="H47" s="66">
        <v>13.0</v>
      </c>
      <c r="I47" s="66">
        <v>12.0</v>
      </c>
      <c r="J47" s="66">
        <v>0.0</v>
      </c>
      <c r="K47" s="66">
        <v>2.0</v>
      </c>
      <c r="L47" s="66">
        <v>1.0</v>
      </c>
      <c r="M47" s="66">
        <v>10.0</v>
      </c>
      <c r="N47" s="66">
        <v>4.0</v>
      </c>
      <c r="O47" s="66">
        <v>15.0</v>
      </c>
      <c r="P47" s="66">
        <v>26.0</v>
      </c>
      <c r="Q47" s="66">
        <v>13.0</v>
      </c>
      <c r="R47" s="66">
        <v>4.0</v>
      </c>
      <c r="S47" s="66">
        <v>8.0</v>
      </c>
      <c r="T47" s="66">
        <v>21.0</v>
      </c>
      <c r="U47" s="66">
        <v>35.0</v>
      </c>
      <c r="V47" s="66">
        <v>19.0</v>
      </c>
      <c r="W47" s="66">
        <v>28.0</v>
      </c>
      <c r="X47" s="66">
        <v>27.0</v>
      </c>
      <c r="Y47" s="66">
        <v>35.0</v>
      </c>
      <c r="Z47" s="66">
        <v>12.0</v>
      </c>
      <c r="AA47" s="66">
        <v>8.0</v>
      </c>
      <c r="AB47" s="66">
        <v>9.0</v>
      </c>
      <c r="AC47" s="66">
        <v>27.0</v>
      </c>
      <c r="AD47" s="66">
        <v>1.0</v>
      </c>
      <c r="AE47" s="66">
        <v>0.0</v>
      </c>
      <c r="AF47" s="6">
        <f t="shared" si="14"/>
        <v>358</v>
      </c>
    </row>
    <row r="48" ht="12.75" customHeight="1">
      <c r="A48" s="18"/>
      <c r="B48" s="51"/>
      <c r="C48" s="52" t="s">
        <v>41</v>
      </c>
      <c r="D48" s="53"/>
      <c r="E48" s="66">
        <v>1.0</v>
      </c>
      <c r="F48" s="66">
        <v>0.0</v>
      </c>
      <c r="G48" s="66">
        <v>0.0</v>
      </c>
      <c r="H48" s="66">
        <v>1.0</v>
      </c>
      <c r="I48" s="66">
        <v>0.0</v>
      </c>
      <c r="J48" s="66">
        <v>0.0</v>
      </c>
      <c r="K48" s="66">
        <v>0.0</v>
      </c>
      <c r="L48" s="66">
        <v>0.0</v>
      </c>
      <c r="M48" s="66">
        <v>0.0</v>
      </c>
      <c r="N48" s="66">
        <v>0.0</v>
      </c>
      <c r="O48" s="66">
        <v>2.0</v>
      </c>
      <c r="P48" s="66">
        <v>2.0</v>
      </c>
      <c r="Q48" s="66">
        <v>1.0</v>
      </c>
      <c r="R48" s="66">
        <v>0.0</v>
      </c>
      <c r="S48" s="66">
        <v>0.0</v>
      </c>
      <c r="T48" s="13"/>
      <c r="U48" s="66">
        <v>0.0</v>
      </c>
      <c r="V48" s="66">
        <v>0.0</v>
      </c>
      <c r="W48" s="66">
        <v>1.0</v>
      </c>
      <c r="X48" s="66">
        <v>0.0</v>
      </c>
      <c r="Y48" s="66">
        <v>0.0</v>
      </c>
      <c r="Z48" s="66">
        <v>1.0</v>
      </c>
      <c r="AA48" s="66">
        <v>0.0</v>
      </c>
      <c r="AB48" s="66">
        <v>0.0</v>
      </c>
      <c r="AC48" s="66">
        <v>1.0</v>
      </c>
      <c r="AD48" s="66">
        <v>1.0</v>
      </c>
      <c r="AE48" s="66">
        <v>0.0</v>
      </c>
      <c r="AF48" s="6">
        <f t="shared" si="14"/>
        <v>11</v>
      </c>
    </row>
    <row r="49" ht="12.75" customHeight="1">
      <c r="A49" s="18"/>
      <c r="B49" s="51"/>
      <c r="C49" s="52" t="s">
        <v>42</v>
      </c>
      <c r="D49" s="53"/>
      <c r="E49" s="13"/>
      <c r="F49" s="66">
        <v>0.0</v>
      </c>
      <c r="G49" s="13"/>
      <c r="H49" s="66">
        <v>0.0</v>
      </c>
      <c r="I49" s="66">
        <v>0.0</v>
      </c>
      <c r="J49" s="66">
        <v>0.0</v>
      </c>
      <c r="K49" s="66">
        <v>1.0</v>
      </c>
      <c r="L49" s="66">
        <v>0.0</v>
      </c>
      <c r="M49" s="66">
        <v>0.0</v>
      </c>
      <c r="N49" s="66">
        <v>0.0</v>
      </c>
      <c r="O49" s="66">
        <v>0.0</v>
      </c>
      <c r="P49" s="66">
        <v>0.0</v>
      </c>
      <c r="Q49" s="66">
        <v>0.0</v>
      </c>
      <c r="R49" s="66">
        <v>0.0</v>
      </c>
      <c r="S49" s="66">
        <v>0.0</v>
      </c>
      <c r="T49" s="13"/>
      <c r="U49" s="66">
        <v>0.0</v>
      </c>
      <c r="V49" s="66">
        <v>0.0</v>
      </c>
      <c r="W49" s="66">
        <v>0.0</v>
      </c>
      <c r="X49" s="66">
        <v>0.0</v>
      </c>
      <c r="Y49" s="66">
        <v>0.0</v>
      </c>
      <c r="Z49" s="66">
        <v>0.0</v>
      </c>
      <c r="AA49" s="66">
        <v>1.0</v>
      </c>
      <c r="AB49" s="66">
        <v>5.0</v>
      </c>
      <c r="AC49" s="66">
        <v>0.0</v>
      </c>
      <c r="AD49" s="66">
        <v>0.0</v>
      </c>
      <c r="AE49" s="66">
        <v>1.0</v>
      </c>
      <c r="AF49" s="6">
        <f t="shared" si="14"/>
        <v>8</v>
      </c>
    </row>
    <row r="50" ht="12.75" customHeight="1">
      <c r="A50" s="18"/>
      <c r="B50" s="51"/>
      <c r="C50" s="52" t="s">
        <v>43</v>
      </c>
      <c r="D50" s="53"/>
      <c r="E50" s="13"/>
      <c r="F50" s="66">
        <v>0.0</v>
      </c>
      <c r="G50" s="13"/>
      <c r="H50" s="66">
        <v>1.0</v>
      </c>
      <c r="I50" s="66">
        <v>0.0</v>
      </c>
      <c r="J50" s="66">
        <v>0.0</v>
      </c>
      <c r="K50" s="66">
        <v>1.0</v>
      </c>
      <c r="L50" s="66">
        <v>0.0</v>
      </c>
      <c r="M50" s="66">
        <v>2.0</v>
      </c>
      <c r="N50" s="66">
        <v>0.0</v>
      </c>
      <c r="O50" s="66">
        <v>0.0</v>
      </c>
      <c r="P50" s="66">
        <v>0.0</v>
      </c>
      <c r="Q50" s="66">
        <v>0.0</v>
      </c>
      <c r="R50" s="66">
        <v>1.0</v>
      </c>
      <c r="S50" s="66">
        <v>0.0</v>
      </c>
      <c r="T50" s="66">
        <v>1.0</v>
      </c>
      <c r="U50" s="66">
        <v>0.0</v>
      </c>
      <c r="V50" s="66">
        <v>0.0</v>
      </c>
      <c r="W50" s="66">
        <v>0.0</v>
      </c>
      <c r="X50" s="66">
        <v>0.0</v>
      </c>
      <c r="Y50" s="66">
        <v>0.0</v>
      </c>
      <c r="Z50" s="66">
        <v>1.0</v>
      </c>
      <c r="AA50" s="66">
        <v>0.0</v>
      </c>
      <c r="AB50" s="66">
        <v>0.0</v>
      </c>
      <c r="AC50" s="66">
        <v>0.0</v>
      </c>
      <c r="AD50" s="66">
        <v>0.0</v>
      </c>
      <c r="AE50" s="66">
        <v>1.0</v>
      </c>
      <c r="AF50" s="6">
        <f t="shared" si="14"/>
        <v>8</v>
      </c>
    </row>
    <row r="51" ht="12.75" customHeight="1">
      <c r="A51" s="18"/>
      <c r="B51" s="51"/>
      <c r="C51" s="52" t="s">
        <v>44</v>
      </c>
      <c r="D51" s="53"/>
      <c r="E51" s="13"/>
      <c r="F51" s="66">
        <v>0.0</v>
      </c>
      <c r="G51" s="66">
        <v>1.0</v>
      </c>
      <c r="H51" s="66">
        <v>1.0</v>
      </c>
      <c r="I51" s="66">
        <v>5.0</v>
      </c>
      <c r="J51" s="66">
        <v>1.0</v>
      </c>
      <c r="K51" s="66">
        <v>2.0</v>
      </c>
      <c r="L51" s="66">
        <v>0.0</v>
      </c>
      <c r="M51" s="66">
        <v>0.0</v>
      </c>
      <c r="N51" s="66">
        <v>3.0</v>
      </c>
      <c r="O51" s="66">
        <v>0.0</v>
      </c>
      <c r="P51" s="66">
        <v>5.0</v>
      </c>
      <c r="Q51" s="66">
        <v>1.0</v>
      </c>
      <c r="R51" s="66">
        <v>0.0</v>
      </c>
      <c r="S51" s="66">
        <v>6.0</v>
      </c>
      <c r="T51" s="13"/>
      <c r="U51" s="66">
        <v>1.0</v>
      </c>
      <c r="V51" s="66">
        <v>0.0</v>
      </c>
      <c r="W51" s="66">
        <v>0.0</v>
      </c>
      <c r="X51" s="66">
        <v>4.0</v>
      </c>
      <c r="Y51" s="66">
        <v>2.0</v>
      </c>
      <c r="Z51" s="66">
        <v>2.0</v>
      </c>
      <c r="AA51" s="66">
        <v>1.0</v>
      </c>
      <c r="AB51" s="66">
        <v>0.0</v>
      </c>
      <c r="AC51" s="66">
        <v>0.0</v>
      </c>
      <c r="AD51" s="66">
        <v>2.0</v>
      </c>
      <c r="AE51" s="66">
        <v>1.0</v>
      </c>
      <c r="AF51" s="6">
        <f t="shared" si="14"/>
        <v>38</v>
      </c>
    </row>
    <row r="52" ht="12.75" customHeight="1">
      <c r="A52" s="13" t="s">
        <v>14</v>
      </c>
      <c r="B52" s="49" t="s">
        <v>45</v>
      </c>
      <c r="C52" s="8"/>
      <c r="D52" s="9"/>
      <c r="E52" s="54">
        <f t="shared" ref="E52:AE52" si="15">SUM(E45:E51)</f>
        <v>45</v>
      </c>
      <c r="F52" s="54">
        <f t="shared" si="15"/>
        <v>45</v>
      </c>
      <c r="G52" s="54">
        <f t="shared" si="15"/>
        <v>31</v>
      </c>
      <c r="H52" s="54">
        <f t="shared" si="15"/>
        <v>30</v>
      </c>
      <c r="I52" s="54">
        <f t="shared" si="15"/>
        <v>45</v>
      </c>
      <c r="J52" s="54">
        <f t="shared" si="15"/>
        <v>32</v>
      </c>
      <c r="K52" s="54">
        <f t="shared" si="15"/>
        <v>19</v>
      </c>
      <c r="L52" s="54">
        <f t="shared" si="15"/>
        <v>43</v>
      </c>
      <c r="M52" s="54">
        <f t="shared" si="15"/>
        <v>66</v>
      </c>
      <c r="N52" s="54">
        <f t="shared" si="15"/>
        <v>39</v>
      </c>
      <c r="O52" s="54">
        <f t="shared" si="15"/>
        <v>66</v>
      </c>
      <c r="P52" s="54">
        <f t="shared" si="15"/>
        <v>67</v>
      </c>
      <c r="Q52" s="54">
        <f t="shared" si="15"/>
        <v>49</v>
      </c>
      <c r="R52" s="54">
        <f t="shared" si="15"/>
        <v>56</v>
      </c>
      <c r="S52" s="54">
        <f t="shared" si="15"/>
        <v>80</v>
      </c>
      <c r="T52" s="54">
        <f t="shared" si="15"/>
        <v>29</v>
      </c>
      <c r="U52" s="54">
        <f t="shared" si="15"/>
        <v>40</v>
      </c>
      <c r="V52" s="54">
        <f t="shared" si="15"/>
        <v>46</v>
      </c>
      <c r="W52" s="54">
        <f t="shared" si="15"/>
        <v>58</v>
      </c>
      <c r="X52" s="54">
        <f t="shared" si="15"/>
        <v>50</v>
      </c>
      <c r="Y52" s="54">
        <f t="shared" si="15"/>
        <v>48</v>
      </c>
      <c r="Z52" s="54">
        <f t="shared" si="15"/>
        <v>41</v>
      </c>
      <c r="AA52" s="54">
        <f t="shared" si="15"/>
        <v>50</v>
      </c>
      <c r="AB52" s="54">
        <f t="shared" si="15"/>
        <v>74</v>
      </c>
      <c r="AC52" s="54">
        <f t="shared" si="15"/>
        <v>74</v>
      </c>
      <c r="AD52" s="54">
        <f t="shared" si="15"/>
        <v>46</v>
      </c>
      <c r="AE52" s="54">
        <f t="shared" si="15"/>
        <v>17</v>
      </c>
      <c r="AF52" s="6">
        <f t="shared" si="14"/>
        <v>1286</v>
      </c>
    </row>
    <row r="53" ht="12.75" customHeight="1">
      <c r="A53" s="55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6"/>
    </row>
    <row r="54" ht="12.75" customHeight="1">
      <c r="A54" s="32" t="s">
        <v>36</v>
      </c>
      <c r="B54" s="49" t="s">
        <v>18</v>
      </c>
      <c r="C54" s="50" t="s">
        <v>46</v>
      </c>
      <c r="D54" s="9"/>
      <c r="E54" s="66">
        <v>6.0</v>
      </c>
      <c r="F54" s="66">
        <v>11.0</v>
      </c>
      <c r="G54" s="66">
        <v>5.0</v>
      </c>
      <c r="H54" s="66">
        <v>2.0</v>
      </c>
      <c r="I54" s="66">
        <v>1.0</v>
      </c>
      <c r="J54" s="66">
        <v>8.0</v>
      </c>
      <c r="K54" s="66">
        <v>6.0</v>
      </c>
      <c r="L54" s="66">
        <v>5.0</v>
      </c>
      <c r="M54" s="66">
        <v>7.0</v>
      </c>
      <c r="N54" s="66">
        <v>4.0</v>
      </c>
      <c r="O54" s="66">
        <v>1.0</v>
      </c>
      <c r="P54" s="66">
        <v>12.0</v>
      </c>
      <c r="Q54" s="66">
        <v>7.0</v>
      </c>
      <c r="R54" s="66">
        <v>10.0</v>
      </c>
      <c r="S54" s="66">
        <v>11.0</v>
      </c>
      <c r="T54" s="66">
        <v>8.0</v>
      </c>
      <c r="U54" s="66">
        <v>0.0</v>
      </c>
      <c r="V54" s="66">
        <v>3.0</v>
      </c>
      <c r="W54" s="66">
        <v>1.0</v>
      </c>
      <c r="X54" s="66">
        <v>8.0</v>
      </c>
      <c r="Y54" s="66">
        <v>2.0</v>
      </c>
      <c r="Z54" s="66">
        <v>6.0</v>
      </c>
      <c r="AA54" s="66">
        <v>6.0</v>
      </c>
      <c r="AB54" s="66">
        <v>10.0</v>
      </c>
      <c r="AC54" s="66">
        <v>12.0</v>
      </c>
      <c r="AD54" s="66">
        <v>5.0</v>
      </c>
      <c r="AE54" s="66">
        <v>6.0</v>
      </c>
      <c r="AF54" s="6">
        <f t="shared" ref="AF54:AF61" si="16">SUM(E54:AE54)</f>
        <v>163</v>
      </c>
    </row>
    <row r="55" ht="12.75" customHeight="1">
      <c r="A55" s="32" t="s">
        <v>38</v>
      </c>
      <c r="B55" s="51"/>
      <c r="C55" s="52" t="s">
        <v>47</v>
      </c>
      <c r="D55" s="53"/>
      <c r="E55" s="66">
        <v>12.0</v>
      </c>
      <c r="F55" s="66">
        <v>1.0</v>
      </c>
      <c r="G55" s="66">
        <v>2.0</v>
      </c>
      <c r="H55" s="66">
        <v>1.0</v>
      </c>
      <c r="I55" s="66">
        <v>2.0</v>
      </c>
      <c r="J55" s="66">
        <v>4.0</v>
      </c>
      <c r="K55" s="66">
        <v>11.0</v>
      </c>
      <c r="L55" s="66">
        <v>1.0</v>
      </c>
      <c r="M55" s="66">
        <v>1.0</v>
      </c>
      <c r="N55" s="66">
        <v>5.0</v>
      </c>
      <c r="O55" s="66">
        <v>5.0</v>
      </c>
      <c r="P55" s="66">
        <v>3.0</v>
      </c>
      <c r="Q55" s="66">
        <v>12.0</v>
      </c>
      <c r="R55" s="66">
        <v>13.0</v>
      </c>
      <c r="S55" s="66">
        <v>1.0</v>
      </c>
      <c r="T55" s="66">
        <v>3.0</v>
      </c>
      <c r="U55" s="66">
        <v>2.0</v>
      </c>
      <c r="V55" s="66">
        <v>1.0</v>
      </c>
      <c r="W55" s="66">
        <v>2.0</v>
      </c>
      <c r="X55" s="66">
        <v>3.0</v>
      </c>
      <c r="Y55" s="66">
        <v>3.0</v>
      </c>
      <c r="Z55" s="66">
        <v>5.0</v>
      </c>
      <c r="AA55" s="66">
        <v>6.0</v>
      </c>
      <c r="AB55" s="66">
        <v>2.0</v>
      </c>
      <c r="AC55" s="66">
        <v>1.0</v>
      </c>
      <c r="AD55" s="66">
        <v>1.0</v>
      </c>
      <c r="AE55" s="66">
        <v>4.0</v>
      </c>
      <c r="AF55" s="6">
        <f t="shared" si="16"/>
        <v>107</v>
      </c>
    </row>
    <row r="56" ht="12.75" customHeight="1">
      <c r="A56" s="18"/>
      <c r="B56" s="51"/>
      <c r="C56" s="52" t="s">
        <v>48</v>
      </c>
      <c r="D56" s="53"/>
      <c r="E56" s="13"/>
      <c r="F56" s="66">
        <v>1.0</v>
      </c>
      <c r="G56" s="66">
        <v>0.0</v>
      </c>
      <c r="H56" s="66">
        <v>0.0</v>
      </c>
      <c r="I56" s="66">
        <v>0.0</v>
      </c>
      <c r="J56" s="66">
        <v>0.0</v>
      </c>
      <c r="K56" s="66">
        <v>2.0</v>
      </c>
      <c r="L56" s="66">
        <v>1.0</v>
      </c>
      <c r="M56" s="13"/>
      <c r="N56" s="66">
        <v>1.0</v>
      </c>
      <c r="O56" s="66">
        <v>8.0</v>
      </c>
      <c r="P56" s="66">
        <v>4.0</v>
      </c>
      <c r="Q56" s="66">
        <v>1.0</v>
      </c>
      <c r="R56" s="66">
        <v>2.0</v>
      </c>
      <c r="S56" s="66">
        <v>16.0</v>
      </c>
      <c r="T56" s="13"/>
      <c r="U56" s="66">
        <v>2.0</v>
      </c>
      <c r="V56" s="66">
        <v>6.0</v>
      </c>
      <c r="W56" s="66">
        <v>7.0</v>
      </c>
      <c r="X56" s="66">
        <v>0.0</v>
      </c>
      <c r="Y56" s="66">
        <v>3.0</v>
      </c>
      <c r="Z56" s="66">
        <v>3.0</v>
      </c>
      <c r="AA56" s="66">
        <v>0.0</v>
      </c>
      <c r="AB56" s="66">
        <v>5.0</v>
      </c>
      <c r="AC56" s="66">
        <v>5.0</v>
      </c>
      <c r="AD56" s="66">
        <v>0.0</v>
      </c>
      <c r="AE56" s="66">
        <v>40.0</v>
      </c>
      <c r="AF56" s="6">
        <f t="shared" si="16"/>
        <v>107</v>
      </c>
    </row>
    <row r="57" ht="12.75" customHeight="1">
      <c r="A57" s="18"/>
      <c r="B57" s="51"/>
      <c r="C57" s="52" t="s">
        <v>49</v>
      </c>
      <c r="D57" s="53"/>
      <c r="E57" s="13"/>
      <c r="F57" s="66">
        <v>0.0</v>
      </c>
      <c r="G57" s="66">
        <v>1.0</v>
      </c>
      <c r="H57" s="66">
        <v>0.0</v>
      </c>
      <c r="I57" s="66">
        <v>0.0</v>
      </c>
      <c r="J57" s="66">
        <v>2.0</v>
      </c>
      <c r="K57" s="66">
        <v>1.0</v>
      </c>
      <c r="L57" s="66">
        <v>0.0</v>
      </c>
      <c r="M57" s="13"/>
      <c r="N57" s="66">
        <v>0.0</v>
      </c>
      <c r="O57" s="66">
        <v>1.0</v>
      </c>
      <c r="P57" s="66">
        <v>1.0</v>
      </c>
      <c r="Q57" s="66">
        <v>1.0</v>
      </c>
      <c r="R57" s="66">
        <v>1.0</v>
      </c>
      <c r="S57" s="66">
        <v>0.0</v>
      </c>
      <c r="T57" s="13"/>
      <c r="U57" s="66">
        <v>0.0</v>
      </c>
      <c r="V57" s="66">
        <v>0.0</v>
      </c>
      <c r="W57" s="66">
        <v>0.0</v>
      </c>
      <c r="X57" s="66">
        <v>0.0</v>
      </c>
      <c r="Y57" s="66">
        <v>1.0</v>
      </c>
      <c r="Z57" s="66">
        <v>2.0</v>
      </c>
      <c r="AA57" s="66">
        <v>1.0</v>
      </c>
      <c r="AB57" s="66">
        <v>0.0</v>
      </c>
      <c r="AC57" s="66">
        <v>1.0</v>
      </c>
      <c r="AD57" s="66">
        <v>0.0</v>
      </c>
      <c r="AE57" s="66">
        <v>2.0</v>
      </c>
      <c r="AF57" s="6">
        <f t="shared" si="16"/>
        <v>15</v>
      </c>
    </row>
    <row r="58" ht="12.75" customHeight="1">
      <c r="A58" s="18"/>
      <c r="B58" s="51"/>
      <c r="C58" s="52" t="s">
        <v>50</v>
      </c>
      <c r="D58" s="53"/>
      <c r="E58" s="66">
        <v>1.0</v>
      </c>
      <c r="F58" s="66">
        <v>0.0</v>
      </c>
      <c r="G58" s="13"/>
      <c r="H58" s="66">
        <v>0.0</v>
      </c>
      <c r="I58" s="66">
        <v>1.0</v>
      </c>
      <c r="J58" s="66">
        <v>1.0</v>
      </c>
      <c r="K58" s="66">
        <v>0.0</v>
      </c>
      <c r="L58" s="66">
        <v>0.0</v>
      </c>
      <c r="M58" s="13"/>
      <c r="N58" s="66">
        <v>0.0</v>
      </c>
      <c r="O58" s="66">
        <v>3.0</v>
      </c>
      <c r="P58" s="66">
        <v>0.0</v>
      </c>
      <c r="Q58" s="66">
        <v>1.0</v>
      </c>
      <c r="R58" s="66">
        <v>0.0</v>
      </c>
      <c r="S58" s="66">
        <v>0.0</v>
      </c>
      <c r="T58" s="13"/>
      <c r="U58" s="66">
        <v>0.0</v>
      </c>
      <c r="V58" s="66">
        <v>1.0</v>
      </c>
      <c r="W58" s="66">
        <v>1.0</v>
      </c>
      <c r="X58" s="66">
        <v>2.0</v>
      </c>
      <c r="Y58" s="66">
        <v>2.0</v>
      </c>
      <c r="Z58" s="13"/>
      <c r="AA58" s="66">
        <v>2.0</v>
      </c>
      <c r="AB58" s="66">
        <v>1.0</v>
      </c>
      <c r="AC58" s="66">
        <v>0.0</v>
      </c>
      <c r="AD58" s="66">
        <v>2.0</v>
      </c>
      <c r="AE58" s="66">
        <v>0.0</v>
      </c>
      <c r="AF58" s="6">
        <f t="shared" si="16"/>
        <v>18</v>
      </c>
    </row>
    <row r="59" ht="12.75" customHeight="1">
      <c r="A59" s="18"/>
      <c r="B59" s="51"/>
      <c r="C59" s="52" t="s">
        <v>51</v>
      </c>
      <c r="D59" s="53"/>
      <c r="E59" s="13"/>
      <c r="F59" s="66">
        <v>0.0</v>
      </c>
      <c r="G59" s="13"/>
      <c r="H59" s="66">
        <v>0.0</v>
      </c>
      <c r="I59" s="66">
        <v>0.0</v>
      </c>
      <c r="J59" s="66">
        <v>0.0</v>
      </c>
      <c r="K59" s="66">
        <v>0.0</v>
      </c>
      <c r="L59" s="66">
        <v>0.0</v>
      </c>
      <c r="M59" s="13"/>
      <c r="N59" s="66">
        <v>0.0</v>
      </c>
      <c r="O59" s="66">
        <v>0.0</v>
      </c>
      <c r="P59" s="66">
        <v>1.0</v>
      </c>
      <c r="Q59" s="66">
        <v>0.0</v>
      </c>
      <c r="R59" s="66">
        <v>0.0</v>
      </c>
      <c r="S59" s="66">
        <v>0.0</v>
      </c>
      <c r="T59" s="13"/>
      <c r="U59" s="66">
        <v>0.0</v>
      </c>
      <c r="V59" s="66">
        <v>0.0</v>
      </c>
      <c r="W59" s="66">
        <v>0.0</v>
      </c>
      <c r="X59" s="66">
        <v>1.0</v>
      </c>
      <c r="Y59" s="66">
        <v>0.0</v>
      </c>
      <c r="Z59" s="13"/>
      <c r="AA59" s="66">
        <v>1.0</v>
      </c>
      <c r="AB59" s="66">
        <v>0.0</v>
      </c>
      <c r="AC59" s="66">
        <v>0.0</v>
      </c>
      <c r="AD59" s="66">
        <v>0.0</v>
      </c>
      <c r="AE59" s="66">
        <v>0.0</v>
      </c>
      <c r="AF59" s="6">
        <f t="shared" si="16"/>
        <v>3</v>
      </c>
    </row>
    <row r="60" ht="12.75" customHeight="1">
      <c r="A60" s="18"/>
      <c r="B60" s="51"/>
      <c r="C60" s="52" t="s">
        <v>52</v>
      </c>
      <c r="D60" s="53"/>
      <c r="E60" s="13"/>
      <c r="F60" s="66">
        <v>0.0</v>
      </c>
      <c r="G60" s="13"/>
      <c r="H60" s="66">
        <v>0.0</v>
      </c>
      <c r="I60" s="66">
        <v>0.0</v>
      </c>
      <c r="J60" s="66">
        <v>0.0</v>
      </c>
      <c r="K60" s="66">
        <v>0.0</v>
      </c>
      <c r="L60" s="66">
        <v>0.0</v>
      </c>
      <c r="M60" s="13"/>
      <c r="N60" s="66">
        <v>0.0</v>
      </c>
      <c r="O60" s="66">
        <v>0.0</v>
      </c>
      <c r="P60" s="66">
        <v>0.0</v>
      </c>
      <c r="Q60" s="66">
        <v>0.0</v>
      </c>
      <c r="R60" s="66">
        <v>0.0</v>
      </c>
      <c r="S60" s="66">
        <v>0.0</v>
      </c>
      <c r="T60" s="13"/>
      <c r="U60" s="66">
        <v>0.0</v>
      </c>
      <c r="V60" s="66">
        <v>0.0</v>
      </c>
      <c r="W60" s="66">
        <v>0.0</v>
      </c>
      <c r="X60" s="66">
        <v>0.0</v>
      </c>
      <c r="Y60" s="66">
        <v>1.0</v>
      </c>
      <c r="Z60" s="13"/>
      <c r="AA60" s="66">
        <v>8.0</v>
      </c>
      <c r="AB60" s="66">
        <v>0.0</v>
      </c>
      <c r="AC60" s="66">
        <v>0.0</v>
      </c>
      <c r="AD60" s="66">
        <v>0.0</v>
      </c>
      <c r="AE60" s="66">
        <v>1.0</v>
      </c>
      <c r="AF60" s="6">
        <f t="shared" si="16"/>
        <v>10</v>
      </c>
    </row>
    <row r="61" ht="12.75" customHeight="1">
      <c r="A61" s="13" t="s">
        <v>14</v>
      </c>
      <c r="B61" s="49" t="s">
        <v>45</v>
      </c>
      <c r="C61" s="8"/>
      <c r="D61" s="9"/>
      <c r="E61" s="54">
        <f t="shared" ref="E61:AE61" si="17">SUM(E54:E60)</f>
        <v>19</v>
      </c>
      <c r="F61" s="54">
        <f t="shared" si="17"/>
        <v>13</v>
      </c>
      <c r="G61" s="54">
        <f t="shared" si="17"/>
        <v>8</v>
      </c>
      <c r="H61" s="54">
        <f t="shared" si="17"/>
        <v>3</v>
      </c>
      <c r="I61" s="54">
        <f t="shared" si="17"/>
        <v>4</v>
      </c>
      <c r="J61" s="54">
        <f t="shared" si="17"/>
        <v>15</v>
      </c>
      <c r="K61" s="54">
        <f t="shared" si="17"/>
        <v>20</v>
      </c>
      <c r="L61" s="54">
        <f t="shared" si="17"/>
        <v>7</v>
      </c>
      <c r="M61" s="54">
        <f t="shared" si="17"/>
        <v>8</v>
      </c>
      <c r="N61" s="54">
        <f t="shared" si="17"/>
        <v>10</v>
      </c>
      <c r="O61" s="54">
        <f t="shared" si="17"/>
        <v>18</v>
      </c>
      <c r="P61" s="54">
        <f t="shared" si="17"/>
        <v>21</v>
      </c>
      <c r="Q61" s="54">
        <f t="shared" si="17"/>
        <v>22</v>
      </c>
      <c r="R61" s="54">
        <f t="shared" si="17"/>
        <v>26</v>
      </c>
      <c r="S61" s="54">
        <f t="shared" si="17"/>
        <v>28</v>
      </c>
      <c r="T61" s="54">
        <f t="shared" si="17"/>
        <v>11</v>
      </c>
      <c r="U61" s="54">
        <f t="shared" si="17"/>
        <v>4</v>
      </c>
      <c r="V61" s="54">
        <f t="shared" si="17"/>
        <v>11</v>
      </c>
      <c r="W61" s="54">
        <f t="shared" si="17"/>
        <v>11</v>
      </c>
      <c r="X61" s="54">
        <f t="shared" si="17"/>
        <v>14</v>
      </c>
      <c r="Y61" s="54">
        <f t="shared" si="17"/>
        <v>12</v>
      </c>
      <c r="Z61" s="54">
        <f t="shared" si="17"/>
        <v>16</v>
      </c>
      <c r="AA61" s="54">
        <f t="shared" si="17"/>
        <v>24</v>
      </c>
      <c r="AB61" s="54">
        <f t="shared" si="17"/>
        <v>18</v>
      </c>
      <c r="AC61" s="54">
        <f t="shared" si="17"/>
        <v>19</v>
      </c>
      <c r="AD61" s="54">
        <f t="shared" si="17"/>
        <v>8</v>
      </c>
      <c r="AE61" s="54">
        <f t="shared" si="17"/>
        <v>53</v>
      </c>
      <c r="AF61" s="6">
        <f t="shared" si="16"/>
        <v>423</v>
      </c>
    </row>
    <row r="62" ht="12.75" customHeight="1">
      <c r="A62" s="55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6"/>
    </row>
    <row r="63" ht="12.75" customHeight="1">
      <c r="A63" s="32" t="s">
        <v>36</v>
      </c>
      <c r="B63" s="49" t="s">
        <v>20</v>
      </c>
      <c r="C63" s="50" t="s">
        <v>53</v>
      </c>
      <c r="D63" s="9"/>
      <c r="E63" s="66">
        <v>13.0</v>
      </c>
      <c r="F63" s="66">
        <v>6.0</v>
      </c>
      <c r="G63" s="66">
        <v>9.0</v>
      </c>
      <c r="H63" s="66">
        <v>15.0</v>
      </c>
      <c r="I63" s="66">
        <v>8.0</v>
      </c>
      <c r="J63" s="66">
        <v>2.0</v>
      </c>
      <c r="K63" s="66">
        <v>15.0</v>
      </c>
      <c r="L63" s="66">
        <v>10.0</v>
      </c>
      <c r="M63" s="66">
        <v>6.0</v>
      </c>
      <c r="N63" s="66">
        <v>7.0</v>
      </c>
      <c r="O63" s="66">
        <v>11.0</v>
      </c>
      <c r="P63" s="66">
        <v>7.0</v>
      </c>
      <c r="Q63" s="66">
        <v>8.0</v>
      </c>
      <c r="R63" s="66">
        <v>9.0</v>
      </c>
      <c r="S63" s="66">
        <v>11.0</v>
      </c>
      <c r="T63" s="66">
        <v>19.0</v>
      </c>
      <c r="U63" s="66">
        <v>10.0</v>
      </c>
      <c r="V63" s="66">
        <v>3.0</v>
      </c>
      <c r="W63" s="66">
        <v>6.0</v>
      </c>
      <c r="X63" s="66">
        <v>7.0</v>
      </c>
      <c r="Y63" s="66">
        <v>16.0</v>
      </c>
      <c r="Z63" s="66">
        <v>13.0</v>
      </c>
      <c r="AA63" s="66">
        <v>11.0</v>
      </c>
      <c r="AB63" s="66">
        <v>12.0</v>
      </c>
      <c r="AC63" s="66">
        <v>14.0</v>
      </c>
      <c r="AD63" s="66">
        <v>11.0</v>
      </c>
      <c r="AE63" s="66">
        <v>9.0</v>
      </c>
      <c r="AF63" s="6">
        <f t="shared" ref="AF63:AF70" si="18">SUM(E63:AE63)</f>
        <v>268</v>
      </c>
    </row>
    <row r="64" ht="12.75" customHeight="1">
      <c r="A64" s="32" t="s">
        <v>38</v>
      </c>
      <c r="B64" s="51"/>
      <c r="C64" s="52" t="s">
        <v>54</v>
      </c>
      <c r="D64" s="53"/>
      <c r="E64" s="66">
        <v>18.0</v>
      </c>
      <c r="F64" s="66">
        <v>6.0</v>
      </c>
      <c r="G64" s="13"/>
      <c r="H64" s="66">
        <v>0.0</v>
      </c>
      <c r="I64" s="66">
        <v>1.0</v>
      </c>
      <c r="J64" s="66">
        <v>5.0</v>
      </c>
      <c r="K64" s="66">
        <v>2.0</v>
      </c>
      <c r="L64" s="66">
        <v>0.0</v>
      </c>
      <c r="M64" s="66">
        <v>1.0</v>
      </c>
      <c r="N64" s="66">
        <v>4.0</v>
      </c>
      <c r="O64" s="66">
        <v>0.0</v>
      </c>
      <c r="P64" s="66">
        <v>5.0</v>
      </c>
      <c r="Q64" s="66">
        <v>3.0</v>
      </c>
      <c r="R64" s="66">
        <v>8.0</v>
      </c>
      <c r="S64" s="66">
        <v>3.0</v>
      </c>
      <c r="T64" s="66">
        <v>1.0</v>
      </c>
      <c r="U64" s="66">
        <v>0.0</v>
      </c>
      <c r="V64" s="66">
        <v>4.0</v>
      </c>
      <c r="W64" s="66">
        <v>0.0</v>
      </c>
      <c r="X64" s="66">
        <v>9.0</v>
      </c>
      <c r="Y64" s="66">
        <v>2.0</v>
      </c>
      <c r="Z64" s="66">
        <v>14.0</v>
      </c>
      <c r="AA64" s="66">
        <v>10.0</v>
      </c>
      <c r="AB64" s="66">
        <v>0.0</v>
      </c>
      <c r="AC64" s="66">
        <v>3.0</v>
      </c>
      <c r="AD64" s="66">
        <v>0.0</v>
      </c>
      <c r="AE64" s="66">
        <v>1.0</v>
      </c>
      <c r="AF64" s="6">
        <f t="shared" si="18"/>
        <v>100</v>
      </c>
    </row>
    <row r="65" ht="12.75" customHeight="1">
      <c r="A65" s="18"/>
      <c r="B65" s="51"/>
      <c r="C65" s="52" t="s">
        <v>55</v>
      </c>
      <c r="D65" s="53"/>
      <c r="E65" s="66">
        <v>0.0</v>
      </c>
      <c r="F65" s="66">
        <v>1.0</v>
      </c>
      <c r="G65" s="13"/>
      <c r="H65" s="66">
        <v>1.0</v>
      </c>
      <c r="I65" s="66">
        <v>2.0</v>
      </c>
      <c r="J65" s="66">
        <v>0.0</v>
      </c>
      <c r="K65" s="66">
        <v>0.0</v>
      </c>
      <c r="L65" s="66">
        <v>1.0</v>
      </c>
      <c r="M65" s="66">
        <v>0.0</v>
      </c>
      <c r="N65" s="66">
        <v>0.0</v>
      </c>
      <c r="O65" s="66">
        <v>0.0</v>
      </c>
      <c r="P65" s="66">
        <v>1.0</v>
      </c>
      <c r="Q65" s="66">
        <v>0.0</v>
      </c>
      <c r="R65" s="66">
        <v>1.0</v>
      </c>
      <c r="S65" s="66">
        <v>4.0</v>
      </c>
      <c r="T65" s="66">
        <v>1.0</v>
      </c>
      <c r="U65" s="66">
        <v>1.0</v>
      </c>
      <c r="V65" s="66">
        <v>0.0</v>
      </c>
      <c r="W65" s="66">
        <v>0.0</v>
      </c>
      <c r="X65" s="66">
        <v>2.0</v>
      </c>
      <c r="Y65" s="66">
        <v>1.0</v>
      </c>
      <c r="Z65" s="66">
        <v>2.0</v>
      </c>
      <c r="AA65" s="66">
        <v>2.0</v>
      </c>
      <c r="AB65" s="66">
        <v>15.0</v>
      </c>
      <c r="AC65" s="66">
        <v>7.0</v>
      </c>
      <c r="AD65" s="66">
        <v>2.0</v>
      </c>
      <c r="AE65" s="66">
        <v>5.0</v>
      </c>
      <c r="AF65" s="6">
        <f t="shared" si="18"/>
        <v>49</v>
      </c>
    </row>
    <row r="66" ht="12.75" customHeight="1">
      <c r="A66" s="18"/>
      <c r="B66" s="51"/>
      <c r="C66" s="52" t="s">
        <v>56</v>
      </c>
      <c r="D66" s="53"/>
      <c r="E66" s="66">
        <v>1.0</v>
      </c>
      <c r="F66" s="66">
        <v>0.0</v>
      </c>
      <c r="G66" s="13"/>
      <c r="H66" s="66">
        <v>1.0</v>
      </c>
      <c r="I66" s="66">
        <v>2.0</v>
      </c>
      <c r="J66" s="66">
        <v>0.0</v>
      </c>
      <c r="K66" s="66">
        <v>1.0</v>
      </c>
      <c r="L66" s="66">
        <v>2.0</v>
      </c>
      <c r="M66" s="66">
        <v>0.0</v>
      </c>
      <c r="N66" s="66">
        <v>0.0</v>
      </c>
      <c r="O66" s="66">
        <v>0.0</v>
      </c>
      <c r="P66" s="66">
        <v>2.0</v>
      </c>
      <c r="Q66" s="66">
        <v>7.0</v>
      </c>
      <c r="R66" s="66">
        <v>3.0</v>
      </c>
      <c r="S66" s="66">
        <v>1.0</v>
      </c>
      <c r="T66" s="13"/>
      <c r="U66" s="66">
        <v>2.0</v>
      </c>
      <c r="V66" s="66">
        <v>0.0</v>
      </c>
      <c r="W66" s="66">
        <v>0.0</v>
      </c>
      <c r="X66" s="66">
        <v>3.0</v>
      </c>
      <c r="Y66" s="66">
        <v>1.0</v>
      </c>
      <c r="Z66" s="66">
        <v>1.0</v>
      </c>
      <c r="AA66" s="66">
        <v>1.0</v>
      </c>
      <c r="AB66" s="66">
        <v>0.0</v>
      </c>
      <c r="AC66" s="66">
        <v>1.0</v>
      </c>
      <c r="AD66" s="66">
        <v>1.0</v>
      </c>
      <c r="AE66" s="66">
        <v>2.0</v>
      </c>
      <c r="AF66" s="6">
        <f t="shared" si="18"/>
        <v>32</v>
      </c>
    </row>
    <row r="67" ht="12.75" customHeight="1">
      <c r="A67" s="18"/>
      <c r="B67" s="51"/>
      <c r="C67" s="52" t="s">
        <v>57</v>
      </c>
      <c r="D67" s="53"/>
      <c r="E67" s="66">
        <v>33.0</v>
      </c>
      <c r="F67" s="66">
        <v>50.0</v>
      </c>
      <c r="G67" s="66">
        <v>25.0</v>
      </c>
      <c r="H67" s="66">
        <v>17.0</v>
      </c>
      <c r="I67" s="66">
        <v>3.0</v>
      </c>
      <c r="J67" s="66">
        <v>0.0</v>
      </c>
      <c r="K67" s="66">
        <v>1.0</v>
      </c>
      <c r="L67" s="66">
        <v>34.0</v>
      </c>
      <c r="M67" s="66">
        <v>3.0</v>
      </c>
      <c r="N67" s="66">
        <v>2.0</v>
      </c>
      <c r="O67" s="66">
        <v>31.0</v>
      </c>
      <c r="P67" s="66">
        <v>61.0</v>
      </c>
      <c r="Q67" s="66">
        <v>11.0</v>
      </c>
      <c r="R67" s="66">
        <v>6.0</v>
      </c>
      <c r="S67" s="66">
        <v>12.0</v>
      </c>
      <c r="T67" s="66">
        <v>25.0</v>
      </c>
      <c r="U67" s="66">
        <v>83.0</v>
      </c>
      <c r="V67" s="66">
        <v>12.0</v>
      </c>
      <c r="W67" s="66">
        <v>11.0</v>
      </c>
      <c r="X67" s="66">
        <v>30.0</v>
      </c>
      <c r="Y67" s="66">
        <v>35.0</v>
      </c>
      <c r="Z67" s="66">
        <v>5.0</v>
      </c>
      <c r="AA67" s="66">
        <v>8.0</v>
      </c>
      <c r="AB67" s="66">
        <v>18.0</v>
      </c>
      <c r="AC67" s="66">
        <v>26.0</v>
      </c>
      <c r="AD67" s="66">
        <v>44.0</v>
      </c>
      <c r="AE67" s="66">
        <v>33.0</v>
      </c>
      <c r="AF67" s="6">
        <f t="shared" si="18"/>
        <v>619</v>
      </c>
    </row>
    <row r="68" ht="12.75" customHeight="1">
      <c r="A68" s="18"/>
      <c r="B68" s="51"/>
      <c r="C68" s="52" t="s">
        <v>58</v>
      </c>
      <c r="D68" s="53"/>
      <c r="E68" s="66">
        <v>5.0</v>
      </c>
      <c r="F68" s="66">
        <v>5.0</v>
      </c>
      <c r="G68" s="66">
        <v>20.0</v>
      </c>
      <c r="H68" s="66">
        <v>64.0</v>
      </c>
      <c r="I68" s="66">
        <v>83.0</v>
      </c>
      <c r="J68" s="66">
        <v>18.0</v>
      </c>
      <c r="K68" s="66">
        <v>37.0</v>
      </c>
      <c r="L68" s="66">
        <v>8.0</v>
      </c>
      <c r="M68" s="66">
        <v>7.0</v>
      </c>
      <c r="N68" s="66">
        <v>42.0</v>
      </c>
      <c r="O68" s="66">
        <v>23.0</v>
      </c>
      <c r="P68" s="66">
        <v>14.0</v>
      </c>
      <c r="Q68" s="66">
        <v>23.0</v>
      </c>
      <c r="R68" s="66">
        <v>15.0</v>
      </c>
      <c r="S68" s="66">
        <v>27.0</v>
      </c>
      <c r="T68" s="66">
        <v>33.0</v>
      </c>
      <c r="U68" s="66">
        <v>20.0</v>
      </c>
      <c r="V68" s="66">
        <v>9.0</v>
      </c>
      <c r="W68" s="66">
        <v>7.0</v>
      </c>
      <c r="X68" s="66">
        <v>8.0</v>
      </c>
      <c r="Y68" s="66">
        <v>37.0</v>
      </c>
      <c r="Z68" s="66">
        <v>21.0</v>
      </c>
      <c r="AA68" s="66">
        <v>8.0</v>
      </c>
      <c r="AB68" s="66">
        <v>23.0</v>
      </c>
      <c r="AC68" s="66">
        <v>7.0</v>
      </c>
      <c r="AD68" s="66">
        <v>11.0</v>
      </c>
      <c r="AE68" s="66">
        <v>15.0</v>
      </c>
      <c r="AF68" s="6">
        <f t="shared" si="18"/>
        <v>590</v>
      </c>
    </row>
    <row r="69" ht="12.75" customHeight="1">
      <c r="A69" s="18"/>
      <c r="B69" s="51"/>
      <c r="C69" s="52" t="s">
        <v>59</v>
      </c>
      <c r="D69" s="53"/>
      <c r="E69" s="66">
        <v>0.0</v>
      </c>
      <c r="F69" s="66">
        <v>2.0</v>
      </c>
      <c r="G69" s="13"/>
      <c r="H69" s="66">
        <v>0.0</v>
      </c>
      <c r="I69" s="66">
        <v>1.0</v>
      </c>
      <c r="J69" s="66">
        <v>1.0</v>
      </c>
      <c r="K69" s="66">
        <v>1.0</v>
      </c>
      <c r="L69" s="66">
        <v>2.0</v>
      </c>
      <c r="M69" s="66">
        <v>2.0</v>
      </c>
      <c r="N69" s="66">
        <v>4.0</v>
      </c>
      <c r="O69" s="66">
        <v>3.0</v>
      </c>
      <c r="P69" s="66">
        <v>4.0</v>
      </c>
      <c r="Q69" s="66">
        <v>37.0</v>
      </c>
      <c r="R69" s="66">
        <v>41.0</v>
      </c>
      <c r="S69" s="66">
        <v>2.0</v>
      </c>
      <c r="T69" s="66">
        <v>4.0</v>
      </c>
      <c r="U69" s="66">
        <v>0.0</v>
      </c>
      <c r="V69" s="66">
        <v>3.0</v>
      </c>
      <c r="W69" s="66">
        <v>0.0</v>
      </c>
      <c r="X69" s="66">
        <v>1.0</v>
      </c>
      <c r="Y69" s="66">
        <v>1.0</v>
      </c>
      <c r="Z69" s="66">
        <v>13.0</v>
      </c>
      <c r="AA69" s="66">
        <v>2.0</v>
      </c>
      <c r="AB69" s="66">
        <v>0.0</v>
      </c>
      <c r="AC69" s="66">
        <v>8.0</v>
      </c>
      <c r="AD69" s="66">
        <v>36.0</v>
      </c>
      <c r="AE69" s="66">
        <v>4.0</v>
      </c>
      <c r="AF69" s="6">
        <f t="shared" si="18"/>
        <v>172</v>
      </c>
    </row>
    <row r="70" ht="12.75" customHeight="1">
      <c r="A70" s="13" t="s">
        <v>14</v>
      </c>
      <c r="B70" s="49" t="s">
        <v>45</v>
      </c>
      <c r="C70" s="8"/>
      <c r="D70" s="9"/>
      <c r="E70" s="54">
        <f t="shared" ref="E70:AE70" si="19">SUM(E63:E69)</f>
        <v>70</v>
      </c>
      <c r="F70" s="54">
        <f t="shared" si="19"/>
        <v>70</v>
      </c>
      <c r="G70" s="54">
        <f t="shared" si="19"/>
        <v>54</v>
      </c>
      <c r="H70" s="54">
        <f t="shared" si="19"/>
        <v>98</v>
      </c>
      <c r="I70" s="54">
        <f t="shared" si="19"/>
        <v>100</v>
      </c>
      <c r="J70" s="54">
        <f t="shared" si="19"/>
        <v>26</v>
      </c>
      <c r="K70" s="54">
        <f t="shared" si="19"/>
        <v>57</v>
      </c>
      <c r="L70" s="54">
        <f t="shared" si="19"/>
        <v>57</v>
      </c>
      <c r="M70" s="54">
        <f t="shared" si="19"/>
        <v>19</v>
      </c>
      <c r="N70" s="54">
        <f t="shared" si="19"/>
        <v>59</v>
      </c>
      <c r="O70" s="54">
        <f t="shared" si="19"/>
        <v>68</v>
      </c>
      <c r="P70" s="54">
        <f t="shared" si="19"/>
        <v>94</v>
      </c>
      <c r="Q70" s="54">
        <f t="shared" si="19"/>
        <v>89</v>
      </c>
      <c r="R70" s="54">
        <f t="shared" si="19"/>
        <v>83</v>
      </c>
      <c r="S70" s="54">
        <f t="shared" si="19"/>
        <v>60</v>
      </c>
      <c r="T70" s="54">
        <f t="shared" si="19"/>
        <v>83</v>
      </c>
      <c r="U70" s="54">
        <f t="shared" si="19"/>
        <v>116</v>
      </c>
      <c r="V70" s="54">
        <f t="shared" si="19"/>
        <v>31</v>
      </c>
      <c r="W70" s="54">
        <f t="shared" si="19"/>
        <v>24</v>
      </c>
      <c r="X70" s="54">
        <f t="shared" si="19"/>
        <v>60</v>
      </c>
      <c r="Y70" s="54">
        <f t="shared" si="19"/>
        <v>93</v>
      </c>
      <c r="Z70" s="54">
        <f t="shared" si="19"/>
        <v>69</v>
      </c>
      <c r="AA70" s="54">
        <f t="shared" si="19"/>
        <v>42</v>
      </c>
      <c r="AB70" s="54">
        <f t="shared" si="19"/>
        <v>68</v>
      </c>
      <c r="AC70" s="54">
        <f t="shared" si="19"/>
        <v>66</v>
      </c>
      <c r="AD70" s="54">
        <f t="shared" si="19"/>
        <v>105</v>
      </c>
      <c r="AE70" s="54">
        <f t="shared" si="19"/>
        <v>69</v>
      </c>
      <c r="AF70" s="6">
        <f t="shared" si="18"/>
        <v>1830</v>
      </c>
    </row>
    <row r="71" ht="12.75" customHeight="1">
      <c r="A71" s="55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6"/>
    </row>
    <row r="72" ht="12.75" customHeight="1">
      <c r="A72" s="32" t="s">
        <v>36</v>
      </c>
      <c r="B72" s="49" t="s">
        <v>22</v>
      </c>
      <c r="C72" s="50" t="s">
        <v>60</v>
      </c>
      <c r="D72" s="9"/>
      <c r="E72" s="66">
        <v>1.0</v>
      </c>
      <c r="F72" s="66">
        <v>1.0</v>
      </c>
      <c r="G72" s="66">
        <v>2.0</v>
      </c>
      <c r="H72" s="66">
        <v>2.0</v>
      </c>
      <c r="I72" s="66">
        <v>1.0</v>
      </c>
      <c r="J72" s="66">
        <v>1.0</v>
      </c>
      <c r="K72" s="66">
        <v>2.0</v>
      </c>
      <c r="L72" s="66">
        <v>0.0</v>
      </c>
      <c r="M72" s="13"/>
      <c r="N72" s="66">
        <v>0.0</v>
      </c>
      <c r="O72" s="66">
        <v>2.0</v>
      </c>
      <c r="P72" s="66">
        <v>3.0</v>
      </c>
      <c r="Q72" s="66">
        <v>2.0</v>
      </c>
      <c r="R72" s="66">
        <v>1.0</v>
      </c>
      <c r="S72" s="66">
        <v>3.0</v>
      </c>
      <c r="T72" s="66">
        <v>2.0</v>
      </c>
      <c r="U72" s="66">
        <v>0.0</v>
      </c>
      <c r="V72" s="66">
        <v>1.0</v>
      </c>
      <c r="W72" s="66">
        <v>2.0</v>
      </c>
      <c r="X72" s="66">
        <v>0.0</v>
      </c>
      <c r="Y72" s="66">
        <v>5.0</v>
      </c>
      <c r="Z72" s="66">
        <v>0.0</v>
      </c>
      <c r="AA72" s="66">
        <v>5.0</v>
      </c>
      <c r="AB72" s="66">
        <v>2.0</v>
      </c>
      <c r="AC72" s="66">
        <v>3.0</v>
      </c>
      <c r="AD72" s="66">
        <v>2.0</v>
      </c>
      <c r="AE72" s="66">
        <v>5.0</v>
      </c>
      <c r="AF72" s="6">
        <f t="shared" ref="AF72:AF79" si="20">SUM(E72:AE72)</f>
        <v>48</v>
      </c>
    </row>
    <row r="73" ht="12.75" customHeight="1">
      <c r="A73" s="32" t="s">
        <v>38</v>
      </c>
      <c r="B73" s="51"/>
      <c r="C73" s="52" t="s">
        <v>61</v>
      </c>
      <c r="D73" s="53"/>
      <c r="E73" s="13"/>
      <c r="F73" s="66">
        <v>0.0</v>
      </c>
      <c r="G73" s="66">
        <v>2.0</v>
      </c>
      <c r="H73" s="66">
        <v>0.0</v>
      </c>
      <c r="I73" s="66">
        <v>8.0</v>
      </c>
      <c r="J73" s="66">
        <v>2.0</v>
      </c>
      <c r="K73" s="66">
        <v>1.0</v>
      </c>
      <c r="L73" s="66">
        <v>0.0</v>
      </c>
      <c r="M73" s="66">
        <v>1.0</v>
      </c>
      <c r="N73" s="66">
        <v>5.0</v>
      </c>
      <c r="O73" s="66">
        <v>2.0</v>
      </c>
      <c r="P73" s="66">
        <v>2.0</v>
      </c>
      <c r="Q73" s="66">
        <v>6.0</v>
      </c>
      <c r="R73" s="66">
        <v>2.0</v>
      </c>
      <c r="S73" s="66">
        <v>0.0</v>
      </c>
      <c r="T73" s="66">
        <v>2.0</v>
      </c>
      <c r="U73" s="66">
        <v>3.0</v>
      </c>
      <c r="V73" s="66">
        <v>8.0</v>
      </c>
      <c r="W73" s="66">
        <v>3.0</v>
      </c>
      <c r="X73" s="66">
        <v>6.0</v>
      </c>
      <c r="Y73" s="66">
        <v>0.0</v>
      </c>
      <c r="Z73" s="66">
        <v>3.0</v>
      </c>
      <c r="AA73" s="66">
        <v>1.0</v>
      </c>
      <c r="AB73" s="66">
        <v>2.0</v>
      </c>
      <c r="AC73" s="66">
        <v>1.0</v>
      </c>
      <c r="AD73" s="66">
        <v>3.0</v>
      </c>
      <c r="AE73" s="66">
        <v>1.0</v>
      </c>
      <c r="AF73" s="6">
        <f t="shared" si="20"/>
        <v>64</v>
      </c>
    </row>
    <row r="74" ht="12.75" customHeight="1">
      <c r="A74" s="18"/>
      <c r="B74" s="51"/>
      <c r="C74" s="52" t="s">
        <v>62</v>
      </c>
      <c r="D74" s="53"/>
      <c r="E74" s="13"/>
      <c r="F74" s="66">
        <v>0.0</v>
      </c>
      <c r="G74" s="66">
        <v>0.0</v>
      </c>
      <c r="H74" s="66">
        <v>0.0</v>
      </c>
      <c r="I74" s="66">
        <v>0.0</v>
      </c>
      <c r="J74" s="66">
        <v>0.0</v>
      </c>
      <c r="K74" s="66">
        <v>0.0</v>
      </c>
      <c r="L74" s="66">
        <v>0.0</v>
      </c>
      <c r="M74" s="13"/>
      <c r="N74" s="66">
        <v>0.0</v>
      </c>
      <c r="O74" s="66">
        <v>0.0</v>
      </c>
      <c r="P74" s="66">
        <v>0.0</v>
      </c>
      <c r="Q74" s="66">
        <v>1.0</v>
      </c>
      <c r="R74" s="66">
        <v>0.0</v>
      </c>
      <c r="S74" s="66">
        <v>0.0</v>
      </c>
      <c r="T74" s="13"/>
      <c r="U74" s="66">
        <v>1.0</v>
      </c>
      <c r="V74" s="66">
        <v>1.0</v>
      </c>
      <c r="W74" s="66">
        <v>1.0</v>
      </c>
      <c r="X74" s="66">
        <v>0.0</v>
      </c>
      <c r="Y74" s="66">
        <v>1.0</v>
      </c>
      <c r="Z74" s="66">
        <v>0.0</v>
      </c>
      <c r="AA74" s="66">
        <v>0.0</v>
      </c>
      <c r="AB74" s="66">
        <v>0.0</v>
      </c>
      <c r="AC74" s="66">
        <v>2.0</v>
      </c>
      <c r="AD74" s="66">
        <v>0.0</v>
      </c>
      <c r="AE74" s="66">
        <v>0.0</v>
      </c>
      <c r="AF74" s="6">
        <f t="shared" si="20"/>
        <v>7</v>
      </c>
    </row>
    <row r="75" ht="12.75" customHeight="1">
      <c r="A75" s="18"/>
      <c r="B75" s="51"/>
      <c r="C75" s="52" t="s">
        <v>63</v>
      </c>
      <c r="D75" s="53"/>
      <c r="E75" s="13"/>
      <c r="F75" s="66">
        <v>0.0</v>
      </c>
      <c r="G75" s="66">
        <v>1.0</v>
      </c>
      <c r="H75" s="66">
        <v>0.0</v>
      </c>
      <c r="I75" s="66">
        <v>0.0</v>
      </c>
      <c r="J75" s="66">
        <v>1.0</v>
      </c>
      <c r="K75" s="66">
        <v>6.0</v>
      </c>
      <c r="L75" s="66">
        <v>0.0</v>
      </c>
      <c r="M75" s="13"/>
      <c r="N75" s="66">
        <v>0.0</v>
      </c>
      <c r="O75" s="66">
        <v>1.0</v>
      </c>
      <c r="P75" s="66">
        <v>1.0</v>
      </c>
      <c r="Q75" s="66">
        <v>2.0</v>
      </c>
      <c r="R75" s="66">
        <v>4.0</v>
      </c>
      <c r="S75" s="66">
        <v>2.0</v>
      </c>
      <c r="T75" s="66">
        <v>2.0</v>
      </c>
      <c r="U75" s="66">
        <v>0.0</v>
      </c>
      <c r="V75" s="66">
        <v>1.0</v>
      </c>
      <c r="W75" s="66">
        <v>9.0</v>
      </c>
      <c r="X75" s="66">
        <v>0.0</v>
      </c>
      <c r="Y75" s="66">
        <v>0.0</v>
      </c>
      <c r="Z75" s="66">
        <v>9.0</v>
      </c>
      <c r="AA75" s="66">
        <v>1.0</v>
      </c>
      <c r="AB75" s="66">
        <v>16.0</v>
      </c>
      <c r="AC75" s="66">
        <v>1.0</v>
      </c>
      <c r="AD75" s="66">
        <v>0.0</v>
      </c>
      <c r="AE75" s="13"/>
      <c r="AF75" s="6">
        <f t="shared" si="20"/>
        <v>57</v>
      </c>
    </row>
    <row r="76" ht="12.75" customHeight="1">
      <c r="A76" s="18"/>
      <c r="B76" s="51"/>
      <c r="C76" s="52" t="s">
        <v>64</v>
      </c>
      <c r="D76" s="53"/>
      <c r="E76" s="13"/>
      <c r="F76" s="66">
        <v>0.0</v>
      </c>
      <c r="G76" s="13"/>
      <c r="H76" s="66">
        <v>1.0</v>
      </c>
      <c r="I76" s="66">
        <v>0.0</v>
      </c>
      <c r="J76" s="66">
        <v>0.0</v>
      </c>
      <c r="K76" s="66">
        <v>0.0</v>
      </c>
      <c r="L76" s="66">
        <v>0.0</v>
      </c>
      <c r="M76" s="13"/>
      <c r="N76" s="66">
        <v>0.0</v>
      </c>
      <c r="O76" s="66">
        <v>0.0</v>
      </c>
      <c r="P76" s="66">
        <v>0.0</v>
      </c>
      <c r="Q76" s="66">
        <v>0.0</v>
      </c>
      <c r="R76" s="66">
        <v>0.0</v>
      </c>
      <c r="S76" s="66">
        <v>1.0</v>
      </c>
      <c r="T76" s="13"/>
      <c r="U76" s="66">
        <v>0.0</v>
      </c>
      <c r="V76" s="66">
        <v>1.0</v>
      </c>
      <c r="W76" s="66">
        <v>0.0</v>
      </c>
      <c r="X76" s="66">
        <v>0.0</v>
      </c>
      <c r="Y76" s="66">
        <v>0.0</v>
      </c>
      <c r="Z76" s="13"/>
      <c r="AA76" s="66">
        <v>0.0</v>
      </c>
      <c r="AB76" s="66">
        <v>0.0</v>
      </c>
      <c r="AC76" s="66">
        <v>0.0</v>
      </c>
      <c r="AD76" s="66">
        <v>1.0</v>
      </c>
      <c r="AE76" s="13"/>
      <c r="AF76" s="6">
        <f t="shared" si="20"/>
        <v>4</v>
      </c>
    </row>
    <row r="77" ht="12.75" customHeight="1">
      <c r="A77" s="18"/>
      <c r="B77" s="51"/>
      <c r="C77" s="52" t="s">
        <v>65</v>
      </c>
      <c r="D77" s="53"/>
      <c r="E77" s="13"/>
      <c r="F77" s="66">
        <v>0.0</v>
      </c>
      <c r="G77" s="13"/>
      <c r="H77" s="66">
        <v>0.0</v>
      </c>
      <c r="I77" s="66">
        <v>0.0</v>
      </c>
      <c r="J77" s="66">
        <v>0.0</v>
      </c>
      <c r="K77" s="66">
        <v>0.0</v>
      </c>
      <c r="L77" s="66">
        <v>0.0</v>
      </c>
      <c r="M77" s="13"/>
      <c r="N77" s="66">
        <v>0.0</v>
      </c>
      <c r="O77" s="66">
        <v>0.0</v>
      </c>
      <c r="P77" s="66">
        <v>0.0</v>
      </c>
      <c r="Q77" s="66">
        <v>0.0</v>
      </c>
      <c r="R77" s="66">
        <v>1.0</v>
      </c>
      <c r="S77" s="66">
        <v>2.0</v>
      </c>
      <c r="T77" s="13"/>
      <c r="U77" s="66">
        <v>2.0</v>
      </c>
      <c r="V77" s="66">
        <v>1.0</v>
      </c>
      <c r="W77" s="66">
        <v>2.0</v>
      </c>
      <c r="X77" s="66">
        <v>1.0</v>
      </c>
      <c r="Y77" s="66">
        <v>0.0</v>
      </c>
      <c r="Z77" s="13"/>
      <c r="AA77" s="66">
        <v>1.0</v>
      </c>
      <c r="AB77" s="66">
        <v>0.0</v>
      </c>
      <c r="AC77" s="66">
        <v>0.0</v>
      </c>
      <c r="AD77" s="66">
        <v>0.0</v>
      </c>
      <c r="AE77" s="13"/>
      <c r="AF77" s="6">
        <f t="shared" si="20"/>
        <v>10</v>
      </c>
    </row>
    <row r="78" ht="12.75" customHeight="1">
      <c r="A78" s="18"/>
      <c r="B78" s="51"/>
      <c r="C78" s="52" t="s">
        <v>66</v>
      </c>
      <c r="D78" s="53"/>
      <c r="E78" s="13"/>
      <c r="F78" s="66">
        <v>0.0</v>
      </c>
      <c r="G78" s="13"/>
      <c r="H78" s="66">
        <v>0.0</v>
      </c>
      <c r="I78" s="66">
        <v>0.0</v>
      </c>
      <c r="J78" s="66">
        <v>0.0</v>
      </c>
      <c r="K78" s="66">
        <v>0.0</v>
      </c>
      <c r="L78" s="66">
        <v>0.0</v>
      </c>
      <c r="M78" s="13"/>
      <c r="N78" s="66">
        <v>0.0</v>
      </c>
      <c r="O78" s="66">
        <v>0.0</v>
      </c>
      <c r="P78" s="66">
        <v>0.0</v>
      </c>
      <c r="Q78" s="66">
        <v>0.0</v>
      </c>
      <c r="R78" s="66">
        <v>0.0</v>
      </c>
      <c r="S78" s="66">
        <v>0.0</v>
      </c>
      <c r="T78" s="13"/>
      <c r="U78" s="66">
        <v>2.0</v>
      </c>
      <c r="V78" s="66">
        <v>0.0</v>
      </c>
      <c r="W78" s="66">
        <v>0.0</v>
      </c>
      <c r="X78" s="66">
        <v>0.0</v>
      </c>
      <c r="Y78" s="66">
        <v>0.0</v>
      </c>
      <c r="Z78" s="13"/>
      <c r="AA78" s="66">
        <v>0.0</v>
      </c>
      <c r="AB78" s="66">
        <v>0.0</v>
      </c>
      <c r="AC78" s="66">
        <v>0.0</v>
      </c>
      <c r="AD78" s="66">
        <v>0.0</v>
      </c>
      <c r="AE78" s="13"/>
      <c r="AF78" s="6">
        <f t="shared" si="20"/>
        <v>2</v>
      </c>
    </row>
    <row r="79" ht="12.75" customHeight="1">
      <c r="A79" s="13" t="s">
        <v>14</v>
      </c>
      <c r="B79" s="49" t="s">
        <v>45</v>
      </c>
      <c r="C79" s="8"/>
      <c r="D79" s="9"/>
      <c r="E79" s="54">
        <f t="shared" ref="E79:AE79" si="21">SUM(E72:E78)</f>
        <v>1</v>
      </c>
      <c r="F79" s="54">
        <f t="shared" si="21"/>
        <v>1</v>
      </c>
      <c r="G79" s="54">
        <f t="shared" si="21"/>
        <v>5</v>
      </c>
      <c r="H79" s="54">
        <f t="shared" si="21"/>
        <v>3</v>
      </c>
      <c r="I79" s="54">
        <f t="shared" si="21"/>
        <v>9</v>
      </c>
      <c r="J79" s="54">
        <f t="shared" si="21"/>
        <v>4</v>
      </c>
      <c r="K79" s="54">
        <f t="shared" si="21"/>
        <v>9</v>
      </c>
      <c r="L79" s="54">
        <f t="shared" si="21"/>
        <v>0</v>
      </c>
      <c r="M79" s="54">
        <f t="shared" si="21"/>
        <v>1</v>
      </c>
      <c r="N79" s="54">
        <f t="shared" si="21"/>
        <v>5</v>
      </c>
      <c r="O79" s="54">
        <f t="shared" si="21"/>
        <v>5</v>
      </c>
      <c r="P79" s="54">
        <f t="shared" si="21"/>
        <v>6</v>
      </c>
      <c r="Q79" s="54">
        <f t="shared" si="21"/>
        <v>11</v>
      </c>
      <c r="R79" s="54">
        <f t="shared" si="21"/>
        <v>8</v>
      </c>
      <c r="S79" s="54">
        <f t="shared" si="21"/>
        <v>8</v>
      </c>
      <c r="T79" s="54">
        <f t="shared" si="21"/>
        <v>6</v>
      </c>
      <c r="U79" s="54">
        <f t="shared" si="21"/>
        <v>8</v>
      </c>
      <c r="V79" s="54">
        <f t="shared" si="21"/>
        <v>13</v>
      </c>
      <c r="W79" s="54">
        <f t="shared" si="21"/>
        <v>17</v>
      </c>
      <c r="X79" s="54">
        <f t="shared" si="21"/>
        <v>7</v>
      </c>
      <c r="Y79" s="54">
        <f t="shared" si="21"/>
        <v>6</v>
      </c>
      <c r="Z79" s="54">
        <f t="shared" si="21"/>
        <v>12</v>
      </c>
      <c r="AA79" s="54">
        <f t="shared" si="21"/>
        <v>8</v>
      </c>
      <c r="AB79" s="54">
        <f t="shared" si="21"/>
        <v>20</v>
      </c>
      <c r="AC79" s="54">
        <f t="shared" si="21"/>
        <v>7</v>
      </c>
      <c r="AD79" s="54">
        <f t="shared" si="21"/>
        <v>6</v>
      </c>
      <c r="AE79" s="54">
        <f t="shared" si="21"/>
        <v>6</v>
      </c>
      <c r="AF79" s="6">
        <f t="shared" si="20"/>
        <v>192</v>
      </c>
    </row>
    <row r="80" ht="12.75" customHeight="1">
      <c r="A80" s="55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6"/>
    </row>
    <row r="81" ht="12.75" customHeight="1">
      <c r="A81" s="32" t="s">
        <v>36</v>
      </c>
      <c r="B81" s="49" t="s">
        <v>67</v>
      </c>
      <c r="C81" s="50" t="s">
        <v>68</v>
      </c>
      <c r="D81" s="9"/>
      <c r="E81" s="66">
        <v>2.0</v>
      </c>
      <c r="F81" s="66">
        <v>0.0</v>
      </c>
      <c r="G81" s="66">
        <v>5.0</v>
      </c>
      <c r="H81" s="66">
        <v>2.0</v>
      </c>
      <c r="I81" s="66">
        <v>1.0</v>
      </c>
      <c r="J81" s="66">
        <v>0.0</v>
      </c>
      <c r="K81" s="66">
        <v>1.0</v>
      </c>
      <c r="L81" s="66">
        <v>0.0</v>
      </c>
      <c r="M81" s="66">
        <v>1.0</v>
      </c>
      <c r="N81" s="66">
        <v>0.0</v>
      </c>
      <c r="O81" s="66">
        <v>3.0</v>
      </c>
      <c r="P81" s="66">
        <v>0.0</v>
      </c>
      <c r="Q81" s="66">
        <v>1.0</v>
      </c>
      <c r="R81" s="66">
        <v>2.0</v>
      </c>
      <c r="S81" s="66">
        <v>1.0</v>
      </c>
      <c r="T81" s="66">
        <v>2.0</v>
      </c>
      <c r="U81" s="66">
        <v>0.0</v>
      </c>
      <c r="V81" s="66">
        <v>1.0</v>
      </c>
      <c r="W81" s="66">
        <v>2.0</v>
      </c>
      <c r="X81" s="66">
        <v>0.0</v>
      </c>
      <c r="Y81" s="66">
        <v>0.0</v>
      </c>
      <c r="Z81" s="66">
        <v>3.0</v>
      </c>
      <c r="AA81" s="66">
        <v>0.0</v>
      </c>
      <c r="AB81" s="66">
        <v>1.0</v>
      </c>
      <c r="AC81" s="66">
        <v>0.0</v>
      </c>
      <c r="AD81" s="66">
        <v>2.0</v>
      </c>
      <c r="AE81" s="66">
        <v>3.0</v>
      </c>
      <c r="AF81" s="6">
        <f t="shared" ref="AF81:AF88" si="22">SUM(E81:AE81)</f>
        <v>33</v>
      </c>
    </row>
    <row r="82" ht="12.75" customHeight="1">
      <c r="A82" s="32" t="s">
        <v>38</v>
      </c>
      <c r="B82" s="51"/>
      <c r="C82" s="52" t="s">
        <v>69</v>
      </c>
      <c r="D82" s="53"/>
      <c r="E82" s="13"/>
      <c r="F82" s="66">
        <v>0.0</v>
      </c>
      <c r="G82" s="13"/>
      <c r="H82" s="66">
        <v>0.0</v>
      </c>
      <c r="I82" s="66">
        <v>0.0</v>
      </c>
      <c r="J82" s="66">
        <v>0.0</v>
      </c>
      <c r="K82" s="66">
        <v>0.0</v>
      </c>
      <c r="L82" s="66">
        <v>0.0</v>
      </c>
      <c r="M82" s="13"/>
      <c r="N82" s="66">
        <v>2.0</v>
      </c>
      <c r="O82" s="66">
        <v>0.0</v>
      </c>
      <c r="P82" s="66">
        <v>1.0</v>
      </c>
      <c r="Q82" s="66">
        <v>0.0</v>
      </c>
      <c r="R82" s="66">
        <v>0.0</v>
      </c>
      <c r="S82" s="66">
        <v>0.0</v>
      </c>
      <c r="T82" s="66">
        <v>0.0</v>
      </c>
      <c r="U82" s="66">
        <v>1.0</v>
      </c>
      <c r="V82" s="66">
        <v>0.0</v>
      </c>
      <c r="W82" s="66">
        <v>0.0</v>
      </c>
      <c r="X82" s="66">
        <v>0.0</v>
      </c>
      <c r="Y82" s="66">
        <v>0.0</v>
      </c>
      <c r="Z82" s="66">
        <v>0.0</v>
      </c>
      <c r="AA82" s="66">
        <v>0.0</v>
      </c>
      <c r="AB82" s="66">
        <v>1.0</v>
      </c>
      <c r="AC82" s="66">
        <v>0.0</v>
      </c>
      <c r="AD82" s="66">
        <v>2.0</v>
      </c>
      <c r="AE82" s="13"/>
      <c r="AF82" s="6">
        <f t="shared" si="22"/>
        <v>7</v>
      </c>
    </row>
    <row r="83" ht="12.75" customHeight="1">
      <c r="A83" s="18"/>
      <c r="B83" s="51"/>
      <c r="C83" s="52" t="s">
        <v>70</v>
      </c>
      <c r="D83" s="53"/>
      <c r="E83" s="13"/>
      <c r="F83" s="66">
        <v>0.0</v>
      </c>
      <c r="G83" s="13"/>
      <c r="H83" s="66">
        <v>0.0</v>
      </c>
      <c r="I83" s="66">
        <v>1.0</v>
      </c>
      <c r="J83" s="66">
        <v>0.0</v>
      </c>
      <c r="K83" s="66">
        <v>0.0</v>
      </c>
      <c r="L83" s="66">
        <v>0.0</v>
      </c>
      <c r="M83" s="13"/>
      <c r="N83" s="66">
        <v>0.0</v>
      </c>
      <c r="O83" s="66">
        <v>0.0</v>
      </c>
      <c r="P83" s="66">
        <v>0.0</v>
      </c>
      <c r="Q83" s="66">
        <v>0.0</v>
      </c>
      <c r="R83" s="66">
        <v>0.0</v>
      </c>
      <c r="S83" s="66">
        <v>4.0</v>
      </c>
      <c r="T83" s="66">
        <v>3.0</v>
      </c>
      <c r="U83" s="66">
        <v>0.0</v>
      </c>
      <c r="V83" s="66">
        <v>0.0</v>
      </c>
      <c r="W83" s="66">
        <v>0.0</v>
      </c>
      <c r="X83" s="66">
        <v>6.0</v>
      </c>
      <c r="Y83" s="66">
        <v>0.0</v>
      </c>
      <c r="Z83" s="66">
        <v>3.0</v>
      </c>
      <c r="AA83" s="66">
        <v>0.0</v>
      </c>
      <c r="AB83" s="66">
        <v>0.0</v>
      </c>
      <c r="AC83" s="66">
        <v>0.0</v>
      </c>
      <c r="AD83" s="66">
        <v>1.0</v>
      </c>
      <c r="AE83" s="13"/>
      <c r="AF83" s="6">
        <f t="shared" si="22"/>
        <v>18</v>
      </c>
    </row>
    <row r="84" ht="12.75" customHeight="1">
      <c r="A84" s="18"/>
      <c r="B84" s="51"/>
      <c r="C84" s="52" t="s">
        <v>71</v>
      </c>
      <c r="D84" s="53"/>
      <c r="E84" s="13"/>
      <c r="F84" s="66">
        <v>1.0</v>
      </c>
      <c r="G84" s="13"/>
      <c r="H84" s="66">
        <v>0.0</v>
      </c>
      <c r="I84" s="66">
        <v>0.0</v>
      </c>
      <c r="J84" s="66">
        <v>0.0</v>
      </c>
      <c r="K84" s="66">
        <v>1.0</v>
      </c>
      <c r="L84" s="66">
        <v>0.0</v>
      </c>
      <c r="M84" s="13"/>
      <c r="N84" s="66">
        <v>0.0</v>
      </c>
      <c r="O84" s="66">
        <v>0.0</v>
      </c>
      <c r="P84" s="66">
        <v>0.0</v>
      </c>
      <c r="Q84" s="66">
        <v>0.0</v>
      </c>
      <c r="R84" s="66">
        <v>0.0</v>
      </c>
      <c r="S84" s="66">
        <v>0.0</v>
      </c>
      <c r="T84" s="66">
        <v>0.0</v>
      </c>
      <c r="U84" s="66">
        <v>0.0</v>
      </c>
      <c r="V84" s="66">
        <v>0.0</v>
      </c>
      <c r="W84" s="66">
        <v>0.0</v>
      </c>
      <c r="X84" s="66">
        <v>1.0</v>
      </c>
      <c r="Y84" s="66">
        <v>0.0</v>
      </c>
      <c r="Z84" s="66">
        <v>0.0</v>
      </c>
      <c r="AA84" s="66">
        <v>0.0</v>
      </c>
      <c r="AB84" s="66">
        <v>0.0</v>
      </c>
      <c r="AC84" s="66">
        <v>0.0</v>
      </c>
      <c r="AD84" s="66">
        <v>0.0</v>
      </c>
      <c r="AE84" s="13"/>
      <c r="AF84" s="6">
        <f t="shared" si="22"/>
        <v>3</v>
      </c>
    </row>
    <row r="85" ht="12.75" customHeight="1">
      <c r="A85" s="18"/>
      <c r="B85" s="51"/>
      <c r="C85" s="52" t="s">
        <v>72</v>
      </c>
      <c r="D85" s="53"/>
      <c r="E85" s="13"/>
      <c r="F85" s="66">
        <v>0.0</v>
      </c>
      <c r="G85" s="13"/>
      <c r="H85" s="66">
        <v>0.0</v>
      </c>
      <c r="I85" s="66">
        <v>0.0</v>
      </c>
      <c r="J85" s="66">
        <v>0.0</v>
      </c>
      <c r="K85" s="66">
        <v>0.0</v>
      </c>
      <c r="L85" s="66">
        <v>0.0</v>
      </c>
      <c r="M85" s="13"/>
      <c r="N85" s="66">
        <v>0.0</v>
      </c>
      <c r="O85" s="66">
        <v>1.0</v>
      </c>
      <c r="P85" s="66">
        <v>0.0</v>
      </c>
      <c r="Q85" s="66">
        <v>2.0</v>
      </c>
      <c r="R85" s="66">
        <v>0.0</v>
      </c>
      <c r="S85" s="66">
        <v>0.0</v>
      </c>
      <c r="T85" s="13"/>
      <c r="U85" s="66">
        <v>0.0</v>
      </c>
      <c r="V85" s="66">
        <v>0.0</v>
      </c>
      <c r="W85" s="66">
        <v>1.0</v>
      </c>
      <c r="X85" s="66">
        <v>0.0</v>
      </c>
      <c r="Y85" s="66">
        <v>1.0</v>
      </c>
      <c r="Z85" s="66">
        <v>1.0</v>
      </c>
      <c r="AA85" s="66">
        <v>0.0</v>
      </c>
      <c r="AB85" s="66">
        <v>0.0</v>
      </c>
      <c r="AC85" s="66">
        <v>0.0</v>
      </c>
      <c r="AD85" s="66">
        <v>0.0</v>
      </c>
      <c r="AE85" s="13"/>
      <c r="AF85" s="6">
        <f t="shared" si="22"/>
        <v>6</v>
      </c>
    </row>
    <row r="86" ht="12.75" customHeight="1">
      <c r="A86" s="18"/>
      <c r="B86" s="51"/>
      <c r="C86" s="52" t="s">
        <v>73</v>
      </c>
      <c r="D86" s="53"/>
      <c r="E86" s="13"/>
      <c r="F86" s="66">
        <v>0.0</v>
      </c>
      <c r="G86" s="13"/>
      <c r="H86" s="66">
        <v>0.0</v>
      </c>
      <c r="I86" s="66">
        <v>0.0</v>
      </c>
      <c r="J86" s="66">
        <v>0.0</v>
      </c>
      <c r="K86" s="66">
        <v>0.0</v>
      </c>
      <c r="L86" s="66">
        <v>0.0</v>
      </c>
      <c r="M86" s="13"/>
      <c r="N86" s="66">
        <v>0.0</v>
      </c>
      <c r="O86" s="66">
        <v>0.0</v>
      </c>
      <c r="P86" s="66">
        <v>0.0</v>
      </c>
      <c r="Q86" s="66">
        <v>0.0</v>
      </c>
      <c r="R86" s="66">
        <v>0.0</v>
      </c>
      <c r="S86" s="66">
        <v>0.0</v>
      </c>
      <c r="T86" s="13"/>
      <c r="U86" s="66">
        <v>0.0</v>
      </c>
      <c r="V86" s="66">
        <v>6.0</v>
      </c>
      <c r="W86" s="66">
        <v>4.0</v>
      </c>
      <c r="X86" s="66">
        <v>0.0</v>
      </c>
      <c r="Y86" s="66">
        <v>0.0</v>
      </c>
      <c r="Z86" s="66">
        <v>5.0</v>
      </c>
      <c r="AA86" s="66">
        <v>0.0</v>
      </c>
      <c r="AB86" s="66">
        <v>0.0</v>
      </c>
      <c r="AC86" s="66">
        <v>2.0</v>
      </c>
      <c r="AD86" s="66">
        <v>0.0</v>
      </c>
      <c r="AE86" s="66">
        <v>5.0</v>
      </c>
      <c r="AF86" s="6">
        <f t="shared" si="22"/>
        <v>22</v>
      </c>
    </row>
    <row r="87" ht="12.75" customHeight="1">
      <c r="A87" s="18"/>
      <c r="B87" s="51"/>
      <c r="C87" s="52" t="s">
        <v>74</v>
      </c>
      <c r="D87" s="53"/>
      <c r="E87" s="66">
        <v>8.0</v>
      </c>
      <c r="F87" s="66">
        <v>2.0</v>
      </c>
      <c r="G87" s="66">
        <v>1.0</v>
      </c>
      <c r="H87" s="66">
        <v>0.0</v>
      </c>
      <c r="I87" s="66">
        <v>0.0</v>
      </c>
      <c r="J87" s="66">
        <v>0.0</v>
      </c>
      <c r="K87" s="66">
        <v>0.0</v>
      </c>
      <c r="L87" s="66">
        <v>0.0</v>
      </c>
      <c r="M87" s="13"/>
      <c r="N87" s="66">
        <v>0.0</v>
      </c>
      <c r="O87" s="66">
        <v>0.0</v>
      </c>
      <c r="P87" s="66">
        <v>0.0</v>
      </c>
      <c r="Q87" s="66">
        <v>0.0</v>
      </c>
      <c r="R87" s="66">
        <v>0.0</v>
      </c>
      <c r="S87" s="66">
        <v>3.0</v>
      </c>
      <c r="T87" s="13"/>
      <c r="U87" s="66">
        <v>0.0</v>
      </c>
      <c r="V87" s="66">
        <v>0.0</v>
      </c>
      <c r="W87" s="66">
        <v>0.0</v>
      </c>
      <c r="X87" s="66">
        <v>0.0</v>
      </c>
      <c r="Y87" s="66">
        <v>0.0</v>
      </c>
      <c r="Z87" s="66">
        <v>16.0</v>
      </c>
      <c r="AA87" s="66">
        <v>12.0</v>
      </c>
      <c r="AB87" s="66">
        <v>0.0</v>
      </c>
      <c r="AC87" s="66">
        <v>17.0</v>
      </c>
      <c r="AD87" s="66">
        <v>0.0</v>
      </c>
      <c r="AE87" s="13"/>
      <c r="AF87" s="6">
        <f t="shared" si="22"/>
        <v>59</v>
      </c>
    </row>
    <row r="88" ht="12.75" customHeight="1">
      <c r="A88" s="13" t="s">
        <v>14</v>
      </c>
      <c r="B88" s="49" t="s">
        <v>45</v>
      </c>
      <c r="C88" s="8"/>
      <c r="D88" s="9"/>
      <c r="E88" s="54">
        <f t="shared" ref="E88:AE88" si="23">SUM(E81:E87)</f>
        <v>10</v>
      </c>
      <c r="F88" s="54">
        <f t="shared" si="23"/>
        <v>3</v>
      </c>
      <c r="G88" s="54">
        <f t="shared" si="23"/>
        <v>6</v>
      </c>
      <c r="H88" s="54">
        <f t="shared" si="23"/>
        <v>2</v>
      </c>
      <c r="I88" s="54">
        <f t="shared" si="23"/>
        <v>2</v>
      </c>
      <c r="J88" s="54">
        <f t="shared" si="23"/>
        <v>0</v>
      </c>
      <c r="K88" s="54">
        <f t="shared" si="23"/>
        <v>2</v>
      </c>
      <c r="L88" s="54">
        <f t="shared" si="23"/>
        <v>0</v>
      </c>
      <c r="M88" s="54">
        <f t="shared" si="23"/>
        <v>1</v>
      </c>
      <c r="N88" s="54">
        <f t="shared" si="23"/>
        <v>2</v>
      </c>
      <c r="O88" s="54">
        <f t="shared" si="23"/>
        <v>4</v>
      </c>
      <c r="P88" s="54">
        <f t="shared" si="23"/>
        <v>1</v>
      </c>
      <c r="Q88" s="54">
        <f t="shared" si="23"/>
        <v>3</v>
      </c>
      <c r="R88" s="54">
        <f t="shared" si="23"/>
        <v>2</v>
      </c>
      <c r="S88" s="54">
        <f t="shared" si="23"/>
        <v>8</v>
      </c>
      <c r="T88" s="54">
        <f t="shared" si="23"/>
        <v>5</v>
      </c>
      <c r="U88" s="54">
        <f t="shared" si="23"/>
        <v>1</v>
      </c>
      <c r="V88" s="54">
        <f t="shared" si="23"/>
        <v>7</v>
      </c>
      <c r="W88" s="54">
        <f t="shared" si="23"/>
        <v>7</v>
      </c>
      <c r="X88" s="54">
        <f t="shared" si="23"/>
        <v>7</v>
      </c>
      <c r="Y88" s="54">
        <f t="shared" si="23"/>
        <v>1</v>
      </c>
      <c r="Z88" s="54">
        <f t="shared" si="23"/>
        <v>28</v>
      </c>
      <c r="AA88" s="54">
        <f t="shared" si="23"/>
        <v>12</v>
      </c>
      <c r="AB88" s="54">
        <f t="shared" si="23"/>
        <v>2</v>
      </c>
      <c r="AC88" s="54">
        <f t="shared" si="23"/>
        <v>19</v>
      </c>
      <c r="AD88" s="54">
        <f t="shared" si="23"/>
        <v>5</v>
      </c>
      <c r="AE88" s="54">
        <f t="shared" si="23"/>
        <v>8</v>
      </c>
      <c r="AF88" s="6">
        <f t="shared" si="22"/>
        <v>148</v>
      </c>
    </row>
    <row r="89" ht="12.75" customHeight="1">
      <c r="A89" s="55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6"/>
    </row>
    <row r="90" ht="12.75" customHeight="1">
      <c r="A90" s="32" t="s">
        <v>36</v>
      </c>
      <c r="B90" s="49" t="s">
        <v>75</v>
      </c>
      <c r="C90" s="50" t="s">
        <v>76</v>
      </c>
      <c r="D90" s="9"/>
      <c r="E90" s="13"/>
      <c r="F90" s="66">
        <v>0.0</v>
      </c>
      <c r="G90" s="13"/>
      <c r="H90" s="66">
        <v>0.0</v>
      </c>
      <c r="I90" s="66">
        <v>0.0</v>
      </c>
      <c r="J90" s="66">
        <v>1.0</v>
      </c>
      <c r="K90" s="66">
        <v>1.0</v>
      </c>
      <c r="L90" s="66">
        <v>1.0</v>
      </c>
      <c r="M90" s="13"/>
      <c r="N90" s="66">
        <v>0.0</v>
      </c>
      <c r="O90" s="66">
        <v>0.0</v>
      </c>
      <c r="P90" s="66">
        <v>0.0</v>
      </c>
      <c r="Q90" s="66">
        <v>2.0</v>
      </c>
      <c r="R90" s="66">
        <v>1.0</v>
      </c>
      <c r="S90" s="66">
        <v>1.0</v>
      </c>
      <c r="T90" s="13"/>
      <c r="U90" s="66">
        <v>0.0</v>
      </c>
      <c r="V90" s="66">
        <v>1.0</v>
      </c>
      <c r="W90" s="66">
        <v>0.0</v>
      </c>
      <c r="X90" s="66">
        <v>1.0</v>
      </c>
      <c r="Y90" s="66">
        <v>0.0</v>
      </c>
      <c r="Z90" s="66">
        <v>1.0</v>
      </c>
      <c r="AA90" s="66">
        <v>1.0</v>
      </c>
      <c r="AB90" s="66">
        <v>0.0</v>
      </c>
      <c r="AC90" s="66">
        <v>2.0</v>
      </c>
      <c r="AD90" s="66">
        <v>5.0</v>
      </c>
      <c r="AE90" s="66">
        <v>1.0</v>
      </c>
      <c r="AF90" s="6">
        <f t="shared" ref="AF90:AF92" si="24">SUM(E90:AE90)</f>
        <v>19</v>
      </c>
    </row>
    <row r="91" ht="12.75" customHeight="1">
      <c r="A91" s="32" t="s">
        <v>38</v>
      </c>
      <c r="B91" s="51"/>
      <c r="C91" s="52"/>
      <c r="D91" s="9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6">
        <f t="shared" si="24"/>
        <v>0</v>
      </c>
    </row>
    <row r="92" ht="12.75" customHeight="1">
      <c r="A92" s="13" t="s">
        <v>14</v>
      </c>
      <c r="B92" s="49" t="s">
        <v>45</v>
      </c>
      <c r="C92" s="8"/>
      <c r="D92" s="9"/>
      <c r="E92" s="54">
        <f t="shared" ref="E92:AE92" si="25">SUM(E90:E91)</f>
        <v>0</v>
      </c>
      <c r="F92" s="54">
        <f t="shared" si="25"/>
        <v>0</v>
      </c>
      <c r="G92" s="54">
        <f t="shared" si="25"/>
        <v>0</v>
      </c>
      <c r="H92" s="54">
        <f t="shared" si="25"/>
        <v>0</v>
      </c>
      <c r="I92" s="54">
        <f t="shared" si="25"/>
        <v>0</v>
      </c>
      <c r="J92" s="54">
        <f t="shared" si="25"/>
        <v>1</v>
      </c>
      <c r="K92" s="54">
        <f t="shared" si="25"/>
        <v>1</v>
      </c>
      <c r="L92" s="54">
        <f t="shared" si="25"/>
        <v>1</v>
      </c>
      <c r="M92" s="54">
        <f t="shared" si="25"/>
        <v>0</v>
      </c>
      <c r="N92" s="54">
        <f t="shared" si="25"/>
        <v>0</v>
      </c>
      <c r="O92" s="54">
        <f t="shared" si="25"/>
        <v>0</v>
      </c>
      <c r="P92" s="54">
        <f t="shared" si="25"/>
        <v>0</v>
      </c>
      <c r="Q92" s="54">
        <f t="shared" si="25"/>
        <v>2</v>
      </c>
      <c r="R92" s="54">
        <f t="shared" si="25"/>
        <v>1</v>
      </c>
      <c r="S92" s="54">
        <f t="shared" si="25"/>
        <v>1</v>
      </c>
      <c r="T92" s="54">
        <f t="shared" si="25"/>
        <v>0</v>
      </c>
      <c r="U92" s="54">
        <f t="shared" si="25"/>
        <v>0</v>
      </c>
      <c r="V92" s="54">
        <f t="shared" si="25"/>
        <v>1</v>
      </c>
      <c r="W92" s="54">
        <f t="shared" si="25"/>
        <v>0</v>
      </c>
      <c r="X92" s="54">
        <f t="shared" si="25"/>
        <v>1</v>
      </c>
      <c r="Y92" s="54">
        <f t="shared" si="25"/>
        <v>0</v>
      </c>
      <c r="Z92" s="54">
        <f t="shared" si="25"/>
        <v>1</v>
      </c>
      <c r="AA92" s="54">
        <f t="shared" si="25"/>
        <v>1</v>
      </c>
      <c r="AB92" s="54">
        <f t="shared" si="25"/>
        <v>0</v>
      </c>
      <c r="AC92" s="54">
        <f t="shared" si="25"/>
        <v>2</v>
      </c>
      <c r="AD92" s="54">
        <f t="shared" si="25"/>
        <v>5</v>
      </c>
      <c r="AE92" s="54">
        <f t="shared" si="25"/>
        <v>1</v>
      </c>
      <c r="AF92" s="6">
        <f t="shared" si="24"/>
        <v>19</v>
      </c>
    </row>
    <row r="93" ht="12.75" customHeight="1">
      <c r="A93" s="55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6"/>
    </row>
    <row r="94" ht="12.75" customHeight="1">
      <c r="A94" s="32" t="s">
        <v>36</v>
      </c>
      <c r="B94" s="49" t="s">
        <v>77</v>
      </c>
      <c r="C94" s="50" t="s">
        <v>78</v>
      </c>
      <c r="D94" s="9"/>
      <c r="E94" s="66">
        <v>0.0</v>
      </c>
      <c r="F94" s="66">
        <v>0.0</v>
      </c>
      <c r="G94" s="13"/>
      <c r="H94" s="66">
        <v>1.0</v>
      </c>
      <c r="I94" s="66">
        <v>0.0</v>
      </c>
      <c r="J94" s="66">
        <v>0.0</v>
      </c>
      <c r="K94" s="66">
        <v>2.0</v>
      </c>
      <c r="L94" s="66">
        <v>1.0</v>
      </c>
      <c r="M94" s="13"/>
      <c r="N94" s="66">
        <v>0.0</v>
      </c>
      <c r="O94" s="66">
        <v>0.0</v>
      </c>
      <c r="P94" s="66">
        <v>1.0</v>
      </c>
      <c r="Q94" s="66">
        <v>0.0</v>
      </c>
      <c r="R94" s="66">
        <v>0.0</v>
      </c>
      <c r="S94" s="66">
        <v>0.0</v>
      </c>
      <c r="T94" s="66">
        <v>1.0</v>
      </c>
      <c r="U94" s="66">
        <v>0.0</v>
      </c>
      <c r="V94" s="66">
        <v>0.0</v>
      </c>
      <c r="W94" s="66">
        <v>0.0</v>
      </c>
      <c r="X94" s="66">
        <v>2.0</v>
      </c>
      <c r="Y94" s="66">
        <v>1.0</v>
      </c>
      <c r="Z94" s="66">
        <v>1.0</v>
      </c>
      <c r="AA94" s="66">
        <v>0.0</v>
      </c>
      <c r="AB94" s="66">
        <v>1.0</v>
      </c>
      <c r="AC94" s="66">
        <v>0.0</v>
      </c>
      <c r="AD94" s="66">
        <v>0.0</v>
      </c>
      <c r="AE94" s="13"/>
      <c r="AF94" s="6">
        <f t="shared" ref="AF94:AF98" si="26">SUM(E94:AE94)</f>
        <v>11</v>
      </c>
    </row>
    <row r="95" ht="12.75" customHeight="1">
      <c r="A95" s="32" t="s">
        <v>38</v>
      </c>
      <c r="B95" s="51"/>
      <c r="C95" s="52" t="s">
        <v>79</v>
      </c>
      <c r="D95" s="53"/>
      <c r="E95" s="13"/>
      <c r="F95" s="66">
        <v>0.0</v>
      </c>
      <c r="G95" s="66">
        <v>1.0</v>
      </c>
      <c r="H95" s="66">
        <v>0.0</v>
      </c>
      <c r="I95" s="66">
        <v>0.0</v>
      </c>
      <c r="J95" s="66">
        <v>0.0</v>
      </c>
      <c r="K95" s="66">
        <v>1.0</v>
      </c>
      <c r="L95" s="66">
        <v>0.0</v>
      </c>
      <c r="M95" s="13"/>
      <c r="N95" s="66">
        <v>0.0</v>
      </c>
      <c r="O95" s="66">
        <v>0.0</v>
      </c>
      <c r="P95" s="66">
        <v>0.0</v>
      </c>
      <c r="Q95" s="66">
        <v>0.0</v>
      </c>
      <c r="R95" s="66">
        <v>0.0</v>
      </c>
      <c r="S95" s="66">
        <v>0.0</v>
      </c>
      <c r="T95" s="13"/>
      <c r="U95" s="66">
        <v>0.0</v>
      </c>
      <c r="V95" s="66">
        <v>1.0</v>
      </c>
      <c r="W95" s="66">
        <v>0.0</v>
      </c>
      <c r="X95" s="66">
        <v>0.0</v>
      </c>
      <c r="Y95" s="66">
        <v>0.0</v>
      </c>
      <c r="Z95" s="13"/>
      <c r="AA95" s="66">
        <v>0.0</v>
      </c>
      <c r="AB95" s="66">
        <v>0.0</v>
      </c>
      <c r="AC95" s="66">
        <v>0.0</v>
      </c>
      <c r="AD95" s="66">
        <v>0.0</v>
      </c>
      <c r="AE95" s="13"/>
      <c r="AF95" s="6">
        <f t="shared" si="26"/>
        <v>3</v>
      </c>
    </row>
    <row r="96" ht="12.75" customHeight="1">
      <c r="A96" s="32"/>
      <c r="B96" s="51"/>
      <c r="C96" s="52" t="s">
        <v>80</v>
      </c>
      <c r="D96" s="53"/>
      <c r="E96" s="6"/>
      <c r="F96" s="72">
        <v>0.0</v>
      </c>
      <c r="G96" s="6"/>
      <c r="H96" s="72">
        <v>0.0</v>
      </c>
      <c r="I96" s="72">
        <v>0.0</v>
      </c>
      <c r="J96" s="72">
        <v>0.0</v>
      </c>
      <c r="K96" s="72">
        <v>0.0</v>
      </c>
      <c r="L96" s="72">
        <v>0.0</v>
      </c>
      <c r="M96" s="6"/>
      <c r="N96" s="72">
        <v>0.0</v>
      </c>
      <c r="O96" s="72">
        <v>0.0</v>
      </c>
      <c r="P96" s="72">
        <v>0.0</v>
      </c>
      <c r="Q96" s="72">
        <v>0.0</v>
      </c>
      <c r="R96" s="72">
        <v>0.0</v>
      </c>
      <c r="S96" s="72">
        <v>0.0</v>
      </c>
      <c r="T96" s="6"/>
      <c r="U96" s="72">
        <v>0.0</v>
      </c>
      <c r="V96" s="72">
        <v>0.0</v>
      </c>
      <c r="W96" s="72">
        <v>0.0</v>
      </c>
      <c r="X96" s="72">
        <v>0.0</v>
      </c>
      <c r="Y96" s="72">
        <v>0.0</v>
      </c>
      <c r="Z96" s="6"/>
      <c r="AA96" s="72">
        <v>0.0</v>
      </c>
      <c r="AB96" s="72">
        <v>0.0</v>
      </c>
      <c r="AC96" s="72">
        <v>0.0</v>
      </c>
      <c r="AD96" s="72">
        <v>0.0</v>
      </c>
      <c r="AE96" s="6"/>
      <c r="AF96" s="6">
        <f t="shared" si="26"/>
        <v>0</v>
      </c>
    </row>
    <row r="97" ht="12.75" customHeight="1">
      <c r="A97" s="32"/>
      <c r="B97" s="51"/>
      <c r="C97" s="52" t="s">
        <v>81</v>
      </c>
      <c r="D97" s="53"/>
      <c r="E97" s="6"/>
      <c r="F97" s="72">
        <v>0.0</v>
      </c>
      <c r="G97" s="6"/>
      <c r="H97" s="72">
        <v>0.0</v>
      </c>
      <c r="I97" s="72">
        <v>0.0</v>
      </c>
      <c r="J97" s="72">
        <v>0.0</v>
      </c>
      <c r="K97" s="72">
        <v>0.0</v>
      </c>
      <c r="L97" s="72">
        <v>0.0</v>
      </c>
      <c r="M97" s="6"/>
      <c r="N97" s="72">
        <v>0.0</v>
      </c>
      <c r="O97" s="72">
        <v>0.0</v>
      </c>
      <c r="P97" s="72">
        <v>0.0</v>
      </c>
      <c r="Q97" s="72">
        <v>0.0</v>
      </c>
      <c r="R97" s="72">
        <v>0.0</v>
      </c>
      <c r="S97" s="72">
        <v>0.0</v>
      </c>
      <c r="T97" s="6"/>
      <c r="U97" s="72">
        <v>0.0</v>
      </c>
      <c r="V97" s="72">
        <v>0.0</v>
      </c>
      <c r="W97" s="72">
        <v>0.0</v>
      </c>
      <c r="X97" s="72">
        <v>0.0</v>
      </c>
      <c r="Y97" s="72">
        <v>0.0</v>
      </c>
      <c r="Z97" s="6"/>
      <c r="AA97" s="72">
        <v>0.0</v>
      </c>
      <c r="AB97" s="72">
        <v>0.0</v>
      </c>
      <c r="AC97" s="72">
        <v>0.0</v>
      </c>
      <c r="AD97" s="72">
        <v>0.0</v>
      </c>
      <c r="AE97" s="6"/>
      <c r="AF97" s="6">
        <f t="shared" si="26"/>
        <v>0</v>
      </c>
    </row>
    <row r="98" ht="12.75" customHeight="1">
      <c r="A98" s="13" t="s">
        <v>14</v>
      </c>
      <c r="B98" s="49" t="s">
        <v>45</v>
      </c>
      <c r="C98" s="8"/>
      <c r="D98" s="9"/>
      <c r="E98" s="54">
        <f t="shared" ref="E98:AE98" si="27">SUM(E94:E97)</f>
        <v>0</v>
      </c>
      <c r="F98" s="54">
        <f t="shared" si="27"/>
        <v>0</v>
      </c>
      <c r="G98" s="54">
        <f t="shared" si="27"/>
        <v>1</v>
      </c>
      <c r="H98" s="54">
        <f t="shared" si="27"/>
        <v>1</v>
      </c>
      <c r="I98" s="54">
        <f t="shared" si="27"/>
        <v>0</v>
      </c>
      <c r="J98" s="54">
        <f t="shared" si="27"/>
        <v>0</v>
      </c>
      <c r="K98" s="54">
        <f t="shared" si="27"/>
        <v>3</v>
      </c>
      <c r="L98" s="54">
        <f t="shared" si="27"/>
        <v>1</v>
      </c>
      <c r="M98" s="54">
        <f t="shared" si="27"/>
        <v>0</v>
      </c>
      <c r="N98" s="54">
        <f t="shared" si="27"/>
        <v>0</v>
      </c>
      <c r="O98" s="54">
        <f t="shared" si="27"/>
        <v>0</v>
      </c>
      <c r="P98" s="54">
        <f t="shared" si="27"/>
        <v>1</v>
      </c>
      <c r="Q98" s="54">
        <f t="shared" si="27"/>
        <v>0</v>
      </c>
      <c r="R98" s="54">
        <f t="shared" si="27"/>
        <v>0</v>
      </c>
      <c r="S98" s="54">
        <f t="shared" si="27"/>
        <v>0</v>
      </c>
      <c r="T98" s="54">
        <f t="shared" si="27"/>
        <v>1</v>
      </c>
      <c r="U98" s="54">
        <f t="shared" si="27"/>
        <v>0</v>
      </c>
      <c r="V98" s="54">
        <f t="shared" si="27"/>
        <v>1</v>
      </c>
      <c r="W98" s="54">
        <f t="shared" si="27"/>
        <v>0</v>
      </c>
      <c r="X98" s="54">
        <f t="shared" si="27"/>
        <v>2</v>
      </c>
      <c r="Y98" s="54">
        <f t="shared" si="27"/>
        <v>1</v>
      </c>
      <c r="Z98" s="54">
        <f t="shared" si="27"/>
        <v>1</v>
      </c>
      <c r="AA98" s="54">
        <f t="shared" si="27"/>
        <v>0</v>
      </c>
      <c r="AB98" s="54">
        <f t="shared" si="27"/>
        <v>1</v>
      </c>
      <c r="AC98" s="54">
        <f t="shared" si="27"/>
        <v>0</v>
      </c>
      <c r="AD98" s="54">
        <f t="shared" si="27"/>
        <v>0</v>
      </c>
      <c r="AE98" s="54">
        <f t="shared" si="27"/>
        <v>0</v>
      </c>
      <c r="AF98" s="6">
        <f t="shared" si="26"/>
        <v>14</v>
      </c>
    </row>
    <row r="99" ht="12.75" customHeight="1">
      <c r="A99" s="55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6"/>
    </row>
    <row r="100" ht="12.75" customHeight="1">
      <c r="A100" s="32" t="s">
        <v>36</v>
      </c>
      <c r="B100" s="49" t="s">
        <v>82</v>
      </c>
      <c r="C100" s="50" t="s">
        <v>83</v>
      </c>
      <c r="D100" s="9"/>
      <c r="E100" s="66">
        <v>1.0</v>
      </c>
      <c r="F100" s="66">
        <v>1.0</v>
      </c>
      <c r="G100" s="66">
        <v>1.0</v>
      </c>
      <c r="H100" s="66">
        <v>4.0</v>
      </c>
      <c r="I100" s="66">
        <v>4.0</v>
      </c>
      <c r="J100" s="66">
        <v>6.0</v>
      </c>
      <c r="K100" s="66">
        <v>0.0</v>
      </c>
      <c r="L100" s="66">
        <v>2.0</v>
      </c>
      <c r="M100" s="66">
        <v>1.0</v>
      </c>
      <c r="N100" s="66">
        <v>4.0</v>
      </c>
      <c r="O100" s="66">
        <v>3.0</v>
      </c>
      <c r="P100" s="66">
        <v>1.0</v>
      </c>
      <c r="Q100" s="66">
        <v>4.0</v>
      </c>
      <c r="R100" s="66">
        <v>2.0</v>
      </c>
      <c r="S100" s="66">
        <v>1.0</v>
      </c>
      <c r="T100" s="13"/>
      <c r="U100" s="66">
        <v>0.0</v>
      </c>
      <c r="V100" s="66">
        <v>7.0</v>
      </c>
      <c r="W100" s="66">
        <v>10.0</v>
      </c>
      <c r="X100" s="66">
        <v>3.0</v>
      </c>
      <c r="Y100" s="66">
        <v>5.0</v>
      </c>
      <c r="Z100" s="66">
        <v>0.0</v>
      </c>
      <c r="AA100" s="66">
        <v>2.0</v>
      </c>
      <c r="AB100" s="66">
        <v>1.0</v>
      </c>
      <c r="AC100" s="66">
        <v>0.0</v>
      </c>
      <c r="AD100" s="66">
        <v>0.0</v>
      </c>
      <c r="AE100" s="66">
        <v>1.0</v>
      </c>
      <c r="AF100" s="6">
        <f t="shared" ref="AF100:AF107" si="28">SUM(E100:AE100)</f>
        <v>64</v>
      </c>
    </row>
    <row r="101" ht="12.75" customHeight="1">
      <c r="A101" s="32" t="s">
        <v>38</v>
      </c>
      <c r="B101" s="51"/>
      <c r="C101" s="52" t="s">
        <v>84</v>
      </c>
      <c r="D101" s="53"/>
      <c r="E101" s="66">
        <v>12.0</v>
      </c>
      <c r="F101" s="66">
        <v>29.0</v>
      </c>
      <c r="G101" s="66">
        <v>18.0</v>
      </c>
      <c r="H101" s="66">
        <v>17.0</v>
      </c>
      <c r="I101" s="66">
        <v>24.0</v>
      </c>
      <c r="J101" s="66">
        <v>58.0</v>
      </c>
      <c r="K101" s="66">
        <v>8.0</v>
      </c>
      <c r="L101" s="66">
        <v>3.0</v>
      </c>
      <c r="M101" s="66">
        <v>16.0</v>
      </c>
      <c r="N101" s="66">
        <v>26.0</v>
      </c>
      <c r="O101" s="66">
        <v>10.0</v>
      </c>
      <c r="P101" s="66">
        <v>2.0</v>
      </c>
      <c r="Q101" s="66">
        <v>10.0</v>
      </c>
      <c r="R101" s="66">
        <v>22.0</v>
      </c>
      <c r="S101" s="66">
        <v>3.0</v>
      </c>
      <c r="T101" s="66">
        <v>5.0</v>
      </c>
      <c r="U101" s="66">
        <v>9.0</v>
      </c>
      <c r="V101" s="66">
        <v>102.0</v>
      </c>
      <c r="W101" s="66">
        <v>81.0</v>
      </c>
      <c r="X101" s="66">
        <v>30.0</v>
      </c>
      <c r="Y101" s="66">
        <v>24.0</v>
      </c>
      <c r="Z101" s="66">
        <v>31.0</v>
      </c>
      <c r="AA101" s="66">
        <v>15.0</v>
      </c>
      <c r="AB101" s="66">
        <v>7.0</v>
      </c>
      <c r="AC101" s="66">
        <v>0.0</v>
      </c>
      <c r="AD101" s="66">
        <v>35.0</v>
      </c>
      <c r="AE101" s="66">
        <v>31.0</v>
      </c>
      <c r="AF101" s="6">
        <f t="shared" si="28"/>
        <v>628</v>
      </c>
    </row>
    <row r="102" ht="12.75" customHeight="1">
      <c r="A102" s="18"/>
      <c r="B102" s="51"/>
      <c r="C102" s="52" t="s">
        <v>85</v>
      </c>
      <c r="D102" s="53"/>
      <c r="E102" s="13"/>
      <c r="F102" s="66">
        <v>0.0</v>
      </c>
      <c r="G102" s="66">
        <v>1.0</v>
      </c>
      <c r="H102" s="66">
        <v>0.0</v>
      </c>
      <c r="I102" s="66">
        <v>0.0</v>
      </c>
      <c r="J102" s="66">
        <v>0.0</v>
      </c>
      <c r="K102" s="66">
        <v>0.0</v>
      </c>
      <c r="L102" s="66">
        <v>0.0</v>
      </c>
      <c r="M102" s="66">
        <v>1.0</v>
      </c>
      <c r="N102" s="66">
        <v>0.0</v>
      </c>
      <c r="O102" s="66">
        <v>0.0</v>
      </c>
      <c r="P102" s="66">
        <v>0.0</v>
      </c>
      <c r="Q102" s="66">
        <v>0.0</v>
      </c>
      <c r="R102" s="66">
        <v>0.0</v>
      </c>
      <c r="S102" s="66">
        <v>0.0</v>
      </c>
      <c r="T102" s="66">
        <v>1.0</v>
      </c>
      <c r="U102" s="66">
        <v>1.0</v>
      </c>
      <c r="V102" s="66">
        <v>0.0</v>
      </c>
      <c r="W102" s="66">
        <v>0.0</v>
      </c>
      <c r="X102" s="66">
        <v>0.0</v>
      </c>
      <c r="Y102" s="66">
        <v>0.0</v>
      </c>
      <c r="Z102" s="13"/>
      <c r="AA102" s="66">
        <v>0.0</v>
      </c>
      <c r="AB102" s="66">
        <v>0.0</v>
      </c>
      <c r="AC102" s="66">
        <v>0.0</v>
      </c>
      <c r="AD102" s="66">
        <v>0.0</v>
      </c>
      <c r="AE102" s="13"/>
      <c r="AF102" s="6">
        <f t="shared" si="28"/>
        <v>4</v>
      </c>
    </row>
    <row r="103" ht="12.75" customHeight="1">
      <c r="A103" s="18"/>
      <c r="B103" s="51"/>
      <c r="C103" s="52" t="s">
        <v>86</v>
      </c>
      <c r="D103" s="53"/>
      <c r="E103" s="66">
        <v>7.0</v>
      </c>
      <c r="F103" s="66">
        <v>1.0</v>
      </c>
      <c r="G103" s="66">
        <v>1.0</v>
      </c>
      <c r="H103" s="66">
        <v>0.0</v>
      </c>
      <c r="I103" s="66">
        <v>0.0</v>
      </c>
      <c r="J103" s="66">
        <v>0.0</v>
      </c>
      <c r="K103" s="66">
        <v>0.0</v>
      </c>
      <c r="L103" s="66">
        <v>1.0</v>
      </c>
      <c r="M103" s="66">
        <v>0.0</v>
      </c>
      <c r="N103" s="66">
        <v>0.0</v>
      </c>
      <c r="O103" s="66">
        <v>1.0</v>
      </c>
      <c r="P103" s="66">
        <v>1.0</v>
      </c>
      <c r="Q103" s="66">
        <v>0.0</v>
      </c>
      <c r="R103" s="66">
        <v>0.0</v>
      </c>
      <c r="S103" s="66">
        <v>0.0</v>
      </c>
      <c r="T103" s="13"/>
      <c r="U103" s="66">
        <v>0.0</v>
      </c>
      <c r="V103" s="66">
        <v>0.0</v>
      </c>
      <c r="W103" s="66">
        <v>2.0</v>
      </c>
      <c r="X103" s="66">
        <v>0.0</v>
      </c>
      <c r="Y103" s="66">
        <v>0.0</v>
      </c>
      <c r="Z103" s="13"/>
      <c r="AA103" s="66">
        <v>4.0</v>
      </c>
      <c r="AB103" s="66">
        <v>0.0</v>
      </c>
      <c r="AC103" s="66">
        <v>0.0</v>
      </c>
      <c r="AD103" s="66">
        <v>0.0</v>
      </c>
      <c r="AE103" s="13"/>
      <c r="AF103" s="6">
        <f t="shared" si="28"/>
        <v>18</v>
      </c>
    </row>
    <row r="104" ht="12.75" customHeight="1">
      <c r="A104" s="18"/>
      <c r="B104" s="51"/>
      <c r="C104" s="52" t="s">
        <v>87</v>
      </c>
      <c r="D104" s="53"/>
      <c r="E104" s="13"/>
      <c r="F104" s="66">
        <v>1.0</v>
      </c>
      <c r="G104" s="13"/>
      <c r="H104" s="66">
        <v>0.0</v>
      </c>
      <c r="I104" s="66">
        <v>0.0</v>
      </c>
      <c r="J104" s="66">
        <v>0.0</v>
      </c>
      <c r="K104" s="66">
        <v>0.0</v>
      </c>
      <c r="L104" s="66">
        <v>0.0</v>
      </c>
      <c r="M104" s="13"/>
      <c r="N104" s="66">
        <v>0.0</v>
      </c>
      <c r="O104" s="66">
        <v>16.0</v>
      </c>
      <c r="P104" s="66">
        <v>1.0</v>
      </c>
      <c r="Q104" s="66">
        <v>1.0</v>
      </c>
      <c r="R104" s="66">
        <v>0.0</v>
      </c>
      <c r="S104" s="66">
        <v>0.0</v>
      </c>
      <c r="T104" s="13"/>
      <c r="U104" s="66">
        <v>0.0</v>
      </c>
      <c r="V104" s="66">
        <v>0.0</v>
      </c>
      <c r="W104" s="66">
        <v>0.0</v>
      </c>
      <c r="X104" s="66">
        <v>0.0</v>
      </c>
      <c r="Y104" s="66">
        <v>0.0</v>
      </c>
      <c r="Z104" s="66">
        <v>1.0</v>
      </c>
      <c r="AA104" s="66">
        <v>0.0</v>
      </c>
      <c r="AB104" s="66">
        <v>0.0</v>
      </c>
      <c r="AC104" s="66">
        <v>0.0</v>
      </c>
      <c r="AD104" s="66">
        <v>0.0</v>
      </c>
      <c r="AE104" s="13"/>
      <c r="AF104" s="6">
        <f t="shared" si="28"/>
        <v>20</v>
      </c>
    </row>
    <row r="105" ht="12.75" customHeight="1">
      <c r="A105" s="18"/>
      <c r="B105" s="51"/>
      <c r="C105" s="52" t="s">
        <v>88</v>
      </c>
      <c r="D105" s="53"/>
      <c r="E105" s="13"/>
      <c r="F105" s="66">
        <v>0.0</v>
      </c>
      <c r="G105" s="13"/>
      <c r="H105" s="66">
        <v>0.0</v>
      </c>
      <c r="I105" s="66">
        <v>0.0</v>
      </c>
      <c r="J105" s="66">
        <v>0.0</v>
      </c>
      <c r="K105" s="66">
        <v>0.0</v>
      </c>
      <c r="L105" s="66">
        <v>1.0</v>
      </c>
      <c r="M105" s="13"/>
      <c r="N105" s="66">
        <v>0.0</v>
      </c>
      <c r="O105" s="66">
        <v>0.0</v>
      </c>
      <c r="P105" s="66">
        <v>0.0</v>
      </c>
      <c r="Q105" s="66">
        <v>0.0</v>
      </c>
      <c r="R105" s="66">
        <v>0.0</v>
      </c>
      <c r="S105" s="66">
        <v>0.0</v>
      </c>
      <c r="T105" s="13"/>
      <c r="U105" s="66">
        <v>0.0</v>
      </c>
      <c r="V105" s="66">
        <v>0.0</v>
      </c>
      <c r="W105" s="66">
        <v>0.0</v>
      </c>
      <c r="X105" s="66">
        <v>0.0</v>
      </c>
      <c r="Y105" s="66">
        <v>0.0</v>
      </c>
      <c r="Z105" s="13"/>
      <c r="AA105" s="66">
        <v>0.0</v>
      </c>
      <c r="AB105" s="66">
        <v>0.0</v>
      </c>
      <c r="AC105" s="66">
        <v>0.0</v>
      </c>
      <c r="AD105" s="66">
        <v>0.0</v>
      </c>
      <c r="AE105" s="13"/>
      <c r="AF105" s="6">
        <f t="shared" si="28"/>
        <v>1</v>
      </c>
    </row>
    <row r="106" ht="12.75" customHeight="1">
      <c r="A106" s="18"/>
      <c r="B106" s="51"/>
      <c r="C106" s="52" t="s">
        <v>89</v>
      </c>
      <c r="D106" s="53"/>
      <c r="E106" s="13"/>
      <c r="F106" s="66">
        <v>0.0</v>
      </c>
      <c r="G106" s="66">
        <v>0.0</v>
      </c>
      <c r="H106" s="66">
        <v>0.0</v>
      </c>
      <c r="I106" s="66">
        <v>0.0</v>
      </c>
      <c r="J106" s="66">
        <v>0.0</v>
      </c>
      <c r="K106" s="66">
        <v>0.0</v>
      </c>
      <c r="L106" s="66">
        <v>3.0</v>
      </c>
      <c r="M106" s="13"/>
      <c r="N106" s="66">
        <v>1.0</v>
      </c>
      <c r="O106" s="66">
        <v>1.0</v>
      </c>
      <c r="P106" s="66">
        <v>0.0</v>
      </c>
      <c r="Q106" s="66">
        <v>0.0</v>
      </c>
      <c r="R106" s="66">
        <v>0.0</v>
      </c>
      <c r="S106" s="66">
        <v>0.0</v>
      </c>
      <c r="T106" s="13"/>
      <c r="U106" s="66">
        <v>0.0</v>
      </c>
      <c r="V106" s="66">
        <v>0.0</v>
      </c>
      <c r="W106" s="66">
        <v>0.0</v>
      </c>
      <c r="X106" s="66">
        <v>1.0</v>
      </c>
      <c r="Y106" s="66">
        <v>0.0</v>
      </c>
      <c r="Z106" s="66">
        <v>0.0</v>
      </c>
      <c r="AA106" s="66">
        <v>0.0</v>
      </c>
      <c r="AB106" s="66">
        <v>0.0</v>
      </c>
      <c r="AC106" s="66">
        <v>0.0</v>
      </c>
      <c r="AD106" s="66">
        <v>0.0</v>
      </c>
      <c r="AE106" s="13"/>
      <c r="AF106" s="6">
        <f t="shared" si="28"/>
        <v>6</v>
      </c>
    </row>
    <row r="107" ht="12.75" customHeight="1">
      <c r="A107" s="13" t="s">
        <v>14</v>
      </c>
      <c r="B107" s="49" t="s">
        <v>45</v>
      </c>
      <c r="C107" s="8"/>
      <c r="D107" s="9"/>
      <c r="E107" s="54">
        <f t="shared" ref="E107:AE107" si="29">SUM(E100:E106)</f>
        <v>20</v>
      </c>
      <c r="F107" s="54">
        <f t="shared" si="29"/>
        <v>32</v>
      </c>
      <c r="G107" s="54">
        <f t="shared" si="29"/>
        <v>21</v>
      </c>
      <c r="H107" s="54">
        <f t="shared" si="29"/>
        <v>21</v>
      </c>
      <c r="I107" s="54">
        <f t="shared" si="29"/>
        <v>28</v>
      </c>
      <c r="J107" s="54">
        <f t="shared" si="29"/>
        <v>64</v>
      </c>
      <c r="K107" s="54">
        <f t="shared" si="29"/>
        <v>8</v>
      </c>
      <c r="L107" s="54">
        <f t="shared" si="29"/>
        <v>10</v>
      </c>
      <c r="M107" s="54">
        <f t="shared" si="29"/>
        <v>18</v>
      </c>
      <c r="N107" s="54">
        <f t="shared" si="29"/>
        <v>31</v>
      </c>
      <c r="O107" s="54">
        <f t="shared" si="29"/>
        <v>31</v>
      </c>
      <c r="P107" s="54">
        <f t="shared" si="29"/>
        <v>5</v>
      </c>
      <c r="Q107" s="54">
        <f t="shared" si="29"/>
        <v>15</v>
      </c>
      <c r="R107" s="54">
        <f t="shared" si="29"/>
        <v>24</v>
      </c>
      <c r="S107" s="54">
        <f t="shared" si="29"/>
        <v>4</v>
      </c>
      <c r="T107" s="54">
        <f t="shared" si="29"/>
        <v>6</v>
      </c>
      <c r="U107" s="54">
        <f t="shared" si="29"/>
        <v>10</v>
      </c>
      <c r="V107" s="54">
        <f t="shared" si="29"/>
        <v>109</v>
      </c>
      <c r="W107" s="54">
        <f t="shared" si="29"/>
        <v>93</v>
      </c>
      <c r="X107" s="54">
        <f t="shared" si="29"/>
        <v>34</v>
      </c>
      <c r="Y107" s="54">
        <f t="shared" si="29"/>
        <v>29</v>
      </c>
      <c r="Z107" s="54">
        <f t="shared" si="29"/>
        <v>32</v>
      </c>
      <c r="AA107" s="54">
        <f t="shared" si="29"/>
        <v>21</v>
      </c>
      <c r="AB107" s="54">
        <f t="shared" si="29"/>
        <v>8</v>
      </c>
      <c r="AC107" s="54">
        <f t="shared" si="29"/>
        <v>0</v>
      </c>
      <c r="AD107" s="54">
        <f t="shared" si="29"/>
        <v>35</v>
      </c>
      <c r="AE107" s="54">
        <f t="shared" si="29"/>
        <v>32</v>
      </c>
      <c r="AF107" s="6">
        <f t="shared" si="28"/>
        <v>741</v>
      </c>
    </row>
    <row r="108" ht="12.75" customHeight="1">
      <c r="A108" s="55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6"/>
    </row>
    <row r="109" ht="12.75" customHeight="1">
      <c r="A109" s="32" t="s">
        <v>36</v>
      </c>
      <c r="B109" s="49" t="s">
        <v>90</v>
      </c>
      <c r="C109" s="50" t="s">
        <v>91</v>
      </c>
      <c r="D109" s="9"/>
      <c r="E109" s="66">
        <v>0.0</v>
      </c>
      <c r="F109" s="66">
        <v>0.0</v>
      </c>
      <c r="G109" s="13"/>
      <c r="H109" s="66">
        <v>0.0</v>
      </c>
      <c r="I109" s="66">
        <v>0.0</v>
      </c>
      <c r="J109" s="66">
        <v>0.0</v>
      </c>
      <c r="K109" s="66">
        <v>0.0</v>
      </c>
      <c r="L109" s="66">
        <v>0.0</v>
      </c>
      <c r="M109" s="13"/>
      <c r="N109" s="66">
        <v>0.0</v>
      </c>
      <c r="O109" s="66">
        <v>0.0</v>
      </c>
      <c r="P109" s="66">
        <v>1.0</v>
      </c>
      <c r="Q109" s="66">
        <v>0.0</v>
      </c>
      <c r="R109" s="66">
        <v>0.0</v>
      </c>
      <c r="S109" s="66">
        <v>0.0</v>
      </c>
      <c r="T109" s="13"/>
      <c r="U109" s="66">
        <v>0.0</v>
      </c>
      <c r="V109" s="66">
        <v>0.0</v>
      </c>
      <c r="W109" s="66">
        <v>0.0</v>
      </c>
      <c r="X109" s="66">
        <v>0.0</v>
      </c>
      <c r="Y109" s="66">
        <v>0.0</v>
      </c>
      <c r="Z109" s="66">
        <v>1.0</v>
      </c>
      <c r="AA109" s="66">
        <v>0.0</v>
      </c>
      <c r="AB109" s="66">
        <v>0.0</v>
      </c>
      <c r="AC109" s="66">
        <v>0.0</v>
      </c>
      <c r="AD109" s="66">
        <v>0.0</v>
      </c>
      <c r="AE109" s="13"/>
      <c r="AF109" s="6">
        <f t="shared" ref="AF109:AF111" si="30">SUM(E109:AE109)</f>
        <v>2</v>
      </c>
    </row>
    <row r="110" ht="12.75" customHeight="1">
      <c r="A110" s="32" t="s">
        <v>38</v>
      </c>
      <c r="B110" s="49"/>
      <c r="C110" s="52" t="s">
        <v>92</v>
      </c>
      <c r="D110" s="61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6">
        <f t="shared" si="30"/>
        <v>0</v>
      </c>
    </row>
    <row r="111" ht="12.75" customHeight="1">
      <c r="A111" s="13" t="s">
        <v>14</v>
      </c>
      <c r="B111" s="49" t="s">
        <v>45</v>
      </c>
      <c r="C111" s="8"/>
      <c r="D111" s="9"/>
      <c r="E111" s="54">
        <f t="shared" ref="E111:AE111" si="31">SUM(E109:E110)</f>
        <v>0</v>
      </c>
      <c r="F111" s="54">
        <f t="shared" si="31"/>
        <v>0</v>
      </c>
      <c r="G111" s="54">
        <f t="shared" si="31"/>
        <v>0</v>
      </c>
      <c r="H111" s="54">
        <f t="shared" si="31"/>
        <v>0</v>
      </c>
      <c r="I111" s="54">
        <f t="shared" si="31"/>
        <v>0</v>
      </c>
      <c r="J111" s="54">
        <f t="shared" si="31"/>
        <v>0</v>
      </c>
      <c r="K111" s="54">
        <f t="shared" si="31"/>
        <v>0</v>
      </c>
      <c r="L111" s="54">
        <f t="shared" si="31"/>
        <v>0</v>
      </c>
      <c r="M111" s="54">
        <f t="shared" si="31"/>
        <v>0</v>
      </c>
      <c r="N111" s="54">
        <f t="shared" si="31"/>
        <v>0</v>
      </c>
      <c r="O111" s="54">
        <f t="shared" si="31"/>
        <v>0</v>
      </c>
      <c r="P111" s="54">
        <f t="shared" si="31"/>
        <v>1</v>
      </c>
      <c r="Q111" s="54">
        <f t="shared" si="31"/>
        <v>0</v>
      </c>
      <c r="R111" s="54">
        <f t="shared" si="31"/>
        <v>0</v>
      </c>
      <c r="S111" s="54">
        <f t="shared" si="31"/>
        <v>0</v>
      </c>
      <c r="T111" s="54">
        <f t="shared" si="31"/>
        <v>0</v>
      </c>
      <c r="U111" s="54">
        <f t="shared" si="31"/>
        <v>0</v>
      </c>
      <c r="V111" s="54">
        <f t="shared" si="31"/>
        <v>0</v>
      </c>
      <c r="W111" s="54">
        <f t="shared" si="31"/>
        <v>0</v>
      </c>
      <c r="X111" s="54">
        <f t="shared" si="31"/>
        <v>0</v>
      </c>
      <c r="Y111" s="54">
        <f t="shared" si="31"/>
        <v>0</v>
      </c>
      <c r="Z111" s="54">
        <f t="shared" si="31"/>
        <v>1</v>
      </c>
      <c r="AA111" s="54">
        <f t="shared" si="31"/>
        <v>0</v>
      </c>
      <c r="AB111" s="54">
        <f t="shared" si="31"/>
        <v>0</v>
      </c>
      <c r="AC111" s="54">
        <f t="shared" si="31"/>
        <v>0</v>
      </c>
      <c r="AD111" s="54">
        <f t="shared" si="31"/>
        <v>0</v>
      </c>
      <c r="AE111" s="54">
        <f t="shared" si="31"/>
        <v>0</v>
      </c>
      <c r="AF111" s="6">
        <f t="shared" si="30"/>
        <v>2</v>
      </c>
    </row>
    <row r="112" ht="12.75" customHeight="1">
      <c r="A112" s="55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6"/>
    </row>
    <row r="113" ht="12.75" customHeight="1">
      <c r="A113" s="32" t="s">
        <v>36</v>
      </c>
      <c r="B113" s="49" t="s">
        <v>93</v>
      </c>
      <c r="C113" s="50" t="s">
        <v>94</v>
      </c>
      <c r="D113" s="9"/>
      <c r="E113" s="13"/>
      <c r="F113" s="66">
        <v>1.0</v>
      </c>
      <c r="G113" s="13"/>
      <c r="H113" s="66">
        <v>0.0</v>
      </c>
      <c r="I113" s="66">
        <v>1.0</v>
      </c>
      <c r="J113" s="66">
        <v>0.0</v>
      </c>
      <c r="K113" s="66">
        <v>0.0</v>
      </c>
      <c r="L113" s="66">
        <v>0.0</v>
      </c>
      <c r="M113" s="66">
        <v>1.0</v>
      </c>
      <c r="N113" s="66">
        <v>0.0</v>
      </c>
      <c r="O113" s="66">
        <v>0.0</v>
      </c>
      <c r="P113" s="66">
        <v>0.0</v>
      </c>
      <c r="Q113" s="66">
        <v>0.0</v>
      </c>
      <c r="R113" s="66">
        <v>0.0</v>
      </c>
      <c r="S113" s="66">
        <v>1.0</v>
      </c>
      <c r="T113" s="13"/>
      <c r="U113" s="66">
        <v>0.0</v>
      </c>
      <c r="V113" s="66">
        <v>0.0</v>
      </c>
      <c r="W113" s="66">
        <v>0.0</v>
      </c>
      <c r="X113" s="66">
        <v>1.0</v>
      </c>
      <c r="Y113" s="66">
        <v>0.0</v>
      </c>
      <c r="Z113" s="66">
        <v>0.0</v>
      </c>
      <c r="AA113" s="66">
        <v>0.0</v>
      </c>
      <c r="AB113" s="66">
        <v>0.0</v>
      </c>
      <c r="AC113" s="66">
        <v>0.0</v>
      </c>
      <c r="AD113" s="66">
        <v>1.0</v>
      </c>
      <c r="AE113" s="13"/>
      <c r="AF113" s="6">
        <f t="shared" ref="AF113:AF120" si="32">SUM(E113:AE113)</f>
        <v>6</v>
      </c>
    </row>
    <row r="114" ht="12.75" customHeight="1">
      <c r="A114" s="32" t="s">
        <v>38</v>
      </c>
      <c r="B114" s="51"/>
      <c r="C114" s="52" t="s">
        <v>95</v>
      </c>
      <c r="D114" s="53"/>
      <c r="E114" s="13"/>
      <c r="F114" s="66">
        <v>0.0</v>
      </c>
      <c r="G114" s="13"/>
      <c r="H114" s="66">
        <v>0.0</v>
      </c>
      <c r="I114" s="66">
        <v>0.0</v>
      </c>
      <c r="J114" s="66">
        <v>0.0</v>
      </c>
      <c r="K114" s="66">
        <v>0.0</v>
      </c>
      <c r="L114" s="66">
        <v>0.0</v>
      </c>
      <c r="M114" s="13"/>
      <c r="N114" s="66">
        <v>0.0</v>
      </c>
      <c r="O114" s="66">
        <v>1.0</v>
      </c>
      <c r="P114" s="66">
        <v>0.0</v>
      </c>
      <c r="Q114" s="66">
        <v>0.0</v>
      </c>
      <c r="R114" s="66">
        <v>0.0</v>
      </c>
      <c r="S114" s="66">
        <v>0.0</v>
      </c>
      <c r="T114" s="13"/>
      <c r="U114" s="66">
        <v>0.0</v>
      </c>
      <c r="V114" s="66">
        <v>0.0</v>
      </c>
      <c r="W114" s="66">
        <v>0.0</v>
      </c>
      <c r="X114" s="66">
        <v>0.0</v>
      </c>
      <c r="Y114" s="66">
        <v>1.0</v>
      </c>
      <c r="Z114" s="13"/>
      <c r="AA114" s="66">
        <v>0.0</v>
      </c>
      <c r="AB114" s="66">
        <v>0.0</v>
      </c>
      <c r="AC114" s="66">
        <v>0.0</v>
      </c>
      <c r="AD114" s="66">
        <v>0.0</v>
      </c>
      <c r="AE114" s="13"/>
      <c r="AF114" s="6">
        <f t="shared" si="32"/>
        <v>2</v>
      </c>
    </row>
    <row r="115" ht="12.75" customHeight="1">
      <c r="A115" s="18"/>
      <c r="B115" s="51"/>
      <c r="C115" s="52" t="s">
        <v>96</v>
      </c>
      <c r="D115" s="53"/>
      <c r="E115" s="66">
        <v>1.0</v>
      </c>
      <c r="F115" s="66">
        <v>12.0</v>
      </c>
      <c r="G115" s="13"/>
      <c r="H115" s="66">
        <v>0.0</v>
      </c>
      <c r="I115" s="66">
        <v>0.0</v>
      </c>
      <c r="J115" s="66">
        <v>1.0</v>
      </c>
      <c r="K115" s="66">
        <v>0.0</v>
      </c>
      <c r="L115" s="66">
        <v>1.0</v>
      </c>
      <c r="M115" s="13"/>
      <c r="N115" s="66">
        <v>0.0</v>
      </c>
      <c r="O115" s="66">
        <v>0.0</v>
      </c>
      <c r="P115" s="66">
        <v>0.0</v>
      </c>
      <c r="Q115" s="66">
        <v>0.0</v>
      </c>
      <c r="R115" s="66">
        <v>0.0</v>
      </c>
      <c r="S115" s="66">
        <v>0.0</v>
      </c>
      <c r="T115" s="13"/>
      <c r="U115" s="66">
        <v>0.0</v>
      </c>
      <c r="V115" s="66">
        <v>0.0</v>
      </c>
      <c r="W115" s="66">
        <v>3.0</v>
      </c>
      <c r="X115" s="66">
        <v>0.0</v>
      </c>
      <c r="Y115" s="66">
        <v>0.0</v>
      </c>
      <c r="Z115" s="13"/>
      <c r="AA115" s="66">
        <v>0.0</v>
      </c>
      <c r="AB115" s="66">
        <v>0.0</v>
      </c>
      <c r="AC115" s="66">
        <v>0.0</v>
      </c>
      <c r="AD115" s="66">
        <v>0.0</v>
      </c>
      <c r="AE115" s="13"/>
      <c r="AF115" s="6">
        <f t="shared" si="32"/>
        <v>18</v>
      </c>
    </row>
    <row r="116" ht="12.75" customHeight="1">
      <c r="A116" s="18"/>
      <c r="B116" s="51"/>
      <c r="C116" s="52" t="s">
        <v>97</v>
      </c>
      <c r="D116" s="53"/>
      <c r="E116" s="66">
        <v>2.0</v>
      </c>
      <c r="F116" s="66">
        <v>5.0</v>
      </c>
      <c r="G116" s="66">
        <v>6.0</v>
      </c>
      <c r="H116" s="66">
        <v>0.0</v>
      </c>
      <c r="I116" s="66">
        <v>6.0</v>
      </c>
      <c r="J116" s="66">
        <v>25.0</v>
      </c>
      <c r="K116" s="66">
        <v>6.0</v>
      </c>
      <c r="L116" s="66">
        <v>0.0</v>
      </c>
      <c r="M116" s="66">
        <v>1.0</v>
      </c>
      <c r="N116" s="66">
        <v>12.0</v>
      </c>
      <c r="O116" s="66">
        <v>3.0</v>
      </c>
      <c r="P116" s="66">
        <v>0.0</v>
      </c>
      <c r="Q116" s="66">
        <v>0.0</v>
      </c>
      <c r="R116" s="66">
        <v>8.0</v>
      </c>
      <c r="S116" s="66">
        <v>0.0</v>
      </c>
      <c r="T116" s="13"/>
      <c r="U116" s="66">
        <v>0.0</v>
      </c>
      <c r="V116" s="66">
        <v>1.0</v>
      </c>
      <c r="W116" s="66">
        <v>9.0</v>
      </c>
      <c r="X116" s="66">
        <v>3.0</v>
      </c>
      <c r="Y116" s="66">
        <v>3.0</v>
      </c>
      <c r="Z116" s="13"/>
      <c r="AA116" s="66">
        <v>0.0</v>
      </c>
      <c r="AB116" s="66">
        <v>0.0</v>
      </c>
      <c r="AC116" s="66">
        <v>0.0</v>
      </c>
      <c r="AD116" s="66">
        <v>0.0</v>
      </c>
      <c r="AE116" s="13"/>
      <c r="AF116" s="6">
        <f t="shared" si="32"/>
        <v>90</v>
      </c>
    </row>
    <row r="117" ht="12.75" customHeight="1">
      <c r="A117" s="18"/>
      <c r="B117" s="51"/>
      <c r="C117" s="52" t="s">
        <v>98</v>
      </c>
      <c r="D117" s="53"/>
      <c r="E117" s="13"/>
      <c r="F117" s="66">
        <v>0.0</v>
      </c>
      <c r="G117" s="13"/>
      <c r="H117" s="66">
        <v>0.0</v>
      </c>
      <c r="I117" s="66">
        <v>0.0</v>
      </c>
      <c r="J117" s="66">
        <v>0.0</v>
      </c>
      <c r="K117" s="66">
        <v>0.0</v>
      </c>
      <c r="L117" s="66">
        <v>0.0</v>
      </c>
      <c r="M117" s="13"/>
      <c r="N117" s="66">
        <v>0.0</v>
      </c>
      <c r="O117" s="66">
        <v>1.0</v>
      </c>
      <c r="P117" s="66">
        <v>0.0</v>
      </c>
      <c r="Q117" s="66">
        <v>4.0</v>
      </c>
      <c r="R117" s="66">
        <v>0.0</v>
      </c>
      <c r="S117" s="66">
        <v>0.0</v>
      </c>
      <c r="T117" s="13"/>
      <c r="U117" s="66">
        <v>0.0</v>
      </c>
      <c r="V117" s="66">
        <v>0.0</v>
      </c>
      <c r="W117" s="66">
        <v>0.0</v>
      </c>
      <c r="X117" s="66">
        <v>0.0</v>
      </c>
      <c r="Y117" s="66">
        <v>0.0</v>
      </c>
      <c r="Z117" s="13"/>
      <c r="AA117" s="66">
        <v>0.0</v>
      </c>
      <c r="AB117" s="66">
        <v>0.0</v>
      </c>
      <c r="AC117" s="66">
        <v>0.0</v>
      </c>
      <c r="AD117" s="66">
        <v>0.0</v>
      </c>
      <c r="AE117" s="13"/>
      <c r="AF117" s="6">
        <f t="shared" si="32"/>
        <v>5</v>
      </c>
    </row>
    <row r="118" ht="12.75" customHeight="1">
      <c r="A118" s="18"/>
      <c r="B118" s="51"/>
      <c r="C118" s="52" t="s">
        <v>99</v>
      </c>
      <c r="D118" s="53"/>
      <c r="E118" s="13"/>
      <c r="F118" s="66">
        <v>0.0</v>
      </c>
      <c r="G118" s="13"/>
      <c r="H118" s="66">
        <v>0.0</v>
      </c>
      <c r="I118" s="66">
        <v>0.0</v>
      </c>
      <c r="J118" s="66">
        <v>0.0</v>
      </c>
      <c r="K118" s="66">
        <v>0.0</v>
      </c>
      <c r="L118" s="66">
        <v>0.0</v>
      </c>
      <c r="M118" s="13"/>
      <c r="N118" s="66">
        <v>0.0</v>
      </c>
      <c r="O118" s="66">
        <v>0.0</v>
      </c>
      <c r="P118" s="66">
        <v>0.0</v>
      </c>
      <c r="Q118" s="66">
        <v>0.0</v>
      </c>
      <c r="R118" s="66">
        <v>0.0</v>
      </c>
      <c r="S118" s="66">
        <v>0.0</v>
      </c>
      <c r="T118" s="13"/>
      <c r="U118" s="66">
        <v>0.0</v>
      </c>
      <c r="V118" s="66">
        <v>0.0</v>
      </c>
      <c r="W118" s="66">
        <v>0.0</v>
      </c>
      <c r="X118" s="66">
        <v>0.0</v>
      </c>
      <c r="Y118" s="66">
        <v>0.0</v>
      </c>
      <c r="Z118" s="13"/>
      <c r="AA118" s="66">
        <v>1.0</v>
      </c>
      <c r="AB118" s="66">
        <v>0.0</v>
      </c>
      <c r="AC118" s="66">
        <v>0.0</v>
      </c>
      <c r="AD118" s="66">
        <v>0.0</v>
      </c>
      <c r="AE118" s="13"/>
      <c r="AF118" s="6">
        <f t="shared" si="32"/>
        <v>1</v>
      </c>
    </row>
    <row r="119" ht="12.75" customHeight="1">
      <c r="A119" s="18"/>
      <c r="B119" s="51"/>
      <c r="C119" s="52" t="s">
        <v>100</v>
      </c>
      <c r="D119" s="53"/>
      <c r="E119" s="13"/>
      <c r="F119" s="66">
        <v>1.0</v>
      </c>
      <c r="G119" s="13"/>
      <c r="H119" s="66">
        <v>0.0</v>
      </c>
      <c r="I119" s="66">
        <v>0.0</v>
      </c>
      <c r="J119" s="66">
        <v>0.0</v>
      </c>
      <c r="K119" s="66">
        <v>0.0</v>
      </c>
      <c r="L119" s="66">
        <v>0.0</v>
      </c>
      <c r="M119" s="13"/>
      <c r="N119" s="66">
        <v>0.0</v>
      </c>
      <c r="O119" s="66">
        <v>0.0</v>
      </c>
      <c r="P119" s="66">
        <v>0.0</v>
      </c>
      <c r="Q119" s="66">
        <v>0.0</v>
      </c>
      <c r="R119" s="66">
        <v>0.0</v>
      </c>
      <c r="S119" s="66">
        <v>0.0</v>
      </c>
      <c r="T119" s="13"/>
      <c r="U119" s="66">
        <v>0.0</v>
      </c>
      <c r="V119" s="66">
        <v>0.0</v>
      </c>
      <c r="W119" s="66">
        <v>0.0</v>
      </c>
      <c r="X119" s="66">
        <v>0.0</v>
      </c>
      <c r="Y119" s="66">
        <v>0.0</v>
      </c>
      <c r="Z119" s="13"/>
      <c r="AA119" s="66">
        <v>0.0</v>
      </c>
      <c r="AB119" s="66">
        <v>0.0</v>
      </c>
      <c r="AC119" s="66">
        <v>0.0</v>
      </c>
      <c r="AD119" s="66">
        <v>0.0</v>
      </c>
      <c r="AE119" s="13"/>
      <c r="AF119" s="6">
        <f t="shared" si="32"/>
        <v>1</v>
      </c>
    </row>
    <row r="120" ht="12.75" customHeight="1">
      <c r="A120" s="13" t="s">
        <v>14</v>
      </c>
      <c r="B120" s="49" t="s">
        <v>45</v>
      </c>
      <c r="C120" s="8"/>
      <c r="D120" s="9"/>
      <c r="E120" s="54">
        <f t="shared" ref="E120:AE120" si="33">SUM(E113:E119)</f>
        <v>3</v>
      </c>
      <c r="F120" s="54">
        <f t="shared" si="33"/>
        <v>19</v>
      </c>
      <c r="G120" s="54">
        <f t="shared" si="33"/>
        <v>6</v>
      </c>
      <c r="H120" s="54">
        <f t="shared" si="33"/>
        <v>0</v>
      </c>
      <c r="I120" s="54">
        <f t="shared" si="33"/>
        <v>7</v>
      </c>
      <c r="J120" s="54">
        <f t="shared" si="33"/>
        <v>26</v>
      </c>
      <c r="K120" s="54">
        <f t="shared" si="33"/>
        <v>6</v>
      </c>
      <c r="L120" s="54">
        <f t="shared" si="33"/>
        <v>1</v>
      </c>
      <c r="M120" s="54">
        <f t="shared" si="33"/>
        <v>2</v>
      </c>
      <c r="N120" s="54">
        <f t="shared" si="33"/>
        <v>12</v>
      </c>
      <c r="O120" s="54">
        <f t="shared" si="33"/>
        <v>5</v>
      </c>
      <c r="P120" s="54">
        <f t="shared" si="33"/>
        <v>0</v>
      </c>
      <c r="Q120" s="54">
        <f t="shared" si="33"/>
        <v>4</v>
      </c>
      <c r="R120" s="54">
        <f t="shared" si="33"/>
        <v>8</v>
      </c>
      <c r="S120" s="54">
        <f t="shared" si="33"/>
        <v>1</v>
      </c>
      <c r="T120" s="54">
        <f t="shared" si="33"/>
        <v>0</v>
      </c>
      <c r="U120" s="54">
        <f t="shared" si="33"/>
        <v>0</v>
      </c>
      <c r="V120" s="54">
        <f t="shared" si="33"/>
        <v>1</v>
      </c>
      <c r="W120" s="54">
        <f t="shared" si="33"/>
        <v>12</v>
      </c>
      <c r="X120" s="54">
        <f t="shared" si="33"/>
        <v>4</v>
      </c>
      <c r="Y120" s="54">
        <f t="shared" si="33"/>
        <v>4</v>
      </c>
      <c r="Z120" s="54">
        <f t="shared" si="33"/>
        <v>0</v>
      </c>
      <c r="AA120" s="54">
        <f t="shared" si="33"/>
        <v>1</v>
      </c>
      <c r="AB120" s="54">
        <f t="shared" si="33"/>
        <v>0</v>
      </c>
      <c r="AC120" s="54">
        <f t="shared" si="33"/>
        <v>0</v>
      </c>
      <c r="AD120" s="54">
        <f t="shared" si="33"/>
        <v>1</v>
      </c>
      <c r="AE120" s="54">
        <f t="shared" si="33"/>
        <v>0</v>
      </c>
      <c r="AF120" s="6">
        <f t="shared" si="32"/>
        <v>123</v>
      </c>
    </row>
    <row r="121" ht="12.75" customHeight="1">
      <c r="A121" s="55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</row>
    <row r="122" ht="12.75" customHeight="1">
      <c r="A122" s="32" t="s">
        <v>36</v>
      </c>
      <c r="B122" s="49" t="s">
        <v>101</v>
      </c>
      <c r="C122" s="50" t="s">
        <v>102</v>
      </c>
      <c r="D122" s="9"/>
      <c r="E122" s="13"/>
      <c r="F122" s="66">
        <v>0.0</v>
      </c>
      <c r="G122" s="13"/>
      <c r="H122" s="66">
        <v>0.0</v>
      </c>
      <c r="I122" s="66">
        <v>0.0</v>
      </c>
      <c r="J122" s="66">
        <v>0.0</v>
      </c>
      <c r="K122" s="66">
        <v>0.0</v>
      </c>
      <c r="L122" s="66">
        <v>1.0</v>
      </c>
      <c r="M122" s="66">
        <v>1.0</v>
      </c>
      <c r="N122" s="66">
        <v>0.0</v>
      </c>
      <c r="O122" s="66">
        <v>0.0</v>
      </c>
      <c r="P122" s="66">
        <v>0.0</v>
      </c>
      <c r="Q122" s="66">
        <v>0.0</v>
      </c>
      <c r="R122" s="66">
        <v>0.0</v>
      </c>
      <c r="S122" s="66">
        <v>0.0</v>
      </c>
      <c r="T122" s="66">
        <v>2.0</v>
      </c>
      <c r="U122" s="66">
        <v>0.0</v>
      </c>
      <c r="V122" s="66">
        <v>1.0</v>
      </c>
      <c r="W122" s="66">
        <v>0.0</v>
      </c>
      <c r="X122" s="66">
        <v>1.0</v>
      </c>
      <c r="Y122" s="66">
        <v>0.0</v>
      </c>
      <c r="Z122" s="66">
        <v>1.0</v>
      </c>
      <c r="AA122" s="66">
        <v>1.0</v>
      </c>
      <c r="AB122" s="66">
        <v>0.0</v>
      </c>
      <c r="AC122" s="66">
        <v>0.0</v>
      </c>
      <c r="AD122" s="66">
        <v>0.0</v>
      </c>
      <c r="AE122" s="13"/>
      <c r="AF122" s="6">
        <f t="shared" ref="AF122:AF124" si="34">SUM(E122:AE122)</f>
        <v>8</v>
      </c>
    </row>
    <row r="123" ht="12.75" customHeight="1">
      <c r="A123" s="32" t="s">
        <v>38</v>
      </c>
      <c r="B123" s="51"/>
      <c r="C123" s="52"/>
      <c r="D123" s="5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6">
        <f t="shared" si="34"/>
        <v>0</v>
      </c>
    </row>
    <row r="124" ht="12.75" customHeight="1">
      <c r="A124" s="13" t="s">
        <v>14</v>
      </c>
      <c r="B124" s="49" t="s">
        <v>45</v>
      </c>
      <c r="C124" s="8"/>
      <c r="D124" s="9"/>
      <c r="E124" s="54">
        <f t="shared" ref="E124:AE124" si="35">SUM(E122:E123)</f>
        <v>0</v>
      </c>
      <c r="F124" s="54">
        <f t="shared" si="35"/>
        <v>0</v>
      </c>
      <c r="G124" s="54">
        <f t="shared" si="35"/>
        <v>0</v>
      </c>
      <c r="H124" s="54">
        <f t="shared" si="35"/>
        <v>0</v>
      </c>
      <c r="I124" s="54">
        <f t="shared" si="35"/>
        <v>0</v>
      </c>
      <c r="J124" s="54">
        <f t="shared" si="35"/>
        <v>0</v>
      </c>
      <c r="K124" s="54">
        <f t="shared" si="35"/>
        <v>0</v>
      </c>
      <c r="L124" s="54">
        <f t="shared" si="35"/>
        <v>1</v>
      </c>
      <c r="M124" s="54">
        <f t="shared" si="35"/>
        <v>1</v>
      </c>
      <c r="N124" s="54">
        <f t="shared" si="35"/>
        <v>0</v>
      </c>
      <c r="O124" s="54">
        <f t="shared" si="35"/>
        <v>0</v>
      </c>
      <c r="P124" s="54">
        <f t="shared" si="35"/>
        <v>0</v>
      </c>
      <c r="Q124" s="54">
        <f t="shared" si="35"/>
        <v>0</v>
      </c>
      <c r="R124" s="54">
        <f t="shared" si="35"/>
        <v>0</v>
      </c>
      <c r="S124" s="54">
        <f t="shared" si="35"/>
        <v>0</v>
      </c>
      <c r="T124" s="54">
        <f t="shared" si="35"/>
        <v>2</v>
      </c>
      <c r="U124" s="54">
        <f t="shared" si="35"/>
        <v>0</v>
      </c>
      <c r="V124" s="54">
        <f t="shared" si="35"/>
        <v>1</v>
      </c>
      <c r="W124" s="54">
        <f t="shared" si="35"/>
        <v>0</v>
      </c>
      <c r="X124" s="54">
        <f t="shared" si="35"/>
        <v>1</v>
      </c>
      <c r="Y124" s="54">
        <f t="shared" si="35"/>
        <v>0</v>
      </c>
      <c r="Z124" s="54">
        <f t="shared" si="35"/>
        <v>1</v>
      </c>
      <c r="AA124" s="54">
        <f t="shared" si="35"/>
        <v>1</v>
      </c>
      <c r="AB124" s="54">
        <f t="shared" si="35"/>
        <v>0</v>
      </c>
      <c r="AC124" s="54">
        <f t="shared" si="35"/>
        <v>0</v>
      </c>
      <c r="AD124" s="54">
        <f t="shared" si="35"/>
        <v>0</v>
      </c>
      <c r="AE124" s="54">
        <f t="shared" si="35"/>
        <v>0</v>
      </c>
      <c r="AF124" s="6">
        <f t="shared" si="34"/>
        <v>8</v>
      </c>
    </row>
    <row r="125" ht="12.75" customHeight="1">
      <c r="A125" s="55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6"/>
    </row>
    <row r="126" ht="12.75" customHeight="1">
      <c r="A126" s="32" t="s">
        <v>36</v>
      </c>
      <c r="B126" s="49" t="s">
        <v>103</v>
      </c>
      <c r="C126" s="50" t="s">
        <v>104</v>
      </c>
      <c r="D126" s="9"/>
      <c r="E126" s="13"/>
      <c r="F126" s="66">
        <v>0.0</v>
      </c>
      <c r="G126" s="13"/>
      <c r="H126" s="66">
        <v>0.0</v>
      </c>
      <c r="I126" s="66">
        <v>0.0</v>
      </c>
      <c r="J126" s="66">
        <v>0.0</v>
      </c>
      <c r="K126" s="66">
        <v>0.0</v>
      </c>
      <c r="L126" s="66">
        <v>0.0</v>
      </c>
      <c r="M126" s="13"/>
      <c r="N126" s="66">
        <v>1.0</v>
      </c>
      <c r="O126" s="66">
        <v>1.0</v>
      </c>
      <c r="P126" s="66">
        <v>1.0</v>
      </c>
      <c r="Q126" s="66">
        <v>0.0</v>
      </c>
      <c r="R126" s="66">
        <v>0.0</v>
      </c>
      <c r="S126" s="66">
        <v>0.0</v>
      </c>
      <c r="T126" s="13"/>
      <c r="U126" s="66">
        <v>0.0</v>
      </c>
      <c r="V126" s="66">
        <v>0.0</v>
      </c>
      <c r="W126" s="66">
        <v>0.0</v>
      </c>
      <c r="X126" s="66">
        <v>0.0</v>
      </c>
      <c r="Y126" s="66">
        <v>0.0</v>
      </c>
      <c r="Z126" s="13"/>
      <c r="AA126" s="66">
        <v>1.0</v>
      </c>
      <c r="AB126" s="66">
        <v>0.0</v>
      </c>
      <c r="AC126" s="66">
        <v>0.0</v>
      </c>
      <c r="AD126" s="66">
        <v>0.0</v>
      </c>
      <c r="AE126" s="13"/>
      <c r="AF126" s="6">
        <f t="shared" ref="AF126:AF131" si="36">SUM(E126:AE126)</f>
        <v>4</v>
      </c>
    </row>
    <row r="127" ht="12.75" customHeight="1">
      <c r="A127" s="32" t="s">
        <v>38</v>
      </c>
      <c r="B127" s="51"/>
      <c r="C127" s="52" t="s">
        <v>105</v>
      </c>
      <c r="D127" s="53"/>
      <c r="E127" s="13"/>
      <c r="F127" s="66">
        <v>0.0</v>
      </c>
      <c r="G127" s="13"/>
      <c r="H127" s="66">
        <v>0.0</v>
      </c>
      <c r="I127" s="66">
        <v>0.0</v>
      </c>
      <c r="J127" s="66">
        <v>1.0</v>
      </c>
      <c r="K127" s="66">
        <v>0.0</v>
      </c>
      <c r="L127" s="66">
        <v>0.0</v>
      </c>
      <c r="M127" s="13"/>
      <c r="N127" s="66">
        <v>0.0</v>
      </c>
      <c r="O127" s="66">
        <v>0.0</v>
      </c>
      <c r="P127" s="66">
        <v>0.0</v>
      </c>
      <c r="Q127" s="66">
        <v>0.0</v>
      </c>
      <c r="R127" s="66">
        <v>0.0</v>
      </c>
      <c r="S127" s="66">
        <v>1.0</v>
      </c>
      <c r="T127" s="13"/>
      <c r="U127" s="66">
        <v>0.0</v>
      </c>
      <c r="V127" s="66">
        <v>0.0</v>
      </c>
      <c r="W127" s="66">
        <v>1.0</v>
      </c>
      <c r="X127" s="66">
        <v>0.0</v>
      </c>
      <c r="Y127" s="66">
        <v>0.0</v>
      </c>
      <c r="Z127" s="13"/>
      <c r="AA127" s="66">
        <v>0.0</v>
      </c>
      <c r="AB127" s="66">
        <v>0.0</v>
      </c>
      <c r="AC127" s="66">
        <v>0.0</v>
      </c>
      <c r="AD127" s="66">
        <v>0.0</v>
      </c>
      <c r="AE127" s="13"/>
      <c r="AF127" s="6">
        <f t="shared" si="36"/>
        <v>3</v>
      </c>
    </row>
    <row r="128" ht="12.75" customHeight="1">
      <c r="A128" s="18"/>
      <c r="B128" s="51"/>
      <c r="C128" s="52" t="s">
        <v>106</v>
      </c>
      <c r="D128" s="53"/>
      <c r="E128" s="13"/>
      <c r="F128" s="66">
        <v>0.0</v>
      </c>
      <c r="G128" s="13"/>
      <c r="H128" s="66">
        <v>0.0</v>
      </c>
      <c r="I128" s="66">
        <v>0.0</v>
      </c>
      <c r="J128" s="66">
        <v>0.0</v>
      </c>
      <c r="K128" s="66">
        <v>0.0</v>
      </c>
      <c r="L128" s="66">
        <v>0.0</v>
      </c>
      <c r="M128" s="13"/>
      <c r="N128" s="66">
        <v>0.0</v>
      </c>
      <c r="O128" s="66">
        <v>0.0</v>
      </c>
      <c r="P128" s="66">
        <v>0.0</v>
      </c>
      <c r="Q128" s="66">
        <v>0.0</v>
      </c>
      <c r="R128" s="66">
        <v>1.0</v>
      </c>
      <c r="S128" s="66">
        <v>0.0</v>
      </c>
      <c r="T128" s="66">
        <v>1.0</v>
      </c>
      <c r="U128" s="66">
        <v>0.0</v>
      </c>
      <c r="V128" s="66">
        <v>0.0</v>
      </c>
      <c r="W128" s="66">
        <v>0.0</v>
      </c>
      <c r="X128" s="66">
        <v>0.0</v>
      </c>
      <c r="Y128" s="66">
        <v>0.0</v>
      </c>
      <c r="Z128" s="13"/>
      <c r="AA128" s="66">
        <v>0.0</v>
      </c>
      <c r="AB128" s="66">
        <v>0.0</v>
      </c>
      <c r="AC128" s="66">
        <v>0.0</v>
      </c>
      <c r="AD128" s="66">
        <v>1.0</v>
      </c>
      <c r="AE128" s="13"/>
      <c r="AF128" s="6">
        <f t="shared" si="36"/>
        <v>3</v>
      </c>
    </row>
    <row r="129" ht="12.75" customHeight="1">
      <c r="A129" s="18"/>
      <c r="B129" s="51"/>
      <c r="C129" s="52" t="s">
        <v>107</v>
      </c>
      <c r="D129" s="53"/>
      <c r="E129" s="13"/>
      <c r="F129" s="66">
        <v>0.0</v>
      </c>
      <c r="G129" s="66">
        <v>1.0</v>
      </c>
      <c r="H129" s="66">
        <v>0.0</v>
      </c>
      <c r="I129" s="66">
        <v>0.0</v>
      </c>
      <c r="J129" s="66">
        <v>0.0</v>
      </c>
      <c r="K129" s="66">
        <v>0.0</v>
      </c>
      <c r="L129" s="66">
        <v>0.0</v>
      </c>
      <c r="M129" s="13"/>
      <c r="N129" s="66">
        <v>0.0</v>
      </c>
      <c r="O129" s="66">
        <v>0.0</v>
      </c>
      <c r="P129" s="66">
        <v>0.0</v>
      </c>
      <c r="Q129" s="66">
        <v>0.0</v>
      </c>
      <c r="R129" s="66">
        <v>0.0</v>
      </c>
      <c r="S129" s="66">
        <v>2.0</v>
      </c>
      <c r="T129" s="13"/>
      <c r="U129" s="66">
        <v>0.0</v>
      </c>
      <c r="V129" s="66">
        <v>0.0</v>
      </c>
      <c r="W129" s="66">
        <v>0.0</v>
      </c>
      <c r="X129" s="66">
        <v>0.0</v>
      </c>
      <c r="Y129" s="66">
        <v>0.0</v>
      </c>
      <c r="Z129" s="13"/>
      <c r="AA129" s="66">
        <v>0.0</v>
      </c>
      <c r="AB129" s="66">
        <v>0.0</v>
      </c>
      <c r="AC129" s="66">
        <v>0.0</v>
      </c>
      <c r="AD129" s="66">
        <v>0.0</v>
      </c>
      <c r="AE129" s="13"/>
      <c r="AF129" s="6">
        <f t="shared" si="36"/>
        <v>3</v>
      </c>
    </row>
    <row r="130" ht="12.75" customHeight="1">
      <c r="A130" s="18"/>
      <c r="B130" s="51"/>
      <c r="C130" s="52" t="s">
        <v>108</v>
      </c>
      <c r="D130" s="53"/>
      <c r="E130" s="13"/>
      <c r="F130" s="66">
        <v>0.0</v>
      </c>
      <c r="G130" s="13"/>
      <c r="H130" s="66">
        <v>0.0</v>
      </c>
      <c r="I130" s="66">
        <v>0.0</v>
      </c>
      <c r="J130" s="66">
        <v>0.0</v>
      </c>
      <c r="K130" s="66">
        <v>0.0</v>
      </c>
      <c r="L130" s="66">
        <v>0.0</v>
      </c>
      <c r="M130" s="13"/>
      <c r="N130" s="66">
        <v>0.0</v>
      </c>
      <c r="O130" s="66">
        <v>0.0</v>
      </c>
      <c r="P130" s="66">
        <v>0.0</v>
      </c>
      <c r="Q130" s="66">
        <v>0.0</v>
      </c>
      <c r="R130" s="66">
        <v>0.0</v>
      </c>
      <c r="S130" s="66">
        <v>0.0</v>
      </c>
      <c r="T130" s="13"/>
      <c r="U130" s="66">
        <v>0.0</v>
      </c>
      <c r="V130" s="66">
        <v>0.0</v>
      </c>
      <c r="W130" s="66">
        <v>0.0</v>
      </c>
      <c r="X130" s="66">
        <v>0.0</v>
      </c>
      <c r="Y130" s="66">
        <v>0.0</v>
      </c>
      <c r="Z130" s="13"/>
      <c r="AA130" s="66">
        <v>0.0</v>
      </c>
      <c r="AB130" s="66">
        <v>0.0</v>
      </c>
      <c r="AC130" s="66">
        <v>0.0</v>
      </c>
      <c r="AD130" s="66">
        <v>0.0</v>
      </c>
      <c r="AE130" s="13"/>
      <c r="AF130" s="6">
        <f t="shared" si="36"/>
        <v>0</v>
      </c>
    </row>
    <row r="131" ht="12.75" customHeight="1">
      <c r="A131" s="13" t="s">
        <v>14</v>
      </c>
      <c r="B131" s="49" t="s">
        <v>45</v>
      </c>
      <c r="C131" s="8"/>
      <c r="D131" s="9"/>
      <c r="E131" s="54">
        <f t="shared" ref="E131:AE131" si="37">SUM(E126:E130)</f>
        <v>0</v>
      </c>
      <c r="F131" s="54">
        <f t="shared" si="37"/>
        <v>0</v>
      </c>
      <c r="G131" s="54">
        <f t="shared" si="37"/>
        <v>1</v>
      </c>
      <c r="H131" s="54">
        <f t="shared" si="37"/>
        <v>0</v>
      </c>
      <c r="I131" s="54">
        <f t="shared" si="37"/>
        <v>0</v>
      </c>
      <c r="J131" s="54">
        <f t="shared" si="37"/>
        <v>1</v>
      </c>
      <c r="K131" s="54">
        <f t="shared" si="37"/>
        <v>0</v>
      </c>
      <c r="L131" s="54">
        <f t="shared" si="37"/>
        <v>0</v>
      </c>
      <c r="M131" s="54">
        <f t="shared" si="37"/>
        <v>0</v>
      </c>
      <c r="N131" s="54">
        <f t="shared" si="37"/>
        <v>1</v>
      </c>
      <c r="O131" s="54">
        <f t="shared" si="37"/>
        <v>1</v>
      </c>
      <c r="P131" s="54">
        <f t="shared" si="37"/>
        <v>1</v>
      </c>
      <c r="Q131" s="54">
        <f t="shared" si="37"/>
        <v>0</v>
      </c>
      <c r="R131" s="54">
        <f t="shared" si="37"/>
        <v>1</v>
      </c>
      <c r="S131" s="54">
        <f t="shared" si="37"/>
        <v>3</v>
      </c>
      <c r="T131" s="54">
        <f t="shared" si="37"/>
        <v>1</v>
      </c>
      <c r="U131" s="54">
        <f t="shared" si="37"/>
        <v>0</v>
      </c>
      <c r="V131" s="54">
        <f t="shared" si="37"/>
        <v>0</v>
      </c>
      <c r="W131" s="54">
        <f t="shared" si="37"/>
        <v>1</v>
      </c>
      <c r="X131" s="54">
        <f t="shared" si="37"/>
        <v>0</v>
      </c>
      <c r="Y131" s="54">
        <f t="shared" si="37"/>
        <v>0</v>
      </c>
      <c r="Z131" s="54">
        <f t="shared" si="37"/>
        <v>0</v>
      </c>
      <c r="AA131" s="54">
        <f t="shared" si="37"/>
        <v>1</v>
      </c>
      <c r="AB131" s="54">
        <f t="shared" si="37"/>
        <v>0</v>
      </c>
      <c r="AC131" s="54">
        <f t="shared" si="37"/>
        <v>0</v>
      </c>
      <c r="AD131" s="54">
        <f t="shared" si="37"/>
        <v>1</v>
      </c>
      <c r="AE131" s="54">
        <f t="shared" si="37"/>
        <v>0</v>
      </c>
      <c r="AF131" s="6">
        <f t="shared" si="36"/>
        <v>13</v>
      </c>
    </row>
    <row r="132" ht="12.75" customHeight="1">
      <c r="A132" s="55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6"/>
    </row>
    <row r="133" ht="12.75" customHeight="1">
      <c r="A133" s="32" t="s">
        <v>36</v>
      </c>
      <c r="B133" s="49" t="s">
        <v>109</v>
      </c>
      <c r="C133" s="50" t="s">
        <v>110</v>
      </c>
      <c r="D133" s="9"/>
      <c r="E133" s="13"/>
      <c r="F133" s="66">
        <v>0.0</v>
      </c>
      <c r="G133" s="13"/>
      <c r="H133" s="66">
        <v>0.0</v>
      </c>
      <c r="I133" s="66">
        <v>0.0</v>
      </c>
      <c r="J133" s="66">
        <v>0.0</v>
      </c>
      <c r="K133" s="66">
        <v>0.0</v>
      </c>
      <c r="L133" s="66">
        <v>0.0</v>
      </c>
      <c r="M133" s="13"/>
      <c r="N133" s="66">
        <v>0.0</v>
      </c>
      <c r="O133" s="66">
        <v>0.0</v>
      </c>
      <c r="P133" s="66">
        <v>0.0</v>
      </c>
      <c r="Q133" s="66">
        <v>0.0</v>
      </c>
      <c r="R133" s="66">
        <v>0.0</v>
      </c>
      <c r="S133" s="66">
        <v>0.0</v>
      </c>
      <c r="T133" s="13"/>
      <c r="U133" s="66">
        <v>0.0</v>
      </c>
      <c r="V133" s="66">
        <v>0.0</v>
      </c>
      <c r="W133" s="66">
        <v>0.0</v>
      </c>
      <c r="X133" s="66">
        <v>0.0</v>
      </c>
      <c r="Y133" s="66">
        <v>0.0</v>
      </c>
      <c r="Z133" s="13"/>
      <c r="AA133" s="66">
        <v>0.0</v>
      </c>
      <c r="AB133" s="66">
        <v>0.0</v>
      </c>
      <c r="AC133" s="66">
        <v>0.0</v>
      </c>
      <c r="AD133" s="66">
        <v>0.0</v>
      </c>
      <c r="AE133" s="13"/>
      <c r="AF133" s="6">
        <f t="shared" ref="AF133:AF140" si="38">SUM(E133:AE133)</f>
        <v>0</v>
      </c>
    </row>
    <row r="134" ht="12.75" customHeight="1">
      <c r="A134" s="32" t="s">
        <v>38</v>
      </c>
      <c r="B134" s="51"/>
      <c r="C134" s="52" t="s">
        <v>111</v>
      </c>
      <c r="D134" s="53"/>
      <c r="E134" s="13"/>
      <c r="F134" s="66">
        <v>0.0</v>
      </c>
      <c r="G134" s="13"/>
      <c r="H134" s="66">
        <v>0.0</v>
      </c>
      <c r="I134" s="66">
        <v>0.0</v>
      </c>
      <c r="J134" s="66">
        <v>0.0</v>
      </c>
      <c r="K134" s="66">
        <v>0.0</v>
      </c>
      <c r="L134" s="66">
        <v>0.0</v>
      </c>
      <c r="M134" s="13"/>
      <c r="N134" s="66">
        <v>0.0</v>
      </c>
      <c r="O134" s="66">
        <v>0.0</v>
      </c>
      <c r="P134" s="66">
        <v>0.0</v>
      </c>
      <c r="Q134" s="66">
        <v>0.0</v>
      </c>
      <c r="R134" s="66">
        <v>0.0</v>
      </c>
      <c r="S134" s="66">
        <v>0.0</v>
      </c>
      <c r="T134" s="13"/>
      <c r="U134" s="66">
        <v>0.0</v>
      </c>
      <c r="V134" s="66">
        <v>0.0</v>
      </c>
      <c r="W134" s="66">
        <v>0.0</v>
      </c>
      <c r="X134" s="66">
        <v>0.0</v>
      </c>
      <c r="Y134" s="66">
        <v>0.0</v>
      </c>
      <c r="Z134" s="13"/>
      <c r="AA134" s="66">
        <v>0.0</v>
      </c>
      <c r="AB134" s="66">
        <v>0.0</v>
      </c>
      <c r="AC134" s="66">
        <v>0.0</v>
      </c>
      <c r="AD134" s="66">
        <v>0.0</v>
      </c>
      <c r="AE134" s="13"/>
      <c r="AF134" s="6">
        <f t="shared" si="38"/>
        <v>0</v>
      </c>
    </row>
    <row r="135" ht="12.75" customHeight="1">
      <c r="A135" s="18"/>
      <c r="B135" s="51"/>
      <c r="C135" s="52" t="s">
        <v>112</v>
      </c>
      <c r="D135" s="53"/>
      <c r="E135" s="13"/>
      <c r="F135" s="66">
        <v>0.0</v>
      </c>
      <c r="G135" s="13"/>
      <c r="H135" s="66">
        <v>0.0</v>
      </c>
      <c r="I135" s="66">
        <v>0.0</v>
      </c>
      <c r="J135" s="66">
        <v>0.0</v>
      </c>
      <c r="K135" s="66">
        <v>0.0</v>
      </c>
      <c r="L135" s="66">
        <v>0.0</v>
      </c>
      <c r="M135" s="13"/>
      <c r="N135" s="66">
        <v>0.0</v>
      </c>
      <c r="O135" s="66">
        <v>0.0</v>
      </c>
      <c r="P135" s="66">
        <v>0.0</v>
      </c>
      <c r="Q135" s="66">
        <v>0.0</v>
      </c>
      <c r="R135" s="66">
        <v>0.0</v>
      </c>
      <c r="S135" s="66">
        <v>0.0</v>
      </c>
      <c r="T135" s="13"/>
      <c r="U135" s="66">
        <v>0.0</v>
      </c>
      <c r="V135" s="66">
        <v>0.0</v>
      </c>
      <c r="W135" s="66">
        <v>0.0</v>
      </c>
      <c r="X135" s="66">
        <v>0.0</v>
      </c>
      <c r="Y135" s="66">
        <v>0.0</v>
      </c>
      <c r="Z135" s="13"/>
      <c r="AA135" s="66">
        <v>0.0</v>
      </c>
      <c r="AB135" s="66">
        <v>0.0</v>
      </c>
      <c r="AC135" s="66">
        <v>0.0</v>
      </c>
      <c r="AD135" s="66">
        <v>0.0</v>
      </c>
      <c r="AE135" s="13"/>
      <c r="AF135" s="6">
        <f t="shared" si="38"/>
        <v>0</v>
      </c>
    </row>
    <row r="136" ht="12.75" customHeight="1">
      <c r="A136" s="18"/>
      <c r="B136" s="51"/>
      <c r="C136" s="52" t="s">
        <v>113</v>
      </c>
      <c r="D136" s="53"/>
      <c r="E136" s="13"/>
      <c r="F136" s="66">
        <v>0.0</v>
      </c>
      <c r="G136" s="13"/>
      <c r="H136" s="66">
        <v>0.0</v>
      </c>
      <c r="I136" s="66">
        <v>0.0</v>
      </c>
      <c r="J136" s="66">
        <v>0.0</v>
      </c>
      <c r="K136" s="66">
        <v>0.0</v>
      </c>
      <c r="L136" s="66">
        <v>0.0</v>
      </c>
      <c r="M136" s="13"/>
      <c r="N136" s="66">
        <v>0.0</v>
      </c>
      <c r="O136" s="66">
        <v>0.0</v>
      </c>
      <c r="P136" s="66">
        <v>0.0</v>
      </c>
      <c r="Q136" s="66">
        <v>0.0</v>
      </c>
      <c r="R136" s="66">
        <v>0.0</v>
      </c>
      <c r="S136" s="66">
        <v>0.0</v>
      </c>
      <c r="T136" s="13"/>
      <c r="U136" s="66">
        <v>0.0</v>
      </c>
      <c r="V136" s="66">
        <v>0.0</v>
      </c>
      <c r="W136" s="66">
        <v>0.0</v>
      </c>
      <c r="X136" s="66">
        <v>0.0</v>
      </c>
      <c r="Y136" s="66">
        <v>0.0</v>
      </c>
      <c r="Z136" s="13"/>
      <c r="AA136" s="66">
        <v>0.0</v>
      </c>
      <c r="AB136" s="66">
        <v>0.0</v>
      </c>
      <c r="AC136" s="66">
        <v>0.0</v>
      </c>
      <c r="AD136" s="66">
        <v>0.0</v>
      </c>
      <c r="AE136" s="13"/>
      <c r="AF136" s="6">
        <f t="shared" si="38"/>
        <v>0</v>
      </c>
    </row>
    <row r="137" ht="12.75" customHeight="1">
      <c r="A137" s="18"/>
      <c r="B137" s="51"/>
      <c r="C137" s="52" t="s">
        <v>114</v>
      </c>
      <c r="D137" s="53"/>
      <c r="E137" s="13"/>
      <c r="F137" s="66">
        <v>0.0</v>
      </c>
      <c r="G137" s="13"/>
      <c r="H137" s="66">
        <v>0.0</v>
      </c>
      <c r="I137" s="66">
        <v>0.0</v>
      </c>
      <c r="J137" s="66">
        <v>0.0</v>
      </c>
      <c r="K137" s="66">
        <v>0.0</v>
      </c>
      <c r="L137" s="66">
        <v>0.0</v>
      </c>
      <c r="M137" s="13"/>
      <c r="N137" s="66">
        <v>0.0</v>
      </c>
      <c r="O137" s="66">
        <v>0.0</v>
      </c>
      <c r="P137" s="66">
        <v>0.0</v>
      </c>
      <c r="Q137" s="66">
        <v>0.0</v>
      </c>
      <c r="R137" s="66">
        <v>0.0</v>
      </c>
      <c r="S137" s="66">
        <v>0.0</v>
      </c>
      <c r="T137" s="13"/>
      <c r="U137" s="66">
        <v>0.0</v>
      </c>
      <c r="V137" s="66">
        <v>0.0</v>
      </c>
      <c r="W137" s="66">
        <v>0.0</v>
      </c>
      <c r="X137" s="66">
        <v>0.0</v>
      </c>
      <c r="Y137" s="66">
        <v>0.0</v>
      </c>
      <c r="Z137" s="13"/>
      <c r="AA137" s="66">
        <v>0.0</v>
      </c>
      <c r="AB137" s="66">
        <v>0.0</v>
      </c>
      <c r="AC137" s="66">
        <v>0.0</v>
      </c>
      <c r="AD137" s="66">
        <v>0.0</v>
      </c>
      <c r="AE137" s="13"/>
      <c r="AF137" s="6">
        <f t="shared" si="38"/>
        <v>0</v>
      </c>
    </row>
    <row r="138" ht="12.75" customHeight="1">
      <c r="A138" s="18"/>
      <c r="B138" s="51"/>
      <c r="C138" s="52" t="s">
        <v>115</v>
      </c>
      <c r="D138" s="53"/>
      <c r="E138" s="13"/>
      <c r="F138" s="66">
        <v>0.0</v>
      </c>
      <c r="G138" s="13"/>
      <c r="H138" s="66">
        <v>0.0</v>
      </c>
      <c r="I138" s="66">
        <v>0.0</v>
      </c>
      <c r="J138" s="66">
        <v>0.0</v>
      </c>
      <c r="K138" s="66">
        <v>0.0</v>
      </c>
      <c r="L138" s="66">
        <v>0.0</v>
      </c>
      <c r="M138" s="13"/>
      <c r="N138" s="66">
        <v>0.0</v>
      </c>
      <c r="O138" s="66">
        <v>0.0</v>
      </c>
      <c r="P138" s="66">
        <v>0.0</v>
      </c>
      <c r="Q138" s="66">
        <v>0.0</v>
      </c>
      <c r="R138" s="66">
        <v>0.0</v>
      </c>
      <c r="S138" s="66">
        <v>0.0</v>
      </c>
      <c r="T138" s="13"/>
      <c r="U138" s="66">
        <v>0.0</v>
      </c>
      <c r="V138" s="66">
        <v>0.0</v>
      </c>
      <c r="W138" s="66">
        <v>0.0</v>
      </c>
      <c r="X138" s="66">
        <v>0.0</v>
      </c>
      <c r="Y138" s="66">
        <v>0.0</v>
      </c>
      <c r="Z138" s="13"/>
      <c r="AA138" s="66">
        <v>0.0</v>
      </c>
      <c r="AB138" s="66">
        <v>0.0</v>
      </c>
      <c r="AC138" s="66">
        <v>0.0</v>
      </c>
      <c r="AD138" s="66">
        <v>0.0</v>
      </c>
      <c r="AE138" s="13"/>
      <c r="AF138" s="6">
        <f t="shared" si="38"/>
        <v>0</v>
      </c>
    </row>
    <row r="139" ht="12.75" customHeight="1">
      <c r="A139" s="18"/>
      <c r="B139" s="51"/>
      <c r="C139" s="52" t="s">
        <v>116</v>
      </c>
      <c r="D139" s="53"/>
      <c r="E139" s="13"/>
      <c r="F139" s="66">
        <v>0.0</v>
      </c>
      <c r="G139" s="13"/>
      <c r="H139" s="66">
        <v>0.0</v>
      </c>
      <c r="I139" s="66">
        <v>0.0</v>
      </c>
      <c r="J139" s="66">
        <v>0.0</v>
      </c>
      <c r="K139" s="66">
        <v>0.0</v>
      </c>
      <c r="L139" s="66">
        <v>0.0</v>
      </c>
      <c r="M139" s="13"/>
      <c r="N139" s="66">
        <v>0.0</v>
      </c>
      <c r="O139" s="66">
        <v>0.0</v>
      </c>
      <c r="P139" s="66">
        <v>0.0</v>
      </c>
      <c r="Q139" s="66">
        <v>0.0</v>
      </c>
      <c r="R139" s="66">
        <v>0.0</v>
      </c>
      <c r="S139" s="66">
        <v>0.0</v>
      </c>
      <c r="T139" s="13"/>
      <c r="U139" s="66">
        <v>0.0</v>
      </c>
      <c r="V139" s="66">
        <v>0.0</v>
      </c>
      <c r="W139" s="66">
        <v>0.0</v>
      </c>
      <c r="X139" s="66">
        <v>0.0</v>
      </c>
      <c r="Y139" s="66">
        <v>0.0</v>
      </c>
      <c r="Z139" s="13"/>
      <c r="AA139" s="66">
        <v>0.0</v>
      </c>
      <c r="AB139" s="66">
        <v>0.0</v>
      </c>
      <c r="AC139" s="66">
        <v>0.0</v>
      </c>
      <c r="AD139" s="66">
        <v>0.0</v>
      </c>
      <c r="AE139" s="13"/>
      <c r="AF139" s="6">
        <f t="shared" si="38"/>
        <v>0</v>
      </c>
    </row>
    <row r="140" ht="12.75" customHeight="1">
      <c r="A140" s="13" t="s">
        <v>14</v>
      </c>
      <c r="B140" s="49" t="s">
        <v>45</v>
      </c>
      <c r="C140" s="8"/>
      <c r="D140" s="9"/>
      <c r="E140" s="54">
        <f t="shared" ref="E140:AE140" si="39">SUM(E133:E139)</f>
        <v>0</v>
      </c>
      <c r="F140" s="54">
        <f t="shared" si="39"/>
        <v>0</v>
      </c>
      <c r="G140" s="54">
        <f t="shared" si="39"/>
        <v>0</v>
      </c>
      <c r="H140" s="54">
        <f t="shared" si="39"/>
        <v>0</v>
      </c>
      <c r="I140" s="54">
        <f t="shared" si="39"/>
        <v>0</v>
      </c>
      <c r="J140" s="54">
        <f t="shared" si="39"/>
        <v>0</v>
      </c>
      <c r="K140" s="54">
        <f t="shared" si="39"/>
        <v>0</v>
      </c>
      <c r="L140" s="54">
        <f t="shared" si="39"/>
        <v>0</v>
      </c>
      <c r="M140" s="54">
        <f t="shared" si="39"/>
        <v>0</v>
      </c>
      <c r="N140" s="54">
        <f t="shared" si="39"/>
        <v>0</v>
      </c>
      <c r="O140" s="54">
        <f t="shared" si="39"/>
        <v>0</v>
      </c>
      <c r="P140" s="54">
        <f t="shared" si="39"/>
        <v>0</v>
      </c>
      <c r="Q140" s="54">
        <f t="shared" si="39"/>
        <v>0</v>
      </c>
      <c r="R140" s="54">
        <f t="shared" si="39"/>
        <v>0</v>
      </c>
      <c r="S140" s="54">
        <f t="shared" si="39"/>
        <v>0</v>
      </c>
      <c r="T140" s="54">
        <f t="shared" si="39"/>
        <v>0</v>
      </c>
      <c r="U140" s="54">
        <f t="shared" si="39"/>
        <v>0</v>
      </c>
      <c r="V140" s="54">
        <f t="shared" si="39"/>
        <v>0</v>
      </c>
      <c r="W140" s="54">
        <f t="shared" si="39"/>
        <v>0</v>
      </c>
      <c r="X140" s="54">
        <f t="shared" si="39"/>
        <v>0</v>
      </c>
      <c r="Y140" s="54">
        <f t="shared" si="39"/>
        <v>0</v>
      </c>
      <c r="Z140" s="54">
        <f t="shared" si="39"/>
        <v>0</v>
      </c>
      <c r="AA140" s="54">
        <f t="shared" si="39"/>
        <v>0</v>
      </c>
      <c r="AB140" s="54">
        <f t="shared" si="39"/>
        <v>0</v>
      </c>
      <c r="AC140" s="54">
        <f t="shared" si="39"/>
        <v>0</v>
      </c>
      <c r="AD140" s="54">
        <f t="shared" si="39"/>
        <v>0</v>
      </c>
      <c r="AE140" s="54">
        <f t="shared" si="39"/>
        <v>0</v>
      </c>
      <c r="AF140" s="6">
        <f t="shared" si="38"/>
        <v>0</v>
      </c>
    </row>
    <row r="141" ht="12.75" customHeight="1">
      <c r="A141" s="55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6"/>
    </row>
    <row r="142" ht="12.75" customHeight="1">
      <c r="A142" s="32" t="s">
        <v>36</v>
      </c>
      <c r="B142" s="49" t="s">
        <v>117</v>
      </c>
      <c r="C142" s="50" t="s">
        <v>118</v>
      </c>
      <c r="D142" s="9"/>
      <c r="E142" s="66">
        <v>1.0</v>
      </c>
      <c r="F142" s="66">
        <v>0.0</v>
      </c>
      <c r="G142" s="66">
        <v>1.0</v>
      </c>
      <c r="H142" s="66">
        <v>1.0</v>
      </c>
      <c r="I142" s="66">
        <v>0.0</v>
      </c>
      <c r="J142" s="66">
        <v>2.0</v>
      </c>
      <c r="K142" s="66">
        <v>12.0</v>
      </c>
      <c r="L142" s="66">
        <v>0.0</v>
      </c>
      <c r="M142" s="66">
        <v>1.0</v>
      </c>
      <c r="N142" s="66">
        <v>1.0</v>
      </c>
      <c r="O142" s="66">
        <v>0.0</v>
      </c>
      <c r="P142" s="66">
        <v>3.0</v>
      </c>
      <c r="Q142" s="66">
        <v>0.0</v>
      </c>
      <c r="R142" s="66">
        <v>1.0</v>
      </c>
      <c r="S142" s="66">
        <v>1.0</v>
      </c>
      <c r="T142" s="13"/>
      <c r="U142" s="66">
        <v>2.0</v>
      </c>
      <c r="V142" s="66">
        <v>2.0</v>
      </c>
      <c r="W142" s="66">
        <v>2.0</v>
      </c>
      <c r="X142" s="66">
        <v>3.0</v>
      </c>
      <c r="Y142" s="66">
        <v>1.0</v>
      </c>
      <c r="Z142" s="66">
        <v>2.0</v>
      </c>
      <c r="AA142" s="66">
        <v>7.0</v>
      </c>
      <c r="AB142" s="66">
        <v>1.0</v>
      </c>
      <c r="AC142" s="66">
        <v>3.0</v>
      </c>
      <c r="AD142" s="66">
        <v>3.0</v>
      </c>
      <c r="AE142" s="66">
        <v>2.0</v>
      </c>
      <c r="AF142" s="6">
        <f t="shared" ref="AF142:AF149" si="40">SUM(E142:AE142)</f>
        <v>52</v>
      </c>
    </row>
    <row r="143" ht="12.75" customHeight="1">
      <c r="A143" s="32" t="s">
        <v>38</v>
      </c>
      <c r="B143" s="51"/>
      <c r="C143" s="52" t="s">
        <v>119</v>
      </c>
      <c r="D143" s="53"/>
      <c r="E143" s="13"/>
      <c r="F143" s="66">
        <v>0.0</v>
      </c>
      <c r="G143" s="66">
        <v>9.0</v>
      </c>
      <c r="H143" s="66">
        <v>5.0</v>
      </c>
      <c r="I143" s="66">
        <v>4.0</v>
      </c>
      <c r="J143" s="66">
        <v>12.0</v>
      </c>
      <c r="K143" s="66">
        <v>48.0</v>
      </c>
      <c r="L143" s="66">
        <v>8.0</v>
      </c>
      <c r="M143" s="66">
        <v>2.0</v>
      </c>
      <c r="N143" s="66">
        <v>7.0</v>
      </c>
      <c r="O143" s="66">
        <v>1.0</v>
      </c>
      <c r="P143" s="66">
        <v>3.0</v>
      </c>
      <c r="Q143" s="66">
        <v>3.0</v>
      </c>
      <c r="R143" s="66">
        <v>0.0</v>
      </c>
      <c r="S143" s="66">
        <v>0.0</v>
      </c>
      <c r="T143" s="13"/>
      <c r="U143" s="66">
        <v>3.0</v>
      </c>
      <c r="V143" s="66">
        <v>0.0</v>
      </c>
      <c r="W143" s="66">
        <v>3.0</v>
      </c>
      <c r="X143" s="66">
        <v>0.0</v>
      </c>
      <c r="Y143" s="66">
        <v>8.0</v>
      </c>
      <c r="Z143" s="13"/>
      <c r="AA143" s="66">
        <v>8.0</v>
      </c>
      <c r="AB143" s="66">
        <v>10.0</v>
      </c>
      <c r="AC143" s="66">
        <v>21.0</v>
      </c>
      <c r="AD143" s="66">
        <v>14.0</v>
      </c>
      <c r="AE143" s="66">
        <v>30.0</v>
      </c>
      <c r="AF143" s="6">
        <f t="shared" si="40"/>
        <v>199</v>
      </c>
    </row>
    <row r="144" ht="12.75" customHeight="1">
      <c r="A144" s="18"/>
      <c r="B144" s="51"/>
      <c r="C144" s="52" t="s">
        <v>120</v>
      </c>
      <c r="D144" s="53"/>
      <c r="E144" s="13"/>
      <c r="F144" s="66">
        <v>0.0</v>
      </c>
      <c r="G144" s="13"/>
      <c r="H144" s="66">
        <v>0.0</v>
      </c>
      <c r="I144" s="66">
        <v>0.0</v>
      </c>
      <c r="J144" s="66">
        <v>1.0</v>
      </c>
      <c r="K144" s="66">
        <v>2.0</v>
      </c>
      <c r="L144" s="66">
        <v>0.0</v>
      </c>
      <c r="M144" s="13"/>
      <c r="N144" s="66">
        <v>3.0</v>
      </c>
      <c r="O144" s="66">
        <v>1.0</v>
      </c>
      <c r="P144" s="66">
        <v>2.0</v>
      </c>
      <c r="Q144" s="66">
        <v>0.0</v>
      </c>
      <c r="R144" s="66">
        <v>1.0</v>
      </c>
      <c r="S144" s="66">
        <v>1.0</v>
      </c>
      <c r="T144" s="13"/>
      <c r="U144" s="66">
        <v>0.0</v>
      </c>
      <c r="V144" s="66">
        <v>3.0</v>
      </c>
      <c r="W144" s="66">
        <v>1.0</v>
      </c>
      <c r="X144" s="66">
        <v>3.0</v>
      </c>
      <c r="Y144" s="66">
        <v>1.0</v>
      </c>
      <c r="Z144" s="66">
        <v>2.0</v>
      </c>
      <c r="AA144" s="66">
        <v>0.0</v>
      </c>
      <c r="AB144" s="66">
        <v>1.0</v>
      </c>
      <c r="AC144" s="66">
        <v>3.0</v>
      </c>
      <c r="AD144" s="66">
        <v>8.0</v>
      </c>
      <c r="AE144" s="66">
        <v>4.0</v>
      </c>
      <c r="AF144" s="6">
        <f t="shared" si="40"/>
        <v>37</v>
      </c>
    </row>
    <row r="145" ht="12.75" customHeight="1">
      <c r="A145" s="18"/>
      <c r="B145" s="51"/>
      <c r="C145" s="52" t="s">
        <v>121</v>
      </c>
      <c r="D145" s="53"/>
      <c r="E145" s="13"/>
      <c r="F145" s="66">
        <v>1.0</v>
      </c>
      <c r="G145" s="13"/>
      <c r="H145" s="66">
        <v>0.0</v>
      </c>
      <c r="I145" s="66">
        <v>0.0</v>
      </c>
      <c r="J145" s="66">
        <v>0.0</v>
      </c>
      <c r="K145" s="66">
        <v>1.0</v>
      </c>
      <c r="L145" s="66">
        <v>0.0</v>
      </c>
      <c r="M145" s="13"/>
      <c r="N145" s="66">
        <v>0.0</v>
      </c>
      <c r="O145" s="66">
        <v>0.0</v>
      </c>
      <c r="P145" s="66">
        <v>0.0</v>
      </c>
      <c r="Q145" s="66">
        <v>0.0</v>
      </c>
      <c r="R145" s="66">
        <v>0.0</v>
      </c>
      <c r="S145" s="66">
        <v>0.0</v>
      </c>
      <c r="T145" s="13"/>
      <c r="U145" s="66">
        <v>0.0</v>
      </c>
      <c r="V145" s="66">
        <v>1.0</v>
      </c>
      <c r="W145" s="66">
        <v>0.0</v>
      </c>
      <c r="X145" s="66">
        <v>0.0</v>
      </c>
      <c r="Y145" s="66">
        <v>0.0</v>
      </c>
      <c r="Z145" s="13"/>
      <c r="AA145" s="66">
        <v>0.0</v>
      </c>
      <c r="AB145" s="66">
        <v>0.0</v>
      </c>
      <c r="AC145" s="66">
        <v>0.0</v>
      </c>
      <c r="AD145" s="66">
        <v>0.0</v>
      </c>
      <c r="AE145" s="13"/>
      <c r="AF145" s="6">
        <f t="shared" si="40"/>
        <v>3</v>
      </c>
    </row>
    <row r="146" ht="12.75" customHeight="1">
      <c r="A146" s="18"/>
      <c r="B146" s="51"/>
      <c r="C146" s="52" t="s">
        <v>122</v>
      </c>
      <c r="D146" s="53"/>
      <c r="E146" s="13"/>
      <c r="F146" s="66">
        <v>0.0</v>
      </c>
      <c r="G146" s="13"/>
      <c r="H146" s="66">
        <v>0.0</v>
      </c>
      <c r="I146" s="66">
        <v>0.0</v>
      </c>
      <c r="J146" s="66">
        <v>0.0</v>
      </c>
      <c r="K146" s="66">
        <v>0.0</v>
      </c>
      <c r="L146" s="66">
        <v>0.0</v>
      </c>
      <c r="M146" s="13"/>
      <c r="N146" s="66">
        <v>0.0</v>
      </c>
      <c r="O146" s="66">
        <v>0.0</v>
      </c>
      <c r="P146" s="66">
        <v>1.0</v>
      </c>
      <c r="Q146" s="66">
        <v>0.0</v>
      </c>
      <c r="R146" s="66">
        <v>1.0</v>
      </c>
      <c r="S146" s="66">
        <v>1.0</v>
      </c>
      <c r="T146" s="13"/>
      <c r="U146" s="66">
        <v>0.0</v>
      </c>
      <c r="V146" s="66">
        <v>0.0</v>
      </c>
      <c r="W146" s="66">
        <v>1.0</v>
      </c>
      <c r="X146" s="66">
        <v>0.0</v>
      </c>
      <c r="Y146" s="66">
        <v>0.0</v>
      </c>
      <c r="Z146" s="13"/>
      <c r="AA146" s="66">
        <v>0.0</v>
      </c>
      <c r="AB146" s="66">
        <v>0.0</v>
      </c>
      <c r="AC146" s="66">
        <v>0.0</v>
      </c>
      <c r="AD146" s="66">
        <v>0.0</v>
      </c>
      <c r="AE146" s="13"/>
      <c r="AF146" s="6">
        <f t="shared" si="40"/>
        <v>4</v>
      </c>
    </row>
    <row r="147" ht="12.75" customHeight="1">
      <c r="A147" s="18"/>
      <c r="B147" s="51"/>
      <c r="C147" s="52" t="s">
        <v>123</v>
      </c>
      <c r="D147" s="53"/>
      <c r="E147" s="13"/>
      <c r="F147" s="66">
        <v>0.0</v>
      </c>
      <c r="G147" s="66">
        <v>1.0</v>
      </c>
      <c r="H147" s="66">
        <v>0.0</v>
      </c>
      <c r="I147" s="66">
        <v>0.0</v>
      </c>
      <c r="J147" s="66">
        <v>0.0</v>
      </c>
      <c r="K147" s="66">
        <v>0.0</v>
      </c>
      <c r="L147" s="66">
        <v>0.0</v>
      </c>
      <c r="M147" s="13"/>
      <c r="N147" s="66">
        <v>0.0</v>
      </c>
      <c r="O147" s="66">
        <v>0.0</v>
      </c>
      <c r="P147" s="66">
        <v>0.0</v>
      </c>
      <c r="Q147" s="66">
        <v>0.0</v>
      </c>
      <c r="R147" s="66">
        <v>0.0</v>
      </c>
      <c r="S147" s="66">
        <v>0.0</v>
      </c>
      <c r="T147" s="66">
        <v>1.0</v>
      </c>
      <c r="U147" s="66">
        <v>0.0</v>
      </c>
      <c r="V147" s="66">
        <v>0.0</v>
      </c>
      <c r="W147" s="66">
        <v>0.0</v>
      </c>
      <c r="X147" s="66">
        <v>0.0</v>
      </c>
      <c r="Y147" s="66">
        <v>0.0</v>
      </c>
      <c r="Z147" s="13"/>
      <c r="AA147" s="66">
        <v>0.0</v>
      </c>
      <c r="AB147" s="66">
        <v>0.0</v>
      </c>
      <c r="AC147" s="66">
        <v>0.0</v>
      </c>
      <c r="AD147" s="66">
        <v>0.0</v>
      </c>
      <c r="AE147" s="13"/>
      <c r="AF147" s="6">
        <f t="shared" si="40"/>
        <v>2</v>
      </c>
    </row>
    <row r="148" ht="12.75" customHeight="1">
      <c r="A148" s="18"/>
      <c r="B148" s="51"/>
      <c r="C148" s="52" t="s">
        <v>124</v>
      </c>
      <c r="D148" s="53"/>
      <c r="E148" s="13"/>
      <c r="F148" s="66">
        <v>0.0</v>
      </c>
      <c r="G148" s="13"/>
      <c r="H148" s="66">
        <v>0.0</v>
      </c>
      <c r="I148" s="66">
        <v>0.0</v>
      </c>
      <c r="J148" s="66">
        <v>0.0</v>
      </c>
      <c r="K148" s="66">
        <v>0.0</v>
      </c>
      <c r="L148" s="66">
        <v>0.0</v>
      </c>
      <c r="M148" s="13"/>
      <c r="N148" s="66">
        <v>0.0</v>
      </c>
      <c r="O148" s="66">
        <v>0.0</v>
      </c>
      <c r="P148" s="66">
        <v>0.0</v>
      </c>
      <c r="Q148" s="66">
        <v>0.0</v>
      </c>
      <c r="R148" s="66">
        <v>0.0</v>
      </c>
      <c r="S148" s="66">
        <v>0.0</v>
      </c>
      <c r="T148" s="13"/>
      <c r="U148" s="66">
        <v>0.0</v>
      </c>
      <c r="V148" s="66">
        <v>0.0</v>
      </c>
      <c r="W148" s="66">
        <v>0.0</v>
      </c>
      <c r="X148" s="66">
        <v>0.0</v>
      </c>
      <c r="Y148" s="66">
        <v>0.0</v>
      </c>
      <c r="Z148" s="13"/>
      <c r="AA148" s="66">
        <v>1.0</v>
      </c>
      <c r="AB148" s="66">
        <v>0.0</v>
      </c>
      <c r="AC148" s="66">
        <v>0.0</v>
      </c>
      <c r="AD148" s="66">
        <v>0.0</v>
      </c>
      <c r="AE148" s="13"/>
      <c r="AF148" s="6">
        <f t="shared" si="40"/>
        <v>1</v>
      </c>
    </row>
    <row r="149" ht="12.75" customHeight="1">
      <c r="A149" s="13" t="s">
        <v>14</v>
      </c>
      <c r="B149" s="49" t="s">
        <v>45</v>
      </c>
      <c r="C149" s="8"/>
      <c r="D149" s="9"/>
      <c r="E149" s="54">
        <f t="shared" ref="E149:AE149" si="41">SUM(E142:E148)</f>
        <v>1</v>
      </c>
      <c r="F149" s="54">
        <f t="shared" si="41"/>
        <v>1</v>
      </c>
      <c r="G149" s="54">
        <f t="shared" si="41"/>
        <v>11</v>
      </c>
      <c r="H149" s="54">
        <f t="shared" si="41"/>
        <v>6</v>
      </c>
      <c r="I149" s="54">
        <f t="shared" si="41"/>
        <v>4</v>
      </c>
      <c r="J149" s="54">
        <f t="shared" si="41"/>
        <v>15</v>
      </c>
      <c r="K149" s="54">
        <f t="shared" si="41"/>
        <v>63</v>
      </c>
      <c r="L149" s="54">
        <f t="shared" si="41"/>
        <v>8</v>
      </c>
      <c r="M149" s="54">
        <f t="shared" si="41"/>
        <v>3</v>
      </c>
      <c r="N149" s="54">
        <f t="shared" si="41"/>
        <v>11</v>
      </c>
      <c r="O149" s="54">
        <f t="shared" si="41"/>
        <v>2</v>
      </c>
      <c r="P149" s="54">
        <f t="shared" si="41"/>
        <v>9</v>
      </c>
      <c r="Q149" s="54">
        <f t="shared" si="41"/>
        <v>3</v>
      </c>
      <c r="R149" s="54">
        <f t="shared" si="41"/>
        <v>3</v>
      </c>
      <c r="S149" s="54">
        <f t="shared" si="41"/>
        <v>3</v>
      </c>
      <c r="T149" s="54">
        <f t="shared" si="41"/>
        <v>1</v>
      </c>
      <c r="U149" s="54">
        <f t="shared" si="41"/>
        <v>5</v>
      </c>
      <c r="V149" s="54">
        <f t="shared" si="41"/>
        <v>6</v>
      </c>
      <c r="W149" s="54">
        <f t="shared" si="41"/>
        <v>7</v>
      </c>
      <c r="X149" s="54">
        <f t="shared" si="41"/>
        <v>6</v>
      </c>
      <c r="Y149" s="54">
        <f t="shared" si="41"/>
        <v>10</v>
      </c>
      <c r="Z149" s="54">
        <f t="shared" si="41"/>
        <v>4</v>
      </c>
      <c r="AA149" s="54">
        <f t="shared" si="41"/>
        <v>16</v>
      </c>
      <c r="AB149" s="54">
        <f t="shared" si="41"/>
        <v>12</v>
      </c>
      <c r="AC149" s="54">
        <f t="shared" si="41"/>
        <v>27</v>
      </c>
      <c r="AD149" s="54">
        <f t="shared" si="41"/>
        <v>25</v>
      </c>
      <c r="AE149" s="54">
        <f t="shared" si="41"/>
        <v>36</v>
      </c>
      <c r="AF149" s="6">
        <f t="shared" si="40"/>
        <v>298</v>
      </c>
    </row>
    <row r="150" ht="12.75" customHeight="1">
      <c r="A150" s="55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6"/>
    </row>
    <row r="151" ht="12.75" customHeight="1">
      <c r="A151" s="32" t="s">
        <v>36</v>
      </c>
      <c r="B151" s="49" t="s">
        <v>125</v>
      </c>
      <c r="C151" s="50" t="s">
        <v>126</v>
      </c>
      <c r="D151" s="9"/>
      <c r="E151" s="13"/>
      <c r="F151" s="66">
        <v>1.0</v>
      </c>
      <c r="G151" s="13"/>
      <c r="H151" s="66">
        <v>0.0</v>
      </c>
      <c r="I151" s="66">
        <v>1.0</v>
      </c>
      <c r="J151" s="66">
        <v>1.0</v>
      </c>
      <c r="K151" s="66">
        <v>0.0</v>
      </c>
      <c r="L151" s="66">
        <v>0.0</v>
      </c>
      <c r="M151" s="13"/>
      <c r="N151" s="66">
        <v>1.0</v>
      </c>
      <c r="O151" s="66">
        <v>0.0</v>
      </c>
      <c r="P151" s="66">
        <v>1.0</v>
      </c>
      <c r="Q151" s="66">
        <v>1.0</v>
      </c>
      <c r="R151" s="13"/>
      <c r="S151" s="66">
        <v>1.0</v>
      </c>
      <c r="T151" s="13"/>
      <c r="U151" s="66">
        <v>0.0</v>
      </c>
      <c r="V151" s="66">
        <v>0.0</v>
      </c>
      <c r="W151" s="66">
        <v>1.0</v>
      </c>
      <c r="X151" s="66">
        <v>2.0</v>
      </c>
      <c r="Y151" s="66">
        <v>0.0</v>
      </c>
      <c r="Z151" s="66">
        <v>1.0</v>
      </c>
      <c r="AA151" s="66">
        <v>0.0</v>
      </c>
      <c r="AB151" s="66">
        <v>1.0</v>
      </c>
      <c r="AC151" s="66">
        <v>0.0</v>
      </c>
      <c r="AD151" s="66">
        <v>3.0</v>
      </c>
      <c r="AE151" s="13"/>
      <c r="AF151" s="6">
        <f t="shared" ref="AF151:AF153" si="42">SUM(E151:AE151)</f>
        <v>15</v>
      </c>
    </row>
    <row r="152" ht="12.75" customHeight="1">
      <c r="A152" s="32" t="s">
        <v>38</v>
      </c>
      <c r="B152" s="51"/>
      <c r="C152" s="52" t="s">
        <v>127</v>
      </c>
      <c r="D152" s="53"/>
      <c r="E152" s="66">
        <v>1.0</v>
      </c>
      <c r="F152" s="66">
        <v>0.0</v>
      </c>
      <c r="G152" s="13"/>
      <c r="H152" s="66">
        <v>1.0</v>
      </c>
      <c r="I152" s="66">
        <v>0.0</v>
      </c>
      <c r="J152" s="66">
        <v>0.0</v>
      </c>
      <c r="K152" s="66">
        <v>0.0</v>
      </c>
      <c r="L152" s="66">
        <v>1.0</v>
      </c>
      <c r="M152" s="66">
        <v>3.0</v>
      </c>
      <c r="N152" s="66">
        <v>1.0</v>
      </c>
      <c r="O152" s="66">
        <v>0.0</v>
      </c>
      <c r="P152" s="66">
        <v>1.0</v>
      </c>
      <c r="Q152" s="66">
        <v>1.0</v>
      </c>
      <c r="R152" s="66">
        <v>1.0</v>
      </c>
      <c r="S152" s="66">
        <v>0.0</v>
      </c>
      <c r="T152" s="13"/>
      <c r="U152" s="66">
        <v>0.0</v>
      </c>
      <c r="V152" s="66">
        <v>1.0</v>
      </c>
      <c r="W152" s="66">
        <v>0.0</v>
      </c>
      <c r="X152" s="66">
        <v>0.0</v>
      </c>
      <c r="Y152" s="66">
        <v>2.0</v>
      </c>
      <c r="Z152" s="66">
        <v>1.0</v>
      </c>
      <c r="AA152" s="66">
        <v>0.0</v>
      </c>
      <c r="AB152" s="66">
        <v>0.0</v>
      </c>
      <c r="AC152" s="66">
        <v>0.0</v>
      </c>
      <c r="AD152" s="66">
        <v>2.0</v>
      </c>
      <c r="AE152" s="66">
        <v>2.0</v>
      </c>
      <c r="AF152" s="6">
        <f t="shared" si="42"/>
        <v>18</v>
      </c>
    </row>
    <row r="153" ht="12.75" customHeight="1">
      <c r="A153" s="13" t="s">
        <v>14</v>
      </c>
      <c r="B153" s="49" t="s">
        <v>45</v>
      </c>
      <c r="C153" s="8"/>
      <c r="D153" s="9"/>
      <c r="E153" s="54">
        <f t="shared" ref="E153:AE153" si="43">SUM(E151:E152)</f>
        <v>1</v>
      </c>
      <c r="F153" s="54">
        <f t="shared" si="43"/>
        <v>1</v>
      </c>
      <c r="G153" s="54">
        <f t="shared" si="43"/>
        <v>0</v>
      </c>
      <c r="H153" s="54">
        <f t="shared" si="43"/>
        <v>1</v>
      </c>
      <c r="I153" s="54">
        <f t="shared" si="43"/>
        <v>1</v>
      </c>
      <c r="J153" s="54">
        <f t="shared" si="43"/>
        <v>1</v>
      </c>
      <c r="K153" s="54">
        <f t="shared" si="43"/>
        <v>0</v>
      </c>
      <c r="L153" s="54">
        <f t="shared" si="43"/>
        <v>1</v>
      </c>
      <c r="M153" s="54">
        <f t="shared" si="43"/>
        <v>3</v>
      </c>
      <c r="N153" s="54">
        <f t="shared" si="43"/>
        <v>2</v>
      </c>
      <c r="O153" s="54">
        <f t="shared" si="43"/>
        <v>0</v>
      </c>
      <c r="P153" s="54">
        <f t="shared" si="43"/>
        <v>2</v>
      </c>
      <c r="Q153" s="54">
        <f t="shared" si="43"/>
        <v>2</v>
      </c>
      <c r="R153" s="54">
        <f t="shared" si="43"/>
        <v>1</v>
      </c>
      <c r="S153" s="54">
        <f t="shared" si="43"/>
        <v>1</v>
      </c>
      <c r="T153" s="54">
        <f t="shared" si="43"/>
        <v>0</v>
      </c>
      <c r="U153" s="54">
        <f t="shared" si="43"/>
        <v>0</v>
      </c>
      <c r="V153" s="54">
        <f t="shared" si="43"/>
        <v>1</v>
      </c>
      <c r="W153" s="54">
        <f t="shared" si="43"/>
        <v>1</v>
      </c>
      <c r="X153" s="54">
        <f t="shared" si="43"/>
        <v>2</v>
      </c>
      <c r="Y153" s="54">
        <f t="shared" si="43"/>
        <v>2</v>
      </c>
      <c r="Z153" s="54">
        <f t="shared" si="43"/>
        <v>2</v>
      </c>
      <c r="AA153" s="54">
        <f t="shared" si="43"/>
        <v>0</v>
      </c>
      <c r="AB153" s="54">
        <f t="shared" si="43"/>
        <v>1</v>
      </c>
      <c r="AC153" s="54">
        <f t="shared" si="43"/>
        <v>0</v>
      </c>
      <c r="AD153" s="54">
        <f t="shared" si="43"/>
        <v>5</v>
      </c>
      <c r="AE153" s="54">
        <f t="shared" si="43"/>
        <v>2</v>
      </c>
      <c r="AF153" s="6">
        <f t="shared" si="42"/>
        <v>33</v>
      </c>
    </row>
    <row r="154" ht="12.75" customHeight="1">
      <c r="A154" s="55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6"/>
    </row>
    <row r="155" ht="12.75" customHeight="1">
      <c r="A155" s="32" t="s">
        <v>36</v>
      </c>
      <c r="B155" s="49" t="s">
        <v>128</v>
      </c>
      <c r="C155" s="50" t="s">
        <v>129</v>
      </c>
      <c r="D155" s="9"/>
      <c r="E155" s="13"/>
      <c r="F155" s="66">
        <v>0.0</v>
      </c>
      <c r="G155" s="13"/>
      <c r="H155" s="66">
        <v>0.0</v>
      </c>
      <c r="I155" s="66">
        <v>0.0</v>
      </c>
      <c r="J155" s="66">
        <v>0.0</v>
      </c>
      <c r="K155" s="66">
        <v>0.0</v>
      </c>
      <c r="L155" s="66">
        <v>0.0</v>
      </c>
      <c r="M155" s="66">
        <v>0.0</v>
      </c>
      <c r="N155" s="66">
        <v>0.0</v>
      </c>
      <c r="O155" s="66">
        <v>0.0</v>
      </c>
      <c r="P155" s="66">
        <v>0.0</v>
      </c>
      <c r="Q155" s="66">
        <v>0.0</v>
      </c>
      <c r="R155" s="66">
        <v>0.0</v>
      </c>
      <c r="S155" s="66">
        <v>0.0</v>
      </c>
      <c r="T155" s="13"/>
      <c r="U155" s="66">
        <v>0.0</v>
      </c>
      <c r="V155" s="66">
        <v>0.0</v>
      </c>
      <c r="W155" s="66">
        <v>0.0</v>
      </c>
      <c r="X155" s="66">
        <v>1.0</v>
      </c>
      <c r="Y155" s="66">
        <v>0.0</v>
      </c>
      <c r="Z155" s="13"/>
      <c r="AA155" s="66">
        <v>0.0</v>
      </c>
      <c r="AB155" s="66">
        <v>0.0</v>
      </c>
      <c r="AC155" s="66">
        <v>0.0</v>
      </c>
      <c r="AD155" s="66">
        <v>0.0</v>
      </c>
      <c r="AE155" s="13"/>
      <c r="AF155" s="6">
        <f t="shared" ref="AF155:AF159" si="44">SUM(E155:AE155)</f>
        <v>1</v>
      </c>
    </row>
    <row r="156" ht="12.75" customHeight="1">
      <c r="A156" s="32"/>
      <c r="B156" s="49"/>
      <c r="C156" s="52" t="s">
        <v>130</v>
      </c>
      <c r="D156" s="61"/>
      <c r="E156" s="13"/>
      <c r="F156" s="66">
        <v>0.0</v>
      </c>
      <c r="G156" s="13"/>
      <c r="H156" s="66">
        <v>0.0</v>
      </c>
      <c r="I156" s="66">
        <v>0.0</v>
      </c>
      <c r="J156" s="66">
        <v>0.0</v>
      </c>
      <c r="K156" s="66">
        <v>0.0</v>
      </c>
      <c r="L156" s="66">
        <v>0.0</v>
      </c>
      <c r="M156" s="13"/>
      <c r="N156" s="66">
        <v>0.0</v>
      </c>
      <c r="O156" s="66">
        <v>2.0</v>
      </c>
      <c r="P156" s="66">
        <v>0.0</v>
      </c>
      <c r="Q156" s="66">
        <v>1.0</v>
      </c>
      <c r="R156" s="66">
        <v>1.0</v>
      </c>
      <c r="S156" s="66">
        <v>0.0</v>
      </c>
      <c r="T156" s="66">
        <v>1.0</v>
      </c>
      <c r="U156" s="66">
        <v>0.0</v>
      </c>
      <c r="V156" s="66">
        <v>0.0</v>
      </c>
      <c r="W156" s="66">
        <v>2.0</v>
      </c>
      <c r="X156" s="66">
        <v>2.0</v>
      </c>
      <c r="Y156" s="66">
        <v>0.0</v>
      </c>
      <c r="Z156" s="13"/>
      <c r="AA156" s="66">
        <v>0.0</v>
      </c>
      <c r="AB156" s="66">
        <v>0.0</v>
      </c>
      <c r="AC156" s="66">
        <v>2.0</v>
      </c>
      <c r="AD156" s="66">
        <v>1.0</v>
      </c>
      <c r="AE156" s="13"/>
      <c r="AF156" s="6">
        <f t="shared" si="44"/>
        <v>12</v>
      </c>
    </row>
    <row r="157" ht="12.75" customHeight="1">
      <c r="A157" s="32"/>
      <c r="B157" s="49"/>
      <c r="C157" s="52" t="s">
        <v>131</v>
      </c>
      <c r="D157" s="61"/>
      <c r="E157" s="13"/>
      <c r="F157" s="66">
        <v>0.0</v>
      </c>
      <c r="G157" s="13"/>
      <c r="H157" s="66">
        <v>0.0</v>
      </c>
      <c r="I157" s="66">
        <v>0.0</v>
      </c>
      <c r="J157" s="66">
        <v>0.0</v>
      </c>
      <c r="K157" s="66">
        <v>0.0</v>
      </c>
      <c r="L157" s="66">
        <v>0.0</v>
      </c>
      <c r="M157" s="13"/>
      <c r="N157" s="66">
        <v>0.0</v>
      </c>
      <c r="O157" s="66">
        <v>0.0</v>
      </c>
      <c r="P157" s="66">
        <v>0.0</v>
      </c>
      <c r="Q157" s="66">
        <v>0.0</v>
      </c>
      <c r="R157" s="66">
        <v>0.0</v>
      </c>
      <c r="S157" s="66">
        <v>0.0</v>
      </c>
      <c r="T157" s="13"/>
      <c r="U157" s="66">
        <v>0.0</v>
      </c>
      <c r="V157" s="66">
        <v>0.0</v>
      </c>
      <c r="W157" s="66">
        <v>1.0</v>
      </c>
      <c r="X157" s="66">
        <v>0.0</v>
      </c>
      <c r="Y157" s="66">
        <v>0.0</v>
      </c>
      <c r="Z157" s="13"/>
      <c r="AA157" s="66">
        <v>0.0</v>
      </c>
      <c r="AB157" s="66">
        <v>0.0</v>
      </c>
      <c r="AC157" s="66">
        <v>0.0</v>
      </c>
      <c r="AD157" s="66">
        <v>0.0</v>
      </c>
      <c r="AE157" s="13"/>
      <c r="AF157" s="6">
        <f t="shared" si="44"/>
        <v>1</v>
      </c>
    </row>
    <row r="158" ht="12.75" customHeight="1">
      <c r="A158" s="32"/>
      <c r="B158" s="49"/>
      <c r="C158" s="52" t="s">
        <v>132</v>
      </c>
      <c r="D158" s="61"/>
      <c r="E158" s="13"/>
      <c r="F158" s="66">
        <v>0.0</v>
      </c>
      <c r="G158" s="13"/>
      <c r="H158" s="66">
        <v>0.0</v>
      </c>
      <c r="I158" s="66">
        <v>0.0</v>
      </c>
      <c r="J158" s="66">
        <v>0.0</v>
      </c>
      <c r="K158" s="66">
        <v>0.0</v>
      </c>
      <c r="L158" s="66">
        <v>0.0</v>
      </c>
      <c r="M158" s="13"/>
      <c r="N158" s="66">
        <v>0.0</v>
      </c>
      <c r="O158" s="66">
        <v>0.0</v>
      </c>
      <c r="P158" s="66">
        <v>0.0</v>
      </c>
      <c r="Q158" s="66">
        <v>0.0</v>
      </c>
      <c r="R158" s="66">
        <v>0.0</v>
      </c>
      <c r="S158" s="66">
        <v>0.0</v>
      </c>
      <c r="T158" s="66">
        <v>1.0</v>
      </c>
      <c r="U158" s="66">
        <v>0.0</v>
      </c>
      <c r="V158" s="66">
        <v>0.0</v>
      </c>
      <c r="W158" s="66">
        <v>0.0</v>
      </c>
      <c r="X158" s="66">
        <v>0.0</v>
      </c>
      <c r="Y158" s="66">
        <v>0.0</v>
      </c>
      <c r="Z158" s="13"/>
      <c r="AA158" s="66">
        <v>0.0</v>
      </c>
      <c r="AB158" s="66">
        <v>0.0</v>
      </c>
      <c r="AC158" s="66">
        <v>0.0</v>
      </c>
      <c r="AD158" s="66">
        <v>0.0</v>
      </c>
      <c r="AE158" s="13"/>
      <c r="AF158" s="6">
        <f t="shared" si="44"/>
        <v>1</v>
      </c>
    </row>
    <row r="159" ht="12.75" customHeight="1">
      <c r="A159" s="13" t="s">
        <v>14</v>
      </c>
      <c r="B159" s="49" t="s">
        <v>45</v>
      </c>
      <c r="C159" s="8"/>
      <c r="D159" s="9"/>
      <c r="E159" s="54">
        <f t="shared" ref="E159:AE159" si="45">SUM(E155:E158)</f>
        <v>0</v>
      </c>
      <c r="F159" s="54">
        <f t="shared" si="45"/>
        <v>0</v>
      </c>
      <c r="G159" s="54">
        <f t="shared" si="45"/>
        <v>0</v>
      </c>
      <c r="H159" s="54">
        <f t="shared" si="45"/>
        <v>0</v>
      </c>
      <c r="I159" s="54">
        <f t="shared" si="45"/>
        <v>0</v>
      </c>
      <c r="J159" s="54">
        <f t="shared" si="45"/>
        <v>0</v>
      </c>
      <c r="K159" s="54">
        <f t="shared" si="45"/>
        <v>0</v>
      </c>
      <c r="L159" s="54">
        <f t="shared" si="45"/>
        <v>0</v>
      </c>
      <c r="M159" s="54">
        <f t="shared" si="45"/>
        <v>0</v>
      </c>
      <c r="N159" s="54">
        <f t="shared" si="45"/>
        <v>0</v>
      </c>
      <c r="O159" s="54">
        <f t="shared" si="45"/>
        <v>2</v>
      </c>
      <c r="P159" s="54">
        <f t="shared" si="45"/>
        <v>0</v>
      </c>
      <c r="Q159" s="54">
        <f t="shared" si="45"/>
        <v>1</v>
      </c>
      <c r="R159" s="54">
        <f t="shared" si="45"/>
        <v>1</v>
      </c>
      <c r="S159" s="54">
        <f t="shared" si="45"/>
        <v>0</v>
      </c>
      <c r="T159" s="54">
        <f t="shared" si="45"/>
        <v>2</v>
      </c>
      <c r="U159" s="54">
        <f t="shared" si="45"/>
        <v>0</v>
      </c>
      <c r="V159" s="54">
        <f t="shared" si="45"/>
        <v>0</v>
      </c>
      <c r="W159" s="54">
        <f t="shared" si="45"/>
        <v>3</v>
      </c>
      <c r="X159" s="54">
        <f t="shared" si="45"/>
        <v>3</v>
      </c>
      <c r="Y159" s="54">
        <f t="shared" si="45"/>
        <v>0</v>
      </c>
      <c r="Z159" s="54">
        <f t="shared" si="45"/>
        <v>0</v>
      </c>
      <c r="AA159" s="54">
        <f t="shared" si="45"/>
        <v>0</v>
      </c>
      <c r="AB159" s="54">
        <f t="shared" si="45"/>
        <v>0</v>
      </c>
      <c r="AC159" s="54">
        <f t="shared" si="45"/>
        <v>2</v>
      </c>
      <c r="AD159" s="54">
        <f t="shared" si="45"/>
        <v>1</v>
      </c>
      <c r="AE159" s="54">
        <f t="shared" si="45"/>
        <v>0</v>
      </c>
      <c r="AF159" s="6">
        <f t="shared" si="44"/>
        <v>15</v>
      </c>
    </row>
    <row r="160" ht="12.75" customHeight="1">
      <c r="A160" s="55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6"/>
    </row>
    <row r="161" ht="12.75" customHeight="1">
      <c r="A161" s="32" t="s">
        <v>36</v>
      </c>
      <c r="B161" s="49" t="s">
        <v>133</v>
      </c>
      <c r="C161" s="50" t="s">
        <v>134</v>
      </c>
      <c r="D161" s="9"/>
      <c r="E161" s="13"/>
      <c r="F161" s="66">
        <v>2.0</v>
      </c>
      <c r="G161" s="13"/>
      <c r="H161" s="66">
        <v>3.0</v>
      </c>
      <c r="I161" s="66">
        <v>0.0</v>
      </c>
      <c r="J161" s="13"/>
      <c r="K161" s="66">
        <v>1.0</v>
      </c>
      <c r="L161" s="66">
        <v>0.0</v>
      </c>
      <c r="M161" s="13"/>
      <c r="N161" s="66">
        <v>1.0</v>
      </c>
      <c r="O161" s="66">
        <v>0.0</v>
      </c>
      <c r="P161" s="66">
        <v>0.0</v>
      </c>
      <c r="Q161" s="66">
        <v>0.0</v>
      </c>
      <c r="R161" s="66">
        <v>0.0</v>
      </c>
      <c r="S161" s="66">
        <v>1.0</v>
      </c>
      <c r="T161" s="13"/>
      <c r="U161" s="66">
        <v>0.0</v>
      </c>
      <c r="V161" s="66">
        <v>4.0</v>
      </c>
      <c r="W161" s="66">
        <v>0.0</v>
      </c>
      <c r="X161" s="66">
        <v>1.0</v>
      </c>
      <c r="Y161" s="66">
        <v>2.0</v>
      </c>
      <c r="Z161" s="13"/>
      <c r="AA161" s="66">
        <v>0.0</v>
      </c>
      <c r="AB161" s="66">
        <v>1.0</v>
      </c>
      <c r="AC161" s="66">
        <v>1.0</v>
      </c>
      <c r="AD161" s="66">
        <v>2.0</v>
      </c>
      <c r="AE161" s="66">
        <v>3.0</v>
      </c>
      <c r="AF161" s="6">
        <f t="shared" ref="AF161:AF168" si="46">SUM(E161:AE161)</f>
        <v>22</v>
      </c>
    </row>
    <row r="162" ht="12.75" customHeight="1">
      <c r="A162" s="32" t="s">
        <v>38</v>
      </c>
      <c r="B162" s="51"/>
      <c r="C162" s="52" t="s">
        <v>135</v>
      </c>
      <c r="D162" s="53"/>
      <c r="E162" s="13"/>
      <c r="F162" s="66">
        <v>0.0</v>
      </c>
      <c r="G162" s="13"/>
      <c r="H162" s="66">
        <v>0.0</v>
      </c>
      <c r="I162" s="66">
        <v>0.0</v>
      </c>
      <c r="J162" s="13"/>
      <c r="K162" s="66">
        <v>0.0</v>
      </c>
      <c r="L162" s="66">
        <v>0.0</v>
      </c>
      <c r="M162" s="13"/>
      <c r="N162" s="66">
        <v>0.0</v>
      </c>
      <c r="O162" s="66">
        <v>0.0</v>
      </c>
      <c r="P162" s="66">
        <v>0.0</v>
      </c>
      <c r="Q162" s="66">
        <v>1.0</v>
      </c>
      <c r="R162" s="66">
        <v>0.0</v>
      </c>
      <c r="S162" s="66">
        <v>1.0</v>
      </c>
      <c r="T162" s="13"/>
      <c r="U162" s="66">
        <v>0.0</v>
      </c>
      <c r="V162" s="66">
        <v>1.0</v>
      </c>
      <c r="W162" s="66">
        <v>4.0</v>
      </c>
      <c r="X162" s="66">
        <v>1.0</v>
      </c>
      <c r="Y162" s="66">
        <v>0.0</v>
      </c>
      <c r="Z162" s="13"/>
      <c r="AA162" s="66">
        <v>0.0</v>
      </c>
      <c r="AB162" s="66">
        <v>0.0</v>
      </c>
      <c r="AC162" s="66">
        <v>0.0</v>
      </c>
      <c r="AD162" s="66">
        <v>0.0</v>
      </c>
      <c r="AE162" s="13"/>
      <c r="AF162" s="6">
        <f t="shared" si="46"/>
        <v>8</v>
      </c>
    </row>
    <row r="163" ht="12.75" customHeight="1">
      <c r="A163" s="18"/>
      <c r="B163" s="51"/>
      <c r="C163" s="52" t="s">
        <v>136</v>
      </c>
      <c r="D163" s="53"/>
      <c r="E163" s="13"/>
      <c r="F163" s="66">
        <v>0.0</v>
      </c>
      <c r="G163" s="13"/>
      <c r="H163" s="66">
        <v>0.0</v>
      </c>
      <c r="I163" s="66">
        <v>0.0</v>
      </c>
      <c r="J163" s="13"/>
      <c r="K163" s="66">
        <v>0.0</v>
      </c>
      <c r="L163" s="66">
        <v>0.0</v>
      </c>
      <c r="M163" s="13"/>
      <c r="N163" s="66">
        <v>0.0</v>
      </c>
      <c r="O163" s="66">
        <v>0.0</v>
      </c>
      <c r="P163" s="66">
        <v>0.0</v>
      </c>
      <c r="Q163" s="66">
        <v>0.0</v>
      </c>
      <c r="R163" s="66">
        <v>0.0</v>
      </c>
      <c r="S163" s="66">
        <v>0.0</v>
      </c>
      <c r="T163" s="13"/>
      <c r="U163" s="66">
        <v>0.0</v>
      </c>
      <c r="V163" s="66">
        <v>0.0</v>
      </c>
      <c r="W163" s="66">
        <v>0.0</v>
      </c>
      <c r="X163" s="66">
        <v>0.0</v>
      </c>
      <c r="Y163" s="66">
        <v>0.0</v>
      </c>
      <c r="Z163" s="13"/>
      <c r="AA163" s="66">
        <v>0.0</v>
      </c>
      <c r="AB163" s="66">
        <v>0.0</v>
      </c>
      <c r="AC163" s="66">
        <v>0.0</v>
      </c>
      <c r="AD163" s="66">
        <v>1.0</v>
      </c>
      <c r="AE163" s="66">
        <v>1.0</v>
      </c>
      <c r="AF163" s="6">
        <f t="shared" si="46"/>
        <v>2</v>
      </c>
    </row>
    <row r="164" ht="12.75" customHeight="1">
      <c r="A164" s="18"/>
      <c r="B164" s="51"/>
      <c r="C164" s="52" t="s">
        <v>137</v>
      </c>
      <c r="D164" s="53"/>
      <c r="E164" s="13"/>
      <c r="F164" s="66">
        <v>0.0</v>
      </c>
      <c r="G164" s="13"/>
      <c r="H164" s="66">
        <v>0.0</v>
      </c>
      <c r="I164" s="66">
        <v>0.0</v>
      </c>
      <c r="J164" s="13"/>
      <c r="K164" s="66">
        <v>0.0</v>
      </c>
      <c r="L164" s="66">
        <v>0.0</v>
      </c>
      <c r="M164" s="13"/>
      <c r="N164" s="66">
        <v>0.0</v>
      </c>
      <c r="O164" s="66">
        <v>0.0</v>
      </c>
      <c r="P164" s="66">
        <v>0.0</v>
      </c>
      <c r="Q164" s="66">
        <v>0.0</v>
      </c>
      <c r="R164" s="66">
        <v>0.0</v>
      </c>
      <c r="S164" s="66">
        <v>0.0</v>
      </c>
      <c r="T164" s="13"/>
      <c r="U164" s="66">
        <v>0.0</v>
      </c>
      <c r="V164" s="66">
        <v>0.0</v>
      </c>
      <c r="W164" s="66">
        <v>1.0</v>
      </c>
      <c r="X164" s="66">
        <v>0.0</v>
      </c>
      <c r="Y164" s="66">
        <v>0.0</v>
      </c>
      <c r="Z164" s="13"/>
      <c r="AA164" s="66">
        <v>0.0</v>
      </c>
      <c r="AB164" s="66">
        <v>0.0</v>
      </c>
      <c r="AC164" s="66">
        <v>0.0</v>
      </c>
      <c r="AD164" s="66">
        <v>0.0</v>
      </c>
      <c r="AE164" s="13"/>
      <c r="AF164" s="6">
        <f t="shared" si="46"/>
        <v>1</v>
      </c>
    </row>
    <row r="165" ht="12.75" customHeight="1">
      <c r="A165" s="18"/>
      <c r="B165" s="51"/>
      <c r="C165" s="52" t="s">
        <v>138</v>
      </c>
      <c r="D165" s="53"/>
      <c r="E165" s="13"/>
      <c r="F165" s="66">
        <v>0.0</v>
      </c>
      <c r="G165" s="13"/>
      <c r="H165" s="66">
        <v>0.0</v>
      </c>
      <c r="I165" s="66">
        <v>0.0</v>
      </c>
      <c r="J165" s="13"/>
      <c r="K165" s="66">
        <v>0.0</v>
      </c>
      <c r="L165" s="66">
        <v>0.0</v>
      </c>
      <c r="M165" s="13"/>
      <c r="N165" s="66">
        <v>0.0</v>
      </c>
      <c r="O165" s="66">
        <v>0.0</v>
      </c>
      <c r="P165" s="66">
        <v>0.0</v>
      </c>
      <c r="Q165" s="66">
        <v>0.0</v>
      </c>
      <c r="R165" s="66">
        <v>0.0</v>
      </c>
      <c r="S165" s="66">
        <v>0.0</v>
      </c>
      <c r="T165" s="13"/>
      <c r="U165" s="66">
        <v>0.0</v>
      </c>
      <c r="V165" s="66">
        <v>0.0</v>
      </c>
      <c r="W165" s="66">
        <v>0.0</v>
      </c>
      <c r="X165" s="66">
        <v>1.0</v>
      </c>
      <c r="Y165" s="66">
        <v>0.0</v>
      </c>
      <c r="Z165" s="13"/>
      <c r="AA165" s="66">
        <v>0.0</v>
      </c>
      <c r="AB165" s="66">
        <v>0.0</v>
      </c>
      <c r="AC165" s="66">
        <v>0.0</v>
      </c>
      <c r="AD165" s="66">
        <v>0.0</v>
      </c>
      <c r="AE165" s="13"/>
      <c r="AF165" s="6">
        <f t="shared" si="46"/>
        <v>1</v>
      </c>
    </row>
    <row r="166" ht="12.75" customHeight="1">
      <c r="A166" s="18"/>
      <c r="B166" s="51"/>
      <c r="C166" s="52" t="s">
        <v>139</v>
      </c>
      <c r="D166" s="53"/>
      <c r="E166" s="13"/>
      <c r="F166" s="66">
        <v>0.0</v>
      </c>
      <c r="G166" s="13"/>
      <c r="H166" s="66">
        <v>0.0</v>
      </c>
      <c r="I166" s="66">
        <v>0.0</v>
      </c>
      <c r="J166" s="13"/>
      <c r="K166" s="66">
        <v>0.0</v>
      </c>
      <c r="L166" s="66">
        <v>0.0</v>
      </c>
      <c r="M166" s="13"/>
      <c r="N166" s="66">
        <v>0.0</v>
      </c>
      <c r="O166" s="66">
        <v>0.0</v>
      </c>
      <c r="P166" s="66">
        <v>0.0</v>
      </c>
      <c r="Q166" s="66">
        <v>0.0</v>
      </c>
      <c r="R166" s="66">
        <v>0.0</v>
      </c>
      <c r="S166" s="66">
        <v>0.0</v>
      </c>
      <c r="T166" s="13"/>
      <c r="U166" s="66">
        <v>0.0</v>
      </c>
      <c r="V166" s="66">
        <v>0.0</v>
      </c>
      <c r="W166" s="66">
        <v>0.0</v>
      </c>
      <c r="X166" s="66">
        <v>0.0</v>
      </c>
      <c r="Y166" s="66">
        <v>0.0</v>
      </c>
      <c r="Z166" s="13"/>
      <c r="AA166" s="66">
        <v>0.0</v>
      </c>
      <c r="AB166" s="66">
        <v>0.0</v>
      </c>
      <c r="AC166" s="66">
        <v>0.0</v>
      </c>
      <c r="AD166" s="66">
        <v>1.0</v>
      </c>
      <c r="AE166" s="13"/>
      <c r="AF166" s="6">
        <f t="shared" si="46"/>
        <v>1</v>
      </c>
    </row>
    <row r="167" ht="12.75" customHeight="1">
      <c r="A167" s="18"/>
      <c r="B167" s="51"/>
      <c r="C167" s="52" t="s">
        <v>140</v>
      </c>
      <c r="D167" s="53"/>
      <c r="E167" s="13"/>
      <c r="F167" s="66">
        <v>0.0</v>
      </c>
      <c r="G167" s="13"/>
      <c r="H167" s="66">
        <v>0.0</v>
      </c>
      <c r="I167" s="66">
        <v>0.0</v>
      </c>
      <c r="J167" s="13"/>
      <c r="K167" s="66">
        <v>0.0</v>
      </c>
      <c r="L167" s="66">
        <v>0.0</v>
      </c>
      <c r="M167" s="13"/>
      <c r="N167" s="66">
        <v>0.0</v>
      </c>
      <c r="O167" s="66">
        <v>0.0</v>
      </c>
      <c r="P167" s="66">
        <v>0.0</v>
      </c>
      <c r="Q167" s="66">
        <v>0.0</v>
      </c>
      <c r="R167" s="66">
        <v>0.0</v>
      </c>
      <c r="S167" s="66">
        <v>0.0</v>
      </c>
      <c r="T167" s="66">
        <v>1.0</v>
      </c>
      <c r="U167" s="66">
        <v>0.0</v>
      </c>
      <c r="V167" s="66">
        <v>0.0</v>
      </c>
      <c r="W167" s="66">
        <v>0.0</v>
      </c>
      <c r="X167" s="66">
        <v>0.0</v>
      </c>
      <c r="Y167" s="66">
        <v>0.0</v>
      </c>
      <c r="Z167" s="13"/>
      <c r="AA167" s="66">
        <v>0.0</v>
      </c>
      <c r="AB167" s="66">
        <v>0.0</v>
      </c>
      <c r="AC167" s="66">
        <v>0.0</v>
      </c>
      <c r="AD167" s="66">
        <v>0.0</v>
      </c>
      <c r="AE167" s="13"/>
      <c r="AF167" s="6">
        <f t="shared" si="46"/>
        <v>1</v>
      </c>
    </row>
    <row r="168" ht="12.75" customHeight="1">
      <c r="A168" s="13" t="s">
        <v>14</v>
      </c>
      <c r="B168" s="49" t="s">
        <v>45</v>
      </c>
      <c r="C168" s="8"/>
      <c r="D168" s="9"/>
      <c r="E168" s="54">
        <f t="shared" ref="E168:AE168" si="47">SUM(E161:E167)</f>
        <v>0</v>
      </c>
      <c r="F168" s="54">
        <f t="shared" si="47"/>
        <v>2</v>
      </c>
      <c r="G168" s="54">
        <f t="shared" si="47"/>
        <v>0</v>
      </c>
      <c r="H168" s="54">
        <f t="shared" si="47"/>
        <v>3</v>
      </c>
      <c r="I168" s="54">
        <f t="shared" si="47"/>
        <v>0</v>
      </c>
      <c r="J168" s="54">
        <f t="shared" si="47"/>
        <v>0</v>
      </c>
      <c r="K168" s="54">
        <f t="shared" si="47"/>
        <v>1</v>
      </c>
      <c r="L168" s="54">
        <f t="shared" si="47"/>
        <v>0</v>
      </c>
      <c r="M168" s="54">
        <f t="shared" si="47"/>
        <v>0</v>
      </c>
      <c r="N168" s="54">
        <f t="shared" si="47"/>
        <v>1</v>
      </c>
      <c r="O168" s="54">
        <f t="shared" si="47"/>
        <v>0</v>
      </c>
      <c r="P168" s="54">
        <f t="shared" si="47"/>
        <v>0</v>
      </c>
      <c r="Q168" s="54">
        <f t="shared" si="47"/>
        <v>1</v>
      </c>
      <c r="R168" s="54">
        <f t="shared" si="47"/>
        <v>0</v>
      </c>
      <c r="S168" s="54">
        <f t="shared" si="47"/>
        <v>2</v>
      </c>
      <c r="T168" s="54">
        <f t="shared" si="47"/>
        <v>1</v>
      </c>
      <c r="U168" s="54">
        <f t="shared" si="47"/>
        <v>0</v>
      </c>
      <c r="V168" s="54">
        <f t="shared" si="47"/>
        <v>5</v>
      </c>
      <c r="W168" s="54">
        <f t="shared" si="47"/>
        <v>5</v>
      </c>
      <c r="X168" s="54">
        <f t="shared" si="47"/>
        <v>3</v>
      </c>
      <c r="Y168" s="54">
        <f t="shared" si="47"/>
        <v>2</v>
      </c>
      <c r="Z168" s="54">
        <f t="shared" si="47"/>
        <v>0</v>
      </c>
      <c r="AA168" s="54">
        <f t="shared" si="47"/>
        <v>0</v>
      </c>
      <c r="AB168" s="54">
        <f t="shared" si="47"/>
        <v>1</v>
      </c>
      <c r="AC168" s="54">
        <f t="shared" si="47"/>
        <v>1</v>
      </c>
      <c r="AD168" s="54">
        <f t="shared" si="47"/>
        <v>4</v>
      </c>
      <c r="AE168" s="54">
        <f t="shared" si="47"/>
        <v>4</v>
      </c>
      <c r="AF168" s="6">
        <f t="shared" si="46"/>
        <v>36</v>
      </c>
    </row>
    <row r="169" ht="12.75" customHeight="1">
      <c r="A169" s="55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6"/>
    </row>
    <row r="170" ht="12.75" customHeight="1">
      <c r="A170" s="32" t="s">
        <v>36</v>
      </c>
      <c r="B170" s="49" t="s">
        <v>141</v>
      </c>
      <c r="C170" s="50" t="s">
        <v>142</v>
      </c>
      <c r="D170" s="9"/>
      <c r="E170" s="13"/>
      <c r="F170" s="66">
        <v>0.0</v>
      </c>
      <c r="G170" s="13"/>
      <c r="H170" s="66">
        <v>1.0</v>
      </c>
      <c r="I170" s="66">
        <v>0.0</v>
      </c>
      <c r="J170" s="66">
        <v>0.0</v>
      </c>
      <c r="K170" s="66">
        <v>0.0</v>
      </c>
      <c r="L170" s="66">
        <v>0.0</v>
      </c>
      <c r="M170" s="13"/>
      <c r="N170" s="66">
        <v>0.0</v>
      </c>
      <c r="O170" s="66">
        <v>0.0</v>
      </c>
      <c r="P170" s="66">
        <v>0.0</v>
      </c>
      <c r="Q170" s="66">
        <v>0.0</v>
      </c>
      <c r="R170" s="66">
        <v>0.0</v>
      </c>
      <c r="S170" s="66">
        <v>1.0</v>
      </c>
      <c r="T170" s="13"/>
      <c r="U170" s="66">
        <v>0.0</v>
      </c>
      <c r="V170" s="66">
        <v>0.0</v>
      </c>
      <c r="W170" s="66">
        <v>0.0</v>
      </c>
      <c r="X170" s="66">
        <v>0.0</v>
      </c>
      <c r="Y170" s="66">
        <v>0.0</v>
      </c>
      <c r="Z170" s="13"/>
      <c r="AA170" s="66">
        <v>0.0</v>
      </c>
      <c r="AB170" s="66">
        <v>1.0</v>
      </c>
      <c r="AC170" s="66">
        <v>0.0</v>
      </c>
      <c r="AD170" s="66">
        <v>1.0</v>
      </c>
      <c r="AE170" s="13"/>
      <c r="AF170" s="6">
        <f t="shared" ref="AF170:AF172" si="48">SUM(E170:AE170)</f>
        <v>4</v>
      </c>
    </row>
    <row r="171" ht="12.75" customHeight="1">
      <c r="A171" s="32" t="s">
        <v>38</v>
      </c>
      <c r="B171" s="51"/>
      <c r="C171" s="52" t="s">
        <v>143</v>
      </c>
      <c r="D171" s="53"/>
      <c r="E171" s="73"/>
      <c r="F171" s="66">
        <v>0.0</v>
      </c>
      <c r="G171" s="13"/>
      <c r="H171" s="66">
        <v>0.0</v>
      </c>
      <c r="I171" s="66">
        <v>0.0</v>
      </c>
      <c r="J171" s="66">
        <v>0.0</v>
      </c>
      <c r="K171" s="66">
        <v>0.0</v>
      </c>
      <c r="L171" s="66">
        <v>0.0</v>
      </c>
      <c r="M171" s="13"/>
      <c r="N171" s="66">
        <v>0.0</v>
      </c>
      <c r="O171" s="66">
        <v>0.0</v>
      </c>
      <c r="P171" s="66">
        <v>0.0</v>
      </c>
      <c r="Q171" s="66">
        <v>0.0</v>
      </c>
      <c r="R171" s="66">
        <v>0.0</v>
      </c>
      <c r="S171" s="66">
        <v>0.0</v>
      </c>
      <c r="T171" s="13"/>
      <c r="U171" s="66">
        <v>0.0</v>
      </c>
      <c r="V171" s="66">
        <v>0.0</v>
      </c>
      <c r="W171" s="66">
        <v>0.0</v>
      </c>
      <c r="X171" s="66">
        <v>0.0</v>
      </c>
      <c r="Y171" s="66">
        <v>0.0</v>
      </c>
      <c r="Z171" s="13"/>
      <c r="AA171" s="66">
        <v>0.0</v>
      </c>
      <c r="AB171" s="66">
        <v>0.0</v>
      </c>
      <c r="AC171" s="66">
        <v>0.0</v>
      </c>
      <c r="AD171" s="66">
        <v>0.0</v>
      </c>
      <c r="AE171" s="13"/>
      <c r="AF171" s="6">
        <f t="shared" si="48"/>
        <v>0</v>
      </c>
    </row>
    <row r="172" ht="12.75" customHeight="1">
      <c r="A172" s="13" t="s">
        <v>14</v>
      </c>
      <c r="B172" s="49" t="s">
        <v>45</v>
      </c>
      <c r="C172" s="8"/>
      <c r="D172" s="9"/>
      <c r="E172" s="54">
        <f t="shared" ref="E172:AE172" si="49">SUM(E170:E171)</f>
        <v>0</v>
      </c>
      <c r="F172" s="54">
        <f t="shared" si="49"/>
        <v>0</v>
      </c>
      <c r="G172" s="54">
        <f t="shared" si="49"/>
        <v>0</v>
      </c>
      <c r="H172" s="54">
        <f t="shared" si="49"/>
        <v>1</v>
      </c>
      <c r="I172" s="54">
        <f t="shared" si="49"/>
        <v>0</v>
      </c>
      <c r="J172" s="54">
        <f t="shared" si="49"/>
        <v>0</v>
      </c>
      <c r="K172" s="54">
        <f t="shared" si="49"/>
        <v>0</v>
      </c>
      <c r="L172" s="54">
        <f t="shared" si="49"/>
        <v>0</v>
      </c>
      <c r="M172" s="54">
        <f t="shared" si="49"/>
        <v>0</v>
      </c>
      <c r="N172" s="54">
        <f t="shared" si="49"/>
        <v>0</v>
      </c>
      <c r="O172" s="54">
        <f t="shared" si="49"/>
        <v>0</v>
      </c>
      <c r="P172" s="54">
        <f t="shared" si="49"/>
        <v>0</v>
      </c>
      <c r="Q172" s="54">
        <f t="shared" si="49"/>
        <v>0</v>
      </c>
      <c r="R172" s="54">
        <f t="shared" si="49"/>
        <v>0</v>
      </c>
      <c r="S172" s="54">
        <f t="shared" si="49"/>
        <v>1</v>
      </c>
      <c r="T172" s="54">
        <f t="shared" si="49"/>
        <v>0</v>
      </c>
      <c r="U172" s="54">
        <f t="shared" si="49"/>
        <v>0</v>
      </c>
      <c r="V172" s="54">
        <f t="shared" si="49"/>
        <v>0</v>
      </c>
      <c r="W172" s="54">
        <f t="shared" si="49"/>
        <v>0</v>
      </c>
      <c r="X172" s="54">
        <f t="shared" si="49"/>
        <v>0</v>
      </c>
      <c r="Y172" s="54">
        <f t="shared" si="49"/>
        <v>0</v>
      </c>
      <c r="Z172" s="54">
        <f t="shared" si="49"/>
        <v>0</v>
      </c>
      <c r="AA172" s="54">
        <f t="shared" si="49"/>
        <v>0</v>
      </c>
      <c r="AB172" s="54">
        <f t="shared" si="49"/>
        <v>1</v>
      </c>
      <c r="AC172" s="54">
        <f t="shared" si="49"/>
        <v>0</v>
      </c>
      <c r="AD172" s="54">
        <f t="shared" si="49"/>
        <v>1</v>
      </c>
      <c r="AE172" s="54">
        <f t="shared" si="49"/>
        <v>0</v>
      </c>
      <c r="AF172" s="6">
        <f t="shared" si="48"/>
        <v>4</v>
      </c>
    </row>
    <row r="173" ht="12.75" customHeight="1">
      <c r="A173" s="47"/>
      <c r="B173" s="46"/>
      <c r="C173" s="46"/>
      <c r="D173" s="27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6"/>
    </row>
    <row r="174" ht="12.75" customHeight="1">
      <c r="A174" s="44" t="s">
        <v>144</v>
      </c>
      <c r="B174" s="7" t="s">
        <v>145</v>
      </c>
      <c r="C174" s="8"/>
      <c r="D174" s="9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6"/>
    </row>
    <row r="175" ht="12.75" customHeight="1">
      <c r="A175" s="44"/>
      <c r="B175" s="62" t="s">
        <v>146</v>
      </c>
      <c r="C175" s="63" t="s">
        <v>147</v>
      </c>
      <c r="D175" s="9"/>
      <c r="E175" s="13">
        <f t="shared" ref="E175:AE175" si="50">E52+E61+E70+E79+E88+E92+E98+E107+E111+E120+E124+E131+E140+E149+E153+E159+E168+E172</f>
        <v>170</v>
      </c>
      <c r="F175" s="13">
        <f t="shared" si="50"/>
        <v>187</v>
      </c>
      <c r="G175" s="13">
        <f t="shared" si="50"/>
        <v>144</v>
      </c>
      <c r="H175" s="13">
        <f t="shared" si="50"/>
        <v>169</v>
      </c>
      <c r="I175" s="13">
        <f t="shared" si="50"/>
        <v>200</v>
      </c>
      <c r="J175" s="13">
        <f t="shared" si="50"/>
        <v>185</v>
      </c>
      <c r="K175" s="13">
        <f t="shared" si="50"/>
        <v>189</v>
      </c>
      <c r="L175" s="13">
        <f t="shared" si="50"/>
        <v>130</v>
      </c>
      <c r="M175" s="13">
        <f t="shared" si="50"/>
        <v>122</v>
      </c>
      <c r="N175" s="13">
        <f t="shared" si="50"/>
        <v>173</v>
      </c>
      <c r="O175" s="13">
        <f t="shared" si="50"/>
        <v>202</v>
      </c>
      <c r="P175" s="13">
        <f t="shared" si="50"/>
        <v>208</v>
      </c>
      <c r="Q175" s="13">
        <f t="shared" si="50"/>
        <v>202</v>
      </c>
      <c r="R175" s="13">
        <f t="shared" si="50"/>
        <v>214</v>
      </c>
      <c r="S175" s="13">
        <f t="shared" si="50"/>
        <v>200</v>
      </c>
      <c r="T175" s="13">
        <f t="shared" si="50"/>
        <v>148</v>
      </c>
      <c r="U175" s="13">
        <f t="shared" si="50"/>
        <v>184</v>
      </c>
      <c r="V175" s="13">
        <f t="shared" si="50"/>
        <v>233</v>
      </c>
      <c r="W175" s="13">
        <f t="shared" si="50"/>
        <v>239</v>
      </c>
      <c r="X175" s="13">
        <f t="shared" si="50"/>
        <v>194</v>
      </c>
      <c r="Y175" s="13">
        <f t="shared" si="50"/>
        <v>208</v>
      </c>
      <c r="Z175" s="13">
        <f t="shared" si="50"/>
        <v>208</v>
      </c>
      <c r="AA175" s="13">
        <f t="shared" si="50"/>
        <v>177</v>
      </c>
      <c r="AB175" s="13">
        <f t="shared" si="50"/>
        <v>206</v>
      </c>
      <c r="AC175" s="13">
        <f t="shared" si="50"/>
        <v>217</v>
      </c>
      <c r="AD175" s="13">
        <f t="shared" si="50"/>
        <v>248</v>
      </c>
      <c r="AE175" s="13">
        <f t="shared" si="50"/>
        <v>228</v>
      </c>
      <c r="AF175" s="6">
        <f t="shared" ref="AF175:AF177" si="51">SUM(E175:AE175)</f>
        <v>5185</v>
      </c>
    </row>
    <row r="176" ht="12.75" customHeight="1">
      <c r="A176" s="37"/>
      <c r="B176" s="62" t="s">
        <v>148</v>
      </c>
      <c r="C176" s="63" t="s">
        <v>149</v>
      </c>
      <c r="D176" s="9"/>
      <c r="E176" s="72">
        <v>15.0</v>
      </c>
      <c r="F176" s="72">
        <v>16.0</v>
      </c>
      <c r="G176" s="72">
        <v>12.0</v>
      </c>
      <c r="H176" s="72">
        <v>6.0</v>
      </c>
      <c r="I176" s="72">
        <v>9.0</v>
      </c>
      <c r="J176" s="72">
        <v>14.0</v>
      </c>
      <c r="K176" s="72">
        <v>23.0</v>
      </c>
      <c r="L176" s="72">
        <v>4.0</v>
      </c>
      <c r="M176" s="72">
        <v>5.0</v>
      </c>
      <c r="N176" s="72">
        <v>8.0</v>
      </c>
      <c r="O176" s="72">
        <v>15.0</v>
      </c>
      <c r="P176" s="72">
        <v>12.0</v>
      </c>
      <c r="Q176" s="72">
        <v>11.0</v>
      </c>
      <c r="R176" s="72">
        <v>8.0</v>
      </c>
      <c r="S176" s="72">
        <v>16.0</v>
      </c>
      <c r="T176" s="72">
        <v>10.0</v>
      </c>
      <c r="U176" s="72">
        <v>16.0</v>
      </c>
      <c r="V176" s="72">
        <v>6.0</v>
      </c>
      <c r="W176" s="72">
        <v>10.0</v>
      </c>
      <c r="X176" s="72">
        <v>12.0</v>
      </c>
      <c r="Y176" s="72">
        <v>9.0</v>
      </c>
      <c r="Z176" s="72">
        <v>7.0</v>
      </c>
      <c r="AA176" s="72">
        <v>14.0</v>
      </c>
      <c r="AB176" s="72">
        <v>13.0</v>
      </c>
      <c r="AC176" s="72">
        <v>12.0</v>
      </c>
      <c r="AD176" s="72">
        <v>11.0</v>
      </c>
      <c r="AE176" s="72">
        <v>11.0</v>
      </c>
      <c r="AF176" s="6">
        <f t="shared" si="51"/>
        <v>305</v>
      </c>
    </row>
    <row r="177" ht="12.75" customHeight="1">
      <c r="A177" s="42"/>
      <c r="B177" s="62" t="s">
        <v>150</v>
      </c>
      <c r="C177" s="63" t="s">
        <v>151</v>
      </c>
      <c r="D177" s="9"/>
      <c r="E177" s="28">
        <f t="shared" ref="E177:AE177" si="52">SUM(E175:E176)</f>
        <v>185</v>
      </c>
      <c r="F177" s="28">
        <f t="shared" si="52"/>
        <v>203</v>
      </c>
      <c r="G177" s="28">
        <f t="shared" si="52"/>
        <v>156</v>
      </c>
      <c r="H177" s="28">
        <f t="shared" si="52"/>
        <v>175</v>
      </c>
      <c r="I177" s="28">
        <f t="shared" si="52"/>
        <v>209</v>
      </c>
      <c r="J177" s="28">
        <f t="shared" si="52"/>
        <v>199</v>
      </c>
      <c r="K177" s="28">
        <f t="shared" si="52"/>
        <v>212</v>
      </c>
      <c r="L177" s="28">
        <f t="shared" si="52"/>
        <v>134</v>
      </c>
      <c r="M177" s="28">
        <f t="shared" si="52"/>
        <v>127</v>
      </c>
      <c r="N177" s="28">
        <f t="shared" si="52"/>
        <v>181</v>
      </c>
      <c r="O177" s="28">
        <f t="shared" si="52"/>
        <v>217</v>
      </c>
      <c r="P177" s="28">
        <f t="shared" si="52"/>
        <v>220</v>
      </c>
      <c r="Q177" s="28">
        <f t="shared" si="52"/>
        <v>213</v>
      </c>
      <c r="R177" s="28">
        <f t="shared" si="52"/>
        <v>222</v>
      </c>
      <c r="S177" s="28">
        <f t="shared" si="52"/>
        <v>216</v>
      </c>
      <c r="T177" s="28">
        <f t="shared" si="52"/>
        <v>158</v>
      </c>
      <c r="U177" s="28">
        <f t="shared" si="52"/>
        <v>200</v>
      </c>
      <c r="V177" s="28">
        <f t="shared" si="52"/>
        <v>239</v>
      </c>
      <c r="W177" s="28">
        <f t="shared" si="52"/>
        <v>249</v>
      </c>
      <c r="X177" s="28">
        <f t="shared" si="52"/>
        <v>206</v>
      </c>
      <c r="Y177" s="28">
        <f t="shared" si="52"/>
        <v>217</v>
      </c>
      <c r="Z177" s="28">
        <f t="shared" si="52"/>
        <v>215</v>
      </c>
      <c r="AA177" s="28">
        <f t="shared" si="52"/>
        <v>191</v>
      </c>
      <c r="AB177" s="28">
        <f t="shared" si="52"/>
        <v>219</v>
      </c>
      <c r="AC177" s="28">
        <f t="shared" si="52"/>
        <v>229</v>
      </c>
      <c r="AD177" s="28">
        <f t="shared" si="52"/>
        <v>259</v>
      </c>
      <c r="AE177" s="28">
        <f t="shared" si="52"/>
        <v>239</v>
      </c>
      <c r="AF177" s="6">
        <f t="shared" si="51"/>
        <v>5490</v>
      </c>
    </row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1">
    <mergeCell ref="C100:D100"/>
    <mergeCell ref="B107:D107"/>
    <mergeCell ref="C109:D109"/>
    <mergeCell ref="B111:D111"/>
    <mergeCell ref="C113:D113"/>
    <mergeCell ref="B120:D120"/>
    <mergeCell ref="C122:D122"/>
    <mergeCell ref="B124:D124"/>
    <mergeCell ref="C126:D126"/>
    <mergeCell ref="B131:D131"/>
    <mergeCell ref="C133:D133"/>
    <mergeCell ref="B140:D140"/>
    <mergeCell ref="C142:D142"/>
    <mergeCell ref="B149:D149"/>
    <mergeCell ref="B172:D172"/>
    <mergeCell ref="A173:D173"/>
    <mergeCell ref="B174:D174"/>
    <mergeCell ref="C175:D175"/>
    <mergeCell ref="C176:D176"/>
    <mergeCell ref="C177:D177"/>
    <mergeCell ref="C151:D151"/>
    <mergeCell ref="B153:D153"/>
    <mergeCell ref="C155:D155"/>
    <mergeCell ref="B159:D159"/>
    <mergeCell ref="C161:D161"/>
    <mergeCell ref="B168:D168"/>
    <mergeCell ref="C170:D170"/>
    <mergeCell ref="B12:D12"/>
    <mergeCell ref="AF12:AF13"/>
    <mergeCell ref="B13:D13"/>
    <mergeCell ref="B14:C16"/>
    <mergeCell ref="A17:D17"/>
    <mergeCell ref="B18:D18"/>
    <mergeCell ref="E12:AE12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B52:D52"/>
    <mergeCell ref="C54:D54"/>
    <mergeCell ref="B61:D61"/>
    <mergeCell ref="C63:D63"/>
    <mergeCell ref="B70:D70"/>
    <mergeCell ref="C72:D72"/>
    <mergeCell ref="B79:D79"/>
    <mergeCell ref="C81:D81"/>
    <mergeCell ref="B88:D88"/>
    <mergeCell ref="C90:D90"/>
    <mergeCell ref="C91:D91"/>
    <mergeCell ref="B92:D92"/>
    <mergeCell ref="C94:D94"/>
    <mergeCell ref="B98:D98"/>
  </mergeCells>
  <conditionalFormatting sqref="E90:AE91 E109:AE110 E122:AE123">
    <cfRule type="containsBlanks" dxfId="1" priority="1">
      <formula>LEN(TRIM(E90))=0</formula>
    </cfRule>
  </conditionalFormatting>
  <conditionalFormatting sqref="E34:AE34">
    <cfRule type="expression" dxfId="2" priority="2">
      <formula>E30&lt;&gt;E34</formula>
    </cfRule>
  </conditionalFormatting>
  <conditionalFormatting sqref="E22:AE23 E25:AE26 E33:AE35 E39:AE40 E45:AE51 E54:AE60 E63:AE69 E72:AE78 E81:AE87 E94:AE97 E100:AE106 E113:AE119 E126:AE130 E133:AE139 E142:AE148 E151:AE152 E155:AE158 E161:AE167 E170:AE171">
    <cfRule type="containsBlanks" dxfId="3" priority="3">
      <formula>LEN(TRIM(E22))=0</formula>
    </cfRule>
  </conditionalFormatting>
  <conditionalFormatting sqref="E30:T30">
    <cfRule type="expression" dxfId="0" priority="4">
      <formula>E30&lt;&gt;E62</formula>
    </cfRule>
  </conditionalFormatting>
  <conditionalFormatting sqref="E14:AE15">
    <cfRule type="containsBlanks" dxfId="4" priority="5">
      <formula>LEN(TRIM(E14))=0</formula>
    </cfRule>
  </conditionalFormatting>
  <conditionalFormatting sqref="E19:AE20">
    <cfRule type="containsBlanks" dxfId="4" priority="6">
      <formula>LEN(TRIM(E19))=0</formula>
    </cfRule>
  </conditionalFormatting>
  <conditionalFormatting sqref="E22:AE23 E25:AE26 E33:AE33 E35:AE35 E39:AE40">
    <cfRule type="containsBlanks" dxfId="4" priority="7">
      <formula>LEN(TRIM(E22))=0</formula>
    </cfRule>
  </conditionalFormatting>
  <conditionalFormatting sqref="E30:AE30">
    <cfRule type="expression" dxfId="0" priority="8">
      <formula>E30&lt;&gt;E34</formula>
    </cfRule>
  </conditionalFormatting>
  <conditionalFormatting sqref="E34:AE34">
    <cfRule type="expression" dxfId="2" priority="9">
      <formula>E30&lt;&gt;E34</formula>
    </cfRule>
  </conditionalFormatting>
  <conditionalFormatting sqref="U30:AE30">
    <cfRule type="expression" dxfId="0" priority="10">
      <formula>U30&lt;&gt;U47</formula>
    </cfRule>
  </conditionalFormatting>
  <conditionalFormatting sqref="E177:AE177">
    <cfRule type="expression" dxfId="0" priority="11">
      <formula>E177&lt;&gt;E30</formula>
    </cfRule>
  </conditionalFormatting>
  <conditionalFormatting sqref="E177:AE177">
    <cfRule type="expression" dxfId="0" priority="12">
      <formula>E177&lt;&gt;E34</formula>
    </cfRule>
  </conditionalFormatting>
  <conditionalFormatting sqref="E45:AE51">
    <cfRule type="containsBlanks" dxfId="4" priority="13">
      <formula>LEN(TRIM(E45))=0</formula>
    </cfRule>
  </conditionalFormatting>
  <conditionalFormatting sqref="E54:AE60">
    <cfRule type="containsBlanks" dxfId="4" priority="14">
      <formula>LEN(TRIM(E54))=0</formula>
    </cfRule>
  </conditionalFormatting>
  <conditionalFormatting sqref="E63:AE69">
    <cfRule type="containsBlanks" dxfId="4" priority="15">
      <formula>LEN(TRIM(E63))=0</formula>
    </cfRule>
  </conditionalFormatting>
  <conditionalFormatting sqref="E72:AE78">
    <cfRule type="containsBlanks" dxfId="4" priority="16">
      <formula>LEN(TRIM(E72))=0</formula>
    </cfRule>
  </conditionalFormatting>
  <conditionalFormatting sqref="E81:AE87">
    <cfRule type="containsBlanks" dxfId="4" priority="17">
      <formula>LEN(TRIM(E81))=0</formula>
    </cfRule>
  </conditionalFormatting>
  <conditionalFormatting sqref="E100:AE106">
    <cfRule type="containsBlanks" dxfId="4" priority="18">
      <formula>LEN(TRIM(E100))=0</formula>
    </cfRule>
  </conditionalFormatting>
  <conditionalFormatting sqref="E90:AE91">
    <cfRule type="containsBlanks" dxfId="4" priority="19">
      <formula>LEN(TRIM(E90))=0</formula>
    </cfRule>
  </conditionalFormatting>
  <conditionalFormatting sqref="E94:AE95">
    <cfRule type="containsBlanks" dxfId="4" priority="20">
      <formula>LEN(TRIM(E94))=0</formula>
    </cfRule>
  </conditionalFormatting>
  <conditionalFormatting sqref="E96:AE97">
    <cfRule type="containsBlanks" dxfId="4" priority="21">
      <formula>LEN(TRIM(E96))=0</formula>
    </cfRule>
  </conditionalFormatting>
  <conditionalFormatting sqref="E109:AE110">
    <cfRule type="containsBlanks" dxfId="4" priority="22">
      <formula>LEN(TRIM(E109))=0</formula>
    </cfRule>
  </conditionalFormatting>
  <conditionalFormatting sqref="E113:AE119">
    <cfRule type="containsBlanks" dxfId="4" priority="23">
      <formula>LEN(TRIM(E113))=0</formula>
    </cfRule>
  </conditionalFormatting>
  <conditionalFormatting sqref="E133:AE139">
    <cfRule type="containsBlanks" dxfId="4" priority="24">
      <formula>LEN(TRIM(E133))=0</formula>
    </cfRule>
  </conditionalFormatting>
  <conditionalFormatting sqref="E122:AE123">
    <cfRule type="containsBlanks" dxfId="4" priority="25">
      <formula>LEN(TRIM(E122))=0</formula>
    </cfRule>
  </conditionalFormatting>
  <conditionalFormatting sqref="E126:AE130">
    <cfRule type="containsBlanks" dxfId="4" priority="26">
      <formula>LEN(TRIM(E126))=0</formula>
    </cfRule>
  </conditionalFormatting>
  <conditionalFormatting sqref="E142:AE148">
    <cfRule type="containsBlanks" dxfId="4" priority="27">
      <formula>LEN(TRIM(E142))=0</formula>
    </cfRule>
  </conditionalFormatting>
  <conditionalFormatting sqref="E152:AE152">
    <cfRule type="containsBlanks" dxfId="4" priority="28">
      <formula>LEN(TRIM(E152))=0</formula>
    </cfRule>
  </conditionalFormatting>
  <conditionalFormatting sqref="E151:AE151">
    <cfRule type="containsBlanks" dxfId="4" priority="29">
      <formula>LEN(TRIM(E151))=0</formula>
    </cfRule>
  </conditionalFormatting>
  <conditionalFormatting sqref="E155:AE158">
    <cfRule type="containsBlanks" dxfId="4" priority="30">
      <formula>LEN(TRIM(E155))=0</formula>
    </cfRule>
  </conditionalFormatting>
  <conditionalFormatting sqref="E161:AE163">
    <cfRule type="containsBlanks" dxfId="4" priority="31">
      <formula>LEN(TRIM(E161))=0</formula>
    </cfRule>
  </conditionalFormatting>
  <conditionalFormatting sqref="E164:AE167">
    <cfRule type="containsBlanks" dxfId="4" priority="32">
      <formula>LEN(TRIM(E164))=0</formula>
    </cfRule>
  </conditionalFormatting>
  <conditionalFormatting sqref="E170:AE170">
    <cfRule type="containsBlanks" dxfId="4" priority="33">
      <formula>LEN(TRIM(E170))=0</formula>
    </cfRule>
  </conditionalFormatting>
  <conditionalFormatting sqref="E171:AE171">
    <cfRule type="containsBlanks" dxfId="4" priority="34">
      <formula>LEN(TRIM(E171))=0</formula>
    </cfRule>
  </conditionalFormatting>
  <conditionalFormatting sqref="E175:AE175">
    <cfRule type="containsBlanks" dxfId="4" priority="35">
      <formula>LEN(TRIM(E175))=0</formula>
    </cfRule>
  </conditionalFormatting>
  <conditionalFormatting sqref="E34:AE34">
    <cfRule type="expression" dxfId="5" priority="36">
      <formula>E34=E30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3" width="8.71"/>
    <col customWidth="1" min="24" max="24" width="11.86"/>
  </cols>
  <sheetData>
    <row r="1" ht="12.75" customHeight="1"/>
    <row r="2" ht="12.75" customHeight="1">
      <c r="C2" s="1" t="s">
        <v>0</v>
      </c>
      <c r="D2" s="1"/>
    </row>
    <row r="3" ht="12.75" customHeight="1">
      <c r="C3" s="1" t="s">
        <v>1</v>
      </c>
      <c r="D3" s="1" t="s">
        <v>2</v>
      </c>
    </row>
    <row r="4" ht="12.75" customHeight="1">
      <c r="C4" s="1" t="s">
        <v>3</v>
      </c>
      <c r="D4" s="1" t="s">
        <v>4</v>
      </c>
    </row>
    <row r="5" ht="12.75" customHeight="1">
      <c r="C5" s="1"/>
      <c r="D5" s="1"/>
    </row>
    <row r="6" ht="12.75" customHeight="1">
      <c r="C6" s="1"/>
      <c r="D6" s="1"/>
    </row>
    <row r="7" ht="12.75" customHeight="1">
      <c r="C7" s="1"/>
      <c r="D7" s="1"/>
    </row>
    <row r="8" ht="12.75" customHeight="1">
      <c r="C8" s="1"/>
      <c r="D8" s="1"/>
    </row>
    <row r="9" ht="12.75" customHeight="1">
      <c r="C9" s="1" t="s">
        <v>152</v>
      </c>
      <c r="D9" s="1"/>
    </row>
    <row r="10" ht="12.75" customHeight="1"/>
    <row r="11" ht="12.75" customHeight="1"/>
    <row r="12" ht="12.75" customHeight="1">
      <c r="A12" s="6" t="s">
        <v>5</v>
      </c>
      <c r="B12" s="7" t="s">
        <v>6</v>
      </c>
      <c r="C12" s="8"/>
      <c r="D12" s="8"/>
      <c r="E12" s="2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9"/>
      <c r="X12" s="39" t="s">
        <v>7</v>
      </c>
    </row>
    <row r="13" ht="12.75" customHeight="1">
      <c r="A13" s="13" t="s">
        <v>8</v>
      </c>
      <c r="B13" s="14" t="s">
        <v>9</v>
      </c>
      <c r="C13" s="8"/>
      <c r="D13" s="9"/>
      <c r="E13" s="42" t="s">
        <v>153</v>
      </c>
      <c r="F13" s="42" t="s">
        <v>154</v>
      </c>
      <c r="G13" s="42" t="s">
        <v>155</v>
      </c>
      <c r="H13" s="42" t="s">
        <v>156</v>
      </c>
      <c r="I13" s="42" t="s">
        <v>157</v>
      </c>
      <c r="J13" s="42" t="s">
        <v>158</v>
      </c>
      <c r="K13" s="42" t="s">
        <v>159</v>
      </c>
      <c r="L13" s="42" t="s">
        <v>160</v>
      </c>
      <c r="M13" s="42" t="s">
        <v>161</v>
      </c>
      <c r="N13" s="42" t="s">
        <v>162</v>
      </c>
      <c r="O13" s="42" t="s">
        <v>163</v>
      </c>
      <c r="P13" s="42" t="s">
        <v>164</v>
      </c>
      <c r="Q13" s="42" t="s">
        <v>165</v>
      </c>
      <c r="R13" s="42" t="s">
        <v>166</v>
      </c>
      <c r="S13" s="42" t="s">
        <v>167</v>
      </c>
      <c r="T13" s="42" t="s">
        <v>168</v>
      </c>
      <c r="U13" s="42" t="s">
        <v>169</v>
      </c>
      <c r="V13" s="42" t="s">
        <v>170</v>
      </c>
      <c r="W13" s="42" t="s">
        <v>171</v>
      </c>
      <c r="X13" s="27"/>
    </row>
    <row r="14" ht="12.75" customHeight="1">
      <c r="A14" s="18"/>
      <c r="B14" s="19" t="s">
        <v>10</v>
      </c>
      <c r="C14" s="20"/>
      <c r="D14" s="13" t="s">
        <v>11</v>
      </c>
      <c r="E14" s="66">
        <v>138.0</v>
      </c>
      <c r="F14" s="66">
        <v>141.0</v>
      </c>
      <c r="G14" s="66">
        <v>136.0</v>
      </c>
      <c r="H14" s="66">
        <v>140.0</v>
      </c>
      <c r="I14" s="66">
        <v>129.0</v>
      </c>
      <c r="J14" s="66">
        <v>138.0</v>
      </c>
      <c r="K14" s="66">
        <v>139.0</v>
      </c>
      <c r="L14" s="66">
        <v>139.0</v>
      </c>
      <c r="M14" s="66">
        <v>137.0</v>
      </c>
      <c r="N14" s="66">
        <v>138.0</v>
      </c>
      <c r="O14" s="66">
        <v>132.0</v>
      </c>
      <c r="P14" s="66">
        <v>140.0</v>
      </c>
      <c r="Q14" s="66">
        <v>134.0</v>
      </c>
      <c r="R14" s="66">
        <v>141.0</v>
      </c>
      <c r="S14" s="66">
        <v>131.0</v>
      </c>
      <c r="T14" s="66">
        <v>125.0</v>
      </c>
      <c r="U14" s="66">
        <v>136.0</v>
      </c>
      <c r="V14" s="66">
        <v>136.0</v>
      </c>
      <c r="W14" s="66">
        <v>141.0</v>
      </c>
      <c r="X14" s="6">
        <f t="shared" ref="X14:X16" si="1">SUM(E14:W14)</f>
        <v>2591</v>
      </c>
    </row>
    <row r="15" ht="12.75" customHeight="1">
      <c r="A15" s="18"/>
      <c r="B15" s="25"/>
      <c r="C15" s="26"/>
      <c r="D15" s="13" t="s">
        <v>12</v>
      </c>
      <c r="E15" s="66">
        <v>128.0</v>
      </c>
      <c r="F15" s="66">
        <v>135.0</v>
      </c>
      <c r="G15" s="66">
        <v>145.0</v>
      </c>
      <c r="H15" s="66">
        <v>126.0</v>
      </c>
      <c r="I15" s="66">
        <v>124.0</v>
      </c>
      <c r="J15" s="66">
        <v>136.0</v>
      </c>
      <c r="K15" s="66">
        <v>142.0</v>
      </c>
      <c r="L15" s="66">
        <v>143.0</v>
      </c>
      <c r="M15" s="66">
        <v>147.0</v>
      </c>
      <c r="N15" s="66">
        <v>137.0</v>
      </c>
      <c r="O15" s="66">
        <v>143.0</v>
      </c>
      <c r="P15" s="66">
        <v>150.0</v>
      </c>
      <c r="Q15" s="66">
        <v>149.0</v>
      </c>
      <c r="R15" s="66">
        <v>145.0</v>
      </c>
      <c r="S15" s="66">
        <v>150.0</v>
      </c>
      <c r="T15" s="66">
        <v>137.0</v>
      </c>
      <c r="U15" s="66">
        <v>141.0</v>
      </c>
      <c r="V15" s="66">
        <v>144.0</v>
      </c>
      <c r="W15" s="66">
        <v>140.0</v>
      </c>
      <c r="X15" s="6">
        <f t="shared" si="1"/>
        <v>2662</v>
      </c>
    </row>
    <row r="16" ht="12.75" customHeight="1">
      <c r="A16" s="16"/>
      <c r="B16" s="15"/>
      <c r="C16" s="27"/>
      <c r="D16" s="6" t="s">
        <v>13</v>
      </c>
      <c r="E16" s="6">
        <f t="shared" ref="E16:W16" si="2">SUM(E14:E15)</f>
        <v>266</v>
      </c>
      <c r="F16" s="6">
        <f t="shared" si="2"/>
        <v>276</v>
      </c>
      <c r="G16" s="6">
        <f t="shared" si="2"/>
        <v>281</v>
      </c>
      <c r="H16" s="6">
        <f t="shared" si="2"/>
        <v>266</v>
      </c>
      <c r="I16" s="6">
        <f t="shared" si="2"/>
        <v>253</v>
      </c>
      <c r="J16" s="6">
        <f t="shared" si="2"/>
        <v>274</v>
      </c>
      <c r="K16" s="6">
        <f t="shared" si="2"/>
        <v>281</v>
      </c>
      <c r="L16" s="6">
        <f t="shared" si="2"/>
        <v>282</v>
      </c>
      <c r="M16" s="6">
        <f t="shared" si="2"/>
        <v>284</v>
      </c>
      <c r="N16" s="6">
        <f t="shared" si="2"/>
        <v>275</v>
      </c>
      <c r="O16" s="6">
        <f t="shared" si="2"/>
        <v>275</v>
      </c>
      <c r="P16" s="6">
        <f t="shared" si="2"/>
        <v>290</v>
      </c>
      <c r="Q16" s="6">
        <f t="shared" si="2"/>
        <v>283</v>
      </c>
      <c r="R16" s="6">
        <f t="shared" si="2"/>
        <v>286</v>
      </c>
      <c r="S16" s="6">
        <f t="shared" si="2"/>
        <v>281</v>
      </c>
      <c r="T16" s="6">
        <f t="shared" si="2"/>
        <v>262</v>
      </c>
      <c r="U16" s="6">
        <f t="shared" si="2"/>
        <v>277</v>
      </c>
      <c r="V16" s="6">
        <f t="shared" si="2"/>
        <v>280</v>
      </c>
      <c r="W16" s="6">
        <f t="shared" si="2"/>
        <v>281</v>
      </c>
      <c r="X16" s="6">
        <f t="shared" si="1"/>
        <v>5253</v>
      </c>
    </row>
    <row r="17" ht="12.75" customHeight="1">
      <c r="A17" s="21"/>
      <c r="B17" s="8"/>
      <c r="C17" s="8"/>
      <c r="D17" s="9"/>
      <c r="E17" s="13"/>
      <c r="F17" s="13"/>
      <c r="G17" s="13"/>
      <c r="H17" s="13"/>
      <c r="I17" s="13"/>
      <c r="J17" s="13"/>
      <c r="K17" s="13"/>
      <c r="L17" s="13"/>
      <c r="M17" s="13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"/>
    </row>
    <row r="18" ht="12.75" customHeight="1">
      <c r="A18" s="32" t="s">
        <v>14</v>
      </c>
      <c r="B18" s="14" t="s">
        <v>15</v>
      </c>
      <c r="C18" s="8"/>
      <c r="D18" s="9"/>
      <c r="E18" s="13"/>
      <c r="F18" s="13"/>
      <c r="G18" s="13"/>
      <c r="H18" s="13"/>
      <c r="I18" s="13"/>
      <c r="J18" s="13"/>
      <c r="K18" s="13"/>
      <c r="L18" s="13"/>
      <c r="M18" s="13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"/>
    </row>
    <row r="19" ht="12.75" customHeight="1">
      <c r="A19" s="32"/>
      <c r="B19" s="33" t="s">
        <v>16</v>
      </c>
      <c r="C19" s="34" t="s">
        <v>17</v>
      </c>
      <c r="D19" s="13" t="s">
        <v>11</v>
      </c>
      <c r="E19" s="66">
        <v>73.0</v>
      </c>
      <c r="F19" s="66">
        <v>109.0</v>
      </c>
      <c r="G19" s="66">
        <v>112.0</v>
      </c>
      <c r="H19" s="66">
        <v>93.0</v>
      </c>
      <c r="I19" s="66">
        <v>95.0</v>
      </c>
      <c r="J19" s="66">
        <v>104.0</v>
      </c>
      <c r="K19" s="66">
        <v>96.0</v>
      </c>
      <c r="L19" s="66">
        <v>110.0</v>
      </c>
      <c r="M19" s="66">
        <v>98.0</v>
      </c>
      <c r="N19" s="66">
        <v>104.0</v>
      </c>
      <c r="O19" s="66">
        <v>102.0</v>
      </c>
      <c r="P19" s="66">
        <v>107.0</v>
      </c>
      <c r="Q19" s="66">
        <v>109.0</v>
      </c>
      <c r="R19" s="66">
        <v>97.0</v>
      </c>
      <c r="S19" s="66">
        <v>93.0</v>
      </c>
      <c r="T19" s="66">
        <v>98.0</v>
      </c>
      <c r="U19" s="66">
        <v>113.0</v>
      </c>
      <c r="V19" s="66">
        <v>104.0</v>
      </c>
      <c r="W19" s="66">
        <v>123.0</v>
      </c>
      <c r="X19" s="6">
        <f t="shared" ref="X19:X30" si="3">SUM(E19:W19)</f>
        <v>1940</v>
      </c>
    </row>
    <row r="20" ht="12.75" customHeight="1">
      <c r="A20" s="35"/>
      <c r="B20" s="26"/>
      <c r="C20" s="36"/>
      <c r="D20" s="13" t="s">
        <v>12</v>
      </c>
      <c r="E20" s="66">
        <v>90.0</v>
      </c>
      <c r="F20" s="66">
        <v>112.0</v>
      </c>
      <c r="G20" s="66">
        <v>118.0</v>
      </c>
      <c r="H20" s="66">
        <v>97.0</v>
      </c>
      <c r="I20" s="66">
        <v>88.0</v>
      </c>
      <c r="J20" s="66">
        <v>110.0</v>
      </c>
      <c r="K20" s="66">
        <v>115.0</v>
      </c>
      <c r="L20" s="66">
        <v>117.0</v>
      </c>
      <c r="M20" s="66">
        <v>127.0</v>
      </c>
      <c r="N20" s="66">
        <v>106.0</v>
      </c>
      <c r="O20" s="66">
        <v>119.0</v>
      </c>
      <c r="P20" s="66">
        <v>122.0</v>
      </c>
      <c r="Q20" s="66">
        <v>113.0</v>
      </c>
      <c r="R20" s="66">
        <v>122.0</v>
      </c>
      <c r="S20" s="66">
        <v>120.0</v>
      </c>
      <c r="T20" s="66">
        <v>108.0</v>
      </c>
      <c r="U20" s="66">
        <v>116.0</v>
      </c>
      <c r="V20" s="66">
        <v>119.0</v>
      </c>
      <c r="W20" s="66">
        <v>123.0</v>
      </c>
      <c r="X20" s="6">
        <f t="shared" si="3"/>
        <v>2142</v>
      </c>
    </row>
    <row r="21" ht="12.75" customHeight="1">
      <c r="A21" s="37"/>
      <c r="B21" s="27"/>
      <c r="C21" s="38"/>
      <c r="D21" s="6" t="s">
        <v>13</v>
      </c>
      <c r="E21" s="6">
        <f t="shared" ref="E21:W21" si="4">SUM(E19:E20)</f>
        <v>163</v>
      </c>
      <c r="F21" s="6">
        <f t="shared" si="4"/>
        <v>221</v>
      </c>
      <c r="G21" s="6">
        <f t="shared" si="4"/>
        <v>230</v>
      </c>
      <c r="H21" s="6">
        <f t="shared" si="4"/>
        <v>190</v>
      </c>
      <c r="I21" s="6">
        <f t="shared" si="4"/>
        <v>183</v>
      </c>
      <c r="J21" s="6">
        <f t="shared" si="4"/>
        <v>214</v>
      </c>
      <c r="K21" s="6">
        <f t="shared" si="4"/>
        <v>211</v>
      </c>
      <c r="L21" s="6">
        <f t="shared" si="4"/>
        <v>227</v>
      </c>
      <c r="M21" s="6">
        <f t="shared" si="4"/>
        <v>225</v>
      </c>
      <c r="N21" s="6">
        <f t="shared" si="4"/>
        <v>210</v>
      </c>
      <c r="O21" s="6">
        <f t="shared" si="4"/>
        <v>221</v>
      </c>
      <c r="P21" s="6">
        <f t="shared" si="4"/>
        <v>229</v>
      </c>
      <c r="Q21" s="6">
        <f t="shared" si="4"/>
        <v>222</v>
      </c>
      <c r="R21" s="6">
        <f t="shared" si="4"/>
        <v>219</v>
      </c>
      <c r="S21" s="6">
        <f t="shared" si="4"/>
        <v>213</v>
      </c>
      <c r="T21" s="6">
        <f t="shared" si="4"/>
        <v>206</v>
      </c>
      <c r="U21" s="6">
        <f t="shared" si="4"/>
        <v>229</v>
      </c>
      <c r="V21" s="6">
        <f t="shared" si="4"/>
        <v>223</v>
      </c>
      <c r="W21" s="6">
        <f t="shared" si="4"/>
        <v>246</v>
      </c>
      <c r="X21" s="6">
        <f t="shared" si="3"/>
        <v>4082</v>
      </c>
    </row>
    <row r="22" ht="12.75" customHeight="1">
      <c r="A22" s="35"/>
      <c r="B22" s="33" t="s">
        <v>18</v>
      </c>
      <c r="C22" s="34" t="s">
        <v>19</v>
      </c>
      <c r="D22" s="13" t="s">
        <v>11</v>
      </c>
      <c r="E22" s="66">
        <v>0.0</v>
      </c>
      <c r="F22" s="66">
        <v>0.0</v>
      </c>
      <c r="G22" s="66">
        <v>0.0</v>
      </c>
      <c r="H22" s="66">
        <v>0.0</v>
      </c>
      <c r="I22" s="66">
        <v>0.0</v>
      </c>
      <c r="J22" s="66">
        <v>0.0</v>
      </c>
      <c r="K22" s="66">
        <v>0.0</v>
      </c>
      <c r="L22" s="66">
        <v>0.0</v>
      </c>
      <c r="M22" s="66">
        <v>0.0</v>
      </c>
      <c r="N22" s="66">
        <v>0.0</v>
      </c>
      <c r="O22" s="66">
        <v>0.0</v>
      </c>
      <c r="P22" s="66">
        <v>0.0</v>
      </c>
      <c r="Q22" s="66">
        <v>0.0</v>
      </c>
      <c r="R22" s="66">
        <v>0.0</v>
      </c>
      <c r="S22" s="66">
        <v>0.0</v>
      </c>
      <c r="T22" s="66">
        <v>0.0</v>
      </c>
      <c r="U22" s="66">
        <v>0.0</v>
      </c>
      <c r="V22" s="66">
        <v>0.0</v>
      </c>
      <c r="W22" s="66">
        <v>0.0</v>
      </c>
      <c r="X22" s="6">
        <f t="shared" si="3"/>
        <v>0</v>
      </c>
    </row>
    <row r="23" ht="12.75" customHeight="1">
      <c r="A23" s="35"/>
      <c r="B23" s="26"/>
      <c r="C23" s="36"/>
      <c r="D23" s="13" t="s">
        <v>12</v>
      </c>
      <c r="E23" s="66">
        <v>0.0</v>
      </c>
      <c r="F23" s="66">
        <v>0.0</v>
      </c>
      <c r="G23" s="66">
        <v>0.0</v>
      </c>
      <c r="H23" s="66">
        <v>0.0</v>
      </c>
      <c r="I23" s="66">
        <v>0.0</v>
      </c>
      <c r="J23" s="66">
        <v>0.0</v>
      </c>
      <c r="K23" s="66">
        <v>0.0</v>
      </c>
      <c r="L23" s="66">
        <v>0.0</v>
      </c>
      <c r="M23" s="66">
        <v>0.0</v>
      </c>
      <c r="N23" s="66">
        <v>0.0</v>
      </c>
      <c r="O23" s="66">
        <v>0.0</v>
      </c>
      <c r="P23" s="66">
        <v>0.0</v>
      </c>
      <c r="Q23" s="66">
        <v>0.0</v>
      </c>
      <c r="R23" s="66">
        <v>0.0</v>
      </c>
      <c r="S23" s="66">
        <v>0.0</v>
      </c>
      <c r="T23" s="66">
        <v>0.0</v>
      </c>
      <c r="U23" s="66">
        <v>0.0</v>
      </c>
      <c r="V23" s="66">
        <v>0.0</v>
      </c>
      <c r="W23" s="66">
        <v>1.0</v>
      </c>
      <c r="X23" s="6">
        <f t="shared" si="3"/>
        <v>1</v>
      </c>
    </row>
    <row r="24" ht="12.75" customHeight="1">
      <c r="A24" s="37"/>
      <c r="B24" s="27"/>
      <c r="C24" s="38"/>
      <c r="D24" s="6" t="s">
        <v>13</v>
      </c>
      <c r="E24" s="6">
        <f t="shared" ref="E24:W24" si="5">SUM(E22:E23)</f>
        <v>0</v>
      </c>
      <c r="F24" s="6">
        <f t="shared" si="5"/>
        <v>0</v>
      </c>
      <c r="G24" s="6">
        <f t="shared" si="5"/>
        <v>0</v>
      </c>
      <c r="H24" s="6">
        <f t="shared" si="5"/>
        <v>0</v>
      </c>
      <c r="I24" s="6">
        <f t="shared" si="5"/>
        <v>0</v>
      </c>
      <c r="J24" s="6">
        <f t="shared" si="5"/>
        <v>0</v>
      </c>
      <c r="K24" s="6">
        <f t="shared" si="5"/>
        <v>0</v>
      </c>
      <c r="L24" s="6">
        <f t="shared" si="5"/>
        <v>0</v>
      </c>
      <c r="M24" s="6">
        <f t="shared" si="5"/>
        <v>0</v>
      </c>
      <c r="N24" s="6">
        <f t="shared" si="5"/>
        <v>0</v>
      </c>
      <c r="O24" s="6">
        <f t="shared" si="5"/>
        <v>0</v>
      </c>
      <c r="P24" s="6">
        <f t="shared" si="5"/>
        <v>0</v>
      </c>
      <c r="Q24" s="6">
        <f t="shared" si="5"/>
        <v>0</v>
      </c>
      <c r="R24" s="6">
        <f t="shared" si="5"/>
        <v>0</v>
      </c>
      <c r="S24" s="6">
        <f t="shared" si="5"/>
        <v>0</v>
      </c>
      <c r="T24" s="6">
        <f t="shared" si="5"/>
        <v>0</v>
      </c>
      <c r="U24" s="6">
        <f t="shared" si="5"/>
        <v>0</v>
      </c>
      <c r="V24" s="6">
        <f t="shared" si="5"/>
        <v>0</v>
      </c>
      <c r="W24" s="6">
        <f t="shared" si="5"/>
        <v>1</v>
      </c>
      <c r="X24" s="6">
        <f t="shared" si="3"/>
        <v>1</v>
      </c>
    </row>
    <row r="25" ht="12.75" customHeight="1">
      <c r="A25" s="35"/>
      <c r="B25" s="33" t="s">
        <v>20</v>
      </c>
      <c r="C25" s="34" t="s">
        <v>21</v>
      </c>
      <c r="D25" s="13" t="s">
        <v>11</v>
      </c>
      <c r="E25" s="66">
        <v>0.0</v>
      </c>
      <c r="F25" s="66">
        <v>0.0</v>
      </c>
      <c r="G25" s="66">
        <v>2.0</v>
      </c>
      <c r="H25" s="66">
        <v>3.0</v>
      </c>
      <c r="I25" s="66">
        <v>1.0</v>
      </c>
      <c r="J25" s="66">
        <v>0.0</v>
      </c>
      <c r="K25" s="66">
        <v>0.0</v>
      </c>
      <c r="L25" s="66">
        <v>3.0</v>
      </c>
      <c r="M25" s="66">
        <v>0.0</v>
      </c>
      <c r="N25" s="66">
        <v>0.0</v>
      </c>
      <c r="O25" s="66">
        <v>0.0</v>
      </c>
      <c r="P25" s="66">
        <v>0.0</v>
      </c>
      <c r="Q25" s="66">
        <v>0.0</v>
      </c>
      <c r="R25" s="66">
        <v>2.0</v>
      </c>
      <c r="S25" s="66">
        <v>2.0</v>
      </c>
      <c r="T25" s="66">
        <v>0.0</v>
      </c>
      <c r="U25" s="66">
        <v>0.0</v>
      </c>
      <c r="V25" s="66">
        <v>1.0</v>
      </c>
      <c r="W25" s="66">
        <v>0.0</v>
      </c>
      <c r="X25" s="6">
        <f t="shared" si="3"/>
        <v>14</v>
      </c>
    </row>
    <row r="26" ht="12.75" customHeight="1">
      <c r="A26" s="35"/>
      <c r="B26" s="26"/>
      <c r="C26" s="36"/>
      <c r="D26" s="13" t="s">
        <v>12</v>
      </c>
      <c r="E26" s="66">
        <v>1.0</v>
      </c>
      <c r="F26" s="66">
        <v>0.0</v>
      </c>
      <c r="G26" s="66">
        <v>1.0</v>
      </c>
      <c r="H26" s="66">
        <v>3.0</v>
      </c>
      <c r="I26" s="66">
        <v>3.0</v>
      </c>
      <c r="J26" s="66">
        <v>1.0</v>
      </c>
      <c r="K26" s="66">
        <v>0.0</v>
      </c>
      <c r="L26" s="66">
        <v>1.0</v>
      </c>
      <c r="M26" s="66">
        <v>0.0</v>
      </c>
      <c r="N26" s="66">
        <v>0.0</v>
      </c>
      <c r="O26" s="66">
        <v>1.0</v>
      </c>
      <c r="P26" s="66">
        <v>0.0</v>
      </c>
      <c r="Q26" s="66">
        <v>0.0</v>
      </c>
      <c r="R26" s="66">
        <v>3.0</v>
      </c>
      <c r="S26" s="66">
        <v>2.0</v>
      </c>
      <c r="T26" s="66">
        <v>0.0</v>
      </c>
      <c r="U26" s="66">
        <v>2.0</v>
      </c>
      <c r="V26" s="66">
        <v>0.0</v>
      </c>
      <c r="W26" s="66">
        <v>0.0</v>
      </c>
      <c r="X26" s="6">
        <f t="shared" si="3"/>
        <v>18</v>
      </c>
    </row>
    <row r="27" ht="12.75" customHeight="1">
      <c r="A27" s="37"/>
      <c r="B27" s="27"/>
      <c r="C27" s="38"/>
      <c r="D27" s="6" t="s">
        <v>13</v>
      </c>
      <c r="E27" s="6">
        <f t="shared" ref="E27:W27" si="6">SUM(E25:E26)</f>
        <v>1</v>
      </c>
      <c r="F27" s="6">
        <f t="shared" si="6"/>
        <v>0</v>
      </c>
      <c r="G27" s="6">
        <f t="shared" si="6"/>
        <v>3</v>
      </c>
      <c r="H27" s="6">
        <f t="shared" si="6"/>
        <v>6</v>
      </c>
      <c r="I27" s="6">
        <f t="shared" si="6"/>
        <v>4</v>
      </c>
      <c r="J27" s="6">
        <f t="shared" si="6"/>
        <v>1</v>
      </c>
      <c r="K27" s="6">
        <f t="shared" si="6"/>
        <v>0</v>
      </c>
      <c r="L27" s="6">
        <f t="shared" si="6"/>
        <v>4</v>
      </c>
      <c r="M27" s="6">
        <f t="shared" si="6"/>
        <v>0</v>
      </c>
      <c r="N27" s="6">
        <f t="shared" si="6"/>
        <v>0</v>
      </c>
      <c r="O27" s="6">
        <f t="shared" si="6"/>
        <v>1</v>
      </c>
      <c r="P27" s="6">
        <f t="shared" si="6"/>
        <v>0</v>
      </c>
      <c r="Q27" s="6">
        <f t="shared" si="6"/>
        <v>0</v>
      </c>
      <c r="R27" s="6">
        <f t="shared" si="6"/>
        <v>5</v>
      </c>
      <c r="S27" s="6">
        <f t="shared" si="6"/>
        <v>4</v>
      </c>
      <c r="T27" s="6">
        <f t="shared" si="6"/>
        <v>0</v>
      </c>
      <c r="U27" s="6">
        <f t="shared" si="6"/>
        <v>2</v>
      </c>
      <c r="V27" s="6">
        <f t="shared" si="6"/>
        <v>1</v>
      </c>
      <c r="W27" s="6">
        <f t="shared" si="6"/>
        <v>0</v>
      </c>
      <c r="X27" s="6">
        <f t="shared" si="3"/>
        <v>32</v>
      </c>
    </row>
    <row r="28" ht="12.75" customHeight="1">
      <c r="A28" s="37"/>
      <c r="B28" s="39" t="s">
        <v>22</v>
      </c>
      <c r="C28" s="40" t="s">
        <v>23</v>
      </c>
      <c r="D28" s="6" t="s">
        <v>11</v>
      </c>
      <c r="E28" s="6">
        <f t="shared" ref="E28:W28" si="7">SUM(E19,E22,E25)</f>
        <v>73</v>
      </c>
      <c r="F28" s="6">
        <f t="shared" si="7"/>
        <v>109</v>
      </c>
      <c r="G28" s="6">
        <f t="shared" si="7"/>
        <v>114</v>
      </c>
      <c r="H28" s="6">
        <f t="shared" si="7"/>
        <v>96</v>
      </c>
      <c r="I28" s="6">
        <f t="shared" si="7"/>
        <v>96</v>
      </c>
      <c r="J28" s="6">
        <f t="shared" si="7"/>
        <v>104</v>
      </c>
      <c r="K28" s="6">
        <f t="shared" si="7"/>
        <v>96</v>
      </c>
      <c r="L28" s="6">
        <f t="shared" si="7"/>
        <v>113</v>
      </c>
      <c r="M28" s="6">
        <f t="shared" si="7"/>
        <v>98</v>
      </c>
      <c r="N28" s="6">
        <f t="shared" si="7"/>
        <v>104</v>
      </c>
      <c r="O28" s="6">
        <f t="shared" si="7"/>
        <v>102</v>
      </c>
      <c r="P28" s="6">
        <f t="shared" si="7"/>
        <v>107</v>
      </c>
      <c r="Q28" s="6">
        <f t="shared" si="7"/>
        <v>109</v>
      </c>
      <c r="R28" s="6">
        <f t="shared" si="7"/>
        <v>99</v>
      </c>
      <c r="S28" s="6">
        <f t="shared" si="7"/>
        <v>95</v>
      </c>
      <c r="T28" s="6">
        <f t="shared" si="7"/>
        <v>98</v>
      </c>
      <c r="U28" s="6">
        <f t="shared" si="7"/>
        <v>113</v>
      </c>
      <c r="V28" s="6">
        <f t="shared" si="7"/>
        <v>105</v>
      </c>
      <c r="W28" s="6">
        <f t="shared" si="7"/>
        <v>123</v>
      </c>
      <c r="X28" s="6">
        <f t="shared" si="3"/>
        <v>1954</v>
      </c>
    </row>
    <row r="29" ht="12.75" customHeight="1">
      <c r="A29" s="37"/>
      <c r="B29" s="26"/>
      <c r="C29" s="36"/>
      <c r="D29" s="6" t="s">
        <v>12</v>
      </c>
      <c r="E29" s="6">
        <f t="shared" ref="E29:W29" si="8">SUM(E20,E23,E26)</f>
        <v>91</v>
      </c>
      <c r="F29" s="6">
        <f t="shared" si="8"/>
        <v>112</v>
      </c>
      <c r="G29" s="6">
        <f t="shared" si="8"/>
        <v>119</v>
      </c>
      <c r="H29" s="6">
        <f t="shared" si="8"/>
        <v>100</v>
      </c>
      <c r="I29" s="6">
        <f t="shared" si="8"/>
        <v>91</v>
      </c>
      <c r="J29" s="6">
        <f t="shared" si="8"/>
        <v>111</v>
      </c>
      <c r="K29" s="6">
        <f t="shared" si="8"/>
        <v>115</v>
      </c>
      <c r="L29" s="6">
        <f t="shared" si="8"/>
        <v>118</v>
      </c>
      <c r="M29" s="6">
        <f t="shared" si="8"/>
        <v>127</v>
      </c>
      <c r="N29" s="6">
        <f t="shared" si="8"/>
        <v>106</v>
      </c>
      <c r="O29" s="6">
        <f t="shared" si="8"/>
        <v>120</v>
      </c>
      <c r="P29" s="6">
        <f t="shared" si="8"/>
        <v>122</v>
      </c>
      <c r="Q29" s="6">
        <f t="shared" si="8"/>
        <v>113</v>
      </c>
      <c r="R29" s="6">
        <f t="shared" si="8"/>
        <v>125</v>
      </c>
      <c r="S29" s="6">
        <f t="shared" si="8"/>
        <v>122</v>
      </c>
      <c r="T29" s="6">
        <f t="shared" si="8"/>
        <v>108</v>
      </c>
      <c r="U29" s="6">
        <f t="shared" si="8"/>
        <v>118</v>
      </c>
      <c r="V29" s="6">
        <f t="shared" si="8"/>
        <v>119</v>
      </c>
      <c r="W29" s="6">
        <f t="shared" si="8"/>
        <v>124</v>
      </c>
      <c r="X29" s="6">
        <f t="shared" si="3"/>
        <v>2161</v>
      </c>
    </row>
    <row r="30" ht="12.75" customHeight="1">
      <c r="A30" s="37"/>
      <c r="B30" s="27"/>
      <c r="C30" s="38"/>
      <c r="D30" s="6" t="s">
        <v>13</v>
      </c>
      <c r="E30" s="6">
        <f t="shared" ref="E30:W30" si="9">SUM(E28:E29)</f>
        <v>164</v>
      </c>
      <c r="F30" s="6">
        <f t="shared" si="9"/>
        <v>221</v>
      </c>
      <c r="G30" s="6">
        <f t="shared" si="9"/>
        <v>233</v>
      </c>
      <c r="H30" s="6">
        <f t="shared" si="9"/>
        <v>196</v>
      </c>
      <c r="I30" s="6">
        <f t="shared" si="9"/>
        <v>187</v>
      </c>
      <c r="J30" s="6">
        <f t="shared" si="9"/>
        <v>215</v>
      </c>
      <c r="K30" s="6">
        <f t="shared" si="9"/>
        <v>211</v>
      </c>
      <c r="L30" s="6">
        <f t="shared" si="9"/>
        <v>231</v>
      </c>
      <c r="M30" s="6">
        <f t="shared" si="9"/>
        <v>225</v>
      </c>
      <c r="N30" s="6">
        <f t="shared" si="9"/>
        <v>210</v>
      </c>
      <c r="O30" s="6">
        <f t="shared" si="9"/>
        <v>222</v>
      </c>
      <c r="P30" s="6">
        <f t="shared" si="9"/>
        <v>229</v>
      </c>
      <c r="Q30" s="6">
        <f t="shared" si="9"/>
        <v>222</v>
      </c>
      <c r="R30" s="6">
        <f t="shared" si="9"/>
        <v>224</v>
      </c>
      <c r="S30" s="6">
        <f t="shared" si="9"/>
        <v>217</v>
      </c>
      <c r="T30" s="6">
        <f t="shared" si="9"/>
        <v>206</v>
      </c>
      <c r="U30" s="6">
        <f t="shared" si="9"/>
        <v>231</v>
      </c>
      <c r="V30" s="6">
        <f t="shared" si="9"/>
        <v>224</v>
      </c>
      <c r="W30" s="6">
        <f t="shared" si="9"/>
        <v>247</v>
      </c>
      <c r="X30" s="6">
        <f t="shared" si="3"/>
        <v>4115</v>
      </c>
    </row>
    <row r="31" ht="12.75" customHeight="1">
      <c r="A31" s="21"/>
      <c r="B31" s="8"/>
      <c r="C31" s="8"/>
      <c r="D31" s="9"/>
      <c r="E31" s="13"/>
      <c r="F31" s="13"/>
      <c r="G31" s="13"/>
      <c r="H31" s="13"/>
      <c r="I31" s="13"/>
      <c r="J31" s="13"/>
      <c r="K31" s="13"/>
      <c r="L31" s="13"/>
      <c r="M31" s="13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"/>
    </row>
    <row r="32" ht="12.75" customHeight="1">
      <c r="A32" s="42" t="s">
        <v>24</v>
      </c>
      <c r="B32" s="7" t="s">
        <v>25</v>
      </c>
      <c r="C32" s="8"/>
      <c r="D32" s="9"/>
      <c r="E32" s="6"/>
      <c r="F32" s="6"/>
      <c r="G32" s="6"/>
      <c r="H32" s="6"/>
      <c r="I32" s="6"/>
      <c r="J32" s="6"/>
      <c r="K32" s="6"/>
      <c r="L32" s="6"/>
      <c r="M32" s="6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"/>
    </row>
    <row r="33" ht="12.75" customHeight="1">
      <c r="A33" s="13">
        <v>1.0</v>
      </c>
      <c r="B33" s="14" t="s">
        <v>26</v>
      </c>
      <c r="C33" s="8"/>
      <c r="D33" s="9"/>
      <c r="E33" s="66">
        <v>272.0</v>
      </c>
      <c r="F33" s="66">
        <v>282.0</v>
      </c>
      <c r="G33" s="66">
        <v>287.0</v>
      </c>
      <c r="H33" s="66">
        <v>272.0</v>
      </c>
      <c r="I33" s="66">
        <v>259.0</v>
      </c>
      <c r="J33" s="66">
        <v>280.0</v>
      </c>
      <c r="K33" s="66">
        <v>287.0</v>
      </c>
      <c r="L33" s="66">
        <v>288.0</v>
      </c>
      <c r="M33" s="66">
        <v>290.0</v>
      </c>
      <c r="N33" s="66">
        <v>281.0</v>
      </c>
      <c r="O33" s="66">
        <v>306.0</v>
      </c>
      <c r="P33" s="66">
        <v>296.0</v>
      </c>
      <c r="Q33" s="66">
        <v>289.0</v>
      </c>
      <c r="R33" s="66">
        <v>292.0</v>
      </c>
      <c r="S33" s="66">
        <v>287.0</v>
      </c>
      <c r="T33" s="66">
        <v>268.0</v>
      </c>
      <c r="U33" s="66">
        <v>285.0</v>
      </c>
      <c r="V33" s="66">
        <v>286.0</v>
      </c>
      <c r="W33" s="66">
        <v>290.0</v>
      </c>
      <c r="X33" s="6">
        <f t="shared" ref="X33:X36" si="10">SUM(E33:W33)</f>
        <v>5397</v>
      </c>
    </row>
    <row r="34" ht="12.75" customHeight="1">
      <c r="A34" s="13">
        <v>2.0</v>
      </c>
      <c r="B34" s="14" t="s">
        <v>27</v>
      </c>
      <c r="C34" s="8"/>
      <c r="D34" s="9"/>
      <c r="E34" s="72">
        <v>164.0</v>
      </c>
      <c r="F34" s="72">
        <v>221.0</v>
      </c>
      <c r="G34" s="72">
        <v>233.0</v>
      </c>
      <c r="H34" s="72">
        <v>196.0</v>
      </c>
      <c r="I34" s="72">
        <v>187.0</v>
      </c>
      <c r="J34" s="72">
        <v>215.0</v>
      </c>
      <c r="K34" s="72">
        <v>211.0</v>
      </c>
      <c r="L34" s="72">
        <v>231.0</v>
      </c>
      <c r="M34" s="72">
        <v>225.0</v>
      </c>
      <c r="N34" s="72">
        <v>210.0</v>
      </c>
      <c r="O34" s="72">
        <v>222.0</v>
      </c>
      <c r="P34" s="72">
        <v>229.0</v>
      </c>
      <c r="Q34" s="72">
        <v>222.0</v>
      </c>
      <c r="R34" s="72">
        <v>224.0</v>
      </c>
      <c r="S34" s="72">
        <v>217.0</v>
      </c>
      <c r="T34" s="72">
        <v>206.0</v>
      </c>
      <c r="U34" s="72">
        <v>231.0</v>
      </c>
      <c r="V34" s="72">
        <v>224.0</v>
      </c>
      <c r="W34" s="72">
        <v>247.0</v>
      </c>
      <c r="X34" s="6">
        <f t="shared" si="10"/>
        <v>4115</v>
      </c>
    </row>
    <row r="35" ht="12.75" customHeight="1">
      <c r="A35" s="13">
        <v>3.0</v>
      </c>
      <c r="B35" s="14" t="s">
        <v>28</v>
      </c>
      <c r="C35" s="8"/>
      <c r="D35" s="9"/>
      <c r="E35" s="66">
        <v>0.0</v>
      </c>
      <c r="F35" s="66">
        <v>0.0</v>
      </c>
      <c r="G35" s="66">
        <v>1.0</v>
      </c>
      <c r="H35" s="66">
        <v>0.0</v>
      </c>
      <c r="I35" s="66">
        <v>0.0</v>
      </c>
      <c r="J35" s="66">
        <v>0.0</v>
      </c>
      <c r="K35" s="66">
        <v>0.0</v>
      </c>
      <c r="L35" s="66">
        <v>0.0</v>
      </c>
      <c r="M35" s="66">
        <v>0.0</v>
      </c>
      <c r="N35" s="66">
        <v>0.0</v>
      </c>
      <c r="O35" s="66">
        <v>0.0</v>
      </c>
      <c r="P35" s="66">
        <v>0.0</v>
      </c>
      <c r="Q35" s="66">
        <v>0.0</v>
      </c>
      <c r="R35" s="66">
        <v>0.0</v>
      </c>
      <c r="S35" s="66">
        <v>0.0</v>
      </c>
      <c r="T35" s="66">
        <v>0.0</v>
      </c>
      <c r="U35" s="66">
        <v>0.0</v>
      </c>
      <c r="V35" s="66">
        <v>1.0</v>
      </c>
      <c r="W35" s="66">
        <v>0.0</v>
      </c>
      <c r="X35" s="6">
        <f t="shared" si="10"/>
        <v>2</v>
      </c>
    </row>
    <row r="36" ht="12.75" customHeight="1">
      <c r="A36" s="13">
        <v>4.0</v>
      </c>
      <c r="B36" s="14" t="s">
        <v>29</v>
      </c>
      <c r="C36" s="8"/>
      <c r="D36" s="9"/>
      <c r="E36" s="6">
        <f t="shared" ref="E36:W36" si="11">E33-(E34+E35)</f>
        <v>108</v>
      </c>
      <c r="F36" s="6">
        <f t="shared" si="11"/>
        <v>61</v>
      </c>
      <c r="G36" s="6">
        <f t="shared" si="11"/>
        <v>53</v>
      </c>
      <c r="H36" s="6">
        <f t="shared" si="11"/>
        <v>76</v>
      </c>
      <c r="I36" s="6">
        <f t="shared" si="11"/>
        <v>72</v>
      </c>
      <c r="J36" s="6">
        <f t="shared" si="11"/>
        <v>65</v>
      </c>
      <c r="K36" s="6">
        <f t="shared" si="11"/>
        <v>76</v>
      </c>
      <c r="L36" s="6">
        <f t="shared" si="11"/>
        <v>57</v>
      </c>
      <c r="M36" s="6">
        <f t="shared" si="11"/>
        <v>65</v>
      </c>
      <c r="N36" s="6">
        <f t="shared" si="11"/>
        <v>71</v>
      </c>
      <c r="O36" s="6">
        <f t="shared" si="11"/>
        <v>84</v>
      </c>
      <c r="P36" s="6">
        <f t="shared" si="11"/>
        <v>67</v>
      </c>
      <c r="Q36" s="6">
        <f t="shared" si="11"/>
        <v>67</v>
      </c>
      <c r="R36" s="6">
        <f t="shared" si="11"/>
        <v>68</v>
      </c>
      <c r="S36" s="6">
        <f t="shared" si="11"/>
        <v>70</v>
      </c>
      <c r="T36" s="6">
        <f t="shared" si="11"/>
        <v>62</v>
      </c>
      <c r="U36" s="6">
        <f t="shared" si="11"/>
        <v>54</v>
      </c>
      <c r="V36" s="6">
        <f t="shared" si="11"/>
        <v>61</v>
      </c>
      <c r="W36" s="6">
        <f t="shared" si="11"/>
        <v>43</v>
      </c>
      <c r="X36" s="6">
        <f t="shared" si="10"/>
        <v>1280</v>
      </c>
    </row>
    <row r="37" ht="12.75" customHeight="1">
      <c r="A37" s="21"/>
      <c r="B37" s="8"/>
      <c r="C37" s="8"/>
      <c r="D37" s="8"/>
      <c r="E37" s="21"/>
      <c r="F37" s="8"/>
      <c r="G37" s="8"/>
      <c r="H37" s="8"/>
      <c r="I37" s="9"/>
      <c r="J37" s="13"/>
      <c r="K37" s="13"/>
      <c r="L37" s="13"/>
      <c r="M37" s="13"/>
      <c r="N37" s="67"/>
      <c r="O37" s="71"/>
      <c r="P37" s="71"/>
      <c r="Q37" s="71"/>
      <c r="R37" s="71"/>
      <c r="S37" s="71"/>
      <c r="T37" s="71"/>
      <c r="U37" s="71"/>
      <c r="V37" s="71"/>
      <c r="W37" s="71"/>
      <c r="X37" s="6"/>
    </row>
    <row r="38" ht="12.75" customHeight="1">
      <c r="A38" s="44" t="s">
        <v>30</v>
      </c>
      <c r="B38" s="7" t="s">
        <v>31</v>
      </c>
      <c r="C38" s="8"/>
      <c r="D38" s="9"/>
      <c r="E38" s="6"/>
      <c r="F38" s="6"/>
      <c r="G38" s="6"/>
      <c r="H38" s="6"/>
      <c r="I38" s="6"/>
      <c r="J38" s="6"/>
      <c r="K38" s="6"/>
      <c r="L38" s="6"/>
      <c r="M38" s="6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"/>
    </row>
    <row r="39" ht="12.75" customHeight="1">
      <c r="A39" s="32"/>
      <c r="B39" s="45" t="s">
        <v>32</v>
      </c>
      <c r="C39" s="20"/>
      <c r="D39" s="13" t="s">
        <v>11</v>
      </c>
      <c r="E39" s="66">
        <v>0.0</v>
      </c>
      <c r="F39" s="66">
        <v>0.0</v>
      </c>
      <c r="G39" s="66">
        <v>0.0</v>
      </c>
      <c r="H39" s="66">
        <v>0.0</v>
      </c>
      <c r="I39" s="66">
        <v>0.0</v>
      </c>
      <c r="J39" s="66">
        <v>0.0</v>
      </c>
      <c r="K39" s="66">
        <v>0.0</v>
      </c>
      <c r="L39" s="66">
        <v>0.0</v>
      </c>
      <c r="M39" s="66">
        <v>1.0</v>
      </c>
      <c r="N39" s="66">
        <v>0.0</v>
      </c>
      <c r="O39" s="66">
        <v>0.0</v>
      </c>
      <c r="P39" s="66">
        <v>0.0</v>
      </c>
      <c r="Q39" s="66">
        <v>0.0</v>
      </c>
      <c r="R39" s="66">
        <v>0.0</v>
      </c>
      <c r="S39" s="66">
        <v>0.0</v>
      </c>
      <c r="T39" s="66">
        <v>0.0</v>
      </c>
      <c r="U39" s="66">
        <v>0.0</v>
      </c>
      <c r="V39" s="66">
        <v>0.0</v>
      </c>
      <c r="W39" s="66">
        <v>0.0</v>
      </c>
      <c r="X39" s="6">
        <f t="shared" ref="X39:X41" si="12">SUM(E39:W39)</f>
        <v>1</v>
      </c>
    </row>
    <row r="40" ht="12.75" customHeight="1">
      <c r="A40" s="35"/>
      <c r="C40" s="26"/>
      <c r="D40" s="13" t="s">
        <v>12</v>
      </c>
      <c r="E40" s="66">
        <v>0.0</v>
      </c>
      <c r="F40" s="66">
        <v>0.0</v>
      </c>
      <c r="G40" s="66">
        <v>0.0</v>
      </c>
      <c r="H40" s="66">
        <v>0.0</v>
      </c>
      <c r="I40" s="66">
        <v>0.0</v>
      </c>
      <c r="J40" s="66">
        <v>0.0</v>
      </c>
      <c r="K40" s="66">
        <v>0.0</v>
      </c>
      <c r="L40" s="66">
        <v>0.0</v>
      </c>
      <c r="M40" s="66">
        <v>1.0</v>
      </c>
      <c r="N40" s="66">
        <v>0.0</v>
      </c>
      <c r="O40" s="66">
        <v>0.0</v>
      </c>
      <c r="P40" s="66">
        <v>0.0</v>
      </c>
      <c r="Q40" s="66">
        <v>0.0</v>
      </c>
      <c r="R40" s="66">
        <v>0.0</v>
      </c>
      <c r="S40" s="66">
        <v>0.0</v>
      </c>
      <c r="T40" s="66">
        <v>0.0</v>
      </c>
      <c r="U40" s="66">
        <v>0.0</v>
      </c>
      <c r="V40" s="66">
        <v>0.0</v>
      </c>
      <c r="W40" s="66">
        <v>0.0</v>
      </c>
      <c r="X40" s="6">
        <f t="shared" si="12"/>
        <v>1</v>
      </c>
    </row>
    <row r="41" ht="12.75" customHeight="1">
      <c r="A41" s="42"/>
      <c r="B41" s="46"/>
      <c r="C41" s="27"/>
      <c r="D41" s="6" t="s">
        <v>13</v>
      </c>
      <c r="E41" s="6">
        <f t="shared" ref="E41:W41" si="13">SUM(E39:E40)</f>
        <v>0</v>
      </c>
      <c r="F41" s="6">
        <f t="shared" si="13"/>
        <v>0</v>
      </c>
      <c r="G41" s="6">
        <f t="shared" si="13"/>
        <v>0</v>
      </c>
      <c r="H41" s="6">
        <f t="shared" si="13"/>
        <v>0</v>
      </c>
      <c r="I41" s="6">
        <f t="shared" si="13"/>
        <v>0</v>
      </c>
      <c r="J41" s="6">
        <f t="shared" si="13"/>
        <v>0</v>
      </c>
      <c r="K41" s="6">
        <f t="shared" si="13"/>
        <v>0</v>
      </c>
      <c r="L41" s="6">
        <f t="shared" si="13"/>
        <v>0</v>
      </c>
      <c r="M41" s="6">
        <f t="shared" si="13"/>
        <v>2</v>
      </c>
      <c r="N41" s="6">
        <f t="shared" si="13"/>
        <v>0</v>
      </c>
      <c r="O41" s="6">
        <f t="shared" si="13"/>
        <v>0</v>
      </c>
      <c r="P41" s="6">
        <f t="shared" si="13"/>
        <v>0</v>
      </c>
      <c r="Q41" s="6">
        <f t="shared" si="13"/>
        <v>0</v>
      </c>
      <c r="R41" s="6">
        <f t="shared" si="13"/>
        <v>0</v>
      </c>
      <c r="S41" s="6">
        <f t="shared" si="13"/>
        <v>0</v>
      </c>
      <c r="T41" s="6">
        <f t="shared" si="13"/>
        <v>0</v>
      </c>
      <c r="U41" s="6">
        <f t="shared" si="13"/>
        <v>0</v>
      </c>
      <c r="V41" s="6">
        <f t="shared" si="13"/>
        <v>0</v>
      </c>
      <c r="W41" s="6">
        <f t="shared" si="13"/>
        <v>0</v>
      </c>
      <c r="X41" s="6">
        <f t="shared" si="12"/>
        <v>2</v>
      </c>
    </row>
    <row r="42" ht="12.75" customHeight="1">
      <c r="A42" s="47"/>
      <c r="B42" s="46"/>
      <c r="C42" s="46"/>
      <c r="D42" s="27"/>
      <c r="E42" s="21"/>
      <c r="F42" s="8"/>
      <c r="G42" s="8"/>
      <c r="H42" s="8"/>
      <c r="I42" s="9"/>
      <c r="J42" s="13"/>
      <c r="K42" s="13"/>
      <c r="L42" s="13"/>
      <c r="M42" s="13"/>
      <c r="N42" s="67"/>
      <c r="X42" s="6"/>
    </row>
    <row r="43" ht="12.75" customHeight="1">
      <c r="A43" s="44" t="s">
        <v>33</v>
      </c>
      <c r="B43" s="7" t="s">
        <v>34</v>
      </c>
      <c r="C43" s="8"/>
      <c r="D43" s="9"/>
      <c r="E43" s="28"/>
      <c r="F43" s="6"/>
      <c r="G43" s="6"/>
      <c r="H43" s="6"/>
      <c r="I43" s="6"/>
      <c r="J43" s="6"/>
      <c r="K43" s="6"/>
      <c r="L43" s="6"/>
      <c r="M43" s="6"/>
      <c r="N43" s="69"/>
      <c r="X43" s="6"/>
    </row>
    <row r="44" ht="12.75" customHeight="1">
      <c r="A44" s="45" t="s">
        <v>35</v>
      </c>
      <c r="B44" s="48"/>
      <c r="C44" s="48"/>
      <c r="D44" s="20"/>
      <c r="E44" s="21"/>
      <c r="F44" s="13"/>
      <c r="G44" s="13"/>
      <c r="H44" s="13"/>
      <c r="I44" s="13"/>
      <c r="J44" s="13"/>
      <c r="K44" s="13"/>
      <c r="L44" s="13"/>
      <c r="M44" s="13"/>
      <c r="N44" s="67"/>
      <c r="X44" s="6"/>
    </row>
    <row r="45" ht="12.75" customHeight="1">
      <c r="A45" s="32" t="s">
        <v>36</v>
      </c>
      <c r="B45" s="49" t="s">
        <v>16</v>
      </c>
      <c r="C45" s="50" t="s">
        <v>37</v>
      </c>
      <c r="D45" s="9"/>
      <c r="E45" s="66">
        <v>19.0</v>
      </c>
      <c r="F45" s="66">
        <v>6.0</v>
      </c>
      <c r="G45" s="66">
        <v>6.0</v>
      </c>
      <c r="H45" s="66">
        <v>4.0</v>
      </c>
      <c r="I45" s="66">
        <v>11.0</v>
      </c>
      <c r="J45" s="66">
        <v>11.0</v>
      </c>
      <c r="K45" s="66">
        <v>7.0</v>
      </c>
      <c r="L45" s="66">
        <v>2.0</v>
      </c>
      <c r="M45" s="66">
        <v>5.0</v>
      </c>
      <c r="N45" s="66">
        <v>4.0</v>
      </c>
      <c r="O45" s="66">
        <v>8.0</v>
      </c>
      <c r="P45" s="66">
        <v>11.0</v>
      </c>
      <c r="Q45" s="66">
        <v>11.0</v>
      </c>
      <c r="R45" s="66">
        <v>14.0</v>
      </c>
      <c r="S45" s="66">
        <v>20.0</v>
      </c>
      <c r="T45" s="66">
        <v>14.0</v>
      </c>
      <c r="U45" s="66">
        <v>19.0</v>
      </c>
      <c r="V45" s="66">
        <v>18.0</v>
      </c>
      <c r="W45" s="66">
        <v>4.0</v>
      </c>
      <c r="X45" s="6">
        <f t="shared" ref="X45:X52" si="14">SUM(E45:W45)</f>
        <v>194</v>
      </c>
    </row>
    <row r="46" ht="12.75" customHeight="1">
      <c r="A46" s="32" t="s">
        <v>38</v>
      </c>
      <c r="B46" s="51"/>
      <c r="C46" s="52" t="s">
        <v>39</v>
      </c>
      <c r="D46" s="53"/>
      <c r="E46" s="66">
        <v>44.0</v>
      </c>
      <c r="F46" s="66">
        <v>17.0</v>
      </c>
      <c r="G46" s="66">
        <v>27.0</v>
      </c>
      <c r="H46" s="66">
        <v>7.0</v>
      </c>
      <c r="I46" s="66">
        <v>21.0</v>
      </c>
      <c r="J46" s="66">
        <v>15.0</v>
      </c>
      <c r="K46" s="66">
        <v>15.0</v>
      </c>
      <c r="L46" s="66">
        <v>22.0</v>
      </c>
      <c r="M46" s="66">
        <v>5.0</v>
      </c>
      <c r="N46" s="66">
        <v>1.0</v>
      </c>
      <c r="O46" s="66">
        <v>18.0</v>
      </c>
      <c r="P46" s="66">
        <v>19.0</v>
      </c>
      <c r="Q46" s="66">
        <v>84.0</v>
      </c>
      <c r="R46" s="66">
        <v>61.0</v>
      </c>
      <c r="S46" s="66">
        <v>63.0</v>
      </c>
      <c r="T46" s="66">
        <v>55.0</v>
      </c>
      <c r="U46" s="66">
        <v>116.0</v>
      </c>
      <c r="V46" s="66">
        <v>149.0</v>
      </c>
      <c r="W46" s="66">
        <v>17.0</v>
      </c>
      <c r="X46" s="6">
        <f t="shared" si="14"/>
        <v>756</v>
      </c>
    </row>
    <row r="47" ht="12.75" customHeight="1">
      <c r="A47" s="18"/>
      <c r="B47" s="51"/>
      <c r="C47" s="52" t="s">
        <v>40</v>
      </c>
      <c r="D47" s="53"/>
      <c r="E47" s="66">
        <v>14.0</v>
      </c>
      <c r="F47" s="66">
        <v>18.0</v>
      </c>
      <c r="G47" s="66">
        <v>19.0</v>
      </c>
      <c r="H47" s="66">
        <v>5.0</v>
      </c>
      <c r="I47" s="66">
        <v>16.0</v>
      </c>
      <c r="J47" s="66">
        <v>16.0</v>
      </c>
      <c r="K47" s="66">
        <v>36.0</v>
      </c>
      <c r="L47" s="66">
        <v>27.0</v>
      </c>
      <c r="M47" s="66">
        <v>13.0</v>
      </c>
      <c r="N47" s="66">
        <v>14.0</v>
      </c>
      <c r="O47" s="66">
        <v>7.0</v>
      </c>
      <c r="P47" s="66">
        <v>5.0</v>
      </c>
      <c r="Q47" s="66">
        <v>11.0</v>
      </c>
      <c r="R47" s="66">
        <v>23.0</v>
      </c>
      <c r="S47" s="66">
        <v>18.0</v>
      </c>
      <c r="T47" s="66">
        <v>18.0</v>
      </c>
      <c r="U47" s="66">
        <v>2.0</v>
      </c>
      <c r="V47" s="66">
        <v>7.0</v>
      </c>
      <c r="W47" s="66">
        <v>3.0</v>
      </c>
      <c r="X47" s="6">
        <f t="shared" si="14"/>
        <v>272</v>
      </c>
    </row>
    <row r="48" ht="12.75" customHeight="1">
      <c r="A48" s="18"/>
      <c r="B48" s="51"/>
      <c r="C48" s="52" t="s">
        <v>41</v>
      </c>
      <c r="D48" s="53"/>
      <c r="E48" s="66">
        <v>0.0</v>
      </c>
      <c r="F48" s="66">
        <v>0.0</v>
      </c>
      <c r="G48" s="66">
        <v>0.0</v>
      </c>
      <c r="H48" s="66">
        <v>3.0</v>
      </c>
      <c r="I48" s="66">
        <v>1.0</v>
      </c>
      <c r="J48" s="66">
        <v>0.0</v>
      </c>
      <c r="K48" s="66">
        <v>0.0</v>
      </c>
      <c r="L48" s="66">
        <v>1.0</v>
      </c>
      <c r="M48" s="66">
        <v>0.0</v>
      </c>
      <c r="N48" s="66">
        <v>0.0</v>
      </c>
      <c r="O48" s="66">
        <v>1.0</v>
      </c>
      <c r="P48" s="66">
        <v>1.0</v>
      </c>
      <c r="Q48" s="66">
        <v>2.0</v>
      </c>
      <c r="R48" s="66">
        <v>2.0</v>
      </c>
      <c r="S48" s="66">
        <v>0.0</v>
      </c>
      <c r="T48" s="66">
        <v>1.0</v>
      </c>
      <c r="U48" s="66">
        <v>0.0</v>
      </c>
      <c r="V48" s="66">
        <v>0.0</v>
      </c>
      <c r="W48" s="66">
        <v>0.0</v>
      </c>
      <c r="X48" s="6">
        <f t="shared" si="14"/>
        <v>12</v>
      </c>
    </row>
    <row r="49" ht="12.75" customHeight="1">
      <c r="A49" s="18"/>
      <c r="B49" s="51"/>
      <c r="C49" s="52" t="s">
        <v>42</v>
      </c>
      <c r="D49" s="53"/>
      <c r="E49" s="66">
        <v>0.0</v>
      </c>
      <c r="F49" s="66">
        <v>0.0</v>
      </c>
      <c r="G49" s="66">
        <v>1.0</v>
      </c>
      <c r="H49" s="66">
        <v>0.0</v>
      </c>
      <c r="I49" s="66">
        <v>0.0</v>
      </c>
      <c r="J49" s="66">
        <v>0.0</v>
      </c>
      <c r="K49" s="66">
        <v>1.0</v>
      </c>
      <c r="L49" s="66">
        <v>0.0</v>
      </c>
      <c r="M49" s="66">
        <v>0.0</v>
      </c>
      <c r="N49" s="66">
        <v>0.0</v>
      </c>
      <c r="O49" s="66">
        <v>0.0</v>
      </c>
      <c r="P49" s="66">
        <v>0.0</v>
      </c>
      <c r="Q49" s="66">
        <v>0.0</v>
      </c>
      <c r="R49" s="66">
        <v>1.0</v>
      </c>
      <c r="S49" s="66">
        <v>0.0</v>
      </c>
      <c r="T49" s="66">
        <v>0.0</v>
      </c>
      <c r="U49" s="66">
        <v>0.0</v>
      </c>
      <c r="V49" s="66">
        <v>0.0</v>
      </c>
      <c r="W49" s="66">
        <v>0.0</v>
      </c>
      <c r="X49" s="6">
        <f t="shared" si="14"/>
        <v>3</v>
      </c>
    </row>
    <row r="50" ht="12.75" customHeight="1">
      <c r="A50" s="18"/>
      <c r="B50" s="51"/>
      <c r="C50" s="52" t="s">
        <v>43</v>
      </c>
      <c r="D50" s="53"/>
      <c r="E50" s="66">
        <v>0.0</v>
      </c>
      <c r="F50" s="66">
        <v>0.0</v>
      </c>
      <c r="G50" s="66">
        <v>1.0</v>
      </c>
      <c r="H50" s="66">
        <v>0.0</v>
      </c>
      <c r="I50" s="66">
        <v>1.0</v>
      </c>
      <c r="J50" s="66">
        <v>0.0</v>
      </c>
      <c r="K50" s="66">
        <v>1.0</v>
      </c>
      <c r="L50" s="66">
        <v>0.0</v>
      </c>
      <c r="M50" s="66">
        <v>0.0</v>
      </c>
      <c r="N50" s="66">
        <v>0.0</v>
      </c>
      <c r="O50" s="66">
        <v>0.0</v>
      </c>
      <c r="P50" s="66">
        <v>0.0</v>
      </c>
      <c r="Q50" s="66">
        <v>0.0</v>
      </c>
      <c r="R50" s="66">
        <v>0.0</v>
      </c>
      <c r="S50" s="66">
        <v>1.0</v>
      </c>
      <c r="T50" s="66">
        <v>0.0</v>
      </c>
      <c r="U50" s="66">
        <v>0.0</v>
      </c>
      <c r="V50" s="66">
        <v>1.0</v>
      </c>
      <c r="W50" s="66">
        <v>0.0</v>
      </c>
      <c r="X50" s="6">
        <f t="shared" si="14"/>
        <v>5</v>
      </c>
    </row>
    <row r="51" ht="12.75" customHeight="1">
      <c r="A51" s="18"/>
      <c r="B51" s="51"/>
      <c r="C51" s="52" t="s">
        <v>44</v>
      </c>
      <c r="D51" s="53"/>
      <c r="E51" s="66">
        <v>0.0</v>
      </c>
      <c r="F51" s="66">
        <v>1.0</v>
      </c>
      <c r="G51" s="66">
        <v>1.0</v>
      </c>
      <c r="H51" s="66">
        <v>0.0</v>
      </c>
      <c r="I51" s="66">
        <v>1.0</v>
      </c>
      <c r="J51" s="66">
        <v>0.0</v>
      </c>
      <c r="K51" s="66">
        <v>7.0</v>
      </c>
      <c r="L51" s="66">
        <v>1.0</v>
      </c>
      <c r="M51" s="66">
        <v>0.0</v>
      </c>
      <c r="N51" s="66">
        <v>0.0</v>
      </c>
      <c r="O51" s="66">
        <v>0.0</v>
      </c>
      <c r="P51" s="66">
        <v>0.0</v>
      </c>
      <c r="Q51" s="66">
        <v>0.0</v>
      </c>
      <c r="R51" s="66">
        <v>0.0</v>
      </c>
      <c r="S51" s="66">
        <v>0.0</v>
      </c>
      <c r="T51" s="66">
        <v>0.0</v>
      </c>
      <c r="U51" s="66">
        <v>0.0</v>
      </c>
      <c r="V51" s="66">
        <v>0.0</v>
      </c>
      <c r="W51" s="66">
        <v>0.0</v>
      </c>
      <c r="X51" s="6">
        <f t="shared" si="14"/>
        <v>11</v>
      </c>
    </row>
    <row r="52" ht="12.75" customHeight="1">
      <c r="A52" s="13" t="s">
        <v>14</v>
      </c>
      <c r="B52" s="49" t="s">
        <v>45</v>
      </c>
      <c r="C52" s="8"/>
      <c r="D52" s="9"/>
      <c r="E52" s="54">
        <f t="shared" ref="E52:W52" si="15">SUM(E45:E51)</f>
        <v>77</v>
      </c>
      <c r="F52" s="54">
        <f t="shared" si="15"/>
        <v>42</v>
      </c>
      <c r="G52" s="54">
        <f t="shared" si="15"/>
        <v>55</v>
      </c>
      <c r="H52" s="54">
        <f t="shared" si="15"/>
        <v>19</v>
      </c>
      <c r="I52" s="54">
        <f t="shared" si="15"/>
        <v>51</v>
      </c>
      <c r="J52" s="54">
        <f t="shared" si="15"/>
        <v>42</v>
      </c>
      <c r="K52" s="54">
        <f t="shared" si="15"/>
        <v>67</v>
      </c>
      <c r="L52" s="54">
        <f t="shared" si="15"/>
        <v>53</v>
      </c>
      <c r="M52" s="54">
        <f t="shared" si="15"/>
        <v>23</v>
      </c>
      <c r="N52" s="54">
        <f t="shared" si="15"/>
        <v>19</v>
      </c>
      <c r="O52" s="54">
        <f t="shared" si="15"/>
        <v>34</v>
      </c>
      <c r="P52" s="54">
        <f t="shared" si="15"/>
        <v>36</v>
      </c>
      <c r="Q52" s="54">
        <f t="shared" si="15"/>
        <v>108</v>
      </c>
      <c r="R52" s="54">
        <f t="shared" si="15"/>
        <v>101</v>
      </c>
      <c r="S52" s="54">
        <f t="shared" si="15"/>
        <v>102</v>
      </c>
      <c r="T52" s="54">
        <f t="shared" si="15"/>
        <v>88</v>
      </c>
      <c r="U52" s="54">
        <f t="shared" si="15"/>
        <v>137</v>
      </c>
      <c r="V52" s="54">
        <f t="shared" si="15"/>
        <v>175</v>
      </c>
      <c r="W52" s="54">
        <f t="shared" si="15"/>
        <v>24</v>
      </c>
      <c r="X52" s="6">
        <f t="shared" si="14"/>
        <v>1253</v>
      </c>
    </row>
    <row r="53" ht="12.75" customHeight="1">
      <c r="A53" s="55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6"/>
    </row>
    <row r="54" ht="12.75" customHeight="1">
      <c r="A54" s="32" t="s">
        <v>36</v>
      </c>
      <c r="B54" s="49" t="s">
        <v>18</v>
      </c>
      <c r="C54" s="50" t="s">
        <v>46</v>
      </c>
      <c r="D54" s="9"/>
      <c r="E54" s="66">
        <v>5.0</v>
      </c>
      <c r="F54" s="66">
        <v>2.0</v>
      </c>
      <c r="G54" s="66">
        <v>18.0</v>
      </c>
      <c r="H54" s="66">
        <v>9.0</v>
      </c>
      <c r="I54" s="66">
        <v>6.0</v>
      </c>
      <c r="J54" s="66">
        <v>2.0</v>
      </c>
      <c r="K54" s="66">
        <v>8.0</v>
      </c>
      <c r="L54" s="66">
        <v>8.0</v>
      </c>
      <c r="M54" s="66">
        <v>2.0</v>
      </c>
      <c r="N54" s="66">
        <v>7.0</v>
      </c>
      <c r="O54" s="66">
        <v>5.0</v>
      </c>
      <c r="P54" s="66">
        <v>14.0</v>
      </c>
      <c r="Q54" s="66">
        <v>7.0</v>
      </c>
      <c r="R54" s="66">
        <v>6.0</v>
      </c>
      <c r="S54" s="66">
        <v>8.0</v>
      </c>
      <c r="T54" s="66">
        <v>2.0</v>
      </c>
      <c r="U54" s="66">
        <v>3.0</v>
      </c>
      <c r="V54" s="66">
        <v>1.0</v>
      </c>
      <c r="W54" s="66">
        <v>6.0</v>
      </c>
      <c r="X54" s="6">
        <f t="shared" ref="X54:X61" si="16">SUM(E54:W54)</f>
        <v>119</v>
      </c>
    </row>
    <row r="55" ht="12.75" customHeight="1">
      <c r="A55" s="32" t="s">
        <v>38</v>
      </c>
      <c r="B55" s="51"/>
      <c r="C55" s="52" t="s">
        <v>47</v>
      </c>
      <c r="D55" s="53"/>
      <c r="E55" s="66">
        <v>2.0</v>
      </c>
      <c r="F55" s="66">
        <v>15.0</v>
      </c>
      <c r="G55" s="66">
        <v>19.0</v>
      </c>
      <c r="H55" s="66">
        <v>13.0</v>
      </c>
      <c r="I55" s="66">
        <v>1.0</v>
      </c>
      <c r="J55" s="66">
        <v>8.0</v>
      </c>
      <c r="K55" s="66">
        <v>5.0</v>
      </c>
      <c r="L55" s="66">
        <v>9.0</v>
      </c>
      <c r="M55" s="66">
        <v>8.0</v>
      </c>
      <c r="N55" s="66">
        <v>35.0</v>
      </c>
      <c r="O55" s="66">
        <v>35.0</v>
      </c>
      <c r="P55" s="66">
        <v>10.0</v>
      </c>
      <c r="Q55" s="66">
        <v>6.0</v>
      </c>
      <c r="R55" s="66">
        <v>7.0</v>
      </c>
      <c r="S55" s="66">
        <v>6.0</v>
      </c>
      <c r="T55" s="66">
        <v>1.0</v>
      </c>
      <c r="U55" s="66">
        <v>3.0</v>
      </c>
      <c r="V55" s="66">
        <v>2.0</v>
      </c>
      <c r="W55" s="66">
        <v>1.0</v>
      </c>
      <c r="X55" s="6">
        <f t="shared" si="16"/>
        <v>186</v>
      </c>
    </row>
    <row r="56" ht="12.75" customHeight="1">
      <c r="A56" s="18"/>
      <c r="B56" s="51"/>
      <c r="C56" s="52" t="s">
        <v>48</v>
      </c>
      <c r="D56" s="53"/>
      <c r="E56" s="66">
        <v>1.0</v>
      </c>
      <c r="F56" s="66">
        <v>13.0</v>
      </c>
      <c r="G56" s="66">
        <v>17.0</v>
      </c>
      <c r="H56" s="66">
        <v>53.0</v>
      </c>
      <c r="I56" s="66">
        <v>12.0</v>
      </c>
      <c r="J56" s="66">
        <v>7.0</v>
      </c>
      <c r="K56" s="66">
        <v>4.0</v>
      </c>
      <c r="L56" s="66">
        <v>3.0</v>
      </c>
      <c r="M56" s="66">
        <v>6.0</v>
      </c>
      <c r="N56" s="66">
        <v>3.0</v>
      </c>
      <c r="O56" s="66">
        <v>18.0</v>
      </c>
      <c r="P56" s="66">
        <v>11.0</v>
      </c>
      <c r="Q56" s="66">
        <v>2.0</v>
      </c>
      <c r="R56" s="66">
        <v>4.0</v>
      </c>
      <c r="S56" s="66">
        <v>7.0</v>
      </c>
      <c r="T56" s="66">
        <v>0.0</v>
      </c>
      <c r="U56" s="66">
        <v>2.0</v>
      </c>
      <c r="V56" s="66">
        <v>2.0</v>
      </c>
      <c r="W56" s="66">
        <v>3.0</v>
      </c>
      <c r="X56" s="6">
        <f t="shared" si="16"/>
        <v>168</v>
      </c>
    </row>
    <row r="57" ht="12.75" customHeight="1">
      <c r="A57" s="18"/>
      <c r="B57" s="51"/>
      <c r="C57" s="52" t="s">
        <v>49</v>
      </c>
      <c r="D57" s="53"/>
      <c r="E57" s="66">
        <v>0.0</v>
      </c>
      <c r="F57" s="66">
        <v>1.0</v>
      </c>
      <c r="G57" s="66">
        <v>1.0</v>
      </c>
      <c r="H57" s="66">
        <v>1.0</v>
      </c>
      <c r="I57" s="66">
        <v>1.0</v>
      </c>
      <c r="J57" s="66">
        <v>0.0</v>
      </c>
      <c r="K57" s="66">
        <v>0.0</v>
      </c>
      <c r="L57" s="66">
        <v>0.0</v>
      </c>
      <c r="M57" s="66">
        <v>1.0</v>
      </c>
      <c r="N57" s="66">
        <v>2.0</v>
      </c>
      <c r="O57" s="66">
        <v>0.0</v>
      </c>
      <c r="P57" s="66">
        <v>1.0</v>
      </c>
      <c r="Q57" s="66">
        <v>0.0</v>
      </c>
      <c r="R57" s="66">
        <v>1.0</v>
      </c>
      <c r="S57" s="66">
        <v>2.0</v>
      </c>
      <c r="T57" s="66">
        <v>0.0</v>
      </c>
      <c r="U57" s="66">
        <v>1.0</v>
      </c>
      <c r="V57" s="66">
        <v>0.0</v>
      </c>
      <c r="W57" s="66">
        <v>0.0</v>
      </c>
      <c r="X57" s="6">
        <f t="shared" si="16"/>
        <v>12</v>
      </c>
    </row>
    <row r="58" ht="12.75" customHeight="1">
      <c r="A58" s="18"/>
      <c r="B58" s="51"/>
      <c r="C58" s="52" t="s">
        <v>50</v>
      </c>
      <c r="D58" s="53"/>
      <c r="E58" s="66">
        <v>1.0</v>
      </c>
      <c r="F58" s="66">
        <v>1.0</v>
      </c>
      <c r="G58" s="66">
        <v>2.0</v>
      </c>
      <c r="H58" s="66">
        <v>0.0</v>
      </c>
      <c r="I58" s="66">
        <v>0.0</v>
      </c>
      <c r="J58" s="66">
        <v>0.0</v>
      </c>
      <c r="K58" s="66">
        <v>0.0</v>
      </c>
      <c r="L58" s="66">
        <v>0.0</v>
      </c>
      <c r="M58" s="66">
        <v>0.0</v>
      </c>
      <c r="N58" s="66">
        <v>0.0</v>
      </c>
      <c r="O58" s="66">
        <v>0.0</v>
      </c>
      <c r="P58" s="66">
        <v>0.0</v>
      </c>
      <c r="Q58" s="66">
        <v>0.0</v>
      </c>
      <c r="R58" s="66">
        <v>1.0</v>
      </c>
      <c r="S58" s="66">
        <v>0.0</v>
      </c>
      <c r="T58" s="66">
        <v>0.0</v>
      </c>
      <c r="U58" s="66">
        <v>0.0</v>
      </c>
      <c r="V58" s="66">
        <v>0.0</v>
      </c>
      <c r="W58" s="66">
        <v>0.0</v>
      </c>
      <c r="X58" s="6">
        <f t="shared" si="16"/>
        <v>5</v>
      </c>
    </row>
    <row r="59" ht="12.75" customHeight="1">
      <c r="A59" s="18"/>
      <c r="B59" s="51"/>
      <c r="C59" s="52" t="s">
        <v>51</v>
      </c>
      <c r="D59" s="53"/>
      <c r="E59" s="66">
        <v>0.0</v>
      </c>
      <c r="F59" s="66">
        <v>0.0</v>
      </c>
      <c r="G59" s="66">
        <v>0.0</v>
      </c>
      <c r="H59" s="66">
        <v>0.0</v>
      </c>
      <c r="I59" s="66">
        <v>0.0</v>
      </c>
      <c r="J59" s="66">
        <v>0.0</v>
      </c>
      <c r="K59" s="66">
        <v>1.0</v>
      </c>
      <c r="L59" s="66">
        <v>0.0</v>
      </c>
      <c r="M59" s="66">
        <v>0.0</v>
      </c>
      <c r="N59" s="66">
        <v>0.0</v>
      </c>
      <c r="O59" s="66">
        <v>0.0</v>
      </c>
      <c r="P59" s="66">
        <v>0.0</v>
      </c>
      <c r="Q59" s="66">
        <v>1.0</v>
      </c>
      <c r="R59" s="66">
        <v>0.0</v>
      </c>
      <c r="S59" s="66">
        <v>1.0</v>
      </c>
      <c r="T59" s="66">
        <v>0.0</v>
      </c>
      <c r="U59" s="66">
        <v>0.0</v>
      </c>
      <c r="V59" s="66">
        <v>0.0</v>
      </c>
      <c r="W59" s="66">
        <v>0.0</v>
      </c>
      <c r="X59" s="6">
        <f t="shared" si="16"/>
        <v>3</v>
      </c>
    </row>
    <row r="60" ht="12.75" customHeight="1">
      <c r="A60" s="18"/>
      <c r="B60" s="51"/>
      <c r="C60" s="52" t="s">
        <v>52</v>
      </c>
      <c r="D60" s="53"/>
      <c r="E60" s="66">
        <v>0.0</v>
      </c>
      <c r="F60" s="66">
        <v>2.0</v>
      </c>
      <c r="G60" s="66">
        <v>1.0</v>
      </c>
      <c r="H60" s="66">
        <v>0.0</v>
      </c>
      <c r="I60" s="66">
        <v>0.0</v>
      </c>
      <c r="J60" s="66">
        <v>0.0</v>
      </c>
      <c r="K60" s="66">
        <v>0.0</v>
      </c>
      <c r="L60" s="66">
        <v>0.0</v>
      </c>
      <c r="M60" s="66">
        <v>0.0</v>
      </c>
      <c r="N60" s="66">
        <v>0.0</v>
      </c>
      <c r="O60" s="66">
        <v>0.0</v>
      </c>
      <c r="P60" s="66">
        <v>0.0</v>
      </c>
      <c r="Q60" s="66">
        <v>0.0</v>
      </c>
      <c r="R60" s="66">
        <v>0.0</v>
      </c>
      <c r="S60" s="66">
        <v>1.0</v>
      </c>
      <c r="T60" s="66">
        <v>0.0</v>
      </c>
      <c r="U60" s="66">
        <v>0.0</v>
      </c>
      <c r="V60" s="66">
        <v>0.0</v>
      </c>
      <c r="W60" s="66">
        <v>0.0</v>
      </c>
      <c r="X60" s="6">
        <f t="shared" si="16"/>
        <v>4</v>
      </c>
    </row>
    <row r="61" ht="12.75" customHeight="1">
      <c r="A61" s="13" t="s">
        <v>14</v>
      </c>
      <c r="B61" s="49" t="s">
        <v>45</v>
      </c>
      <c r="C61" s="8"/>
      <c r="D61" s="9"/>
      <c r="E61" s="54">
        <f t="shared" ref="E61:W61" si="17">SUM(E54:E60)</f>
        <v>9</v>
      </c>
      <c r="F61" s="54">
        <f t="shared" si="17"/>
        <v>34</v>
      </c>
      <c r="G61" s="54">
        <f t="shared" si="17"/>
        <v>58</v>
      </c>
      <c r="H61" s="54">
        <f t="shared" si="17"/>
        <v>76</v>
      </c>
      <c r="I61" s="54">
        <f t="shared" si="17"/>
        <v>20</v>
      </c>
      <c r="J61" s="54">
        <f t="shared" si="17"/>
        <v>17</v>
      </c>
      <c r="K61" s="54">
        <f t="shared" si="17"/>
        <v>18</v>
      </c>
      <c r="L61" s="54">
        <f t="shared" si="17"/>
        <v>20</v>
      </c>
      <c r="M61" s="54">
        <f t="shared" si="17"/>
        <v>17</v>
      </c>
      <c r="N61" s="54">
        <f t="shared" si="17"/>
        <v>47</v>
      </c>
      <c r="O61" s="54">
        <f t="shared" si="17"/>
        <v>58</v>
      </c>
      <c r="P61" s="54">
        <f t="shared" si="17"/>
        <v>36</v>
      </c>
      <c r="Q61" s="54">
        <f t="shared" si="17"/>
        <v>16</v>
      </c>
      <c r="R61" s="54">
        <f t="shared" si="17"/>
        <v>19</v>
      </c>
      <c r="S61" s="54">
        <f t="shared" si="17"/>
        <v>25</v>
      </c>
      <c r="T61" s="54">
        <f t="shared" si="17"/>
        <v>3</v>
      </c>
      <c r="U61" s="54">
        <f t="shared" si="17"/>
        <v>9</v>
      </c>
      <c r="V61" s="54">
        <f t="shared" si="17"/>
        <v>5</v>
      </c>
      <c r="W61" s="54">
        <f t="shared" si="17"/>
        <v>10</v>
      </c>
      <c r="X61" s="6">
        <f t="shared" si="16"/>
        <v>497</v>
      </c>
    </row>
    <row r="62" ht="12.75" customHeight="1">
      <c r="A62" s="55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6"/>
    </row>
    <row r="63" ht="12.75" customHeight="1">
      <c r="A63" s="32" t="s">
        <v>36</v>
      </c>
      <c r="B63" s="49" t="s">
        <v>20</v>
      </c>
      <c r="C63" s="50" t="s">
        <v>53</v>
      </c>
      <c r="D63" s="9"/>
      <c r="E63" s="66">
        <v>6.0</v>
      </c>
      <c r="F63" s="66">
        <v>8.0</v>
      </c>
      <c r="G63" s="66">
        <v>5.0</v>
      </c>
      <c r="H63" s="66">
        <v>3.0</v>
      </c>
      <c r="I63" s="66">
        <v>4.0</v>
      </c>
      <c r="J63" s="66">
        <v>16.0</v>
      </c>
      <c r="K63" s="66">
        <v>6.0</v>
      </c>
      <c r="L63" s="66">
        <v>10.0</v>
      </c>
      <c r="M63" s="66">
        <v>30.0</v>
      </c>
      <c r="N63" s="66">
        <v>23.0</v>
      </c>
      <c r="O63" s="66">
        <v>12.0</v>
      </c>
      <c r="P63" s="66">
        <v>13.0</v>
      </c>
      <c r="Q63" s="66">
        <v>6.0</v>
      </c>
      <c r="R63" s="66">
        <v>16.0</v>
      </c>
      <c r="S63" s="66">
        <v>14.0</v>
      </c>
      <c r="T63" s="66">
        <v>4.0</v>
      </c>
      <c r="U63" s="66">
        <v>2.0</v>
      </c>
      <c r="V63" s="66">
        <v>0.0</v>
      </c>
      <c r="W63" s="66">
        <v>6.0</v>
      </c>
      <c r="X63" s="6">
        <f t="shared" ref="X63:X70" si="18">SUM(E63:W63)</f>
        <v>184</v>
      </c>
    </row>
    <row r="64" ht="12.75" customHeight="1">
      <c r="A64" s="32" t="s">
        <v>38</v>
      </c>
      <c r="B64" s="51"/>
      <c r="C64" s="52" t="s">
        <v>54</v>
      </c>
      <c r="D64" s="53"/>
      <c r="E64" s="66">
        <v>1.0</v>
      </c>
      <c r="F64" s="66">
        <v>2.0</v>
      </c>
      <c r="G64" s="66">
        <v>1.0</v>
      </c>
      <c r="H64" s="66">
        <v>0.0</v>
      </c>
      <c r="I64" s="66">
        <v>0.0</v>
      </c>
      <c r="J64" s="66">
        <v>5.0</v>
      </c>
      <c r="K64" s="66">
        <v>3.0</v>
      </c>
      <c r="L64" s="66">
        <v>1.0</v>
      </c>
      <c r="M64" s="66">
        <v>5.0</v>
      </c>
      <c r="N64" s="66">
        <v>1.0</v>
      </c>
      <c r="O64" s="66">
        <v>1.0</v>
      </c>
      <c r="P64" s="66">
        <v>3.0</v>
      </c>
      <c r="Q64" s="66">
        <v>6.0</v>
      </c>
      <c r="R64" s="66">
        <v>5.0</v>
      </c>
      <c r="S64" s="66">
        <v>9.0</v>
      </c>
      <c r="T64" s="66">
        <v>9.0</v>
      </c>
      <c r="U64" s="66">
        <v>3.0</v>
      </c>
      <c r="V64" s="66">
        <v>3.0</v>
      </c>
      <c r="W64" s="66">
        <v>0.0</v>
      </c>
      <c r="X64" s="6">
        <f t="shared" si="18"/>
        <v>58</v>
      </c>
    </row>
    <row r="65" ht="12.75" customHeight="1">
      <c r="A65" s="18"/>
      <c r="B65" s="51"/>
      <c r="C65" s="52" t="s">
        <v>55</v>
      </c>
      <c r="D65" s="53"/>
      <c r="E65" s="66">
        <v>3.0</v>
      </c>
      <c r="F65" s="66">
        <v>0.0</v>
      </c>
      <c r="G65" s="66">
        <v>3.0</v>
      </c>
      <c r="H65" s="66">
        <v>0.0</v>
      </c>
      <c r="I65" s="66">
        <v>2.0</v>
      </c>
      <c r="J65" s="66">
        <v>2.0</v>
      </c>
      <c r="K65" s="66">
        <v>2.0</v>
      </c>
      <c r="L65" s="66">
        <v>1.0</v>
      </c>
      <c r="M65" s="66">
        <v>4.0</v>
      </c>
      <c r="N65" s="66">
        <v>3.0</v>
      </c>
      <c r="O65" s="66">
        <v>3.0</v>
      </c>
      <c r="P65" s="66">
        <v>6.0</v>
      </c>
      <c r="Q65" s="66">
        <v>2.0</v>
      </c>
      <c r="R65" s="66">
        <v>4.0</v>
      </c>
      <c r="S65" s="66">
        <v>3.0</v>
      </c>
      <c r="T65" s="66">
        <v>3.0</v>
      </c>
      <c r="U65" s="66">
        <v>6.0</v>
      </c>
      <c r="V65" s="66">
        <v>1.0</v>
      </c>
      <c r="W65" s="66">
        <v>178.0</v>
      </c>
      <c r="X65" s="6">
        <f t="shared" si="18"/>
        <v>226</v>
      </c>
    </row>
    <row r="66" ht="12.75" customHeight="1">
      <c r="A66" s="18"/>
      <c r="B66" s="51"/>
      <c r="C66" s="52" t="s">
        <v>56</v>
      </c>
      <c r="D66" s="53"/>
      <c r="E66" s="66">
        <v>1.0</v>
      </c>
      <c r="F66" s="66">
        <v>5.0</v>
      </c>
      <c r="G66" s="66">
        <v>6.0</v>
      </c>
      <c r="H66" s="66">
        <v>2.0</v>
      </c>
      <c r="I66" s="66">
        <v>0.0</v>
      </c>
      <c r="J66" s="66">
        <v>0.0</v>
      </c>
      <c r="K66" s="66">
        <v>1.0</v>
      </c>
      <c r="L66" s="66">
        <v>9.0</v>
      </c>
      <c r="M66" s="66">
        <v>36.0</v>
      </c>
      <c r="N66" s="66">
        <v>46.0</v>
      </c>
      <c r="O66" s="66">
        <v>37.0</v>
      </c>
      <c r="P66" s="66">
        <v>6.0</v>
      </c>
      <c r="Q66" s="66">
        <v>0.0</v>
      </c>
      <c r="R66" s="66">
        <v>1.0</v>
      </c>
      <c r="S66" s="66">
        <v>0.0</v>
      </c>
      <c r="T66" s="66">
        <v>1.0</v>
      </c>
      <c r="U66" s="66">
        <v>1.0</v>
      </c>
      <c r="V66" s="66">
        <v>0.0</v>
      </c>
      <c r="W66" s="66">
        <v>1.0</v>
      </c>
      <c r="X66" s="6">
        <f t="shared" si="18"/>
        <v>153</v>
      </c>
    </row>
    <row r="67" ht="12.75" customHeight="1">
      <c r="A67" s="18"/>
      <c r="B67" s="51"/>
      <c r="C67" s="52" t="s">
        <v>57</v>
      </c>
      <c r="D67" s="53"/>
      <c r="E67" s="66">
        <v>12.0</v>
      </c>
      <c r="F67" s="66">
        <v>1.0</v>
      </c>
      <c r="G67" s="66">
        <v>0.0</v>
      </c>
      <c r="H67" s="66">
        <v>2.0</v>
      </c>
      <c r="I67" s="66">
        <v>0.0</v>
      </c>
      <c r="J67" s="66">
        <v>16.0</v>
      </c>
      <c r="K67" s="66">
        <v>24.0</v>
      </c>
      <c r="L67" s="66">
        <v>22.0</v>
      </c>
      <c r="M67" s="66">
        <v>22.0</v>
      </c>
      <c r="N67" s="66">
        <v>7.0</v>
      </c>
      <c r="O67" s="66">
        <v>15.0</v>
      </c>
      <c r="P67" s="66">
        <v>6.0</v>
      </c>
      <c r="Q67" s="66">
        <v>18.0</v>
      </c>
      <c r="R67" s="66">
        <v>5.0</v>
      </c>
      <c r="S67" s="66">
        <v>6.0</v>
      </c>
      <c r="T67" s="66">
        <v>8.0</v>
      </c>
      <c r="U67" s="66">
        <v>0.0</v>
      </c>
      <c r="V67" s="66">
        <v>0.0</v>
      </c>
      <c r="W67" s="66">
        <v>0.0</v>
      </c>
      <c r="X67" s="6">
        <f t="shared" si="18"/>
        <v>164</v>
      </c>
    </row>
    <row r="68" ht="12.75" customHeight="1">
      <c r="A68" s="18"/>
      <c r="B68" s="51"/>
      <c r="C68" s="52" t="s">
        <v>58</v>
      </c>
      <c r="D68" s="53"/>
      <c r="E68" s="66">
        <v>2.0</v>
      </c>
      <c r="F68" s="66">
        <v>11.0</v>
      </c>
      <c r="G68" s="66">
        <v>12.0</v>
      </c>
      <c r="H68" s="66">
        <v>6.0</v>
      </c>
      <c r="I68" s="66">
        <v>9.0</v>
      </c>
      <c r="J68" s="66">
        <v>0.0</v>
      </c>
      <c r="K68" s="66">
        <v>14.0</v>
      </c>
      <c r="L68" s="66">
        <v>6.0</v>
      </c>
      <c r="M68" s="66">
        <v>1.0</v>
      </c>
      <c r="N68" s="66">
        <v>9.0</v>
      </c>
      <c r="O68" s="66">
        <v>4.0</v>
      </c>
      <c r="P68" s="66">
        <v>5.0</v>
      </c>
      <c r="Q68" s="66">
        <v>11.0</v>
      </c>
      <c r="R68" s="66">
        <v>11.0</v>
      </c>
      <c r="S68" s="66">
        <v>4.0</v>
      </c>
      <c r="T68" s="66">
        <v>4.0</v>
      </c>
      <c r="U68" s="66">
        <v>11.0</v>
      </c>
      <c r="V68" s="66">
        <v>12.0</v>
      </c>
      <c r="W68" s="66">
        <v>4.0</v>
      </c>
      <c r="X68" s="6">
        <f t="shared" si="18"/>
        <v>136</v>
      </c>
    </row>
    <row r="69" ht="12.75" customHeight="1">
      <c r="A69" s="18"/>
      <c r="B69" s="51"/>
      <c r="C69" s="52" t="s">
        <v>59</v>
      </c>
      <c r="D69" s="53"/>
      <c r="E69" s="66">
        <v>0.0</v>
      </c>
      <c r="F69" s="66">
        <v>0.0</v>
      </c>
      <c r="G69" s="66">
        <v>4.0</v>
      </c>
      <c r="H69" s="66">
        <v>7.0</v>
      </c>
      <c r="I69" s="66">
        <v>3.0</v>
      </c>
      <c r="J69" s="66">
        <v>1.0</v>
      </c>
      <c r="K69" s="66">
        <v>5.0</v>
      </c>
      <c r="L69" s="66">
        <v>5.0</v>
      </c>
      <c r="M69" s="66">
        <v>2.0</v>
      </c>
      <c r="N69" s="66">
        <v>5.0</v>
      </c>
      <c r="O69" s="66">
        <v>8.0</v>
      </c>
      <c r="P69" s="66">
        <v>26.0</v>
      </c>
      <c r="Q69" s="66">
        <v>10.0</v>
      </c>
      <c r="R69" s="66">
        <v>4.0</v>
      </c>
      <c r="S69" s="66">
        <v>0.0</v>
      </c>
      <c r="T69" s="66">
        <v>0.0</v>
      </c>
      <c r="U69" s="66">
        <v>0.0</v>
      </c>
      <c r="V69" s="66">
        <v>0.0</v>
      </c>
      <c r="W69" s="66">
        <v>0.0</v>
      </c>
      <c r="X69" s="6">
        <f t="shared" si="18"/>
        <v>80</v>
      </c>
    </row>
    <row r="70" ht="12.75" customHeight="1">
      <c r="A70" s="13" t="s">
        <v>14</v>
      </c>
      <c r="B70" s="49" t="s">
        <v>45</v>
      </c>
      <c r="C70" s="8"/>
      <c r="D70" s="9"/>
      <c r="E70" s="54">
        <f t="shared" ref="E70:W70" si="19">SUM(E63:E69)</f>
        <v>25</v>
      </c>
      <c r="F70" s="54">
        <f t="shared" si="19"/>
        <v>27</v>
      </c>
      <c r="G70" s="54">
        <f t="shared" si="19"/>
        <v>31</v>
      </c>
      <c r="H70" s="54">
        <f t="shared" si="19"/>
        <v>20</v>
      </c>
      <c r="I70" s="54">
        <f t="shared" si="19"/>
        <v>18</v>
      </c>
      <c r="J70" s="54">
        <f t="shared" si="19"/>
        <v>40</v>
      </c>
      <c r="K70" s="54">
        <f t="shared" si="19"/>
        <v>55</v>
      </c>
      <c r="L70" s="54">
        <f t="shared" si="19"/>
        <v>54</v>
      </c>
      <c r="M70" s="54">
        <f t="shared" si="19"/>
        <v>100</v>
      </c>
      <c r="N70" s="54">
        <f t="shared" si="19"/>
        <v>94</v>
      </c>
      <c r="O70" s="54">
        <f t="shared" si="19"/>
        <v>80</v>
      </c>
      <c r="P70" s="54">
        <f t="shared" si="19"/>
        <v>65</v>
      </c>
      <c r="Q70" s="54">
        <f t="shared" si="19"/>
        <v>53</v>
      </c>
      <c r="R70" s="54">
        <f t="shared" si="19"/>
        <v>46</v>
      </c>
      <c r="S70" s="54">
        <f t="shared" si="19"/>
        <v>36</v>
      </c>
      <c r="T70" s="54">
        <f t="shared" si="19"/>
        <v>29</v>
      </c>
      <c r="U70" s="54">
        <f t="shared" si="19"/>
        <v>23</v>
      </c>
      <c r="V70" s="54">
        <f t="shared" si="19"/>
        <v>16</v>
      </c>
      <c r="W70" s="54">
        <f t="shared" si="19"/>
        <v>189</v>
      </c>
      <c r="X70" s="6">
        <f t="shared" si="18"/>
        <v>1001</v>
      </c>
    </row>
    <row r="71" ht="12.75" customHeight="1">
      <c r="A71" s="55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6"/>
    </row>
    <row r="72" ht="12.75" customHeight="1">
      <c r="A72" s="32" t="s">
        <v>36</v>
      </c>
      <c r="B72" s="49" t="s">
        <v>22</v>
      </c>
      <c r="C72" s="50" t="s">
        <v>60</v>
      </c>
      <c r="D72" s="9"/>
      <c r="E72" s="66">
        <v>4.0</v>
      </c>
      <c r="F72" s="66">
        <v>1.0</v>
      </c>
      <c r="G72" s="66">
        <v>0.0</v>
      </c>
      <c r="H72" s="66">
        <v>2.0</v>
      </c>
      <c r="I72" s="66">
        <v>3.0</v>
      </c>
      <c r="J72" s="66">
        <v>8.0</v>
      </c>
      <c r="K72" s="66">
        <v>3.0</v>
      </c>
      <c r="L72" s="66">
        <v>2.0</v>
      </c>
      <c r="M72" s="66">
        <v>3.0</v>
      </c>
      <c r="N72" s="66">
        <v>1.0</v>
      </c>
      <c r="O72" s="66">
        <v>1.0</v>
      </c>
      <c r="P72" s="66">
        <v>11.0</v>
      </c>
      <c r="Q72" s="66">
        <v>3.0</v>
      </c>
      <c r="R72" s="66">
        <v>3.0</v>
      </c>
      <c r="S72" s="66">
        <v>2.0</v>
      </c>
      <c r="T72" s="66">
        <v>9.0</v>
      </c>
      <c r="U72" s="66">
        <v>0.0</v>
      </c>
      <c r="V72" s="66">
        <v>0.0</v>
      </c>
      <c r="W72" s="66">
        <v>0.0</v>
      </c>
      <c r="X72" s="6">
        <f t="shared" ref="X72:X79" si="20">SUM(E72:W72)</f>
        <v>56</v>
      </c>
    </row>
    <row r="73" ht="12.75" customHeight="1">
      <c r="A73" s="32" t="s">
        <v>38</v>
      </c>
      <c r="B73" s="51"/>
      <c r="C73" s="52" t="s">
        <v>61</v>
      </c>
      <c r="D73" s="53"/>
      <c r="E73" s="66">
        <v>2.0</v>
      </c>
      <c r="F73" s="66">
        <v>4.0</v>
      </c>
      <c r="G73" s="66">
        <v>4.0</v>
      </c>
      <c r="H73" s="66">
        <v>6.0</v>
      </c>
      <c r="I73" s="66">
        <v>4.0</v>
      </c>
      <c r="J73" s="66">
        <v>49.0</v>
      </c>
      <c r="K73" s="66">
        <v>6.0</v>
      </c>
      <c r="L73" s="66">
        <v>6.0</v>
      </c>
      <c r="M73" s="66">
        <v>2.0</v>
      </c>
      <c r="N73" s="66">
        <v>3.0</v>
      </c>
      <c r="O73" s="66">
        <v>12.0</v>
      </c>
      <c r="P73" s="66">
        <v>12.0</v>
      </c>
      <c r="Q73" s="66">
        <v>4.0</v>
      </c>
      <c r="R73" s="66">
        <v>12.0</v>
      </c>
      <c r="S73" s="66">
        <v>2.0</v>
      </c>
      <c r="T73" s="66">
        <v>43.0</v>
      </c>
      <c r="U73" s="66">
        <v>1.0</v>
      </c>
      <c r="V73" s="66">
        <v>0.0</v>
      </c>
      <c r="W73" s="66">
        <v>0.0</v>
      </c>
      <c r="X73" s="6">
        <f t="shared" si="20"/>
        <v>172</v>
      </c>
    </row>
    <row r="74" ht="12.75" customHeight="1">
      <c r="A74" s="18"/>
      <c r="B74" s="51"/>
      <c r="C74" s="52" t="s">
        <v>62</v>
      </c>
      <c r="D74" s="53"/>
      <c r="E74" s="66">
        <v>0.0</v>
      </c>
      <c r="F74" s="66">
        <v>0.0</v>
      </c>
      <c r="G74" s="66">
        <v>0.0</v>
      </c>
      <c r="H74" s="66">
        <v>2.0</v>
      </c>
      <c r="I74" s="66">
        <v>0.0</v>
      </c>
      <c r="J74" s="66">
        <v>1.0</v>
      </c>
      <c r="K74" s="66">
        <v>0.0</v>
      </c>
      <c r="L74" s="66">
        <v>0.0</v>
      </c>
      <c r="M74" s="66">
        <v>0.0</v>
      </c>
      <c r="N74" s="66">
        <v>1.0</v>
      </c>
      <c r="O74" s="66">
        <v>0.0</v>
      </c>
      <c r="P74" s="66">
        <v>0.0</v>
      </c>
      <c r="Q74" s="66">
        <v>2.0</v>
      </c>
      <c r="R74" s="66">
        <v>0.0</v>
      </c>
      <c r="S74" s="66">
        <v>0.0</v>
      </c>
      <c r="T74" s="66">
        <v>0.0</v>
      </c>
      <c r="U74" s="66">
        <v>0.0</v>
      </c>
      <c r="V74" s="66">
        <v>0.0</v>
      </c>
      <c r="W74" s="66">
        <v>0.0</v>
      </c>
      <c r="X74" s="6">
        <f t="shared" si="20"/>
        <v>6</v>
      </c>
    </row>
    <row r="75" ht="12.75" customHeight="1">
      <c r="A75" s="18"/>
      <c r="B75" s="51"/>
      <c r="C75" s="52" t="s">
        <v>63</v>
      </c>
      <c r="D75" s="53"/>
      <c r="E75" s="66">
        <v>2.0</v>
      </c>
      <c r="F75" s="66">
        <v>2.0</v>
      </c>
      <c r="G75" s="66">
        <v>1.0</v>
      </c>
      <c r="H75" s="66">
        <v>0.0</v>
      </c>
      <c r="I75" s="66">
        <v>3.0</v>
      </c>
      <c r="J75" s="66">
        <v>5.0</v>
      </c>
      <c r="K75" s="66">
        <v>2.0</v>
      </c>
      <c r="L75" s="66">
        <v>0.0</v>
      </c>
      <c r="M75" s="66">
        <v>0.0</v>
      </c>
      <c r="N75" s="66">
        <v>0.0</v>
      </c>
      <c r="O75" s="66">
        <v>0.0</v>
      </c>
      <c r="P75" s="66">
        <v>7.0</v>
      </c>
      <c r="Q75" s="66">
        <v>0.0</v>
      </c>
      <c r="R75" s="66">
        <v>0.0</v>
      </c>
      <c r="S75" s="66">
        <v>0.0</v>
      </c>
      <c r="T75" s="66">
        <v>0.0</v>
      </c>
      <c r="U75" s="66">
        <v>1.0</v>
      </c>
      <c r="V75" s="66">
        <v>0.0</v>
      </c>
      <c r="W75" s="66">
        <v>1.0</v>
      </c>
      <c r="X75" s="6">
        <f t="shared" si="20"/>
        <v>24</v>
      </c>
    </row>
    <row r="76" ht="12.75" customHeight="1">
      <c r="A76" s="18"/>
      <c r="B76" s="51"/>
      <c r="C76" s="52" t="s">
        <v>64</v>
      </c>
      <c r="D76" s="53"/>
      <c r="E76" s="66">
        <v>0.0</v>
      </c>
      <c r="F76" s="66">
        <v>0.0</v>
      </c>
      <c r="G76" s="66">
        <v>0.0</v>
      </c>
      <c r="H76" s="66">
        <v>0.0</v>
      </c>
      <c r="I76" s="66">
        <v>0.0</v>
      </c>
      <c r="J76" s="66">
        <v>1.0</v>
      </c>
      <c r="K76" s="66">
        <v>0.0</v>
      </c>
      <c r="L76" s="66">
        <v>0.0</v>
      </c>
      <c r="M76" s="66">
        <v>1.0</v>
      </c>
      <c r="N76" s="66">
        <v>0.0</v>
      </c>
      <c r="O76" s="66">
        <v>1.0</v>
      </c>
      <c r="P76" s="66">
        <v>0.0</v>
      </c>
      <c r="Q76" s="66">
        <v>0.0</v>
      </c>
      <c r="R76" s="66">
        <v>1.0</v>
      </c>
      <c r="S76" s="66">
        <v>0.0</v>
      </c>
      <c r="T76" s="66">
        <v>0.0</v>
      </c>
      <c r="U76" s="66">
        <v>0.0</v>
      </c>
      <c r="V76" s="66">
        <v>0.0</v>
      </c>
      <c r="W76" s="66">
        <v>0.0</v>
      </c>
      <c r="X76" s="6">
        <f t="shared" si="20"/>
        <v>4</v>
      </c>
    </row>
    <row r="77" ht="12.75" customHeight="1">
      <c r="A77" s="18"/>
      <c r="B77" s="51"/>
      <c r="C77" s="52" t="s">
        <v>65</v>
      </c>
      <c r="D77" s="53"/>
      <c r="E77" s="66">
        <v>0.0</v>
      </c>
      <c r="F77" s="66">
        <v>0.0</v>
      </c>
      <c r="G77" s="66">
        <v>0.0</v>
      </c>
      <c r="H77" s="66">
        <v>0.0</v>
      </c>
      <c r="I77" s="66">
        <v>1.0</v>
      </c>
      <c r="J77" s="66">
        <v>0.0</v>
      </c>
      <c r="K77" s="66">
        <v>0.0</v>
      </c>
      <c r="L77" s="66">
        <v>1.0</v>
      </c>
      <c r="M77" s="66">
        <v>0.0</v>
      </c>
      <c r="N77" s="66">
        <v>0.0</v>
      </c>
      <c r="O77" s="66">
        <v>0.0</v>
      </c>
      <c r="P77" s="66">
        <v>0.0</v>
      </c>
      <c r="Q77" s="66">
        <v>0.0</v>
      </c>
      <c r="R77" s="66">
        <v>1.0</v>
      </c>
      <c r="S77" s="66">
        <v>0.0</v>
      </c>
      <c r="T77" s="66">
        <v>0.0</v>
      </c>
      <c r="U77" s="66">
        <v>0.0</v>
      </c>
      <c r="V77" s="66">
        <v>0.0</v>
      </c>
      <c r="W77" s="66">
        <v>0.0</v>
      </c>
      <c r="X77" s="6">
        <f t="shared" si="20"/>
        <v>3</v>
      </c>
    </row>
    <row r="78" ht="12.75" customHeight="1">
      <c r="A78" s="18"/>
      <c r="B78" s="51"/>
      <c r="C78" s="52" t="s">
        <v>66</v>
      </c>
      <c r="D78" s="53"/>
      <c r="E78" s="66">
        <v>0.0</v>
      </c>
      <c r="F78" s="66">
        <v>0.0</v>
      </c>
      <c r="G78" s="66">
        <v>0.0</v>
      </c>
      <c r="H78" s="66">
        <v>0.0</v>
      </c>
      <c r="I78" s="66">
        <v>0.0</v>
      </c>
      <c r="J78" s="66">
        <v>1.0</v>
      </c>
      <c r="K78" s="66">
        <v>0.0</v>
      </c>
      <c r="L78" s="66">
        <v>0.0</v>
      </c>
      <c r="M78" s="66">
        <v>0.0</v>
      </c>
      <c r="N78" s="66">
        <v>0.0</v>
      </c>
      <c r="O78" s="66">
        <v>0.0</v>
      </c>
      <c r="P78" s="66">
        <v>0.0</v>
      </c>
      <c r="Q78" s="66">
        <v>0.0</v>
      </c>
      <c r="R78" s="66">
        <v>0.0</v>
      </c>
      <c r="S78" s="66">
        <v>0.0</v>
      </c>
      <c r="T78" s="66">
        <v>2.0</v>
      </c>
      <c r="U78" s="66">
        <v>0.0</v>
      </c>
      <c r="V78" s="66">
        <v>0.0</v>
      </c>
      <c r="W78" s="66">
        <v>0.0</v>
      </c>
      <c r="X78" s="6">
        <f t="shared" si="20"/>
        <v>3</v>
      </c>
    </row>
    <row r="79" ht="12.75" customHeight="1">
      <c r="A79" s="13" t="s">
        <v>14</v>
      </c>
      <c r="B79" s="49" t="s">
        <v>45</v>
      </c>
      <c r="C79" s="8"/>
      <c r="D79" s="9"/>
      <c r="E79" s="54">
        <f t="shared" ref="E79:W79" si="21">SUM(E72:E78)</f>
        <v>8</v>
      </c>
      <c r="F79" s="54">
        <f t="shared" si="21"/>
        <v>7</v>
      </c>
      <c r="G79" s="54">
        <f t="shared" si="21"/>
        <v>5</v>
      </c>
      <c r="H79" s="54">
        <f t="shared" si="21"/>
        <v>10</v>
      </c>
      <c r="I79" s="54">
        <f t="shared" si="21"/>
        <v>11</v>
      </c>
      <c r="J79" s="54">
        <f t="shared" si="21"/>
        <v>65</v>
      </c>
      <c r="K79" s="54">
        <f t="shared" si="21"/>
        <v>11</v>
      </c>
      <c r="L79" s="54">
        <f t="shared" si="21"/>
        <v>9</v>
      </c>
      <c r="M79" s="54">
        <f t="shared" si="21"/>
        <v>6</v>
      </c>
      <c r="N79" s="54">
        <f t="shared" si="21"/>
        <v>5</v>
      </c>
      <c r="O79" s="54">
        <f t="shared" si="21"/>
        <v>14</v>
      </c>
      <c r="P79" s="54">
        <f t="shared" si="21"/>
        <v>30</v>
      </c>
      <c r="Q79" s="54">
        <f t="shared" si="21"/>
        <v>9</v>
      </c>
      <c r="R79" s="54">
        <f t="shared" si="21"/>
        <v>17</v>
      </c>
      <c r="S79" s="54">
        <f t="shared" si="21"/>
        <v>4</v>
      </c>
      <c r="T79" s="54">
        <f t="shared" si="21"/>
        <v>54</v>
      </c>
      <c r="U79" s="54">
        <f t="shared" si="21"/>
        <v>2</v>
      </c>
      <c r="V79" s="54">
        <f t="shared" si="21"/>
        <v>0</v>
      </c>
      <c r="W79" s="54">
        <f t="shared" si="21"/>
        <v>1</v>
      </c>
      <c r="X79" s="6">
        <f t="shared" si="20"/>
        <v>268</v>
      </c>
    </row>
    <row r="80" ht="12.75" customHeight="1">
      <c r="A80" s="55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6"/>
    </row>
    <row r="81" ht="12.75" customHeight="1">
      <c r="A81" s="32" t="s">
        <v>36</v>
      </c>
      <c r="B81" s="49" t="s">
        <v>67</v>
      </c>
      <c r="C81" s="50" t="s">
        <v>68</v>
      </c>
      <c r="D81" s="9"/>
      <c r="E81" s="66">
        <v>0.0</v>
      </c>
      <c r="F81" s="66">
        <v>1.0</v>
      </c>
      <c r="G81" s="66">
        <v>4.0</v>
      </c>
      <c r="H81" s="66">
        <v>0.0</v>
      </c>
      <c r="I81" s="66">
        <v>1.0</v>
      </c>
      <c r="J81" s="66">
        <v>0.0</v>
      </c>
      <c r="K81" s="66">
        <v>4.0</v>
      </c>
      <c r="L81" s="66">
        <v>0.0</v>
      </c>
      <c r="M81" s="66">
        <v>0.0</v>
      </c>
      <c r="N81" s="66">
        <v>0.0</v>
      </c>
      <c r="O81" s="66">
        <v>0.0</v>
      </c>
      <c r="P81" s="66">
        <v>2.0</v>
      </c>
      <c r="Q81" s="66">
        <v>0.0</v>
      </c>
      <c r="R81" s="66">
        <v>3.0</v>
      </c>
      <c r="S81" s="66">
        <v>1.0</v>
      </c>
      <c r="T81" s="66">
        <v>0.0</v>
      </c>
      <c r="U81" s="66">
        <v>0.0</v>
      </c>
      <c r="V81" s="66">
        <v>1.0</v>
      </c>
      <c r="W81" s="66">
        <v>1.0</v>
      </c>
      <c r="X81" s="6">
        <f t="shared" ref="X81:X88" si="22">SUM(E81:W81)</f>
        <v>18</v>
      </c>
    </row>
    <row r="82" ht="12.75" customHeight="1">
      <c r="A82" s="32" t="s">
        <v>38</v>
      </c>
      <c r="B82" s="51"/>
      <c r="C82" s="52" t="s">
        <v>69</v>
      </c>
      <c r="D82" s="53"/>
      <c r="E82" s="66">
        <v>0.0</v>
      </c>
      <c r="F82" s="66">
        <v>1.0</v>
      </c>
      <c r="G82" s="66">
        <v>0.0</v>
      </c>
      <c r="H82" s="66">
        <v>0.0</v>
      </c>
      <c r="I82" s="66">
        <v>0.0</v>
      </c>
      <c r="J82" s="66">
        <v>1.0</v>
      </c>
      <c r="K82" s="66">
        <v>1.0</v>
      </c>
      <c r="L82" s="66">
        <v>2.0</v>
      </c>
      <c r="M82" s="66">
        <v>0.0</v>
      </c>
      <c r="N82" s="66">
        <v>0.0</v>
      </c>
      <c r="O82" s="66">
        <v>0.0</v>
      </c>
      <c r="P82" s="66">
        <v>1.0</v>
      </c>
      <c r="Q82" s="66">
        <v>0.0</v>
      </c>
      <c r="R82" s="66">
        <v>0.0</v>
      </c>
      <c r="S82" s="66">
        <v>1.0</v>
      </c>
      <c r="T82" s="66">
        <v>0.0</v>
      </c>
      <c r="U82" s="66">
        <v>0.0</v>
      </c>
      <c r="V82" s="66">
        <v>0.0</v>
      </c>
      <c r="W82" s="66">
        <v>1.0</v>
      </c>
      <c r="X82" s="6">
        <f t="shared" si="22"/>
        <v>8</v>
      </c>
    </row>
    <row r="83" ht="12.75" customHeight="1">
      <c r="A83" s="18"/>
      <c r="B83" s="51"/>
      <c r="C83" s="52" t="s">
        <v>70</v>
      </c>
      <c r="D83" s="53"/>
      <c r="E83" s="66">
        <v>0.0</v>
      </c>
      <c r="F83" s="66">
        <v>2.0</v>
      </c>
      <c r="G83" s="66">
        <v>2.0</v>
      </c>
      <c r="H83" s="66">
        <v>0.0</v>
      </c>
      <c r="I83" s="66">
        <v>1.0</v>
      </c>
      <c r="J83" s="66">
        <v>0.0</v>
      </c>
      <c r="K83" s="66">
        <v>7.0</v>
      </c>
      <c r="L83" s="66">
        <v>0.0</v>
      </c>
      <c r="M83" s="66">
        <v>0.0</v>
      </c>
      <c r="N83" s="66">
        <v>0.0</v>
      </c>
      <c r="O83" s="66">
        <v>2.0</v>
      </c>
      <c r="P83" s="66">
        <v>2.0</v>
      </c>
      <c r="Q83" s="66">
        <v>3.0</v>
      </c>
      <c r="R83" s="66">
        <v>2.0</v>
      </c>
      <c r="S83" s="66">
        <v>0.0</v>
      </c>
      <c r="T83" s="66">
        <v>4.0</v>
      </c>
      <c r="U83" s="66">
        <v>0.0</v>
      </c>
      <c r="V83" s="66">
        <v>5.0</v>
      </c>
      <c r="W83" s="66">
        <v>2.0</v>
      </c>
      <c r="X83" s="6">
        <f t="shared" si="22"/>
        <v>32</v>
      </c>
    </row>
    <row r="84" ht="12.75" customHeight="1">
      <c r="A84" s="18"/>
      <c r="B84" s="51"/>
      <c r="C84" s="52" t="s">
        <v>71</v>
      </c>
      <c r="D84" s="53"/>
      <c r="E84" s="66">
        <v>0.0</v>
      </c>
      <c r="F84" s="66">
        <v>0.0</v>
      </c>
      <c r="G84" s="66">
        <v>0.0</v>
      </c>
      <c r="H84" s="66">
        <v>0.0</v>
      </c>
      <c r="I84" s="66">
        <v>0.0</v>
      </c>
      <c r="J84" s="66">
        <v>0.0</v>
      </c>
      <c r="K84" s="66">
        <v>0.0</v>
      </c>
      <c r="L84" s="66">
        <v>0.0</v>
      </c>
      <c r="M84" s="66">
        <v>0.0</v>
      </c>
      <c r="N84" s="66">
        <v>0.0</v>
      </c>
      <c r="O84" s="66">
        <v>0.0</v>
      </c>
      <c r="P84" s="66">
        <v>0.0</v>
      </c>
      <c r="Q84" s="66">
        <v>0.0</v>
      </c>
      <c r="R84" s="66">
        <v>1.0</v>
      </c>
      <c r="S84" s="66">
        <v>1.0</v>
      </c>
      <c r="T84" s="66">
        <v>0.0</v>
      </c>
      <c r="U84" s="66">
        <v>0.0</v>
      </c>
      <c r="V84" s="66">
        <v>0.0</v>
      </c>
      <c r="W84" s="66">
        <v>1.0</v>
      </c>
      <c r="X84" s="6">
        <f t="shared" si="22"/>
        <v>3</v>
      </c>
    </row>
    <row r="85" ht="12.75" customHeight="1">
      <c r="A85" s="18"/>
      <c r="B85" s="51"/>
      <c r="C85" s="52" t="s">
        <v>72</v>
      </c>
      <c r="D85" s="53"/>
      <c r="E85" s="66">
        <v>0.0</v>
      </c>
      <c r="F85" s="66">
        <v>0.0</v>
      </c>
      <c r="G85" s="66">
        <v>0.0</v>
      </c>
      <c r="H85" s="66">
        <v>0.0</v>
      </c>
      <c r="I85" s="66">
        <v>2.0</v>
      </c>
      <c r="J85" s="66">
        <v>0.0</v>
      </c>
      <c r="K85" s="66">
        <v>0.0</v>
      </c>
      <c r="L85" s="66">
        <v>0.0</v>
      </c>
      <c r="M85" s="66">
        <v>0.0</v>
      </c>
      <c r="N85" s="66">
        <v>0.0</v>
      </c>
      <c r="O85" s="66">
        <v>0.0</v>
      </c>
      <c r="P85" s="66">
        <v>0.0</v>
      </c>
      <c r="Q85" s="66">
        <v>1.0</v>
      </c>
      <c r="R85" s="66">
        <v>0.0</v>
      </c>
      <c r="S85" s="66">
        <v>0.0</v>
      </c>
      <c r="T85" s="66">
        <v>0.0</v>
      </c>
      <c r="U85" s="66">
        <v>0.0</v>
      </c>
      <c r="V85" s="66">
        <v>0.0</v>
      </c>
      <c r="W85" s="66">
        <v>0.0</v>
      </c>
      <c r="X85" s="6">
        <f t="shared" si="22"/>
        <v>3</v>
      </c>
    </row>
    <row r="86" ht="12.75" customHeight="1">
      <c r="A86" s="18"/>
      <c r="B86" s="51"/>
      <c r="C86" s="52" t="s">
        <v>73</v>
      </c>
      <c r="D86" s="53"/>
      <c r="E86" s="66">
        <v>0.0</v>
      </c>
      <c r="F86" s="66">
        <v>0.0</v>
      </c>
      <c r="G86" s="66">
        <v>0.0</v>
      </c>
      <c r="H86" s="66">
        <v>0.0</v>
      </c>
      <c r="I86" s="66">
        <v>0.0</v>
      </c>
      <c r="J86" s="66">
        <v>0.0</v>
      </c>
      <c r="K86" s="66">
        <v>0.0</v>
      </c>
      <c r="L86" s="66">
        <v>0.0</v>
      </c>
      <c r="M86" s="66">
        <v>0.0</v>
      </c>
      <c r="N86" s="66">
        <v>0.0</v>
      </c>
      <c r="O86" s="66">
        <v>0.0</v>
      </c>
      <c r="P86" s="66">
        <v>0.0</v>
      </c>
      <c r="Q86" s="66">
        <v>0.0</v>
      </c>
      <c r="R86" s="66">
        <v>0.0</v>
      </c>
      <c r="S86" s="66">
        <v>0.0</v>
      </c>
      <c r="T86" s="66">
        <v>0.0</v>
      </c>
      <c r="U86" s="66">
        <v>0.0</v>
      </c>
      <c r="V86" s="66">
        <v>2.0</v>
      </c>
      <c r="W86" s="66">
        <v>4.0</v>
      </c>
      <c r="X86" s="6">
        <f t="shared" si="22"/>
        <v>6</v>
      </c>
    </row>
    <row r="87" ht="12.75" customHeight="1">
      <c r="A87" s="18"/>
      <c r="B87" s="51"/>
      <c r="C87" s="52" t="s">
        <v>74</v>
      </c>
      <c r="D87" s="53"/>
      <c r="E87" s="66">
        <v>0.0</v>
      </c>
      <c r="F87" s="66">
        <v>0.0</v>
      </c>
      <c r="G87" s="66">
        <v>0.0</v>
      </c>
      <c r="H87" s="66">
        <v>0.0</v>
      </c>
      <c r="I87" s="66">
        <v>0.0</v>
      </c>
      <c r="J87" s="66">
        <v>0.0</v>
      </c>
      <c r="K87" s="66">
        <v>0.0</v>
      </c>
      <c r="L87" s="66">
        <v>0.0</v>
      </c>
      <c r="M87" s="66">
        <v>0.0</v>
      </c>
      <c r="N87" s="66">
        <v>1.0</v>
      </c>
      <c r="O87" s="66">
        <v>0.0</v>
      </c>
      <c r="P87" s="66">
        <v>0.0</v>
      </c>
      <c r="Q87" s="66">
        <v>0.0</v>
      </c>
      <c r="R87" s="66">
        <v>0.0</v>
      </c>
      <c r="S87" s="66">
        <v>0.0</v>
      </c>
      <c r="T87" s="66">
        <v>0.0</v>
      </c>
      <c r="U87" s="66">
        <v>0.0</v>
      </c>
      <c r="V87" s="66">
        <v>0.0</v>
      </c>
      <c r="W87" s="66">
        <v>0.0</v>
      </c>
      <c r="X87" s="6">
        <f t="shared" si="22"/>
        <v>1</v>
      </c>
    </row>
    <row r="88" ht="12.75" customHeight="1">
      <c r="A88" s="13" t="s">
        <v>14</v>
      </c>
      <c r="B88" s="49" t="s">
        <v>45</v>
      </c>
      <c r="C88" s="8"/>
      <c r="D88" s="9"/>
      <c r="E88" s="54">
        <f t="shared" ref="E88:W88" si="23">SUM(E81:E87)</f>
        <v>0</v>
      </c>
      <c r="F88" s="54">
        <f t="shared" si="23"/>
        <v>4</v>
      </c>
      <c r="G88" s="54">
        <f t="shared" si="23"/>
        <v>6</v>
      </c>
      <c r="H88" s="54">
        <f t="shared" si="23"/>
        <v>0</v>
      </c>
      <c r="I88" s="54">
        <f t="shared" si="23"/>
        <v>4</v>
      </c>
      <c r="J88" s="54">
        <f t="shared" si="23"/>
        <v>1</v>
      </c>
      <c r="K88" s="54">
        <f t="shared" si="23"/>
        <v>12</v>
      </c>
      <c r="L88" s="54">
        <f t="shared" si="23"/>
        <v>2</v>
      </c>
      <c r="M88" s="54">
        <f t="shared" si="23"/>
        <v>0</v>
      </c>
      <c r="N88" s="54">
        <f t="shared" si="23"/>
        <v>1</v>
      </c>
      <c r="O88" s="54">
        <f t="shared" si="23"/>
        <v>2</v>
      </c>
      <c r="P88" s="54">
        <f t="shared" si="23"/>
        <v>5</v>
      </c>
      <c r="Q88" s="54">
        <f t="shared" si="23"/>
        <v>4</v>
      </c>
      <c r="R88" s="54">
        <f t="shared" si="23"/>
        <v>6</v>
      </c>
      <c r="S88" s="54">
        <f t="shared" si="23"/>
        <v>3</v>
      </c>
      <c r="T88" s="54">
        <f t="shared" si="23"/>
        <v>4</v>
      </c>
      <c r="U88" s="54">
        <f t="shared" si="23"/>
        <v>0</v>
      </c>
      <c r="V88" s="54">
        <f t="shared" si="23"/>
        <v>8</v>
      </c>
      <c r="W88" s="54">
        <f t="shared" si="23"/>
        <v>9</v>
      </c>
      <c r="X88" s="6">
        <f t="shared" si="22"/>
        <v>71</v>
      </c>
    </row>
    <row r="89" ht="12.75" customHeight="1">
      <c r="A89" s="55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6"/>
    </row>
    <row r="90" ht="12.75" customHeight="1">
      <c r="A90" s="32" t="s">
        <v>36</v>
      </c>
      <c r="B90" s="49" t="s">
        <v>75</v>
      </c>
      <c r="C90" s="50" t="s">
        <v>76</v>
      </c>
      <c r="D90" s="9"/>
      <c r="E90" s="66">
        <v>0.0</v>
      </c>
      <c r="F90" s="66">
        <v>0.0</v>
      </c>
      <c r="G90" s="66">
        <v>0.0</v>
      </c>
      <c r="H90" s="66">
        <v>0.0</v>
      </c>
      <c r="I90" s="66">
        <v>0.0</v>
      </c>
      <c r="J90" s="66">
        <v>0.0</v>
      </c>
      <c r="K90" s="66">
        <v>0.0</v>
      </c>
      <c r="L90" s="66">
        <v>0.0</v>
      </c>
      <c r="M90" s="66">
        <v>1.0</v>
      </c>
      <c r="N90" s="66">
        <v>1.0</v>
      </c>
      <c r="O90" s="66">
        <v>0.0</v>
      </c>
      <c r="P90" s="66">
        <v>1.0</v>
      </c>
      <c r="Q90" s="66">
        <v>0.0</v>
      </c>
      <c r="R90" s="66">
        <v>1.0</v>
      </c>
      <c r="S90" s="66">
        <v>0.0</v>
      </c>
      <c r="T90" s="66">
        <v>0.0</v>
      </c>
      <c r="U90" s="66">
        <v>0.0</v>
      </c>
      <c r="V90" s="66">
        <v>0.0</v>
      </c>
      <c r="W90" s="66">
        <v>0.0</v>
      </c>
      <c r="X90" s="6">
        <f t="shared" ref="X90:X92" si="24">SUM(E90:W90)</f>
        <v>4</v>
      </c>
    </row>
    <row r="91" ht="12.75" customHeight="1">
      <c r="A91" s="32" t="s">
        <v>38</v>
      </c>
      <c r="B91" s="51"/>
      <c r="C91" s="52"/>
      <c r="D91" s="9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6">
        <f t="shared" si="24"/>
        <v>0</v>
      </c>
    </row>
    <row r="92" ht="12.75" customHeight="1">
      <c r="A92" s="13" t="s">
        <v>14</v>
      </c>
      <c r="B92" s="49" t="s">
        <v>45</v>
      </c>
      <c r="C92" s="8"/>
      <c r="D92" s="9"/>
      <c r="E92" s="54">
        <f t="shared" ref="E92:W92" si="25">SUM(E90:E91)</f>
        <v>0</v>
      </c>
      <c r="F92" s="54">
        <f t="shared" si="25"/>
        <v>0</v>
      </c>
      <c r="G92" s="54">
        <f t="shared" si="25"/>
        <v>0</v>
      </c>
      <c r="H92" s="54">
        <f t="shared" si="25"/>
        <v>0</v>
      </c>
      <c r="I92" s="54">
        <f t="shared" si="25"/>
        <v>0</v>
      </c>
      <c r="J92" s="54">
        <f t="shared" si="25"/>
        <v>0</v>
      </c>
      <c r="K92" s="54">
        <f t="shared" si="25"/>
        <v>0</v>
      </c>
      <c r="L92" s="54">
        <f t="shared" si="25"/>
        <v>0</v>
      </c>
      <c r="M92" s="54">
        <f t="shared" si="25"/>
        <v>1</v>
      </c>
      <c r="N92" s="54">
        <f t="shared" si="25"/>
        <v>1</v>
      </c>
      <c r="O92" s="54">
        <f t="shared" si="25"/>
        <v>0</v>
      </c>
      <c r="P92" s="54">
        <f t="shared" si="25"/>
        <v>1</v>
      </c>
      <c r="Q92" s="54">
        <f t="shared" si="25"/>
        <v>0</v>
      </c>
      <c r="R92" s="54">
        <f t="shared" si="25"/>
        <v>1</v>
      </c>
      <c r="S92" s="54">
        <f t="shared" si="25"/>
        <v>0</v>
      </c>
      <c r="T92" s="54">
        <f t="shared" si="25"/>
        <v>0</v>
      </c>
      <c r="U92" s="54">
        <f t="shared" si="25"/>
        <v>0</v>
      </c>
      <c r="V92" s="54">
        <f t="shared" si="25"/>
        <v>0</v>
      </c>
      <c r="W92" s="54">
        <f t="shared" si="25"/>
        <v>0</v>
      </c>
      <c r="X92" s="6">
        <f t="shared" si="24"/>
        <v>4</v>
      </c>
    </row>
    <row r="93" ht="12.75" customHeight="1">
      <c r="A93" s="55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6"/>
    </row>
    <row r="94" ht="12.75" customHeight="1">
      <c r="A94" s="32" t="s">
        <v>36</v>
      </c>
      <c r="B94" s="49" t="s">
        <v>77</v>
      </c>
      <c r="C94" s="50" t="s">
        <v>78</v>
      </c>
      <c r="D94" s="9"/>
      <c r="E94" s="66">
        <v>0.0</v>
      </c>
      <c r="F94" s="66">
        <v>0.0</v>
      </c>
      <c r="G94" s="66">
        <v>1.0</v>
      </c>
      <c r="H94" s="66">
        <v>0.0</v>
      </c>
      <c r="I94" s="66">
        <v>0.0</v>
      </c>
      <c r="J94" s="66">
        <v>0.0</v>
      </c>
      <c r="K94" s="66">
        <v>0.0</v>
      </c>
      <c r="L94" s="66">
        <v>1.0</v>
      </c>
      <c r="M94" s="66">
        <v>0.0</v>
      </c>
      <c r="N94" s="66">
        <v>1.0</v>
      </c>
      <c r="O94" s="66">
        <v>0.0</v>
      </c>
      <c r="P94" s="66">
        <v>0.0</v>
      </c>
      <c r="Q94" s="66">
        <v>0.0</v>
      </c>
      <c r="R94" s="66">
        <v>0.0</v>
      </c>
      <c r="S94" s="66">
        <v>0.0</v>
      </c>
      <c r="T94" s="66">
        <v>0.0</v>
      </c>
      <c r="U94" s="66">
        <v>0.0</v>
      </c>
      <c r="V94" s="66">
        <v>0.0</v>
      </c>
      <c r="W94" s="66">
        <v>0.0</v>
      </c>
      <c r="X94" s="6">
        <f t="shared" ref="X94:X98" si="26">SUM(E94:W94)</f>
        <v>3</v>
      </c>
    </row>
    <row r="95" ht="12.75" customHeight="1">
      <c r="A95" s="32" t="s">
        <v>38</v>
      </c>
      <c r="B95" s="51"/>
      <c r="C95" s="52" t="s">
        <v>79</v>
      </c>
      <c r="D95" s="53"/>
      <c r="E95" s="66">
        <v>0.0</v>
      </c>
      <c r="F95" s="66">
        <v>0.0</v>
      </c>
      <c r="G95" s="66">
        <v>0.0</v>
      </c>
      <c r="H95" s="66">
        <v>0.0</v>
      </c>
      <c r="I95" s="66">
        <v>0.0</v>
      </c>
      <c r="J95" s="66">
        <v>1.0</v>
      </c>
      <c r="K95" s="66">
        <v>0.0</v>
      </c>
      <c r="L95" s="66">
        <v>0.0</v>
      </c>
      <c r="M95" s="66">
        <v>0.0</v>
      </c>
      <c r="N95" s="66">
        <v>0.0</v>
      </c>
      <c r="O95" s="66">
        <v>0.0</v>
      </c>
      <c r="P95" s="66">
        <v>0.0</v>
      </c>
      <c r="Q95" s="66">
        <v>0.0</v>
      </c>
      <c r="R95" s="66">
        <v>0.0</v>
      </c>
      <c r="S95" s="66">
        <v>0.0</v>
      </c>
      <c r="T95" s="66">
        <v>0.0</v>
      </c>
      <c r="U95" s="66">
        <v>0.0</v>
      </c>
      <c r="V95" s="66">
        <v>0.0</v>
      </c>
      <c r="W95" s="66">
        <v>1.0</v>
      </c>
      <c r="X95" s="6">
        <f t="shared" si="26"/>
        <v>2</v>
      </c>
    </row>
    <row r="96" ht="12.75" customHeight="1">
      <c r="A96" s="32"/>
      <c r="B96" s="51"/>
      <c r="C96" s="52" t="s">
        <v>80</v>
      </c>
      <c r="D96" s="53"/>
      <c r="E96" s="66">
        <v>0.0</v>
      </c>
      <c r="F96" s="66">
        <v>0.0</v>
      </c>
      <c r="G96" s="66">
        <v>0.0</v>
      </c>
      <c r="H96" s="66">
        <v>0.0</v>
      </c>
      <c r="I96" s="66">
        <v>0.0</v>
      </c>
      <c r="J96" s="66">
        <v>0.0</v>
      </c>
      <c r="K96" s="66">
        <v>0.0</v>
      </c>
      <c r="L96" s="66">
        <v>0.0</v>
      </c>
      <c r="M96" s="66">
        <v>0.0</v>
      </c>
      <c r="N96" s="66">
        <v>0.0</v>
      </c>
      <c r="O96" s="66">
        <v>0.0</v>
      </c>
      <c r="P96" s="66">
        <v>2.0</v>
      </c>
      <c r="Q96" s="66">
        <v>0.0</v>
      </c>
      <c r="R96" s="66">
        <v>0.0</v>
      </c>
      <c r="S96" s="66">
        <v>0.0</v>
      </c>
      <c r="T96" s="66">
        <v>0.0</v>
      </c>
      <c r="U96" s="66">
        <v>0.0</v>
      </c>
      <c r="V96" s="66">
        <v>0.0</v>
      </c>
      <c r="W96" s="66">
        <v>0.0</v>
      </c>
      <c r="X96" s="6">
        <f t="shared" si="26"/>
        <v>2</v>
      </c>
    </row>
    <row r="97" ht="12.75" customHeight="1">
      <c r="A97" s="32"/>
      <c r="B97" s="51"/>
      <c r="C97" s="52" t="s">
        <v>81</v>
      </c>
      <c r="D97" s="53"/>
      <c r="E97" s="66">
        <v>0.0</v>
      </c>
      <c r="F97" s="66">
        <v>0.0</v>
      </c>
      <c r="G97" s="66">
        <v>0.0</v>
      </c>
      <c r="H97" s="66">
        <v>0.0</v>
      </c>
      <c r="I97" s="66">
        <v>0.0</v>
      </c>
      <c r="J97" s="66">
        <v>0.0</v>
      </c>
      <c r="K97" s="66">
        <v>0.0</v>
      </c>
      <c r="L97" s="66">
        <v>0.0</v>
      </c>
      <c r="M97" s="66">
        <v>0.0</v>
      </c>
      <c r="N97" s="66">
        <v>0.0</v>
      </c>
      <c r="O97" s="66">
        <v>0.0</v>
      </c>
      <c r="P97" s="66">
        <v>0.0</v>
      </c>
      <c r="Q97" s="66">
        <v>0.0</v>
      </c>
      <c r="R97" s="66">
        <v>0.0</v>
      </c>
      <c r="S97" s="66">
        <v>0.0</v>
      </c>
      <c r="T97" s="66">
        <v>1.0</v>
      </c>
      <c r="U97" s="66">
        <v>0.0</v>
      </c>
      <c r="V97" s="66">
        <v>0.0</v>
      </c>
      <c r="W97" s="66">
        <v>0.0</v>
      </c>
      <c r="X97" s="6">
        <f t="shared" si="26"/>
        <v>1</v>
      </c>
    </row>
    <row r="98" ht="12.75" customHeight="1">
      <c r="A98" s="13" t="s">
        <v>14</v>
      </c>
      <c r="B98" s="49" t="s">
        <v>45</v>
      </c>
      <c r="C98" s="8"/>
      <c r="D98" s="9"/>
      <c r="E98" s="54">
        <f t="shared" ref="E98:W98" si="27">SUM(E94:E97)</f>
        <v>0</v>
      </c>
      <c r="F98" s="54">
        <f t="shared" si="27"/>
        <v>0</v>
      </c>
      <c r="G98" s="54">
        <f t="shared" si="27"/>
        <v>1</v>
      </c>
      <c r="H98" s="54">
        <f t="shared" si="27"/>
        <v>0</v>
      </c>
      <c r="I98" s="54">
        <f t="shared" si="27"/>
        <v>0</v>
      </c>
      <c r="J98" s="54">
        <f t="shared" si="27"/>
        <v>1</v>
      </c>
      <c r="K98" s="54">
        <f t="shared" si="27"/>
        <v>0</v>
      </c>
      <c r="L98" s="54">
        <f t="shared" si="27"/>
        <v>1</v>
      </c>
      <c r="M98" s="54">
        <f t="shared" si="27"/>
        <v>0</v>
      </c>
      <c r="N98" s="54">
        <f t="shared" si="27"/>
        <v>1</v>
      </c>
      <c r="O98" s="54">
        <f t="shared" si="27"/>
        <v>0</v>
      </c>
      <c r="P98" s="54">
        <f t="shared" si="27"/>
        <v>2</v>
      </c>
      <c r="Q98" s="54">
        <f t="shared" si="27"/>
        <v>0</v>
      </c>
      <c r="R98" s="54">
        <f t="shared" si="27"/>
        <v>0</v>
      </c>
      <c r="S98" s="54">
        <f t="shared" si="27"/>
        <v>0</v>
      </c>
      <c r="T98" s="54">
        <f t="shared" si="27"/>
        <v>1</v>
      </c>
      <c r="U98" s="54">
        <f t="shared" si="27"/>
        <v>0</v>
      </c>
      <c r="V98" s="54">
        <f t="shared" si="27"/>
        <v>0</v>
      </c>
      <c r="W98" s="54">
        <f t="shared" si="27"/>
        <v>1</v>
      </c>
      <c r="X98" s="6">
        <f t="shared" si="26"/>
        <v>8</v>
      </c>
    </row>
    <row r="99" ht="12.75" customHeight="1">
      <c r="A99" s="55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6"/>
    </row>
    <row r="100" ht="12.75" customHeight="1">
      <c r="A100" s="32" t="s">
        <v>36</v>
      </c>
      <c r="B100" s="49" t="s">
        <v>82</v>
      </c>
      <c r="C100" s="50" t="s">
        <v>83</v>
      </c>
      <c r="D100" s="9"/>
      <c r="E100" s="66">
        <v>0.0</v>
      </c>
      <c r="F100" s="66">
        <v>0.0</v>
      </c>
      <c r="G100" s="66">
        <v>2.0</v>
      </c>
      <c r="H100" s="66">
        <v>1.0</v>
      </c>
      <c r="I100" s="66">
        <v>0.0</v>
      </c>
      <c r="J100" s="66">
        <v>3.0</v>
      </c>
      <c r="K100" s="66">
        <v>3.0</v>
      </c>
      <c r="L100" s="66">
        <v>3.0</v>
      </c>
      <c r="M100" s="66">
        <v>0.0</v>
      </c>
      <c r="N100" s="66">
        <v>1.0</v>
      </c>
      <c r="O100" s="66">
        <v>0.0</v>
      </c>
      <c r="P100" s="66">
        <v>1.0</v>
      </c>
      <c r="Q100" s="66">
        <v>0.0</v>
      </c>
      <c r="R100" s="66">
        <v>0.0</v>
      </c>
      <c r="S100" s="66">
        <v>1.0</v>
      </c>
      <c r="T100" s="66">
        <v>1.0</v>
      </c>
      <c r="U100" s="66">
        <v>0.0</v>
      </c>
      <c r="V100" s="66">
        <v>0.0</v>
      </c>
      <c r="W100" s="66">
        <v>0.0</v>
      </c>
      <c r="X100" s="6">
        <f t="shared" ref="X100:X107" si="28">SUM(E100:W100)</f>
        <v>16</v>
      </c>
    </row>
    <row r="101" ht="12.75" customHeight="1">
      <c r="A101" s="32" t="s">
        <v>38</v>
      </c>
      <c r="B101" s="51"/>
      <c r="C101" s="52" t="s">
        <v>84</v>
      </c>
      <c r="D101" s="53"/>
      <c r="E101" s="66">
        <v>7.0</v>
      </c>
      <c r="F101" s="66">
        <v>0.0</v>
      </c>
      <c r="G101" s="66">
        <v>13.0</v>
      </c>
      <c r="H101" s="66">
        <v>11.0</v>
      </c>
      <c r="I101" s="66">
        <v>6.0</v>
      </c>
      <c r="J101" s="66">
        <v>21.0</v>
      </c>
      <c r="K101" s="66">
        <v>10.0</v>
      </c>
      <c r="L101" s="66">
        <v>22.0</v>
      </c>
      <c r="M101" s="66">
        <v>10.0</v>
      </c>
      <c r="N101" s="66">
        <v>1.0</v>
      </c>
      <c r="O101" s="66">
        <v>2.0</v>
      </c>
      <c r="P101" s="66">
        <v>5.0</v>
      </c>
      <c r="Q101" s="66">
        <v>3.0</v>
      </c>
      <c r="R101" s="66">
        <v>0.0</v>
      </c>
      <c r="S101" s="66">
        <v>4.0</v>
      </c>
      <c r="T101" s="66">
        <v>2.0</v>
      </c>
      <c r="U101" s="66">
        <v>3.0</v>
      </c>
      <c r="V101" s="66">
        <v>0.0</v>
      </c>
      <c r="W101" s="66">
        <v>0.0</v>
      </c>
      <c r="X101" s="6">
        <f t="shared" si="28"/>
        <v>120</v>
      </c>
    </row>
    <row r="102" ht="12.75" customHeight="1">
      <c r="A102" s="18"/>
      <c r="B102" s="51"/>
      <c r="C102" s="52" t="s">
        <v>85</v>
      </c>
      <c r="D102" s="53"/>
      <c r="E102" s="66">
        <v>0.0</v>
      </c>
      <c r="F102" s="66">
        <v>0.0</v>
      </c>
      <c r="G102" s="66">
        <v>0.0</v>
      </c>
      <c r="H102" s="66">
        <v>2.0</v>
      </c>
      <c r="I102" s="66">
        <v>0.0</v>
      </c>
      <c r="J102" s="66">
        <v>1.0</v>
      </c>
      <c r="K102" s="66">
        <v>1.0</v>
      </c>
      <c r="L102" s="66">
        <v>0.0</v>
      </c>
      <c r="M102" s="66">
        <v>0.0</v>
      </c>
      <c r="N102" s="66">
        <v>0.0</v>
      </c>
      <c r="O102" s="66">
        <v>0.0</v>
      </c>
      <c r="P102" s="66">
        <v>0.0</v>
      </c>
      <c r="Q102" s="66">
        <v>0.0</v>
      </c>
      <c r="R102" s="66">
        <v>0.0</v>
      </c>
      <c r="S102" s="66">
        <v>0.0</v>
      </c>
      <c r="T102" s="66">
        <v>0.0</v>
      </c>
      <c r="U102" s="66">
        <v>0.0</v>
      </c>
      <c r="V102" s="66">
        <v>0.0</v>
      </c>
      <c r="W102" s="66">
        <v>0.0</v>
      </c>
      <c r="X102" s="6">
        <f t="shared" si="28"/>
        <v>4</v>
      </c>
    </row>
    <row r="103" ht="12.75" customHeight="1">
      <c r="A103" s="18"/>
      <c r="B103" s="51"/>
      <c r="C103" s="52" t="s">
        <v>86</v>
      </c>
      <c r="D103" s="53"/>
      <c r="E103" s="66">
        <v>0.0</v>
      </c>
      <c r="F103" s="66">
        <v>0.0</v>
      </c>
      <c r="G103" s="66">
        <v>0.0</v>
      </c>
      <c r="H103" s="66">
        <v>0.0</v>
      </c>
      <c r="I103" s="66">
        <v>0.0</v>
      </c>
      <c r="J103" s="66">
        <v>0.0</v>
      </c>
      <c r="K103" s="66">
        <v>0.0</v>
      </c>
      <c r="L103" s="66">
        <v>0.0</v>
      </c>
      <c r="M103" s="66">
        <v>0.0</v>
      </c>
      <c r="N103" s="66">
        <v>0.0</v>
      </c>
      <c r="O103" s="66">
        <v>0.0</v>
      </c>
      <c r="P103" s="66">
        <v>0.0</v>
      </c>
      <c r="Q103" s="66">
        <v>1.0</v>
      </c>
      <c r="R103" s="66">
        <v>1.0</v>
      </c>
      <c r="S103" s="66">
        <v>1.0</v>
      </c>
      <c r="T103" s="66">
        <v>0.0</v>
      </c>
      <c r="U103" s="66">
        <v>0.0</v>
      </c>
      <c r="V103" s="66">
        <v>0.0</v>
      </c>
      <c r="W103" s="66">
        <v>0.0</v>
      </c>
      <c r="X103" s="6">
        <f t="shared" si="28"/>
        <v>3</v>
      </c>
    </row>
    <row r="104" ht="12.75" customHeight="1">
      <c r="A104" s="18"/>
      <c r="B104" s="51"/>
      <c r="C104" s="52" t="s">
        <v>87</v>
      </c>
      <c r="D104" s="53"/>
      <c r="E104" s="66">
        <v>0.0</v>
      </c>
      <c r="F104" s="66">
        <v>0.0</v>
      </c>
      <c r="G104" s="66">
        <v>0.0</v>
      </c>
      <c r="H104" s="66">
        <v>2.0</v>
      </c>
      <c r="I104" s="66">
        <v>0.0</v>
      </c>
      <c r="J104" s="66">
        <v>0.0</v>
      </c>
      <c r="K104" s="66">
        <v>0.0</v>
      </c>
      <c r="L104" s="66">
        <v>0.0</v>
      </c>
      <c r="M104" s="66">
        <v>0.0</v>
      </c>
      <c r="N104" s="66">
        <v>0.0</v>
      </c>
      <c r="O104" s="66">
        <v>0.0</v>
      </c>
      <c r="P104" s="66">
        <v>2.0</v>
      </c>
      <c r="Q104" s="66">
        <v>0.0</v>
      </c>
      <c r="R104" s="66">
        <v>0.0</v>
      </c>
      <c r="S104" s="66">
        <v>0.0</v>
      </c>
      <c r="T104" s="66">
        <v>0.0</v>
      </c>
      <c r="U104" s="66">
        <v>0.0</v>
      </c>
      <c r="V104" s="66">
        <v>0.0</v>
      </c>
      <c r="W104" s="66">
        <v>0.0</v>
      </c>
      <c r="X104" s="6">
        <f t="shared" si="28"/>
        <v>4</v>
      </c>
    </row>
    <row r="105" ht="12.75" customHeight="1">
      <c r="A105" s="18"/>
      <c r="B105" s="51"/>
      <c r="C105" s="52" t="s">
        <v>88</v>
      </c>
      <c r="D105" s="53"/>
      <c r="E105" s="66">
        <v>0.0</v>
      </c>
      <c r="F105" s="66">
        <v>0.0</v>
      </c>
      <c r="G105" s="66">
        <v>0.0</v>
      </c>
      <c r="H105" s="66">
        <v>0.0</v>
      </c>
      <c r="I105" s="66">
        <v>0.0</v>
      </c>
      <c r="J105" s="66">
        <v>0.0</v>
      </c>
      <c r="K105" s="66">
        <v>0.0</v>
      </c>
      <c r="L105" s="66">
        <v>0.0</v>
      </c>
      <c r="M105" s="66">
        <v>0.0</v>
      </c>
      <c r="N105" s="66">
        <v>0.0</v>
      </c>
      <c r="O105" s="66">
        <v>0.0</v>
      </c>
      <c r="P105" s="66">
        <v>0.0</v>
      </c>
      <c r="Q105" s="66">
        <v>0.0</v>
      </c>
      <c r="R105" s="66">
        <v>0.0</v>
      </c>
      <c r="S105" s="66">
        <v>0.0</v>
      </c>
      <c r="T105" s="66">
        <v>0.0</v>
      </c>
      <c r="U105" s="66">
        <v>0.0</v>
      </c>
      <c r="V105" s="66">
        <v>0.0</v>
      </c>
      <c r="W105" s="66">
        <v>0.0</v>
      </c>
      <c r="X105" s="6">
        <f t="shared" si="28"/>
        <v>0</v>
      </c>
    </row>
    <row r="106" ht="12.75" customHeight="1">
      <c r="A106" s="18"/>
      <c r="B106" s="51"/>
      <c r="C106" s="52" t="s">
        <v>89</v>
      </c>
      <c r="D106" s="53"/>
      <c r="E106" s="66">
        <v>8.0</v>
      </c>
      <c r="F106" s="66">
        <v>0.0</v>
      </c>
      <c r="G106" s="66">
        <v>0.0</v>
      </c>
      <c r="H106" s="66">
        <v>0.0</v>
      </c>
      <c r="I106" s="66">
        <v>0.0</v>
      </c>
      <c r="J106" s="66">
        <v>0.0</v>
      </c>
      <c r="K106" s="66">
        <v>0.0</v>
      </c>
      <c r="L106" s="66">
        <v>0.0</v>
      </c>
      <c r="M106" s="66">
        <v>0.0</v>
      </c>
      <c r="N106" s="66">
        <v>0.0</v>
      </c>
      <c r="O106" s="66">
        <v>0.0</v>
      </c>
      <c r="P106" s="66">
        <v>0.0</v>
      </c>
      <c r="Q106" s="66">
        <v>1.0</v>
      </c>
      <c r="R106" s="66">
        <v>0.0</v>
      </c>
      <c r="S106" s="66">
        <v>1.0</v>
      </c>
      <c r="T106" s="66">
        <v>0.0</v>
      </c>
      <c r="U106" s="66">
        <v>0.0</v>
      </c>
      <c r="V106" s="66">
        <v>0.0</v>
      </c>
      <c r="W106" s="66">
        <v>0.0</v>
      </c>
      <c r="X106" s="6">
        <f t="shared" si="28"/>
        <v>10</v>
      </c>
    </row>
    <row r="107" ht="12.75" customHeight="1">
      <c r="A107" s="13" t="s">
        <v>14</v>
      </c>
      <c r="B107" s="49" t="s">
        <v>45</v>
      </c>
      <c r="C107" s="8"/>
      <c r="D107" s="9"/>
      <c r="E107" s="54">
        <f t="shared" ref="E107:W107" si="29">SUM(E100:E106)</f>
        <v>15</v>
      </c>
      <c r="F107" s="54">
        <f t="shared" si="29"/>
        <v>0</v>
      </c>
      <c r="G107" s="54">
        <f t="shared" si="29"/>
        <v>15</v>
      </c>
      <c r="H107" s="54">
        <f t="shared" si="29"/>
        <v>16</v>
      </c>
      <c r="I107" s="54">
        <f t="shared" si="29"/>
        <v>6</v>
      </c>
      <c r="J107" s="54">
        <f t="shared" si="29"/>
        <v>25</v>
      </c>
      <c r="K107" s="54">
        <f t="shared" si="29"/>
        <v>14</v>
      </c>
      <c r="L107" s="54">
        <f t="shared" si="29"/>
        <v>25</v>
      </c>
      <c r="M107" s="54">
        <f t="shared" si="29"/>
        <v>10</v>
      </c>
      <c r="N107" s="54">
        <f t="shared" si="29"/>
        <v>2</v>
      </c>
      <c r="O107" s="54">
        <f t="shared" si="29"/>
        <v>2</v>
      </c>
      <c r="P107" s="54">
        <f t="shared" si="29"/>
        <v>8</v>
      </c>
      <c r="Q107" s="54">
        <f t="shared" si="29"/>
        <v>5</v>
      </c>
      <c r="R107" s="54">
        <f t="shared" si="29"/>
        <v>1</v>
      </c>
      <c r="S107" s="54">
        <f t="shared" si="29"/>
        <v>7</v>
      </c>
      <c r="T107" s="54">
        <f t="shared" si="29"/>
        <v>3</v>
      </c>
      <c r="U107" s="54">
        <f t="shared" si="29"/>
        <v>3</v>
      </c>
      <c r="V107" s="54">
        <f t="shared" si="29"/>
        <v>0</v>
      </c>
      <c r="W107" s="54">
        <f t="shared" si="29"/>
        <v>0</v>
      </c>
      <c r="X107" s="6">
        <f t="shared" si="28"/>
        <v>157</v>
      </c>
    </row>
    <row r="108" ht="12.75" customHeight="1">
      <c r="A108" s="55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6"/>
    </row>
    <row r="109" ht="12.75" customHeight="1">
      <c r="A109" s="32" t="s">
        <v>36</v>
      </c>
      <c r="B109" s="49" t="s">
        <v>90</v>
      </c>
      <c r="C109" s="50" t="s">
        <v>91</v>
      </c>
      <c r="D109" s="9"/>
      <c r="E109" s="66">
        <v>0.0</v>
      </c>
      <c r="F109" s="66">
        <v>0.0</v>
      </c>
      <c r="G109" s="66">
        <v>0.0</v>
      </c>
      <c r="H109" s="66">
        <v>0.0</v>
      </c>
      <c r="I109" s="66">
        <v>0.0</v>
      </c>
      <c r="J109" s="66">
        <v>0.0</v>
      </c>
      <c r="K109" s="66">
        <v>0.0</v>
      </c>
      <c r="L109" s="66">
        <v>0.0</v>
      </c>
      <c r="M109" s="66">
        <v>0.0</v>
      </c>
      <c r="N109" s="66">
        <v>0.0</v>
      </c>
      <c r="O109" s="66">
        <v>0.0</v>
      </c>
      <c r="P109" s="13"/>
      <c r="Q109" s="66">
        <v>0.0</v>
      </c>
      <c r="R109" s="66">
        <v>0.0</v>
      </c>
      <c r="S109" s="66">
        <v>0.0</v>
      </c>
      <c r="T109" s="66">
        <v>0.0</v>
      </c>
      <c r="U109" s="66">
        <v>0.0</v>
      </c>
      <c r="V109" s="66">
        <v>0.0</v>
      </c>
      <c r="W109" s="66">
        <v>0.0</v>
      </c>
      <c r="X109" s="6">
        <f t="shared" ref="X109:X111" si="30">SUM(E109:W109)</f>
        <v>0</v>
      </c>
    </row>
    <row r="110" ht="12.75" customHeight="1">
      <c r="A110" s="32" t="s">
        <v>38</v>
      </c>
      <c r="B110" s="49"/>
      <c r="C110" s="52" t="s">
        <v>92</v>
      </c>
      <c r="D110" s="61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6">
        <f t="shared" si="30"/>
        <v>0</v>
      </c>
    </row>
    <row r="111" ht="12.75" customHeight="1">
      <c r="A111" s="13" t="s">
        <v>14</v>
      </c>
      <c r="B111" s="49" t="s">
        <v>45</v>
      </c>
      <c r="C111" s="8"/>
      <c r="D111" s="9"/>
      <c r="E111" s="54">
        <f t="shared" ref="E111:W111" si="31">SUM(E109:E110)</f>
        <v>0</v>
      </c>
      <c r="F111" s="54">
        <f t="shared" si="31"/>
        <v>0</v>
      </c>
      <c r="G111" s="54">
        <f t="shared" si="31"/>
        <v>0</v>
      </c>
      <c r="H111" s="54">
        <f t="shared" si="31"/>
        <v>0</v>
      </c>
      <c r="I111" s="54">
        <f t="shared" si="31"/>
        <v>0</v>
      </c>
      <c r="J111" s="54">
        <f t="shared" si="31"/>
        <v>0</v>
      </c>
      <c r="K111" s="54">
        <f t="shared" si="31"/>
        <v>0</v>
      </c>
      <c r="L111" s="54">
        <f t="shared" si="31"/>
        <v>0</v>
      </c>
      <c r="M111" s="54">
        <f t="shared" si="31"/>
        <v>0</v>
      </c>
      <c r="N111" s="54">
        <f t="shared" si="31"/>
        <v>0</v>
      </c>
      <c r="O111" s="54">
        <f t="shared" si="31"/>
        <v>0</v>
      </c>
      <c r="P111" s="54">
        <f t="shared" si="31"/>
        <v>0</v>
      </c>
      <c r="Q111" s="54">
        <f t="shared" si="31"/>
        <v>0</v>
      </c>
      <c r="R111" s="54">
        <f t="shared" si="31"/>
        <v>0</v>
      </c>
      <c r="S111" s="54">
        <f t="shared" si="31"/>
        <v>0</v>
      </c>
      <c r="T111" s="54">
        <f t="shared" si="31"/>
        <v>0</v>
      </c>
      <c r="U111" s="54">
        <f t="shared" si="31"/>
        <v>0</v>
      </c>
      <c r="V111" s="54">
        <f t="shared" si="31"/>
        <v>0</v>
      </c>
      <c r="W111" s="54">
        <f t="shared" si="31"/>
        <v>0</v>
      </c>
      <c r="X111" s="6">
        <f t="shared" si="30"/>
        <v>0</v>
      </c>
    </row>
    <row r="112" ht="12.75" customHeight="1">
      <c r="A112" s="55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6"/>
    </row>
    <row r="113" ht="12.75" customHeight="1">
      <c r="A113" s="32" t="s">
        <v>36</v>
      </c>
      <c r="B113" s="49" t="s">
        <v>93</v>
      </c>
      <c r="C113" s="50" t="s">
        <v>94</v>
      </c>
      <c r="D113" s="9"/>
      <c r="E113" s="66">
        <v>0.0</v>
      </c>
      <c r="F113" s="66">
        <v>0.0</v>
      </c>
      <c r="G113" s="66">
        <v>0.0</v>
      </c>
      <c r="H113" s="66">
        <v>0.0</v>
      </c>
      <c r="I113" s="66">
        <v>0.0</v>
      </c>
      <c r="J113" s="66">
        <v>0.0</v>
      </c>
      <c r="K113" s="66">
        <v>0.0</v>
      </c>
      <c r="L113" s="66">
        <v>0.0</v>
      </c>
      <c r="M113" s="66">
        <v>0.0</v>
      </c>
      <c r="N113" s="66">
        <v>0.0</v>
      </c>
      <c r="O113" s="66">
        <v>0.0</v>
      </c>
      <c r="P113" s="66">
        <v>1.0</v>
      </c>
      <c r="Q113" s="66">
        <v>0.0</v>
      </c>
      <c r="R113" s="66">
        <v>0.0</v>
      </c>
      <c r="S113" s="66">
        <v>0.0</v>
      </c>
      <c r="T113" s="66">
        <v>0.0</v>
      </c>
      <c r="U113" s="66">
        <v>1.0</v>
      </c>
      <c r="V113" s="66">
        <v>0.0</v>
      </c>
      <c r="W113" s="66">
        <v>0.0</v>
      </c>
      <c r="X113" s="6">
        <f t="shared" ref="X113:X120" si="32">SUM(E113:W113)</f>
        <v>2</v>
      </c>
    </row>
    <row r="114" ht="12.75" customHeight="1">
      <c r="A114" s="32" t="s">
        <v>38</v>
      </c>
      <c r="B114" s="51"/>
      <c r="C114" s="52" t="s">
        <v>95</v>
      </c>
      <c r="D114" s="53"/>
      <c r="E114" s="66">
        <v>0.0</v>
      </c>
      <c r="F114" s="66">
        <v>0.0</v>
      </c>
      <c r="G114" s="66">
        <v>0.0</v>
      </c>
      <c r="H114" s="66">
        <v>0.0</v>
      </c>
      <c r="I114" s="66">
        <v>0.0</v>
      </c>
      <c r="J114" s="66">
        <v>1.0</v>
      </c>
      <c r="K114" s="66">
        <v>0.0</v>
      </c>
      <c r="L114" s="66">
        <v>0.0</v>
      </c>
      <c r="M114" s="66">
        <v>0.0</v>
      </c>
      <c r="N114" s="66">
        <v>0.0</v>
      </c>
      <c r="O114" s="66">
        <v>0.0</v>
      </c>
      <c r="P114" s="66">
        <v>0.0</v>
      </c>
      <c r="Q114" s="66">
        <v>0.0</v>
      </c>
      <c r="R114" s="66">
        <v>0.0</v>
      </c>
      <c r="S114" s="66">
        <v>0.0</v>
      </c>
      <c r="T114" s="66">
        <v>0.0</v>
      </c>
      <c r="U114" s="66">
        <v>0.0</v>
      </c>
      <c r="V114" s="66">
        <v>0.0</v>
      </c>
      <c r="W114" s="66">
        <v>0.0</v>
      </c>
      <c r="X114" s="6">
        <f t="shared" si="32"/>
        <v>1</v>
      </c>
    </row>
    <row r="115" ht="12.75" customHeight="1">
      <c r="A115" s="18"/>
      <c r="B115" s="51"/>
      <c r="C115" s="52" t="s">
        <v>96</v>
      </c>
      <c r="D115" s="53"/>
      <c r="E115" s="66">
        <v>0.0</v>
      </c>
      <c r="F115" s="66">
        <v>0.0</v>
      </c>
      <c r="G115" s="66">
        <v>0.0</v>
      </c>
      <c r="H115" s="66">
        <v>0.0</v>
      </c>
      <c r="I115" s="66">
        <v>0.0</v>
      </c>
      <c r="J115" s="66">
        <v>0.0</v>
      </c>
      <c r="K115" s="66">
        <v>0.0</v>
      </c>
      <c r="L115" s="66">
        <v>0.0</v>
      </c>
      <c r="M115" s="66">
        <v>0.0</v>
      </c>
      <c r="N115" s="66">
        <v>0.0</v>
      </c>
      <c r="O115" s="66">
        <v>0.0</v>
      </c>
      <c r="P115" s="66">
        <v>3.0</v>
      </c>
      <c r="Q115" s="66">
        <v>0.0</v>
      </c>
      <c r="R115" s="66">
        <v>0.0</v>
      </c>
      <c r="S115" s="66">
        <v>0.0</v>
      </c>
      <c r="T115" s="66">
        <v>0.0</v>
      </c>
      <c r="U115" s="66">
        <v>0.0</v>
      </c>
      <c r="V115" s="66">
        <v>0.0</v>
      </c>
      <c r="W115" s="66">
        <v>0.0</v>
      </c>
      <c r="X115" s="6">
        <f t="shared" si="32"/>
        <v>3</v>
      </c>
    </row>
    <row r="116" ht="12.75" customHeight="1">
      <c r="A116" s="18"/>
      <c r="B116" s="51"/>
      <c r="C116" s="52" t="s">
        <v>97</v>
      </c>
      <c r="D116" s="53"/>
      <c r="E116" s="66">
        <v>0.0</v>
      </c>
      <c r="F116" s="66">
        <v>1.0</v>
      </c>
      <c r="G116" s="66">
        <v>0.0</v>
      </c>
      <c r="H116" s="66">
        <v>2.0</v>
      </c>
      <c r="I116" s="66">
        <v>0.0</v>
      </c>
      <c r="J116" s="66">
        <v>0.0</v>
      </c>
      <c r="K116" s="66">
        <v>2.0</v>
      </c>
      <c r="L116" s="66">
        <v>0.0</v>
      </c>
      <c r="M116" s="66">
        <v>0.0</v>
      </c>
      <c r="N116" s="66">
        <v>0.0</v>
      </c>
      <c r="O116" s="66">
        <v>1.0</v>
      </c>
      <c r="P116" s="66">
        <v>7.0</v>
      </c>
      <c r="Q116" s="66">
        <v>1.0</v>
      </c>
      <c r="R116" s="66">
        <v>0.0</v>
      </c>
      <c r="S116" s="66">
        <v>0.0</v>
      </c>
      <c r="T116" s="66">
        <v>7.0</v>
      </c>
      <c r="U116" s="66">
        <v>29.0</v>
      </c>
      <c r="V116" s="66">
        <v>6.0</v>
      </c>
      <c r="W116" s="66">
        <v>0.0</v>
      </c>
      <c r="X116" s="6">
        <f t="shared" si="32"/>
        <v>56</v>
      </c>
    </row>
    <row r="117" ht="12.75" customHeight="1">
      <c r="A117" s="18"/>
      <c r="B117" s="51"/>
      <c r="C117" s="52" t="s">
        <v>98</v>
      </c>
      <c r="D117" s="53"/>
      <c r="E117" s="66">
        <v>0.0</v>
      </c>
      <c r="F117" s="66">
        <v>0.0</v>
      </c>
      <c r="G117" s="66">
        <v>0.0</v>
      </c>
      <c r="H117" s="66">
        <v>0.0</v>
      </c>
      <c r="I117" s="66">
        <v>0.0</v>
      </c>
      <c r="J117" s="66">
        <v>1.0</v>
      </c>
      <c r="K117" s="66">
        <v>0.0</v>
      </c>
      <c r="L117" s="66">
        <v>0.0</v>
      </c>
      <c r="M117" s="66">
        <v>0.0</v>
      </c>
      <c r="N117" s="66">
        <v>0.0</v>
      </c>
      <c r="O117" s="66">
        <v>0.0</v>
      </c>
      <c r="P117" s="66">
        <v>0.0</v>
      </c>
      <c r="Q117" s="66">
        <v>0.0</v>
      </c>
      <c r="R117" s="66">
        <v>0.0</v>
      </c>
      <c r="S117" s="66">
        <v>0.0</v>
      </c>
      <c r="T117" s="66">
        <v>1.0</v>
      </c>
      <c r="U117" s="66">
        <v>0.0</v>
      </c>
      <c r="V117" s="66">
        <v>0.0</v>
      </c>
      <c r="W117" s="66">
        <v>0.0</v>
      </c>
      <c r="X117" s="6">
        <f t="shared" si="32"/>
        <v>2</v>
      </c>
    </row>
    <row r="118" ht="12.75" customHeight="1">
      <c r="A118" s="18"/>
      <c r="B118" s="51"/>
      <c r="C118" s="52" t="s">
        <v>99</v>
      </c>
      <c r="D118" s="53"/>
      <c r="E118" s="66">
        <v>0.0</v>
      </c>
      <c r="F118" s="66">
        <v>0.0</v>
      </c>
      <c r="G118" s="66">
        <v>0.0</v>
      </c>
      <c r="H118" s="66">
        <v>0.0</v>
      </c>
      <c r="I118" s="66">
        <v>0.0</v>
      </c>
      <c r="J118" s="66">
        <v>0.0</v>
      </c>
      <c r="K118" s="66">
        <v>0.0</v>
      </c>
      <c r="L118" s="66">
        <v>0.0</v>
      </c>
      <c r="M118" s="66">
        <v>0.0</v>
      </c>
      <c r="N118" s="66">
        <v>0.0</v>
      </c>
      <c r="O118" s="66">
        <v>0.0</v>
      </c>
      <c r="P118" s="66">
        <v>0.0</v>
      </c>
      <c r="Q118" s="66">
        <v>0.0</v>
      </c>
      <c r="R118" s="66">
        <v>0.0</v>
      </c>
      <c r="S118" s="66">
        <v>0.0</v>
      </c>
      <c r="T118" s="66">
        <v>0.0</v>
      </c>
      <c r="U118" s="66">
        <v>0.0</v>
      </c>
      <c r="V118" s="66">
        <v>0.0</v>
      </c>
      <c r="W118" s="66">
        <v>0.0</v>
      </c>
      <c r="X118" s="6">
        <f t="shared" si="32"/>
        <v>0</v>
      </c>
    </row>
    <row r="119" ht="12.75" customHeight="1">
      <c r="A119" s="18"/>
      <c r="B119" s="51"/>
      <c r="C119" s="52" t="s">
        <v>100</v>
      </c>
      <c r="D119" s="53"/>
      <c r="E119" s="66">
        <v>0.0</v>
      </c>
      <c r="F119" s="66">
        <v>0.0</v>
      </c>
      <c r="G119" s="66">
        <v>0.0</v>
      </c>
      <c r="H119" s="66">
        <v>0.0</v>
      </c>
      <c r="I119" s="66">
        <v>0.0</v>
      </c>
      <c r="J119" s="66">
        <v>0.0</v>
      </c>
      <c r="K119" s="66">
        <v>0.0</v>
      </c>
      <c r="L119" s="66">
        <v>0.0</v>
      </c>
      <c r="M119" s="66">
        <v>0.0</v>
      </c>
      <c r="N119" s="66">
        <v>2.0</v>
      </c>
      <c r="O119" s="66">
        <v>4.0</v>
      </c>
      <c r="P119" s="66">
        <v>0.0</v>
      </c>
      <c r="Q119" s="66">
        <v>0.0</v>
      </c>
      <c r="R119" s="66">
        <v>0.0</v>
      </c>
      <c r="S119" s="66">
        <v>0.0</v>
      </c>
      <c r="T119" s="66">
        <v>0.0</v>
      </c>
      <c r="U119" s="66">
        <v>0.0</v>
      </c>
      <c r="V119" s="66">
        <v>0.0</v>
      </c>
      <c r="W119" s="66">
        <v>0.0</v>
      </c>
      <c r="X119" s="6">
        <f t="shared" si="32"/>
        <v>6</v>
      </c>
    </row>
    <row r="120" ht="12.75" customHeight="1">
      <c r="A120" s="13" t="s">
        <v>14</v>
      </c>
      <c r="B120" s="49" t="s">
        <v>45</v>
      </c>
      <c r="C120" s="8"/>
      <c r="D120" s="9"/>
      <c r="E120" s="54">
        <f t="shared" ref="E120:W120" si="33">SUM(E113:E119)</f>
        <v>0</v>
      </c>
      <c r="F120" s="54">
        <f t="shared" si="33"/>
        <v>1</v>
      </c>
      <c r="G120" s="54">
        <f t="shared" si="33"/>
        <v>0</v>
      </c>
      <c r="H120" s="54">
        <f t="shared" si="33"/>
        <v>2</v>
      </c>
      <c r="I120" s="54">
        <f t="shared" si="33"/>
        <v>0</v>
      </c>
      <c r="J120" s="54">
        <f t="shared" si="33"/>
        <v>2</v>
      </c>
      <c r="K120" s="54">
        <f t="shared" si="33"/>
        <v>2</v>
      </c>
      <c r="L120" s="54">
        <f t="shared" si="33"/>
        <v>0</v>
      </c>
      <c r="M120" s="54">
        <f t="shared" si="33"/>
        <v>0</v>
      </c>
      <c r="N120" s="54">
        <f t="shared" si="33"/>
        <v>2</v>
      </c>
      <c r="O120" s="54">
        <f t="shared" si="33"/>
        <v>5</v>
      </c>
      <c r="P120" s="54">
        <f t="shared" si="33"/>
        <v>11</v>
      </c>
      <c r="Q120" s="54">
        <f t="shared" si="33"/>
        <v>1</v>
      </c>
      <c r="R120" s="54">
        <f t="shared" si="33"/>
        <v>0</v>
      </c>
      <c r="S120" s="54">
        <f t="shared" si="33"/>
        <v>0</v>
      </c>
      <c r="T120" s="54">
        <f t="shared" si="33"/>
        <v>8</v>
      </c>
      <c r="U120" s="54">
        <f t="shared" si="33"/>
        <v>30</v>
      </c>
      <c r="V120" s="54">
        <f t="shared" si="33"/>
        <v>6</v>
      </c>
      <c r="W120" s="54">
        <f t="shared" si="33"/>
        <v>0</v>
      </c>
      <c r="X120" s="6">
        <f t="shared" si="32"/>
        <v>70</v>
      </c>
    </row>
    <row r="121" ht="12.75" customHeight="1">
      <c r="A121" s="55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</row>
    <row r="122" ht="12.75" customHeight="1">
      <c r="A122" s="32" t="s">
        <v>36</v>
      </c>
      <c r="B122" s="49" t="s">
        <v>101</v>
      </c>
      <c r="C122" s="50" t="s">
        <v>102</v>
      </c>
      <c r="D122" s="9"/>
      <c r="E122" s="66">
        <v>0.0</v>
      </c>
      <c r="F122" s="66">
        <v>0.0</v>
      </c>
      <c r="G122" s="66">
        <v>0.0</v>
      </c>
      <c r="H122" s="66">
        <v>0.0</v>
      </c>
      <c r="I122" s="66">
        <v>0.0</v>
      </c>
      <c r="J122" s="66">
        <v>0.0</v>
      </c>
      <c r="K122" s="66">
        <v>1.0</v>
      </c>
      <c r="L122" s="66">
        <v>0.0</v>
      </c>
      <c r="M122" s="66">
        <v>1.0</v>
      </c>
      <c r="N122" s="66">
        <v>0.0</v>
      </c>
      <c r="O122" s="66">
        <v>1.0</v>
      </c>
      <c r="P122" s="66">
        <v>0.0</v>
      </c>
      <c r="Q122" s="66">
        <v>0.0</v>
      </c>
      <c r="R122" s="66">
        <v>1.0</v>
      </c>
      <c r="S122" s="66">
        <v>0.0</v>
      </c>
      <c r="T122" s="66">
        <v>1.0</v>
      </c>
      <c r="U122" s="66">
        <v>0.0</v>
      </c>
      <c r="V122" s="66">
        <v>0.0</v>
      </c>
      <c r="W122" s="66">
        <v>0.0</v>
      </c>
      <c r="X122" s="6">
        <f t="shared" ref="X122:X124" si="34">SUM(E122:W122)</f>
        <v>5</v>
      </c>
    </row>
    <row r="123" ht="12.75" customHeight="1">
      <c r="A123" s="32" t="s">
        <v>38</v>
      </c>
      <c r="B123" s="51"/>
      <c r="C123" s="52"/>
      <c r="D123" s="5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6">
        <f t="shared" si="34"/>
        <v>0</v>
      </c>
    </row>
    <row r="124" ht="12.75" customHeight="1">
      <c r="A124" s="13" t="s">
        <v>14</v>
      </c>
      <c r="B124" s="49" t="s">
        <v>45</v>
      </c>
      <c r="C124" s="8"/>
      <c r="D124" s="9"/>
      <c r="E124" s="54">
        <f t="shared" ref="E124:W124" si="35">SUM(E122:E123)</f>
        <v>0</v>
      </c>
      <c r="F124" s="54">
        <f t="shared" si="35"/>
        <v>0</v>
      </c>
      <c r="G124" s="54">
        <f t="shared" si="35"/>
        <v>0</v>
      </c>
      <c r="H124" s="54">
        <f t="shared" si="35"/>
        <v>0</v>
      </c>
      <c r="I124" s="54">
        <f t="shared" si="35"/>
        <v>0</v>
      </c>
      <c r="J124" s="54">
        <f t="shared" si="35"/>
        <v>0</v>
      </c>
      <c r="K124" s="54">
        <f t="shared" si="35"/>
        <v>1</v>
      </c>
      <c r="L124" s="54">
        <f t="shared" si="35"/>
        <v>0</v>
      </c>
      <c r="M124" s="54">
        <f t="shared" si="35"/>
        <v>1</v>
      </c>
      <c r="N124" s="54">
        <f t="shared" si="35"/>
        <v>0</v>
      </c>
      <c r="O124" s="54">
        <f t="shared" si="35"/>
        <v>1</v>
      </c>
      <c r="P124" s="54">
        <f t="shared" si="35"/>
        <v>0</v>
      </c>
      <c r="Q124" s="54">
        <f t="shared" si="35"/>
        <v>0</v>
      </c>
      <c r="R124" s="54">
        <f t="shared" si="35"/>
        <v>1</v>
      </c>
      <c r="S124" s="54">
        <f t="shared" si="35"/>
        <v>0</v>
      </c>
      <c r="T124" s="54">
        <f t="shared" si="35"/>
        <v>1</v>
      </c>
      <c r="U124" s="54">
        <f t="shared" si="35"/>
        <v>0</v>
      </c>
      <c r="V124" s="54">
        <f t="shared" si="35"/>
        <v>0</v>
      </c>
      <c r="W124" s="54">
        <f t="shared" si="35"/>
        <v>0</v>
      </c>
      <c r="X124" s="6">
        <f t="shared" si="34"/>
        <v>5</v>
      </c>
    </row>
    <row r="125" ht="12.75" customHeight="1">
      <c r="A125" s="55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6"/>
    </row>
    <row r="126" ht="12.75" customHeight="1">
      <c r="A126" s="32" t="s">
        <v>36</v>
      </c>
      <c r="B126" s="49" t="s">
        <v>103</v>
      </c>
      <c r="C126" s="50" t="s">
        <v>104</v>
      </c>
      <c r="D126" s="9"/>
      <c r="E126" s="66">
        <v>0.0</v>
      </c>
      <c r="F126" s="66">
        <v>3.0</v>
      </c>
      <c r="G126" s="66">
        <v>0.0</v>
      </c>
      <c r="H126" s="66">
        <v>0.0</v>
      </c>
      <c r="I126" s="66">
        <v>3.0</v>
      </c>
      <c r="J126" s="66">
        <v>0.0</v>
      </c>
      <c r="K126" s="66">
        <v>0.0</v>
      </c>
      <c r="L126" s="66">
        <v>0.0</v>
      </c>
      <c r="M126" s="66">
        <v>1.0</v>
      </c>
      <c r="N126" s="66">
        <v>0.0</v>
      </c>
      <c r="O126" s="66">
        <v>0.0</v>
      </c>
      <c r="P126" s="66">
        <v>0.0</v>
      </c>
      <c r="Q126" s="66">
        <v>1.0</v>
      </c>
      <c r="R126" s="66">
        <v>0.0</v>
      </c>
      <c r="S126" s="66">
        <v>1.0</v>
      </c>
      <c r="T126" s="66">
        <v>0.0</v>
      </c>
      <c r="U126" s="66">
        <v>0.0</v>
      </c>
      <c r="V126" s="66">
        <v>0.0</v>
      </c>
      <c r="W126" s="66">
        <v>1.0</v>
      </c>
      <c r="X126" s="6">
        <f t="shared" ref="X126:X131" si="36">SUM(E126:W126)</f>
        <v>10</v>
      </c>
    </row>
    <row r="127" ht="12.75" customHeight="1">
      <c r="A127" s="32" t="s">
        <v>38</v>
      </c>
      <c r="B127" s="51"/>
      <c r="C127" s="52" t="s">
        <v>105</v>
      </c>
      <c r="D127" s="53"/>
      <c r="E127" s="66">
        <v>0.0</v>
      </c>
      <c r="F127" s="66">
        <v>0.0</v>
      </c>
      <c r="G127" s="66">
        <v>1.0</v>
      </c>
      <c r="H127" s="66">
        <v>0.0</v>
      </c>
      <c r="I127" s="66">
        <v>3.0</v>
      </c>
      <c r="J127" s="66">
        <v>0.0</v>
      </c>
      <c r="K127" s="66">
        <v>0.0</v>
      </c>
      <c r="L127" s="66">
        <v>0.0</v>
      </c>
      <c r="M127" s="66">
        <v>2.0</v>
      </c>
      <c r="N127" s="66">
        <v>0.0</v>
      </c>
      <c r="O127" s="66">
        <v>0.0</v>
      </c>
      <c r="P127" s="66">
        <v>1.0</v>
      </c>
      <c r="Q127" s="66">
        <v>0.0</v>
      </c>
      <c r="R127" s="66">
        <v>0.0</v>
      </c>
      <c r="S127" s="66">
        <v>0.0</v>
      </c>
      <c r="T127" s="66">
        <v>0.0</v>
      </c>
      <c r="U127" s="66">
        <v>0.0</v>
      </c>
      <c r="V127" s="66">
        <v>0.0</v>
      </c>
      <c r="W127" s="66">
        <v>1.0</v>
      </c>
      <c r="X127" s="6">
        <f t="shared" si="36"/>
        <v>8</v>
      </c>
    </row>
    <row r="128" ht="12.75" customHeight="1">
      <c r="A128" s="18"/>
      <c r="B128" s="51"/>
      <c r="C128" s="52" t="s">
        <v>106</v>
      </c>
      <c r="D128" s="53"/>
      <c r="E128" s="66">
        <v>0.0</v>
      </c>
      <c r="F128" s="66">
        <v>0.0</v>
      </c>
      <c r="G128" s="66">
        <v>0.0</v>
      </c>
      <c r="H128" s="66">
        <v>0.0</v>
      </c>
      <c r="I128" s="66">
        <v>0.0</v>
      </c>
      <c r="J128" s="66">
        <v>0.0</v>
      </c>
      <c r="K128" s="66">
        <v>0.0</v>
      </c>
      <c r="L128" s="66">
        <v>0.0</v>
      </c>
      <c r="M128" s="66">
        <v>0.0</v>
      </c>
      <c r="N128" s="66">
        <v>0.0</v>
      </c>
      <c r="O128" s="66">
        <v>0.0</v>
      </c>
      <c r="P128" s="66">
        <v>0.0</v>
      </c>
      <c r="Q128" s="66">
        <v>0.0</v>
      </c>
      <c r="R128" s="66">
        <v>0.0</v>
      </c>
      <c r="S128" s="66">
        <v>0.0</v>
      </c>
      <c r="T128" s="66">
        <v>0.0</v>
      </c>
      <c r="U128" s="66">
        <v>0.0</v>
      </c>
      <c r="V128" s="66">
        <v>0.0</v>
      </c>
      <c r="W128" s="66">
        <v>0.0</v>
      </c>
      <c r="X128" s="6">
        <f t="shared" si="36"/>
        <v>0</v>
      </c>
    </row>
    <row r="129" ht="12.75" customHeight="1">
      <c r="A129" s="18"/>
      <c r="B129" s="51"/>
      <c r="C129" s="52" t="s">
        <v>107</v>
      </c>
      <c r="D129" s="53"/>
      <c r="E129" s="66">
        <v>0.0</v>
      </c>
      <c r="F129" s="66">
        <v>0.0</v>
      </c>
      <c r="G129" s="66">
        <v>0.0</v>
      </c>
      <c r="H129" s="66">
        <v>0.0</v>
      </c>
      <c r="I129" s="66">
        <v>1.0</v>
      </c>
      <c r="J129" s="66">
        <v>0.0</v>
      </c>
      <c r="K129" s="66">
        <v>0.0</v>
      </c>
      <c r="L129" s="66">
        <v>0.0</v>
      </c>
      <c r="M129" s="66">
        <v>0.0</v>
      </c>
      <c r="N129" s="66">
        <v>0.0</v>
      </c>
      <c r="O129" s="66">
        <v>0.0</v>
      </c>
      <c r="P129" s="66">
        <v>0.0</v>
      </c>
      <c r="Q129" s="66">
        <v>0.0</v>
      </c>
      <c r="R129" s="66">
        <v>0.0</v>
      </c>
      <c r="S129" s="66">
        <v>0.0</v>
      </c>
      <c r="T129" s="66">
        <v>0.0</v>
      </c>
      <c r="U129" s="66">
        <v>0.0</v>
      </c>
      <c r="V129" s="66">
        <v>0.0</v>
      </c>
      <c r="W129" s="66">
        <v>0.0</v>
      </c>
      <c r="X129" s="6">
        <f t="shared" si="36"/>
        <v>1</v>
      </c>
    </row>
    <row r="130" ht="12.75" customHeight="1">
      <c r="A130" s="18"/>
      <c r="B130" s="51"/>
      <c r="C130" s="52" t="s">
        <v>108</v>
      </c>
      <c r="D130" s="53"/>
      <c r="E130" s="66">
        <v>0.0</v>
      </c>
      <c r="F130" s="66">
        <v>0.0</v>
      </c>
      <c r="G130" s="66">
        <v>0.0</v>
      </c>
      <c r="H130" s="66">
        <v>0.0</v>
      </c>
      <c r="I130" s="66">
        <v>0.0</v>
      </c>
      <c r="J130" s="66">
        <v>0.0</v>
      </c>
      <c r="K130" s="66">
        <v>0.0</v>
      </c>
      <c r="L130" s="66">
        <v>0.0</v>
      </c>
      <c r="M130" s="66">
        <v>0.0</v>
      </c>
      <c r="N130" s="66">
        <v>0.0</v>
      </c>
      <c r="O130" s="66">
        <v>0.0</v>
      </c>
      <c r="P130" s="66">
        <v>0.0</v>
      </c>
      <c r="Q130" s="66">
        <v>0.0</v>
      </c>
      <c r="R130" s="66">
        <v>0.0</v>
      </c>
      <c r="S130" s="66">
        <v>0.0</v>
      </c>
      <c r="T130" s="66">
        <v>0.0</v>
      </c>
      <c r="U130" s="66">
        <v>0.0</v>
      </c>
      <c r="V130" s="66">
        <v>0.0</v>
      </c>
      <c r="W130" s="66">
        <v>0.0</v>
      </c>
      <c r="X130" s="6">
        <f t="shared" si="36"/>
        <v>0</v>
      </c>
    </row>
    <row r="131" ht="12.75" customHeight="1">
      <c r="A131" s="13" t="s">
        <v>14</v>
      </c>
      <c r="B131" s="49" t="s">
        <v>45</v>
      </c>
      <c r="C131" s="8"/>
      <c r="D131" s="9"/>
      <c r="E131" s="54">
        <f t="shared" ref="E131:W131" si="37">SUM(E126:E130)</f>
        <v>0</v>
      </c>
      <c r="F131" s="54">
        <f t="shared" si="37"/>
        <v>3</v>
      </c>
      <c r="G131" s="54">
        <f t="shared" si="37"/>
        <v>1</v>
      </c>
      <c r="H131" s="54">
        <f t="shared" si="37"/>
        <v>0</v>
      </c>
      <c r="I131" s="54">
        <f t="shared" si="37"/>
        <v>7</v>
      </c>
      <c r="J131" s="54">
        <f t="shared" si="37"/>
        <v>0</v>
      </c>
      <c r="K131" s="54">
        <f t="shared" si="37"/>
        <v>0</v>
      </c>
      <c r="L131" s="54">
        <f t="shared" si="37"/>
        <v>0</v>
      </c>
      <c r="M131" s="54">
        <f t="shared" si="37"/>
        <v>3</v>
      </c>
      <c r="N131" s="54">
        <f t="shared" si="37"/>
        <v>0</v>
      </c>
      <c r="O131" s="54">
        <f t="shared" si="37"/>
        <v>0</v>
      </c>
      <c r="P131" s="54">
        <f t="shared" si="37"/>
        <v>1</v>
      </c>
      <c r="Q131" s="54">
        <f t="shared" si="37"/>
        <v>1</v>
      </c>
      <c r="R131" s="54">
        <f t="shared" si="37"/>
        <v>0</v>
      </c>
      <c r="S131" s="54">
        <f t="shared" si="37"/>
        <v>1</v>
      </c>
      <c r="T131" s="54">
        <f t="shared" si="37"/>
        <v>0</v>
      </c>
      <c r="U131" s="54">
        <f t="shared" si="37"/>
        <v>0</v>
      </c>
      <c r="V131" s="54">
        <f t="shared" si="37"/>
        <v>0</v>
      </c>
      <c r="W131" s="54">
        <f t="shared" si="37"/>
        <v>2</v>
      </c>
      <c r="X131" s="6">
        <f t="shared" si="36"/>
        <v>19</v>
      </c>
    </row>
    <row r="132" ht="12.75" customHeight="1">
      <c r="A132" s="55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6"/>
    </row>
    <row r="133" ht="12.75" customHeight="1">
      <c r="A133" s="32" t="s">
        <v>36</v>
      </c>
      <c r="B133" s="49" t="s">
        <v>109</v>
      </c>
      <c r="C133" s="50" t="s">
        <v>110</v>
      </c>
      <c r="D133" s="9"/>
      <c r="E133" s="66">
        <v>0.0</v>
      </c>
      <c r="F133" s="66">
        <v>0.0</v>
      </c>
      <c r="G133" s="66">
        <v>1.0</v>
      </c>
      <c r="H133" s="66">
        <v>0.0</v>
      </c>
      <c r="I133" s="66">
        <v>0.0</v>
      </c>
      <c r="J133" s="66">
        <v>0.0</v>
      </c>
      <c r="K133" s="66">
        <v>0.0</v>
      </c>
      <c r="L133" s="66">
        <v>0.0</v>
      </c>
      <c r="M133" s="66">
        <v>0.0</v>
      </c>
      <c r="N133" s="66">
        <v>0.0</v>
      </c>
      <c r="O133" s="66">
        <v>0.0</v>
      </c>
      <c r="P133" s="66">
        <v>0.0</v>
      </c>
      <c r="Q133" s="66">
        <v>0.0</v>
      </c>
      <c r="R133" s="66">
        <v>0.0</v>
      </c>
      <c r="S133" s="66">
        <v>2.0</v>
      </c>
      <c r="T133" s="66">
        <v>0.0</v>
      </c>
      <c r="U133" s="66">
        <v>0.0</v>
      </c>
      <c r="V133" s="66">
        <v>0.0</v>
      </c>
      <c r="W133" s="66">
        <v>0.0</v>
      </c>
      <c r="X133" s="6">
        <f t="shared" ref="X133:X140" si="38">SUM(E133:W133)</f>
        <v>3</v>
      </c>
    </row>
    <row r="134" ht="12.75" customHeight="1">
      <c r="A134" s="32" t="s">
        <v>38</v>
      </c>
      <c r="B134" s="51"/>
      <c r="C134" s="52" t="s">
        <v>111</v>
      </c>
      <c r="D134" s="53"/>
      <c r="E134" s="66">
        <v>0.0</v>
      </c>
      <c r="F134" s="66">
        <v>1.0</v>
      </c>
      <c r="G134" s="66">
        <v>0.0</v>
      </c>
      <c r="H134" s="66">
        <v>0.0</v>
      </c>
      <c r="I134" s="66">
        <v>0.0</v>
      </c>
      <c r="J134" s="66">
        <v>0.0</v>
      </c>
      <c r="K134" s="66">
        <v>0.0</v>
      </c>
      <c r="L134" s="66">
        <v>0.0</v>
      </c>
      <c r="M134" s="66">
        <v>0.0</v>
      </c>
      <c r="N134" s="66">
        <v>0.0</v>
      </c>
      <c r="O134" s="66">
        <v>0.0</v>
      </c>
      <c r="P134" s="66">
        <v>0.0</v>
      </c>
      <c r="Q134" s="66">
        <v>0.0</v>
      </c>
      <c r="R134" s="66">
        <v>0.0</v>
      </c>
      <c r="S134" s="66">
        <v>0.0</v>
      </c>
      <c r="T134" s="66">
        <v>0.0</v>
      </c>
      <c r="U134" s="66">
        <v>0.0</v>
      </c>
      <c r="V134" s="66">
        <v>0.0</v>
      </c>
      <c r="W134" s="66">
        <v>0.0</v>
      </c>
      <c r="X134" s="6">
        <f t="shared" si="38"/>
        <v>1</v>
      </c>
    </row>
    <row r="135" ht="12.75" customHeight="1">
      <c r="A135" s="18"/>
      <c r="B135" s="51"/>
      <c r="C135" s="52" t="s">
        <v>112</v>
      </c>
      <c r="D135" s="53"/>
      <c r="E135" s="66">
        <v>0.0</v>
      </c>
      <c r="F135" s="66">
        <v>0.0</v>
      </c>
      <c r="G135" s="66">
        <v>0.0</v>
      </c>
      <c r="H135" s="66">
        <v>0.0</v>
      </c>
      <c r="I135" s="66">
        <v>0.0</v>
      </c>
      <c r="J135" s="66">
        <v>1.0</v>
      </c>
      <c r="K135" s="66">
        <v>0.0</v>
      </c>
      <c r="L135" s="66">
        <v>0.0</v>
      </c>
      <c r="M135" s="66">
        <v>0.0</v>
      </c>
      <c r="N135" s="66">
        <v>0.0</v>
      </c>
      <c r="O135" s="66">
        <v>0.0</v>
      </c>
      <c r="P135" s="66">
        <v>0.0</v>
      </c>
      <c r="Q135" s="66">
        <v>0.0</v>
      </c>
      <c r="R135" s="66">
        <v>0.0</v>
      </c>
      <c r="S135" s="66">
        <v>0.0</v>
      </c>
      <c r="T135" s="66">
        <v>0.0</v>
      </c>
      <c r="U135" s="66">
        <v>0.0</v>
      </c>
      <c r="V135" s="66">
        <v>0.0</v>
      </c>
      <c r="W135" s="66">
        <v>0.0</v>
      </c>
      <c r="X135" s="6">
        <f t="shared" si="38"/>
        <v>1</v>
      </c>
    </row>
    <row r="136" ht="12.75" customHeight="1">
      <c r="A136" s="18"/>
      <c r="B136" s="51"/>
      <c r="C136" s="52" t="s">
        <v>113</v>
      </c>
      <c r="D136" s="53"/>
      <c r="E136" s="66">
        <v>0.0</v>
      </c>
      <c r="F136" s="66">
        <v>0.0</v>
      </c>
      <c r="G136" s="66">
        <v>0.0</v>
      </c>
      <c r="H136" s="66">
        <v>0.0</v>
      </c>
      <c r="I136" s="66">
        <v>0.0</v>
      </c>
      <c r="J136" s="66">
        <v>0.0</v>
      </c>
      <c r="K136" s="66">
        <v>0.0</v>
      </c>
      <c r="L136" s="66">
        <v>0.0</v>
      </c>
      <c r="M136" s="66">
        <v>0.0</v>
      </c>
      <c r="N136" s="66">
        <v>0.0</v>
      </c>
      <c r="O136" s="66">
        <v>0.0</v>
      </c>
      <c r="P136" s="66">
        <v>0.0</v>
      </c>
      <c r="Q136" s="66">
        <v>0.0</v>
      </c>
      <c r="R136" s="66">
        <v>0.0</v>
      </c>
      <c r="S136" s="66">
        <v>0.0</v>
      </c>
      <c r="T136" s="66">
        <v>0.0</v>
      </c>
      <c r="U136" s="66">
        <v>0.0</v>
      </c>
      <c r="V136" s="66">
        <v>0.0</v>
      </c>
      <c r="W136" s="66">
        <v>0.0</v>
      </c>
      <c r="X136" s="6">
        <f t="shared" si="38"/>
        <v>0</v>
      </c>
    </row>
    <row r="137" ht="12.75" customHeight="1">
      <c r="A137" s="18"/>
      <c r="B137" s="51"/>
      <c r="C137" s="52" t="s">
        <v>114</v>
      </c>
      <c r="D137" s="53"/>
      <c r="E137" s="66">
        <v>0.0</v>
      </c>
      <c r="F137" s="66">
        <v>0.0</v>
      </c>
      <c r="G137" s="66">
        <v>0.0</v>
      </c>
      <c r="H137" s="66">
        <v>0.0</v>
      </c>
      <c r="I137" s="66">
        <v>0.0</v>
      </c>
      <c r="J137" s="66">
        <v>0.0</v>
      </c>
      <c r="K137" s="66">
        <v>0.0</v>
      </c>
      <c r="L137" s="66">
        <v>0.0</v>
      </c>
      <c r="M137" s="66">
        <v>0.0</v>
      </c>
      <c r="N137" s="66">
        <v>0.0</v>
      </c>
      <c r="O137" s="66">
        <v>0.0</v>
      </c>
      <c r="P137" s="66">
        <v>0.0</v>
      </c>
      <c r="Q137" s="66">
        <v>0.0</v>
      </c>
      <c r="R137" s="66">
        <v>0.0</v>
      </c>
      <c r="S137" s="66">
        <v>0.0</v>
      </c>
      <c r="T137" s="66">
        <v>0.0</v>
      </c>
      <c r="U137" s="66">
        <v>0.0</v>
      </c>
      <c r="V137" s="66">
        <v>0.0</v>
      </c>
      <c r="W137" s="66">
        <v>0.0</v>
      </c>
      <c r="X137" s="6">
        <f t="shared" si="38"/>
        <v>0</v>
      </c>
    </row>
    <row r="138" ht="12.75" customHeight="1">
      <c r="A138" s="18"/>
      <c r="B138" s="51"/>
      <c r="C138" s="52" t="s">
        <v>115</v>
      </c>
      <c r="D138" s="53"/>
      <c r="E138" s="66">
        <v>0.0</v>
      </c>
      <c r="F138" s="66">
        <v>0.0</v>
      </c>
      <c r="G138" s="66">
        <v>0.0</v>
      </c>
      <c r="H138" s="66">
        <v>0.0</v>
      </c>
      <c r="I138" s="66">
        <v>0.0</v>
      </c>
      <c r="J138" s="66">
        <v>0.0</v>
      </c>
      <c r="K138" s="66">
        <v>0.0</v>
      </c>
      <c r="L138" s="66">
        <v>0.0</v>
      </c>
      <c r="M138" s="66">
        <v>1.0</v>
      </c>
      <c r="N138" s="66">
        <v>0.0</v>
      </c>
      <c r="O138" s="66">
        <v>0.0</v>
      </c>
      <c r="P138" s="66">
        <v>0.0</v>
      </c>
      <c r="Q138" s="66">
        <v>0.0</v>
      </c>
      <c r="R138" s="66">
        <v>0.0</v>
      </c>
      <c r="S138" s="66">
        <v>0.0</v>
      </c>
      <c r="T138" s="66">
        <v>0.0</v>
      </c>
      <c r="U138" s="66">
        <v>0.0</v>
      </c>
      <c r="V138" s="66">
        <v>0.0</v>
      </c>
      <c r="W138" s="66">
        <v>0.0</v>
      </c>
      <c r="X138" s="6">
        <f t="shared" si="38"/>
        <v>1</v>
      </c>
    </row>
    <row r="139" ht="12.75" customHeight="1">
      <c r="A139" s="18"/>
      <c r="B139" s="51"/>
      <c r="C139" s="52" t="s">
        <v>116</v>
      </c>
      <c r="D139" s="53"/>
      <c r="E139" s="66">
        <v>0.0</v>
      </c>
      <c r="F139" s="66">
        <v>0.0</v>
      </c>
      <c r="G139" s="66">
        <v>0.0</v>
      </c>
      <c r="H139" s="66">
        <v>0.0</v>
      </c>
      <c r="I139" s="66">
        <v>0.0</v>
      </c>
      <c r="J139" s="66">
        <v>0.0</v>
      </c>
      <c r="K139" s="66">
        <v>0.0</v>
      </c>
      <c r="L139" s="66">
        <v>0.0</v>
      </c>
      <c r="M139" s="66">
        <v>0.0</v>
      </c>
      <c r="N139" s="66">
        <v>0.0</v>
      </c>
      <c r="O139" s="66">
        <v>0.0</v>
      </c>
      <c r="P139" s="66">
        <v>0.0</v>
      </c>
      <c r="Q139" s="66">
        <v>0.0</v>
      </c>
      <c r="R139" s="66">
        <v>0.0</v>
      </c>
      <c r="S139" s="66">
        <v>0.0</v>
      </c>
      <c r="T139" s="66">
        <v>0.0</v>
      </c>
      <c r="U139" s="66">
        <v>0.0</v>
      </c>
      <c r="V139" s="66">
        <v>0.0</v>
      </c>
      <c r="W139" s="66">
        <v>0.0</v>
      </c>
      <c r="X139" s="6">
        <f t="shared" si="38"/>
        <v>0</v>
      </c>
    </row>
    <row r="140" ht="12.75" customHeight="1">
      <c r="A140" s="13" t="s">
        <v>14</v>
      </c>
      <c r="B140" s="49" t="s">
        <v>45</v>
      </c>
      <c r="C140" s="8"/>
      <c r="D140" s="9"/>
      <c r="E140" s="54">
        <f t="shared" ref="E140:W140" si="39">SUM(E133:E139)</f>
        <v>0</v>
      </c>
      <c r="F140" s="54">
        <f t="shared" si="39"/>
        <v>1</v>
      </c>
      <c r="G140" s="54">
        <f t="shared" si="39"/>
        <v>1</v>
      </c>
      <c r="H140" s="54">
        <f t="shared" si="39"/>
        <v>0</v>
      </c>
      <c r="I140" s="54">
        <f t="shared" si="39"/>
        <v>0</v>
      </c>
      <c r="J140" s="54">
        <f t="shared" si="39"/>
        <v>1</v>
      </c>
      <c r="K140" s="54">
        <f t="shared" si="39"/>
        <v>0</v>
      </c>
      <c r="L140" s="54">
        <f t="shared" si="39"/>
        <v>0</v>
      </c>
      <c r="M140" s="54">
        <f t="shared" si="39"/>
        <v>1</v>
      </c>
      <c r="N140" s="54">
        <f t="shared" si="39"/>
        <v>0</v>
      </c>
      <c r="O140" s="54">
        <f t="shared" si="39"/>
        <v>0</v>
      </c>
      <c r="P140" s="54">
        <f t="shared" si="39"/>
        <v>0</v>
      </c>
      <c r="Q140" s="54">
        <f t="shared" si="39"/>
        <v>0</v>
      </c>
      <c r="R140" s="54">
        <f t="shared" si="39"/>
        <v>0</v>
      </c>
      <c r="S140" s="54">
        <f t="shared" si="39"/>
        <v>2</v>
      </c>
      <c r="T140" s="54">
        <f t="shared" si="39"/>
        <v>0</v>
      </c>
      <c r="U140" s="54">
        <f t="shared" si="39"/>
        <v>0</v>
      </c>
      <c r="V140" s="54">
        <f t="shared" si="39"/>
        <v>0</v>
      </c>
      <c r="W140" s="54">
        <f t="shared" si="39"/>
        <v>0</v>
      </c>
      <c r="X140" s="6">
        <f t="shared" si="38"/>
        <v>6</v>
      </c>
    </row>
    <row r="141" ht="12.75" customHeight="1">
      <c r="A141" s="55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6"/>
    </row>
    <row r="142" ht="12.75" customHeight="1">
      <c r="A142" s="32" t="s">
        <v>36</v>
      </c>
      <c r="B142" s="49" t="s">
        <v>117</v>
      </c>
      <c r="C142" s="50" t="s">
        <v>118</v>
      </c>
      <c r="D142" s="9"/>
      <c r="E142" s="66">
        <v>1.0</v>
      </c>
      <c r="F142" s="66">
        <v>2.0</v>
      </c>
      <c r="G142" s="66">
        <v>2.0</v>
      </c>
      <c r="H142" s="66">
        <v>1.0</v>
      </c>
      <c r="I142" s="66">
        <v>1.0</v>
      </c>
      <c r="J142" s="66">
        <v>0.0</v>
      </c>
      <c r="K142" s="66">
        <v>3.0</v>
      </c>
      <c r="L142" s="66">
        <v>2.0</v>
      </c>
      <c r="M142" s="66">
        <v>3.0</v>
      </c>
      <c r="N142" s="66">
        <v>1.0</v>
      </c>
      <c r="O142" s="66">
        <v>1.0</v>
      </c>
      <c r="P142" s="66">
        <v>4.0</v>
      </c>
      <c r="Q142" s="66">
        <v>2.0</v>
      </c>
      <c r="R142" s="66">
        <v>2.0</v>
      </c>
      <c r="S142" s="66">
        <v>0.0</v>
      </c>
      <c r="T142" s="66">
        <v>0.0</v>
      </c>
      <c r="U142" s="66">
        <v>0.0</v>
      </c>
      <c r="V142" s="66">
        <v>0.0</v>
      </c>
      <c r="W142" s="66">
        <v>0.0</v>
      </c>
      <c r="X142" s="6">
        <f t="shared" ref="X142:X149" si="40">SUM(E142:W142)</f>
        <v>25</v>
      </c>
    </row>
    <row r="143" ht="12.75" customHeight="1">
      <c r="A143" s="32" t="s">
        <v>38</v>
      </c>
      <c r="B143" s="51"/>
      <c r="C143" s="52" t="s">
        <v>119</v>
      </c>
      <c r="D143" s="53"/>
      <c r="E143" s="66">
        <v>11.0</v>
      </c>
      <c r="F143" s="66">
        <v>3.0</v>
      </c>
      <c r="G143" s="66">
        <v>3.0</v>
      </c>
      <c r="H143" s="66">
        <v>10.0</v>
      </c>
      <c r="I143" s="66">
        <v>3.0</v>
      </c>
      <c r="J143" s="66">
        <v>9.0</v>
      </c>
      <c r="K143" s="66">
        <v>9.0</v>
      </c>
      <c r="L143" s="66">
        <v>21.0</v>
      </c>
      <c r="M143" s="66">
        <v>18.0</v>
      </c>
      <c r="N143" s="66">
        <v>2.0</v>
      </c>
      <c r="O143" s="66">
        <v>2.0</v>
      </c>
      <c r="P143" s="66">
        <v>8.0</v>
      </c>
      <c r="Q143" s="66">
        <v>2.0</v>
      </c>
      <c r="R143" s="66">
        <v>1.0</v>
      </c>
      <c r="S143" s="66">
        <v>1.0</v>
      </c>
      <c r="T143" s="66">
        <v>0.0</v>
      </c>
      <c r="U143" s="66">
        <v>1.0</v>
      </c>
      <c r="V143" s="66">
        <v>1.0</v>
      </c>
      <c r="W143" s="66">
        <v>0.0</v>
      </c>
      <c r="X143" s="6">
        <f t="shared" si="40"/>
        <v>105</v>
      </c>
    </row>
    <row r="144" ht="12.75" customHeight="1">
      <c r="A144" s="18"/>
      <c r="B144" s="51"/>
      <c r="C144" s="52" t="s">
        <v>120</v>
      </c>
      <c r="D144" s="53"/>
      <c r="E144" s="66">
        <v>0.0</v>
      </c>
      <c r="F144" s="66">
        <v>2.0</v>
      </c>
      <c r="G144" s="66">
        <v>0.0</v>
      </c>
      <c r="H144" s="66">
        <v>1.0</v>
      </c>
      <c r="I144" s="66">
        <v>4.0</v>
      </c>
      <c r="J144" s="66">
        <v>0.0</v>
      </c>
      <c r="K144" s="66">
        <v>0.0</v>
      </c>
      <c r="L144" s="66">
        <v>0.0</v>
      </c>
      <c r="M144" s="66">
        <v>6.0</v>
      </c>
      <c r="N144" s="66">
        <v>1.0</v>
      </c>
      <c r="O144" s="66">
        <v>3.0</v>
      </c>
      <c r="P144" s="66">
        <v>1.0</v>
      </c>
      <c r="Q144" s="66">
        <v>2.0</v>
      </c>
      <c r="R144" s="66">
        <v>7.0</v>
      </c>
      <c r="S144" s="66">
        <v>3.0</v>
      </c>
      <c r="T144" s="66">
        <v>0.0</v>
      </c>
      <c r="U144" s="66">
        <v>2.0</v>
      </c>
      <c r="V144" s="66">
        <v>1.0</v>
      </c>
      <c r="W144" s="66">
        <v>0.0</v>
      </c>
      <c r="X144" s="6">
        <f t="shared" si="40"/>
        <v>33</v>
      </c>
    </row>
    <row r="145" ht="12.75" customHeight="1">
      <c r="A145" s="18"/>
      <c r="B145" s="51"/>
      <c r="C145" s="52" t="s">
        <v>121</v>
      </c>
      <c r="D145" s="53"/>
      <c r="E145" s="66">
        <v>0.0</v>
      </c>
      <c r="F145" s="66">
        <v>0.0</v>
      </c>
      <c r="G145" s="66">
        <v>0.0</v>
      </c>
      <c r="H145" s="66">
        <v>0.0</v>
      </c>
      <c r="I145" s="66">
        <v>0.0</v>
      </c>
      <c r="J145" s="66">
        <v>0.0</v>
      </c>
      <c r="K145" s="66">
        <v>1.0</v>
      </c>
      <c r="L145" s="66">
        <v>0.0</v>
      </c>
      <c r="M145" s="66">
        <v>0.0</v>
      </c>
      <c r="N145" s="66">
        <v>0.0</v>
      </c>
      <c r="O145" s="66">
        <v>0.0</v>
      </c>
      <c r="P145" s="66">
        <v>1.0</v>
      </c>
      <c r="Q145" s="66">
        <v>1.0</v>
      </c>
      <c r="R145" s="66">
        <v>0.0</v>
      </c>
      <c r="S145" s="66">
        <v>0.0</v>
      </c>
      <c r="T145" s="66">
        <v>0.0</v>
      </c>
      <c r="U145" s="66">
        <v>0.0</v>
      </c>
      <c r="V145" s="66">
        <v>0.0</v>
      </c>
      <c r="W145" s="66">
        <v>0.0</v>
      </c>
      <c r="X145" s="6">
        <f t="shared" si="40"/>
        <v>3</v>
      </c>
    </row>
    <row r="146" ht="12.75" customHeight="1">
      <c r="A146" s="18"/>
      <c r="B146" s="51"/>
      <c r="C146" s="52" t="s">
        <v>122</v>
      </c>
      <c r="D146" s="53"/>
      <c r="E146" s="66">
        <v>0.0</v>
      </c>
      <c r="F146" s="66">
        <v>0.0</v>
      </c>
      <c r="G146" s="66">
        <v>0.0</v>
      </c>
      <c r="H146" s="66">
        <v>0.0</v>
      </c>
      <c r="I146" s="66">
        <v>0.0</v>
      </c>
      <c r="J146" s="66">
        <v>0.0</v>
      </c>
      <c r="K146" s="66">
        <v>0.0</v>
      </c>
      <c r="L146" s="66">
        <v>1.0</v>
      </c>
      <c r="M146" s="66">
        <v>0.0</v>
      </c>
      <c r="N146" s="66">
        <v>0.0</v>
      </c>
      <c r="O146" s="66">
        <v>0.0</v>
      </c>
      <c r="P146" s="66">
        <v>0.0</v>
      </c>
      <c r="Q146" s="66">
        <v>0.0</v>
      </c>
      <c r="R146" s="66">
        <v>0.0</v>
      </c>
      <c r="S146" s="66">
        <v>0.0</v>
      </c>
      <c r="T146" s="66">
        <v>0.0</v>
      </c>
      <c r="U146" s="66">
        <v>0.0</v>
      </c>
      <c r="V146" s="66">
        <v>0.0</v>
      </c>
      <c r="W146" s="66">
        <v>0.0</v>
      </c>
      <c r="X146" s="6">
        <f t="shared" si="40"/>
        <v>1</v>
      </c>
    </row>
    <row r="147" ht="12.75" customHeight="1">
      <c r="A147" s="18"/>
      <c r="B147" s="51"/>
      <c r="C147" s="52" t="s">
        <v>123</v>
      </c>
      <c r="D147" s="53"/>
      <c r="E147" s="66">
        <v>0.0</v>
      </c>
      <c r="F147" s="66">
        <v>0.0</v>
      </c>
      <c r="G147" s="66">
        <v>0.0</v>
      </c>
      <c r="H147" s="66">
        <v>0.0</v>
      </c>
      <c r="I147" s="66">
        <v>0.0</v>
      </c>
      <c r="J147" s="66">
        <v>0.0</v>
      </c>
      <c r="K147" s="66">
        <v>0.0</v>
      </c>
      <c r="L147" s="66">
        <v>0.0</v>
      </c>
      <c r="M147" s="66">
        <v>0.0</v>
      </c>
      <c r="N147" s="66">
        <v>0.0</v>
      </c>
      <c r="O147" s="66">
        <v>0.0</v>
      </c>
      <c r="P147" s="66">
        <v>0.0</v>
      </c>
      <c r="Q147" s="66">
        <v>0.0</v>
      </c>
      <c r="R147" s="66">
        <v>0.0</v>
      </c>
      <c r="S147" s="66">
        <v>0.0</v>
      </c>
      <c r="T147" s="66">
        <v>0.0</v>
      </c>
      <c r="U147" s="66">
        <v>0.0</v>
      </c>
      <c r="V147" s="66">
        <v>0.0</v>
      </c>
      <c r="W147" s="66">
        <v>0.0</v>
      </c>
      <c r="X147" s="6">
        <f t="shared" si="40"/>
        <v>0</v>
      </c>
    </row>
    <row r="148" ht="12.75" customHeight="1">
      <c r="A148" s="18"/>
      <c r="B148" s="51"/>
      <c r="C148" s="52" t="s">
        <v>124</v>
      </c>
      <c r="D148" s="53"/>
      <c r="E148" s="66">
        <v>0.0</v>
      </c>
      <c r="F148" s="66">
        <v>0.0</v>
      </c>
      <c r="G148" s="66">
        <v>0.0</v>
      </c>
      <c r="H148" s="66">
        <v>0.0</v>
      </c>
      <c r="I148" s="66">
        <v>0.0</v>
      </c>
      <c r="J148" s="66">
        <v>0.0</v>
      </c>
      <c r="K148" s="66">
        <v>0.0</v>
      </c>
      <c r="L148" s="66">
        <v>0.0</v>
      </c>
      <c r="M148" s="66">
        <v>0.0</v>
      </c>
      <c r="N148" s="66">
        <v>0.0</v>
      </c>
      <c r="O148" s="66">
        <v>0.0</v>
      </c>
      <c r="P148" s="66">
        <v>0.0</v>
      </c>
      <c r="Q148" s="66">
        <v>0.0</v>
      </c>
      <c r="R148" s="66">
        <v>0.0</v>
      </c>
      <c r="S148" s="66">
        <v>0.0</v>
      </c>
      <c r="T148" s="66">
        <v>0.0</v>
      </c>
      <c r="U148" s="66">
        <v>0.0</v>
      </c>
      <c r="V148" s="66">
        <v>0.0</v>
      </c>
      <c r="W148" s="66">
        <v>0.0</v>
      </c>
      <c r="X148" s="6">
        <f t="shared" si="40"/>
        <v>0</v>
      </c>
    </row>
    <row r="149" ht="12.75" customHeight="1">
      <c r="A149" s="13" t="s">
        <v>14</v>
      </c>
      <c r="B149" s="49" t="s">
        <v>45</v>
      </c>
      <c r="C149" s="8"/>
      <c r="D149" s="9"/>
      <c r="E149" s="54">
        <f t="shared" ref="E149:W149" si="41">SUM(E142:E148)</f>
        <v>12</v>
      </c>
      <c r="F149" s="54">
        <f t="shared" si="41"/>
        <v>7</v>
      </c>
      <c r="G149" s="54">
        <f t="shared" si="41"/>
        <v>5</v>
      </c>
      <c r="H149" s="54">
        <f t="shared" si="41"/>
        <v>12</v>
      </c>
      <c r="I149" s="54">
        <f t="shared" si="41"/>
        <v>8</v>
      </c>
      <c r="J149" s="54">
        <f t="shared" si="41"/>
        <v>9</v>
      </c>
      <c r="K149" s="54">
        <f t="shared" si="41"/>
        <v>13</v>
      </c>
      <c r="L149" s="54">
        <f t="shared" si="41"/>
        <v>24</v>
      </c>
      <c r="M149" s="54">
        <f t="shared" si="41"/>
        <v>27</v>
      </c>
      <c r="N149" s="54">
        <f t="shared" si="41"/>
        <v>4</v>
      </c>
      <c r="O149" s="54">
        <f t="shared" si="41"/>
        <v>6</v>
      </c>
      <c r="P149" s="54">
        <f t="shared" si="41"/>
        <v>14</v>
      </c>
      <c r="Q149" s="54">
        <f t="shared" si="41"/>
        <v>7</v>
      </c>
      <c r="R149" s="54">
        <f t="shared" si="41"/>
        <v>10</v>
      </c>
      <c r="S149" s="54">
        <f t="shared" si="41"/>
        <v>4</v>
      </c>
      <c r="T149" s="54">
        <f t="shared" si="41"/>
        <v>0</v>
      </c>
      <c r="U149" s="54">
        <f t="shared" si="41"/>
        <v>3</v>
      </c>
      <c r="V149" s="54">
        <f t="shared" si="41"/>
        <v>2</v>
      </c>
      <c r="W149" s="54">
        <f t="shared" si="41"/>
        <v>0</v>
      </c>
      <c r="X149" s="6">
        <f t="shared" si="40"/>
        <v>167</v>
      </c>
    </row>
    <row r="150" ht="12.75" customHeight="1">
      <c r="A150" s="55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6"/>
    </row>
    <row r="151" ht="12.75" customHeight="1">
      <c r="A151" s="32" t="s">
        <v>36</v>
      </c>
      <c r="B151" s="49" t="s">
        <v>125</v>
      </c>
      <c r="C151" s="50" t="s">
        <v>126</v>
      </c>
      <c r="D151" s="9"/>
      <c r="E151" s="66">
        <v>0.0</v>
      </c>
      <c r="F151" s="66">
        <v>0.0</v>
      </c>
      <c r="G151" s="66">
        <v>1.0</v>
      </c>
      <c r="H151" s="66">
        <v>0.0</v>
      </c>
      <c r="I151" s="66">
        <v>0.0</v>
      </c>
      <c r="J151" s="66">
        <v>0.0</v>
      </c>
      <c r="K151" s="66">
        <v>0.0</v>
      </c>
      <c r="L151" s="66">
        <v>1.0</v>
      </c>
      <c r="M151" s="66">
        <v>1.0</v>
      </c>
      <c r="N151" s="66">
        <v>1.0</v>
      </c>
      <c r="O151" s="66">
        <v>0.0</v>
      </c>
      <c r="P151" s="66">
        <v>1.0</v>
      </c>
      <c r="Q151" s="66">
        <v>1.0</v>
      </c>
      <c r="R151" s="66">
        <v>0.0</v>
      </c>
      <c r="S151" s="66">
        <v>4.0</v>
      </c>
      <c r="T151" s="66">
        <v>0.0</v>
      </c>
      <c r="U151" s="66">
        <v>1.0</v>
      </c>
      <c r="V151" s="66">
        <v>0.0</v>
      </c>
      <c r="W151" s="66">
        <v>0.0</v>
      </c>
      <c r="X151" s="6">
        <f t="shared" ref="X151:X153" si="42">SUM(E151:W151)</f>
        <v>11</v>
      </c>
    </row>
    <row r="152" ht="12.75" customHeight="1">
      <c r="A152" s="32" t="s">
        <v>38</v>
      </c>
      <c r="B152" s="51"/>
      <c r="C152" s="52" t="s">
        <v>127</v>
      </c>
      <c r="D152" s="53"/>
      <c r="E152" s="66">
        <v>0.0</v>
      </c>
      <c r="F152" s="66">
        <v>2.0</v>
      </c>
      <c r="G152" s="66">
        <v>0.0</v>
      </c>
      <c r="H152" s="66">
        <v>0.0</v>
      </c>
      <c r="I152" s="66">
        <v>0.0</v>
      </c>
      <c r="J152" s="66">
        <v>0.0</v>
      </c>
      <c r="K152" s="66">
        <v>0.0</v>
      </c>
      <c r="L152" s="66">
        <v>0.0</v>
      </c>
      <c r="M152" s="66">
        <v>0.0</v>
      </c>
      <c r="N152" s="66">
        <v>3.0</v>
      </c>
      <c r="O152" s="66">
        <v>0.0</v>
      </c>
      <c r="P152" s="66">
        <v>1.0</v>
      </c>
      <c r="Q152" s="66">
        <v>0.0</v>
      </c>
      <c r="R152" s="66">
        <v>1.0</v>
      </c>
      <c r="S152" s="66">
        <v>2.0</v>
      </c>
      <c r="T152" s="66">
        <v>0.0</v>
      </c>
      <c r="U152" s="66">
        <v>0.0</v>
      </c>
      <c r="V152" s="66">
        <v>0.0</v>
      </c>
      <c r="W152" s="66">
        <v>0.0</v>
      </c>
      <c r="X152" s="6">
        <f t="shared" si="42"/>
        <v>9</v>
      </c>
    </row>
    <row r="153" ht="12.75" customHeight="1">
      <c r="A153" s="13" t="s">
        <v>14</v>
      </c>
      <c r="B153" s="49" t="s">
        <v>45</v>
      </c>
      <c r="C153" s="8"/>
      <c r="D153" s="9"/>
      <c r="E153" s="54">
        <f t="shared" ref="E153:W153" si="43">SUM(E151:E152)</f>
        <v>0</v>
      </c>
      <c r="F153" s="54">
        <f t="shared" si="43"/>
        <v>2</v>
      </c>
      <c r="G153" s="54">
        <f t="shared" si="43"/>
        <v>1</v>
      </c>
      <c r="H153" s="54">
        <f t="shared" si="43"/>
        <v>0</v>
      </c>
      <c r="I153" s="54">
        <f t="shared" si="43"/>
        <v>0</v>
      </c>
      <c r="J153" s="54">
        <f t="shared" si="43"/>
        <v>0</v>
      </c>
      <c r="K153" s="54">
        <f t="shared" si="43"/>
        <v>0</v>
      </c>
      <c r="L153" s="54">
        <f t="shared" si="43"/>
        <v>1</v>
      </c>
      <c r="M153" s="54">
        <f t="shared" si="43"/>
        <v>1</v>
      </c>
      <c r="N153" s="54">
        <f t="shared" si="43"/>
        <v>4</v>
      </c>
      <c r="O153" s="54">
        <f t="shared" si="43"/>
        <v>0</v>
      </c>
      <c r="P153" s="54">
        <f t="shared" si="43"/>
        <v>2</v>
      </c>
      <c r="Q153" s="54">
        <f t="shared" si="43"/>
        <v>1</v>
      </c>
      <c r="R153" s="54">
        <f t="shared" si="43"/>
        <v>1</v>
      </c>
      <c r="S153" s="54">
        <f t="shared" si="43"/>
        <v>6</v>
      </c>
      <c r="T153" s="54">
        <f t="shared" si="43"/>
        <v>0</v>
      </c>
      <c r="U153" s="54">
        <f t="shared" si="43"/>
        <v>1</v>
      </c>
      <c r="V153" s="54">
        <f t="shared" si="43"/>
        <v>0</v>
      </c>
      <c r="W153" s="54">
        <f t="shared" si="43"/>
        <v>0</v>
      </c>
      <c r="X153" s="6">
        <f t="shared" si="42"/>
        <v>20</v>
      </c>
    </row>
    <row r="154" ht="12.75" customHeight="1">
      <c r="A154" s="55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6"/>
    </row>
    <row r="155" ht="12.75" customHeight="1">
      <c r="A155" s="32" t="s">
        <v>36</v>
      </c>
      <c r="B155" s="49" t="s">
        <v>128</v>
      </c>
      <c r="C155" s="50" t="s">
        <v>129</v>
      </c>
      <c r="D155" s="9"/>
      <c r="E155" s="66">
        <v>0.0</v>
      </c>
      <c r="F155" s="66">
        <v>0.0</v>
      </c>
      <c r="G155" s="66">
        <v>0.0</v>
      </c>
      <c r="H155" s="66">
        <v>0.0</v>
      </c>
      <c r="I155" s="66">
        <v>0.0</v>
      </c>
      <c r="J155" s="66">
        <v>0.0</v>
      </c>
      <c r="K155" s="66">
        <v>0.0</v>
      </c>
      <c r="L155" s="66">
        <v>0.0</v>
      </c>
      <c r="M155" s="66">
        <v>0.0</v>
      </c>
      <c r="N155" s="13"/>
      <c r="O155" s="66">
        <v>0.0</v>
      </c>
      <c r="P155" s="66">
        <v>0.0</v>
      </c>
      <c r="Q155" s="66">
        <v>1.0</v>
      </c>
      <c r="R155" s="66">
        <v>0.0</v>
      </c>
      <c r="S155" s="66">
        <v>2.0</v>
      </c>
      <c r="T155" s="66">
        <v>0.0</v>
      </c>
      <c r="U155" s="66">
        <v>0.0</v>
      </c>
      <c r="V155" s="66">
        <v>0.0</v>
      </c>
      <c r="W155" s="66">
        <v>0.0</v>
      </c>
      <c r="X155" s="6">
        <f t="shared" ref="X155:X159" si="44">SUM(E155:W155)</f>
        <v>3</v>
      </c>
    </row>
    <row r="156" ht="12.75" customHeight="1">
      <c r="A156" s="32"/>
      <c r="B156" s="49"/>
      <c r="C156" s="52" t="s">
        <v>130</v>
      </c>
      <c r="D156" s="61"/>
      <c r="E156" s="66">
        <v>0.0</v>
      </c>
      <c r="F156" s="66">
        <v>0.0</v>
      </c>
      <c r="G156" s="66">
        <v>0.0</v>
      </c>
      <c r="H156" s="66">
        <v>0.0</v>
      </c>
      <c r="I156" s="66">
        <v>0.0</v>
      </c>
      <c r="J156" s="66">
        <v>0.0</v>
      </c>
      <c r="K156" s="66">
        <v>0.0</v>
      </c>
      <c r="L156" s="66">
        <v>0.0</v>
      </c>
      <c r="M156" s="66">
        <v>0.0</v>
      </c>
      <c r="N156" s="13"/>
      <c r="O156" s="66">
        <v>0.0</v>
      </c>
      <c r="P156" s="66">
        <v>0.0</v>
      </c>
      <c r="Q156" s="66">
        <v>0.0</v>
      </c>
      <c r="R156" s="66">
        <v>0.0</v>
      </c>
      <c r="S156" s="66">
        <v>0.0</v>
      </c>
      <c r="T156" s="66">
        <v>0.0</v>
      </c>
      <c r="U156" s="66">
        <v>0.0</v>
      </c>
      <c r="V156" s="66">
        <v>0.0</v>
      </c>
      <c r="W156" s="66">
        <v>0.0</v>
      </c>
      <c r="X156" s="6">
        <f t="shared" si="44"/>
        <v>0</v>
      </c>
    </row>
    <row r="157" ht="12.75" customHeight="1">
      <c r="A157" s="32"/>
      <c r="B157" s="49"/>
      <c r="C157" s="52" t="s">
        <v>131</v>
      </c>
      <c r="D157" s="61"/>
      <c r="E157" s="66">
        <v>0.0</v>
      </c>
      <c r="F157" s="66">
        <v>0.0</v>
      </c>
      <c r="G157" s="66">
        <v>0.0</v>
      </c>
      <c r="H157" s="66">
        <v>0.0</v>
      </c>
      <c r="I157" s="66">
        <v>0.0</v>
      </c>
      <c r="J157" s="66">
        <v>0.0</v>
      </c>
      <c r="K157" s="66">
        <v>0.0</v>
      </c>
      <c r="L157" s="66">
        <v>0.0</v>
      </c>
      <c r="M157" s="66">
        <v>0.0</v>
      </c>
      <c r="N157" s="13"/>
      <c r="O157" s="66">
        <v>0.0</v>
      </c>
      <c r="P157" s="66">
        <v>1.0</v>
      </c>
      <c r="Q157" s="66">
        <v>0.0</v>
      </c>
      <c r="R157" s="66">
        <v>0.0</v>
      </c>
      <c r="S157" s="66">
        <v>0.0</v>
      </c>
      <c r="T157" s="66">
        <v>0.0</v>
      </c>
      <c r="U157" s="66">
        <v>0.0</v>
      </c>
      <c r="V157" s="66">
        <v>0.0</v>
      </c>
      <c r="W157" s="66">
        <v>0.0</v>
      </c>
      <c r="X157" s="6">
        <f t="shared" si="44"/>
        <v>1</v>
      </c>
    </row>
    <row r="158" ht="12.75" customHeight="1">
      <c r="A158" s="32"/>
      <c r="B158" s="49"/>
      <c r="C158" s="52" t="s">
        <v>132</v>
      </c>
      <c r="D158" s="61"/>
      <c r="E158" s="66">
        <v>0.0</v>
      </c>
      <c r="F158" s="66">
        <v>0.0</v>
      </c>
      <c r="G158" s="66">
        <v>0.0</v>
      </c>
      <c r="H158" s="66">
        <v>0.0</v>
      </c>
      <c r="I158" s="66">
        <v>0.0</v>
      </c>
      <c r="J158" s="66">
        <v>0.0</v>
      </c>
      <c r="K158" s="66">
        <v>0.0</v>
      </c>
      <c r="L158" s="66">
        <v>0.0</v>
      </c>
      <c r="M158" s="66">
        <v>0.0</v>
      </c>
      <c r="N158" s="13"/>
      <c r="O158" s="66">
        <v>0.0</v>
      </c>
      <c r="P158" s="66">
        <v>0.0</v>
      </c>
      <c r="Q158" s="66">
        <v>0.0</v>
      </c>
      <c r="R158" s="66">
        <v>2.0</v>
      </c>
      <c r="S158" s="66">
        <v>0.0</v>
      </c>
      <c r="T158" s="66">
        <v>0.0</v>
      </c>
      <c r="U158" s="66">
        <v>0.0</v>
      </c>
      <c r="V158" s="66">
        <v>0.0</v>
      </c>
      <c r="W158" s="66">
        <v>0.0</v>
      </c>
      <c r="X158" s="6">
        <f t="shared" si="44"/>
        <v>2</v>
      </c>
    </row>
    <row r="159" ht="12.75" customHeight="1">
      <c r="A159" s="13" t="s">
        <v>14</v>
      </c>
      <c r="B159" s="49" t="s">
        <v>45</v>
      </c>
      <c r="C159" s="8"/>
      <c r="D159" s="9"/>
      <c r="E159" s="54">
        <f t="shared" ref="E159:W159" si="45">SUM(E155:E158)</f>
        <v>0</v>
      </c>
      <c r="F159" s="54">
        <f t="shared" si="45"/>
        <v>0</v>
      </c>
      <c r="G159" s="54">
        <f t="shared" si="45"/>
        <v>0</v>
      </c>
      <c r="H159" s="54">
        <f t="shared" si="45"/>
        <v>0</v>
      </c>
      <c r="I159" s="54">
        <f t="shared" si="45"/>
        <v>0</v>
      </c>
      <c r="J159" s="54">
        <f t="shared" si="45"/>
        <v>0</v>
      </c>
      <c r="K159" s="54">
        <f t="shared" si="45"/>
        <v>0</v>
      </c>
      <c r="L159" s="54">
        <f t="shared" si="45"/>
        <v>0</v>
      </c>
      <c r="M159" s="54">
        <f t="shared" si="45"/>
        <v>0</v>
      </c>
      <c r="N159" s="54">
        <f t="shared" si="45"/>
        <v>0</v>
      </c>
      <c r="O159" s="54">
        <f t="shared" si="45"/>
        <v>0</v>
      </c>
      <c r="P159" s="54">
        <f t="shared" si="45"/>
        <v>1</v>
      </c>
      <c r="Q159" s="54">
        <f t="shared" si="45"/>
        <v>1</v>
      </c>
      <c r="R159" s="54">
        <f t="shared" si="45"/>
        <v>2</v>
      </c>
      <c r="S159" s="54">
        <f t="shared" si="45"/>
        <v>2</v>
      </c>
      <c r="T159" s="54">
        <f t="shared" si="45"/>
        <v>0</v>
      </c>
      <c r="U159" s="54">
        <f t="shared" si="45"/>
        <v>0</v>
      </c>
      <c r="V159" s="54">
        <f t="shared" si="45"/>
        <v>0</v>
      </c>
      <c r="W159" s="54">
        <f t="shared" si="45"/>
        <v>0</v>
      </c>
      <c r="X159" s="6">
        <f t="shared" si="44"/>
        <v>6</v>
      </c>
    </row>
    <row r="160" ht="12.75" customHeight="1">
      <c r="A160" s="55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6"/>
    </row>
    <row r="161" ht="12.75" customHeight="1">
      <c r="A161" s="32" t="s">
        <v>36</v>
      </c>
      <c r="B161" s="49" t="s">
        <v>133</v>
      </c>
      <c r="C161" s="50" t="s">
        <v>134</v>
      </c>
      <c r="D161" s="9"/>
      <c r="E161" s="66">
        <v>0.0</v>
      </c>
      <c r="F161" s="66">
        <v>5.0</v>
      </c>
      <c r="G161" s="66">
        <v>3.0</v>
      </c>
      <c r="H161" s="66">
        <v>4.0</v>
      </c>
      <c r="I161" s="66">
        <v>8.0</v>
      </c>
      <c r="J161" s="66">
        <v>0.0</v>
      </c>
      <c r="K161" s="66">
        <v>0.0</v>
      </c>
      <c r="L161" s="66">
        <v>0.0</v>
      </c>
      <c r="M161" s="66">
        <v>2.0</v>
      </c>
      <c r="N161" s="66">
        <v>4.0</v>
      </c>
      <c r="O161" s="66">
        <v>1.0</v>
      </c>
      <c r="P161" s="66">
        <v>1.0</v>
      </c>
      <c r="Q161" s="66">
        <v>1.0</v>
      </c>
      <c r="R161" s="66">
        <v>0.0</v>
      </c>
      <c r="S161" s="66">
        <v>0.0</v>
      </c>
      <c r="T161" s="66">
        <v>1.0</v>
      </c>
      <c r="U161" s="66">
        <v>1.0</v>
      </c>
      <c r="V161" s="66">
        <v>0.0</v>
      </c>
      <c r="W161" s="66">
        <v>0.0</v>
      </c>
      <c r="X161" s="6">
        <f t="shared" ref="X161:X168" si="46">SUM(E161:W161)</f>
        <v>31</v>
      </c>
    </row>
    <row r="162" ht="12.75" customHeight="1">
      <c r="A162" s="32" t="s">
        <v>38</v>
      </c>
      <c r="B162" s="51"/>
      <c r="C162" s="52" t="s">
        <v>135</v>
      </c>
      <c r="D162" s="53"/>
      <c r="E162" s="66">
        <v>0.0</v>
      </c>
      <c r="F162" s="66">
        <v>48.0</v>
      </c>
      <c r="G162" s="66">
        <v>32.0</v>
      </c>
      <c r="H162" s="66">
        <v>22.0</v>
      </c>
      <c r="I162" s="66">
        <v>42.0</v>
      </c>
      <c r="J162" s="66">
        <v>1.0</v>
      </c>
      <c r="K162" s="66">
        <v>1.0</v>
      </c>
      <c r="L162" s="66">
        <v>2.0</v>
      </c>
      <c r="M162" s="66">
        <v>6.0</v>
      </c>
      <c r="N162" s="66">
        <v>11.0</v>
      </c>
      <c r="O162" s="66">
        <v>0.0</v>
      </c>
      <c r="P162" s="66">
        <v>3.0</v>
      </c>
      <c r="Q162" s="66">
        <v>3.0</v>
      </c>
      <c r="R162" s="66">
        <v>1.0</v>
      </c>
      <c r="S162" s="66">
        <v>1.0</v>
      </c>
      <c r="T162" s="66">
        <v>0.0</v>
      </c>
      <c r="U162" s="66">
        <v>3.0</v>
      </c>
      <c r="V162" s="66">
        <v>1.0</v>
      </c>
      <c r="W162" s="66">
        <v>0.0</v>
      </c>
      <c r="X162" s="6">
        <f t="shared" si="46"/>
        <v>177</v>
      </c>
    </row>
    <row r="163" ht="12.75" customHeight="1">
      <c r="A163" s="18"/>
      <c r="B163" s="51"/>
      <c r="C163" s="52" t="s">
        <v>136</v>
      </c>
      <c r="D163" s="53"/>
      <c r="E163" s="66">
        <v>0.0</v>
      </c>
      <c r="F163" s="66">
        <v>1.0</v>
      </c>
      <c r="G163" s="66">
        <v>1.0</v>
      </c>
      <c r="H163" s="66">
        <v>1.0</v>
      </c>
      <c r="I163" s="66">
        <v>2.0</v>
      </c>
      <c r="J163" s="66">
        <v>2.0</v>
      </c>
      <c r="K163" s="66">
        <v>0.0</v>
      </c>
      <c r="L163" s="66">
        <v>0.0</v>
      </c>
      <c r="M163" s="66">
        <v>1.0</v>
      </c>
      <c r="N163" s="66">
        <v>0.0</v>
      </c>
      <c r="O163" s="66">
        <v>3.0</v>
      </c>
      <c r="P163" s="66">
        <v>0.0</v>
      </c>
      <c r="Q163" s="66">
        <v>0.0</v>
      </c>
      <c r="R163" s="66">
        <v>0.0</v>
      </c>
      <c r="S163" s="66">
        <v>0.0</v>
      </c>
      <c r="T163" s="66">
        <v>1.0</v>
      </c>
      <c r="U163" s="66">
        <v>0.0</v>
      </c>
      <c r="V163" s="66">
        <v>1.0</v>
      </c>
      <c r="W163" s="66">
        <v>0.0</v>
      </c>
      <c r="X163" s="6">
        <f t="shared" si="46"/>
        <v>13</v>
      </c>
    </row>
    <row r="164" ht="12.75" customHeight="1">
      <c r="A164" s="18"/>
      <c r="B164" s="51"/>
      <c r="C164" s="52" t="s">
        <v>137</v>
      </c>
      <c r="D164" s="53"/>
      <c r="E164" s="66">
        <v>0.0</v>
      </c>
      <c r="F164" s="66">
        <v>0.0</v>
      </c>
      <c r="G164" s="66">
        <v>0.0</v>
      </c>
      <c r="H164" s="66">
        <v>1.0</v>
      </c>
      <c r="I164" s="66">
        <v>0.0</v>
      </c>
      <c r="J164" s="66">
        <v>0.0</v>
      </c>
      <c r="K164" s="66">
        <v>0.0</v>
      </c>
      <c r="L164" s="66">
        <v>0.0</v>
      </c>
      <c r="M164" s="66">
        <v>0.0</v>
      </c>
      <c r="N164" s="66">
        <v>0.0</v>
      </c>
      <c r="O164" s="66">
        <v>0.0</v>
      </c>
      <c r="P164" s="66">
        <v>0.0</v>
      </c>
      <c r="Q164" s="66">
        <v>0.0</v>
      </c>
      <c r="R164" s="66">
        <v>0.0</v>
      </c>
      <c r="S164" s="66">
        <v>1.0</v>
      </c>
      <c r="T164" s="66">
        <v>0.0</v>
      </c>
      <c r="U164" s="66">
        <v>0.0</v>
      </c>
      <c r="V164" s="66">
        <v>0.0</v>
      </c>
      <c r="W164" s="66">
        <v>0.0</v>
      </c>
      <c r="X164" s="6">
        <f t="shared" si="46"/>
        <v>2</v>
      </c>
    </row>
    <row r="165" ht="12.75" customHeight="1">
      <c r="A165" s="18"/>
      <c r="B165" s="51"/>
      <c r="C165" s="52" t="s">
        <v>138</v>
      </c>
      <c r="D165" s="53"/>
      <c r="E165" s="66">
        <v>0.0</v>
      </c>
      <c r="F165" s="66">
        <v>0.0</v>
      </c>
      <c r="G165" s="66">
        <v>0.0</v>
      </c>
      <c r="H165" s="66">
        <v>0.0</v>
      </c>
      <c r="I165" s="66">
        <v>0.0</v>
      </c>
      <c r="J165" s="66">
        <v>0.0</v>
      </c>
      <c r="K165" s="66">
        <v>0.0</v>
      </c>
      <c r="L165" s="66">
        <v>0.0</v>
      </c>
      <c r="M165" s="66">
        <v>0.0</v>
      </c>
      <c r="N165" s="66">
        <v>0.0</v>
      </c>
      <c r="O165" s="66">
        <v>0.0</v>
      </c>
      <c r="P165" s="66">
        <v>0.0</v>
      </c>
      <c r="Q165" s="66">
        <v>0.0</v>
      </c>
      <c r="R165" s="66">
        <v>0.0</v>
      </c>
      <c r="S165" s="66">
        <v>0.0</v>
      </c>
      <c r="T165" s="66">
        <v>0.0</v>
      </c>
      <c r="U165" s="66">
        <v>0.0</v>
      </c>
      <c r="V165" s="66">
        <v>0.0</v>
      </c>
      <c r="W165" s="66">
        <v>0.0</v>
      </c>
      <c r="X165" s="6">
        <f t="shared" si="46"/>
        <v>0</v>
      </c>
    </row>
    <row r="166" ht="12.75" customHeight="1">
      <c r="A166" s="18"/>
      <c r="B166" s="51"/>
      <c r="C166" s="52" t="s">
        <v>139</v>
      </c>
      <c r="D166" s="53"/>
      <c r="E166" s="66">
        <v>1.0</v>
      </c>
      <c r="F166" s="66">
        <v>0.0</v>
      </c>
      <c r="G166" s="66">
        <v>0.0</v>
      </c>
      <c r="H166" s="66">
        <v>0.0</v>
      </c>
      <c r="I166" s="66">
        <v>0.0</v>
      </c>
      <c r="J166" s="66">
        <v>0.0</v>
      </c>
      <c r="K166" s="66">
        <v>0.0</v>
      </c>
      <c r="L166" s="66">
        <v>0.0</v>
      </c>
      <c r="M166" s="66">
        <v>0.0</v>
      </c>
      <c r="N166" s="66">
        <v>0.0</v>
      </c>
      <c r="O166" s="66">
        <v>0.0</v>
      </c>
      <c r="P166" s="66">
        <v>0.0</v>
      </c>
      <c r="Q166" s="66">
        <v>0.0</v>
      </c>
      <c r="R166" s="66">
        <v>0.0</v>
      </c>
      <c r="S166" s="66">
        <v>0.0</v>
      </c>
      <c r="T166" s="66">
        <v>0.0</v>
      </c>
      <c r="U166" s="66">
        <v>0.0</v>
      </c>
      <c r="V166" s="66">
        <v>0.0</v>
      </c>
      <c r="W166" s="66">
        <v>0.0</v>
      </c>
      <c r="X166" s="6">
        <f t="shared" si="46"/>
        <v>1</v>
      </c>
    </row>
    <row r="167" ht="12.75" customHeight="1">
      <c r="A167" s="18"/>
      <c r="B167" s="51"/>
      <c r="C167" s="52" t="s">
        <v>140</v>
      </c>
      <c r="D167" s="53"/>
      <c r="E167" s="66">
        <v>0.0</v>
      </c>
      <c r="F167" s="66">
        <v>0.0</v>
      </c>
      <c r="G167" s="66">
        <v>0.0</v>
      </c>
      <c r="H167" s="66">
        <v>0.0</v>
      </c>
      <c r="I167" s="66">
        <v>0.0</v>
      </c>
      <c r="J167" s="66">
        <v>3.0</v>
      </c>
      <c r="K167" s="66">
        <v>0.0</v>
      </c>
      <c r="L167" s="66">
        <v>0.0</v>
      </c>
      <c r="M167" s="66">
        <v>0.0</v>
      </c>
      <c r="N167" s="66">
        <v>0.0</v>
      </c>
      <c r="O167" s="66">
        <v>1.0</v>
      </c>
      <c r="P167" s="66">
        <v>0.0</v>
      </c>
      <c r="Q167" s="66">
        <v>0.0</v>
      </c>
      <c r="R167" s="66">
        <v>0.0</v>
      </c>
      <c r="S167" s="66">
        <v>0.0</v>
      </c>
      <c r="T167" s="66">
        <v>0.0</v>
      </c>
      <c r="U167" s="66">
        <v>0.0</v>
      </c>
      <c r="V167" s="66">
        <v>0.0</v>
      </c>
      <c r="W167" s="66">
        <v>0.0</v>
      </c>
      <c r="X167" s="6">
        <f t="shared" si="46"/>
        <v>4</v>
      </c>
    </row>
    <row r="168" ht="12.75" customHeight="1">
      <c r="A168" s="13" t="s">
        <v>14</v>
      </c>
      <c r="B168" s="49" t="s">
        <v>45</v>
      </c>
      <c r="C168" s="8"/>
      <c r="D168" s="9"/>
      <c r="E168" s="54">
        <f t="shared" ref="E168:W168" si="47">SUM(E161:E167)</f>
        <v>1</v>
      </c>
      <c r="F168" s="54">
        <f t="shared" si="47"/>
        <v>54</v>
      </c>
      <c r="G168" s="54">
        <f t="shared" si="47"/>
        <v>36</v>
      </c>
      <c r="H168" s="54">
        <f t="shared" si="47"/>
        <v>28</v>
      </c>
      <c r="I168" s="54">
        <f t="shared" si="47"/>
        <v>52</v>
      </c>
      <c r="J168" s="54">
        <f t="shared" si="47"/>
        <v>6</v>
      </c>
      <c r="K168" s="54">
        <f t="shared" si="47"/>
        <v>1</v>
      </c>
      <c r="L168" s="54">
        <f t="shared" si="47"/>
        <v>2</v>
      </c>
      <c r="M168" s="54">
        <f t="shared" si="47"/>
        <v>9</v>
      </c>
      <c r="N168" s="54">
        <f t="shared" si="47"/>
        <v>15</v>
      </c>
      <c r="O168" s="54">
        <f t="shared" si="47"/>
        <v>5</v>
      </c>
      <c r="P168" s="54">
        <f t="shared" si="47"/>
        <v>4</v>
      </c>
      <c r="Q168" s="54">
        <f t="shared" si="47"/>
        <v>4</v>
      </c>
      <c r="R168" s="54">
        <f t="shared" si="47"/>
        <v>1</v>
      </c>
      <c r="S168" s="54">
        <f t="shared" si="47"/>
        <v>2</v>
      </c>
      <c r="T168" s="54">
        <f t="shared" si="47"/>
        <v>2</v>
      </c>
      <c r="U168" s="54">
        <f t="shared" si="47"/>
        <v>4</v>
      </c>
      <c r="V168" s="54">
        <f t="shared" si="47"/>
        <v>2</v>
      </c>
      <c r="W168" s="54">
        <f t="shared" si="47"/>
        <v>0</v>
      </c>
      <c r="X168" s="6">
        <f t="shared" si="46"/>
        <v>228</v>
      </c>
    </row>
    <row r="169" ht="12.75" customHeight="1">
      <c r="A169" s="55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6"/>
    </row>
    <row r="170" ht="12.75" customHeight="1">
      <c r="A170" s="32" t="s">
        <v>36</v>
      </c>
      <c r="B170" s="49" t="s">
        <v>141</v>
      </c>
      <c r="C170" s="50" t="s">
        <v>142</v>
      </c>
      <c r="D170" s="9"/>
      <c r="E170" s="66">
        <v>1.0</v>
      </c>
      <c r="F170" s="66">
        <v>0.0</v>
      </c>
      <c r="G170" s="66">
        <v>1.0</v>
      </c>
      <c r="H170" s="66">
        <v>0.0</v>
      </c>
      <c r="I170" s="66">
        <v>0.0</v>
      </c>
      <c r="J170" s="66">
        <v>0.0</v>
      </c>
      <c r="K170" s="66">
        <v>1.0</v>
      </c>
      <c r="L170" s="66">
        <v>0.0</v>
      </c>
      <c r="M170" s="66">
        <v>0.0</v>
      </c>
      <c r="N170" s="66">
        <v>0.0</v>
      </c>
      <c r="O170" s="66">
        <v>0.0</v>
      </c>
      <c r="P170" s="66">
        <v>1.0</v>
      </c>
      <c r="Q170" s="66">
        <v>0.0</v>
      </c>
      <c r="R170" s="66">
        <v>0.0</v>
      </c>
      <c r="S170" s="66">
        <v>1.0</v>
      </c>
      <c r="T170" s="66">
        <v>0.0</v>
      </c>
      <c r="U170" s="66">
        <v>0.0</v>
      </c>
      <c r="V170" s="66">
        <v>1.0</v>
      </c>
      <c r="W170" s="66">
        <v>0.0</v>
      </c>
      <c r="X170" s="6">
        <f t="shared" ref="X170:X172" si="48">SUM(E170:W170)</f>
        <v>6</v>
      </c>
    </row>
    <row r="171" ht="12.75" customHeight="1">
      <c r="A171" s="32" t="s">
        <v>38</v>
      </c>
      <c r="B171" s="51"/>
      <c r="C171" s="52" t="s">
        <v>143</v>
      </c>
      <c r="D171" s="53"/>
      <c r="E171" s="66">
        <v>0.0</v>
      </c>
      <c r="F171" s="66">
        <v>0.0</v>
      </c>
      <c r="G171" s="66">
        <v>1.0</v>
      </c>
      <c r="H171" s="66">
        <v>0.0</v>
      </c>
      <c r="I171" s="66">
        <v>0.0</v>
      </c>
      <c r="J171" s="66">
        <v>0.0</v>
      </c>
      <c r="K171" s="66">
        <v>1.0</v>
      </c>
      <c r="L171" s="66">
        <v>0.0</v>
      </c>
      <c r="M171" s="66">
        <v>0.0</v>
      </c>
      <c r="N171" s="66">
        <v>0.0</v>
      </c>
      <c r="O171" s="66">
        <v>1.0</v>
      </c>
      <c r="P171" s="66">
        <v>1.0</v>
      </c>
      <c r="Q171" s="66">
        <v>0.0</v>
      </c>
      <c r="R171" s="66">
        <v>0.0</v>
      </c>
      <c r="S171" s="66">
        <v>0.0</v>
      </c>
      <c r="T171" s="66">
        <v>0.0</v>
      </c>
      <c r="U171" s="66">
        <v>0.0</v>
      </c>
      <c r="V171" s="66">
        <v>0.0</v>
      </c>
      <c r="W171" s="66">
        <v>0.0</v>
      </c>
      <c r="X171" s="6">
        <f t="shared" si="48"/>
        <v>4</v>
      </c>
    </row>
    <row r="172" ht="12.75" customHeight="1">
      <c r="A172" s="13" t="s">
        <v>14</v>
      </c>
      <c r="B172" s="49" t="s">
        <v>45</v>
      </c>
      <c r="C172" s="8"/>
      <c r="D172" s="9"/>
      <c r="E172" s="54">
        <f t="shared" ref="E172:W172" si="49">SUM(E170:E171)</f>
        <v>1</v>
      </c>
      <c r="F172" s="54">
        <f t="shared" si="49"/>
        <v>0</v>
      </c>
      <c r="G172" s="54">
        <f t="shared" si="49"/>
        <v>2</v>
      </c>
      <c r="H172" s="54">
        <f t="shared" si="49"/>
        <v>0</v>
      </c>
      <c r="I172" s="54">
        <f t="shared" si="49"/>
        <v>0</v>
      </c>
      <c r="J172" s="54">
        <f t="shared" si="49"/>
        <v>0</v>
      </c>
      <c r="K172" s="54">
        <f t="shared" si="49"/>
        <v>2</v>
      </c>
      <c r="L172" s="54">
        <f t="shared" si="49"/>
        <v>0</v>
      </c>
      <c r="M172" s="54">
        <f t="shared" si="49"/>
        <v>0</v>
      </c>
      <c r="N172" s="54">
        <f t="shared" si="49"/>
        <v>0</v>
      </c>
      <c r="O172" s="54">
        <f t="shared" si="49"/>
        <v>1</v>
      </c>
      <c r="P172" s="54">
        <f t="shared" si="49"/>
        <v>2</v>
      </c>
      <c r="Q172" s="54">
        <f t="shared" si="49"/>
        <v>0</v>
      </c>
      <c r="R172" s="54">
        <f t="shared" si="49"/>
        <v>0</v>
      </c>
      <c r="S172" s="54">
        <f t="shared" si="49"/>
        <v>1</v>
      </c>
      <c r="T172" s="54">
        <f t="shared" si="49"/>
        <v>0</v>
      </c>
      <c r="U172" s="54">
        <f t="shared" si="49"/>
        <v>0</v>
      </c>
      <c r="V172" s="54">
        <f t="shared" si="49"/>
        <v>1</v>
      </c>
      <c r="W172" s="54">
        <f t="shared" si="49"/>
        <v>0</v>
      </c>
      <c r="X172" s="6">
        <f t="shared" si="48"/>
        <v>10</v>
      </c>
    </row>
    <row r="173" ht="12.75" customHeight="1">
      <c r="A173" s="47"/>
      <c r="B173" s="46"/>
      <c r="C173" s="46"/>
      <c r="D173" s="27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6"/>
    </row>
    <row r="174" ht="12.75" customHeight="1">
      <c r="A174" s="44" t="s">
        <v>144</v>
      </c>
      <c r="B174" s="7" t="s">
        <v>145</v>
      </c>
      <c r="C174" s="8"/>
      <c r="D174" s="9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6"/>
    </row>
    <row r="175" ht="12.75" customHeight="1">
      <c r="A175" s="44"/>
      <c r="B175" s="62" t="s">
        <v>146</v>
      </c>
      <c r="C175" s="63" t="s">
        <v>147</v>
      </c>
      <c r="D175" s="9"/>
      <c r="E175" s="13">
        <f t="shared" ref="E175:W175" si="50">E52+E61+E70+E79+E88+E92+E98+E107+E111+E120+E124+E131+E140+E149+E153+E159+E168+E172</f>
        <v>148</v>
      </c>
      <c r="F175" s="13">
        <f t="shared" si="50"/>
        <v>182</v>
      </c>
      <c r="G175" s="13">
        <f t="shared" si="50"/>
        <v>217</v>
      </c>
      <c r="H175" s="13">
        <f t="shared" si="50"/>
        <v>183</v>
      </c>
      <c r="I175" s="13">
        <f t="shared" si="50"/>
        <v>177</v>
      </c>
      <c r="J175" s="13">
        <f t="shared" si="50"/>
        <v>209</v>
      </c>
      <c r="K175" s="13">
        <f t="shared" si="50"/>
        <v>196</v>
      </c>
      <c r="L175" s="13">
        <f t="shared" si="50"/>
        <v>191</v>
      </c>
      <c r="M175" s="13">
        <f t="shared" si="50"/>
        <v>199</v>
      </c>
      <c r="N175" s="13">
        <f t="shared" si="50"/>
        <v>195</v>
      </c>
      <c r="O175" s="13">
        <f t="shared" si="50"/>
        <v>208</v>
      </c>
      <c r="P175" s="13">
        <f t="shared" si="50"/>
        <v>218</v>
      </c>
      <c r="Q175" s="13">
        <f t="shared" si="50"/>
        <v>210</v>
      </c>
      <c r="R175" s="13">
        <f t="shared" si="50"/>
        <v>206</v>
      </c>
      <c r="S175" s="13">
        <f t="shared" si="50"/>
        <v>195</v>
      </c>
      <c r="T175" s="13">
        <f t="shared" si="50"/>
        <v>193</v>
      </c>
      <c r="U175" s="13">
        <f t="shared" si="50"/>
        <v>212</v>
      </c>
      <c r="V175" s="13">
        <f t="shared" si="50"/>
        <v>215</v>
      </c>
      <c r="W175" s="13">
        <f t="shared" si="50"/>
        <v>236</v>
      </c>
      <c r="X175" s="6">
        <f t="shared" ref="X175:X177" si="51">SUM(E175:W175)</f>
        <v>3790</v>
      </c>
    </row>
    <row r="176" ht="12.75" customHeight="1">
      <c r="A176" s="37"/>
      <c r="B176" s="62" t="s">
        <v>148</v>
      </c>
      <c r="C176" s="63" t="s">
        <v>149</v>
      </c>
      <c r="D176" s="9"/>
      <c r="E176" s="66">
        <v>16.0</v>
      </c>
      <c r="F176" s="66">
        <v>39.0</v>
      </c>
      <c r="G176" s="66">
        <v>16.0</v>
      </c>
      <c r="H176" s="66">
        <v>13.0</v>
      </c>
      <c r="I176" s="66">
        <v>10.0</v>
      </c>
      <c r="J176" s="66">
        <v>6.0</v>
      </c>
      <c r="K176" s="66">
        <v>15.0</v>
      </c>
      <c r="L176" s="66">
        <v>40.0</v>
      </c>
      <c r="M176" s="66">
        <v>26.0</v>
      </c>
      <c r="N176" s="66">
        <v>15.0</v>
      </c>
      <c r="O176" s="66">
        <v>14.0</v>
      </c>
      <c r="P176" s="66">
        <v>11.0</v>
      </c>
      <c r="Q176" s="66">
        <v>12.0</v>
      </c>
      <c r="R176" s="66">
        <v>18.0</v>
      </c>
      <c r="S176" s="66">
        <v>22.0</v>
      </c>
      <c r="T176" s="66">
        <v>13.0</v>
      </c>
      <c r="U176" s="66">
        <v>19.0</v>
      </c>
      <c r="V176" s="66">
        <v>9.0</v>
      </c>
      <c r="W176" s="66">
        <v>11.0</v>
      </c>
      <c r="X176" s="6">
        <f t="shared" si="51"/>
        <v>325</v>
      </c>
    </row>
    <row r="177" ht="12.75" customHeight="1">
      <c r="A177" s="42"/>
      <c r="B177" s="62" t="s">
        <v>150</v>
      </c>
      <c r="C177" s="63" t="s">
        <v>151</v>
      </c>
      <c r="D177" s="9"/>
      <c r="E177" s="28">
        <f t="shared" ref="E177:W177" si="52">SUM(E175:E176)</f>
        <v>164</v>
      </c>
      <c r="F177" s="28">
        <f t="shared" si="52"/>
        <v>221</v>
      </c>
      <c r="G177" s="28">
        <f t="shared" si="52"/>
        <v>233</v>
      </c>
      <c r="H177" s="28">
        <f t="shared" si="52"/>
        <v>196</v>
      </c>
      <c r="I177" s="28">
        <f t="shared" si="52"/>
        <v>187</v>
      </c>
      <c r="J177" s="28">
        <f t="shared" si="52"/>
        <v>215</v>
      </c>
      <c r="K177" s="28">
        <f t="shared" si="52"/>
        <v>211</v>
      </c>
      <c r="L177" s="28">
        <f t="shared" si="52"/>
        <v>231</v>
      </c>
      <c r="M177" s="28">
        <f t="shared" si="52"/>
        <v>225</v>
      </c>
      <c r="N177" s="28">
        <f t="shared" si="52"/>
        <v>210</v>
      </c>
      <c r="O177" s="28">
        <f t="shared" si="52"/>
        <v>222</v>
      </c>
      <c r="P177" s="28">
        <f t="shared" si="52"/>
        <v>229</v>
      </c>
      <c r="Q177" s="28">
        <f t="shared" si="52"/>
        <v>222</v>
      </c>
      <c r="R177" s="28">
        <f t="shared" si="52"/>
        <v>224</v>
      </c>
      <c r="S177" s="28">
        <f t="shared" si="52"/>
        <v>217</v>
      </c>
      <c r="T177" s="28">
        <f t="shared" si="52"/>
        <v>206</v>
      </c>
      <c r="U177" s="28">
        <f t="shared" si="52"/>
        <v>231</v>
      </c>
      <c r="V177" s="28">
        <f t="shared" si="52"/>
        <v>224</v>
      </c>
      <c r="W177" s="28">
        <f t="shared" si="52"/>
        <v>247</v>
      </c>
      <c r="X177" s="6">
        <f t="shared" si="51"/>
        <v>4115</v>
      </c>
    </row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1">
    <mergeCell ref="B38:D38"/>
    <mergeCell ref="B39:C41"/>
    <mergeCell ref="C28:C30"/>
    <mergeCell ref="A31:D31"/>
    <mergeCell ref="B32:D32"/>
    <mergeCell ref="B33:D33"/>
    <mergeCell ref="B34:D34"/>
    <mergeCell ref="B35:D35"/>
    <mergeCell ref="B36:D36"/>
    <mergeCell ref="C81:D81"/>
    <mergeCell ref="B88:D88"/>
    <mergeCell ref="B52:D52"/>
    <mergeCell ref="C54:D54"/>
    <mergeCell ref="B61:D61"/>
    <mergeCell ref="C63:D63"/>
    <mergeCell ref="B70:D70"/>
    <mergeCell ref="C72:D72"/>
    <mergeCell ref="B79:D79"/>
    <mergeCell ref="B172:D172"/>
    <mergeCell ref="A173:D173"/>
    <mergeCell ref="B174:D174"/>
    <mergeCell ref="C175:D175"/>
    <mergeCell ref="C176:D176"/>
    <mergeCell ref="C177:D177"/>
    <mergeCell ref="B168:D168"/>
    <mergeCell ref="C170:D170"/>
    <mergeCell ref="C151:D151"/>
    <mergeCell ref="B153:D153"/>
    <mergeCell ref="C155:D155"/>
    <mergeCell ref="B159:D159"/>
    <mergeCell ref="C161:D161"/>
    <mergeCell ref="B124:D124"/>
    <mergeCell ref="C126:D126"/>
    <mergeCell ref="B131:D131"/>
    <mergeCell ref="C133:D133"/>
    <mergeCell ref="B140:D140"/>
    <mergeCell ref="C142:D142"/>
    <mergeCell ref="B149:D149"/>
    <mergeCell ref="B12:D12"/>
    <mergeCell ref="X12:X13"/>
    <mergeCell ref="B13:D13"/>
    <mergeCell ref="B14:C16"/>
    <mergeCell ref="A17:D17"/>
    <mergeCell ref="B18:D18"/>
    <mergeCell ref="E12:W12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A42:D42"/>
    <mergeCell ref="E42:I42"/>
    <mergeCell ref="B43:D43"/>
    <mergeCell ref="A44:D44"/>
    <mergeCell ref="C45:D45"/>
    <mergeCell ref="C90:D90"/>
    <mergeCell ref="C91:D91"/>
    <mergeCell ref="B92:D92"/>
    <mergeCell ref="C94:D94"/>
    <mergeCell ref="C100:D100"/>
    <mergeCell ref="B107:D107"/>
    <mergeCell ref="C109:D109"/>
    <mergeCell ref="B111:D111"/>
    <mergeCell ref="C113:D113"/>
    <mergeCell ref="B120:D120"/>
    <mergeCell ref="C122:D122"/>
    <mergeCell ref="B98:D98"/>
  </mergeCells>
  <conditionalFormatting sqref="E30:T30">
    <cfRule type="expression" dxfId="0" priority="1">
      <formula>E30&lt;&gt;E62</formula>
    </cfRule>
  </conditionalFormatting>
  <conditionalFormatting sqref="E14:W15">
    <cfRule type="containsBlanks" dxfId="4" priority="2">
      <formula>LEN(TRIM(E14))=0</formula>
    </cfRule>
  </conditionalFormatting>
  <conditionalFormatting sqref="E19:W20">
    <cfRule type="containsBlanks" dxfId="4" priority="3">
      <formula>LEN(TRIM(E19))=0</formula>
    </cfRule>
  </conditionalFormatting>
  <conditionalFormatting sqref="E22:W23 E25:W26 E33:W33 E35:W35 E39:W40">
    <cfRule type="containsBlanks" dxfId="4" priority="4">
      <formula>LEN(TRIM(E22))=0</formula>
    </cfRule>
  </conditionalFormatting>
  <conditionalFormatting sqref="E30:W30">
    <cfRule type="expression" dxfId="0" priority="5">
      <formula>E30&lt;&gt;E34</formula>
    </cfRule>
  </conditionalFormatting>
  <conditionalFormatting sqref="E34:W34">
    <cfRule type="expression" dxfId="2" priority="6">
      <formula>E30&lt;&gt;E34</formula>
    </cfRule>
  </conditionalFormatting>
  <conditionalFormatting sqref="E34:W34">
    <cfRule type="expression" dxfId="5" priority="7">
      <formula>E30=E34</formula>
    </cfRule>
  </conditionalFormatting>
  <conditionalFormatting sqref="E34:W34">
    <cfRule type="expression" dxfId="0" priority="8">
      <formula>E34&lt;&gt;E30</formula>
    </cfRule>
  </conditionalFormatting>
  <conditionalFormatting sqref="U30:W30">
    <cfRule type="expression" dxfId="0" priority="9">
      <formula>U30&lt;&gt;U47</formula>
    </cfRule>
  </conditionalFormatting>
  <conditionalFormatting sqref="U34:W34">
    <cfRule type="expression" dxfId="0" priority="10">
      <formula>U34&lt;&gt;U47</formula>
    </cfRule>
  </conditionalFormatting>
  <conditionalFormatting sqref="E177:W177">
    <cfRule type="expression" dxfId="0" priority="11">
      <formula>E177&lt;&gt;E30</formula>
    </cfRule>
  </conditionalFormatting>
  <conditionalFormatting sqref="E177:W177">
    <cfRule type="expression" dxfId="0" priority="12">
      <formula>E177&lt;&gt;E34</formula>
    </cfRule>
  </conditionalFormatting>
  <conditionalFormatting sqref="E45:W51">
    <cfRule type="containsBlanks" dxfId="4" priority="13">
      <formula>LEN(TRIM(E45))=0</formula>
    </cfRule>
  </conditionalFormatting>
  <conditionalFormatting sqref="E54:W60">
    <cfRule type="containsBlanks" dxfId="4" priority="14">
      <formula>LEN(TRIM(E54))=0</formula>
    </cfRule>
  </conditionalFormatting>
  <conditionalFormatting sqref="E63:W69">
    <cfRule type="containsBlanks" dxfId="4" priority="15">
      <formula>LEN(TRIM(E63))=0</formula>
    </cfRule>
  </conditionalFormatting>
  <conditionalFormatting sqref="E72:W78">
    <cfRule type="containsBlanks" dxfId="4" priority="16">
      <formula>LEN(TRIM(E72))=0</formula>
    </cfRule>
  </conditionalFormatting>
  <conditionalFormatting sqref="E81:W87">
    <cfRule type="containsBlanks" dxfId="4" priority="17">
      <formula>LEN(TRIM(E81))=0</formula>
    </cfRule>
  </conditionalFormatting>
  <conditionalFormatting sqref="E100:W106">
    <cfRule type="containsBlanks" dxfId="4" priority="18">
      <formula>LEN(TRIM(E100))=0</formula>
    </cfRule>
  </conditionalFormatting>
  <conditionalFormatting sqref="E90:W91">
    <cfRule type="containsBlanks" dxfId="4" priority="19">
      <formula>LEN(TRIM(E90))=0</formula>
    </cfRule>
  </conditionalFormatting>
  <conditionalFormatting sqref="E94:W95">
    <cfRule type="containsBlanks" dxfId="4" priority="20">
      <formula>LEN(TRIM(E94))=0</formula>
    </cfRule>
  </conditionalFormatting>
  <conditionalFormatting sqref="E96:W97">
    <cfRule type="containsBlanks" dxfId="4" priority="21">
      <formula>LEN(TRIM(E96))=0</formula>
    </cfRule>
  </conditionalFormatting>
  <conditionalFormatting sqref="E109:W110">
    <cfRule type="containsBlanks" dxfId="4" priority="22">
      <formula>LEN(TRIM(E109))=0</formula>
    </cfRule>
  </conditionalFormatting>
  <conditionalFormatting sqref="E113:W119">
    <cfRule type="containsBlanks" dxfId="4" priority="23">
      <formula>LEN(TRIM(E113))=0</formula>
    </cfRule>
  </conditionalFormatting>
  <conditionalFormatting sqref="E133:W139">
    <cfRule type="containsBlanks" dxfId="4" priority="24">
      <formula>LEN(TRIM(E133))=0</formula>
    </cfRule>
  </conditionalFormatting>
  <conditionalFormatting sqref="E122:W123">
    <cfRule type="containsBlanks" dxfId="4" priority="25">
      <formula>LEN(TRIM(E122))=0</formula>
    </cfRule>
  </conditionalFormatting>
  <conditionalFormatting sqref="E126:W130">
    <cfRule type="containsBlanks" dxfId="4" priority="26">
      <formula>LEN(TRIM(E126))=0</formula>
    </cfRule>
  </conditionalFormatting>
  <conditionalFormatting sqref="E142:W148">
    <cfRule type="containsBlanks" dxfId="4" priority="27">
      <formula>LEN(TRIM(E142))=0</formula>
    </cfRule>
  </conditionalFormatting>
  <conditionalFormatting sqref="E152:W152">
    <cfRule type="containsBlanks" dxfId="4" priority="28">
      <formula>LEN(TRIM(E152))=0</formula>
    </cfRule>
  </conditionalFormatting>
  <conditionalFormatting sqref="E151:W151">
    <cfRule type="containsBlanks" dxfId="4" priority="29">
      <formula>LEN(TRIM(E151))=0</formula>
    </cfRule>
  </conditionalFormatting>
  <conditionalFormatting sqref="E155:W158">
    <cfRule type="containsBlanks" dxfId="4" priority="30">
      <formula>LEN(TRIM(E155))=0</formula>
    </cfRule>
  </conditionalFormatting>
  <conditionalFormatting sqref="E161:W163">
    <cfRule type="containsBlanks" dxfId="4" priority="31">
      <formula>LEN(TRIM(E161))=0</formula>
    </cfRule>
  </conditionalFormatting>
  <conditionalFormatting sqref="E164:W167">
    <cfRule type="containsBlanks" dxfId="4" priority="32">
      <formula>LEN(TRIM(E164))=0</formula>
    </cfRule>
  </conditionalFormatting>
  <conditionalFormatting sqref="E170:W170">
    <cfRule type="containsBlanks" dxfId="4" priority="33">
      <formula>LEN(TRIM(E170))=0</formula>
    </cfRule>
  </conditionalFormatting>
  <conditionalFormatting sqref="E171:W171">
    <cfRule type="containsBlanks" dxfId="4" priority="34">
      <formula>LEN(TRIM(E171))=0</formula>
    </cfRule>
  </conditionalFormatting>
  <conditionalFormatting sqref="E175:W175">
    <cfRule type="containsBlanks" dxfId="4" priority="35">
      <formula>LEN(TRIM(E175))=0</formula>
    </cfRule>
  </conditionalFormatting>
  <conditionalFormatting sqref="E176:W176">
    <cfRule type="containsBlanks" dxfId="4" priority="36">
      <formula>LEN(TRIM(E176))=0</formula>
    </cfRule>
  </conditionalFormatting>
  <conditionalFormatting sqref="E34:W34">
    <cfRule type="notContainsBlanks" dxfId="6" priority="37">
      <formula>LEN(TRIM(E34))&gt;0</formula>
    </cfRule>
  </conditionalFormatting>
  <conditionalFormatting sqref="E34:W34">
    <cfRule type="expression" dxfId="6" priority="38">
      <formula>E34=E30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2" width="8.71"/>
    <col customWidth="1" min="33" max="33" width="10.86"/>
  </cols>
  <sheetData>
    <row r="1" ht="12.75" customHeight="1"/>
    <row r="2" ht="12.75" customHeight="1">
      <c r="C2" s="1" t="s">
        <v>0</v>
      </c>
      <c r="D2" s="1"/>
    </row>
    <row r="3" ht="12.75" customHeight="1">
      <c r="C3" s="1" t="s">
        <v>1</v>
      </c>
      <c r="D3" s="1" t="s">
        <v>2</v>
      </c>
    </row>
    <row r="4" ht="12.75" customHeight="1">
      <c r="C4" s="1" t="s">
        <v>3</v>
      </c>
      <c r="D4" s="1" t="s">
        <v>4</v>
      </c>
    </row>
    <row r="5" ht="12.75" customHeight="1">
      <c r="C5" s="1"/>
      <c r="D5" s="1"/>
    </row>
    <row r="6" ht="12.75" customHeight="1">
      <c r="C6" s="1"/>
      <c r="D6" s="1"/>
    </row>
    <row r="7" ht="12.75" customHeight="1">
      <c r="C7" s="1"/>
      <c r="D7" s="1"/>
    </row>
    <row r="8" ht="12.75" customHeight="1">
      <c r="C8" s="1"/>
      <c r="D8" s="1"/>
    </row>
    <row r="9" ht="12.75" customHeight="1">
      <c r="C9" s="1" t="s">
        <v>152</v>
      </c>
      <c r="D9" s="1"/>
    </row>
    <row r="10" ht="12.75" customHeight="1"/>
    <row r="11" ht="12.75" customHeight="1"/>
    <row r="12" ht="12.75" customHeight="1">
      <c r="A12" s="6" t="s">
        <v>5</v>
      </c>
      <c r="B12" s="7" t="s">
        <v>6</v>
      </c>
      <c r="C12" s="8"/>
      <c r="D12" s="8"/>
      <c r="E12" s="2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9"/>
      <c r="AG12" s="39" t="s">
        <v>7</v>
      </c>
    </row>
    <row r="13" ht="12.75" customHeight="1">
      <c r="A13" s="13" t="s">
        <v>8</v>
      </c>
      <c r="B13" s="14" t="s">
        <v>9</v>
      </c>
      <c r="C13" s="8"/>
      <c r="D13" s="9"/>
      <c r="E13" s="42" t="s">
        <v>153</v>
      </c>
      <c r="F13" s="42" t="s">
        <v>154</v>
      </c>
      <c r="G13" s="42" t="s">
        <v>155</v>
      </c>
      <c r="H13" s="42" t="s">
        <v>156</v>
      </c>
      <c r="I13" s="42" t="s">
        <v>157</v>
      </c>
      <c r="J13" s="42" t="s">
        <v>158</v>
      </c>
      <c r="K13" s="42" t="s">
        <v>159</v>
      </c>
      <c r="L13" s="42" t="s">
        <v>160</v>
      </c>
      <c r="M13" s="42" t="s">
        <v>161</v>
      </c>
      <c r="N13" s="42" t="s">
        <v>162</v>
      </c>
      <c r="O13" s="42" t="s">
        <v>163</v>
      </c>
      <c r="P13" s="42" t="s">
        <v>164</v>
      </c>
      <c r="Q13" s="42" t="s">
        <v>165</v>
      </c>
      <c r="R13" s="42" t="s">
        <v>166</v>
      </c>
      <c r="S13" s="42" t="s">
        <v>167</v>
      </c>
      <c r="T13" s="42" t="s">
        <v>168</v>
      </c>
      <c r="U13" s="42" t="s">
        <v>169</v>
      </c>
      <c r="V13" s="42" t="s">
        <v>170</v>
      </c>
      <c r="W13" s="42" t="s">
        <v>171</v>
      </c>
      <c r="X13" s="42" t="s">
        <v>172</v>
      </c>
      <c r="Y13" s="42" t="s">
        <v>173</v>
      </c>
      <c r="Z13" s="42" t="s">
        <v>174</v>
      </c>
      <c r="AA13" s="42" t="s">
        <v>175</v>
      </c>
      <c r="AB13" s="42" t="s">
        <v>176</v>
      </c>
      <c r="AC13" s="42" t="s">
        <v>177</v>
      </c>
      <c r="AD13" s="42" t="s">
        <v>178</v>
      </c>
      <c r="AE13" s="42" t="s">
        <v>179</v>
      </c>
      <c r="AF13" s="42" t="s">
        <v>180</v>
      </c>
      <c r="AG13" s="27"/>
    </row>
    <row r="14" ht="12.75" customHeight="1">
      <c r="A14" s="18"/>
      <c r="B14" s="19" t="s">
        <v>10</v>
      </c>
      <c r="C14" s="20"/>
      <c r="D14" s="13" t="s">
        <v>11</v>
      </c>
      <c r="E14" s="66">
        <v>133.0</v>
      </c>
      <c r="F14" s="66">
        <v>130.0</v>
      </c>
      <c r="G14" s="66">
        <v>141.0</v>
      </c>
      <c r="H14" s="66">
        <v>116.0</v>
      </c>
      <c r="I14" s="66">
        <v>135.0</v>
      </c>
      <c r="J14" s="66">
        <v>111.0</v>
      </c>
      <c r="K14" s="66">
        <v>134.0</v>
      </c>
      <c r="L14" s="66">
        <v>150.0</v>
      </c>
      <c r="M14" s="66">
        <v>151.0</v>
      </c>
      <c r="N14" s="66">
        <v>146.0</v>
      </c>
      <c r="O14" s="66">
        <v>125.0</v>
      </c>
      <c r="P14" s="66">
        <v>115.0</v>
      </c>
      <c r="Q14" s="66">
        <v>115.0</v>
      </c>
      <c r="R14" s="66">
        <v>143.0</v>
      </c>
      <c r="S14" s="66">
        <v>150.0</v>
      </c>
      <c r="T14" s="66">
        <v>151.0</v>
      </c>
      <c r="U14" s="66">
        <v>157.0</v>
      </c>
      <c r="V14" s="66">
        <v>140.0</v>
      </c>
      <c r="W14" s="66">
        <v>142.0</v>
      </c>
      <c r="X14" s="66">
        <v>149.0</v>
      </c>
      <c r="Y14" s="66">
        <v>148.0</v>
      </c>
      <c r="Z14" s="66">
        <v>151.0</v>
      </c>
      <c r="AA14" s="66">
        <v>149.0</v>
      </c>
      <c r="AB14" s="66">
        <v>131.0</v>
      </c>
      <c r="AC14" s="66">
        <v>127.0</v>
      </c>
      <c r="AD14" s="66">
        <v>148.0</v>
      </c>
      <c r="AE14" s="66">
        <v>151.0</v>
      </c>
      <c r="AF14" s="66">
        <v>135.0</v>
      </c>
      <c r="AG14" s="6">
        <f t="shared" ref="AG14:AG16" si="1">SUM(E14:AF14)</f>
        <v>3874</v>
      </c>
    </row>
    <row r="15" ht="12.75" customHeight="1">
      <c r="A15" s="18"/>
      <c r="B15" s="25"/>
      <c r="C15" s="26"/>
      <c r="D15" s="13" t="s">
        <v>12</v>
      </c>
      <c r="E15" s="66">
        <v>137.0</v>
      </c>
      <c r="F15" s="66">
        <v>129.0</v>
      </c>
      <c r="G15" s="66">
        <v>133.0</v>
      </c>
      <c r="H15" s="66">
        <v>122.0</v>
      </c>
      <c r="I15" s="66">
        <v>125.0</v>
      </c>
      <c r="J15" s="66">
        <v>103.0</v>
      </c>
      <c r="K15" s="66">
        <v>142.0</v>
      </c>
      <c r="L15" s="66">
        <v>148.0</v>
      </c>
      <c r="M15" s="66">
        <v>148.0</v>
      </c>
      <c r="N15" s="66">
        <v>149.0</v>
      </c>
      <c r="O15" s="66">
        <v>132.0</v>
      </c>
      <c r="P15" s="66">
        <v>106.0</v>
      </c>
      <c r="Q15" s="66">
        <v>115.0</v>
      </c>
      <c r="R15" s="66">
        <v>148.0</v>
      </c>
      <c r="S15" s="66">
        <v>139.0</v>
      </c>
      <c r="T15" s="66">
        <v>142.0</v>
      </c>
      <c r="U15" s="66">
        <v>136.0</v>
      </c>
      <c r="V15" s="66">
        <v>156.0</v>
      </c>
      <c r="W15" s="66">
        <v>152.0</v>
      </c>
      <c r="X15" s="66">
        <v>145.0</v>
      </c>
      <c r="Y15" s="66">
        <v>148.0</v>
      </c>
      <c r="Z15" s="66">
        <v>140.0</v>
      </c>
      <c r="AA15" s="66">
        <v>143.0</v>
      </c>
      <c r="AB15" s="66">
        <v>117.0</v>
      </c>
      <c r="AC15" s="66">
        <v>135.0</v>
      </c>
      <c r="AD15" s="66">
        <v>150.0</v>
      </c>
      <c r="AE15" s="66">
        <v>140.0</v>
      </c>
      <c r="AF15" s="66">
        <v>142.0</v>
      </c>
      <c r="AG15" s="6">
        <f t="shared" si="1"/>
        <v>3822</v>
      </c>
    </row>
    <row r="16" ht="12.75" customHeight="1">
      <c r="A16" s="16"/>
      <c r="B16" s="15"/>
      <c r="C16" s="27"/>
      <c r="D16" s="6" t="s">
        <v>13</v>
      </c>
      <c r="E16" s="6">
        <f t="shared" ref="E16:AF16" si="2">SUM(E14:E15)</f>
        <v>270</v>
      </c>
      <c r="F16" s="6">
        <f t="shared" si="2"/>
        <v>259</v>
      </c>
      <c r="G16" s="6">
        <f t="shared" si="2"/>
        <v>274</v>
      </c>
      <c r="H16" s="6">
        <f t="shared" si="2"/>
        <v>238</v>
      </c>
      <c r="I16" s="6">
        <f t="shared" si="2"/>
        <v>260</v>
      </c>
      <c r="J16" s="6">
        <f t="shared" si="2"/>
        <v>214</v>
      </c>
      <c r="K16" s="6">
        <f t="shared" si="2"/>
        <v>276</v>
      </c>
      <c r="L16" s="6">
        <f t="shared" si="2"/>
        <v>298</v>
      </c>
      <c r="M16" s="6">
        <f t="shared" si="2"/>
        <v>299</v>
      </c>
      <c r="N16" s="6">
        <f t="shared" si="2"/>
        <v>295</v>
      </c>
      <c r="O16" s="6">
        <f t="shared" si="2"/>
        <v>257</v>
      </c>
      <c r="P16" s="6">
        <f t="shared" si="2"/>
        <v>221</v>
      </c>
      <c r="Q16" s="6">
        <f t="shared" si="2"/>
        <v>230</v>
      </c>
      <c r="R16" s="6">
        <f t="shared" si="2"/>
        <v>291</v>
      </c>
      <c r="S16" s="6">
        <f t="shared" si="2"/>
        <v>289</v>
      </c>
      <c r="T16" s="6">
        <f t="shared" si="2"/>
        <v>293</v>
      </c>
      <c r="U16" s="6">
        <f t="shared" si="2"/>
        <v>293</v>
      </c>
      <c r="V16" s="6">
        <f t="shared" si="2"/>
        <v>296</v>
      </c>
      <c r="W16" s="6">
        <f t="shared" si="2"/>
        <v>294</v>
      </c>
      <c r="X16" s="6">
        <f t="shared" si="2"/>
        <v>294</v>
      </c>
      <c r="Y16" s="6">
        <f t="shared" si="2"/>
        <v>296</v>
      </c>
      <c r="Z16" s="6">
        <f t="shared" si="2"/>
        <v>291</v>
      </c>
      <c r="AA16" s="6">
        <f t="shared" si="2"/>
        <v>292</v>
      </c>
      <c r="AB16" s="6">
        <f t="shared" si="2"/>
        <v>248</v>
      </c>
      <c r="AC16" s="6">
        <f t="shared" si="2"/>
        <v>262</v>
      </c>
      <c r="AD16" s="6">
        <f t="shared" si="2"/>
        <v>298</v>
      </c>
      <c r="AE16" s="6">
        <f t="shared" si="2"/>
        <v>291</v>
      </c>
      <c r="AF16" s="6">
        <f t="shared" si="2"/>
        <v>277</v>
      </c>
      <c r="AG16" s="6">
        <f t="shared" si="1"/>
        <v>7696</v>
      </c>
    </row>
    <row r="17" ht="12.75" customHeight="1">
      <c r="A17" s="21"/>
      <c r="B17" s="8"/>
      <c r="C17" s="8"/>
      <c r="D17" s="9"/>
      <c r="E17" s="13"/>
      <c r="F17" s="13"/>
      <c r="G17" s="13"/>
      <c r="H17" s="13"/>
      <c r="I17" s="13"/>
      <c r="J17" s="13"/>
      <c r="K17" s="13"/>
      <c r="L17" s="13"/>
      <c r="M17" s="13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"/>
    </row>
    <row r="18" ht="12.75" customHeight="1">
      <c r="A18" s="32" t="s">
        <v>14</v>
      </c>
      <c r="B18" s="14" t="s">
        <v>15</v>
      </c>
      <c r="C18" s="8"/>
      <c r="D18" s="9"/>
      <c r="E18" s="13"/>
      <c r="F18" s="13"/>
      <c r="G18" s="13"/>
      <c r="H18" s="13"/>
      <c r="I18" s="13"/>
      <c r="J18" s="13"/>
      <c r="K18" s="13"/>
      <c r="L18" s="13"/>
      <c r="M18" s="13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"/>
    </row>
    <row r="19" ht="12.75" customHeight="1">
      <c r="A19" s="32"/>
      <c r="B19" s="33" t="s">
        <v>16</v>
      </c>
      <c r="C19" s="34" t="s">
        <v>17</v>
      </c>
      <c r="D19" s="13" t="s">
        <v>11</v>
      </c>
      <c r="E19" s="66">
        <v>100.0</v>
      </c>
      <c r="F19" s="66">
        <v>88.0</v>
      </c>
      <c r="G19" s="66">
        <v>101.0</v>
      </c>
      <c r="H19" s="66">
        <v>67.0</v>
      </c>
      <c r="I19" s="66">
        <v>99.0</v>
      </c>
      <c r="J19" s="66">
        <v>81.0</v>
      </c>
      <c r="K19" s="66">
        <v>101.0</v>
      </c>
      <c r="L19" s="66">
        <v>101.0</v>
      </c>
      <c r="M19" s="66">
        <v>113.0</v>
      </c>
      <c r="N19" s="66">
        <v>118.0</v>
      </c>
      <c r="O19" s="66">
        <v>90.0</v>
      </c>
      <c r="P19" s="66">
        <v>90.0</v>
      </c>
      <c r="Q19" s="66">
        <v>86.0</v>
      </c>
      <c r="R19" s="66">
        <v>111.0</v>
      </c>
      <c r="S19" s="66">
        <v>108.0</v>
      </c>
      <c r="T19" s="66">
        <v>113.0</v>
      </c>
      <c r="U19" s="66">
        <v>101.0</v>
      </c>
      <c r="V19" s="66">
        <v>113.0</v>
      </c>
      <c r="W19" s="66">
        <v>101.0</v>
      </c>
      <c r="X19" s="66">
        <v>116.0</v>
      </c>
      <c r="Y19" s="66">
        <v>119.0</v>
      </c>
      <c r="Z19" s="66">
        <v>115.0</v>
      </c>
      <c r="AA19" s="66">
        <v>112.0</v>
      </c>
      <c r="AB19" s="66">
        <v>99.0</v>
      </c>
      <c r="AC19" s="66">
        <v>94.0</v>
      </c>
      <c r="AD19" s="66">
        <v>102.0</v>
      </c>
      <c r="AE19" s="66">
        <v>112.0</v>
      </c>
      <c r="AF19" s="66">
        <v>104.0</v>
      </c>
      <c r="AG19" s="6">
        <f t="shared" ref="AG19:AG30" si="3">SUM(E19:AF19)</f>
        <v>2855</v>
      </c>
    </row>
    <row r="20" ht="12.75" customHeight="1">
      <c r="A20" s="35"/>
      <c r="B20" s="26"/>
      <c r="C20" s="36"/>
      <c r="D20" s="13" t="s">
        <v>12</v>
      </c>
      <c r="E20" s="66">
        <v>104.0</v>
      </c>
      <c r="F20" s="66">
        <v>108.0</v>
      </c>
      <c r="G20" s="66">
        <v>96.0</v>
      </c>
      <c r="H20" s="66">
        <v>86.0</v>
      </c>
      <c r="I20" s="66">
        <v>102.0</v>
      </c>
      <c r="J20" s="66">
        <v>83.0</v>
      </c>
      <c r="K20" s="66">
        <v>109.0</v>
      </c>
      <c r="L20" s="66">
        <v>118.0</v>
      </c>
      <c r="M20" s="66">
        <v>129.0</v>
      </c>
      <c r="N20" s="66">
        <v>124.0</v>
      </c>
      <c r="O20" s="66">
        <v>108.0</v>
      </c>
      <c r="P20" s="66">
        <v>87.0</v>
      </c>
      <c r="Q20" s="66">
        <v>93.0</v>
      </c>
      <c r="R20" s="66">
        <v>119.0</v>
      </c>
      <c r="S20" s="66">
        <v>108.0</v>
      </c>
      <c r="T20" s="66">
        <v>111.0</v>
      </c>
      <c r="U20" s="66">
        <v>101.0</v>
      </c>
      <c r="V20" s="66">
        <v>126.0</v>
      </c>
      <c r="W20" s="66">
        <v>115.0</v>
      </c>
      <c r="X20" s="66">
        <v>116.0</v>
      </c>
      <c r="Y20" s="66">
        <v>127.0</v>
      </c>
      <c r="Z20" s="66">
        <v>108.0</v>
      </c>
      <c r="AA20" s="66">
        <v>111.0</v>
      </c>
      <c r="AB20" s="66">
        <v>99.0</v>
      </c>
      <c r="AC20" s="66">
        <v>107.0</v>
      </c>
      <c r="AD20" s="66">
        <v>115.0</v>
      </c>
      <c r="AE20" s="66">
        <v>118.0</v>
      </c>
      <c r="AF20" s="66">
        <v>111.0</v>
      </c>
      <c r="AG20" s="6">
        <f t="shared" si="3"/>
        <v>3039</v>
      </c>
    </row>
    <row r="21" ht="12.75" customHeight="1">
      <c r="A21" s="37"/>
      <c r="B21" s="27"/>
      <c r="C21" s="38"/>
      <c r="D21" s="6" t="s">
        <v>13</v>
      </c>
      <c r="E21" s="6">
        <f t="shared" ref="E21:AF21" si="4">SUM(E19:E20)</f>
        <v>204</v>
      </c>
      <c r="F21" s="6">
        <f t="shared" si="4"/>
        <v>196</v>
      </c>
      <c r="G21" s="6">
        <f t="shared" si="4"/>
        <v>197</v>
      </c>
      <c r="H21" s="6">
        <f t="shared" si="4"/>
        <v>153</v>
      </c>
      <c r="I21" s="6">
        <f t="shared" si="4"/>
        <v>201</v>
      </c>
      <c r="J21" s="6">
        <f t="shared" si="4"/>
        <v>164</v>
      </c>
      <c r="K21" s="6">
        <f t="shared" si="4"/>
        <v>210</v>
      </c>
      <c r="L21" s="6">
        <f t="shared" si="4"/>
        <v>219</v>
      </c>
      <c r="M21" s="6">
        <f t="shared" si="4"/>
        <v>242</v>
      </c>
      <c r="N21" s="6">
        <f t="shared" si="4"/>
        <v>242</v>
      </c>
      <c r="O21" s="6">
        <f t="shared" si="4"/>
        <v>198</v>
      </c>
      <c r="P21" s="6">
        <f t="shared" si="4"/>
        <v>177</v>
      </c>
      <c r="Q21" s="6">
        <f t="shared" si="4"/>
        <v>179</v>
      </c>
      <c r="R21" s="6">
        <f t="shared" si="4"/>
        <v>230</v>
      </c>
      <c r="S21" s="6">
        <f t="shared" si="4"/>
        <v>216</v>
      </c>
      <c r="T21" s="6">
        <f t="shared" si="4"/>
        <v>224</v>
      </c>
      <c r="U21" s="6">
        <f t="shared" si="4"/>
        <v>202</v>
      </c>
      <c r="V21" s="6">
        <f t="shared" si="4"/>
        <v>239</v>
      </c>
      <c r="W21" s="6">
        <f t="shared" si="4"/>
        <v>216</v>
      </c>
      <c r="X21" s="6">
        <f t="shared" si="4"/>
        <v>232</v>
      </c>
      <c r="Y21" s="6">
        <f t="shared" si="4"/>
        <v>246</v>
      </c>
      <c r="Z21" s="6">
        <f t="shared" si="4"/>
        <v>223</v>
      </c>
      <c r="AA21" s="6">
        <f t="shared" si="4"/>
        <v>223</v>
      </c>
      <c r="AB21" s="6">
        <f t="shared" si="4"/>
        <v>198</v>
      </c>
      <c r="AC21" s="6">
        <f t="shared" si="4"/>
        <v>201</v>
      </c>
      <c r="AD21" s="6">
        <f t="shared" si="4"/>
        <v>217</v>
      </c>
      <c r="AE21" s="6">
        <f t="shared" si="4"/>
        <v>230</v>
      </c>
      <c r="AF21" s="6">
        <f t="shared" si="4"/>
        <v>215</v>
      </c>
      <c r="AG21" s="6">
        <f t="shared" si="3"/>
        <v>5894</v>
      </c>
    </row>
    <row r="22" ht="12.75" customHeight="1">
      <c r="A22" s="35"/>
      <c r="B22" s="33" t="s">
        <v>18</v>
      </c>
      <c r="C22" s="34" t="s">
        <v>19</v>
      </c>
      <c r="D22" s="13" t="s">
        <v>11</v>
      </c>
      <c r="E22" s="66">
        <v>0.0</v>
      </c>
      <c r="F22" s="66">
        <v>0.0</v>
      </c>
      <c r="G22" s="66">
        <v>0.0</v>
      </c>
      <c r="H22" s="66">
        <v>0.0</v>
      </c>
      <c r="I22" s="66">
        <v>0.0</v>
      </c>
      <c r="J22" s="66">
        <v>0.0</v>
      </c>
      <c r="K22" s="66">
        <v>0.0</v>
      </c>
      <c r="L22" s="66">
        <v>0.0</v>
      </c>
      <c r="M22" s="66">
        <v>0.0</v>
      </c>
      <c r="N22" s="66">
        <v>0.0</v>
      </c>
      <c r="O22" s="66">
        <v>0.0</v>
      </c>
      <c r="P22" s="66">
        <v>0.0</v>
      </c>
      <c r="Q22" s="66">
        <v>0.0</v>
      </c>
      <c r="R22" s="66">
        <v>0.0</v>
      </c>
      <c r="S22" s="66">
        <v>0.0</v>
      </c>
      <c r="T22" s="66">
        <v>0.0</v>
      </c>
      <c r="U22" s="66">
        <v>0.0</v>
      </c>
      <c r="V22" s="66">
        <v>0.0</v>
      </c>
      <c r="W22" s="66">
        <v>0.0</v>
      </c>
      <c r="X22" s="66">
        <v>0.0</v>
      </c>
      <c r="Y22" s="66">
        <v>0.0</v>
      </c>
      <c r="Z22" s="66">
        <v>0.0</v>
      </c>
      <c r="AA22" s="66">
        <v>0.0</v>
      </c>
      <c r="AB22" s="66">
        <v>0.0</v>
      </c>
      <c r="AC22" s="66">
        <v>0.0</v>
      </c>
      <c r="AD22" s="66">
        <v>0.0</v>
      </c>
      <c r="AE22" s="66">
        <v>0.0</v>
      </c>
      <c r="AF22" s="66">
        <v>0.0</v>
      </c>
      <c r="AG22" s="6">
        <f t="shared" si="3"/>
        <v>0</v>
      </c>
    </row>
    <row r="23" ht="12.75" customHeight="1">
      <c r="A23" s="35"/>
      <c r="B23" s="26"/>
      <c r="C23" s="36"/>
      <c r="D23" s="13" t="s">
        <v>12</v>
      </c>
      <c r="E23" s="66">
        <v>0.0</v>
      </c>
      <c r="F23" s="66">
        <v>0.0</v>
      </c>
      <c r="G23" s="66">
        <v>0.0</v>
      </c>
      <c r="H23" s="66">
        <v>0.0</v>
      </c>
      <c r="I23" s="66">
        <v>0.0</v>
      </c>
      <c r="J23" s="66">
        <v>0.0</v>
      </c>
      <c r="K23" s="66">
        <v>0.0</v>
      </c>
      <c r="L23" s="66">
        <v>0.0</v>
      </c>
      <c r="M23" s="66">
        <v>0.0</v>
      </c>
      <c r="N23" s="66">
        <v>0.0</v>
      </c>
      <c r="O23" s="66">
        <v>0.0</v>
      </c>
      <c r="P23" s="66">
        <v>0.0</v>
      </c>
      <c r="Q23" s="66">
        <v>0.0</v>
      </c>
      <c r="R23" s="66">
        <v>0.0</v>
      </c>
      <c r="S23" s="66">
        <v>0.0</v>
      </c>
      <c r="T23" s="66">
        <v>0.0</v>
      </c>
      <c r="U23" s="66">
        <v>0.0</v>
      </c>
      <c r="V23" s="66">
        <v>0.0</v>
      </c>
      <c r="W23" s="66">
        <v>0.0</v>
      </c>
      <c r="X23" s="66">
        <v>0.0</v>
      </c>
      <c r="Y23" s="66">
        <v>0.0</v>
      </c>
      <c r="Z23" s="66">
        <v>0.0</v>
      </c>
      <c r="AA23" s="66">
        <v>0.0</v>
      </c>
      <c r="AB23" s="66">
        <v>0.0</v>
      </c>
      <c r="AC23" s="66">
        <v>0.0</v>
      </c>
      <c r="AD23" s="66">
        <v>0.0</v>
      </c>
      <c r="AE23" s="66">
        <v>0.0</v>
      </c>
      <c r="AF23" s="66">
        <v>0.0</v>
      </c>
      <c r="AG23" s="6">
        <f t="shared" si="3"/>
        <v>0</v>
      </c>
    </row>
    <row r="24" ht="12.75" customHeight="1">
      <c r="A24" s="37"/>
      <c r="B24" s="27"/>
      <c r="C24" s="38"/>
      <c r="D24" s="6" t="s">
        <v>13</v>
      </c>
      <c r="E24" s="6">
        <f t="shared" ref="E24:AF24" si="5">SUM(E22:E23)</f>
        <v>0</v>
      </c>
      <c r="F24" s="6">
        <f t="shared" si="5"/>
        <v>0</v>
      </c>
      <c r="G24" s="6">
        <f t="shared" si="5"/>
        <v>0</v>
      </c>
      <c r="H24" s="6">
        <f t="shared" si="5"/>
        <v>0</v>
      </c>
      <c r="I24" s="6">
        <f t="shared" si="5"/>
        <v>0</v>
      </c>
      <c r="J24" s="6">
        <f t="shared" si="5"/>
        <v>0</v>
      </c>
      <c r="K24" s="6">
        <f t="shared" si="5"/>
        <v>0</v>
      </c>
      <c r="L24" s="6">
        <f t="shared" si="5"/>
        <v>0</v>
      </c>
      <c r="M24" s="6">
        <f t="shared" si="5"/>
        <v>0</v>
      </c>
      <c r="N24" s="6">
        <f t="shared" si="5"/>
        <v>0</v>
      </c>
      <c r="O24" s="6">
        <f t="shared" si="5"/>
        <v>0</v>
      </c>
      <c r="P24" s="6">
        <f t="shared" si="5"/>
        <v>0</v>
      </c>
      <c r="Q24" s="6">
        <f t="shared" si="5"/>
        <v>0</v>
      </c>
      <c r="R24" s="6">
        <f t="shared" si="5"/>
        <v>0</v>
      </c>
      <c r="S24" s="6">
        <f t="shared" si="5"/>
        <v>0</v>
      </c>
      <c r="T24" s="6">
        <f t="shared" si="5"/>
        <v>0</v>
      </c>
      <c r="U24" s="6">
        <f t="shared" si="5"/>
        <v>0</v>
      </c>
      <c r="V24" s="6">
        <f t="shared" si="5"/>
        <v>0</v>
      </c>
      <c r="W24" s="6">
        <f t="shared" si="5"/>
        <v>0</v>
      </c>
      <c r="X24" s="6">
        <f t="shared" si="5"/>
        <v>0</v>
      </c>
      <c r="Y24" s="6">
        <f t="shared" si="5"/>
        <v>0</v>
      </c>
      <c r="Z24" s="6">
        <f t="shared" si="5"/>
        <v>0</v>
      </c>
      <c r="AA24" s="6">
        <f t="shared" si="5"/>
        <v>0</v>
      </c>
      <c r="AB24" s="6">
        <f t="shared" si="5"/>
        <v>0</v>
      </c>
      <c r="AC24" s="6">
        <f t="shared" si="5"/>
        <v>0</v>
      </c>
      <c r="AD24" s="6">
        <f t="shared" si="5"/>
        <v>0</v>
      </c>
      <c r="AE24" s="6">
        <f t="shared" si="5"/>
        <v>0</v>
      </c>
      <c r="AF24" s="6">
        <f t="shared" si="5"/>
        <v>0</v>
      </c>
      <c r="AG24" s="6">
        <f t="shared" si="3"/>
        <v>0</v>
      </c>
    </row>
    <row r="25" ht="12.75" customHeight="1">
      <c r="A25" s="35"/>
      <c r="B25" s="33" t="s">
        <v>20</v>
      </c>
      <c r="C25" s="34" t="s">
        <v>21</v>
      </c>
      <c r="D25" s="13" t="s">
        <v>11</v>
      </c>
      <c r="E25" s="66">
        <v>1.0</v>
      </c>
      <c r="F25" s="66">
        <v>1.0</v>
      </c>
      <c r="G25" s="66">
        <v>0.0</v>
      </c>
      <c r="H25" s="66">
        <v>2.0</v>
      </c>
      <c r="I25" s="66">
        <v>0.0</v>
      </c>
      <c r="J25" s="66">
        <v>0.0</v>
      </c>
      <c r="K25" s="66">
        <v>2.0</v>
      </c>
      <c r="L25" s="66">
        <v>0.0</v>
      </c>
      <c r="M25" s="66">
        <v>1.0</v>
      </c>
      <c r="N25" s="66">
        <v>2.0</v>
      </c>
      <c r="O25" s="66">
        <v>0.0</v>
      </c>
      <c r="P25" s="66">
        <v>0.0</v>
      </c>
      <c r="Q25" s="66">
        <v>0.0</v>
      </c>
      <c r="R25" s="66">
        <v>0.0</v>
      </c>
      <c r="S25" s="66">
        <v>0.0</v>
      </c>
      <c r="T25" s="66">
        <v>0.0</v>
      </c>
      <c r="U25" s="66">
        <v>1.0</v>
      </c>
      <c r="V25" s="66">
        <v>1.0</v>
      </c>
      <c r="W25" s="66">
        <v>0.0</v>
      </c>
      <c r="X25" s="66">
        <v>0.0</v>
      </c>
      <c r="Y25" s="66">
        <v>0.0</v>
      </c>
      <c r="Z25" s="66">
        <v>0.0</v>
      </c>
      <c r="AA25" s="66">
        <v>0.0</v>
      </c>
      <c r="AB25" s="66">
        <v>0.0</v>
      </c>
      <c r="AC25" s="66">
        <v>4.0</v>
      </c>
      <c r="AD25" s="66">
        <v>1.0</v>
      </c>
      <c r="AE25" s="66">
        <v>2.0</v>
      </c>
      <c r="AF25" s="66">
        <v>3.0</v>
      </c>
      <c r="AG25" s="6">
        <f t="shared" si="3"/>
        <v>21</v>
      </c>
    </row>
    <row r="26" ht="12.75" customHeight="1">
      <c r="A26" s="35"/>
      <c r="B26" s="26"/>
      <c r="C26" s="36"/>
      <c r="D26" s="13" t="s">
        <v>12</v>
      </c>
      <c r="E26" s="66">
        <v>0.0</v>
      </c>
      <c r="F26" s="66">
        <v>0.0</v>
      </c>
      <c r="G26" s="66">
        <v>0.0</v>
      </c>
      <c r="H26" s="66">
        <v>0.0</v>
      </c>
      <c r="I26" s="66">
        <v>1.0</v>
      </c>
      <c r="J26" s="66">
        <v>1.0</v>
      </c>
      <c r="K26" s="66">
        <v>2.0</v>
      </c>
      <c r="L26" s="66">
        <v>2.0</v>
      </c>
      <c r="M26" s="66">
        <v>1.0</v>
      </c>
      <c r="N26" s="66">
        <v>0.0</v>
      </c>
      <c r="O26" s="66">
        <v>0.0</v>
      </c>
      <c r="P26" s="66">
        <v>0.0</v>
      </c>
      <c r="Q26" s="66">
        <v>1.0</v>
      </c>
      <c r="R26" s="66">
        <v>0.0</v>
      </c>
      <c r="S26" s="66">
        <v>0.0</v>
      </c>
      <c r="T26" s="66">
        <v>0.0</v>
      </c>
      <c r="U26" s="66">
        <v>1.0</v>
      </c>
      <c r="V26" s="66">
        <v>1.0</v>
      </c>
      <c r="W26" s="66">
        <v>0.0</v>
      </c>
      <c r="X26" s="66">
        <v>0.0</v>
      </c>
      <c r="Y26" s="66">
        <v>1.0</v>
      </c>
      <c r="Z26" s="66">
        <v>0.0</v>
      </c>
      <c r="AA26" s="66">
        <v>0.0</v>
      </c>
      <c r="AB26" s="66">
        <v>0.0</v>
      </c>
      <c r="AC26" s="66">
        <v>2.0</v>
      </c>
      <c r="AD26" s="66">
        <v>1.0</v>
      </c>
      <c r="AE26" s="66">
        <v>1.0</v>
      </c>
      <c r="AF26" s="66">
        <v>8.0</v>
      </c>
      <c r="AG26" s="6">
        <f t="shared" si="3"/>
        <v>23</v>
      </c>
    </row>
    <row r="27" ht="12.75" customHeight="1">
      <c r="A27" s="37"/>
      <c r="B27" s="27"/>
      <c r="C27" s="38"/>
      <c r="D27" s="6" t="s">
        <v>13</v>
      </c>
      <c r="E27" s="6">
        <f t="shared" ref="E27:AF27" si="6">SUM(E25:E26)</f>
        <v>1</v>
      </c>
      <c r="F27" s="6">
        <f t="shared" si="6"/>
        <v>1</v>
      </c>
      <c r="G27" s="6">
        <f t="shared" si="6"/>
        <v>0</v>
      </c>
      <c r="H27" s="6">
        <f t="shared" si="6"/>
        <v>2</v>
      </c>
      <c r="I27" s="6">
        <f t="shared" si="6"/>
        <v>1</v>
      </c>
      <c r="J27" s="6">
        <f t="shared" si="6"/>
        <v>1</v>
      </c>
      <c r="K27" s="6">
        <f t="shared" si="6"/>
        <v>4</v>
      </c>
      <c r="L27" s="6">
        <f t="shared" si="6"/>
        <v>2</v>
      </c>
      <c r="M27" s="6">
        <f t="shared" si="6"/>
        <v>2</v>
      </c>
      <c r="N27" s="6">
        <f t="shared" si="6"/>
        <v>2</v>
      </c>
      <c r="O27" s="6">
        <f t="shared" si="6"/>
        <v>0</v>
      </c>
      <c r="P27" s="6">
        <f t="shared" si="6"/>
        <v>0</v>
      </c>
      <c r="Q27" s="6">
        <f t="shared" si="6"/>
        <v>1</v>
      </c>
      <c r="R27" s="6">
        <f t="shared" si="6"/>
        <v>0</v>
      </c>
      <c r="S27" s="6">
        <f t="shared" si="6"/>
        <v>0</v>
      </c>
      <c r="T27" s="6">
        <f t="shared" si="6"/>
        <v>0</v>
      </c>
      <c r="U27" s="6">
        <f t="shared" si="6"/>
        <v>2</v>
      </c>
      <c r="V27" s="6">
        <f t="shared" si="6"/>
        <v>2</v>
      </c>
      <c r="W27" s="6">
        <f t="shared" si="6"/>
        <v>0</v>
      </c>
      <c r="X27" s="6">
        <f t="shared" si="6"/>
        <v>0</v>
      </c>
      <c r="Y27" s="6">
        <f t="shared" si="6"/>
        <v>1</v>
      </c>
      <c r="Z27" s="6">
        <f t="shared" si="6"/>
        <v>0</v>
      </c>
      <c r="AA27" s="6">
        <f t="shared" si="6"/>
        <v>0</v>
      </c>
      <c r="AB27" s="6">
        <f t="shared" si="6"/>
        <v>0</v>
      </c>
      <c r="AC27" s="6">
        <f t="shared" si="6"/>
        <v>6</v>
      </c>
      <c r="AD27" s="6">
        <f t="shared" si="6"/>
        <v>2</v>
      </c>
      <c r="AE27" s="6">
        <f t="shared" si="6"/>
        <v>3</v>
      </c>
      <c r="AF27" s="6">
        <f t="shared" si="6"/>
        <v>11</v>
      </c>
      <c r="AG27" s="6">
        <f t="shared" si="3"/>
        <v>44</v>
      </c>
    </row>
    <row r="28" ht="12.75" customHeight="1">
      <c r="A28" s="37"/>
      <c r="B28" s="39" t="s">
        <v>22</v>
      </c>
      <c r="C28" s="40" t="s">
        <v>23</v>
      </c>
      <c r="D28" s="6" t="s">
        <v>11</v>
      </c>
      <c r="E28" s="6">
        <f t="shared" ref="E28:AF28" si="7">SUM(E19,E22,E25)</f>
        <v>101</v>
      </c>
      <c r="F28" s="6">
        <f t="shared" si="7"/>
        <v>89</v>
      </c>
      <c r="G28" s="6">
        <f t="shared" si="7"/>
        <v>101</v>
      </c>
      <c r="H28" s="6">
        <f t="shared" si="7"/>
        <v>69</v>
      </c>
      <c r="I28" s="6">
        <f t="shared" si="7"/>
        <v>99</v>
      </c>
      <c r="J28" s="6">
        <f t="shared" si="7"/>
        <v>81</v>
      </c>
      <c r="K28" s="6">
        <f t="shared" si="7"/>
        <v>103</v>
      </c>
      <c r="L28" s="6">
        <f t="shared" si="7"/>
        <v>101</v>
      </c>
      <c r="M28" s="6">
        <f t="shared" si="7"/>
        <v>114</v>
      </c>
      <c r="N28" s="6">
        <f t="shared" si="7"/>
        <v>120</v>
      </c>
      <c r="O28" s="6">
        <f t="shared" si="7"/>
        <v>90</v>
      </c>
      <c r="P28" s="6">
        <f t="shared" si="7"/>
        <v>90</v>
      </c>
      <c r="Q28" s="6">
        <f t="shared" si="7"/>
        <v>86</v>
      </c>
      <c r="R28" s="6">
        <f t="shared" si="7"/>
        <v>111</v>
      </c>
      <c r="S28" s="6">
        <f t="shared" si="7"/>
        <v>108</v>
      </c>
      <c r="T28" s="6">
        <f t="shared" si="7"/>
        <v>113</v>
      </c>
      <c r="U28" s="6">
        <f t="shared" si="7"/>
        <v>102</v>
      </c>
      <c r="V28" s="6">
        <f t="shared" si="7"/>
        <v>114</v>
      </c>
      <c r="W28" s="6">
        <f t="shared" si="7"/>
        <v>101</v>
      </c>
      <c r="X28" s="6">
        <f t="shared" si="7"/>
        <v>116</v>
      </c>
      <c r="Y28" s="6">
        <f t="shared" si="7"/>
        <v>119</v>
      </c>
      <c r="Z28" s="6">
        <f t="shared" si="7"/>
        <v>115</v>
      </c>
      <c r="AA28" s="6">
        <f t="shared" si="7"/>
        <v>112</v>
      </c>
      <c r="AB28" s="6">
        <f t="shared" si="7"/>
        <v>99</v>
      </c>
      <c r="AC28" s="6">
        <f t="shared" si="7"/>
        <v>98</v>
      </c>
      <c r="AD28" s="6">
        <f t="shared" si="7"/>
        <v>103</v>
      </c>
      <c r="AE28" s="6">
        <f t="shared" si="7"/>
        <v>114</v>
      </c>
      <c r="AF28" s="6">
        <f t="shared" si="7"/>
        <v>107</v>
      </c>
      <c r="AG28" s="6">
        <f t="shared" si="3"/>
        <v>2876</v>
      </c>
    </row>
    <row r="29" ht="12.75" customHeight="1">
      <c r="A29" s="37"/>
      <c r="B29" s="26"/>
      <c r="C29" s="36"/>
      <c r="D29" s="6" t="s">
        <v>12</v>
      </c>
      <c r="E29" s="6">
        <f t="shared" ref="E29:AF29" si="8">SUM(E20,E23,E26)</f>
        <v>104</v>
      </c>
      <c r="F29" s="6">
        <f t="shared" si="8"/>
        <v>108</v>
      </c>
      <c r="G29" s="6">
        <f t="shared" si="8"/>
        <v>96</v>
      </c>
      <c r="H29" s="6">
        <f t="shared" si="8"/>
        <v>86</v>
      </c>
      <c r="I29" s="6">
        <f t="shared" si="8"/>
        <v>103</v>
      </c>
      <c r="J29" s="6">
        <f t="shared" si="8"/>
        <v>84</v>
      </c>
      <c r="K29" s="6">
        <f t="shared" si="8"/>
        <v>111</v>
      </c>
      <c r="L29" s="6">
        <f t="shared" si="8"/>
        <v>120</v>
      </c>
      <c r="M29" s="6">
        <f t="shared" si="8"/>
        <v>130</v>
      </c>
      <c r="N29" s="6">
        <f t="shared" si="8"/>
        <v>124</v>
      </c>
      <c r="O29" s="6">
        <f t="shared" si="8"/>
        <v>108</v>
      </c>
      <c r="P29" s="6">
        <f t="shared" si="8"/>
        <v>87</v>
      </c>
      <c r="Q29" s="6">
        <f t="shared" si="8"/>
        <v>94</v>
      </c>
      <c r="R29" s="6">
        <f t="shared" si="8"/>
        <v>119</v>
      </c>
      <c r="S29" s="6">
        <f t="shared" si="8"/>
        <v>108</v>
      </c>
      <c r="T29" s="6">
        <f t="shared" si="8"/>
        <v>111</v>
      </c>
      <c r="U29" s="6">
        <f t="shared" si="8"/>
        <v>102</v>
      </c>
      <c r="V29" s="6">
        <f t="shared" si="8"/>
        <v>127</v>
      </c>
      <c r="W29" s="6">
        <f t="shared" si="8"/>
        <v>115</v>
      </c>
      <c r="X29" s="6">
        <f t="shared" si="8"/>
        <v>116</v>
      </c>
      <c r="Y29" s="6">
        <f t="shared" si="8"/>
        <v>128</v>
      </c>
      <c r="Z29" s="6">
        <f t="shared" si="8"/>
        <v>108</v>
      </c>
      <c r="AA29" s="6">
        <f t="shared" si="8"/>
        <v>111</v>
      </c>
      <c r="AB29" s="6">
        <f t="shared" si="8"/>
        <v>99</v>
      </c>
      <c r="AC29" s="6">
        <f t="shared" si="8"/>
        <v>109</v>
      </c>
      <c r="AD29" s="6">
        <f t="shared" si="8"/>
        <v>116</v>
      </c>
      <c r="AE29" s="6">
        <f t="shared" si="8"/>
        <v>119</v>
      </c>
      <c r="AF29" s="6">
        <f t="shared" si="8"/>
        <v>119</v>
      </c>
      <c r="AG29" s="6">
        <f t="shared" si="3"/>
        <v>3062</v>
      </c>
    </row>
    <row r="30" ht="12.75" customHeight="1">
      <c r="A30" s="37"/>
      <c r="B30" s="27"/>
      <c r="C30" s="38"/>
      <c r="D30" s="6" t="s">
        <v>13</v>
      </c>
      <c r="E30" s="6">
        <f t="shared" ref="E30:AF30" si="9">SUM(E28:E29)</f>
        <v>205</v>
      </c>
      <c r="F30" s="6">
        <f t="shared" si="9"/>
        <v>197</v>
      </c>
      <c r="G30" s="6">
        <f t="shared" si="9"/>
        <v>197</v>
      </c>
      <c r="H30" s="6">
        <f t="shared" si="9"/>
        <v>155</v>
      </c>
      <c r="I30" s="6">
        <f t="shared" si="9"/>
        <v>202</v>
      </c>
      <c r="J30" s="6">
        <f t="shared" si="9"/>
        <v>165</v>
      </c>
      <c r="K30" s="6">
        <f t="shared" si="9"/>
        <v>214</v>
      </c>
      <c r="L30" s="6">
        <f t="shared" si="9"/>
        <v>221</v>
      </c>
      <c r="M30" s="6">
        <f t="shared" si="9"/>
        <v>244</v>
      </c>
      <c r="N30" s="6">
        <f t="shared" si="9"/>
        <v>244</v>
      </c>
      <c r="O30" s="6">
        <f t="shared" si="9"/>
        <v>198</v>
      </c>
      <c r="P30" s="6">
        <f t="shared" si="9"/>
        <v>177</v>
      </c>
      <c r="Q30" s="6">
        <f t="shared" si="9"/>
        <v>180</v>
      </c>
      <c r="R30" s="6">
        <f t="shared" si="9"/>
        <v>230</v>
      </c>
      <c r="S30" s="6">
        <f t="shared" si="9"/>
        <v>216</v>
      </c>
      <c r="T30" s="6">
        <f t="shared" si="9"/>
        <v>224</v>
      </c>
      <c r="U30" s="6">
        <f t="shared" si="9"/>
        <v>204</v>
      </c>
      <c r="V30" s="6">
        <f t="shared" si="9"/>
        <v>241</v>
      </c>
      <c r="W30" s="6">
        <f t="shared" si="9"/>
        <v>216</v>
      </c>
      <c r="X30" s="6">
        <f t="shared" si="9"/>
        <v>232</v>
      </c>
      <c r="Y30" s="6">
        <f t="shared" si="9"/>
        <v>247</v>
      </c>
      <c r="Z30" s="6">
        <f t="shared" si="9"/>
        <v>223</v>
      </c>
      <c r="AA30" s="6">
        <f t="shared" si="9"/>
        <v>223</v>
      </c>
      <c r="AB30" s="6">
        <f t="shared" si="9"/>
        <v>198</v>
      </c>
      <c r="AC30" s="6">
        <f t="shared" si="9"/>
        <v>207</v>
      </c>
      <c r="AD30" s="6">
        <f t="shared" si="9"/>
        <v>219</v>
      </c>
      <c r="AE30" s="6">
        <f t="shared" si="9"/>
        <v>233</v>
      </c>
      <c r="AF30" s="6">
        <f t="shared" si="9"/>
        <v>226</v>
      </c>
      <c r="AG30" s="6">
        <f t="shared" si="3"/>
        <v>5938</v>
      </c>
    </row>
    <row r="31" ht="12.75" customHeight="1">
      <c r="A31" s="21"/>
      <c r="B31" s="8"/>
      <c r="C31" s="8"/>
      <c r="D31" s="9"/>
      <c r="E31" s="13"/>
      <c r="F31" s="13"/>
      <c r="G31" s="13"/>
      <c r="H31" s="13"/>
      <c r="I31" s="13"/>
      <c r="J31" s="13"/>
      <c r="K31" s="13"/>
      <c r="L31" s="13"/>
      <c r="M31" s="13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"/>
    </row>
    <row r="32" ht="12.75" customHeight="1">
      <c r="A32" s="42" t="s">
        <v>24</v>
      </c>
      <c r="B32" s="7" t="s">
        <v>25</v>
      </c>
      <c r="C32" s="8"/>
      <c r="D32" s="9"/>
      <c r="E32" s="6"/>
      <c r="F32" s="6"/>
      <c r="G32" s="6"/>
      <c r="H32" s="6"/>
      <c r="I32" s="6"/>
      <c r="J32" s="6"/>
      <c r="K32" s="6"/>
      <c r="L32" s="6"/>
      <c r="M32" s="6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"/>
    </row>
    <row r="33" ht="12.75" customHeight="1">
      <c r="A33" s="13">
        <v>1.0</v>
      </c>
      <c r="B33" s="14" t="s">
        <v>26</v>
      </c>
      <c r="C33" s="8"/>
      <c r="D33" s="9"/>
      <c r="E33" s="66">
        <v>276.0</v>
      </c>
      <c r="F33" s="66">
        <v>265.0</v>
      </c>
      <c r="G33" s="66">
        <v>280.0</v>
      </c>
      <c r="H33" s="66">
        <v>243.0</v>
      </c>
      <c r="I33" s="66">
        <v>267.0</v>
      </c>
      <c r="J33" s="66">
        <v>219.0</v>
      </c>
      <c r="K33" s="66">
        <v>282.0</v>
      </c>
      <c r="L33" s="66">
        <v>294.0</v>
      </c>
      <c r="M33" s="66">
        <v>305.0</v>
      </c>
      <c r="N33" s="66">
        <v>301.0</v>
      </c>
      <c r="O33" s="66">
        <v>263.0</v>
      </c>
      <c r="P33" s="66">
        <v>226.0</v>
      </c>
      <c r="Q33" s="66">
        <v>235.0</v>
      </c>
      <c r="R33" s="66">
        <v>297.0</v>
      </c>
      <c r="S33" s="66">
        <v>295.0</v>
      </c>
      <c r="T33" s="66">
        <v>299.0</v>
      </c>
      <c r="U33" s="66">
        <v>300.0</v>
      </c>
      <c r="V33" s="66">
        <v>302.0</v>
      </c>
      <c r="W33" s="66">
        <v>301.0</v>
      </c>
      <c r="X33" s="66">
        <v>301.0</v>
      </c>
      <c r="Y33" s="66">
        <v>302.0</v>
      </c>
      <c r="Z33" s="66">
        <v>296.0</v>
      </c>
      <c r="AA33" s="66">
        <v>290.0</v>
      </c>
      <c r="AB33" s="66">
        <v>253.0</v>
      </c>
      <c r="AC33" s="66">
        <v>268.0</v>
      </c>
      <c r="AD33" s="66">
        <v>304.0</v>
      </c>
      <c r="AE33" s="66">
        <v>297.0</v>
      </c>
      <c r="AF33" s="66">
        <v>283.0</v>
      </c>
      <c r="AG33" s="6">
        <f t="shared" ref="AG33:AG36" si="10">SUM(E33:AF33)</f>
        <v>7844</v>
      </c>
    </row>
    <row r="34" ht="12.75" customHeight="1">
      <c r="A34" s="13">
        <v>2.0</v>
      </c>
      <c r="B34" s="14" t="s">
        <v>27</v>
      </c>
      <c r="C34" s="8"/>
      <c r="D34" s="9"/>
      <c r="E34" s="72">
        <v>205.0</v>
      </c>
      <c r="F34" s="72">
        <v>197.0</v>
      </c>
      <c r="G34" s="72">
        <v>197.0</v>
      </c>
      <c r="H34" s="72">
        <v>155.0</v>
      </c>
      <c r="I34" s="72">
        <v>202.0</v>
      </c>
      <c r="J34" s="72">
        <v>165.0</v>
      </c>
      <c r="K34" s="72">
        <v>214.0</v>
      </c>
      <c r="L34" s="72">
        <v>221.0</v>
      </c>
      <c r="M34" s="72">
        <v>244.0</v>
      </c>
      <c r="N34" s="72">
        <v>244.0</v>
      </c>
      <c r="O34" s="72">
        <v>198.0</v>
      </c>
      <c r="P34" s="72">
        <v>177.0</v>
      </c>
      <c r="Q34" s="72">
        <v>180.0</v>
      </c>
      <c r="R34" s="72">
        <v>230.0</v>
      </c>
      <c r="S34" s="72">
        <v>216.0</v>
      </c>
      <c r="T34" s="72">
        <v>224.0</v>
      </c>
      <c r="U34" s="72">
        <v>204.0</v>
      </c>
      <c r="V34" s="72">
        <v>241.0</v>
      </c>
      <c r="W34" s="72">
        <v>216.0</v>
      </c>
      <c r="X34" s="72">
        <v>232.0</v>
      </c>
      <c r="Y34" s="72">
        <v>247.0</v>
      </c>
      <c r="Z34" s="72">
        <v>223.0</v>
      </c>
      <c r="AA34" s="72">
        <v>223.0</v>
      </c>
      <c r="AB34" s="72">
        <v>198.0</v>
      </c>
      <c r="AC34" s="72">
        <v>207.0</v>
      </c>
      <c r="AD34" s="72">
        <v>219.0</v>
      </c>
      <c r="AE34" s="72">
        <v>233.0</v>
      </c>
      <c r="AF34" s="72">
        <v>226.0</v>
      </c>
      <c r="AG34" s="6">
        <f t="shared" si="10"/>
        <v>5938</v>
      </c>
    </row>
    <row r="35" ht="12.75" customHeight="1">
      <c r="A35" s="13">
        <v>3.0</v>
      </c>
      <c r="B35" s="14" t="s">
        <v>28</v>
      </c>
      <c r="C35" s="8"/>
      <c r="D35" s="9"/>
      <c r="E35" s="66">
        <v>1.0</v>
      </c>
      <c r="F35" s="66">
        <v>0.0</v>
      </c>
      <c r="G35" s="66">
        <v>0.0</v>
      </c>
      <c r="H35" s="66">
        <v>0.0</v>
      </c>
      <c r="I35" s="66">
        <v>0.0</v>
      </c>
      <c r="J35" s="66">
        <v>0.0</v>
      </c>
      <c r="K35" s="66">
        <v>0.0</v>
      </c>
      <c r="L35" s="66">
        <v>0.0</v>
      </c>
      <c r="M35" s="66">
        <v>0.0</v>
      </c>
      <c r="N35" s="66">
        <v>2.0</v>
      </c>
      <c r="O35" s="66">
        <v>0.0</v>
      </c>
      <c r="P35" s="66">
        <v>1.0</v>
      </c>
      <c r="Q35" s="66">
        <v>0.0</v>
      </c>
      <c r="R35" s="66">
        <v>0.0</v>
      </c>
      <c r="S35" s="66">
        <v>1.0</v>
      </c>
      <c r="T35" s="66">
        <v>0.0</v>
      </c>
      <c r="U35" s="66">
        <v>0.0</v>
      </c>
      <c r="V35" s="66">
        <v>0.0</v>
      </c>
      <c r="W35" s="66">
        <v>0.0</v>
      </c>
      <c r="X35" s="66">
        <v>0.0</v>
      </c>
      <c r="Y35" s="66">
        <v>4.0</v>
      </c>
      <c r="Z35" s="66">
        <v>0.0</v>
      </c>
      <c r="AA35" s="66">
        <v>0.0</v>
      </c>
      <c r="AB35" s="66">
        <v>0.0</v>
      </c>
      <c r="AC35" s="66">
        <v>0.0</v>
      </c>
      <c r="AD35" s="66">
        <v>0.0</v>
      </c>
      <c r="AE35" s="66">
        <v>0.0</v>
      </c>
      <c r="AF35" s="66">
        <v>1.0</v>
      </c>
      <c r="AG35" s="6">
        <f t="shared" si="10"/>
        <v>10</v>
      </c>
    </row>
    <row r="36" ht="12.75" customHeight="1">
      <c r="A36" s="13">
        <v>4.0</v>
      </c>
      <c r="B36" s="14" t="s">
        <v>29</v>
      </c>
      <c r="C36" s="8"/>
      <c r="D36" s="9"/>
      <c r="E36" s="6">
        <f t="shared" ref="E36:AF36" si="11">E33-(E34+E35)</f>
        <v>70</v>
      </c>
      <c r="F36" s="6">
        <f t="shared" si="11"/>
        <v>68</v>
      </c>
      <c r="G36" s="6">
        <f t="shared" si="11"/>
        <v>83</v>
      </c>
      <c r="H36" s="6">
        <f t="shared" si="11"/>
        <v>88</v>
      </c>
      <c r="I36" s="6">
        <f t="shared" si="11"/>
        <v>65</v>
      </c>
      <c r="J36" s="6">
        <f t="shared" si="11"/>
        <v>54</v>
      </c>
      <c r="K36" s="6">
        <f t="shared" si="11"/>
        <v>68</v>
      </c>
      <c r="L36" s="6">
        <f t="shared" si="11"/>
        <v>73</v>
      </c>
      <c r="M36" s="6">
        <f t="shared" si="11"/>
        <v>61</v>
      </c>
      <c r="N36" s="6">
        <f t="shared" si="11"/>
        <v>55</v>
      </c>
      <c r="O36" s="6">
        <f t="shared" si="11"/>
        <v>65</v>
      </c>
      <c r="P36" s="6">
        <f t="shared" si="11"/>
        <v>48</v>
      </c>
      <c r="Q36" s="6">
        <f t="shared" si="11"/>
        <v>55</v>
      </c>
      <c r="R36" s="6">
        <f t="shared" si="11"/>
        <v>67</v>
      </c>
      <c r="S36" s="6">
        <f t="shared" si="11"/>
        <v>78</v>
      </c>
      <c r="T36" s="6">
        <f t="shared" si="11"/>
        <v>75</v>
      </c>
      <c r="U36" s="6">
        <f t="shared" si="11"/>
        <v>96</v>
      </c>
      <c r="V36" s="6">
        <f t="shared" si="11"/>
        <v>61</v>
      </c>
      <c r="W36" s="6">
        <f t="shared" si="11"/>
        <v>85</v>
      </c>
      <c r="X36" s="6">
        <f t="shared" si="11"/>
        <v>69</v>
      </c>
      <c r="Y36" s="6">
        <f t="shared" si="11"/>
        <v>51</v>
      </c>
      <c r="Z36" s="6">
        <f t="shared" si="11"/>
        <v>73</v>
      </c>
      <c r="AA36" s="6">
        <f t="shared" si="11"/>
        <v>67</v>
      </c>
      <c r="AB36" s="6">
        <f t="shared" si="11"/>
        <v>55</v>
      </c>
      <c r="AC36" s="6">
        <f t="shared" si="11"/>
        <v>61</v>
      </c>
      <c r="AD36" s="6">
        <f t="shared" si="11"/>
        <v>85</v>
      </c>
      <c r="AE36" s="6">
        <f t="shared" si="11"/>
        <v>64</v>
      </c>
      <c r="AF36" s="6">
        <f t="shared" si="11"/>
        <v>56</v>
      </c>
      <c r="AG36" s="6">
        <f t="shared" si="10"/>
        <v>1896</v>
      </c>
    </row>
    <row r="37" ht="12.75" customHeight="1">
      <c r="A37" s="21"/>
      <c r="B37" s="8"/>
      <c r="C37" s="8"/>
      <c r="D37" s="8"/>
      <c r="E37" s="21"/>
      <c r="F37" s="8"/>
      <c r="G37" s="8"/>
      <c r="H37" s="8"/>
      <c r="I37" s="9"/>
      <c r="J37" s="13"/>
      <c r="K37" s="13"/>
      <c r="L37" s="13"/>
      <c r="M37" s="13"/>
      <c r="N37" s="67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6"/>
    </row>
    <row r="38" ht="12.75" customHeight="1">
      <c r="A38" s="44" t="s">
        <v>30</v>
      </c>
      <c r="B38" s="7" t="s">
        <v>31</v>
      </c>
      <c r="C38" s="8"/>
      <c r="D38" s="9"/>
      <c r="E38" s="6"/>
      <c r="F38" s="6"/>
      <c r="G38" s="6"/>
      <c r="H38" s="6"/>
      <c r="I38" s="6"/>
      <c r="J38" s="6"/>
      <c r="K38" s="6"/>
      <c r="L38" s="6"/>
      <c r="M38" s="6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"/>
    </row>
    <row r="39" ht="12.75" customHeight="1">
      <c r="A39" s="32"/>
      <c r="B39" s="45" t="s">
        <v>32</v>
      </c>
      <c r="C39" s="20"/>
      <c r="D39" s="13" t="s">
        <v>11</v>
      </c>
      <c r="E39" s="66">
        <v>0.0</v>
      </c>
      <c r="F39" s="66">
        <v>0.0</v>
      </c>
      <c r="G39" s="66">
        <v>0.0</v>
      </c>
      <c r="H39" s="66">
        <v>0.0</v>
      </c>
      <c r="I39" s="66">
        <v>0.0</v>
      </c>
      <c r="J39" s="66">
        <v>0.0</v>
      </c>
      <c r="K39" s="66">
        <v>2.0</v>
      </c>
      <c r="L39" s="66">
        <v>0.0</v>
      </c>
      <c r="M39" s="66">
        <v>0.0</v>
      </c>
      <c r="N39" s="66">
        <v>0.0</v>
      </c>
      <c r="O39" s="66">
        <v>0.0</v>
      </c>
      <c r="P39" s="66">
        <v>0.0</v>
      </c>
      <c r="Q39" s="66">
        <v>0.0</v>
      </c>
      <c r="R39" s="66">
        <v>0.0</v>
      </c>
      <c r="S39" s="66">
        <v>0.0</v>
      </c>
      <c r="T39" s="66">
        <v>0.0</v>
      </c>
      <c r="U39" s="66">
        <v>0.0</v>
      </c>
      <c r="V39" s="66">
        <v>0.0</v>
      </c>
      <c r="W39" s="66">
        <v>0.0</v>
      </c>
      <c r="X39" s="66">
        <v>0.0</v>
      </c>
      <c r="Y39" s="66">
        <v>0.0</v>
      </c>
      <c r="Z39" s="66">
        <v>0.0</v>
      </c>
      <c r="AA39" s="66">
        <v>0.0</v>
      </c>
      <c r="AB39" s="66">
        <v>0.0</v>
      </c>
      <c r="AC39" s="66">
        <v>0.0</v>
      </c>
      <c r="AD39" s="66">
        <v>0.0</v>
      </c>
      <c r="AE39" s="66">
        <v>1.0</v>
      </c>
      <c r="AF39" s="66">
        <v>1.0</v>
      </c>
      <c r="AG39" s="6">
        <f t="shared" ref="AG39:AG41" si="12">SUM(E39:AF39)</f>
        <v>4</v>
      </c>
    </row>
    <row r="40" ht="12.75" customHeight="1">
      <c r="A40" s="35"/>
      <c r="C40" s="26"/>
      <c r="D40" s="13" t="s">
        <v>12</v>
      </c>
      <c r="E40" s="66">
        <v>0.0</v>
      </c>
      <c r="F40" s="66">
        <v>0.0</v>
      </c>
      <c r="G40" s="66">
        <v>0.0</v>
      </c>
      <c r="H40" s="66">
        <v>0.0</v>
      </c>
      <c r="I40" s="66">
        <v>0.0</v>
      </c>
      <c r="J40" s="66">
        <v>0.0</v>
      </c>
      <c r="K40" s="66">
        <v>0.0</v>
      </c>
      <c r="L40" s="66">
        <v>0.0</v>
      </c>
      <c r="M40" s="66">
        <v>0.0</v>
      </c>
      <c r="N40" s="66">
        <v>0.0</v>
      </c>
      <c r="O40" s="66">
        <v>0.0</v>
      </c>
      <c r="P40" s="66">
        <v>0.0</v>
      </c>
      <c r="Q40" s="66">
        <v>0.0</v>
      </c>
      <c r="R40" s="66">
        <v>0.0</v>
      </c>
      <c r="S40" s="66">
        <v>0.0</v>
      </c>
      <c r="T40" s="66">
        <v>0.0</v>
      </c>
      <c r="U40" s="66">
        <v>0.0</v>
      </c>
      <c r="V40" s="66">
        <v>0.0</v>
      </c>
      <c r="W40" s="66">
        <v>0.0</v>
      </c>
      <c r="X40" s="66">
        <v>0.0</v>
      </c>
      <c r="Y40" s="66">
        <v>0.0</v>
      </c>
      <c r="Z40" s="66">
        <v>0.0</v>
      </c>
      <c r="AA40" s="66">
        <v>0.0</v>
      </c>
      <c r="AB40" s="66">
        <v>0.0</v>
      </c>
      <c r="AC40" s="66">
        <v>0.0</v>
      </c>
      <c r="AD40" s="66">
        <v>1.0</v>
      </c>
      <c r="AE40" s="66">
        <v>0.0</v>
      </c>
      <c r="AF40" s="66">
        <v>0.0</v>
      </c>
      <c r="AG40" s="6">
        <f t="shared" si="12"/>
        <v>1</v>
      </c>
    </row>
    <row r="41" ht="12.75" customHeight="1">
      <c r="A41" s="42"/>
      <c r="B41" s="46"/>
      <c r="C41" s="27"/>
      <c r="D41" s="6" t="s">
        <v>13</v>
      </c>
      <c r="E41" s="6">
        <f t="shared" ref="E41:AF41" si="13">SUM(E39:E40)</f>
        <v>0</v>
      </c>
      <c r="F41" s="6">
        <f t="shared" si="13"/>
        <v>0</v>
      </c>
      <c r="G41" s="6">
        <f t="shared" si="13"/>
        <v>0</v>
      </c>
      <c r="H41" s="6">
        <f t="shared" si="13"/>
        <v>0</v>
      </c>
      <c r="I41" s="6">
        <f t="shared" si="13"/>
        <v>0</v>
      </c>
      <c r="J41" s="6">
        <f t="shared" si="13"/>
        <v>0</v>
      </c>
      <c r="K41" s="6">
        <f t="shared" si="13"/>
        <v>2</v>
      </c>
      <c r="L41" s="6">
        <f t="shared" si="13"/>
        <v>0</v>
      </c>
      <c r="M41" s="6">
        <f t="shared" si="13"/>
        <v>0</v>
      </c>
      <c r="N41" s="6">
        <f t="shared" si="13"/>
        <v>0</v>
      </c>
      <c r="O41" s="6">
        <f t="shared" si="13"/>
        <v>0</v>
      </c>
      <c r="P41" s="6">
        <f t="shared" si="13"/>
        <v>0</v>
      </c>
      <c r="Q41" s="6">
        <f t="shared" si="13"/>
        <v>0</v>
      </c>
      <c r="R41" s="6">
        <f t="shared" si="13"/>
        <v>0</v>
      </c>
      <c r="S41" s="6">
        <f t="shared" si="13"/>
        <v>0</v>
      </c>
      <c r="T41" s="6">
        <f t="shared" si="13"/>
        <v>0</v>
      </c>
      <c r="U41" s="6">
        <f t="shared" si="13"/>
        <v>0</v>
      </c>
      <c r="V41" s="6">
        <f t="shared" si="13"/>
        <v>0</v>
      </c>
      <c r="W41" s="6">
        <f t="shared" si="13"/>
        <v>0</v>
      </c>
      <c r="X41" s="6">
        <f t="shared" si="13"/>
        <v>0</v>
      </c>
      <c r="Y41" s="6">
        <f t="shared" si="13"/>
        <v>0</v>
      </c>
      <c r="Z41" s="6">
        <f t="shared" si="13"/>
        <v>0</v>
      </c>
      <c r="AA41" s="6">
        <f t="shared" si="13"/>
        <v>0</v>
      </c>
      <c r="AB41" s="6">
        <f t="shared" si="13"/>
        <v>0</v>
      </c>
      <c r="AC41" s="6">
        <f t="shared" si="13"/>
        <v>0</v>
      </c>
      <c r="AD41" s="6">
        <f t="shared" si="13"/>
        <v>1</v>
      </c>
      <c r="AE41" s="6">
        <f t="shared" si="13"/>
        <v>1</v>
      </c>
      <c r="AF41" s="6">
        <f t="shared" si="13"/>
        <v>1</v>
      </c>
      <c r="AG41" s="6">
        <f t="shared" si="12"/>
        <v>5</v>
      </c>
    </row>
    <row r="42" ht="12.75" customHeight="1">
      <c r="A42" s="47"/>
      <c r="B42" s="46"/>
      <c r="C42" s="46"/>
      <c r="D42" s="27"/>
      <c r="E42" s="21"/>
      <c r="F42" s="8"/>
      <c r="G42" s="8"/>
      <c r="H42" s="8"/>
      <c r="I42" s="9"/>
      <c r="J42" s="13"/>
      <c r="K42" s="13"/>
      <c r="L42" s="13"/>
      <c r="M42" s="13"/>
      <c r="N42" s="67"/>
      <c r="AG42" s="6"/>
    </row>
    <row r="43" ht="12.75" customHeight="1">
      <c r="A43" s="44" t="s">
        <v>33</v>
      </c>
      <c r="B43" s="7" t="s">
        <v>34</v>
      </c>
      <c r="C43" s="8"/>
      <c r="D43" s="9"/>
      <c r="E43" s="28"/>
      <c r="F43" s="6"/>
      <c r="G43" s="6"/>
      <c r="H43" s="6"/>
      <c r="I43" s="6"/>
      <c r="J43" s="6"/>
      <c r="K43" s="6"/>
      <c r="L43" s="6"/>
      <c r="M43" s="6"/>
      <c r="N43" s="69"/>
      <c r="AG43" s="6"/>
    </row>
    <row r="44" ht="12.75" customHeight="1">
      <c r="A44" s="45" t="s">
        <v>35</v>
      </c>
      <c r="B44" s="48"/>
      <c r="C44" s="48"/>
      <c r="D44" s="20"/>
      <c r="E44" s="21"/>
      <c r="F44" s="13"/>
      <c r="G44" s="13"/>
      <c r="H44" s="13"/>
      <c r="I44" s="13"/>
      <c r="J44" s="13"/>
      <c r="K44" s="13"/>
      <c r="L44" s="13"/>
      <c r="M44" s="13"/>
      <c r="N44" s="67"/>
      <c r="AG44" s="6"/>
    </row>
    <row r="45" ht="12.75" customHeight="1">
      <c r="A45" s="32" t="s">
        <v>36</v>
      </c>
      <c r="B45" s="49" t="s">
        <v>16</v>
      </c>
      <c r="C45" s="50" t="s">
        <v>37</v>
      </c>
      <c r="D45" s="9"/>
      <c r="E45" s="66">
        <v>12.0</v>
      </c>
      <c r="F45" s="66">
        <v>21.0</v>
      </c>
      <c r="G45" s="66">
        <v>6.0</v>
      </c>
      <c r="H45" s="66">
        <v>5.0</v>
      </c>
      <c r="I45" s="66">
        <v>4.0</v>
      </c>
      <c r="J45" s="66">
        <v>4.0</v>
      </c>
      <c r="K45" s="66">
        <v>9.0</v>
      </c>
      <c r="L45" s="66">
        <v>8.0</v>
      </c>
      <c r="M45" s="66">
        <v>10.0</v>
      </c>
      <c r="N45" s="66">
        <v>10.0</v>
      </c>
      <c r="O45" s="66">
        <v>2.0</v>
      </c>
      <c r="P45" s="66">
        <v>14.0</v>
      </c>
      <c r="Q45" s="66">
        <v>14.0</v>
      </c>
      <c r="R45" s="66">
        <v>13.0</v>
      </c>
      <c r="S45" s="66">
        <v>15.0</v>
      </c>
      <c r="T45" s="66">
        <v>6.0</v>
      </c>
      <c r="U45" s="66">
        <v>3.0</v>
      </c>
      <c r="V45" s="66">
        <v>5.0</v>
      </c>
      <c r="W45" s="66">
        <v>9.0</v>
      </c>
      <c r="X45" s="66">
        <v>1.0</v>
      </c>
      <c r="Y45" s="66">
        <v>9.0</v>
      </c>
      <c r="Z45" s="66">
        <v>10.0</v>
      </c>
      <c r="AA45" s="66">
        <v>2.0</v>
      </c>
      <c r="AB45" s="66">
        <v>4.0</v>
      </c>
      <c r="AC45" s="66">
        <v>6.0</v>
      </c>
      <c r="AD45" s="66">
        <v>6.0</v>
      </c>
      <c r="AE45" s="66">
        <v>33.0</v>
      </c>
      <c r="AF45" s="66">
        <v>13.0</v>
      </c>
      <c r="AG45" s="6">
        <f t="shared" ref="AG45:AG52" si="14">SUM(E45:AF45)</f>
        <v>254</v>
      </c>
    </row>
    <row r="46" ht="12.75" customHeight="1">
      <c r="A46" s="32" t="s">
        <v>38</v>
      </c>
      <c r="B46" s="51"/>
      <c r="C46" s="52" t="s">
        <v>39</v>
      </c>
      <c r="D46" s="53"/>
      <c r="E46" s="66">
        <v>7.0</v>
      </c>
      <c r="F46" s="66">
        <v>30.0</v>
      </c>
      <c r="G46" s="66">
        <v>12.0</v>
      </c>
      <c r="H46" s="66">
        <v>10.0</v>
      </c>
      <c r="I46" s="66">
        <v>24.0</v>
      </c>
      <c r="J46" s="66">
        <v>13.0</v>
      </c>
      <c r="K46" s="66">
        <v>5.0</v>
      </c>
      <c r="L46" s="66">
        <v>5.0</v>
      </c>
      <c r="M46" s="66">
        <v>22.0</v>
      </c>
      <c r="N46" s="66">
        <v>16.0</v>
      </c>
      <c r="O46" s="66">
        <v>15.0</v>
      </c>
      <c r="P46" s="66">
        <v>18.0</v>
      </c>
      <c r="Q46" s="66">
        <v>41.0</v>
      </c>
      <c r="R46" s="66">
        <v>35.0</v>
      </c>
      <c r="S46" s="66">
        <v>44.0</v>
      </c>
      <c r="T46" s="66">
        <v>37.0</v>
      </c>
      <c r="U46" s="66">
        <v>20.0</v>
      </c>
      <c r="V46" s="66">
        <v>8.0</v>
      </c>
      <c r="W46" s="66">
        <v>36.0</v>
      </c>
      <c r="X46" s="66">
        <v>7.0</v>
      </c>
      <c r="Y46" s="66">
        <v>36.0</v>
      </c>
      <c r="Z46" s="66">
        <v>79.0</v>
      </c>
      <c r="AA46" s="66">
        <v>7.0</v>
      </c>
      <c r="AB46" s="66">
        <v>16.0</v>
      </c>
      <c r="AC46" s="66">
        <v>14.0</v>
      </c>
      <c r="AD46" s="66">
        <v>40.0</v>
      </c>
      <c r="AE46" s="66">
        <v>102.0</v>
      </c>
      <c r="AF46" s="66">
        <v>29.0</v>
      </c>
      <c r="AG46" s="6">
        <f t="shared" si="14"/>
        <v>728</v>
      </c>
    </row>
    <row r="47" ht="12.75" customHeight="1">
      <c r="A47" s="18"/>
      <c r="B47" s="51"/>
      <c r="C47" s="52" t="s">
        <v>40</v>
      </c>
      <c r="D47" s="53"/>
      <c r="E47" s="66">
        <v>1.0</v>
      </c>
      <c r="F47" s="66">
        <v>3.0</v>
      </c>
      <c r="G47" s="66">
        <v>2.0</v>
      </c>
      <c r="H47" s="66">
        <v>0.0</v>
      </c>
      <c r="I47" s="66">
        <v>3.0</v>
      </c>
      <c r="J47" s="66">
        <v>1.0</v>
      </c>
      <c r="K47" s="66">
        <v>4.0</v>
      </c>
      <c r="L47" s="66">
        <v>6.0</v>
      </c>
      <c r="M47" s="66">
        <v>14.0</v>
      </c>
      <c r="N47" s="66">
        <v>10.0</v>
      </c>
      <c r="O47" s="66">
        <v>12.0</v>
      </c>
      <c r="P47" s="66">
        <v>9.0</v>
      </c>
      <c r="Q47" s="66">
        <v>29.0</v>
      </c>
      <c r="R47" s="66">
        <v>4.0</v>
      </c>
      <c r="S47" s="66">
        <v>2.0</v>
      </c>
      <c r="T47" s="66">
        <v>1.0</v>
      </c>
      <c r="U47" s="66">
        <v>4.0</v>
      </c>
      <c r="V47" s="66">
        <v>4.0</v>
      </c>
      <c r="W47" s="66">
        <v>0.0</v>
      </c>
      <c r="X47" s="66">
        <v>0.0</v>
      </c>
      <c r="Y47" s="66">
        <v>1.0</v>
      </c>
      <c r="Z47" s="66">
        <v>1.0</v>
      </c>
      <c r="AA47" s="66">
        <v>4.0</v>
      </c>
      <c r="AB47" s="66">
        <v>2.0</v>
      </c>
      <c r="AC47" s="66">
        <v>3.0</v>
      </c>
      <c r="AD47" s="66">
        <v>0.0</v>
      </c>
      <c r="AE47" s="66">
        <v>1.0</v>
      </c>
      <c r="AF47" s="66">
        <v>2.0</v>
      </c>
      <c r="AG47" s="6">
        <f t="shared" si="14"/>
        <v>123</v>
      </c>
    </row>
    <row r="48" ht="12.75" customHeight="1">
      <c r="A48" s="18"/>
      <c r="B48" s="51"/>
      <c r="C48" s="52" t="s">
        <v>41</v>
      </c>
      <c r="D48" s="53"/>
      <c r="E48" s="66">
        <v>1.0</v>
      </c>
      <c r="F48" s="66">
        <v>1.0</v>
      </c>
      <c r="G48" s="66">
        <v>3.0</v>
      </c>
      <c r="H48" s="66">
        <v>0.0</v>
      </c>
      <c r="I48" s="66">
        <v>0.0</v>
      </c>
      <c r="J48" s="66">
        <v>1.0</v>
      </c>
      <c r="K48" s="66">
        <v>0.0</v>
      </c>
      <c r="L48" s="66">
        <v>0.0</v>
      </c>
      <c r="M48" s="66">
        <v>0.0</v>
      </c>
      <c r="N48" s="66">
        <v>0.0</v>
      </c>
      <c r="O48" s="66">
        <v>0.0</v>
      </c>
      <c r="P48" s="66">
        <v>3.0</v>
      </c>
      <c r="Q48" s="66">
        <v>2.0</v>
      </c>
      <c r="R48" s="66">
        <v>0.0</v>
      </c>
      <c r="S48" s="66">
        <v>0.0</v>
      </c>
      <c r="T48" s="66">
        <v>0.0</v>
      </c>
      <c r="U48" s="66">
        <v>0.0</v>
      </c>
      <c r="V48" s="66">
        <v>0.0</v>
      </c>
      <c r="W48" s="66">
        <v>0.0</v>
      </c>
      <c r="X48" s="66">
        <v>0.0</v>
      </c>
      <c r="Y48" s="66">
        <v>0.0</v>
      </c>
      <c r="Z48" s="66">
        <v>5.0</v>
      </c>
      <c r="AA48" s="66">
        <v>0.0</v>
      </c>
      <c r="AB48" s="66">
        <v>1.0</v>
      </c>
      <c r="AC48" s="66">
        <v>0.0</v>
      </c>
      <c r="AD48" s="66">
        <v>0.0</v>
      </c>
      <c r="AE48" s="66">
        <v>1.0</v>
      </c>
      <c r="AF48" s="66">
        <v>1.0</v>
      </c>
      <c r="AG48" s="6">
        <f t="shared" si="14"/>
        <v>19</v>
      </c>
    </row>
    <row r="49" ht="12.75" customHeight="1">
      <c r="A49" s="18"/>
      <c r="B49" s="51"/>
      <c r="C49" s="52" t="s">
        <v>42</v>
      </c>
      <c r="D49" s="53"/>
      <c r="E49" s="66">
        <v>0.0</v>
      </c>
      <c r="F49" s="66">
        <v>0.0</v>
      </c>
      <c r="G49" s="66">
        <v>3.0</v>
      </c>
      <c r="H49" s="66">
        <v>4.0</v>
      </c>
      <c r="I49" s="66">
        <v>1.0</v>
      </c>
      <c r="J49" s="66">
        <v>0.0</v>
      </c>
      <c r="K49" s="66">
        <v>0.0</v>
      </c>
      <c r="L49" s="66">
        <v>0.0</v>
      </c>
      <c r="M49" s="66">
        <v>1.0</v>
      </c>
      <c r="N49" s="66">
        <v>0.0</v>
      </c>
      <c r="O49" s="66">
        <v>0.0</v>
      </c>
      <c r="P49" s="66">
        <v>0.0</v>
      </c>
      <c r="Q49" s="66">
        <v>0.0</v>
      </c>
      <c r="R49" s="66">
        <v>0.0</v>
      </c>
      <c r="S49" s="66">
        <v>0.0</v>
      </c>
      <c r="T49" s="66">
        <v>0.0</v>
      </c>
      <c r="U49" s="66">
        <v>1.0</v>
      </c>
      <c r="V49" s="66">
        <v>0.0</v>
      </c>
      <c r="W49" s="66">
        <v>1.0</v>
      </c>
      <c r="X49" s="66">
        <v>0.0</v>
      </c>
      <c r="Y49" s="66">
        <v>0.0</v>
      </c>
      <c r="Z49" s="66">
        <v>0.0</v>
      </c>
      <c r="AA49" s="66">
        <v>0.0</v>
      </c>
      <c r="AB49" s="66">
        <v>0.0</v>
      </c>
      <c r="AC49" s="66">
        <v>1.0</v>
      </c>
      <c r="AD49" s="66">
        <v>0.0</v>
      </c>
      <c r="AE49" s="66">
        <v>0.0</v>
      </c>
      <c r="AF49" s="66">
        <v>1.0</v>
      </c>
      <c r="AG49" s="6">
        <f t="shared" si="14"/>
        <v>13</v>
      </c>
    </row>
    <row r="50" ht="12.75" customHeight="1">
      <c r="A50" s="18"/>
      <c r="B50" s="51"/>
      <c r="C50" s="52" t="s">
        <v>43</v>
      </c>
      <c r="D50" s="53"/>
      <c r="E50" s="66">
        <v>0.0</v>
      </c>
      <c r="F50" s="66">
        <v>0.0</v>
      </c>
      <c r="G50" s="66">
        <v>0.0</v>
      </c>
      <c r="H50" s="66">
        <v>0.0</v>
      </c>
      <c r="I50" s="66">
        <v>0.0</v>
      </c>
      <c r="J50" s="66">
        <v>0.0</v>
      </c>
      <c r="K50" s="66">
        <v>1.0</v>
      </c>
      <c r="L50" s="66">
        <v>0.0</v>
      </c>
      <c r="M50" s="66">
        <v>0.0</v>
      </c>
      <c r="N50" s="66">
        <v>0.0</v>
      </c>
      <c r="O50" s="66">
        <v>0.0</v>
      </c>
      <c r="P50" s="66">
        <v>0.0</v>
      </c>
      <c r="Q50" s="66">
        <v>0.0</v>
      </c>
      <c r="R50" s="66">
        <v>0.0</v>
      </c>
      <c r="S50" s="66">
        <v>1.0</v>
      </c>
      <c r="T50" s="66">
        <v>0.0</v>
      </c>
      <c r="U50" s="66">
        <v>0.0</v>
      </c>
      <c r="V50" s="66">
        <v>0.0</v>
      </c>
      <c r="W50" s="66">
        <v>0.0</v>
      </c>
      <c r="X50" s="66">
        <v>0.0</v>
      </c>
      <c r="Y50" s="66">
        <v>0.0</v>
      </c>
      <c r="Z50" s="66">
        <v>0.0</v>
      </c>
      <c r="AA50" s="66">
        <v>0.0</v>
      </c>
      <c r="AB50" s="66">
        <v>0.0</v>
      </c>
      <c r="AC50" s="66">
        <v>0.0</v>
      </c>
      <c r="AD50" s="66">
        <v>0.0</v>
      </c>
      <c r="AE50" s="66">
        <v>0.0</v>
      </c>
      <c r="AF50" s="66">
        <v>0.0</v>
      </c>
      <c r="AG50" s="6">
        <f t="shared" si="14"/>
        <v>2</v>
      </c>
    </row>
    <row r="51" ht="12.75" customHeight="1">
      <c r="A51" s="18"/>
      <c r="B51" s="51"/>
      <c r="C51" s="52" t="s">
        <v>44</v>
      </c>
      <c r="D51" s="53"/>
      <c r="E51" s="66">
        <v>0.0</v>
      </c>
      <c r="F51" s="66">
        <v>0.0</v>
      </c>
      <c r="G51" s="66">
        <v>0.0</v>
      </c>
      <c r="H51" s="66">
        <v>0.0</v>
      </c>
      <c r="I51" s="66">
        <v>0.0</v>
      </c>
      <c r="J51" s="66">
        <v>2.0</v>
      </c>
      <c r="K51" s="66">
        <v>0.0</v>
      </c>
      <c r="L51" s="66">
        <v>2.0</v>
      </c>
      <c r="M51" s="66">
        <v>0.0</v>
      </c>
      <c r="N51" s="66">
        <v>0.0</v>
      </c>
      <c r="O51" s="66">
        <v>0.0</v>
      </c>
      <c r="P51" s="66">
        <v>7.0</v>
      </c>
      <c r="Q51" s="66">
        <v>1.0</v>
      </c>
      <c r="R51" s="66">
        <v>0.0</v>
      </c>
      <c r="S51" s="66">
        <v>0.0</v>
      </c>
      <c r="T51" s="66">
        <v>2.0</v>
      </c>
      <c r="U51" s="66">
        <v>0.0</v>
      </c>
      <c r="V51" s="66">
        <v>0.0</v>
      </c>
      <c r="W51" s="66">
        <v>0.0</v>
      </c>
      <c r="X51" s="66">
        <v>0.0</v>
      </c>
      <c r="Y51" s="66">
        <v>0.0</v>
      </c>
      <c r="Z51" s="66">
        <v>0.0</v>
      </c>
      <c r="AA51" s="66">
        <v>11.0</v>
      </c>
      <c r="AB51" s="66">
        <v>3.0</v>
      </c>
      <c r="AC51" s="66">
        <v>2.0</v>
      </c>
      <c r="AD51" s="66">
        <v>0.0</v>
      </c>
      <c r="AE51" s="66">
        <v>0.0</v>
      </c>
      <c r="AF51" s="66">
        <v>2.0</v>
      </c>
      <c r="AG51" s="6">
        <f t="shared" si="14"/>
        <v>32</v>
      </c>
    </row>
    <row r="52" ht="12.75" customHeight="1">
      <c r="A52" s="13" t="s">
        <v>14</v>
      </c>
      <c r="B52" s="49" t="s">
        <v>45</v>
      </c>
      <c r="C52" s="8"/>
      <c r="D52" s="9"/>
      <c r="E52" s="54">
        <f t="shared" ref="E52:AF52" si="15">SUM(E45:E51)</f>
        <v>21</v>
      </c>
      <c r="F52" s="54">
        <f t="shared" si="15"/>
        <v>55</v>
      </c>
      <c r="G52" s="54">
        <f t="shared" si="15"/>
        <v>26</v>
      </c>
      <c r="H52" s="54">
        <f t="shared" si="15"/>
        <v>19</v>
      </c>
      <c r="I52" s="54">
        <f t="shared" si="15"/>
        <v>32</v>
      </c>
      <c r="J52" s="54">
        <f t="shared" si="15"/>
        <v>21</v>
      </c>
      <c r="K52" s="54">
        <f t="shared" si="15"/>
        <v>19</v>
      </c>
      <c r="L52" s="54">
        <f t="shared" si="15"/>
        <v>21</v>
      </c>
      <c r="M52" s="54">
        <f t="shared" si="15"/>
        <v>47</v>
      </c>
      <c r="N52" s="54">
        <f t="shared" si="15"/>
        <v>36</v>
      </c>
      <c r="O52" s="54">
        <f t="shared" si="15"/>
        <v>29</v>
      </c>
      <c r="P52" s="54">
        <f t="shared" si="15"/>
        <v>51</v>
      </c>
      <c r="Q52" s="54">
        <f t="shared" si="15"/>
        <v>87</v>
      </c>
      <c r="R52" s="54">
        <f t="shared" si="15"/>
        <v>52</v>
      </c>
      <c r="S52" s="54">
        <f t="shared" si="15"/>
        <v>62</v>
      </c>
      <c r="T52" s="54">
        <f t="shared" si="15"/>
        <v>46</v>
      </c>
      <c r="U52" s="54">
        <f t="shared" si="15"/>
        <v>28</v>
      </c>
      <c r="V52" s="54">
        <f t="shared" si="15"/>
        <v>17</v>
      </c>
      <c r="W52" s="54">
        <f t="shared" si="15"/>
        <v>46</v>
      </c>
      <c r="X52" s="54">
        <f t="shared" si="15"/>
        <v>8</v>
      </c>
      <c r="Y52" s="54">
        <f t="shared" si="15"/>
        <v>46</v>
      </c>
      <c r="Z52" s="54">
        <f t="shared" si="15"/>
        <v>95</v>
      </c>
      <c r="AA52" s="54">
        <f t="shared" si="15"/>
        <v>24</v>
      </c>
      <c r="AB52" s="54">
        <f t="shared" si="15"/>
        <v>26</v>
      </c>
      <c r="AC52" s="54">
        <f t="shared" si="15"/>
        <v>26</v>
      </c>
      <c r="AD52" s="54">
        <f t="shared" si="15"/>
        <v>46</v>
      </c>
      <c r="AE52" s="54">
        <f t="shared" si="15"/>
        <v>137</v>
      </c>
      <c r="AF52" s="54">
        <f t="shared" si="15"/>
        <v>48</v>
      </c>
      <c r="AG52" s="6">
        <f t="shared" si="14"/>
        <v>1171</v>
      </c>
    </row>
    <row r="53" ht="12.75" customHeight="1">
      <c r="A53" s="55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6"/>
    </row>
    <row r="54" ht="12.75" customHeight="1">
      <c r="A54" s="32" t="s">
        <v>36</v>
      </c>
      <c r="B54" s="49" t="s">
        <v>18</v>
      </c>
      <c r="C54" s="50" t="s">
        <v>46</v>
      </c>
      <c r="D54" s="9"/>
      <c r="E54" s="66">
        <v>11.0</v>
      </c>
      <c r="F54" s="66">
        <v>8.0</v>
      </c>
      <c r="G54" s="66">
        <v>5.0</v>
      </c>
      <c r="H54" s="66">
        <v>11.0</v>
      </c>
      <c r="I54" s="66">
        <v>5.0</v>
      </c>
      <c r="J54" s="66">
        <v>3.0</v>
      </c>
      <c r="K54" s="66">
        <v>3.0</v>
      </c>
      <c r="L54" s="66">
        <v>9.0</v>
      </c>
      <c r="M54" s="66">
        <v>5.0</v>
      </c>
      <c r="N54" s="66">
        <v>19.0</v>
      </c>
      <c r="O54" s="66">
        <v>3.0</v>
      </c>
      <c r="P54" s="66">
        <v>3.0</v>
      </c>
      <c r="Q54" s="66">
        <v>3.0</v>
      </c>
      <c r="R54" s="66">
        <v>3.0</v>
      </c>
      <c r="S54" s="66">
        <v>2.0</v>
      </c>
      <c r="T54" s="66">
        <v>6.0</v>
      </c>
      <c r="U54" s="66">
        <v>13.0</v>
      </c>
      <c r="V54" s="66">
        <v>4.0</v>
      </c>
      <c r="W54" s="66">
        <v>0.0</v>
      </c>
      <c r="X54" s="66">
        <v>1.0</v>
      </c>
      <c r="Y54" s="66">
        <v>6.0</v>
      </c>
      <c r="Z54" s="66">
        <v>3.0</v>
      </c>
      <c r="AA54" s="66">
        <v>9.0</v>
      </c>
      <c r="AB54" s="66">
        <v>1.0</v>
      </c>
      <c r="AC54" s="66">
        <v>5.0</v>
      </c>
      <c r="AD54" s="66">
        <v>1.0</v>
      </c>
      <c r="AE54" s="66">
        <v>6.0</v>
      </c>
      <c r="AF54" s="66">
        <v>5.0</v>
      </c>
      <c r="AG54" s="6">
        <f t="shared" ref="AG54:AG61" si="16">SUM(E54:AF54)</f>
        <v>153</v>
      </c>
    </row>
    <row r="55" ht="12.75" customHeight="1">
      <c r="A55" s="32" t="s">
        <v>38</v>
      </c>
      <c r="B55" s="51"/>
      <c r="C55" s="52" t="s">
        <v>47</v>
      </c>
      <c r="D55" s="53"/>
      <c r="E55" s="66">
        <v>5.0</v>
      </c>
      <c r="F55" s="66">
        <v>11.0</v>
      </c>
      <c r="G55" s="66">
        <v>21.0</v>
      </c>
      <c r="H55" s="66">
        <v>6.0</v>
      </c>
      <c r="I55" s="66">
        <v>33.0</v>
      </c>
      <c r="J55" s="66">
        <v>1.0</v>
      </c>
      <c r="K55" s="66">
        <v>6.0</v>
      </c>
      <c r="L55" s="66">
        <v>3.0</v>
      </c>
      <c r="M55" s="66">
        <v>13.0</v>
      </c>
      <c r="N55" s="66">
        <v>27.0</v>
      </c>
      <c r="O55" s="66">
        <v>13.0</v>
      </c>
      <c r="P55" s="66">
        <v>0.0</v>
      </c>
      <c r="Q55" s="66">
        <v>9.0</v>
      </c>
      <c r="R55" s="66">
        <v>12.0</v>
      </c>
      <c r="S55" s="66">
        <v>19.0</v>
      </c>
      <c r="T55" s="66">
        <v>8.0</v>
      </c>
      <c r="U55" s="66">
        <v>16.0</v>
      </c>
      <c r="V55" s="66">
        <v>9.0</v>
      </c>
      <c r="W55" s="66">
        <v>2.0</v>
      </c>
      <c r="X55" s="66">
        <v>2.0</v>
      </c>
      <c r="Y55" s="66">
        <v>8.0</v>
      </c>
      <c r="Z55" s="66">
        <v>7.0</v>
      </c>
      <c r="AA55" s="66">
        <v>18.0</v>
      </c>
      <c r="AB55" s="66">
        <v>2.0</v>
      </c>
      <c r="AC55" s="66">
        <v>3.0</v>
      </c>
      <c r="AD55" s="66">
        <v>1.0</v>
      </c>
      <c r="AE55" s="66">
        <v>5.0</v>
      </c>
      <c r="AF55" s="66">
        <v>11.0</v>
      </c>
      <c r="AG55" s="6">
        <f t="shared" si="16"/>
        <v>271</v>
      </c>
    </row>
    <row r="56" ht="12.75" customHeight="1">
      <c r="A56" s="18"/>
      <c r="B56" s="51"/>
      <c r="C56" s="52" t="s">
        <v>48</v>
      </c>
      <c r="D56" s="53"/>
      <c r="E56" s="66">
        <v>6.0</v>
      </c>
      <c r="F56" s="66">
        <v>1.0</v>
      </c>
      <c r="G56" s="66">
        <v>0.0</v>
      </c>
      <c r="H56" s="66">
        <v>6.0</v>
      </c>
      <c r="I56" s="66">
        <v>2.0</v>
      </c>
      <c r="J56" s="66">
        <v>2.0</v>
      </c>
      <c r="K56" s="66">
        <v>3.0</v>
      </c>
      <c r="L56" s="66">
        <v>5.0</v>
      </c>
      <c r="M56" s="66">
        <v>2.0</v>
      </c>
      <c r="N56" s="66">
        <v>1.0</v>
      </c>
      <c r="O56" s="66">
        <v>4.0</v>
      </c>
      <c r="P56" s="66">
        <v>0.0</v>
      </c>
      <c r="Q56" s="66">
        <v>1.0</v>
      </c>
      <c r="R56" s="66">
        <v>0.0</v>
      </c>
      <c r="S56" s="66">
        <v>1.0</v>
      </c>
      <c r="T56" s="66">
        <v>0.0</v>
      </c>
      <c r="U56" s="66">
        <v>3.0</v>
      </c>
      <c r="V56" s="66">
        <v>0.0</v>
      </c>
      <c r="W56" s="66">
        <v>1.0</v>
      </c>
      <c r="X56" s="66">
        <v>1.0</v>
      </c>
      <c r="Y56" s="66">
        <v>1.0</v>
      </c>
      <c r="Z56" s="66">
        <v>2.0</v>
      </c>
      <c r="AA56" s="66">
        <v>3.0</v>
      </c>
      <c r="AB56" s="66">
        <v>0.0</v>
      </c>
      <c r="AC56" s="66">
        <v>2.0</v>
      </c>
      <c r="AD56" s="66">
        <v>0.0</v>
      </c>
      <c r="AE56" s="66">
        <v>1.0</v>
      </c>
      <c r="AF56" s="66">
        <v>1.0</v>
      </c>
      <c r="AG56" s="6">
        <f t="shared" si="16"/>
        <v>49</v>
      </c>
    </row>
    <row r="57" ht="12.75" customHeight="1">
      <c r="A57" s="18"/>
      <c r="B57" s="51"/>
      <c r="C57" s="52" t="s">
        <v>49</v>
      </c>
      <c r="D57" s="53"/>
      <c r="E57" s="66">
        <v>2.0</v>
      </c>
      <c r="F57" s="66">
        <v>0.0</v>
      </c>
      <c r="G57" s="66">
        <v>0.0</v>
      </c>
      <c r="H57" s="66">
        <v>1.0</v>
      </c>
      <c r="I57" s="66">
        <v>0.0</v>
      </c>
      <c r="J57" s="66">
        <v>0.0</v>
      </c>
      <c r="K57" s="66">
        <v>0.0</v>
      </c>
      <c r="L57" s="66">
        <v>0.0</v>
      </c>
      <c r="M57" s="66">
        <v>0.0</v>
      </c>
      <c r="N57" s="66">
        <v>1.0</v>
      </c>
      <c r="O57" s="66">
        <v>0.0</v>
      </c>
      <c r="P57" s="66">
        <v>1.0</v>
      </c>
      <c r="Q57" s="66">
        <v>0.0</v>
      </c>
      <c r="R57" s="66">
        <v>0.0</v>
      </c>
      <c r="S57" s="66">
        <v>0.0</v>
      </c>
      <c r="T57" s="66">
        <v>0.0</v>
      </c>
      <c r="U57" s="66">
        <v>0.0</v>
      </c>
      <c r="V57" s="66">
        <v>1.0</v>
      </c>
      <c r="W57" s="66">
        <v>0.0</v>
      </c>
      <c r="X57" s="66">
        <v>0.0</v>
      </c>
      <c r="Y57" s="66">
        <v>0.0</v>
      </c>
      <c r="Z57" s="66">
        <v>0.0</v>
      </c>
      <c r="AA57" s="66">
        <v>0.0</v>
      </c>
      <c r="AB57" s="66">
        <v>1.0</v>
      </c>
      <c r="AC57" s="66">
        <v>2.0</v>
      </c>
      <c r="AD57" s="66">
        <v>0.0</v>
      </c>
      <c r="AE57" s="66">
        <v>0.0</v>
      </c>
      <c r="AF57" s="66">
        <v>0.0</v>
      </c>
      <c r="AG57" s="6">
        <f t="shared" si="16"/>
        <v>9</v>
      </c>
    </row>
    <row r="58" ht="12.75" customHeight="1">
      <c r="A58" s="18"/>
      <c r="B58" s="51"/>
      <c r="C58" s="52" t="s">
        <v>50</v>
      </c>
      <c r="D58" s="53"/>
      <c r="E58" s="66">
        <v>4.0</v>
      </c>
      <c r="F58" s="66">
        <v>2.0</v>
      </c>
      <c r="G58" s="66">
        <v>2.0</v>
      </c>
      <c r="H58" s="66">
        <v>1.0</v>
      </c>
      <c r="I58" s="66">
        <v>0.0</v>
      </c>
      <c r="J58" s="66">
        <v>15.0</v>
      </c>
      <c r="K58" s="66">
        <v>0.0</v>
      </c>
      <c r="L58" s="66">
        <v>0.0</v>
      </c>
      <c r="M58" s="66">
        <v>6.0</v>
      </c>
      <c r="N58" s="66">
        <v>4.0</v>
      </c>
      <c r="O58" s="66">
        <v>0.0</v>
      </c>
      <c r="P58" s="66">
        <v>9.0</v>
      </c>
      <c r="Q58" s="66">
        <v>0.0</v>
      </c>
      <c r="R58" s="66">
        <v>1.0</v>
      </c>
      <c r="S58" s="66">
        <v>3.0</v>
      </c>
      <c r="T58" s="66">
        <v>2.0</v>
      </c>
      <c r="U58" s="66">
        <v>0.0</v>
      </c>
      <c r="V58" s="66">
        <v>5.0</v>
      </c>
      <c r="W58" s="66">
        <v>0.0</v>
      </c>
      <c r="X58" s="66">
        <v>0.0</v>
      </c>
      <c r="Y58" s="66">
        <v>2.0</v>
      </c>
      <c r="Z58" s="66">
        <v>0.0</v>
      </c>
      <c r="AA58" s="66">
        <v>2.0</v>
      </c>
      <c r="AB58" s="66">
        <v>2.0</v>
      </c>
      <c r="AC58" s="66">
        <v>3.0</v>
      </c>
      <c r="AD58" s="66">
        <v>4.0</v>
      </c>
      <c r="AE58" s="66">
        <v>6.0</v>
      </c>
      <c r="AF58" s="66">
        <v>2.0</v>
      </c>
      <c r="AG58" s="6">
        <f t="shared" si="16"/>
        <v>75</v>
      </c>
    </row>
    <row r="59" ht="12.75" customHeight="1">
      <c r="A59" s="18"/>
      <c r="B59" s="51"/>
      <c r="C59" s="52" t="s">
        <v>51</v>
      </c>
      <c r="D59" s="53"/>
      <c r="E59" s="66">
        <v>0.0</v>
      </c>
      <c r="F59" s="66">
        <v>0.0</v>
      </c>
      <c r="G59" s="66">
        <v>0.0</v>
      </c>
      <c r="H59" s="66">
        <v>0.0</v>
      </c>
      <c r="I59" s="66">
        <v>0.0</v>
      </c>
      <c r="J59" s="66">
        <v>0.0</v>
      </c>
      <c r="K59" s="66">
        <v>1.0</v>
      </c>
      <c r="L59" s="66">
        <v>1.0</v>
      </c>
      <c r="M59" s="66">
        <v>0.0</v>
      </c>
      <c r="N59" s="66">
        <v>0.0</v>
      </c>
      <c r="O59" s="66">
        <v>1.0</v>
      </c>
      <c r="P59" s="66">
        <v>0.0</v>
      </c>
      <c r="Q59" s="66">
        <v>0.0</v>
      </c>
      <c r="R59" s="66">
        <v>0.0</v>
      </c>
      <c r="S59" s="66">
        <v>1.0</v>
      </c>
      <c r="T59" s="66">
        <v>0.0</v>
      </c>
      <c r="U59" s="66">
        <v>0.0</v>
      </c>
      <c r="V59" s="66">
        <v>0.0</v>
      </c>
      <c r="W59" s="66">
        <v>0.0</v>
      </c>
      <c r="X59" s="66">
        <v>1.0</v>
      </c>
      <c r="Y59" s="66">
        <v>1.0</v>
      </c>
      <c r="Z59" s="66">
        <v>0.0</v>
      </c>
      <c r="AA59" s="66">
        <v>2.0</v>
      </c>
      <c r="AB59" s="66">
        <v>1.0</v>
      </c>
      <c r="AC59" s="66">
        <v>0.0</v>
      </c>
      <c r="AD59" s="66">
        <v>0.0</v>
      </c>
      <c r="AE59" s="66">
        <v>0.0</v>
      </c>
      <c r="AF59" s="66">
        <v>0.0</v>
      </c>
      <c r="AG59" s="6">
        <f t="shared" si="16"/>
        <v>9</v>
      </c>
    </row>
    <row r="60" ht="12.75" customHeight="1">
      <c r="A60" s="18"/>
      <c r="B60" s="51"/>
      <c r="C60" s="52" t="s">
        <v>52</v>
      </c>
      <c r="D60" s="53"/>
      <c r="E60" s="66">
        <v>0.0</v>
      </c>
      <c r="F60" s="66">
        <v>0.0</v>
      </c>
      <c r="G60" s="66">
        <v>1.0</v>
      </c>
      <c r="H60" s="66">
        <v>2.0</v>
      </c>
      <c r="I60" s="66">
        <v>0.0</v>
      </c>
      <c r="J60" s="66">
        <v>0.0</v>
      </c>
      <c r="K60" s="66">
        <v>0.0</v>
      </c>
      <c r="L60" s="66">
        <v>0.0</v>
      </c>
      <c r="M60" s="66">
        <v>1.0</v>
      </c>
      <c r="N60" s="66">
        <v>0.0</v>
      </c>
      <c r="O60" s="66">
        <v>1.0</v>
      </c>
      <c r="P60" s="66">
        <v>0.0</v>
      </c>
      <c r="Q60" s="66">
        <v>0.0</v>
      </c>
      <c r="R60" s="66">
        <v>0.0</v>
      </c>
      <c r="S60" s="66">
        <v>0.0</v>
      </c>
      <c r="T60" s="66">
        <v>0.0</v>
      </c>
      <c r="U60" s="66">
        <v>0.0</v>
      </c>
      <c r="V60" s="66">
        <v>0.0</v>
      </c>
      <c r="W60" s="66">
        <v>0.0</v>
      </c>
      <c r="X60" s="66">
        <v>0.0</v>
      </c>
      <c r="Y60" s="66">
        <v>0.0</v>
      </c>
      <c r="Z60" s="66">
        <v>0.0</v>
      </c>
      <c r="AA60" s="66">
        <v>0.0</v>
      </c>
      <c r="AB60" s="66">
        <v>0.0</v>
      </c>
      <c r="AC60" s="66">
        <v>0.0</v>
      </c>
      <c r="AD60" s="66">
        <v>0.0</v>
      </c>
      <c r="AE60" s="66">
        <v>0.0</v>
      </c>
      <c r="AF60" s="66">
        <v>0.0</v>
      </c>
      <c r="AG60" s="6">
        <f t="shared" si="16"/>
        <v>5</v>
      </c>
    </row>
    <row r="61" ht="12.75" customHeight="1">
      <c r="A61" s="13" t="s">
        <v>14</v>
      </c>
      <c r="B61" s="49" t="s">
        <v>45</v>
      </c>
      <c r="C61" s="8"/>
      <c r="D61" s="9"/>
      <c r="E61" s="54">
        <f t="shared" ref="E61:AF61" si="17">SUM(E54:E60)</f>
        <v>28</v>
      </c>
      <c r="F61" s="54">
        <f t="shared" si="17"/>
        <v>22</v>
      </c>
      <c r="G61" s="54">
        <f t="shared" si="17"/>
        <v>29</v>
      </c>
      <c r="H61" s="54">
        <f t="shared" si="17"/>
        <v>27</v>
      </c>
      <c r="I61" s="54">
        <f t="shared" si="17"/>
        <v>40</v>
      </c>
      <c r="J61" s="54">
        <f t="shared" si="17"/>
        <v>21</v>
      </c>
      <c r="K61" s="54">
        <f t="shared" si="17"/>
        <v>13</v>
      </c>
      <c r="L61" s="54">
        <f t="shared" si="17"/>
        <v>18</v>
      </c>
      <c r="M61" s="54">
        <f t="shared" si="17"/>
        <v>27</v>
      </c>
      <c r="N61" s="54">
        <f t="shared" si="17"/>
        <v>52</v>
      </c>
      <c r="O61" s="54">
        <f t="shared" si="17"/>
        <v>22</v>
      </c>
      <c r="P61" s="54">
        <f t="shared" si="17"/>
        <v>13</v>
      </c>
      <c r="Q61" s="54">
        <f t="shared" si="17"/>
        <v>13</v>
      </c>
      <c r="R61" s="54">
        <f t="shared" si="17"/>
        <v>16</v>
      </c>
      <c r="S61" s="54">
        <f t="shared" si="17"/>
        <v>26</v>
      </c>
      <c r="T61" s="54">
        <f t="shared" si="17"/>
        <v>16</v>
      </c>
      <c r="U61" s="54">
        <f t="shared" si="17"/>
        <v>32</v>
      </c>
      <c r="V61" s="54">
        <f t="shared" si="17"/>
        <v>19</v>
      </c>
      <c r="W61" s="54">
        <f t="shared" si="17"/>
        <v>3</v>
      </c>
      <c r="X61" s="54">
        <f t="shared" si="17"/>
        <v>5</v>
      </c>
      <c r="Y61" s="54">
        <f t="shared" si="17"/>
        <v>18</v>
      </c>
      <c r="Z61" s="54">
        <f t="shared" si="17"/>
        <v>12</v>
      </c>
      <c r="AA61" s="54">
        <f t="shared" si="17"/>
        <v>34</v>
      </c>
      <c r="AB61" s="54">
        <f t="shared" si="17"/>
        <v>7</v>
      </c>
      <c r="AC61" s="54">
        <f t="shared" si="17"/>
        <v>15</v>
      </c>
      <c r="AD61" s="54">
        <f t="shared" si="17"/>
        <v>6</v>
      </c>
      <c r="AE61" s="54">
        <f t="shared" si="17"/>
        <v>18</v>
      </c>
      <c r="AF61" s="54">
        <f t="shared" si="17"/>
        <v>19</v>
      </c>
      <c r="AG61" s="6">
        <f t="shared" si="16"/>
        <v>571</v>
      </c>
    </row>
    <row r="62" ht="12.75" customHeight="1">
      <c r="A62" s="55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6"/>
    </row>
    <row r="63" ht="12.75" customHeight="1">
      <c r="A63" s="32" t="s">
        <v>36</v>
      </c>
      <c r="B63" s="49" t="s">
        <v>20</v>
      </c>
      <c r="C63" s="50" t="s">
        <v>53</v>
      </c>
      <c r="D63" s="9"/>
      <c r="E63" s="66">
        <v>11.0</v>
      </c>
      <c r="F63" s="66">
        <v>9.0</v>
      </c>
      <c r="G63" s="66">
        <v>8.0</v>
      </c>
      <c r="H63" s="66">
        <v>3.0</v>
      </c>
      <c r="I63" s="66">
        <v>3.0</v>
      </c>
      <c r="J63" s="66">
        <v>6.0</v>
      </c>
      <c r="K63" s="66">
        <v>7.0</v>
      </c>
      <c r="L63" s="66">
        <v>7.0</v>
      </c>
      <c r="M63" s="66">
        <v>3.0</v>
      </c>
      <c r="N63" s="66">
        <v>10.0</v>
      </c>
      <c r="O63" s="66">
        <v>2.0</v>
      </c>
      <c r="P63" s="66">
        <v>5.0</v>
      </c>
      <c r="Q63" s="66">
        <v>2.0</v>
      </c>
      <c r="R63" s="66">
        <v>7.0</v>
      </c>
      <c r="S63" s="66">
        <v>6.0</v>
      </c>
      <c r="T63" s="66">
        <v>7.0</v>
      </c>
      <c r="U63" s="66">
        <v>9.0</v>
      </c>
      <c r="V63" s="66">
        <v>16.0</v>
      </c>
      <c r="W63" s="66">
        <v>6.0</v>
      </c>
      <c r="X63" s="66">
        <v>10.0</v>
      </c>
      <c r="Y63" s="66">
        <v>7.0</v>
      </c>
      <c r="Z63" s="66">
        <v>10.0</v>
      </c>
      <c r="AA63" s="66">
        <v>8.0</v>
      </c>
      <c r="AB63" s="66">
        <v>4.0</v>
      </c>
      <c r="AC63" s="66">
        <v>5.0</v>
      </c>
      <c r="AD63" s="66">
        <v>6.0</v>
      </c>
      <c r="AE63" s="66">
        <v>6.0</v>
      </c>
      <c r="AF63" s="66">
        <v>3.0</v>
      </c>
      <c r="AG63" s="6">
        <f t="shared" ref="AG63:AG70" si="18">SUM(E63:AF63)</f>
        <v>186</v>
      </c>
    </row>
    <row r="64" ht="12.75" customHeight="1">
      <c r="A64" s="32" t="s">
        <v>38</v>
      </c>
      <c r="B64" s="51"/>
      <c r="C64" s="52" t="s">
        <v>54</v>
      </c>
      <c r="D64" s="53"/>
      <c r="E64" s="66">
        <v>3.0</v>
      </c>
      <c r="F64" s="66">
        <v>3.0</v>
      </c>
      <c r="G64" s="66">
        <v>3.0</v>
      </c>
      <c r="H64" s="66">
        <v>1.0</v>
      </c>
      <c r="I64" s="66">
        <v>5.0</v>
      </c>
      <c r="J64" s="66">
        <v>2.0</v>
      </c>
      <c r="K64" s="66">
        <v>14.0</v>
      </c>
      <c r="L64" s="66">
        <v>0.0</v>
      </c>
      <c r="M64" s="66">
        <v>1.0</v>
      </c>
      <c r="N64" s="66">
        <v>3.0</v>
      </c>
      <c r="O64" s="66">
        <v>0.0</v>
      </c>
      <c r="P64" s="66">
        <v>1.0</v>
      </c>
      <c r="Q64" s="66">
        <v>7.0</v>
      </c>
      <c r="R64" s="66">
        <v>8.0</v>
      </c>
      <c r="S64" s="66">
        <v>3.0</v>
      </c>
      <c r="T64" s="66">
        <v>17.0</v>
      </c>
      <c r="U64" s="66">
        <v>9.0</v>
      </c>
      <c r="V64" s="66">
        <v>2.0</v>
      </c>
      <c r="W64" s="66">
        <v>2.0</v>
      </c>
      <c r="X64" s="66">
        <v>0.0</v>
      </c>
      <c r="Y64" s="66">
        <v>7.0</v>
      </c>
      <c r="Z64" s="66">
        <v>2.0</v>
      </c>
      <c r="AA64" s="66">
        <v>3.0</v>
      </c>
      <c r="AB64" s="66">
        <v>6.0</v>
      </c>
      <c r="AC64" s="66">
        <v>4.0</v>
      </c>
      <c r="AD64" s="66">
        <v>4.0</v>
      </c>
      <c r="AE64" s="66">
        <v>1.0</v>
      </c>
      <c r="AF64" s="66">
        <v>5.0</v>
      </c>
      <c r="AG64" s="6">
        <f t="shared" si="18"/>
        <v>116</v>
      </c>
    </row>
    <row r="65" ht="12.75" customHeight="1">
      <c r="A65" s="18"/>
      <c r="B65" s="51"/>
      <c r="C65" s="52" t="s">
        <v>55</v>
      </c>
      <c r="D65" s="53"/>
      <c r="E65" s="66">
        <v>4.0</v>
      </c>
      <c r="F65" s="66">
        <v>3.0</v>
      </c>
      <c r="G65" s="66">
        <v>1.0</v>
      </c>
      <c r="H65" s="66">
        <v>0.0</v>
      </c>
      <c r="I65" s="66">
        <v>0.0</v>
      </c>
      <c r="J65" s="66">
        <v>9.0</v>
      </c>
      <c r="K65" s="66">
        <v>0.0</v>
      </c>
      <c r="L65" s="66">
        <v>1.0</v>
      </c>
      <c r="M65" s="66">
        <v>1.0</v>
      </c>
      <c r="N65" s="66">
        <v>1.0</v>
      </c>
      <c r="O65" s="66">
        <v>0.0</v>
      </c>
      <c r="P65" s="66">
        <v>1.0</v>
      </c>
      <c r="Q65" s="66">
        <v>2.0</v>
      </c>
      <c r="R65" s="66">
        <v>0.0</v>
      </c>
      <c r="S65" s="66">
        <v>3.0</v>
      </c>
      <c r="T65" s="66">
        <v>6.0</v>
      </c>
      <c r="U65" s="66">
        <v>1.0</v>
      </c>
      <c r="V65" s="66">
        <v>0.0</v>
      </c>
      <c r="W65" s="66">
        <v>3.0</v>
      </c>
      <c r="X65" s="66">
        <v>4.0</v>
      </c>
      <c r="Y65" s="66">
        <v>0.0</v>
      </c>
      <c r="Z65" s="66">
        <v>1.0</v>
      </c>
      <c r="AA65" s="66">
        <v>2.0</v>
      </c>
      <c r="AB65" s="66">
        <v>3.0</v>
      </c>
      <c r="AC65" s="66">
        <v>0.0</v>
      </c>
      <c r="AD65" s="66">
        <v>0.0</v>
      </c>
      <c r="AE65" s="66">
        <v>1.0</v>
      </c>
      <c r="AF65" s="66">
        <v>1.0</v>
      </c>
      <c r="AG65" s="6">
        <f t="shared" si="18"/>
        <v>48</v>
      </c>
    </row>
    <row r="66" ht="12.75" customHeight="1">
      <c r="A66" s="18"/>
      <c r="B66" s="51"/>
      <c r="C66" s="52" t="s">
        <v>56</v>
      </c>
      <c r="D66" s="53"/>
      <c r="E66" s="66">
        <v>3.0</v>
      </c>
      <c r="F66" s="66">
        <v>0.0</v>
      </c>
      <c r="G66" s="66">
        <v>1.0</v>
      </c>
      <c r="H66" s="66">
        <v>0.0</v>
      </c>
      <c r="I66" s="66">
        <v>0.0</v>
      </c>
      <c r="J66" s="66">
        <v>0.0</v>
      </c>
      <c r="K66" s="66">
        <v>0.0</v>
      </c>
      <c r="L66" s="66">
        <v>3.0</v>
      </c>
      <c r="M66" s="66">
        <v>1.0</v>
      </c>
      <c r="N66" s="66">
        <v>4.0</v>
      </c>
      <c r="O66" s="66">
        <v>0.0</v>
      </c>
      <c r="P66" s="66">
        <v>0.0</v>
      </c>
      <c r="Q66" s="66">
        <v>1.0</v>
      </c>
      <c r="R66" s="66">
        <v>0.0</v>
      </c>
      <c r="S66" s="66">
        <v>1.0</v>
      </c>
      <c r="T66" s="66">
        <v>1.0</v>
      </c>
      <c r="U66" s="66">
        <v>5.0</v>
      </c>
      <c r="V66" s="66">
        <v>4.0</v>
      </c>
      <c r="W66" s="66">
        <v>6.0</v>
      </c>
      <c r="X66" s="66">
        <v>16.0</v>
      </c>
      <c r="Y66" s="66">
        <v>15.0</v>
      </c>
      <c r="Z66" s="66">
        <v>2.0</v>
      </c>
      <c r="AA66" s="66">
        <v>3.0</v>
      </c>
      <c r="AB66" s="66">
        <v>5.0</v>
      </c>
      <c r="AC66" s="66">
        <v>2.0</v>
      </c>
      <c r="AD66" s="66">
        <v>1.0</v>
      </c>
      <c r="AE66" s="66">
        <v>1.0</v>
      </c>
      <c r="AF66" s="66">
        <v>0.0</v>
      </c>
      <c r="AG66" s="6">
        <f t="shared" si="18"/>
        <v>75</v>
      </c>
    </row>
    <row r="67" ht="12.75" customHeight="1">
      <c r="A67" s="18"/>
      <c r="B67" s="51"/>
      <c r="C67" s="52" t="s">
        <v>57</v>
      </c>
      <c r="D67" s="53"/>
      <c r="E67" s="66">
        <v>41.0</v>
      </c>
      <c r="F67" s="66">
        <v>44.0</v>
      </c>
      <c r="G67" s="66">
        <v>36.0</v>
      </c>
      <c r="H67" s="66">
        <v>18.0</v>
      </c>
      <c r="I67" s="66">
        <v>12.0</v>
      </c>
      <c r="J67" s="66">
        <v>8.0</v>
      </c>
      <c r="K67" s="66">
        <v>11.0</v>
      </c>
      <c r="L67" s="66">
        <v>30.0</v>
      </c>
      <c r="M67" s="66">
        <v>94.0</v>
      </c>
      <c r="N67" s="66">
        <v>51.0</v>
      </c>
      <c r="O67" s="66">
        <v>6.0</v>
      </c>
      <c r="P67" s="66">
        <v>9.0</v>
      </c>
      <c r="Q67" s="66">
        <v>17.0</v>
      </c>
      <c r="R67" s="66">
        <v>36.0</v>
      </c>
      <c r="S67" s="66">
        <v>53.0</v>
      </c>
      <c r="T67" s="66">
        <v>71.0</v>
      </c>
      <c r="U67" s="66">
        <v>61.0</v>
      </c>
      <c r="V67" s="66">
        <v>103.0</v>
      </c>
      <c r="W67" s="66">
        <v>112.0</v>
      </c>
      <c r="X67" s="66">
        <v>138.0</v>
      </c>
      <c r="Y67" s="66">
        <v>98.0</v>
      </c>
      <c r="Z67" s="66">
        <v>65.0</v>
      </c>
      <c r="AA67" s="66">
        <v>34.0</v>
      </c>
      <c r="AB67" s="66">
        <v>65.0</v>
      </c>
      <c r="AC67" s="66">
        <v>17.0</v>
      </c>
      <c r="AD67" s="66">
        <v>4.0</v>
      </c>
      <c r="AE67" s="66">
        <v>30.0</v>
      </c>
      <c r="AF67" s="66">
        <v>64.0</v>
      </c>
      <c r="AG67" s="6">
        <f t="shared" si="18"/>
        <v>1328</v>
      </c>
    </row>
    <row r="68" ht="12.75" customHeight="1">
      <c r="A68" s="18"/>
      <c r="B68" s="51"/>
      <c r="C68" s="52" t="s">
        <v>58</v>
      </c>
      <c r="D68" s="53"/>
      <c r="E68" s="66">
        <v>1.0</v>
      </c>
      <c r="F68" s="66">
        <v>0.0</v>
      </c>
      <c r="G68" s="66">
        <v>0.0</v>
      </c>
      <c r="H68" s="66">
        <v>1.0</v>
      </c>
      <c r="I68" s="66">
        <v>0.0</v>
      </c>
      <c r="J68" s="66">
        <v>0.0</v>
      </c>
      <c r="K68" s="66">
        <v>4.0</v>
      </c>
      <c r="L68" s="66">
        <v>1.0</v>
      </c>
      <c r="M68" s="66">
        <v>0.0</v>
      </c>
      <c r="N68" s="66">
        <v>0.0</v>
      </c>
      <c r="O68" s="66">
        <v>4.0</v>
      </c>
      <c r="P68" s="66">
        <v>1.0</v>
      </c>
      <c r="Q68" s="66">
        <v>1.0</v>
      </c>
      <c r="R68" s="66">
        <v>0.0</v>
      </c>
      <c r="S68" s="66">
        <v>0.0</v>
      </c>
      <c r="T68" s="66">
        <v>1.0</v>
      </c>
      <c r="U68" s="66">
        <v>2.0</v>
      </c>
      <c r="V68" s="66">
        <v>3.0</v>
      </c>
      <c r="W68" s="66">
        <v>0.0</v>
      </c>
      <c r="X68" s="66">
        <v>2.0</v>
      </c>
      <c r="Y68" s="66">
        <v>1.0</v>
      </c>
      <c r="Z68" s="66">
        <v>0.0</v>
      </c>
      <c r="AA68" s="66">
        <v>0.0</v>
      </c>
      <c r="AB68" s="66">
        <v>2.0</v>
      </c>
      <c r="AC68" s="66">
        <v>1.0</v>
      </c>
      <c r="AD68" s="66">
        <v>3.0</v>
      </c>
      <c r="AE68" s="66">
        <v>0.0</v>
      </c>
      <c r="AF68" s="66">
        <v>0.0</v>
      </c>
      <c r="AG68" s="6">
        <f t="shared" si="18"/>
        <v>28</v>
      </c>
    </row>
    <row r="69" ht="12.75" customHeight="1">
      <c r="A69" s="18"/>
      <c r="B69" s="51"/>
      <c r="C69" s="52" t="s">
        <v>59</v>
      </c>
      <c r="D69" s="53"/>
      <c r="E69" s="66">
        <v>10.0</v>
      </c>
      <c r="F69" s="66">
        <v>9.0</v>
      </c>
      <c r="G69" s="66">
        <v>11.0</v>
      </c>
      <c r="H69" s="66">
        <v>17.0</v>
      </c>
      <c r="I69" s="66">
        <v>19.0</v>
      </c>
      <c r="J69" s="66">
        <v>43.0</v>
      </c>
      <c r="K69" s="66">
        <v>70.0</v>
      </c>
      <c r="L69" s="66">
        <v>59.0</v>
      </c>
      <c r="M69" s="66">
        <v>34.0</v>
      </c>
      <c r="N69" s="66">
        <v>38.0</v>
      </c>
      <c r="O69" s="66">
        <v>80.0</v>
      </c>
      <c r="P69" s="66">
        <v>66.0</v>
      </c>
      <c r="Q69" s="66">
        <v>6.0</v>
      </c>
      <c r="R69" s="66">
        <v>38.0</v>
      </c>
      <c r="S69" s="66">
        <v>13.0</v>
      </c>
      <c r="T69" s="66">
        <v>14.0</v>
      </c>
      <c r="U69" s="66">
        <v>8.0</v>
      </c>
      <c r="V69" s="66">
        <v>3.0</v>
      </c>
      <c r="W69" s="66">
        <v>9.0</v>
      </c>
      <c r="X69" s="66">
        <v>16.0</v>
      </c>
      <c r="Y69" s="66">
        <v>4.0</v>
      </c>
      <c r="Z69" s="66">
        <v>1.0</v>
      </c>
      <c r="AA69" s="66">
        <v>62.0</v>
      </c>
      <c r="AB69" s="66">
        <v>48.0</v>
      </c>
      <c r="AC69" s="66">
        <v>93.0</v>
      </c>
      <c r="AD69" s="66">
        <v>90.0</v>
      </c>
      <c r="AE69" s="66">
        <v>11.0</v>
      </c>
      <c r="AF69" s="66">
        <v>5.0</v>
      </c>
      <c r="AG69" s="6">
        <f t="shared" si="18"/>
        <v>877</v>
      </c>
    </row>
    <row r="70" ht="12.75" customHeight="1">
      <c r="A70" s="13" t="s">
        <v>14</v>
      </c>
      <c r="B70" s="49" t="s">
        <v>45</v>
      </c>
      <c r="C70" s="8"/>
      <c r="D70" s="9"/>
      <c r="E70" s="54">
        <f t="shared" ref="E70:AF70" si="19">SUM(E63:E69)</f>
        <v>73</v>
      </c>
      <c r="F70" s="54">
        <f t="shared" si="19"/>
        <v>68</v>
      </c>
      <c r="G70" s="54">
        <f t="shared" si="19"/>
        <v>60</v>
      </c>
      <c r="H70" s="54">
        <f t="shared" si="19"/>
        <v>40</v>
      </c>
      <c r="I70" s="54">
        <f t="shared" si="19"/>
        <v>39</v>
      </c>
      <c r="J70" s="54">
        <f t="shared" si="19"/>
        <v>68</v>
      </c>
      <c r="K70" s="54">
        <f t="shared" si="19"/>
        <v>106</v>
      </c>
      <c r="L70" s="54">
        <f t="shared" si="19"/>
        <v>101</v>
      </c>
      <c r="M70" s="54">
        <f t="shared" si="19"/>
        <v>134</v>
      </c>
      <c r="N70" s="54">
        <f t="shared" si="19"/>
        <v>107</v>
      </c>
      <c r="O70" s="54">
        <f t="shared" si="19"/>
        <v>92</v>
      </c>
      <c r="P70" s="54">
        <f t="shared" si="19"/>
        <v>83</v>
      </c>
      <c r="Q70" s="54">
        <f t="shared" si="19"/>
        <v>36</v>
      </c>
      <c r="R70" s="54">
        <f t="shared" si="19"/>
        <v>89</v>
      </c>
      <c r="S70" s="54">
        <f t="shared" si="19"/>
        <v>79</v>
      </c>
      <c r="T70" s="54">
        <f t="shared" si="19"/>
        <v>117</v>
      </c>
      <c r="U70" s="54">
        <f t="shared" si="19"/>
        <v>95</v>
      </c>
      <c r="V70" s="54">
        <f t="shared" si="19"/>
        <v>131</v>
      </c>
      <c r="W70" s="54">
        <f t="shared" si="19"/>
        <v>138</v>
      </c>
      <c r="X70" s="54">
        <f t="shared" si="19"/>
        <v>186</v>
      </c>
      <c r="Y70" s="54">
        <f t="shared" si="19"/>
        <v>132</v>
      </c>
      <c r="Z70" s="54">
        <f t="shared" si="19"/>
        <v>81</v>
      </c>
      <c r="AA70" s="54">
        <f t="shared" si="19"/>
        <v>112</v>
      </c>
      <c r="AB70" s="54">
        <f t="shared" si="19"/>
        <v>133</v>
      </c>
      <c r="AC70" s="54">
        <f t="shared" si="19"/>
        <v>122</v>
      </c>
      <c r="AD70" s="54">
        <f t="shared" si="19"/>
        <v>108</v>
      </c>
      <c r="AE70" s="54">
        <f t="shared" si="19"/>
        <v>50</v>
      </c>
      <c r="AF70" s="54">
        <f t="shared" si="19"/>
        <v>78</v>
      </c>
      <c r="AG70" s="6">
        <f t="shared" si="18"/>
        <v>2658</v>
      </c>
    </row>
    <row r="71" ht="12.75" customHeight="1">
      <c r="A71" s="55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6"/>
    </row>
    <row r="72" ht="12.75" customHeight="1">
      <c r="A72" s="32" t="s">
        <v>36</v>
      </c>
      <c r="B72" s="49" t="s">
        <v>22</v>
      </c>
      <c r="C72" s="50" t="s">
        <v>60</v>
      </c>
      <c r="D72" s="9"/>
      <c r="E72" s="66">
        <v>3.0</v>
      </c>
      <c r="F72" s="66">
        <v>8.0</v>
      </c>
      <c r="G72" s="66">
        <v>1.0</v>
      </c>
      <c r="H72" s="66">
        <v>4.0</v>
      </c>
      <c r="I72" s="66">
        <v>0.0</v>
      </c>
      <c r="J72" s="66">
        <v>4.0</v>
      </c>
      <c r="K72" s="66">
        <v>0.0</v>
      </c>
      <c r="L72" s="66">
        <v>6.0</v>
      </c>
      <c r="M72" s="66">
        <v>1.0</v>
      </c>
      <c r="N72" s="66">
        <v>4.0</v>
      </c>
      <c r="O72" s="66">
        <v>0.0</v>
      </c>
      <c r="P72" s="66">
        <v>0.0</v>
      </c>
      <c r="Q72" s="66">
        <v>1.0</v>
      </c>
      <c r="R72" s="66">
        <v>3.0</v>
      </c>
      <c r="S72" s="66">
        <v>1.0</v>
      </c>
      <c r="T72" s="66">
        <v>3.0</v>
      </c>
      <c r="U72" s="66">
        <v>1.0</v>
      </c>
      <c r="V72" s="66">
        <v>10.0</v>
      </c>
      <c r="W72" s="66">
        <v>3.0</v>
      </c>
      <c r="X72" s="66">
        <v>1.0</v>
      </c>
      <c r="Y72" s="66">
        <v>6.0</v>
      </c>
      <c r="Z72" s="66">
        <v>0.0</v>
      </c>
      <c r="AA72" s="66">
        <v>1.0</v>
      </c>
      <c r="AB72" s="66">
        <v>2.0</v>
      </c>
      <c r="AC72" s="66">
        <v>2.0</v>
      </c>
      <c r="AD72" s="66">
        <v>6.0</v>
      </c>
      <c r="AE72" s="66">
        <v>3.0</v>
      </c>
      <c r="AF72" s="66">
        <v>9.0</v>
      </c>
      <c r="AG72" s="6">
        <f t="shared" ref="AG72:AG79" si="20">SUM(E72:AF72)</f>
        <v>83</v>
      </c>
    </row>
    <row r="73" ht="12.75" customHeight="1">
      <c r="A73" s="32" t="s">
        <v>38</v>
      </c>
      <c r="B73" s="51"/>
      <c r="C73" s="52" t="s">
        <v>61</v>
      </c>
      <c r="D73" s="53"/>
      <c r="E73" s="66">
        <v>13.0</v>
      </c>
      <c r="F73" s="66">
        <v>3.0</v>
      </c>
      <c r="G73" s="66">
        <v>1.0</v>
      </c>
      <c r="H73" s="66">
        <v>10.0</v>
      </c>
      <c r="I73" s="66">
        <v>2.0</v>
      </c>
      <c r="J73" s="66">
        <v>22.0</v>
      </c>
      <c r="K73" s="66">
        <v>1.0</v>
      </c>
      <c r="L73" s="66">
        <v>13.0</v>
      </c>
      <c r="M73" s="66">
        <v>2.0</v>
      </c>
      <c r="N73" s="66">
        <v>5.0</v>
      </c>
      <c r="O73" s="66">
        <v>2.0</v>
      </c>
      <c r="P73" s="66">
        <v>5.0</v>
      </c>
      <c r="Q73" s="66">
        <v>2.0</v>
      </c>
      <c r="R73" s="66">
        <v>3.0</v>
      </c>
      <c r="S73" s="66">
        <v>0.0</v>
      </c>
      <c r="T73" s="66">
        <v>2.0</v>
      </c>
      <c r="U73" s="66">
        <v>2.0</v>
      </c>
      <c r="V73" s="66">
        <v>4.0</v>
      </c>
      <c r="W73" s="66">
        <v>3.0</v>
      </c>
      <c r="X73" s="66">
        <v>3.0</v>
      </c>
      <c r="Y73" s="66">
        <v>11.0</v>
      </c>
      <c r="Z73" s="66">
        <v>1.0</v>
      </c>
      <c r="AA73" s="66">
        <v>6.0</v>
      </c>
      <c r="AB73" s="66">
        <v>1.0</v>
      </c>
      <c r="AC73" s="66">
        <v>5.0</v>
      </c>
      <c r="AD73" s="66">
        <v>11.0</v>
      </c>
      <c r="AE73" s="66">
        <v>3.0</v>
      </c>
      <c r="AF73" s="66">
        <v>32.0</v>
      </c>
      <c r="AG73" s="6">
        <f t="shared" si="20"/>
        <v>168</v>
      </c>
    </row>
    <row r="74" ht="12.75" customHeight="1">
      <c r="A74" s="18"/>
      <c r="B74" s="51"/>
      <c r="C74" s="52" t="s">
        <v>62</v>
      </c>
      <c r="D74" s="53"/>
      <c r="E74" s="66">
        <v>0.0</v>
      </c>
      <c r="F74" s="66">
        <v>0.0</v>
      </c>
      <c r="G74" s="66">
        <v>2.0</v>
      </c>
      <c r="H74" s="66">
        <v>1.0</v>
      </c>
      <c r="I74" s="66">
        <v>0.0</v>
      </c>
      <c r="J74" s="66">
        <v>0.0</v>
      </c>
      <c r="K74" s="66">
        <v>0.0</v>
      </c>
      <c r="L74" s="66">
        <v>0.0</v>
      </c>
      <c r="M74" s="66">
        <v>0.0</v>
      </c>
      <c r="N74" s="66">
        <v>0.0</v>
      </c>
      <c r="O74" s="66">
        <v>0.0</v>
      </c>
      <c r="P74" s="66">
        <v>0.0</v>
      </c>
      <c r="Q74" s="66">
        <v>0.0</v>
      </c>
      <c r="R74" s="66">
        <v>0.0</v>
      </c>
      <c r="S74" s="66">
        <v>0.0</v>
      </c>
      <c r="T74" s="66">
        <v>0.0</v>
      </c>
      <c r="U74" s="66">
        <v>0.0</v>
      </c>
      <c r="V74" s="66">
        <v>0.0</v>
      </c>
      <c r="W74" s="66">
        <v>0.0</v>
      </c>
      <c r="X74" s="66">
        <v>0.0</v>
      </c>
      <c r="Y74" s="66">
        <v>1.0</v>
      </c>
      <c r="Z74" s="66">
        <v>0.0</v>
      </c>
      <c r="AA74" s="66">
        <v>0.0</v>
      </c>
      <c r="AB74" s="66">
        <v>0.0</v>
      </c>
      <c r="AC74" s="66">
        <v>1.0</v>
      </c>
      <c r="AD74" s="66">
        <v>0.0</v>
      </c>
      <c r="AE74" s="66">
        <v>2.0</v>
      </c>
      <c r="AF74" s="66">
        <v>1.0</v>
      </c>
      <c r="AG74" s="6">
        <f t="shared" si="20"/>
        <v>8</v>
      </c>
    </row>
    <row r="75" ht="12.75" customHeight="1">
      <c r="A75" s="18"/>
      <c r="B75" s="51"/>
      <c r="C75" s="52" t="s">
        <v>63</v>
      </c>
      <c r="D75" s="53"/>
      <c r="E75" s="66">
        <v>0.0</v>
      </c>
      <c r="F75" s="66">
        <v>0.0</v>
      </c>
      <c r="G75" s="66">
        <v>1.0</v>
      </c>
      <c r="H75" s="66">
        <v>0.0</v>
      </c>
      <c r="I75" s="66">
        <v>0.0</v>
      </c>
      <c r="J75" s="66">
        <v>1.0</v>
      </c>
      <c r="K75" s="66">
        <v>0.0</v>
      </c>
      <c r="L75" s="66">
        <v>0.0</v>
      </c>
      <c r="M75" s="66">
        <v>3.0</v>
      </c>
      <c r="N75" s="66">
        <v>0.0</v>
      </c>
      <c r="O75" s="66">
        <v>0.0</v>
      </c>
      <c r="P75" s="66">
        <v>1.0</v>
      </c>
      <c r="Q75" s="66">
        <v>0.0</v>
      </c>
      <c r="R75" s="66">
        <v>0.0</v>
      </c>
      <c r="S75" s="66">
        <v>0.0</v>
      </c>
      <c r="T75" s="66">
        <v>0.0</v>
      </c>
      <c r="U75" s="66">
        <v>0.0</v>
      </c>
      <c r="V75" s="66">
        <v>3.0</v>
      </c>
      <c r="W75" s="66">
        <v>0.0</v>
      </c>
      <c r="X75" s="66">
        <v>3.0</v>
      </c>
      <c r="Y75" s="66">
        <v>1.0</v>
      </c>
      <c r="Z75" s="66">
        <v>0.0</v>
      </c>
      <c r="AA75" s="66">
        <v>2.0</v>
      </c>
      <c r="AB75" s="66">
        <v>0.0</v>
      </c>
      <c r="AC75" s="66">
        <v>3.0</v>
      </c>
      <c r="AD75" s="66">
        <v>4.0</v>
      </c>
      <c r="AE75" s="66">
        <v>0.0</v>
      </c>
      <c r="AF75" s="66">
        <v>1.0</v>
      </c>
      <c r="AG75" s="6">
        <f t="shared" si="20"/>
        <v>23</v>
      </c>
    </row>
    <row r="76" ht="12.75" customHeight="1">
      <c r="A76" s="18"/>
      <c r="B76" s="51"/>
      <c r="C76" s="52" t="s">
        <v>64</v>
      </c>
      <c r="D76" s="53"/>
      <c r="E76" s="66">
        <v>0.0</v>
      </c>
      <c r="F76" s="66">
        <v>0.0</v>
      </c>
      <c r="G76" s="66">
        <v>0.0</v>
      </c>
      <c r="H76" s="66">
        <v>0.0</v>
      </c>
      <c r="I76" s="66">
        <v>0.0</v>
      </c>
      <c r="J76" s="66">
        <v>0.0</v>
      </c>
      <c r="K76" s="66">
        <v>0.0</v>
      </c>
      <c r="L76" s="66">
        <v>0.0</v>
      </c>
      <c r="M76" s="66">
        <v>2.0</v>
      </c>
      <c r="N76" s="66">
        <v>0.0</v>
      </c>
      <c r="O76" s="66">
        <v>0.0</v>
      </c>
      <c r="P76" s="66">
        <v>0.0</v>
      </c>
      <c r="Q76" s="66">
        <v>0.0</v>
      </c>
      <c r="R76" s="66">
        <v>1.0</v>
      </c>
      <c r="S76" s="66">
        <v>0.0</v>
      </c>
      <c r="T76" s="66">
        <v>0.0</v>
      </c>
      <c r="U76" s="66">
        <v>0.0</v>
      </c>
      <c r="V76" s="66">
        <v>0.0</v>
      </c>
      <c r="W76" s="66">
        <v>0.0</v>
      </c>
      <c r="X76" s="66">
        <v>0.0</v>
      </c>
      <c r="Y76" s="66">
        <v>0.0</v>
      </c>
      <c r="Z76" s="66">
        <v>0.0</v>
      </c>
      <c r="AA76" s="66">
        <v>1.0</v>
      </c>
      <c r="AB76" s="66">
        <v>1.0</v>
      </c>
      <c r="AC76" s="66">
        <v>0.0</v>
      </c>
      <c r="AD76" s="66">
        <v>0.0</v>
      </c>
      <c r="AE76" s="66">
        <v>0.0</v>
      </c>
      <c r="AF76" s="66">
        <v>1.0</v>
      </c>
      <c r="AG76" s="6">
        <f t="shared" si="20"/>
        <v>6</v>
      </c>
    </row>
    <row r="77" ht="12.75" customHeight="1">
      <c r="A77" s="18"/>
      <c r="B77" s="51"/>
      <c r="C77" s="52" t="s">
        <v>65</v>
      </c>
      <c r="D77" s="53"/>
      <c r="E77" s="66">
        <v>1.0</v>
      </c>
      <c r="F77" s="66">
        <v>0.0</v>
      </c>
      <c r="G77" s="66">
        <v>0.0</v>
      </c>
      <c r="H77" s="66">
        <v>0.0</v>
      </c>
      <c r="I77" s="66">
        <v>1.0</v>
      </c>
      <c r="J77" s="66">
        <v>0.0</v>
      </c>
      <c r="K77" s="66">
        <v>0.0</v>
      </c>
      <c r="L77" s="66">
        <v>0.0</v>
      </c>
      <c r="M77" s="66">
        <v>0.0</v>
      </c>
      <c r="N77" s="66">
        <v>0.0</v>
      </c>
      <c r="O77" s="66">
        <v>0.0</v>
      </c>
      <c r="P77" s="66">
        <v>0.0</v>
      </c>
      <c r="Q77" s="66">
        <v>0.0</v>
      </c>
      <c r="R77" s="66">
        <v>1.0</v>
      </c>
      <c r="S77" s="66">
        <v>2.0</v>
      </c>
      <c r="T77" s="66">
        <v>0.0</v>
      </c>
      <c r="U77" s="66">
        <v>0.0</v>
      </c>
      <c r="V77" s="66">
        <v>0.0</v>
      </c>
      <c r="W77" s="66">
        <v>0.0</v>
      </c>
      <c r="X77" s="66">
        <v>0.0</v>
      </c>
      <c r="Y77" s="66">
        <v>0.0</v>
      </c>
      <c r="Z77" s="66">
        <v>0.0</v>
      </c>
      <c r="AA77" s="66">
        <v>0.0</v>
      </c>
      <c r="AB77" s="66">
        <v>0.0</v>
      </c>
      <c r="AC77" s="66">
        <v>0.0</v>
      </c>
      <c r="AD77" s="66">
        <v>0.0</v>
      </c>
      <c r="AE77" s="66">
        <v>0.0</v>
      </c>
      <c r="AF77" s="66">
        <v>1.0</v>
      </c>
      <c r="AG77" s="6">
        <f t="shared" si="20"/>
        <v>6</v>
      </c>
    </row>
    <row r="78" ht="12.75" customHeight="1">
      <c r="A78" s="18"/>
      <c r="B78" s="51"/>
      <c r="C78" s="52" t="s">
        <v>66</v>
      </c>
      <c r="D78" s="53"/>
      <c r="E78" s="66">
        <v>0.0</v>
      </c>
      <c r="F78" s="66">
        <v>0.0</v>
      </c>
      <c r="G78" s="66">
        <v>0.0</v>
      </c>
      <c r="H78" s="66">
        <v>0.0</v>
      </c>
      <c r="I78" s="66">
        <v>0.0</v>
      </c>
      <c r="J78" s="66">
        <v>0.0</v>
      </c>
      <c r="K78" s="66">
        <v>0.0</v>
      </c>
      <c r="L78" s="66">
        <v>0.0</v>
      </c>
      <c r="M78" s="66">
        <v>0.0</v>
      </c>
      <c r="N78" s="66">
        <v>0.0</v>
      </c>
      <c r="O78" s="66">
        <v>0.0</v>
      </c>
      <c r="P78" s="66">
        <v>0.0</v>
      </c>
      <c r="Q78" s="66">
        <v>0.0</v>
      </c>
      <c r="R78" s="66">
        <v>0.0</v>
      </c>
      <c r="S78" s="66">
        <v>0.0</v>
      </c>
      <c r="T78" s="66">
        <v>0.0</v>
      </c>
      <c r="U78" s="66">
        <v>0.0</v>
      </c>
      <c r="V78" s="66">
        <v>0.0</v>
      </c>
      <c r="W78" s="66">
        <v>0.0</v>
      </c>
      <c r="X78" s="66">
        <v>0.0</v>
      </c>
      <c r="Y78" s="66">
        <v>0.0</v>
      </c>
      <c r="Z78" s="66">
        <v>0.0</v>
      </c>
      <c r="AA78" s="66">
        <v>0.0</v>
      </c>
      <c r="AB78" s="66">
        <v>0.0</v>
      </c>
      <c r="AC78" s="66">
        <v>0.0</v>
      </c>
      <c r="AD78" s="66">
        <v>0.0</v>
      </c>
      <c r="AE78" s="66">
        <v>0.0</v>
      </c>
      <c r="AF78" s="66">
        <v>0.0</v>
      </c>
      <c r="AG78" s="6">
        <f t="shared" si="20"/>
        <v>0</v>
      </c>
    </row>
    <row r="79" ht="12.75" customHeight="1">
      <c r="A79" s="13" t="s">
        <v>14</v>
      </c>
      <c r="B79" s="49" t="s">
        <v>45</v>
      </c>
      <c r="C79" s="8"/>
      <c r="D79" s="9"/>
      <c r="E79" s="54">
        <f t="shared" ref="E79:AF79" si="21">SUM(E72:E78)</f>
        <v>17</v>
      </c>
      <c r="F79" s="54">
        <f t="shared" si="21"/>
        <v>11</v>
      </c>
      <c r="G79" s="54">
        <f t="shared" si="21"/>
        <v>5</v>
      </c>
      <c r="H79" s="54">
        <f t="shared" si="21"/>
        <v>15</v>
      </c>
      <c r="I79" s="54">
        <f t="shared" si="21"/>
        <v>3</v>
      </c>
      <c r="J79" s="54">
        <f t="shared" si="21"/>
        <v>27</v>
      </c>
      <c r="K79" s="54">
        <f t="shared" si="21"/>
        <v>1</v>
      </c>
      <c r="L79" s="54">
        <f t="shared" si="21"/>
        <v>19</v>
      </c>
      <c r="M79" s="54">
        <f t="shared" si="21"/>
        <v>8</v>
      </c>
      <c r="N79" s="54">
        <f t="shared" si="21"/>
        <v>9</v>
      </c>
      <c r="O79" s="54">
        <f t="shared" si="21"/>
        <v>2</v>
      </c>
      <c r="P79" s="54">
        <f t="shared" si="21"/>
        <v>6</v>
      </c>
      <c r="Q79" s="54">
        <f t="shared" si="21"/>
        <v>3</v>
      </c>
      <c r="R79" s="54">
        <f t="shared" si="21"/>
        <v>8</v>
      </c>
      <c r="S79" s="54">
        <f t="shared" si="21"/>
        <v>3</v>
      </c>
      <c r="T79" s="54">
        <f t="shared" si="21"/>
        <v>5</v>
      </c>
      <c r="U79" s="54">
        <f t="shared" si="21"/>
        <v>3</v>
      </c>
      <c r="V79" s="54">
        <f t="shared" si="21"/>
        <v>17</v>
      </c>
      <c r="W79" s="54">
        <f t="shared" si="21"/>
        <v>6</v>
      </c>
      <c r="X79" s="54">
        <f t="shared" si="21"/>
        <v>7</v>
      </c>
      <c r="Y79" s="54">
        <f t="shared" si="21"/>
        <v>19</v>
      </c>
      <c r="Z79" s="54">
        <f t="shared" si="21"/>
        <v>1</v>
      </c>
      <c r="AA79" s="54">
        <f t="shared" si="21"/>
        <v>10</v>
      </c>
      <c r="AB79" s="54">
        <f t="shared" si="21"/>
        <v>4</v>
      </c>
      <c r="AC79" s="54">
        <f t="shared" si="21"/>
        <v>11</v>
      </c>
      <c r="AD79" s="54">
        <f t="shared" si="21"/>
        <v>21</v>
      </c>
      <c r="AE79" s="54">
        <f t="shared" si="21"/>
        <v>8</v>
      </c>
      <c r="AF79" s="54">
        <f t="shared" si="21"/>
        <v>45</v>
      </c>
      <c r="AG79" s="6">
        <f t="shared" si="20"/>
        <v>294</v>
      </c>
    </row>
    <row r="80" ht="12.75" customHeight="1">
      <c r="A80" s="55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6"/>
    </row>
    <row r="81" ht="12.75" customHeight="1">
      <c r="A81" s="32" t="s">
        <v>36</v>
      </c>
      <c r="B81" s="49" t="s">
        <v>67</v>
      </c>
      <c r="C81" s="50" t="s">
        <v>68</v>
      </c>
      <c r="D81" s="9"/>
      <c r="E81" s="66">
        <v>1.0</v>
      </c>
      <c r="F81" s="66">
        <v>1.0</v>
      </c>
      <c r="G81" s="66">
        <v>0.0</v>
      </c>
      <c r="H81" s="66">
        <v>0.0</v>
      </c>
      <c r="I81" s="66">
        <v>0.0</v>
      </c>
      <c r="J81" s="66">
        <v>0.0</v>
      </c>
      <c r="K81" s="66">
        <v>0.0</v>
      </c>
      <c r="L81" s="66">
        <v>0.0</v>
      </c>
      <c r="M81" s="66">
        <v>1.0</v>
      </c>
      <c r="N81" s="66">
        <v>0.0</v>
      </c>
      <c r="O81" s="66">
        <v>0.0</v>
      </c>
      <c r="P81" s="66">
        <v>0.0</v>
      </c>
      <c r="Q81" s="66">
        <v>0.0</v>
      </c>
      <c r="R81" s="66">
        <v>1.0</v>
      </c>
      <c r="S81" s="66">
        <v>0.0</v>
      </c>
      <c r="T81" s="66">
        <v>1.0</v>
      </c>
      <c r="U81" s="66">
        <v>0.0</v>
      </c>
      <c r="V81" s="66">
        <v>3.0</v>
      </c>
      <c r="W81" s="66">
        <v>0.0</v>
      </c>
      <c r="X81" s="66">
        <v>0.0</v>
      </c>
      <c r="Y81" s="66">
        <v>0.0</v>
      </c>
      <c r="Z81" s="66">
        <v>0.0</v>
      </c>
      <c r="AA81" s="66">
        <v>1.0</v>
      </c>
      <c r="AB81" s="66">
        <v>2.0</v>
      </c>
      <c r="AC81" s="66">
        <v>0.0</v>
      </c>
      <c r="AD81" s="66">
        <v>0.0</v>
      </c>
      <c r="AE81" s="66">
        <v>0.0</v>
      </c>
      <c r="AF81" s="66">
        <v>0.0</v>
      </c>
      <c r="AG81" s="6">
        <f t="shared" ref="AG81:AG88" si="22">SUM(E81:AF81)</f>
        <v>11</v>
      </c>
    </row>
    <row r="82" ht="12.75" customHeight="1">
      <c r="A82" s="32" t="s">
        <v>38</v>
      </c>
      <c r="B82" s="51"/>
      <c r="C82" s="52" t="s">
        <v>69</v>
      </c>
      <c r="D82" s="53"/>
      <c r="E82" s="66">
        <v>0.0</v>
      </c>
      <c r="F82" s="66">
        <v>0.0</v>
      </c>
      <c r="G82" s="66">
        <v>1.0</v>
      </c>
      <c r="H82" s="66">
        <v>0.0</v>
      </c>
      <c r="I82" s="66">
        <v>0.0</v>
      </c>
      <c r="J82" s="66">
        <v>0.0</v>
      </c>
      <c r="K82" s="66">
        <v>0.0</v>
      </c>
      <c r="L82" s="66">
        <v>0.0</v>
      </c>
      <c r="M82" s="66">
        <v>0.0</v>
      </c>
      <c r="N82" s="66">
        <v>0.0</v>
      </c>
      <c r="O82" s="66">
        <v>0.0</v>
      </c>
      <c r="P82" s="66">
        <v>0.0</v>
      </c>
      <c r="Q82" s="66">
        <v>0.0</v>
      </c>
      <c r="R82" s="66">
        <v>1.0</v>
      </c>
      <c r="S82" s="66">
        <v>0.0</v>
      </c>
      <c r="T82" s="66">
        <v>0.0</v>
      </c>
      <c r="U82" s="66">
        <v>3.0</v>
      </c>
      <c r="V82" s="66">
        <v>2.0</v>
      </c>
      <c r="W82" s="66">
        <v>1.0</v>
      </c>
      <c r="X82" s="66">
        <v>0.0</v>
      </c>
      <c r="Y82" s="66">
        <v>1.0</v>
      </c>
      <c r="Z82" s="66">
        <v>0.0</v>
      </c>
      <c r="AA82" s="66">
        <v>1.0</v>
      </c>
      <c r="AB82" s="66">
        <v>0.0</v>
      </c>
      <c r="AC82" s="66">
        <v>1.0</v>
      </c>
      <c r="AD82" s="66">
        <v>1.0</v>
      </c>
      <c r="AE82" s="66">
        <v>0.0</v>
      </c>
      <c r="AF82" s="66">
        <v>0.0</v>
      </c>
      <c r="AG82" s="6">
        <f t="shared" si="22"/>
        <v>12</v>
      </c>
    </row>
    <row r="83" ht="12.75" customHeight="1">
      <c r="A83" s="18"/>
      <c r="B83" s="51"/>
      <c r="C83" s="52" t="s">
        <v>70</v>
      </c>
      <c r="D83" s="53"/>
      <c r="E83" s="66">
        <v>0.0</v>
      </c>
      <c r="F83" s="66">
        <v>1.0</v>
      </c>
      <c r="G83" s="66">
        <v>0.0</v>
      </c>
      <c r="H83" s="66">
        <v>0.0</v>
      </c>
      <c r="I83" s="66">
        <v>0.0</v>
      </c>
      <c r="J83" s="66">
        <v>0.0</v>
      </c>
      <c r="K83" s="66">
        <v>0.0</v>
      </c>
      <c r="L83" s="66">
        <v>0.0</v>
      </c>
      <c r="M83" s="66">
        <v>0.0</v>
      </c>
      <c r="N83" s="66">
        <v>0.0</v>
      </c>
      <c r="O83" s="66">
        <v>0.0</v>
      </c>
      <c r="P83" s="66">
        <v>0.0</v>
      </c>
      <c r="Q83" s="66">
        <v>0.0</v>
      </c>
      <c r="R83" s="66">
        <v>0.0</v>
      </c>
      <c r="S83" s="66">
        <v>0.0</v>
      </c>
      <c r="T83" s="66">
        <v>2.0</v>
      </c>
      <c r="U83" s="66">
        <v>1.0</v>
      </c>
      <c r="V83" s="66">
        <v>0.0</v>
      </c>
      <c r="W83" s="66">
        <v>0.0</v>
      </c>
      <c r="X83" s="66">
        <v>0.0</v>
      </c>
      <c r="Y83" s="66">
        <v>0.0</v>
      </c>
      <c r="Z83" s="66">
        <v>0.0</v>
      </c>
      <c r="AA83" s="66">
        <v>1.0</v>
      </c>
      <c r="AB83" s="66">
        <v>4.0</v>
      </c>
      <c r="AC83" s="66">
        <v>7.0</v>
      </c>
      <c r="AD83" s="66">
        <v>0.0</v>
      </c>
      <c r="AE83" s="66">
        <v>0.0</v>
      </c>
      <c r="AF83" s="66">
        <v>0.0</v>
      </c>
      <c r="AG83" s="6">
        <f t="shared" si="22"/>
        <v>16</v>
      </c>
    </row>
    <row r="84" ht="12.75" customHeight="1">
      <c r="A84" s="18"/>
      <c r="B84" s="51"/>
      <c r="C84" s="52" t="s">
        <v>71</v>
      </c>
      <c r="D84" s="53"/>
      <c r="E84" s="66">
        <v>0.0</v>
      </c>
      <c r="F84" s="66">
        <v>0.0</v>
      </c>
      <c r="G84" s="66">
        <v>1.0</v>
      </c>
      <c r="H84" s="66">
        <v>0.0</v>
      </c>
      <c r="I84" s="66">
        <v>0.0</v>
      </c>
      <c r="J84" s="66">
        <v>0.0</v>
      </c>
      <c r="K84" s="66">
        <v>0.0</v>
      </c>
      <c r="L84" s="66">
        <v>0.0</v>
      </c>
      <c r="M84" s="66">
        <v>0.0</v>
      </c>
      <c r="N84" s="66">
        <v>0.0</v>
      </c>
      <c r="O84" s="66">
        <v>0.0</v>
      </c>
      <c r="P84" s="66">
        <v>0.0</v>
      </c>
      <c r="Q84" s="66">
        <v>0.0</v>
      </c>
      <c r="R84" s="66">
        <v>0.0</v>
      </c>
      <c r="S84" s="66">
        <v>0.0</v>
      </c>
      <c r="T84" s="66">
        <v>0.0</v>
      </c>
      <c r="U84" s="66">
        <v>0.0</v>
      </c>
      <c r="V84" s="66">
        <v>0.0</v>
      </c>
      <c r="W84" s="66">
        <v>0.0</v>
      </c>
      <c r="X84" s="66">
        <v>0.0</v>
      </c>
      <c r="Y84" s="66">
        <v>0.0</v>
      </c>
      <c r="Z84" s="66">
        <v>0.0</v>
      </c>
      <c r="AA84" s="66">
        <v>1.0</v>
      </c>
      <c r="AB84" s="66">
        <v>0.0</v>
      </c>
      <c r="AC84" s="66">
        <v>0.0</v>
      </c>
      <c r="AD84" s="66">
        <v>0.0</v>
      </c>
      <c r="AE84" s="66">
        <v>0.0</v>
      </c>
      <c r="AF84" s="66">
        <v>0.0</v>
      </c>
      <c r="AG84" s="6">
        <f t="shared" si="22"/>
        <v>2</v>
      </c>
    </row>
    <row r="85" ht="12.75" customHeight="1">
      <c r="A85" s="18"/>
      <c r="B85" s="51"/>
      <c r="C85" s="52" t="s">
        <v>72</v>
      </c>
      <c r="D85" s="53"/>
      <c r="E85" s="66">
        <v>0.0</v>
      </c>
      <c r="F85" s="66">
        <v>0.0</v>
      </c>
      <c r="G85" s="66">
        <v>1.0</v>
      </c>
      <c r="H85" s="66">
        <v>0.0</v>
      </c>
      <c r="I85" s="66">
        <v>0.0</v>
      </c>
      <c r="J85" s="66">
        <v>0.0</v>
      </c>
      <c r="K85" s="66">
        <v>0.0</v>
      </c>
      <c r="L85" s="66">
        <v>0.0</v>
      </c>
      <c r="M85" s="66">
        <v>0.0</v>
      </c>
      <c r="N85" s="66">
        <v>0.0</v>
      </c>
      <c r="O85" s="66">
        <v>0.0</v>
      </c>
      <c r="P85" s="66">
        <v>0.0</v>
      </c>
      <c r="Q85" s="66">
        <v>0.0</v>
      </c>
      <c r="R85" s="66">
        <v>0.0</v>
      </c>
      <c r="S85" s="66">
        <v>0.0</v>
      </c>
      <c r="T85" s="66">
        <v>0.0</v>
      </c>
      <c r="U85" s="66">
        <v>3.0</v>
      </c>
      <c r="V85" s="66">
        <v>4.0</v>
      </c>
      <c r="W85" s="66">
        <v>0.0</v>
      </c>
      <c r="X85" s="66">
        <v>2.0</v>
      </c>
      <c r="Y85" s="66">
        <v>0.0</v>
      </c>
      <c r="Z85" s="66">
        <v>0.0</v>
      </c>
      <c r="AA85" s="66">
        <v>1.0</v>
      </c>
      <c r="AB85" s="66">
        <v>1.0</v>
      </c>
      <c r="AC85" s="66">
        <v>0.0</v>
      </c>
      <c r="AD85" s="66">
        <v>1.0</v>
      </c>
      <c r="AE85" s="66">
        <v>0.0</v>
      </c>
      <c r="AF85" s="66">
        <v>0.0</v>
      </c>
      <c r="AG85" s="6">
        <f t="shared" si="22"/>
        <v>13</v>
      </c>
    </row>
    <row r="86" ht="12.75" customHeight="1">
      <c r="A86" s="18"/>
      <c r="B86" s="51"/>
      <c r="C86" s="52" t="s">
        <v>73</v>
      </c>
      <c r="D86" s="53"/>
      <c r="E86" s="66">
        <v>0.0</v>
      </c>
      <c r="F86" s="66">
        <v>0.0</v>
      </c>
      <c r="G86" s="66">
        <v>0.0</v>
      </c>
      <c r="H86" s="66">
        <v>0.0</v>
      </c>
      <c r="I86" s="66">
        <v>0.0</v>
      </c>
      <c r="J86" s="66">
        <v>0.0</v>
      </c>
      <c r="K86" s="66">
        <v>0.0</v>
      </c>
      <c r="L86" s="66">
        <v>0.0</v>
      </c>
      <c r="M86" s="66">
        <v>0.0</v>
      </c>
      <c r="N86" s="66">
        <v>0.0</v>
      </c>
      <c r="O86" s="66">
        <v>0.0</v>
      </c>
      <c r="P86" s="66">
        <v>0.0</v>
      </c>
      <c r="Q86" s="66">
        <v>0.0</v>
      </c>
      <c r="R86" s="66">
        <v>0.0</v>
      </c>
      <c r="S86" s="66">
        <v>0.0</v>
      </c>
      <c r="T86" s="66">
        <v>0.0</v>
      </c>
      <c r="U86" s="66">
        <v>0.0</v>
      </c>
      <c r="V86" s="66">
        <v>0.0</v>
      </c>
      <c r="W86" s="66">
        <v>0.0</v>
      </c>
      <c r="X86" s="66">
        <v>0.0</v>
      </c>
      <c r="Y86" s="66">
        <v>0.0</v>
      </c>
      <c r="Z86" s="66">
        <v>0.0</v>
      </c>
      <c r="AA86" s="66">
        <v>0.0</v>
      </c>
      <c r="AB86" s="66">
        <v>0.0</v>
      </c>
      <c r="AC86" s="66">
        <v>0.0</v>
      </c>
      <c r="AD86" s="66">
        <v>0.0</v>
      </c>
      <c r="AE86" s="66">
        <v>0.0</v>
      </c>
      <c r="AF86" s="66">
        <v>0.0</v>
      </c>
      <c r="AG86" s="6">
        <f t="shared" si="22"/>
        <v>0</v>
      </c>
    </row>
    <row r="87" ht="12.75" customHeight="1">
      <c r="A87" s="18"/>
      <c r="B87" s="51"/>
      <c r="C87" s="52" t="s">
        <v>74</v>
      </c>
      <c r="D87" s="53"/>
      <c r="E87" s="66">
        <v>0.0</v>
      </c>
      <c r="F87" s="66">
        <v>0.0</v>
      </c>
      <c r="G87" s="66">
        <v>0.0</v>
      </c>
      <c r="H87" s="66">
        <v>0.0</v>
      </c>
      <c r="I87" s="66">
        <v>0.0</v>
      </c>
      <c r="J87" s="66">
        <v>0.0</v>
      </c>
      <c r="K87" s="66">
        <v>0.0</v>
      </c>
      <c r="L87" s="66">
        <v>0.0</v>
      </c>
      <c r="M87" s="66">
        <v>0.0</v>
      </c>
      <c r="N87" s="66">
        <v>0.0</v>
      </c>
      <c r="O87" s="66">
        <v>0.0</v>
      </c>
      <c r="P87" s="66">
        <v>0.0</v>
      </c>
      <c r="Q87" s="66">
        <v>0.0</v>
      </c>
      <c r="R87" s="66">
        <v>0.0</v>
      </c>
      <c r="S87" s="66">
        <v>0.0</v>
      </c>
      <c r="T87" s="66">
        <v>1.0</v>
      </c>
      <c r="U87" s="66">
        <v>0.0</v>
      </c>
      <c r="V87" s="66">
        <v>0.0</v>
      </c>
      <c r="W87" s="66">
        <v>0.0</v>
      </c>
      <c r="X87" s="66">
        <v>0.0</v>
      </c>
      <c r="Y87" s="66">
        <v>0.0</v>
      </c>
      <c r="Z87" s="66">
        <v>0.0</v>
      </c>
      <c r="AA87" s="66">
        <v>0.0</v>
      </c>
      <c r="AB87" s="66">
        <v>0.0</v>
      </c>
      <c r="AC87" s="66">
        <v>1.0</v>
      </c>
      <c r="AD87" s="66">
        <v>0.0</v>
      </c>
      <c r="AE87" s="66">
        <v>0.0</v>
      </c>
      <c r="AF87" s="66">
        <v>0.0</v>
      </c>
      <c r="AG87" s="6">
        <f t="shared" si="22"/>
        <v>2</v>
      </c>
    </row>
    <row r="88" ht="12.75" customHeight="1">
      <c r="A88" s="13" t="s">
        <v>14</v>
      </c>
      <c r="B88" s="49" t="s">
        <v>45</v>
      </c>
      <c r="C88" s="8"/>
      <c r="D88" s="9"/>
      <c r="E88" s="54">
        <f t="shared" ref="E88:AF88" si="23">SUM(E81:E87)</f>
        <v>1</v>
      </c>
      <c r="F88" s="54">
        <f t="shared" si="23"/>
        <v>2</v>
      </c>
      <c r="G88" s="54">
        <f t="shared" si="23"/>
        <v>3</v>
      </c>
      <c r="H88" s="54">
        <f t="shared" si="23"/>
        <v>0</v>
      </c>
      <c r="I88" s="54">
        <f t="shared" si="23"/>
        <v>0</v>
      </c>
      <c r="J88" s="54">
        <f t="shared" si="23"/>
        <v>0</v>
      </c>
      <c r="K88" s="54">
        <f t="shared" si="23"/>
        <v>0</v>
      </c>
      <c r="L88" s="54">
        <f t="shared" si="23"/>
        <v>0</v>
      </c>
      <c r="M88" s="54">
        <f t="shared" si="23"/>
        <v>1</v>
      </c>
      <c r="N88" s="54">
        <f t="shared" si="23"/>
        <v>0</v>
      </c>
      <c r="O88" s="54">
        <f t="shared" si="23"/>
        <v>0</v>
      </c>
      <c r="P88" s="54">
        <f t="shared" si="23"/>
        <v>0</v>
      </c>
      <c r="Q88" s="54">
        <f t="shared" si="23"/>
        <v>0</v>
      </c>
      <c r="R88" s="54">
        <f t="shared" si="23"/>
        <v>2</v>
      </c>
      <c r="S88" s="54">
        <f t="shared" si="23"/>
        <v>0</v>
      </c>
      <c r="T88" s="54">
        <f t="shared" si="23"/>
        <v>4</v>
      </c>
      <c r="U88" s="54">
        <f t="shared" si="23"/>
        <v>7</v>
      </c>
      <c r="V88" s="54">
        <f t="shared" si="23"/>
        <v>9</v>
      </c>
      <c r="W88" s="54">
        <f t="shared" si="23"/>
        <v>1</v>
      </c>
      <c r="X88" s="54">
        <f t="shared" si="23"/>
        <v>2</v>
      </c>
      <c r="Y88" s="54">
        <f t="shared" si="23"/>
        <v>1</v>
      </c>
      <c r="Z88" s="54">
        <f t="shared" si="23"/>
        <v>0</v>
      </c>
      <c r="AA88" s="54">
        <f t="shared" si="23"/>
        <v>5</v>
      </c>
      <c r="AB88" s="54">
        <f t="shared" si="23"/>
        <v>7</v>
      </c>
      <c r="AC88" s="54">
        <f t="shared" si="23"/>
        <v>9</v>
      </c>
      <c r="AD88" s="54">
        <f t="shared" si="23"/>
        <v>2</v>
      </c>
      <c r="AE88" s="54">
        <f t="shared" si="23"/>
        <v>0</v>
      </c>
      <c r="AF88" s="54">
        <f t="shared" si="23"/>
        <v>0</v>
      </c>
      <c r="AG88" s="6">
        <f t="shared" si="22"/>
        <v>56</v>
      </c>
    </row>
    <row r="89" ht="12.75" customHeight="1">
      <c r="A89" s="55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6"/>
    </row>
    <row r="90" ht="12.75" customHeight="1">
      <c r="A90" s="32" t="s">
        <v>36</v>
      </c>
      <c r="B90" s="49" t="s">
        <v>75</v>
      </c>
      <c r="C90" s="50" t="s">
        <v>76</v>
      </c>
      <c r="D90" s="9"/>
      <c r="E90" s="66">
        <v>0.0</v>
      </c>
      <c r="F90" s="66">
        <v>0.0</v>
      </c>
      <c r="G90" s="66">
        <v>1.0</v>
      </c>
      <c r="H90" s="66">
        <v>0.0</v>
      </c>
      <c r="I90" s="66">
        <v>0.0</v>
      </c>
      <c r="J90" s="66">
        <v>3.0</v>
      </c>
      <c r="K90" s="66">
        <v>11.0</v>
      </c>
      <c r="L90" s="66">
        <v>0.0</v>
      </c>
      <c r="M90" s="66">
        <v>0.0</v>
      </c>
      <c r="N90" s="66">
        <v>2.0</v>
      </c>
      <c r="O90" s="66">
        <v>5.0</v>
      </c>
      <c r="P90" s="66">
        <v>3.0</v>
      </c>
      <c r="Q90" s="66">
        <v>0.0</v>
      </c>
      <c r="R90" s="66">
        <v>0.0</v>
      </c>
      <c r="S90" s="66">
        <v>0.0</v>
      </c>
      <c r="T90" s="66">
        <v>0.0</v>
      </c>
      <c r="U90" s="66">
        <v>1.0</v>
      </c>
      <c r="V90" s="66">
        <v>2.0</v>
      </c>
      <c r="W90" s="66">
        <v>0.0</v>
      </c>
      <c r="X90" s="66">
        <v>1.0</v>
      </c>
      <c r="Y90" s="66">
        <v>0.0</v>
      </c>
      <c r="Z90" s="66">
        <v>0.0</v>
      </c>
      <c r="AA90" s="66">
        <v>0.0</v>
      </c>
      <c r="AB90" s="66">
        <v>1.0</v>
      </c>
      <c r="AC90" s="66">
        <v>2.0</v>
      </c>
      <c r="AD90" s="66">
        <v>3.0</v>
      </c>
      <c r="AE90" s="66">
        <v>0.0</v>
      </c>
      <c r="AF90" s="66">
        <v>3.0</v>
      </c>
      <c r="AG90" s="6">
        <f t="shared" ref="AG90:AG92" si="24">SUM(E90:AF90)</f>
        <v>38</v>
      </c>
    </row>
    <row r="91" ht="12.75" customHeight="1">
      <c r="A91" s="32" t="s">
        <v>38</v>
      </c>
      <c r="B91" s="51"/>
      <c r="C91" s="52"/>
      <c r="D91" s="9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6">
        <f t="shared" si="24"/>
        <v>0</v>
      </c>
    </row>
    <row r="92" ht="12.75" customHeight="1">
      <c r="A92" s="13" t="s">
        <v>14</v>
      </c>
      <c r="B92" s="49" t="s">
        <v>45</v>
      </c>
      <c r="C92" s="8"/>
      <c r="D92" s="9"/>
      <c r="E92" s="54">
        <f t="shared" ref="E92:AF92" si="25">SUM(E90:E91)</f>
        <v>0</v>
      </c>
      <c r="F92" s="54">
        <f t="shared" si="25"/>
        <v>0</v>
      </c>
      <c r="G92" s="54">
        <f t="shared" si="25"/>
        <v>1</v>
      </c>
      <c r="H92" s="54">
        <f t="shared" si="25"/>
        <v>0</v>
      </c>
      <c r="I92" s="54">
        <f t="shared" si="25"/>
        <v>0</v>
      </c>
      <c r="J92" s="54">
        <f t="shared" si="25"/>
        <v>3</v>
      </c>
      <c r="K92" s="54">
        <f t="shared" si="25"/>
        <v>11</v>
      </c>
      <c r="L92" s="54">
        <f t="shared" si="25"/>
        <v>0</v>
      </c>
      <c r="M92" s="54">
        <f t="shared" si="25"/>
        <v>0</v>
      </c>
      <c r="N92" s="54">
        <f t="shared" si="25"/>
        <v>2</v>
      </c>
      <c r="O92" s="54">
        <f t="shared" si="25"/>
        <v>5</v>
      </c>
      <c r="P92" s="54">
        <f t="shared" si="25"/>
        <v>3</v>
      </c>
      <c r="Q92" s="54">
        <f t="shared" si="25"/>
        <v>0</v>
      </c>
      <c r="R92" s="54">
        <f t="shared" si="25"/>
        <v>0</v>
      </c>
      <c r="S92" s="54">
        <f t="shared" si="25"/>
        <v>0</v>
      </c>
      <c r="T92" s="54">
        <f t="shared" si="25"/>
        <v>0</v>
      </c>
      <c r="U92" s="54">
        <f t="shared" si="25"/>
        <v>1</v>
      </c>
      <c r="V92" s="54">
        <f t="shared" si="25"/>
        <v>2</v>
      </c>
      <c r="W92" s="54">
        <f t="shared" si="25"/>
        <v>0</v>
      </c>
      <c r="X92" s="54">
        <f t="shared" si="25"/>
        <v>1</v>
      </c>
      <c r="Y92" s="54">
        <f t="shared" si="25"/>
        <v>0</v>
      </c>
      <c r="Z92" s="54">
        <f t="shared" si="25"/>
        <v>0</v>
      </c>
      <c r="AA92" s="54">
        <f t="shared" si="25"/>
        <v>0</v>
      </c>
      <c r="AB92" s="54">
        <f t="shared" si="25"/>
        <v>1</v>
      </c>
      <c r="AC92" s="54">
        <f t="shared" si="25"/>
        <v>2</v>
      </c>
      <c r="AD92" s="54">
        <f t="shared" si="25"/>
        <v>3</v>
      </c>
      <c r="AE92" s="54">
        <f t="shared" si="25"/>
        <v>0</v>
      </c>
      <c r="AF92" s="54">
        <f t="shared" si="25"/>
        <v>3</v>
      </c>
      <c r="AG92" s="6">
        <f t="shared" si="24"/>
        <v>38</v>
      </c>
    </row>
    <row r="93" ht="12.75" customHeight="1">
      <c r="A93" s="55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6"/>
    </row>
    <row r="94" ht="12.75" customHeight="1">
      <c r="A94" s="32" t="s">
        <v>36</v>
      </c>
      <c r="B94" s="49" t="s">
        <v>77</v>
      </c>
      <c r="C94" s="50" t="s">
        <v>78</v>
      </c>
      <c r="D94" s="9"/>
      <c r="E94" s="66">
        <v>0.0</v>
      </c>
      <c r="F94" s="66">
        <v>1.0</v>
      </c>
      <c r="G94" s="66">
        <v>0.0</v>
      </c>
      <c r="H94" s="66">
        <v>0.0</v>
      </c>
      <c r="I94" s="66">
        <v>0.0</v>
      </c>
      <c r="J94" s="66">
        <v>0.0</v>
      </c>
      <c r="K94" s="66">
        <v>2.0</v>
      </c>
      <c r="L94" s="66">
        <v>0.0</v>
      </c>
      <c r="M94" s="66">
        <v>1.0</v>
      </c>
      <c r="N94" s="66">
        <v>1.0</v>
      </c>
      <c r="O94" s="66">
        <v>2.0</v>
      </c>
      <c r="P94" s="66">
        <v>0.0</v>
      </c>
      <c r="Q94" s="66">
        <v>0.0</v>
      </c>
      <c r="R94" s="66">
        <v>1.0</v>
      </c>
      <c r="S94" s="66">
        <v>0.0</v>
      </c>
      <c r="T94" s="66">
        <v>0.0</v>
      </c>
      <c r="U94" s="66">
        <v>0.0</v>
      </c>
      <c r="V94" s="66">
        <v>0.0</v>
      </c>
      <c r="W94" s="66">
        <v>0.0</v>
      </c>
      <c r="X94" s="66">
        <v>0.0</v>
      </c>
      <c r="Y94" s="66">
        <v>0.0</v>
      </c>
      <c r="Z94" s="66">
        <v>0.0</v>
      </c>
      <c r="AA94" s="66">
        <v>0.0</v>
      </c>
      <c r="AB94" s="66">
        <v>0.0</v>
      </c>
      <c r="AC94" s="66">
        <v>0.0</v>
      </c>
      <c r="AD94" s="66">
        <v>1.0</v>
      </c>
      <c r="AE94" s="66">
        <v>0.0</v>
      </c>
      <c r="AF94" s="66">
        <v>1.0</v>
      </c>
      <c r="AG94" s="6">
        <f t="shared" ref="AG94:AG98" si="26">SUM(E94:AF94)</f>
        <v>10</v>
      </c>
    </row>
    <row r="95" ht="12.75" customHeight="1">
      <c r="A95" s="32" t="s">
        <v>38</v>
      </c>
      <c r="B95" s="51"/>
      <c r="C95" s="52" t="s">
        <v>79</v>
      </c>
      <c r="D95" s="53"/>
      <c r="E95" s="66">
        <v>0.0</v>
      </c>
      <c r="F95" s="66">
        <v>0.0</v>
      </c>
      <c r="G95" s="66">
        <v>0.0</v>
      </c>
      <c r="H95" s="66">
        <v>0.0</v>
      </c>
      <c r="I95" s="66">
        <v>0.0</v>
      </c>
      <c r="J95" s="66">
        <v>0.0</v>
      </c>
      <c r="K95" s="66">
        <v>0.0</v>
      </c>
      <c r="L95" s="66">
        <v>0.0</v>
      </c>
      <c r="M95" s="66">
        <v>0.0</v>
      </c>
      <c r="N95" s="66">
        <v>0.0</v>
      </c>
      <c r="O95" s="66">
        <v>0.0</v>
      </c>
      <c r="P95" s="66">
        <v>0.0</v>
      </c>
      <c r="Q95" s="66">
        <v>0.0</v>
      </c>
      <c r="R95" s="66">
        <v>0.0</v>
      </c>
      <c r="S95" s="66">
        <v>0.0</v>
      </c>
      <c r="T95" s="66">
        <v>0.0</v>
      </c>
      <c r="U95" s="66">
        <v>0.0</v>
      </c>
      <c r="V95" s="66">
        <v>0.0</v>
      </c>
      <c r="W95" s="66">
        <v>0.0</v>
      </c>
      <c r="X95" s="66">
        <v>0.0</v>
      </c>
      <c r="Y95" s="66">
        <v>0.0</v>
      </c>
      <c r="Z95" s="66">
        <v>0.0</v>
      </c>
      <c r="AA95" s="66">
        <v>0.0</v>
      </c>
      <c r="AB95" s="66">
        <v>0.0</v>
      </c>
      <c r="AC95" s="66">
        <v>0.0</v>
      </c>
      <c r="AD95" s="66">
        <v>0.0</v>
      </c>
      <c r="AE95" s="66">
        <v>1.0</v>
      </c>
      <c r="AF95" s="66">
        <v>0.0</v>
      </c>
      <c r="AG95" s="6">
        <f t="shared" si="26"/>
        <v>1</v>
      </c>
    </row>
    <row r="96" ht="12.75" customHeight="1">
      <c r="A96" s="32"/>
      <c r="B96" s="51"/>
      <c r="C96" s="52" t="s">
        <v>80</v>
      </c>
      <c r="D96" s="53"/>
      <c r="E96" s="66">
        <v>1.0</v>
      </c>
      <c r="F96" s="66">
        <v>0.0</v>
      </c>
      <c r="G96" s="66">
        <v>0.0</v>
      </c>
      <c r="H96" s="66">
        <v>0.0</v>
      </c>
      <c r="I96" s="66">
        <v>0.0</v>
      </c>
      <c r="J96" s="66">
        <v>0.0</v>
      </c>
      <c r="K96" s="66">
        <v>0.0</v>
      </c>
      <c r="L96" s="66">
        <v>0.0</v>
      </c>
      <c r="M96" s="66">
        <v>0.0</v>
      </c>
      <c r="N96" s="66">
        <v>0.0</v>
      </c>
      <c r="O96" s="66">
        <v>0.0</v>
      </c>
      <c r="P96" s="66">
        <v>0.0</v>
      </c>
      <c r="Q96" s="66">
        <v>0.0</v>
      </c>
      <c r="R96" s="66">
        <v>0.0</v>
      </c>
      <c r="S96" s="66">
        <v>0.0</v>
      </c>
      <c r="T96" s="66">
        <v>0.0</v>
      </c>
      <c r="U96" s="66">
        <v>0.0</v>
      </c>
      <c r="V96" s="66">
        <v>0.0</v>
      </c>
      <c r="W96" s="66">
        <v>0.0</v>
      </c>
      <c r="X96" s="66">
        <v>0.0</v>
      </c>
      <c r="Y96" s="66">
        <v>0.0</v>
      </c>
      <c r="Z96" s="66">
        <v>1.0</v>
      </c>
      <c r="AA96" s="66">
        <v>0.0</v>
      </c>
      <c r="AB96" s="66">
        <v>0.0</v>
      </c>
      <c r="AC96" s="66">
        <v>0.0</v>
      </c>
      <c r="AD96" s="66">
        <v>0.0</v>
      </c>
      <c r="AE96" s="66">
        <v>0.0</v>
      </c>
      <c r="AF96" s="66">
        <v>0.0</v>
      </c>
      <c r="AG96" s="6">
        <f t="shared" si="26"/>
        <v>2</v>
      </c>
    </row>
    <row r="97" ht="12.75" customHeight="1">
      <c r="A97" s="32"/>
      <c r="B97" s="51"/>
      <c r="C97" s="52" t="s">
        <v>81</v>
      </c>
      <c r="D97" s="53"/>
      <c r="E97" s="66">
        <v>0.0</v>
      </c>
      <c r="F97" s="66">
        <v>0.0</v>
      </c>
      <c r="G97" s="66">
        <v>0.0</v>
      </c>
      <c r="H97" s="66">
        <v>0.0</v>
      </c>
      <c r="I97" s="66">
        <v>0.0</v>
      </c>
      <c r="J97" s="66">
        <v>0.0</v>
      </c>
      <c r="K97" s="66">
        <v>1.0</v>
      </c>
      <c r="L97" s="66">
        <v>0.0</v>
      </c>
      <c r="M97" s="66">
        <v>0.0</v>
      </c>
      <c r="N97" s="66">
        <v>0.0</v>
      </c>
      <c r="O97" s="66">
        <v>0.0</v>
      </c>
      <c r="P97" s="66">
        <v>0.0</v>
      </c>
      <c r="Q97" s="66">
        <v>0.0</v>
      </c>
      <c r="R97" s="66">
        <v>0.0</v>
      </c>
      <c r="S97" s="66">
        <v>0.0</v>
      </c>
      <c r="T97" s="66">
        <v>0.0</v>
      </c>
      <c r="U97" s="66">
        <v>0.0</v>
      </c>
      <c r="V97" s="66">
        <v>0.0</v>
      </c>
      <c r="W97" s="66">
        <v>0.0</v>
      </c>
      <c r="X97" s="66">
        <v>0.0</v>
      </c>
      <c r="Y97" s="66">
        <v>0.0</v>
      </c>
      <c r="Z97" s="66">
        <v>0.0</v>
      </c>
      <c r="AA97" s="66">
        <v>0.0</v>
      </c>
      <c r="AB97" s="66">
        <v>0.0</v>
      </c>
      <c r="AC97" s="66">
        <v>0.0</v>
      </c>
      <c r="AD97" s="66">
        <v>1.0</v>
      </c>
      <c r="AE97" s="66">
        <v>0.0</v>
      </c>
      <c r="AF97" s="66">
        <v>0.0</v>
      </c>
      <c r="AG97" s="6">
        <f t="shared" si="26"/>
        <v>2</v>
      </c>
    </row>
    <row r="98" ht="12.75" customHeight="1">
      <c r="A98" s="13" t="s">
        <v>14</v>
      </c>
      <c r="B98" s="49" t="s">
        <v>45</v>
      </c>
      <c r="C98" s="8"/>
      <c r="D98" s="9"/>
      <c r="E98" s="54">
        <f t="shared" ref="E98:AF98" si="27">SUM(E94:E97)</f>
        <v>1</v>
      </c>
      <c r="F98" s="54">
        <f t="shared" si="27"/>
        <v>1</v>
      </c>
      <c r="G98" s="54">
        <f t="shared" si="27"/>
        <v>0</v>
      </c>
      <c r="H98" s="54">
        <f t="shared" si="27"/>
        <v>0</v>
      </c>
      <c r="I98" s="54">
        <f t="shared" si="27"/>
        <v>0</v>
      </c>
      <c r="J98" s="54">
        <f t="shared" si="27"/>
        <v>0</v>
      </c>
      <c r="K98" s="54">
        <f t="shared" si="27"/>
        <v>3</v>
      </c>
      <c r="L98" s="54">
        <f t="shared" si="27"/>
        <v>0</v>
      </c>
      <c r="M98" s="54">
        <f t="shared" si="27"/>
        <v>1</v>
      </c>
      <c r="N98" s="54">
        <f t="shared" si="27"/>
        <v>1</v>
      </c>
      <c r="O98" s="54">
        <f t="shared" si="27"/>
        <v>2</v>
      </c>
      <c r="P98" s="54">
        <f t="shared" si="27"/>
        <v>0</v>
      </c>
      <c r="Q98" s="54">
        <f t="shared" si="27"/>
        <v>0</v>
      </c>
      <c r="R98" s="54">
        <f t="shared" si="27"/>
        <v>1</v>
      </c>
      <c r="S98" s="54">
        <f t="shared" si="27"/>
        <v>0</v>
      </c>
      <c r="T98" s="54">
        <f t="shared" si="27"/>
        <v>0</v>
      </c>
      <c r="U98" s="54">
        <f t="shared" si="27"/>
        <v>0</v>
      </c>
      <c r="V98" s="54">
        <f t="shared" si="27"/>
        <v>0</v>
      </c>
      <c r="W98" s="54">
        <f t="shared" si="27"/>
        <v>0</v>
      </c>
      <c r="X98" s="54">
        <f t="shared" si="27"/>
        <v>0</v>
      </c>
      <c r="Y98" s="54">
        <f t="shared" si="27"/>
        <v>0</v>
      </c>
      <c r="Z98" s="54">
        <f t="shared" si="27"/>
        <v>1</v>
      </c>
      <c r="AA98" s="54">
        <f t="shared" si="27"/>
        <v>0</v>
      </c>
      <c r="AB98" s="54">
        <f t="shared" si="27"/>
        <v>0</v>
      </c>
      <c r="AC98" s="54">
        <f t="shared" si="27"/>
        <v>0</v>
      </c>
      <c r="AD98" s="54">
        <f t="shared" si="27"/>
        <v>2</v>
      </c>
      <c r="AE98" s="54">
        <f t="shared" si="27"/>
        <v>1</v>
      </c>
      <c r="AF98" s="54">
        <f t="shared" si="27"/>
        <v>1</v>
      </c>
      <c r="AG98" s="6">
        <f t="shared" si="26"/>
        <v>15</v>
      </c>
    </row>
    <row r="99" ht="12.75" customHeight="1">
      <c r="A99" s="55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6"/>
    </row>
    <row r="100" ht="12.75" customHeight="1">
      <c r="A100" s="32" t="s">
        <v>36</v>
      </c>
      <c r="B100" s="49" t="s">
        <v>82</v>
      </c>
      <c r="C100" s="50" t="s">
        <v>83</v>
      </c>
      <c r="D100" s="9"/>
      <c r="E100" s="66">
        <v>1.0</v>
      </c>
      <c r="F100" s="66">
        <v>2.0</v>
      </c>
      <c r="G100" s="66">
        <v>1.0</v>
      </c>
      <c r="H100" s="66">
        <v>0.0</v>
      </c>
      <c r="I100" s="66">
        <v>0.0</v>
      </c>
      <c r="J100" s="66">
        <v>0.0</v>
      </c>
      <c r="K100" s="66">
        <v>1.0</v>
      </c>
      <c r="L100" s="66">
        <v>1.0</v>
      </c>
      <c r="M100" s="66">
        <v>1.0</v>
      </c>
      <c r="N100" s="66">
        <v>0.0</v>
      </c>
      <c r="O100" s="66">
        <v>0.0</v>
      </c>
      <c r="P100" s="66">
        <v>1.0</v>
      </c>
      <c r="Q100" s="66">
        <v>0.0</v>
      </c>
      <c r="R100" s="66">
        <v>0.0</v>
      </c>
      <c r="S100" s="66">
        <v>0.0</v>
      </c>
      <c r="T100" s="66">
        <v>0.0</v>
      </c>
      <c r="U100" s="66">
        <v>0.0</v>
      </c>
      <c r="V100" s="66">
        <v>1.0</v>
      </c>
      <c r="W100" s="66">
        <v>0.0</v>
      </c>
      <c r="X100" s="66">
        <v>0.0</v>
      </c>
      <c r="Y100" s="66">
        <v>2.0</v>
      </c>
      <c r="Z100" s="66">
        <v>2.0</v>
      </c>
      <c r="AA100" s="66">
        <v>0.0</v>
      </c>
      <c r="AB100" s="66">
        <v>0.0</v>
      </c>
      <c r="AC100" s="66">
        <v>0.0</v>
      </c>
      <c r="AD100" s="66">
        <v>1.0</v>
      </c>
      <c r="AE100" s="66">
        <v>0.0</v>
      </c>
      <c r="AF100" s="66">
        <v>1.0</v>
      </c>
      <c r="AG100" s="6">
        <f t="shared" ref="AG100:AG107" si="28">SUM(E100:AF100)</f>
        <v>15</v>
      </c>
    </row>
    <row r="101" ht="12.75" customHeight="1">
      <c r="A101" s="32" t="s">
        <v>38</v>
      </c>
      <c r="B101" s="51"/>
      <c r="C101" s="52" t="s">
        <v>84</v>
      </c>
      <c r="D101" s="53"/>
      <c r="E101" s="66">
        <v>2.0</v>
      </c>
      <c r="F101" s="66">
        <v>5.0</v>
      </c>
      <c r="G101" s="66">
        <v>4.0</v>
      </c>
      <c r="H101" s="66">
        <v>2.0</v>
      </c>
      <c r="I101" s="66">
        <v>0.0</v>
      </c>
      <c r="J101" s="66">
        <v>10.0</v>
      </c>
      <c r="K101" s="66">
        <v>1.0</v>
      </c>
      <c r="L101" s="66">
        <v>5.0</v>
      </c>
      <c r="M101" s="66">
        <v>3.0</v>
      </c>
      <c r="N101" s="66">
        <v>0.0</v>
      </c>
      <c r="O101" s="66">
        <v>3.0</v>
      </c>
      <c r="P101" s="66">
        <v>13.0</v>
      </c>
      <c r="Q101" s="66">
        <v>1.0</v>
      </c>
      <c r="R101" s="66">
        <v>1.0</v>
      </c>
      <c r="S101" s="66">
        <v>0.0</v>
      </c>
      <c r="T101" s="66">
        <v>1.0</v>
      </c>
      <c r="U101" s="66">
        <v>1.0</v>
      </c>
      <c r="V101" s="66">
        <v>4.0</v>
      </c>
      <c r="W101" s="66">
        <v>4.0</v>
      </c>
      <c r="X101" s="66">
        <v>6.0</v>
      </c>
      <c r="Y101" s="66">
        <v>4.0</v>
      </c>
      <c r="Z101" s="66">
        <v>13.0</v>
      </c>
      <c r="AA101" s="66">
        <v>1.0</v>
      </c>
      <c r="AB101" s="66">
        <v>6.0</v>
      </c>
      <c r="AC101" s="66">
        <v>1.0</v>
      </c>
      <c r="AD101" s="66">
        <v>3.0</v>
      </c>
      <c r="AE101" s="66">
        <v>2.0</v>
      </c>
      <c r="AF101" s="66">
        <v>1.0</v>
      </c>
      <c r="AG101" s="6">
        <f t="shared" si="28"/>
        <v>97</v>
      </c>
    </row>
    <row r="102" ht="12.75" customHeight="1">
      <c r="A102" s="18"/>
      <c r="B102" s="51"/>
      <c r="C102" s="52" t="s">
        <v>85</v>
      </c>
      <c r="D102" s="53"/>
      <c r="E102" s="66">
        <v>0.0</v>
      </c>
      <c r="F102" s="66">
        <v>0.0</v>
      </c>
      <c r="G102" s="66">
        <v>0.0</v>
      </c>
      <c r="H102" s="66">
        <v>0.0</v>
      </c>
      <c r="I102" s="66">
        <v>0.0</v>
      </c>
      <c r="J102" s="66">
        <v>0.0</v>
      </c>
      <c r="K102" s="66">
        <v>0.0</v>
      </c>
      <c r="L102" s="66">
        <v>2.0</v>
      </c>
      <c r="M102" s="66">
        <v>0.0</v>
      </c>
      <c r="N102" s="66">
        <v>0.0</v>
      </c>
      <c r="O102" s="66">
        <v>0.0</v>
      </c>
      <c r="P102" s="66">
        <v>0.0</v>
      </c>
      <c r="Q102" s="66">
        <v>0.0</v>
      </c>
      <c r="R102" s="66">
        <v>0.0</v>
      </c>
      <c r="S102" s="66">
        <v>0.0</v>
      </c>
      <c r="T102" s="66">
        <v>0.0</v>
      </c>
      <c r="U102" s="66">
        <v>0.0</v>
      </c>
      <c r="V102" s="66">
        <v>0.0</v>
      </c>
      <c r="W102" s="66">
        <v>0.0</v>
      </c>
      <c r="X102" s="66">
        <v>0.0</v>
      </c>
      <c r="Y102" s="66">
        <v>0.0</v>
      </c>
      <c r="Z102" s="66">
        <v>1.0</v>
      </c>
      <c r="AA102" s="66">
        <v>0.0</v>
      </c>
      <c r="AB102" s="66">
        <v>0.0</v>
      </c>
      <c r="AC102" s="66">
        <v>0.0</v>
      </c>
      <c r="AD102" s="66">
        <v>0.0</v>
      </c>
      <c r="AE102" s="66">
        <v>0.0</v>
      </c>
      <c r="AF102" s="66">
        <v>1.0</v>
      </c>
      <c r="AG102" s="6">
        <f t="shared" si="28"/>
        <v>4</v>
      </c>
    </row>
    <row r="103" ht="12.75" customHeight="1">
      <c r="A103" s="18"/>
      <c r="B103" s="51"/>
      <c r="C103" s="52" t="s">
        <v>86</v>
      </c>
      <c r="D103" s="53"/>
      <c r="E103" s="66">
        <v>0.0</v>
      </c>
      <c r="F103" s="66">
        <v>1.0</v>
      </c>
      <c r="G103" s="66">
        <v>0.0</v>
      </c>
      <c r="H103" s="66">
        <v>0.0</v>
      </c>
      <c r="I103" s="66">
        <v>0.0</v>
      </c>
      <c r="J103" s="66">
        <v>0.0</v>
      </c>
      <c r="K103" s="66">
        <v>0.0</v>
      </c>
      <c r="L103" s="66">
        <v>0.0</v>
      </c>
      <c r="M103" s="66">
        <v>0.0</v>
      </c>
      <c r="N103" s="66">
        <v>0.0</v>
      </c>
      <c r="O103" s="66">
        <v>0.0</v>
      </c>
      <c r="P103" s="66">
        <v>0.0</v>
      </c>
      <c r="Q103" s="66">
        <v>0.0</v>
      </c>
      <c r="R103" s="66">
        <v>3.0</v>
      </c>
      <c r="S103" s="66">
        <v>1.0</v>
      </c>
      <c r="T103" s="66">
        <v>4.0</v>
      </c>
      <c r="U103" s="66">
        <v>0.0</v>
      </c>
      <c r="V103" s="66">
        <v>0.0</v>
      </c>
      <c r="W103" s="66">
        <v>0.0</v>
      </c>
      <c r="X103" s="66">
        <v>0.0</v>
      </c>
      <c r="Y103" s="66">
        <v>0.0</v>
      </c>
      <c r="Z103" s="66">
        <v>0.0</v>
      </c>
      <c r="AA103" s="66">
        <v>0.0</v>
      </c>
      <c r="AB103" s="66">
        <v>0.0</v>
      </c>
      <c r="AC103" s="66">
        <v>0.0</v>
      </c>
      <c r="AD103" s="66">
        <v>0.0</v>
      </c>
      <c r="AE103" s="66">
        <v>0.0</v>
      </c>
      <c r="AF103" s="66">
        <v>0.0</v>
      </c>
      <c r="AG103" s="6">
        <f t="shared" si="28"/>
        <v>9</v>
      </c>
    </row>
    <row r="104" ht="12.75" customHeight="1">
      <c r="A104" s="18"/>
      <c r="B104" s="51"/>
      <c r="C104" s="52" t="s">
        <v>87</v>
      </c>
      <c r="D104" s="53"/>
      <c r="E104" s="66">
        <v>0.0</v>
      </c>
      <c r="F104" s="66">
        <v>2.0</v>
      </c>
      <c r="G104" s="66">
        <v>1.0</v>
      </c>
      <c r="H104" s="66">
        <v>0.0</v>
      </c>
      <c r="I104" s="66">
        <v>0.0</v>
      </c>
      <c r="J104" s="66">
        <v>0.0</v>
      </c>
      <c r="K104" s="66">
        <v>0.0</v>
      </c>
      <c r="L104" s="66">
        <v>0.0</v>
      </c>
      <c r="M104" s="66">
        <v>0.0</v>
      </c>
      <c r="N104" s="66">
        <v>0.0</v>
      </c>
      <c r="O104" s="66">
        <v>0.0</v>
      </c>
      <c r="P104" s="66">
        <v>0.0</v>
      </c>
      <c r="Q104" s="66">
        <v>0.0</v>
      </c>
      <c r="R104" s="66">
        <v>2.0</v>
      </c>
      <c r="S104" s="66">
        <v>0.0</v>
      </c>
      <c r="T104" s="66">
        <v>0.0</v>
      </c>
      <c r="U104" s="66">
        <v>0.0</v>
      </c>
      <c r="V104" s="66">
        <v>1.0</v>
      </c>
      <c r="W104" s="66">
        <v>0.0</v>
      </c>
      <c r="X104" s="66">
        <v>0.0</v>
      </c>
      <c r="Y104" s="66">
        <v>0.0</v>
      </c>
      <c r="Z104" s="66">
        <v>0.0</v>
      </c>
      <c r="AA104" s="66">
        <v>1.0</v>
      </c>
      <c r="AB104" s="66">
        <v>1.0</v>
      </c>
      <c r="AC104" s="66">
        <v>1.0</v>
      </c>
      <c r="AD104" s="66">
        <v>2.0</v>
      </c>
      <c r="AE104" s="66">
        <v>0.0</v>
      </c>
      <c r="AF104" s="66">
        <v>0.0</v>
      </c>
      <c r="AG104" s="6">
        <f t="shared" si="28"/>
        <v>11</v>
      </c>
    </row>
    <row r="105" ht="12.75" customHeight="1">
      <c r="A105" s="18"/>
      <c r="B105" s="51"/>
      <c r="C105" s="52" t="s">
        <v>88</v>
      </c>
      <c r="D105" s="53"/>
      <c r="E105" s="66">
        <v>0.0</v>
      </c>
      <c r="F105" s="66">
        <v>0.0</v>
      </c>
      <c r="G105" s="66">
        <v>0.0</v>
      </c>
      <c r="H105" s="66">
        <v>0.0</v>
      </c>
      <c r="I105" s="66">
        <v>0.0</v>
      </c>
      <c r="J105" s="66">
        <v>0.0</v>
      </c>
      <c r="K105" s="66">
        <v>0.0</v>
      </c>
      <c r="L105" s="66">
        <v>0.0</v>
      </c>
      <c r="M105" s="66">
        <v>0.0</v>
      </c>
      <c r="N105" s="66">
        <v>0.0</v>
      </c>
      <c r="O105" s="66">
        <v>0.0</v>
      </c>
      <c r="P105" s="66">
        <v>0.0</v>
      </c>
      <c r="Q105" s="66">
        <v>0.0</v>
      </c>
      <c r="R105" s="66">
        <v>1.0</v>
      </c>
      <c r="S105" s="66">
        <v>0.0</v>
      </c>
      <c r="T105" s="66">
        <v>1.0</v>
      </c>
      <c r="U105" s="66">
        <v>0.0</v>
      </c>
      <c r="V105" s="66">
        <v>4.0</v>
      </c>
      <c r="W105" s="66">
        <v>0.0</v>
      </c>
      <c r="X105" s="66">
        <v>0.0</v>
      </c>
      <c r="Y105" s="66">
        <v>0.0</v>
      </c>
      <c r="Z105" s="66">
        <v>0.0</v>
      </c>
      <c r="AA105" s="66">
        <v>0.0</v>
      </c>
      <c r="AB105" s="66">
        <v>0.0</v>
      </c>
      <c r="AC105" s="66">
        <v>0.0</v>
      </c>
      <c r="AD105" s="66">
        <v>0.0</v>
      </c>
      <c r="AE105" s="66">
        <v>0.0</v>
      </c>
      <c r="AF105" s="66">
        <v>0.0</v>
      </c>
      <c r="AG105" s="6">
        <f t="shared" si="28"/>
        <v>6</v>
      </c>
    </row>
    <row r="106" ht="12.75" customHeight="1">
      <c r="A106" s="18"/>
      <c r="B106" s="51"/>
      <c r="C106" s="52" t="s">
        <v>89</v>
      </c>
      <c r="D106" s="53"/>
      <c r="E106" s="66">
        <v>3.0</v>
      </c>
      <c r="F106" s="66">
        <v>0.0</v>
      </c>
      <c r="G106" s="66">
        <v>0.0</v>
      </c>
      <c r="H106" s="66">
        <v>1.0</v>
      </c>
      <c r="I106" s="66">
        <v>4.0</v>
      </c>
      <c r="J106" s="66">
        <v>0.0</v>
      </c>
      <c r="K106" s="66">
        <v>0.0</v>
      </c>
      <c r="L106" s="66">
        <v>0.0</v>
      </c>
      <c r="M106" s="66">
        <v>0.0</v>
      </c>
      <c r="N106" s="66">
        <v>0.0</v>
      </c>
      <c r="O106" s="66">
        <v>0.0</v>
      </c>
      <c r="P106" s="66">
        <v>2.0</v>
      </c>
      <c r="Q106" s="66">
        <v>0.0</v>
      </c>
      <c r="R106" s="66">
        <v>0.0</v>
      </c>
      <c r="S106" s="66">
        <v>0.0</v>
      </c>
      <c r="T106" s="66">
        <v>0.0</v>
      </c>
      <c r="U106" s="66">
        <v>0.0</v>
      </c>
      <c r="V106" s="66">
        <v>3.0</v>
      </c>
      <c r="W106" s="66">
        <v>0.0</v>
      </c>
      <c r="X106" s="66">
        <v>0.0</v>
      </c>
      <c r="Y106" s="66">
        <v>0.0</v>
      </c>
      <c r="Z106" s="66">
        <v>0.0</v>
      </c>
      <c r="AA106" s="66">
        <v>0.0</v>
      </c>
      <c r="AB106" s="66">
        <v>0.0</v>
      </c>
      <c r="AC106" s="66">
        <v>0.0</v>
      </c>
      <c r="AD106" s="66">
        <v>0.0</v>
      </c>
      <c r="AE106" s="66">
        <v>0.0</v>
      </c>
      <c r="AF106" s="66">
        <v>0.0</v>
      </c>
      <c r="AG106" s="6">
        <f t="shared" si="28"/>
        <v>13</v>
      </c>
    </row>
    <row r="107" ht="12.75" customHeight="1">
      <c r="A107" s="13" t="s">
        <v>14</v>
      </c>
      <c r="B107" s="49" t="s">
        <v>45</v>
      </c>
      <c r="C107" s="8"/>
      <c r="D107" s="9"/>
      <c r="E107" s="54">
        <f t="shared" ref="E107:AF107" si="29">SUM(E100:E106)</f>
        <v>6</v>
      </c>
      <c r="F107" s="54">
        <f t="shared" si="29"/>
        <v>10</v>
      </c>
      <c r="G107" s="54">
        <f t="shared" si="29"/>
        <v>6</v>
      </c>
      <c r="H107" s="54">
        <f t="shared" si="29"/>
        <v>3</v>
      </c>
      <c r="I107" s="54">
        <f t="shared" si="29"/>
        <v>4</v>
      </c>
      <c r="J107" s="54">
        <f t="shared" si="29"/>
        <v>10</v>
      </c>
      <c r="K107" s="54">
        <f t="shared" si="29"/>
        <v>2</v>
      </c>
      <c r="L107" s="54">
        <f t="shared" si="29"/>
        <v>8</v>
      </c>
      <c r="M107" s="54">
        <f t="shared" si="29"/>
        <v>4</v>
      </c>
      <c r="N107" s="54">
        <f t="shared" si="29"/>
        <v>0</v>
      </c>
      <c r="O107" s="54">
        <f t="shared" si="29"/>
        <v>3</v>
      </c>
      <c r="P107" s="54">
        <f t="shared" si="29"/>
        <v>16</v>
      </c>
      <c r="Q107" s="54">
        <f t="shared" si="29"/>
        <v>1</v>
      </c>
      <c r="R107" s="54">
        <f t="shared" si="29"/>
        <v>7</v>
      </c>
      <c r="S107" s="54">
        <f t="shared" si="29"/>
        <v>1</v>
      </c>
      <c r="T107" s="54">
        <f t="shared" si="29"/>
        <v>6</v>
      </c>
      <c r="U107" s="54">
        <f t="shared" si="29"/>
        <v>1</v>
      </c>
      <c r="V107" s="54">
        <f t="shared" si="29"/>
        <v>13</v>
      </c>
      <c r="W107" s="54">
        <f t="shared" si="29"/>
        <v>4</v>
      </c>
      <c r="X107" s="54">
        <f t="shared" si="29"/>
        <v>6</v>
      </c>
      <c r="Y107" s="54">
        <f t="shared" si="29"/>
        <v>6</v>
      </c>
      <c r="Z107" s="54">
        <f t="shared" si="29"/>
        <v>16</v>
      </c>
      <c r="AA107" s="54">
        <f t="shared" si="29"/>
        <v>2</v>
      </c>
      <c r="AB107" s="54">
        <f t="shared" si="29"/>
        <v>7</v>
      </c>
      <c r="AC107" s="54">
        <f t="shared" si="29"/>
        <v>2</v>
      </c>
      <c r="AD107" s="54">
        <f t="shared" si="29"/>
        <v>6</v>
      </c>
      <c r="AE107" s="54">
        <f t="shared" si="29"/>
        <v>2</v>
      </c>
      <c r="AF107" s="54">
        <f t="shared" si="29"/>
        <v>3</v>
      </c>
      <c r="AG107" s="6">
        <f t="shared" si="28"/>
        <v>155</v>
      </c>
    </row>
    <row r="108" ht="12.75" customHeight="1">
      <c r="A108" s="55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6"/>
    </row>
    <row r="109" ht="12.75" customHeight="1">
      <c r="A109" s="32" t="s">
        <v>36</v>
      </c>
      <c r="B109" s="49" t="s">
        <v>90</v>
      </c>
      <c r="C109" s="50" t="s">
        <v>91</v>
      </c>
      <c r="D109" s="9"/>
      <c r="E109" s="66">
        <v>0.0</v>
      </c>
      <c r="F109" s="66">
        <v>0.0</v>
      </c>
      <c r="G109" s="66">
        <v>0.0</v>
      </c>
      <c r="H109" s="66">
        <v>0.0</v>
      </c>
      <c r="I109" s="66">
        <v>0.0</v>
      </c>
      <c r="J109" s="66">
        <v>0.0</v>
      </c>
      <c r="K109" s="66">
        <v>1.0</v>
      </c>
      <c r="L109" s="66">
        <v>0.0</v>
      </c>
      <c r="M109" s="66">
        <v>0.0</v>
      </c>
      <c r="N109" s="66">
        <v>0.0</v>
      </c>
      <c r="O109" s="66">
        <v>2.0</v>
      </c>
      <c r="P109" s="66">
        <v>0.0</v>
      </c>
      <c r="Q109" s="66">
        <v>0.0</v>
      </c>
      <c r="R109" s="66">
        <v>0.0</v>
      </c>
      <c r="S109" s="66">
        <v>0.0</v>
      </c>
      <c r="T109" s="66">
        <v>0.0</v>
      </c>
      <c r="U109" s="66">
        <v>0.0</v>
      </c>
      <c r="V109" s="66">
        <v>0.0</v>
      </c>
      <c r="W109" s="66">
        <v>0.0</v>
      </c>
      <c r="X109" s="66">
        <v>0.0</v>
      </c>
      <c r="Y109" s="66">
        <v>0.0</v>
      </c>
      <c r="Z109" s="66">
        <v>0.0</v>
      </c>
      <c r="AA109" s="66">
        <v>0.0</v>
      </c>
      <c r="AB109" s="66">
        <v>0.0</v>
      </c>
      <c r="AC109" s="66">
        <v>0.0</v>
      </c>
      <c r="AD109" s="66">
        <v>0.0</v>
      </c>
      <c r="AE109" s="66">
        <v>0.0</v>
      </c>
      <c r="AF109" s="66">
        <v>0.0</v>
      </c>
      <c r="AG109" s="6">
        <f t="shared" ref="AG109:AG111" si="30">SUM(E109:AF109)</f>
        <v>3</v>
      </c>
    </row>
    <row r="110" ht="12.75" customHeight="1">
      <c r="A110" s="32" t="s">
        <v>38</v>
      </c>
      <c r="B110" s="49"/>
      <c r="C110" s="52" t="s">
        <v>92</v>
      </c>
      <c r="D110" s="61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6">
        <f t="shared" si="30"/>
        <v>0</v>
      </c>
    </row>
    <row r="111" ht="12.75" customHeight="1">
      <c r="A111" s="13" t="s">
        <v>14</v>
      </c>
      <c r="B111" s="49" t="s">
        <v>45</v>
      </c>
      <c r="C111" s="8"/>
      <c r="D111" s="9"/>
      <c r="E111" s="54">
        <f t="shared" ref="E111:AF111" si="31">SUM(E109:E110)</f>
        <v>0</v>
      </c>
      <c r="F111" s="54">
        <f t="shared" si="31"/>
        <v>0</v>
      </c>
      <c r="G111" s="54">
        <f t="shared" si="31"/>
        <v>0</v>
      </c>
      <c r="H111" s="54">
        <f t="shared" si="31"/>
        <v>0</v>
      </c>
      <c r="I111" s="54">
        <f t="shared" si="31"/>
        <v>0</v>
      </c>
      <c r="J111" s="54">
        <f t="shared" si="31"/>
        <v>0</v>
      </c>
      <c r="K111" s="54">
        <f t="shared" si="31"/>
        <v>1</v>
      </c>
      <c r="L111" s="54">
        <f t="shared" si="31"/>
        <v>0</v>
      </c>
      <c r="M111" s="54">
        <f t="shared" si="31"/>
        <v>0</v>
      </c>
      <c r="N111" s="54">
        <f t="shared" si="31"/>
        <v>0</v>
      </c>
      <c r="O111" s="54">
        <f t="shared" si="31"/>
        <v>2</v>
      </c>
      <c r="P111" s="54">
        <f t="shared" si="31"/>
        <v>0</v>
      </c>
      <c r="Q111" s="54">
        <f t="shared" si="31"/>
        <v>0</v>
      </c>
      <c r="R111" s="54">
        <f t="shared" si="31"/>
        <v>0</v>
      </c>
      <c r="S111" s="54">
        <f t="shared" si="31"/>
        <v>0</v>
      </c>
      <c r="T111" s="54">
        <f t="shared" si="31"/>
        <v>0</v>
      </c>
      <c r="U111" s="54">
        <f t="shared" si="31"/>
        <v>0</v>
      </c>
      <c r="V111" s="54">
        <f t="shared" si="31"/>
        <v>0</v>
      </c>
      <c r="W111" s="54">
        <f t="shared" si="31"/>
        <v>0</v>
      </c>
      <c r="X111" s="54">
        <f t="shared" si="31"/>
        <v>0</v>
      </c>
      <c r="Y111" s="54">
        <f t="shared" si="31"/>
        <v>0</v>
      </c>
      <c r="Z111" s="54">
        <f t="shared" si="31"/>
        <v>0</v>
      </c>
      <c r="AA111" s="54">
        <f t="shared" si="31"/>
        <v>0</v>
      </c>
      <c r="AB111" s="54">
        <f t="shared" si="31"/>
        <v>0</v>
      </c>
      <c r="AC111" s="54">
        <f t="shared" si="31"/>
        <v>0</v>
      </c>
      <c r="AD111" s="54">
        <f t="shared" si="31"/>
        <v>0</v>
      </c>
      <c r="AE111" s="54">
        <f t="shared" si="31"/>
        <v>0</v>
      </c>
      <c r="AF111" s="54">
        <f t="shared" si="31"/>
        <v>0</v>
      </c>
      <c r="AG111" s="6">
        <f t="shared" si="30"/>
        <v>3</v>
      </c>
    </row>
    <row r="112" ht="12.75" customHeight="1">
      <c r="A112" s="55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6"/>
    </row>
    <row r="113" ht="12.75" customHeight="1">
      <c r="A113" s="32" t="s">
        <v>36</v>
      </c>
      <c r="B113" s="49" t="s">
        <v>93</v>
      </c>
      <c r="C113" s="50" t="s">
        <v>94</v>
      </c>
      <c r="D113" s="9"/>
      <c r="E113" s="66">
        <v>0.0</v>
      </c>
      <c r="F113" s="66">
        <v>0.0</v>
      </c>
      <c r="G113" s="66">
        <v>0.0</v>
      </c>
      <c r="H113" s="66">
        <v>0.0</v>
      </c>
      <c r="I113" s="66">
        <v>0.0</v>
      </c>
      <c r="J113" s="66">
        <v>0.0</v>
      </c>
      <c r="K113" s="66">
        <v>1.0</v>
      </c>
      <c r="L113" s="66">
        <v>0.0</v>
      </c>
      <c r="M113" s="66">
        <v>0.0</v>
      </c>
      <c r="N113" s="66">
        <v>0.0</v>
      </c>
      <c r="O113" s="66">
        <v>0.0</v>
      </c>
      <c r="P113" s="66">
        <v>0.0</v>
      </c>
      <c r="Q113" s="66">
        <v>0.0</v>
      </c>
      <c r="R113" s="66">
        <v>0.0</v>
      </c>
      <c r="S113" s="66">
        <v>0.0</v>
      </c>
      <c r="T113" s="66">
        <v>0.0</v>
      </c>
      <c r="U113" s="66">
        <v>0.0</v>
      </c>
      <c r="V113" s="66">
        <v>0.0</v>
      </c>
      <c r="W113" s="66">
        <v>0.0</v>
      </c>
      <c r="X113" s="66">
        <v>0.0</v>
      </c>
      <c r="Y113" s="66">
        <v>0.0</v>
      </c>
      <c r="Z113" s="66">
        <v>0.0</v>
      </c>
      <c r="AA113" s="66">
        <v>0.0</v>
      </c>
      <c r="AB113" s="66">
        <v>0.0</v>
      </c>
      <c r="AC113" s="66">
        <v>0.0</v>
      </c>
      <c r="AD113" s="66">
        <v>0.0</v>
      </c>
      <c r="AE113" s="66">
        <v>1.0</v>
      </c>
      <c r="AF113" s="66">
        <v>0.0</v>
      </c>
      <c r="AG113" s="6">
        <f t="shared" ref="AG113:AG120" si="32">SUM(E113:AF113)</f>
        <v>2</v>
      </c>
    </row>
    <row r="114" ht="12.75" customHeight="1">
      <c r="A114" s="32" t="s">
        <v>38</v>
      </c>
      <c r="B114" s="51"/>
      <c r="C114" s="52" t="s">
        <v>95</v>
      </c>
      <c r="D114" s="53"/>
      <c r="E114" s="66">
        <v>0.0</v>
      </c>
      <c r="F114" s="66">
        <v>0.0</v>
      </c>
      <c r="G114" s="66">
        <v>0.0</v>
      </c>
      <c r="H114" s="66">
        <v>0.0</v>
      </c>
      <c r="I114" s="66">
        <v>0.0</v>
      </c>
      <c r="J114" s="66">
        <v>0.0</v>
      </c>
      <c r="K114" s="66">
        <v>1.0</v>
      </c>
      <c r="L114" s="66">
        <v>0.0</v>
      </c>
      <c r="M114" s="66">
        <v>0.0</v>
      </c>
      <c r="N114" s="66">
        <v>0.0</v>
      </c>
      <c r="O114" s="66">
        <v>0.0</v>
      </c>
      <c r="P114" s="66">
        <v>0.0</v>
      </c>
      <c r="Q114" s="66">
        <v>0.0</v>
      </c>
      <c r="R114" s="66">
        <v>0.0</v>
      </c>
      <c r="S114" s="66">
        <v>0.0</v>
      </c>
      <c r="T114" s="66">
        <v>0.0</v>
      </c>
      <c r="U114" s="66">
        <v>0.0</v>
      </c>
      <c r="V114" s="66">
        <v>0.0</v>
      </c>
      <c r="W114" s="66">
        <v>0.0</v>
      </c>
      <c r="X114" s="66">
        <v>0.0</v>
      </c>
      <c r="Y114" s="66">
        <v>0.0</v>
      </c>
      <c r="Z114" s="66">
        <v>0.0</v>
      </c>
      <c r="AA114" s="66">
        <v>0.0</v>
      </c>
      <c r="AB114" s="66">
        <v>0.0</v>
      </c>
      <c r="AC114" s="66">
        <v>0.0</v>
      </c>
      <c r="AD114" s="66">
        <v>0.0</v>
      </c>
      <c r="AE114" s="66">
        <v>0.0</v>
      </c>
      <c r="AF114" s="66">
        <v>0.0</v>
      </c>
      <c r="AG114" s="6">
        <f t="shared" si="32"/>
        <v>1</v>
      </c>
    </row>
    <row r="115" ht="12.75" customHeight="1">
      <c r="A115" s="18"/>
      <c r="B115" s="51"/>
      <c r="C115" s="52" t="s">
        <v>96</v>
      </c>
      <c r="D115" s="53"/>
      <c r="E115" s="66">
        <v>0.0</v>
      </c>
      <c r="F115" s="66">
        <v>0.0</v>
      </c>
      <c r="G115" s="66">
        <v>0.0</v>
      </c>
      <c r="H115" s="66">
        <v>0.0</v>
      </c>
      <c r="I115" s="66">
        <v>0.0</v>
      </c>
      <c r="J115" s="66">
        <v>0.0</v>
      </c>
      <c r="K115" s="66">
        <v>0.0</v>
      </c>
      <c r="L115" s="66">
        <v>0.0</v>
      </c>
      <c r="M115" s="66">
        <v>0.0</v>
      </c>
      <c r="N115" s="66">
        <v>0.0</v>
      </c>
      <c r="O115" s="66">
        <v>0.0</v>
      </c>
      <c r="P115" s="66">
        <v>0.0</v>
      </c>
      <c r="Q115" s="66">
        <v>0.0</v>
      </c>
      <c r="R115" s="66">
        <v>0.0</v>
      </c>
      <c r="S115" s="66">
        <v>0.0</v>
      </c>
      <c r="T115" s="66">
        <v>0.0</v>
      </c>
      <c r="U115" s="66">
        <v>0.0</v>
      </c>
      <c r="V115" s="66">
        <v>0.0</v>
      </c>
      <c r="W115" s="66">
        <v>0.0</v>
      </c>
      <c r="X115" s="66">
        <v>0.0</v>
      </c>
      <c r="Y115" s="66">
        <v>0.0</v>
      </c>
      <c r="Z115" s="66">
        <v>0.0</v>
      </c>
      <c r="AA115" s="66">
        <v>0.0</v>
      </c>
      <c r="AB115" s="66">
        <v>0.0</v>
      </c>
      <c r="AC115" s="66">
        <v>0.0</v>
      </c>
      <c r="AD115" s="66">
        <v>0.0</v>
      </c>
      <c r="AE115" s="66">
        <v>0.0</v>
      </c>
      <c r="AF115" s="66">
        <v>0.0</v>
      </c>
      <c r="AG115" s="6">
        <f t="shared" si="32"/>
        <v>0</v>
      </c>
    </row>
    <row r="116" ht="12.75" customHeight="1">
      <c r="A116" s="18"/>
      <c r="B116" s="51"/>
      <c r="C116" s="52" t="s">
        <v>97</v>
      </c>
      <c r="D116" s="53"/>
      <c r="E116" s="66">
        <v>0.0</v>
      </c>
      <c r="F116" s="66">
        <v>1.0</v>
      </c>
      <c r="G116" s="66">
        <v>0.0</v>
      </c>
      <c r="H116" s="66">
        <v>0.0</v>
      </c>
      <c r="I116" s="66">
        <v>0.0</v>
      </c>
      <c r="J116" s="66">
        <v>0.0</v>
      </c>
      <c r="K116" s="66">
        <v>0.0</v>
      </c>
      <c r="L116" s="66">
        <v>0.0</v>
      </c>
      <c r="M116" s="66">
        <v>0.0</v>
      </c>
      <c r="N116" s="66">
        <v>0.0</v>
      </c>
      <c r="O116" s="66">
        <v>0.0</v>
      </c>
      <c r="P116" s="66">
        <v>0.0</v>
      </c>
      <c r="Q116" s="66">
        <v>0.0</v>
      </c>
      <c r="R116" s="66">
        <v>0.0</v>
      </c>
      <c r="S116" s="66">
        <v>0.0</v>
      </c>
      <c r="T116" s="66">
        <v>0.0</v>
      </c>
      <c r="U116" s="66">
        <v>0.0</v>
      </c>
      <c r="V116" s="66">
        <v>0.0</v>
      </c>
      <c r="W116" s="66">
        <v>0.0</v>
      </c>
      <c r="X116" s="66">
        <v>0.0</v>
      </c>
      <c r="Y116" s="66">
        <v>0.0</v>
      </c>
      <c r="Z116" s="66">
        <v>0.0</v>
      </c>
      <c r="AA116" s="66">
        <v>0.0</v>
      </c>
      <c r="AB116" s="66">
        <v>0.0</v>
      </c>
      <c r="AC116" s="66">
        <v>0.0</v>
      </c>
      <c r="AD116" s="66">
        <v>0.0</v>
      </c>
      <c r="AE116" s="66">
        <v>0.0</v>
      </c>
      <c r="AF116" s="66">
        <v>0.0</v>
      </c>
      <c r="AG116" s="6">
        <f t="shared" si="32"/>
        <v>1</v>
      </c>
    </row>
    <row r="117" ht="12.75" customHeight="1">
      <c r="A117" s="18"/>
      <c r="B117" s="51"/>
      <c r="C117" s="52" t="s">
        <v>98</v>
      </c>
      <c r="D117" s="53"/>
      <c r="E117" s="66">
        <v>3.0</v>
      </c>
      <c r="F117" s="66">
        <v>0.0</v>
      </c>
      <c r="G117" s="66">
        <v>0.0</v>
      </c>
      <c r="H117" s="66">
        <v>0.0</v>
      </c>
      <c r="I117" s="66">
        <v>0.0</v>
      </c>
      <c r="J117" s="66">
        <v>0.0</v>
      </c>
      <c r="K117" s="66">
        <v>0.0</v>
      </c>
      <c r="L117" s="66">
        <v>0.0</v>
      </c>
      <c r="M117" s="66">
        <v>1.0</v>
      </c>
      <c r="N117" s="66">
        <v>0.0</v>
      </c>
      <c r="O117" s="66">
        <v>0.0</v>
      </c>
      <c r="P117" s="66">
        <v>0.0</v>
      </c>
      <c r="Q117" s="66">
        <v>0.0</v>
      </c>
      <c r="R117" s="66">
        <v>0.0</v>
      </c>
      <c r="S117" s="66">
        <v>0.0</v>
      </c>
      <c r="T117" s="66">
        <v>0.0</v>
      </c>
      <c r="U117" s="66">
        <v>0.0</v>
      </c>
      <c r="V117" s="66">
        <v>0.0</v>
      </c>
      <c r="W117" s="66">
        <v>0.0</v>
      </c>
      <c r="X117" s="66">
        <v>0.0</v>
      </c>
      <c r="Y117" s="66">
        <v>0.0</v>
      </c>
      <c r="Z117" s="66">
        <v>0.0</v>
      </c>
      <c r="AA117" s="66">
        <v>0.0</v>
      </c>
      <c r="AB117" s="66">
        <v>0.0</v>
      </c>
      <c r="AC117" s="66">
        <v>0.0</v>
      </c>
      <c r="AD117" s="66">
        <v>0.0</v>
      </c>
      <c r="AE117" s="66">
        <v>0.0</v>
      </c>
      <c r="AF117" s="66">
        <v>0.0</v>
      </c>
      <c r="AG117" s="6">
        <f t="shared" si="32"/>
        <v>4</v>
      </c>
    </row>
    <row r="118" ht="12.75" customHeight="1">
      <c r="A118" s="18"/>
      <c r="B118" s="51"/>
      <c r="C118" s="52" t="s">
        <v>99</v>
      </c>
      <c r="D118" s="53"/>
      <c r="E118" s="66">
        <v>0.0</v>
      </c>
      <c r="F118" s="66">
        <v>0.0</v>
      </c>
      <c r="G118" s="66">
        <v>0.0</v>
      </c>
      <c r="H118" s="66">
        <v>0.0</v>
      </c>
      <c r="I118" s="66">
        <v>0.0</v>
      </c>
      <c r="J118" s="66">
        <v>0.0</v>
      </c>
      <c r="K118" s="66">
        <v>0.0</v>
      </c>
      <c r="L118" s="66">
        <v>0.0</v>
      </c>
      <c r="M118" s="66">
        <v>0.0</v>
      </c>
      <c r="N118" s="66">
        <v>0.0</v>
      </c>
      <c r="O118" s="66">
        <v>0.0</v>
      </c>
      <c r="P118" s="66">
        <v>0.0</v>
      </c>
      <c r="Q118" s="66">
        <v>0.0</v>
      </c>
      <c r="R118" s="66">
        <v>0.0</v>
      </c>
      <c r="S118" s="66">
        <v>0.0</v>
      </c>
      <c r="T118" s="66">
        <v>0.0</v>
      </c>
      <c r="U118" s="66">
        <v>0.0</v>
      </c>
      <c r="V118" s="66">
        <v>0.0</v>
      </c>
      <c r="W118" s="66">
        <v>0.0</v>
      </c>
      <c r="X118" s="66">
        <v>0.0</v>
      </c>
      <c r="Y118" s="66">
        <v>0.0</v>
      </c>
      <c r="Z118" s="66">
        <v>0.0</v>
      </c>
      <c r="AA118" s="66">
        <v>0.0</v>
      </c>
      <c r="AB118" s="66">
        <v>0.0</v>
      </c>
      <c r="AC118" s="66">
        <v>0.0</v>
      </c>
      <c r="AD118" s="66">
        <v>0.0</v>
      </c>
      <c r="AE118" s="66">
        <v>0.0</v>
      </c>
      <c r="AF118" s="66">
        <v>0.0</v>
      </c>
      <c r="AG118" s="6">
        <f t="shared" si="32"/>
        <v>0</v>
      </c>
    </row>
    <row r="119" ht="12.75" customHeight="1">
      <c r="A119" s="18"/>
      <c r="B119" s="51"/>
      <c r="C119" s="52" t="s">
        <v>100</v>
      </c>
      <c r="D119" s="53"/>
      <c r="E119" s="66">
        <v>0.0</v>
      </c>
      <c r="F119" s="66">
        <v>0.0</v>
      </c>
      <c r="G119" s="66">
        <v>0.0</v>
      </c>
      <c r="H119" s="66">
        <v>0.0</v>
      </c>
      <c r="I119" s="66">
        <v>0.0</v>
      </c>
      <c r="J119" s="66">
        <v>0.0</v>
      </c>
      <c r="K119" s="66">
        <v>0.0</v>
      </c>
      <c r="L119" s="66">
        <v>0.0</v>
      </c>
      <c r="M119" s="66">
        <v>0.0</v>
      </c>
      <c r="N119" s="66">
        <v>0.0</v>
      </c>
      <c r="O119" s="66">
        <v>0.0</v>
      </c>
      <c r="P119" s="66">
        <v>0.0</v>
      </c>
      <c r="Q119" s="66">
        <v>0.0</v>
      </c>
      <c r="R119" s="66">
        <v>0.0</v>
      </c>
      <c r="S119" s="66">
        <v>0.0</v>
      </c>
      <c r="T119" s="66">
        <v>0.0</v>
      </c>
      <c r="U119" s="66">
        <v>0.0</v>
      </c>
      <c r="V119" s="66">
        <v>0.0</v>
      </c>
      <c r="W119" s="66">
        <v>0.0</v>
      </c>
      <c r="X119" s="66">
        <v>0.0</v>
      </c>
      <c r="Y119" s="66">
        <v>0.0</v>
      </c>
      <c r="Z119" s="66">
        <v>0.0</v>
      </c>
      <c r="AA119" s="66">
        <v>0.0</v>
      </c>
      <c r="AB119" s="66">
        <v>0.0</v>
      </c>
      <c r="AC119" s="66">
        <v>0.0</v>
      </c>
      <c r="AD119" s="66">
        <v>0.0</v>
      </c>
      <c r="AE119" s="66">
        <v>0.0</v>
      </c>
      <c r="AF119" s="66">
        <v>0.0</v>
      </c>
      <c r="AG119" s="6">
        <f t="shared" si="32"/>
        <v>0</v>
      </c>
    </row>
    <row r="120" ht="12.75" customHeight="1">
      <c r="A120" s="13" t="s">
        <v>14</v>
      </c>
      <c r="B120" s="49" t="s">
        <v>45</v>
      </c>
      <c r="C120" s="8"/>
      <c r="D120" s="9"/>
      <c r="E120" s="54">
        <f t="shared" ref="E120:AF120" si="33">SUM(E113:E119)</f>
        <v>3</v>
      </c>
      <c r="F120" s="54">
        <f t="shared" si="33"/>
        <v>1</v>
      </c>
      <c r="G120" s="54">
        <f t="shared" si="33"/>
        <v>0</v>
      </c>
      <c r="H120" s="54">
        <f t="shared" si="33"/>
        <v>0</v>
      </c>
      <c r="I120" s="54">
        <f t="shared" si="33"/>
        <v>0</v>
      </c>
      <c r="J120" s="54">
        <f t="shared" si="33"/>
        <v>0</v>
      </c>
      <c r="K120" s="54">
        <f t="shared" si="33"/>
        <v>2</v>
      </c>
      <c r="L120" s="54">
        <f t="shared" si="33"/>
        <v>0</v>
      </c>
      <c r="M120" s="54">
        <f t="shared" si="33"/>
        <v>1</v>
      </c>
      <c r="N120" s="54">
        <f t="shared" si="33"/>
        <v>0</v>
      </c>
      <c r="O120" s="54">
        <f t="shared" si="33"/>
        <v>0</v>
      </c>
      <c r="P120" s="54">
        <f t="shared" si="33"/>
        <v>0</v>
      </c>
      <c r="Q120" s="54">
        <f t="shared" si="33"/>
        <v>0</v>
      </c>
      <c r="R120" s="54">
        <f t="shared" si="33"/>
        <v>0</v>
      </c>
      <c r="S120" s="54">
        <f t="shared" si="33"/>
        <v>0</v>
      </c>
      <c r="T120" s="54">
        <f t="shared" si="33"/>
        <v>0</v>
      </c>
      <c r="U120" s="54">
        <f t="shared" si="33"/>
        <v>0</v>
      </c>
      <c r="V120" s="54">
        <f t="shared" si="33"/>
        <v>0</v>
      </c>
      <c r="W120" s="54">
        <f t="shared" si="33"/>
        <v>0</v>
      </c>
      <c r="X120" s="54">
        <f t="shared" si="33"/>
        <v>0</v>
      </c>
      <c r="Y120" s="54">
        <f t="shared" si="33"/>
        <v>0</v>
      </c>
      <c r="Z120" s="54">
        <f t="shared" si="33"/>
        <v>0</v>
      </c>
      <c r="AA120" s="54">
        <f t="shared" si="33"/>
        <v>0</v>
      </c>
      <c r="AB120" s="54">
        <f t="shared" si="33"/>
        <v>0</v>
      </c>
      <c r="AC120" s="54">
        <f t="shared" si="33"/>
        <v>0</v>
      </c>
      <c r="AD120" s="54">
        <f t="shared" si="33"/>
        <v>0</v>
      </c>
      <c r="AE120" s="54">
        <f t="shared" si="33"/>
        <v>1</v>
      </c>
      <c r="AF120" s="54">
        <f t="shared" si="33"/>
        <v>0</v>
      </c>
      <c r="AG120" s="6">
        <f t="shared" si="32"/>
        <v>8</v>
      </c>
    </row>
    <row r="121" ht="12.75" customHeight="1">
      <c r="A121" s="55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</row>
    <row r="122" ht="12.75" customHeight="1">
      <c r="A122" s="32" t="s">
        <v>36</v>
      </c>
      <c r="B122" s="49" t="s">
        <v>101</v>
      </c>
      <c r="C122" s="50" t="s">
        <v>102</v>
      </c>
      <c r="D122" s="9"/>
      <c r="E122" s="66">
        <v>0.0</v>
      </c>
      <c r="F122" s="66">
        <v>1.0</v>
      </c>
      <c r="G122" s="66">
        <v>0.0</v>
      </c>
      <c r="H122" s="66">
        <v>1.0</v>
      </c>
      <c r="I122" s="66">
        <v>0.0</v>
      </c>
      <c r="J122" s="66">
        <v>0.0</v>
      </c>
      <c r="K122" s="66">
        <v>0.0</v>
      </c>
      <c r="L122" s="66">
        <v>0.0</v>
      </c>
      <c r="M122" s="66">
        <v>0.0</v>
      </c>
      <c r="N122" s="66">
        <v>0.0</v>
      </c>
      <c r="O122" s="66">
        <v>0.0</v>
      </c>
      <c r="P122" s="66">
        <v>0.0</v>
      </c>
      <c r="Q122" s="66">
        <v>0.0</v>
      </c>
      <c r="R122" s="66">
        <v>0.0</v>
      </c>
      <c r="S122" s="66">
        <v>0.0</v>
      </c>
      <c r="T122" s="66">
        <v>0.0</v>
      </c>
      <c r="U122" s="66">
        <v>0.0</v>
      </c>
      <c r="V122" s="66">
        <v>1.0</v>
      </c>
      <c r="W122" s="66">
        <v>0.0</v>
      </c>
      <c r="X122" s="66">
        <v>0.0</v>
      </c>
      <c r="Y122" s="66">
        <v>0.0</v>
      </c>
      <c r="Z122" s="66">
        <v>0.0</v>
      </c>
      <c r="AA122" s="66">
        <v>1.0</v>
      </c>
      <c r="AB122" s="66">
        <v>1.0</v>
      </c>
      <c r="AC122" s="66">
        <v>0.0</v>
      </c>
      <c r="AD122" s="66">
        <v>0.0</v>
      </c>
      <c r="AE122" s="66">
        <v>0.0</v>
      </c>
      <c r="AF122" s="66">
        <v>0.0</v>
      </c>
      <c r="AG122" s="6">
        <f t="shared" ref="AG122:AG124" si="34">SUM(E122:AF122)</f>
        <v>5</v>
      </c>
    </row>
    <row r="123" ht="12.75" customHeight="1">
      <c r="A123" s="32" t="s">
        <v>38</v>
      </c>
      <c r="B123" s="51"/>
      <c r="C123" s="52"/>
      <c r="D123" s="5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6">
        <f t="shared" si="34"/>
        <v>0</v>
      </c>
    </row>
    <row r="124" ht="12.75" customHeight="1">
      <c r="A124" s="13" t="s">
        <v>14</v>
      </c>
      <c r="B124" s="49" t="s">
        <v>45</v>
      </c>
      <c r="C124" s="8"/>
      <c r="D124" s="9"/>
      <c r="E124" s="54">
        <f t="shared" ref="E124:AF124" si="35">SUM(E122:E123)</f>
        <v>0</v>
      </c>
      <c r="F124" s="54">
        <f t="shared" si="35"/>
        <v>1</v>
      </c>
      <c r="G124" s="54">
        <f t="shared" si="35"/>
        <v>0</v>
      </c>
      <c r="H124" s="54">
        <f t="shared" si="35"/>
        <v>1</v>
      </c>
      <c r="I124" s="54">
        <f t="shared" si="35"/>
        <v>0</v>
      </c>
      <c r="J124" s="54">
        <f t="shared" si="35"/>
        <v>0</v>
      </c>
      <c r="K124" s="54">
        <f t="shared" si="35"/>
        <v>0</v>
      </c>
      <c r="L124" s="54">
        <f t="shared" si="35"/>
        <v>0</v>
      </c>
      <c r="M124" s="54">
        <f t="shared" si="35"/>
        <v>0</v>
      </c>
      <c r="N124" s="54">
        <f t="shared" si="35"/>
        <v>0</v>
      </c>
      <c r="O124" s="54">
        <f t="shared" si="35"/>
        <v>0</v>
      </c>
      <c r="P124" s="54">
        <f t="shared" si="35"/>
        <v>0</v>
      </c>
      <c r="Q124" s="54">
        <f t="shared" si="35"/>
        <v>0</v>
      </c>
      <c r="R124" s="54">
        <f t="shared" si="35"/>
        <v>0</v>
      </c>
      <c r="S124" s="54">
        <f t="shared" si="35"/>
        <v>0</v>
      </c>
      <c r="T124" s="54">
        <f t="shared" si="35"/>
        <v>0</v>
      </c>
      <c r="U124" s="54">
        <f t="shared" si="35"/>
        <v>0</v>
      </c>
      <c r="V124" s="54">
        <f t="shared" si="35"/>
        <v>1</v>
      </c>
      <c r="W124" s="54">
        <f t="shared" si="35"/>
        <v>0</v>
      </c>
      <c r="X124" s="54">
        <f t="shared" si="35"/>
        <v>0</v>
      </c>
      <c r="Y124" s="54">
        <f t="shared" si="35"/>
        <v>0</v>
      </c>
      <c r="Z124" s="54">
        <f t="shared" si="35"/>
        <v>0</v>
      </c>
      <c r="AA124" s="54">
        <f t="shared" si="35"/>
        <v>1</v>
      </c>
      <c r="AB124" s="54">
        <f t="shared" si="35"/>
        <v>1</v>
      </c>
      <c r="AC124" s="54">
        <f t="shared" si="35"/>
        <v>0</v>
      </c>
      <c r="AD124" s="54">
        <f t="shared" si="35"/>
        <v>0</v>
      </c>
      <c r="AE124" s="54">
        <f t="shared" si="35"/>
        <v>0</v>
      </c>
      <c r="AF124" s="54">
        <f t="shared" si="35"/>
        <v>0</v>
      </c>
      <c r="AG124" s="6">
        <f t="shared" si="34"/>
        <v>5</v>
      </c>
    </row>
    <row r="125" ht="12.75" customHeight="1">
      <c r="A125" s="55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6"/>
    </row>
    <row r="126" ht="12.75" customHeight="1">
      <c r="A126" s="32" t="s">
        <v>36</v>
      </c>
      <c r="B126" s="49" t="s">
        <v>103</v>
      </c>
      <c r="C126" s="50" t="s">
        <v>104</v>
      </c>
      <c r="D126" s="9"/>
      <c r="E126" s="66">
        <v>0.0</v>
      </c>
      <c r="F126" s="66">
        <v>0.0</v>
      </c>
      <c r="G126" s="66">
        <v>0.0</v>
      </c>
      <c r="H126" s="66">
        <v>0.0</v>
      </c>
      <c r="I126" s="66">
        <v>0.0</v>
      </c>
      <c r="J126" s="66">
        <v>0.0</v>
      </c>
      <c r="K126" s="66">
        <v>0.0</v>
      </c>
      <c r="L126" s="66">
        <v>0.0</v>
      </c>
      <c r="M126" s="66">
        <v>0.0</v>
      </c>
      <c r="N126" s="66">
        <v>1.0</v>
      </c>
      <c r="O126" s="66">
        <v>0.0</v>
      </c>
      <c r="P126" s="66">
        <v>0.0</v>
      </c>
      <c r="Q126" s="66">
        <v>0.0</v>
      </c>
      <c r="R126" s="66">
        <v>0.0</v>
      </c>
      <c r="S126" s="66">
        <v>0.0</v>
      </c>
      <c r="T126" s="66">
        <v>0.0</v>
      </c>
      <c r="U126" s="66">
        <v>0.0</v>
      </c>
      <c r="V126" s="66">
        <v>0.0</v>
      </c>
      <c r="W126" s="66">
        <v>1.0</v>
      </c>
      <c r="X126" s="66">
        <v>0.0</v>
      </c>
      <c r="Y126" s="66">
        <v>0.0</v>
      </c>
      <c r="Z126" s="66">
        <v>0.0</v>
      </c>
      <c r="AA126" s="66">
        <v>0.0</v>
      </c>
      <c r="AB126" s="66">
        <v>0.0</v>
      </c>
      <c r="AC126" s="66">
        <v>0.0</v>
      </c>
      <c r="AD126" s="66">
        <v>0.0</v>
      </c>
      <c r="AE126" s="66">
        <v>0.0</v>
      </c>
      <c r="AF126" s="66">
        <v>0.0</v>
      </c>
      <c r="AG126" s="6">
        <f t="shared" ref="AG126:AG131" si="36">SUM(E126:AF126)</f>
        <v>2</v>
      </c>
    </row>
    <row r="127" ht="12.75" customHeight="1">
      <c r="A127" s="32" t="s">
        <v>38</v>
      </c>
      <c r="B127" s="51"/>
      <c r="C127" s="52" t="s">
        <v>105</v>
      </c>
      <c r="D127" s="53"/>
      <c r="E127" s="66">
        <v>0.0</v>
      </c>
      <c r="F127" s="66">
        <v>0.0</v>
      </c>
      <c r="G127" s="66">
        <v>1.0</v>
      </c>
      <c r="H127" s="66">
        <v>1.0</v>
      </c>
      <c r="I127" s="66">
        <v>0.0</v>
      </c>
      <c r="J127" s="66">
        <v>0.0</v>
      </c>
      <c r="K127" s="66">
        <v>0.0</v>
      </c>
      <c r="L127" s="66">
        <v>0.0</v>
      </c>
      <c r="M127" s="66">
        <v>0.0</v>
      </c>
      <c r="N127" s="66">
        <v>0.0</v>
      </c>
      <c r="O127" s="66">
        <v>0.0</v>
      </c>
      <c r="P127" s="66">
        <v>0.0</v>
      </c>
      <c r="Q127" s="66">
        <v>0.0</v>
      </c>
      <c r="R127" s="66">
        <v>0.0</v>
      </c>
      <c r="S127" s="66">
        <v>0.0</v>
      </c>
      <c r="T127" s="66">
        <v>0.0</v>
      </c>
      <c r="U127" s="66">
        <v>0.0</v>
      </c>
      <c r="V127" s="66">
        <v>0.0</v>
      </c>
      <c r="W127" s="66">
        <v>0.0</v>
      </c>
      <c r="X127" s="66">
        <v>0.0</v>
      </c>
      <c r="Y127" s="66">
        <v>0.0</v>
      </c>
      <c r="Z127" s="66">
        <v>0.0</v>
      </c>
      <c r="AA127" s="66">
        <v>0.0</v>
      </c>
      <c r="AB127" s="66">
        <v>0.0</v>
      </c>
      <c r="AC127" s="66">
        <v>0.0</v>
      </c>
      <c r="AD127" s="66">
        <v>0.0</v>
      </c>
      <c r="AE127" s="66">
        <v>0.0</v>
      </c>
      <c r="AF127" s="66">
        <v>0.0</v>
      </c>
      <c r="AG127" s="6">
        <f t="shared" si="36"/>
        <v>2</v>
      </c>
    </row>
    <row r="128" ht="12.75" customHeight="1">
      <c r="A128" s="18"/>
      <c r="B128" s="51"/>
      <c r="C128" s="52" t="s">
        <v>106</v>
      </c>
      <c r="D128" s="53"/>
      <c r="E128" s="66">
        <v>0.0</v>
      </c>
      <c r="F128" s="66">
        <v>0.0</v>
      </c>
      <c r="G128" s="66">
        <v>0.0</v>
      </c>
      <c r="H128" s="66">
        <v>0.0</v>
      </c>
      <c r="I128" s="66">
        <v>1.0</v>
      </c>
      <c r="J128" s="66">
        <v>0.0</v>
      </c>
      <c r="K128" s="66">
        <v>0.0</v>
      </c>
      <c r="L128" s="66">
        <v>0.0</v>
      </c>
      <c r="M128" s="66">
        <v>0.0</v>
      </c>
      <c r="N128" s="66">
        <v>0.0</v>
      </c>
      <c r="O128" s="66">
        <v>0.0</v>
      </c>
      <c r="P128" s="66">
        <v>0.0</v>
      </c>
      <c r="Q128" s="66">
        <v>0.0</v>
      </c>
      <c r="R128" s="66">
        <v>0.0</v>
      </c>
      <c r="S128" s="66">
        <v>0.0</v>
      </c>
      <c r="T128" s="66">
        <v>0.0</v>
      </c>
      <c r="U128" s="66">
        <v>0.0</v>
      </c>
      <c r="V128" s="66">
        <v>0.0</v>
      </c>
      <c r="W128" s="66">
        <v>0.0</v>
      </c>
      <c r="X128" s="66">
        <v>0.0</v>
      </c>
      <c r="Y128" s="66">
        <v>0.0</v>
      </c>
      <c r="Z128" s="66">
        <v>0.0</v>
      </c>
      <c r="AA128" s="66">
        <v>0.0</v>
      </c>
      <c r="AB128" s="66">
        <v>0.0</v>
      </c>
      <c r="AC128" s="66">
        <v>0.0</v>
      </c>
      <c r="AD128" s="66">
        <v>1.0</v>
      </c>
      <c r="AE128" s="66">
        <v>1.0</v>
      </c>
      <c r="AF128" s="66">
        <v>0.0</v>
      </c>
      <c r="AG128" s="6">
        <f t="shared" si="36"/>
        <v>3</v>
      </c>
    </row>
    <row r="129" ht="12.75" customHeight="1">
      <c r="A129" s="18"/>
      <c r="B129" s="51"/>
      <c r="C129" s="52" t="s">
        <v>107</v>
      </c>
      <c r="D129" s="53"/>
      <c r="E129" s="66">
        <v>0.0</v>
      </c>
      <c r="F129" s="66">
        <v>0.0</v>
      </c>
      <c r="G129" s="66">
        <v>0.0</v>
      </c>
      <c r="H129" s="66">
        <v>0.0</v>
      </c>
      <c r="I129" s="66">
        <v>0.0</v>
      </c>
      <c r="J129" s="66">
        <v>0.0</v>
      </c>
      <c r="K129" s="66">
        <v>0.0</v>
      </c>
      <c r="L129" s="66">
        <v>0.0</v>
      </c>
      <c r="M129" s="66">
        <v>0.0</v>
      </c>
      <c r="N129" s="66">
        <v>0.0</v>
      </c>
      <c r="O129" s="66">
        <v>0.0</v>
      </c>
      <c r="P129" s="66">
        <v>0.0</v>
      </c>
      <c r="Q129" s="66">
        <v>0.0</v>
      </c>
      <c r="R129" s="66">
        <v>0.0</v>
      </c>
      <c r="S129" s="66">
        <v>0.0</v>
      </c>
      <c r="T129" s="66">
        <v>0.0</v>
      </c>
      <c r="U129" s="66">
        <v>0.0</v>
      </c>
      <c r="V129" s="66">
        <v>0.0</v>
      </c>
      <c r="W129" s="66">
        <v>0.0</v>
      </c>
      <c r="X129" s="66">
        <v>0.0</v>
      </c>
      <c r="Y129" s="66">
        <v>0.0</v>
      </c>
      <c r="Z129" s="66">
        <v>0.0</v>
      </c>
      <c r="AA129" s="66">
        <v>0.0</v>
      </c>
      <c r="AB129" s="66">
        <v>0.0</v>
      </c>
      <c r="AC129" s="66">
        <v>0.0</v>
      </c>
      <c r="AD129" s="66">
        <v>0.0</v>
      </c>
      <c r="AE129" s="66">
        <v>0.0</v>
      </c>
      <c r="AF129" s="66">
        <v>0.0</v>
      </c>
      <c r="AG129" s="6">
        <f t="shared" si="36"/>
        <v>0</v>
      </c>
    </row>
    <row r="130" ht="12.75" customHeight="1">
      <c r="A130" s="18"/>
      <c r="B130" s="51"/>
      <c r="C130" s="52" t="s">
        <v>108</v>
      </c>
      <c r="D130" s="53"/>
      <c r="E130" s="66">
        <v>0.0</v>
      </c>
      <c r="F130" s="66">
        <v>0.0</v>
      </c>
      <c r="G130" s="66">
        <v>0.0</v>
      </c>
      <c r="H130" s="66">
        <v>0.0</v>
      </c>
      <c r="I130" s="66">
        <v>0.0</v>
      </c>
      <c r="J130" s="66">
        <v>0.0</v>
      </c>
      <c r="K130" s="66">
        <v>0.0</v>
      </c>
      <c r="L130" s="66">
        <v>0.0</v>
      </c>
      <c r="M130" s="66">
        <v>0.0</v>
      </c>
      <c r="N130" s="66">
        <v>0.0</v>
      </c>
      <c r="O130" s="66">
        <v>0.0</v>
      </c>
      <c r="P130" s="66">
        <v>0.0</v>
      </c>
      <c r="Q130" s="66">
        <v>0.0</v>
      </c>
      <c r="R130" s="66">
        <v>0.0</v>
      </c>
      <c r="S130" s="66">
        <v>0.0</v>
      </c>
      <c r="T130" s="66">
        <v>0.0</v>
      </c>
      <c r="U130" s="66">
        <v>0.0</v>
      </c>
      <c r="V130" s="66">
        <v>0.0</v>
      </c>
      <c r="W130" s="66">
        <v>0.0</v>
      </c>
      <c r="X130" s="66">
        <v>0.0</v>
      </c>
      <c r="Y130" s="66">
        <v>0.0</v>
      </c>
      <c r="Z130" s="66">
        <v>0.0</v>
      </c>
      <c r="AA130" s="66">
        <v>0.0</v>
      </c>
      <c r="AB130" s="66">
        <v>0.0</v>
      </c>
      <c r="AC130" s="66">
        <v>0.0</v>
      </c>
      <c r="AD130" s="66">
        <v>0.0</v>
      </c>
      <c r="AE130" s="66">
        <v>0.0</v>
      </c>
      <c r="AF130" s="66">
        <v>0.0</v>
      </c>
      <c r="AG130" s="6">
        <f t="shared" si="36"/>
        <v>0</v>
      </c>
    </row>
    <row r="131" ht="12.75" customHeight="1">
      <c r="A131" s="13" t="s">
        <v>14</v>
      </c>
      <c r="B131" s="49" t="s">
        <v>45</v>
      </c>
      <c r="C131" s="8"/>
      <c r="D131" s="9"/>
      <c r="E131" s="54">
        <f t="shared" ref="E131:AF131" si="37">SUM(E126:E130)</f>
        <v>0</v>
      </c>
      <c r="F131" s="54">
        <f t="shared" si="37"/>
        <v>0</v>
      </c>
      <c r="G131" s="54">
        <f t="shared" si="37"/>
        <v>1</v>
      </c>
      <c r="H131" s="54">
        <f t="shared" si="37"/>
        <v>1</v>
      </c>
      <c r="I131" s="54">
        <f t="shared" si="37"/>
        <v>1</v>
      </c>
      <c r="J131" s="54">
        <f t="shared" si="37"/>
        <v>0</v>
      </c>
      <c r="K131" s="54">
        <f t="shared" si="37"/>
        <v>0</v>
      </c>
      <c r="L131" s="54">
        <f t="shared" si="37"/>
        <v>0</v>
      </c>
      <c r="M131" s="54">
        <f t="shared" si="37"/>
        <v>0</v>
      </c>
      <c r="N131" s="54">
        <f t="shared" si="37"/>
        <v>1</v>
      </c>
      <c r="O131" s="54">
        <f t="shared" si="37"/>
        <v>0</v>
      </c>
      <c r="P131" s="54">
        <f t="shared" si="37"/>
        <v>0</v>
      </c>
      <c r="Q131" s="54">
        <f t="shared" si="37"/>
        <v>0</v>
      </c>
      <c r="R131" s="54">
        <f t="shared" si="37"/>
        <v>0</v>
      </c>
      <c r="S131" s="54">
        <f t="shared" si="37"/>
        <v>0</v>
      </c>
      <c r="T131" s="54">
        <f t="shared" si="37"/>
        <v>0</v>
      </c>
      <c r="U131" s="54">
        <f t="shared" si="37"/>
        <v>0</v>
      </c>
      <c r="V131" s="54">
        <f t="shared" si="37"/>
        <v>0</v>
      </c>
      <c r="W131" s="54">
        <f t="shared" si="37"/>
        <v>1</v>
      </c>
      <c r="X131" s="54">
        <f t="shared" si="37"/>
        <v>0</v>
      </c>
      <c r="Y131" s="54">
        <f t="shared" si="37"/>
        <v>0</v>
      </c>
      <c r="Z131" s="54">
        <f t="shared" si="37"/>
        <v>0</v>
      </c>
      <c r="AA131" s="54">
        <f t="shared" si="37"/>
        <v>0</v>
      </c>
      <c r="AB131" s="54">
        <f t="shared" si="37"/>
        <v>0</v>
      </c>
      <c r="AC131" s="54">
        <f t="shared" si="37"/>
        <v>0</v>
      </c>
      <c r="AD131" s="54">
        <f t="shared" si="37"/>
        <v>1</v>
      </c>
      <c r="AE131" s="54">
        <f t="shared" si="37"/>
        <v>1</v>
      </c>
      <c r="AF131" s="54">
        <f t="shared" si="37"/>
        <v>0</v>
      </c>
      <c r="AG131" s="6">
        <f t="shared" si="36"/>
        <v>7</v>
      </c>
    </row>
    <row r="132" ht="12.75" customHeight="1">
      <c r="A132" s="55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6"/>
    </row>
    <row r="133" ht="12.75" customHeight="1">
      <c r="A133" s="32" t="s">
        <v>36</v>
      </c>
      <c r="B133" s="49" t="s">
        <v>109</v>
      </c>
      <c r="C133" s="50" t="s">
        <v>110</v>
      </c>
      <c r="D133" s="9"/>
      <c r="E133" s="66">
        <v>1.0</v>
      </c>
      <c r="F133" s="66">
        <v>0.0</v>
      </c>
      <c r="G133" s="66">
        <v>0.0</v>
      </c>
      <c r="H133" s="66">
        <v>0.0</v>
      </c>
      <c r="I133" s="66">
        <v>0.0</v>
      </c>
      <c r="J133" s="66">
        <v>0.0</v>
      </c>
      <c r="K133" s="66">
        <v>1.0</v>
      </c>
      <c r="L133" s="66">
        <v>0.0</v>
      </c>
      <c r="M133" s="66">
        <v>0.0</v>
      </c>
      <c r="N133" s="66">
        <v>0.0</v>
      </c>
      <c r="O133" s="66">
        <v>0.0</v>
      </c>
      <c r="P133" s="66">
        <v>0.0</v>
      </c>
      <c r="Q133" s="66">
        <v>0.0</v>
      </c>
      <c r="R133" s="66">
        <v>0.0</v>
      </c>
      <c r="S133" s="66">
        <v>0.0</v>
      </c>
      <c r="T133" s="66">
        <v>0.0</v>
      </c>
      <c r="U133" s="66">
        <v>0.0</v>
      </c>
      <c r="V133" s="66">
        <v>0.0</v>
      </c>
      <c r="W133" s="66">
        <v>0.0</v>
      </c>
      <c r="X133" s="66">
        <v>0.0</v>
      </c>
      <c r="Y133" s="66">
        <v>0.0</v>
      </c>
      <c r="Z133" s="66">
        <v>0.0</v>
      </c>
      <c r="AA133" s="66">
        <v>0.0</v>
      </c>
      <c r="AB133" s="66">
        <v>0.0</v>
      </c>
      <c r="AC133" s="66">
        <v>0.0</v>
      </c>
      <c r="AD133" s="66">
        <v>0.0</v>
      </c>
      <c r="AE133" s="66">
        <v>0.0</v>
      </c>
      <c r="AF133" s="66">
        <v>0.0</v>
      </c>
      <c r="AG133" s="6">
        <f t="shared" ref="AG133:AG140" si="38">SUM(E133:AF133)</f>
        <v>2</v>
      </c>
    </row>
    <row r="134" ht="12.75" customHeight="1">
      <c r="A134" s="32" t="s">
        <v>38</v>
      </c>
      <c r="B134" s="51"/>
      <c r="C134" s="52" t="s">
        <v>111</v>
      </c>
      <c r="D134" s="53"/>
      <c r="E134" s="66">
        <v>0.0</v>
      </c>
      <c r="F134" s="66">
        <v>0.0</v>
      </c>
      <c r="G134" s="66">
        <v>0.0</v>
      </c>
      <c r="H134" s="66">
        <v>0.0</v>
      </c>
      <c r="I134" s="66">
        <v>0.0</v>
      </c>
      <c r="J134" s="66">
        <v>0.0</v>
      </c>
      <c r="K134" s="66">
        <v>0.0</v>
      </c>
      <c r="L134" s="66">
        <v>0.0</v>
      </c>
      <c r="M134" s="66">
        <v>0.0</v>
      </c>
      <c r="N134" s="66">
        <v>0.0</v>
      </c>
      <c r="O134" s="66">
        <v>0.0</v>
      </c>
      <c r="P134" s="66">
        <v>0.0</v>
      </c>
      <c r="Q134" s="66">
        <v>0.0</v>
      </c>
      <c r="R134" s="66">
        <v>1.0</v>
      </c>
      <c r="S134" s="66">
        <v>0.0</v>
      </c>
      <c r="T134" s="66">
        <v>0.0</v>
      </c>
      <c r="U134" s="66">
        <v>0.0</v>
      </c>
      <c r="V134" s="66">
        <v>0.0</v>
      </c>
      <c r="W134" s="66">
        <v>0.0</v>
      </c>
      <c r="X134" s="66">
        <v>0.0</v>
      </c>
      <c r="Y134" s="66">
        <v>0.0</v>
      </c>
      <c r="Z134" s="66">
        <v>0.0</v>
      </c>
      <c r="AA134" s="66">
        <v>0.0</v>
      </c>
      <c r="AB134" s="66">
        <v>0.0</v>
      </c>
      <c r="AC134" s="66">
        <v>1.0</v>
      </c>
      <c r="AD134" s="66">
        <v>0.0</v>
      </c>
      <c r="AE134" s="66">
        <v>0.0</v>
      </c>
      <c r="AF134" s="66">
        <v>0.0</v>
      </c>
      <c r="AG134" s="6">
        <f t="shared" si="38"/>
        <v>2</v>
      </c>
    </row>
    <row r="135" ht="12.75" customHeight="1">
      <c r="A135" s="18"/>
      <c r="B135" s="51"/>
      <c r="C135" s="52" t="s">
        <v>112</v>
      </c>
      <c r="D135" s="53"/>
      <c r="E135" s="66">
        <v>0.0</v>
      </c>
      <c r="F135" s="66">
        <v>0.0</v>
      </c>
      <c r="G135" s="66">
        <v>0.0</v>
      </c>
      <c r="H135" s="66">
        <v>0.0</v>
      </c>
      <c r="I135" s="66">
        <v>0.0</v>
      </c>
      <c r="J135" s="66">
        <v>0.0</v>
      </c>
      <c r="K135" s="66">
        <v>0.0</v>
      </c>
      <c r="L135" s="66">
        <v>0.0</v>
      </c>
      <c r="M135" s="66">
        <v>0.0</v>
      </c>
      <c r="N135" s="66">
        <v>0.0</v>
      </c>
      <c r="O135" s="66">
        <v>0.0</v>
      </c>
      <c r="P135" s="66">
        <v>0.0</v>
      </c>
      <c r="Q135" s="66">
        <v>0.0</v>
      </c>
      <c r="R135" s="66">
        <v>0.0</v>
      </c>
      <c r="S135" s="66">
        <v>0.0</v>
      </c>
      <c r="T135" s="66">
        <v>0.0</v>
      </c>
      <c r="U135" s="66">
        <v>0.0</v>
      </c>
      <c r="V135" s="66">
        <v>0.0</v>
      </c>
      <c r="W135" s="66">
        <v>0.0</v>
      </c>
      <c r="X135" s="66">
        <v>0.0</v>
      </c>
      <c r="Y135" s="66">
        <v>0.0</v>
      </c>
      <c r="Z135" s="66">
        <v>0.0</v>
      </c>
      <c r="AA135" s="66">
        <v>0.0</v>
      </c>
      <c r="AB135" s="66">
        <v>0.0</v>
      </c>
      <c r="AC135" s="66">
        <v>0.0</v>
      </c>
      <c r="AD135" s="66">
        <v>0.0</v>
      </c>
      <c r="AE135" s="66">
        <v>0.0</v>
      </c>
      <c r="AF135" s="66">
        <v>0.0</v>
      </c>
      <c r="AG135" s="6">
        <f t="shared" si="38"/>
        <v>0</v>
      </c>
    </row>
    <row r="136" ht="12.75" customHeight="1">
      <c r="A136" s="18"/>
      <c r="B136" s="51"/>
      <c r="C136" s="52" t="s">
        <v>113</v>
      </c>
      <c r="D136" s="53"/>
      <c r="E136" s="66">
        <v>0.0</v>
      </c>
      <c r="F136" s="66">
        <v>0.0</v>
      </c>
      <c r="G136" s="66">
        <v>0.0</v>
      </c>
      <c r="H136" s="66">
        <v>0.0</v>
      </c>
      <c r="I136" s="66">
        <v>0.0</v>
      </c>
      <c r="J136" s="66">
        <v>0.0</v>
      </c>
      <c r="K136" s="66">
        <v>0.0</v>
      </c>
      <c r="L136" s="66">
        <v>0.0</v>
      </c>
      <c r="M136" s="66">
        <v>0.0</v>
      </c>
      <c r="N136" s="66">
        <v>0.0</v>
      </c>
      <c r="O136" s="66">
        <v>0.0</v>
      </c>
      <c r="P136" s="66">
        <v>0.0</v>
      </c>
      <c r="Q136" s="66">
        <v>0.0</v>
      </c>
      <c r="R136" s="66">
        <v>0.0</v>
      </c>
      <c r="S136" s="66">
        <v>0.0</v>
      </c>
      <c r="T136" s="66">
        <v>0.0</v>
      </c>
      <c r="U136" s="66">
        <v>0.0</v>
      </c>
      <c r="V136" s="66">
        <v>0.0</v>
      </c>
      <c r="W136" s="66">
        <v>0.0</v>
      </c>
      <c r="X136" s="66">
        <v>0.0</v>
      </c>
      <c r="Y136" s="66">
        <v>0.0</v>
      </c>
      <c r="Z136" s="66">
        <v>0.0</v>
      </c>
      <c r="AA136" s="66">
        <v>0.0</v>
      </c>
      <c r="AB136" s="66">
        <v>0.0</v>
      </c>
      <c r="AC136" s="66">
        <v>0.0</v>
      </c>
      <c r="AD136" s="66">
        <v>0.0</v>
      </c>
      <c r="AE136" s="66">
        <v>0.0</v>
      </c>
      <c r="AF136" s="66">
        <v>0.0</v>
      </c>
      <c r="AG136" s="6">
        <f t="shared" si="38"/>
        <v>0</v>
      </c>
    </row>
    <row r="137" ht="12.75" customHeight="1">
      <c r="A137" s="18"/>
      <c r="B137" s="51"/>
      <c r="C137" s="52" t="s">
        <v>114</v>
      </c>
      <c r="D137" s="53"/>
      <c r="E137" s="66">
        <v>0.0</v>
      </c>
      <c r="F137" s="66">
        <v>0.0</v>
      </c>
      <c r="G137" s="66">
        <v>0.0</v>
      </c>
      <c r="H137" s="66">
        <v>0.0</v>
      </c>
      <c r="I137" s="66">
        <v>0.0</v>
      </c>
      <c r="J137" s="66">
        <v>0.0</v>
      </c>
      <c r="K137" s="66">
        <v>0.0</v>
      </c>
      <c r="L137" s="66">
        <v>0.0</v>
      </c>
      <c r="M137" s="66">
        <v>0.0</v>
      </c>
      <c r="N137" s="66">
        <v>0.0</v>
      </c>
      <c r="O137" s="66">
        <v>0.0</v>
      </c>
      <c r="P137" s="66">
        <v>0.0</v>
      </c>
      <c r="Q137" s="66">
        <v>0.0</v>
      </c>
      <c r="R137" s="66">
        <v>0.0</v>
      </c>
      <c r="S137" s="66">
        <v>0.0</v>
      </c>
      <c r="T137" s="66">
        <v>0.0</v>
      </c>
      <c r="U137" s="66">
        <v>0.0</v>
      </c>
      <c r="V137" s="66">
        <v>0.0</v>
      </c>
      <c r="W137" s="66">
        <v>0.0</v>
      </c>
      <c r="X137" s="66">
        <v>0.0</v>
      </c>
      <c r="Y137" s="66">
        <v>0.0</v>
      </c>
      <c r="Z137" s="66">
        <v>0.0</v>
      </c>
      <c r="AA137" s="66">
        <v>0.0</v>
      </c>
      <c r="AB137" s="66">
        <v>0.0</v>
      </c>
      <c r="AC137" s="66">
        <v>0.0</v>
      </c>
      <c r="AD137" s="66">
        <v>0.0</v>
      </c>
      <c r="AE137" s="66">
        <v>0.0</v>
      </c>
      <c r="AF137" s="66">
        <v>0.0</v>
      </c>
      <c r="AG137" s="6">
        <f t="shared" si="38"/>
        <v>0</v>
      </c>
    </row>
    <row r="138" ht="12.75" customHeight="1">
      <c r="A138" s="18"/>
      <c r="B138" s="51"/>
      <c r="C138" s="52" t="s">
        <v>115</v>
      </c>
      <c r="D138" s="53"/>
      <c r="E138" s="66">
        <v>0.0</v>
      </c>
      <c r="F138" s="66">
        <v>0.0</v>
      </c>
      <c r="G138" s="66">
        <v>0.0</v>
      </c>
      <c r="H138" s="66">
        <v>0.0</v>
      </c>
      <c r="I138" s="66">
        <v>0.0</v>
      </c>
      <c r="J138" s="66">
        <v>0.0</v>
      </c>
      <c r="K138" s="66">
        <v>0.0</v>
      </c>
      <c r="L138" s="66">
        <v>0.0</v>
      </c>
      <c r="M138" s="66">
        <v>0.0</v>
      </c>
      <c r="N138" s="66">
        <v>0.0</v>
      </c>
      <c r="O138" s="66">
        <v>0.0</v>
      </c>
      <c r="P138" s="66">
        <v>0.0</v>
      </c>
      <c r="Q138" s="66">
        <v>0.0</v>
      </c>
      <c r="R138" s="66">
        <v>0.0</v>
      </c>
      <c r="S138" s="66">
        <v>0.0</v>
      </c>
      <c r="T138" s="66">
        <v>0.0</v>
      </c>
      <c r="U138" s="66">
        <v>0.0</v>
      </c>
      <c r="V138" s="66">
        <v>0.0</v>
      </c>
      <c r="W138" s="66">
        <v>0.0</v>
      </c>
      <c r="X138" s="66">
        <v>0.0</v>
      </c>
      <c r="Y138" s="66">
        <v>0.0</v>
      </c>
      <c r="Z138" s="66">
        <v>0.0</v>
      </c>
      <c r="AA138" s="66">
        <v>0.0</v>
      </c>
      <c r="AB138" s="66">
        <v>0.0</v>
      </c>
      <c r="AC138" s="66">
        <v>0.0</v>
      </c>
      <c r="AD138" s="66">
        <v>0.0</v>
      </c>
      <c r="AE138" s="66">
        <v>0.0</v>
      </c>
      <c r="AF138" s="66">
        <v>0.0</v>
      </c>
      <c r="AG138" s="6">
        <f t="shared" si="38"/>
        <v>0</v>
      </c>
    </row>
    <row r="139" ht="12.75" customHeight="1">
      <c r="A139" s="18"/>
      <c r="B139" s="51"/>
      <c r="C139" s="52" t="s">
        <v>116</v>
      </c>
      <c r="D139" s="53"/>
      <c r="E139" s="66">
        <v>0.0</v>
      </c>
      <c r="F139" s="66">
        <v>0.0</v>
      </c>
      <c r="G139" s="66">
        <v>0.0</v>
      </c>
      <c r="H139" s="66">
        <v>0.0</v>
      </c>
      <c r="I139" s="66">
        <v>0.0</v>
      </c>
      <c r="J139" s="66">
        <v>0.0</v>
      </c>
      <c r="K139" s="66">
        <v>0.0</v>
      </c>
      <c r="L139" s="66">
        <v>0.0</v>
      </c>
      <c r="M139" s="66">
        <v>0.0</v>
      </c>
      <c r="N139" s="66">
        <v>0.0</v>
      </c>
      <c r="O139" s="66">
        <v>0.0</v>
      </c>
      <c r="P139" s="66">
        <v>0.0</v>
      </c>
      <c r="Q139" s="66">
        <v>0.0</v>
      </c>
      <c r="R139" s="66">
        <v>0.0</v>
      </c>
      <c r="S139" s="66">
        <v>0.0</v>
      </c>
      <c r="T139" s="66">
        <v>0.0</v>
      </c>
      <c r="U139" s="66">
        <v>0.0</v>
      </c>
      <c r="V139" s="66">
        <v>0.0</v>
      </c>
      <c r="W139" s="66">
        <v>0.0</v>
      </c>
      <c r="X139" s="66">
        <v>0.0</v>
      </c>
      <c r="Y139" s="66">
        <v>0.0</v>
      </c>
      <c r="Z139" s="66">
        <v>0.0</v>
      </c>
      <c r="AA139" s="66">
        <v>0.0</v>
      </c>
      <c r="AB139" s="66">
        <v>0.0</v>
      </c>
      <c r="AC139" s="66">
        <v>0.0</v>
      </c>
      <c r="AD139" s="66">
        <v>0.0</v>
      </c>
      <c r="AE139" s="66">
        <v>0.0</v>
      </c>
      <c r="AF139" s="66">
        <v>0.0</v>
      </c>
      <c r="AG139" s="6">
        <f t="shared" si="38"/>
        <v>0</v>
      </c>
    </row>
    <row r="140" ht="12.75" customHeight="1">
      <c r="A140" s="13" t="s">
        <v>14</v>
      </c>
      <c r="B140" s="49" t="s">
        <v>45</v>
      </c>
      <c r="C140" s="8"/>
      <c r="D140" s="9"/>
      <c r="E140" s="54">
        <f t="shared" ref="E140:AF140" si="39">SUM(E133:E139)</f>
        <v>1</v>
      </c>
      <c r="F140" s="54">
        <f t="shared" si="39"/>
        <v>0</v>
      </c>
      <c r="G140" s="54">
        <f t="shared" si="39"/>
        <v>0</v>
      </c>
      <c r="H140" s="54">
        <f t="shared" si="39"/>
        <v>0</v>
      </c>
      <c r="I140" s="54">
        <f t="shared" si="39"/>
        <v>0</v>
      </c>
      <c r="J140" s="54">
        <f t="shared" si="39"/>
        <v>0</v>
      </c>
      <c r="K140" s="54">
        <f t="shared" si="39"/>
        <v>1</v>
      </c>
      <c r="L140" s="54">
        <f t="shared" si="39"/>
        <v>0</v>
      </c>
      <c r="M140" s="54">
        <f t="shared" si="39"/>
        <v>0</v>
      </c>
      <c r="N140" s="54">
        <f t="shared" si="39"/>
        <v>0</v>
      </c>
      <c r="O140" s="54">
        <f t="shared" si="39"/>
        <v>0</v>
      </c>
      <c r="P140" s="54">
        <f t="shared" si="39"/>
        <v>0</v>
      </c>
      <c r="Q140" s="54">
        <f t="shared" si="39"/>
        <v>0</v>
      </c>
      <c r="R140" s="54">
        <f t="shared" si="39"/>
        <v>1</v>
      </c>
      <c r="S140" s="54">
        <f t="shared" si="39"/>
        <v>0</v>
      </c>
      <c r="T140" s="54">
        <f t="shared" si="39"/>
        <v>0</v>
      </c>
      <c r="U140" s="54">
        <f t="shared" si="39"/>
        <v>0</v>
      </c>
      <c r="V140" s="54">
        <f t="shared" si="39"/>
        <v>0</v>
      </c>
      <c r="W140" s="54">
        <f t="shared" si="39"/>
        <v>0</v>
      </c>
      <c r="X140" s="54">
        <f t="shared" si="39"/>
        <v>0</v>
      </c>
      <c r="Y140" s="54">
        <f t="shared" si="39"/>
        <v>0</v>
      </c>
      <c r="Z140" s="54">
        <f t="shared" si="39"/>
        <v>0</v>
      </c>
      <c r="AA140" s="54">
        <f t="shared" si="39"/>
        <v>0</v>
      </c>
      <c r="AB140" s="54">
        <f t="shared" si="39"/>
        <v>0</v>
      </c>
      <c r="AC140" s="54">
        <f t="shared" si="39"/>
        <v>1</v>
      </c>
      <c r="AD140" s="54">
        <f t="shared" si="39"/>
        <v>0</v>
      </c>
      <c r="AE140" s="54">
        <f t="shared" si="39"/>
        <v>0</v>
      </c>
      <c r="AF140" s="54">
        <f t="shared" si="39"/>
        <v>0</v>
      </c>
      <c r="AG140" s="6">
        <f t="shared" si="38"/>
        <v>4</v>
      </c>
    </row>
    <row r="141" ht="12.75" customHeight="1">
      <c r="A141" s="55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6"/>
    </row>
    <row r="142" ht="12.75" customHeight="1">
      <c r="A142" s="32" t="s">
        <v>36</v>
      </c>
      <c r="B142" s="49" t="s">
        <v>117</v>
      </c>
      <c r="C142" s="50" t="s">
        <v>118</v>
      </c>
      <c r="D142" s="9"/>
      <c r="E142" s="66">
        <v>3.0</v>
      </c>
      <c r="F142" s="66">
        <v>2.0</v>
      </c>
      <c r="G142" s="66">
        <v>2.0</v>
      </c>
      <c r="H142" s="66">
        <v>2.0</v>
      </c>
      <c r="I142" s="66">
        <v>5.0</v>
      </c>
      <c r="J142" s="66">
        <v>0.0</v>
      </c>
      <c r="K142" s="66">
        <v>5.0</v>
      </c>
      <c r="L142" s="66">
        <v>8.0</v>
      </c>
      <c r="M142" s="66">
        <v>1.0</v>
      </c>
      <c r="N142" s="66">
        <v>1.0</v>
      </c>
      <c r="O142" s="66">
        <v>1.0</v>
      </c>
      <c r="P142" s="66">
        <v>0.0</v>
      </c>
      <c r="Q142" s="66">
        <v>1.0</v>
      </c>
      <c r="R142" s="66">
        <v>1.0</v>
      </c>
      <c r="S142" s="66">
        <v>2.0</v>
      </c>
      <c r="T142" s="66">
        <v>1.0</v>
      </c>
      <c r="U142" s="66">
        <v>3.0</v>
      </c>
      <c r="V142" s="66">
        <v>2.0</v>
      </c>
      <c r="W142" s="66">
        <v>1.0</v>
      </c>
      <c r="X142" s="66">
        <v>2.0</v>
      </c>
      <c r="Y142" s="66">
        <v>1.0</v>
      </c>
      <c r="Z142" s="66">
        <v>0.0</v>
      </c>
      <c r="AA142" s="66">
        <v>0.0</v>
      </c>
      <c r="AB142" s="66">
        <v>1.0</v>
      </c>
      <c r="AC142" s="66">
        <v>2.0</v>
      </c>
      <c r="AD142" s="66">
        <v>2.0</v>
      </c>
      <c r="AE142" s="66">
        <v>2.0</v>
      </c>
      <c r="AF142" s="66">
        <v>0.0</v>
      </c>
      <c r="AG142" s="6">
        <f t="shared" ref="AG142:AG149" si="40">SUM(E142:AF142)</f>
        <v>51</v>
      </c>
    </row>
    <row r="143" ht="12.75" customHeight="1">
      <c r="A143" s="32" t="s">
        <v>38</v>
      </c>
      <c r="B143" s="51"/>
      <c r="C143" s="52" t="s">
        <v>119</v>
      </c>
      <c r="D143" s="53"/>
      <c r="E143" s="66">
        <v>14.0</v>
      </c>
      <c r="F143" s="66">
        <v>6.0</v>
      </c>
      <c r="G143" s="66">
        <v>24.0</v>
      </c>
      <c r="H143" s="66">
        <v>20.0</v>
      </c>
      <c r="I143" s="66">
        <v>55.0</v>
      </c>
      <c r="J143" s="66">
        <v>7.0</v>
      </c>
      <c r="K143" s="66">
        <v>21.0</v>
      </c>
      <c r="L143" s="66">
        <v>22.0</v>
      </c>
      <c r="M143" s="66">
        <v>1.0</v>
      </c>
      <c r="N143" s="66">
        <v>11.0</v>
      </c>
      <c r="O143" s="66">
        <v>23.0</v>
      </c>
      <c r="P143" s="66">
        <v>1.0</v>
      </c>
      <c r="Q143" s="66">
        <v>7.0</v>
      </c>
      <c r="R143" s="66">
        <v>9.0</v>
      </c>
      <c r="S143" s="66">
        <v>13.0</v>
      </c>
      <c r="T143" s="66">
        <v>9.0</v>
      </c>
      <c r="U143" s="66">
        <v>11.0</v>
      </c>
      <c r="V143" s="66">
        <v>6.0</v>
      </c>
      <c r="W143" s="66">
        <v>0.0</v>
      </c>
      <c r="X143" s="66">
        <v>5.0</v>
      </c>
      <c r="Y143" s="66">
        <v>4.0</v>
      </c>
      <c r="Z143" s="66">
        <v>1.0</v>
      </c>
      <c r="AA143" s="66">
        <v>2.0</v>
      </c>
      <c r="AB143" s="66">
        <v>1.0</v>
      </c>
      <c r="AC143" s="66">
        <v>1.0</v>
      </c>
      <c r="AD143" s="66">
        <v>7.0</v>
      </c>
      <c r="AE143" s="66">
        <v>1.0</v>
      </c>
      <c r="AF143" s="66">
        <v>0.0</v>
      </c>
      <c r="AG143" s="6">
        <f t="shared" si="40"/>
        <v>282</v>
      </c>
    </row>
    <row r="144" ht="12.75" customHeight="1">
      <c r="A144" s="18"/>
      <c r="B144" s="51"/>
      <c r="C144" s="52" t="s">
        <v>120</v>
      </c>
      <c r="D144" s="53"/>
      <c r="E144" s="66">
        <v>2.0</v>
      </c>
      <c r="F144" s="66">
        <v>2.0</v>
      </c>
      <c r="G144" s="66">
        <v>2.0</v>
      </c>
      <c r="H144" s="66">
        <v>2.0</v>
      </c>
      <c r="I144" s="66">
        <v>1.0</v>
      </c>
      <c r="J144" s="66">
        <v>0.0</v>
      </c>
      <c r="K144" s="66">
        <v>1.0</v>
      </c>
      <c r="L144" s="66">
        <v>3.0</v>
      </c>
      <c r="M144" s="66">
        <v>0.0</v>
      </c>
      <c r="N144" s="66">
        <v>1.0</v>
      </c>
      <c r="O144" s="66">
        <v>0.0</v>
      </c>
      <c r="P144" s="66">
        <v>1.0</v>
      </c>
      <c r="Q144" s="66">
        <v>2.0</v>
      </c>
      <c r="R144" s="66">
        <v>0.0</v>
      </c>
      <c r="S144" s="66">
        <v>0.0</v>
      </c>
      <c r="T144" s="66">
        <v>2.0</v>
      </c>
      <c r="U144" s="66">
        <v>2.0</v>
      </c>
      <c r="V144" s="66">
        <v>2.0</v>
      </c>
      <c r="W144" s="66">
        <v>3.0</v>
      </c>
      <c r="X144" s="66">
        <v>1.0</v>
      </c>
      <c r="Y144" s="66">
        <v>2.0</v>
      </c>
      <c r="Z144" s="66">
        <v>4.0</v>
      </c>
      <c r="AA144" s="66">
        <v>8.0</v>
      </c>
      <c r="AB144" s="66">
        <v>0.0</v>
      </c>
      <c r="AC144" s="66">
        <v>5.0</v>
      </c>
      <c r="AD144" s="66">
        <v>1.0</v>
      </c>
      <c r="AE144" s="66">
        <v>0.0</v>
      </c>
      <c r="AF144" s="66">
        <v>1.0</v>
      </c>
      <c r="AG144" s="6">
        <f t="shared" si="40"/>
        <v>48</v>
      </c>
    </row>
    <row r="145" ht="12.75" customHeight="1">
      <c r="A145" s="18"/>
      <c r="B145" s="51"/>
      <c r="C145" s="52" t="s">
        <v>121</v>
      </c>
      <c r="D145" s="53"/>
      <c r="E145" s="66">
        <v>0.0</v>
      </c>
      <c r="F145" s="66">
        <v>0.0</v>
      </c>
      <c r="G145" s="66">
        <v>0.0</v>
      </c>
      <c r="H145" s="66">
        <v>0.0</v>
      </c>
      <c r="I145" s="66">
        <v>0.0</v>
      </c>
      <c r="J145" s="66">
        <v>0.0</v>
      </c>
      <c r="K145" s="66">
        <v>0.0</v>
      </c>
      <c r="L145" s="66">
        <v>0.0</v>
      </c>
      <c r="M145" s="66">
        <v>0.0</v>
      </c>
      <c r="N145" s="66">
        <v>0.0</v>
      </c>
      <c r="O145" s="66">
        <v>0.0</v>
      </c>
      <c r="P145" s="66">
        <v>0.0</v>
      </c>
      <c r="Q145" s="66">
        <v>0.0</v>
      </c>
      <c r="R145" s="66">
        <v>0.0</v>
      </c>
      <c r="S145" s="66">
        <v>0.0</v>
      </c>
      <c r="T145" s="66">
        <v>0.0</v>
      </c>
      <c r="U145" s="66">
        <v>0.0</v>
      </c>
      <c r="V145" s="66">
        <v>0.0</v>
      </c>
      <c r="W145" s="66">
        <v>0.0</v>
      </c>
      <c r="X145" s="66">
        <v>0.0</v>
      </c>
      <c r="Y145" s="66">
        <v>0.0</v>
      </c>
      <c r="Z145" s="66">
        <v>0.0</v>
      </c>
      <c r="AA145" s="66">
        <v>0.0</v>
      </c>
      <c r="AB145" s="66">
        <v>0.0</v>
      </c>
      <c r="AC145" s="66">
        <v>0.0</v>
      </c>
      <c r="AD145" s="66">
        <v>0.0</v>
      </c>
      <c r="AE145" s="66">
        <v>0.0</v>
      </c>
      <c r="AF145" s="66">
        <v>0.0</v>
      </c>
      <c r="AG145" s="6">
        <f t="shared" si="40"/>
        <v>0</v>
      </c>
    </row>
    <row r="146" ht="12.75" customHeight="1">
      <c r="A146" s="18"/>
      <c r="B146" s="51"/>
      <c r="C146" s="52" t="s">
        <v>122</v>
      </c>
      <c r="D146" s="53"/>
      <c r="E146" s="66">
        <v>0.0</v>
      </c>
      <c r="F146" s="66">
        <v>0.0</v>
      </c>
      <c r="G146" s="66">
        <v>0.0</v>
      </c>
      <c r="H146" s="66">
        <v>1.0</v>
      </c>
      <c r="I146" s="66">
        <v>1.0</v>
      </c>
      <c r="J146" s="66">
        <v>0.0</v>
      </c>
      <c r="K146" s="66">
        <v>7.0</v>
      </c>
      <c r="L146" s="66">
        <v>0.0</v>
      </c>
      <c r="M146" s="66">
        <v>0.0</v>
      </c>
      <c r="N146" s="66">
        <v>0.0</v>
      </c>
      <c r="O146" s="66">
        <v>0.0</v>
      </c>
      <c r="P146" s="66">
        <v>0.0</v>
      </c>
      <c r="Q146" s="66">
        <v>0.0</v>
      </c>
      <c r="R146" s="66">
        <v>0.0</v>
      </c>
      <c r="S146" s="66">
        <v>0.0</v>
      </c>
      <c r="T146" s="66">
        <v>1.0</v>
      </c>
      <c r="U146" s="66">
        <v>0.0</v>
      </c>
      <c r="V146" s="66">
        <v>2.0</v>
      </c>
      <c r="W146" s="66">
        <v>0.0</v>
      </c>
      <c r="X146" s="66">
        <v>0.0</v>
      </c>
      <c r="Y146" s="66">
        <v>0.0</v>
      </c>
      <c r="Z146" s="66">
        <v>0.0</v>
      </c>
      <c r="AA146" s="66">
        <v>12.0</v>
      </c>
      <c r="AB146" s="66">
        <v>0.0</v>
      </c>
      <c r="AC146" s="66">
        <v>1.0</v>
      </c>
      <c r="AD146" s="66">
        <v>2.0</v>
      </c>
      <c r="AE146" s="66">
        <v>2.0</v>
      </c>
      <c r="AF146" s="66">
        <v>0.0</v>
      </c>
      <c r="AG146" s="6">
        <f t="shared" si="40"/>
        <v>29</v>
      </c>
    </row>
    <row r="147" ht="12.75" customHeight="1">
      <c r="A147" s="18"/>
      <c r="B147" s="51"/>
      <c r="C147" s="52" t="s">
        <v>123</v>
      </c>
      <c r="D147" s="53"/>
      <c r="E147" s="66">
        <v>0.0</v>
      </c>
      <c r="F147" s="66">
        <v>0.0</v>
      </c>
      <c r="G147" s="66">
        <v>0.0</v>
      </c>
      <c r="H147" s="66">
        <v>0.0</v>
      </c>
      <c r="I147" s="66">
        <v>2.0</v>
      </c>
      <c r="J147" s="66">
        <v>0.0</v>
      </c>
      <c r="K147" s="66">
        <v>0.0</v>
      </c>
      <c r="L147" s="66">
        <v>0.0</v>
      </c>
      <c r="M147" s="66">
        <v>0.0</v>
      </c>
      <c r="N147" s="66">
        <v>0.0</v>
      </c>
      <c r="O147" s="66">
        <v>0.0</v>
      </c>
      <c r="P147" s="66">
        <v>0.0</v>
      </c>
      <c r="Q147" s="66">
        <v>0.0</v>
      </c>
      <c r="R147" s="66">
        <v>0.0</v>
      </c>
      <c r="S147" s="66">
        <v>0.0</v>
      </c>
      <c r="T147" s="66">
        <v>0.0</v>
      </c>
      <c r="U147" s="66">
        <v>0.0</v>
      </c>
      <c r="V147" s="66">
        <v>0.0</v>
      </c>
      <c r="W147" s="66">
        <v>0.0</v>
      </c>
      <c r="X147" s="66">
        <v>0.0</v>
      </c>
      <c r="Y147" s="66">
        <v>0.0</v>
      </c>
      <c r="Z147" s="66">
        <v>0.0</v>
      </c>
      <c r="AA147" s="66">
        <v>0.0</v>
      </c>
      <c r="AB147" s="66">
        <v>2.0</v>
      </c>
      <c r="AC147" s="66">
        <v>0.0</v>
      </c>
      <c r="AD147" s="66">
        <v>0.0</v>
      </c>
      <c r="AE147" s="66">
        <v>0.0</v>
      </c>
      <c r="AF147" s="66">
        <v>0.0</v>
      </c>
      <c r="AG147" s="6">
        <f t="shared" si="40"/>
        <v>4</v>
      </c>
    </row>
    <row r="148" ht="12.75" customHeight="1">
      <c r="A148" s="18"/>
      <c r="B148" s="51"/>
      <c r="C148" s="52" t="s">
        <v>124</v>
      </c>
      <c r="D148" s="53"/>
      <c r="E148" s="66">
        <v>0.0</v>
      </c>
      <c r="F148" s="66">
        <v>0.0</v>
      </c>
      <c r="G148" s="66">
        <v>0.0</v>
      </c>
      <c r="H148" s="66">
        <v>0.0</v>
      </c>
      <c r="I148" s="66">
        <v>1.0</v>
      </c>
      <c r="J148" s="66">
        <v>0.0</v>
      </c>
      <c r="K148" s="66">
        <v>1.0</v>
      </c>
      <c r="L148" s="66">
        <v>0.0</v>
      </c>
      <c r="M148" s="66">
        <v>0.0</v>
      </c>
      <c r="N148" s="66">
        <v>0.0</v>
      </c>
      <c r="O148" s="66">
        <v>0.0</v>
      </c>
      <c r="P148" s="66">
        <v>0.0</v>
      </c>
      <c r="Q148" s="66">
        <v>0.0</v>
      </c>
      <c r="R148" s="66">
        <v>0.0</v>
      </c>
      <c r="S148" s="66">
        <v>0.0</v>
      </c>
      <c r="T148" s="66">
        <v>0.0</v>
      </c>
      <c r="U148" s="66">
        <v>1.0</v>
      </c>
      <c r="V148" s="66">
        <v>0.0</v>
      </c>
      <c r="W148" s="66">
        <v>0.0</v>
      </c>
      <c r="X148" s="66">
        <v>0.0</v>
      </c>
      <c r="Y148" s="66">
        <v>0.0</v>
      </c>
      <c r="Z148" s="66">
        <v>0.0</v>
      </c>
      <c r="AA148" s="66">
        <v>0.0</v>
      </c>
      <c r="AB148" s="66">
        <v>0.0</v>
      </c>
      <c r="AC148" s="66">
        <v>0.0</v>
      </c>
      <c r="AD148" s="66">
        <v>0.0</v>
      </c>
      <c r="AE148" s="66">
        <v>0.0</v>
      </c>
      <c r="AF148" s="66">
        <v>0.0</v>
      </c>
      <c r="AG148" s="6">
        <f t="shared" si="40"/>
        <v>3</v>
      </c>
    </row>
    <row r="149" ht="12.75" customHeight="1">
      <c r="A149" s="13" t="s">
        <v>14</v>
      </c>
      <c r="B149" s="49" t="s">
        <v>45</v>
      </c>
      <c r="C149" s="8"/>
      <c r="D149" s="9"/>
      <c r="E149" s="54">
        <f t="shared" ref="E149:AF149" si="41">SUM(E142:E148)</f>
        <v>19</v>
      </c>
      <c r="F149" s="54">
        <f t="shared" si="41"/>
        <v>10</v>
      </c>
      <c r="G149" s="54">
        <f t="shared" si="41"/>
        <v>28</v>
      </c>
      <c r="H149" s="54">
        <f t="shared" si="41"/>
        <v>25</v>
      </c>
      <c r="I149" s="54">
        <f t="shared" si="41"/>
        <v>65</v>
      </c>
      <c r="J149" s="54">
        <f t="shared" si="41"/>
        <v>7</v>
      </c>
      <c r="K149" s="54">
        <f t="shared" si="41"/>
        <v>35</v>
      </c>
      <c r="L149" s="54">
        <f t="shared" si="41"/>
        <v>33</v>
      </c>
      <c r="M149" s="54">
        <f t="shared" si="41"/>
        <v>2</v>
      </c>
      <c r="N149" s="54">
        <f t="shared" si="41"/>
        <v>13</v>
      </c>
      <c r="O149" s="54">
        <f t="shared" si="41"/>
        <v>24</v>
      </c>
      <c r="P149" s="54">
        <f t="shared" si="41"/>
        <v>2</v>
      </c>
      <c r="Q149" s="54">
        <f t="shared" si="41"/>
        <v>10</v>
      </c>
      <c r="R149" s="54">
        <f t="shared" si="41"/>
        <v>10</v>
      </c>
      <c r="S149" s="54">
        <f t="shared" si="41"/>
        <v>15</v>
      </c>
      <c r="T149" s="54">
        <f t="shared" si="41"/>
        <v>13</v>
      </c>
      <c r="U149" s="54">
        <f t="shared" si="41"/>
        <v>17</v>
      </c>
      <c r="V149" s="54">
        <f t="shared" si="41"/>
        <v>12</v>
      </c>
      <c r="W149" s="54">
        <f t="shared" si="41"/>
        <v>4</v>
      </c>
      <c r="X149" s="54">
        <f t="shared" si="41"/>
        <v>8</v>
      </c>
      <c r="Y149" s="54">
        <f t="shared" si="41"/>
        <v>7</v>
      </c>
      <c r="Z149" s="54">
        <f t="shared" si="41"/>
        <v>5</v>
      </c>
      <c r="AA149" s="54">
        <f t="shared" si="41"/>
        <v>22</v>
      </c>
      <c r="AB149" s="54">
        <f t="shared" si="41"/>
        <v>4</v>
      </c>
      <c r="AC149" s="54">
        <f t="shared" si="41"/>
        <v>9</v>
      </c>
      <c r="AD149" s="54">
        <f t="shared" si="41"/>
        <v>12</v>
      </c>
      <c r="AE149" s="54">
        <f t="shared" si="41"/>
        <v>5</v>
      </c>
      <c r="AF149" s="54">
        <f t="shared" si="41"/>
        <v>1</v>
      </c>
      <c r="AG149" s="6">
        <f t="shared" si="40"/>
        <v>417</v>
      </c>
    </row>
    <row r="150" ht="12.75" customHeight="1">
      <c r="A150" s="55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6"/>
    </row>
    <row r="151" ht="12.75" customHeight="1">
      <c r="A151" s="32" t="s">
        <v>36</v>
      </c>
      <c r="B151" s="49" t="s">
        <v>125</v>
      </c>
      <c r="C151" s="50" t="s">
        <v>126</v>
      </c>
      <c r="D151" s="9"/>
      <c r="E151" s="66">
        <v>2.0</v>
      </c>
      <c r="F151" s="66">
        <v>0.0</v>
      </c>
      <c r="G151" s="66">
        <v>0.0</v>
      </c>
      <c r="H151" s="66">
        <v>0.0</v>
      </c>
      <c r="I151" s="66">
        <v>0.0</v>
      </c>
      <c r="J151" s="66">
        <v>0.0</v>
      </c>
      <c r="K151" s="66">
        <v>1.0</v>
      </c>
      <c r="L151" s="66">
        <v>1.0</v>
      </c>
      <c r="M151" s="66">
        <v>0.0</v>
      </c>
      <c r="N151" s="66">
        <v>0.0</v>
      </c>
      <c r="O151" s="66">
        <v>2.0</v>
      </c>
      <c r="P151" s="66">
        <v>1.0</v>
      </c>
      <c r="Q151" s="66">
        <v>0.0</v>
      </c>
      <c r="R151" s="66">
        <v>1.0</v>
      </c>
      <c r="S151" s="66">
        <v>0.0</v>
      </c>
      <c r="T151" s="66">
        <v>0.0</v>
      </c>
      <c r="U151" s="66">
        <v>0.0</v>
      </c>
      <c r="V151" s="66">
        <v>1.0</v>
      </c>
      <c r="W151" s="66">
        <v>0.0</v>
      </c>
      <c r="X151" s="66">
        <v>0.0</v>
      </c>
      <c r="Y151" s="66">
        <v>0.0</v>
      </c>
      <c r="Z151" s="66">
        <v>0.0</v>
      </c>
      <c r="AA151" s="66">
        <v>0.0</v>
      </c>
      <c r="AB151" s="66">
        <v>0.0</v>
      </c>
      <c r="AC151" s="66">
        <v>0.0</v>
      </c>
      <c r="AD151" s="66">
        <v>0.0</v>
      </c>
      <c r="AE151" s="66">
        <v>0.0</v>
      </c>
      <c r="AF151" s="66">
        <v>0.0</v>
      </c>
      <c r="AG151" s="6">
        <f t="shared" ref="AG151:AG153" si="42">SUM(E151:AF151)</f>
        <v>9</v>
      </c>
    </row>
    <row r="152" ht="12.75" customHeight="1">
      <c r="A152" s="32" t="s">
        <v>38</v>
      </c>
      <c r="B152" s="51"/>
      <c r="C152" s="52" t="s">
        <v>127</v>
      </c>
      <c r="D152" s="53"/>
      <c r="E152" s="66">
        <v>2.0</v>
      </c>
      <c r="F152" s="66">
        <v>0.0</v>
      </c>
      <c r="G152" s="66">
        <v>1.0</v>
      </c>
      <c r="H152" s="66">
        <v>0.0</v>
      </c>
      <c r="I152" s="66">
        <v>0.0</v>
      </c>
      <c r="J152" s="66">
        <v>0.0</v>
      </c>
      <c r="K152" s="66">
        <v>1.0</v>
      </c>
      <c r="L152" s="66">
        <v>0.0</v>
      </c>
      <c r="M152" s="66">
        <v>0.0</v>
      </c>
      <c r="N152" s="66">
        <v>0.0</v>
      </c>
      <c r="O152" s="66">
        <v>1.0</v>
      </c>
      <c r="P152" s="66">
        <v>0.0</v>
      </c>
      <c r="Q152" s="66">
        <v>0.0</v>
      </c>
      <c r="R152" s="66">
        <v>0.0</v>
      </c>
      <c r="S152" s="66">
        <v>0.0</v>
      </c>
      <c r="T152" s="66">
        <v>0.0</v>
      </c>
      <c r="U152" s="66">
        <v>1.0</v>
      </c>
      <c r="V152" s="66">
        <v>2.0</v>
      </c>
      <c r="W152" s="66">
        <v>2.0</v>
      </c>
      <c r="X152" s="66">
        <v>0.0</v>
      </c>
      <c r="Y152" s="66">
        <v>1.0</v>
      </c>
      <c r="Z152" s="66">
        <v>1.0</v>
      </c>
      <c r="AA152" s="66">
        <v>0.0</v>
      </c>
      <c r="AB152" s="66">
        <v>0.0</v>
      </c>
      <c r="AC152" s="66">
        <v>0.0</v>
      </c>
      <c r="AD152" s="66">
        <v>0.0</v>
      </c>
      <c r="AE152" s="66">
        <v>0.0</v>
      </c>
      <c r="AF152" s="66">
        <v>0.0</v>
      </c>
      <c r="AG152" s="6">
        <f t="shared" si="42"/>
        <v>12</v>
      </c>
    </row>
    <row r="153" ht="12.75" customHeight="1">
      <c r="A153" s="13" t="s">
        <v>14</v>
      </c>
      <c r="B153" s="49" t="s">
        <v>45</v>
      </c>
      <c r="C153" s="8"/>
      <c r="D153" s="9"/>
      <c r="E153" s="54">
        <f t="shared" ref="E153:AF153" si="43">SUM(E151:E152)</f>
        <v>4</v>
      </c>
      <c r="F153" s="54">
        <f t="shared" si="43"/>
        <v>0</v>
      </c>
      <c r="G153" s="54">
        <f t="shared" si="43"/>
        <v>1</v>
      </c>
      <c r="H153" s="54">
        <f t="shared" si="43"/>
        <v>0</v>
      </c>
      <c r="I153" s="54">
        <f t="shared" si="43"/>
        <v>0</v>
      </c>
      <c r="J153" s="54">
        <f t="shared" si="43"/>
        <v>0</v>
      </c>
      <c r="K153" s="54">
        <f t="shared" si="43"/>
        <v>2</v>
      </c>
      <c r="L153" s="54">
        <f t="shared" si="43"/>
        <v>1</v>
      </c>
      <c r="M153" s="54">
        <f t="shared" si="43"/>
        <v>0</v>
      </c>
      <c r="N153" s="54">
        <f t="shared" si="43"/>
        <v>0</v>
      </c>
      <c r="O153" s="54">
        <f t="shared" si="43"/>
        <v>3</v>
      </c>
      <c r="P153" s="54">
        <f t="shared" si="43"/>
        <v>1</v>
      </c>
      <c r="Q153" s="54">
        <f t="shared" si="43"/>
        <v>0</v>
      </c>
      <c r="R153" s="54">
        <f t="shared" si="43"/>
        <v>1</v>
      </c>
      <c r="S153" s="54">
        <f t="shared" si="43"/>
        <v>0</v>
      </c>
      <c r="T153" s="54">
        <f t="shared" si="43"/>
        <v>0</v>
      </c>
      <c r="U153" s="54">
        <f t="shared" si="43"/>
        <v>1</v>
      </c>
      <c r="V153" s="54">
        <f t="shared" si="43"/>
        <v>3</v>
      </c>
      <c r="W153" s="54">
        <f t="shared" si="43"/>
        <v>2</v>
      </c>
      <c r="X153" s="54">
        <f t="shared" si="43"/>
        <v>0</v>
      </c>
      <c r="Y153" s="54">
        <f t="shared" si="43"/>
        <v>1</v>
      </c>
      <c r="Z153" s="54">
        <f t="shared" si="43"/>
        <v>1</v>
      </c>
      <c r="AA153" s="54">
        <f t="shared" si="43"/>
        <v>0</v>
      </c>
      <c r="AB153" s="54">
        <f t="shared" si="43"/>
        <v>0</v>
      </c>
      <c r="AC153" s="54">
        <f t="shared" si="43"/>
        <v>0</v>
      </c>
      <c r="AD153" s="54">
        <f t="shared" si="43"/>
        <v>0</v>
      </c>
      <c r="AE153" s="54">
        <f t="shared" si="43"/>
        <v>0</v>
      </c>
      <c r="AF153" s="54">
        <f t="shared" si="43"/>
        <v>0</v>
      </c>
      <c r="AG153" s="6">
        <f t="shared" si="42"/>
        <v>21</v>
      </c>
    </row>
    <row r="154" ht="12.75" customHeight="1">
      <c r="A154" s="55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6"/>
    </row>
    <row r="155" ht="12.75" customHeight="1">
      <c r="A155" s="32" t="s">
        <v>36</v>
      </c>
      <c r="B155" s="49" t="s">
        <v>128</v>
      </c>
      <c r="C155" s="50" t="s">
        <v>129</v>
      </c>
      <c r="D155" s="9"/>
      <c r="E155" s="66">
        <v>0.0</v>
      </c>
      <c r="F155" s="66">
        <v>0.0</v>
      </c>
      <c r="G155" s="66">
        <v>0.0</v>
      </c>
      <c r="H155" s="66">
        <v>0.0</v>
      </c>
      <c r="I155" s="66">
        <v>0.0</v>
      </c>
      <c r="J155" s="66">
        <v>0.0</v>
      </c>
      <c r="K155" s="66">
        <v>0.0</v>
      </c>
      <c r="L155" s="66">
        <v>0.0</v>
      </c>
      <c r="M155" s="66">
        <v>0.0</v>
      </c>
      <c r="N155" s="66">
        <v>0.0</v>
      </c>
      <c r="O155" s="66">
        <v>0.0</v>
      </c>
      <c r="P155" s="66">
        <v>0.0</v>
      </c>
      <c r="Q155" s="66">
        <v>0.0</v>
      </c>
      <c r="R155" s="66">
        <v>1.0</v>
      </c>
      <c r="S155" s="66">
        <v>0.0</v>
      </c>
      <c r="T155" s="66">
        <v>1.0</v>
      </c>
      <c r="U155" s="66">
        <v>0.0</v>
      </c>
      <c r="V155" s="66">
        <v>0.0</v>
      </c>
      <c r="W155" s="66">
        <v>0.0</v>
      </c>
      <c r="X155" s="66">
        <v>0.0</v>
      </c>
      <c r="Y155" s="66">
        <v>0.0</v>
      </c>
      <c r="Z155" s="66">
        <v>0.0</v>
      </c>
      <c r="AA155" s="66">
        <v>0.0</v>
      </c>
      <c r="AB155" s="66">
        <v>0.0</v>
      </c>
      <c r="AC155" s="66">
        <v>0.0</v>
      </c>
      <c r="AD155" s="66">
        <v>1.0</v>
      </c>
      <c r="AE155" s="66">
        <v>0.0</v>
      </c>
      <c r="AF155" s="66">
        <v>0.0</v>
      </c>
      <c r="AG155" s="6">
        <f t="shared" ref="AG155:AG159" si="44">SUM(E155:AF155)</f>
        <v>3</v>
      </c>
    </row>
    <row r="156" ht="12.75" customHeight="1">
      <c r="A156" s="32"/>
      <c r="B156" s="49"/>
      <c r="C156" s="52" t="s">
        <v>130</v>
      </c>
      <c r="D156" s="61"/>
      <c r="E156" s="66">
        <v>0.0</v>
      </c>
      <c r="F156" s="66">
        <v>0.0</v>
      </c>
      <c r="G156" s="66">
        <v>0.0</v>
      </c>
      <c r="H156" s="66">
        <v>0.0</v>
      </c>
      <c r="I156" s="66">
        <v>0.0</v>
      </c>
      <c r="J156" s="66">
        <v>0.0</v>
      </c>
      <c r="K156" s="66">
        <v>0.0</v>
      </c>
      <c r="L156" s="66">
        <v>0.0</v>
      </c>
      <c r="M156" s="66">
        <v>0.0</v>
      </c>
      <c r="N156" s="66">
        <v>0.0</v>
      </c>
      <c r="O156" s="66">
        <v>1.0</v>
      </c>
      <c r="P156" s="66">
        <v>0.0</v>
      </c>
      <c r="Q156" s="66">
        <v>0.0</v>
      </c>
      <c r="R156" s="66">
        <v>0.0</v>
      </c>
      <c r="S156" s="66">
        <v>0.0</v>
      </c>
      <c r="T156" s="66">
        <v>0.0</v>
      </c>
      <c r="U156" s="66">
        <v>0.0</v>
      </c>
      <c r="V156" s="66">
        <v>0.0</v>
      </c>
      <c r="W156" s="66">
        <v>0.0</v>
      </c>
      <c r="X156" s="66">
        <v>0.0</v>
      </c>
      <c r="Y156" s="66">
        <v>0.0</v>
      </c>
      <c r="Z156" s="66">
        <v>0.0</v>
      </c>
      <c r="AA156" s="66">
        <v>0.0</v>
      </c>
      <c r="AB156" s="66">
        <v>0.0</v>
      </c>
      <c r="AC156" s="66">
        <v>0.0</v>
      </c>
      <c r="AD156" s="66">
        <v>0.0</v>
      </c>
      <c r="AE156" s="66">
        <v>0.0</v>
      </c>
      <c r="AF156" s="66">
        <v>0.0</v>
      </c>
      <c r="AG156" s="6">
        <f t="shared" si="44"/>
        <v>1</v>
      </c>
    </row>
    <row r="157" ht="12.75" customHeight="1">
      <c r="A157" s="32"/>
      <c r="B157" s="49"/>
      <c r="C157" s="52" t="s">
        <v>131</v>
      </c>
      <c r="D157" s="61"/>
      <c r="E157" s="66">
        <v>0.0</v>
      </c>
      <c r="F157" s="66">
        <v>0.0</v>
      </c>
      <c r="G157" s="66">
        <v>0.0</v>
      </c>
      <c r="H157" s="66">
        <v>0.0</v>
      </c>
      <c r="I157" s="66">
        <v>0.0</v>
      </c>
      <c r="J157" s="66">
        <v>0.0</v>
      </c>
      <c r="K157" s="66">
        <v>0.0</v>
      </c>
      <c r="L157" s="66">
        <v>0.0</v>
      </c>
      <c r="M157" s="66">
        <v>0.0</v>
      </c>
      <c r="N157" s="66">
        <v>0.0</v>
      </c>
      <c r="O157" s="66">
        <v>0.0</v>
      </c>
      <c r="P157" s="66">
        <v>0.0</v>
      </c>
      <c r="Q157" s="66">
        <v>0.0</v>
      </c>
      <c r="R157" s="66">
        <v>0.0</v>
      </c>
      <c r="S157" s="66">
        <v>0.0</v>
      </c>
      <c r="T157" s="66">
        <v>0.0</v>
      </c>
      <c r="U157" s="66">
        <v>0.0</v>
      </c>
      <c r="V157" s="66">
        <v>0.0</v>
      </c>
      <c r="W157" s="66">
        <v>0.0</v>
      </c>
      <c r="X157" s="66">
        <v>0.0</v>
      </c>
      <c r="Y157" s="66">
        <v>0.0</v>
      </c>
      <c r="Z157" s="66">
        <v>0.0</v>
      </c>
      <c r="AA157" s="66">
        <v>0.0</v>
      </c>
      <c r="AB157" s="66">
        <v>0.0</v>
      </c>
      <c r="AC157" s="66">
        <v>1.0</v>
      </c>
      <c r="AD157" s="66">
        <v>0.0</v>
      </c>
      <c r="AE157" s="66">
        <v>0.0</v>
      </c>
      <c r="AF157" s="66">
        <v>0.0</v>
      </c>
      <c r="AG157" s="6">
        <f t="shared" si="44"/>
        <v>1</v>
      </c>
    </row>
    <row r="158" ht="12.75" customHeight="1">
      <c r="A158" s="32"/>
      <c r="B158" s="49"/>
      <c r="C158" s="52" t="s">
        <v>132</v>
      </c>
      <c r="D158" s="61"/>
      <c r="E158" s="66">
        <v>0.0</v>
      </c>
      <c r="F158" s="66">
        <v>0.0</v>
      </c>
      <c r="G158" s="66">
        <v>0.0</v>
      </c>
      <c r="H158" s="66">
        <v>0.0</v>
      </c>
      <c r="I158" s="66">
        <v>0.0</v>
      </c>
      <c r="J158" s="66">
        <v>0.0</v>
      </c>
      <c r="K158" s="66">
        <v>0.0</v>
      </c>
      <c r="L158" s="66">
        <v>0.0</v>
      </c>
      <c r="M158" s="66">
        <v>0.0</v>
      </c>
      <c r="N158" s="66">
        <v>0.0</v>
      </c>
      <c r="O158" s="66">
        <v>0.0</v>
      </c>
      <c r="P158" s="66">
        <v>0.0</v>
      </c>
      <c r="Q158" s="66">
        <v>0.0</v>
      </c>
      <c r="R158" s="66">
        <v>0.0</v>
      </c>
      <c r="S158" s="66">
        <v>0.0</v>
      </c>
      <c r="T158" s="66">
        <v>0.0</v>
      </c>
      <c r="U158" s="66">
        <v>0.0</v>
      </c>
      <c r="V158" s="66">
        <v>0.0</v>
      </c>
      <c r="W158" s="66">
        <v>0.0</v>
      </c>
      <c r="X158" s="66">
        <v>0.0</v>
      </c>
      <c r="Y158" s="66">
        <v>0.0</v>
      </c>
      <c r="Z158" s="66">
        <v>0.0</v>
      </c>
      <c r="AA158" s="66">
        <v>0.0</v>
      </c>
      <c r="AB158" s="66">
        <v>0.0</v>
      </c>
      <c r="AC158" s="66">
        <v>0.0</v>
      </c>
      <c r="AD158" s="66">
        <v>0.0</v>
      </c>
      <c r="AE158" s="66">
        <v>0.0</v>
      </c>
      <c r="AF158" s="66">
        <v>0.0</v>
      </c>
      <c r="AG158" s="6">
        <f t="shared" si="44"/>
        <v>0</v>
      </c>
    </row>
    <row r="159" ht="12.75" customHeight="1">
      <c r="A159" s="13" t="s">
        <v>14</v>
      </c>
      <c r="B159" s="49" t="s">
        <v>45</v>
      </c>
      <c r="C159" s="8"/>
      <c r="D159" s="9"/>
      <c r="E159" s="54">
        <f t="shared" ref="E159:AF159" si="45">SUM(E155:E158)</f>
        <v>0</v>
      </c>
      <c r="F159" s="54">
        <f t="shared" si="45"/>
        <v>0</v>
      </c>
      <c r="G159" s="54">
        <f t="shared" si="45"/>
        <v>0</v>
      </c>
      <c r="H159" s="54">
        <f t="shared" si="45"/>
        <v>0</v>
      </c>
      <c r="I159" s="54">
        <f t="shared" si="45"/>
        <v>0</v>
      </c>
      <c r="J159" s="54">
        <f t="shared" si="45"/>
        <v>0</v>
      </c>
      <c r="K159" s="54">
        <f t="shared" si="45"/>
        <v>0</v>
      </c>
      <c r="L159" s="54">
        <f t="shared" si="45"/>
        <v>0</v>
      </c>
      <c r="M159" s="54">
        <f t="shared" si="45"/>
        <v>0</v>
      </c>
      <c r="N159" s="54">
        <f t="shared" si="45"/>
        <v>0</v>
      </c>
      <c r="O159" s="54">
        <f t="shared" si="45"/>
        <v>1</v>
      </c>
      <c r="P159" s="54">
        <f t="shared" si="45"/>
        <v>0</v>
      </c>
      <c r="Q159" s="54">
        <f t="shared" si="45"/>
        <v>0</v>
      </c>
      <c r="R159" s="54">
        <f t="shared" si="45"/>
        <v>1</v>
      </c>
      <c r="S159" s="54">
        <f t="shared" si="45"/>
        <v>0</v>
      </c>
      <c r="T159" s="54">
        <f t="shared" si="45"/>
        <v>1</v>
      </c>
      <c r="U159" s="54">
        <f t="shared" si="45"/>
        <v>0</v>
      </c>
      <c r="V159" s="54">
        <f t="shared" si="45"/>
        <v>0</v>
      </c>
      <c r="W159" s="54">
        <f t="shared" si="45"/>
        <v>0</v>
      </c>
      <c r="X159" s="54">
        <f t="shared" si="45"/>
        <v>0</v>
      </c>
      <c r="Y159" s="54">
        <f t="shared" si="45"/>
        <v>0</v>
      </c>
      <c r="Z159" s="54">
        <f t="shared" si="45"/>
        <v>0</v>
      </c>
      <c r="AA159" s="54">
        <f t="shared" si="45"/>
        <v>0</v>
      </c>
      <c r="AB159" s="54">
        <f t="shared" si="45"/>
        <v>0</v>
      </c>
      <c r="AC159" s="54">
        <f t="shared" si="45"/>
        <v>1</v>
      </c>
      <c r="AD159" s="54">
        <f t="shared" si="45"/>
        <v>1</v>
      </c>
      <c r="AE159" s="54">
        <f t="shared" si="45"/>
        <v>0</v>
      </c>
      <c r="AF159" s="54">
        <f t="shared" si="45"/>
        <v>0</v>
      </c>
      <c r="AG159" s="6">
        <f t="shared" si="44"/>
        <v>5</v>
      </c>
    </row>
    <row r="160" ht="12.75" customHeight="1">
      <c r="A160" s="55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6"/>
    </row>
    <row r="161" ht="12.75" customHeight="1">
      <c r="A161" s="32" t="s">
        <v>36</v>
      </c>
      <c r="B161" s="49" t="s">
        <v>133</v>
      </c>
      <c r="C161" s="50" t="s">
        <v>134</v>
      </c>
      <c r="D161" s="9"/>
      <c r="E161" s="66">
        <v>2.0</v>
      </c>
      <c r="F161" s="66">
        <v>0.0</v>
      </c>
      <c r="G161" s="66">
        <v>2.0</v>
      </c>
      <c r="H161" s="66">
        <v>1.0</v>
      </c>
      <c r="I161" s="66">
        <v>0.0</v>
      </c>
      <c r="J161" s="66">
        <v>0.0</v>
      </c>
      <c r="K161" s="66">
        <v>0.0</v>
      </c>
      <c r="L161" s="66">
        <v>1.0</v>
      </c>
      <c r="M161" s="66">
        <v>0.0</v>
      </c>
      <c r="N161" s="66">
        <v>1.0</v>
      </c>
      <c r="O161" s="66">
        <v>0.0</v>
      </c>
      <c r="P161" s="66">
        <v>0.0</v>
      </c>
      <c r="Q161" s="66">
        <v>1.0</v>
      </c>
      <c r="R161" s="66">
        <v>3.0</v>
      </c>
      <c r="S161" s="66">
        <v>2.0</v>
      </c>
      <c r="T161" s="66">
        <v>0.0</v>
      </c>
      <c r="U161" s="66">
        <v>0.0</v>
      </c>
      <c r="V161" s="66">
        <v>0.0</v>
      </c>
      <c r="W161" s="66">
        <v>0.0</v>
      </c>
      <c r="X161" s="66">
        <v>0.0</v>
      </c>
      <c r="Y161" s="66">
        <v>0.0</v>
      </c>
      <c r="Z161" s="66">
        <v>1.0</v>
      </c>
      <c r="AA161" s="66">
        <v>1.0</v>
      </c>
      <c r="AB161" s="66">
        <v>0.0</v>
      </c>
      <c r="AC161" s="66">
        <v>0.0</v>
      </c>
      <c r="AD161" s="66">
        <v>0.0</v>
      </c>
      <c r="AE161" s="66">
        <v>0.0</v>
      </c>
      <c r="AF161" s="66">
        <v>1.0</v>
      </c>
      <c r="AG161" s="6">
        <f t="shared" ref="AG161:AG168" si="46">SUM(E161:AF161)</f>
        <v>16</v>
      </c>
    </row>
    <row r="162" ht="12.75" customHeight="1">
      <c r="A162" s="32" t="s">
        <v>38</v>
      </c>
      <c r="B162" s="51"/>
      <c r="C162" s="52" t="s">
        <v>135</v>
      </c>
      <c r="D162" s="53"/>
      <c r="E162" s="66">
        <v>2.0</v>
      </c>
      <c r="F162" s="66">
        <v>0.0</v>
      </c>
      <c r="G162" s="66">
        <v>2.0</v>
      </c>
      <c r="H162" s="66">
        <v>0.0</v>
      </c>
      <c r="I162" s="66">
        <v>0.0</v>
      </c>
      <c r="J162" s="66">
        <v>0.0</v>
      </c>
      <c r="K162" s="66">
        <v>0.0</v>
      </c>
      <c r="L162" s="66">
        <v>0.0</v>
      </c>
      <c r="M162" s="66">
        <v>1.0</v>
      </c>
      <c r="N162" s="66">
        <v>0.0</v>
      </c>
      <c r="O162" s="66">
        <v>0.0</v>
      </c>
      <c r="P162" s="66">
        <v>0.0</v>
      </c>
      <c r="Q162" s="66">
        <v>0.0</v>
      </c>
      <c r="R162" s="66">
        <v>0.0</v>
      </c>
      <c r="S162" s="66">
        <v>1.0</v>
      </c>
      <c r="T162" s="66">
        <v>0.0</v>
      </c>
      <c r="U162" s="66">
        <v>0.0</v>
      </c>
      <c r="V162" s="66">
        <v>0.0</v>
      </c>
      <c r="W162" s="66">
        <v>0.0</v>
      </c>
      <c r="X162" s="66">
        <v>0.0</v>
      </c>
      <c r="Y162" s="66">
        <v>0.0</v>
      </c>
      <c r="Z162" s="66">
        <v>1.0</v>
      </c>
      <c r="AA162" s="66">
        <v>0.0</v>
      </c>
      <c r="AB162" s="66">
        <v>0.0</v>
      </c>
      <c r="AC162" s="66">
        <v>0.0</v>
      </c>
      <c r="AD162" s="66">
        <v>0.0</v>
      </c>
      <c r="AE162" s="66">
        <v>0.0</v>
      </c>
      <c r="AF162" s="66">
        <v>0.0</v>
      </c>
      <c r="AG162" s="6">
        <f t="shared" si="46"/>
        <v>7</v>
      </c>
    </row>
    <row r="163" ht="12.75" customHeight="1">
      <c r="A163" s="18"/>
      <c r="B163" s="51"/>
      <c r="C163" s="52" t="s">
        <v>136</v>
      </c>
      <c r="D163" s="53"/>
      <c r="E163" s="66">
        <v>11.0</v>
      </c>
      <c r="F163" s="66">
        <v>2.0</v>
      </c>
      <c r="G163" s="66">
        <v>8.0</v>
      </c>
      <c r="H163" s="66">
        <v>4.0</v>
      </c>
      <c r="I163" s="66">
        <v>0.0</v>
      </c>
      <c r="J163" s="66">
        <v>1.0</v>
      </c>
      <c r="K163" s="66">
        <v>0.0</v>
      </c>
      <c r="L163" s="66">
        <v>2.0</v>
      </c>
      <c r="M163" s="66">
        <v>8.0</v>
      </c>
      <c r="N163" s="66">
        <v>2.0</v>
      </c>
      <c r="O163" s="66">
        <v>0.0</v>
      </c>
      <c r="P163" s="66">
        <v>0.0</v>
      </c>
      <c r="Q163" s="66">
        <v>12.0</v>
      </c>
      <c r="R163" s="66">
        <v>10.0</v>
      </c>
      <c r="S163" s="66">
        <v>11.0</v>
      </c>
      <c r="T163" s="66">
        <v>1.0</v>
      </c>
      <c r="U163" s="66">
        <v>0.0</v>
      </c>
      <c r="V163" s="66">
        <v>0.0</v>
      </c>
      <c r="W163" s="66">
        <v>0.0</v>
      </c>
      <c r="X163" s="66">
        <v>0.0</v>
      </c>
      <c r="Y163" s="66">
        <v>0.0</v>
      </c>
      <c r="Z163" s="66">
        <v>0.0</v>
      </c>
      <c r="AA163" s="66">
        <v>1.0</v>
      </c>
      <c r="AB163" s="66">
        <v>0.0</v>
      </c>
      <c r="AC163" s="66">
        <v>0.0</v>
      </c>
      <c r="AD163" s="66">
        <v>0.0</v>
      </c>
      <c r="AE163" s="66">
        <v>0.0</v>
      </c>
      <c r="AF163" s="66">
        <v>0.0</v>
      </c>
      <c r="AG163" s="6">
        <f t="shared" si="46"/>
        <v>73</v>
      </c>
    </row>
    <row r="164" ht="12.75" customHeight="1">
      <c r="A164" s="18"/>
      <c r="B164" s="51"/>
      <c r="C164" s="52" t="s">
        <v>137</v>
      </c>
      <c r="D164" s="53"/>
      <c r="E164" s="66">
        <v>0.0</v>
      </c>
      <c r="F164" s="66">
        <v>0.0</v>
      </c>
      <c r="G164" s="66">
        <v>0.0</v>
      </c>
      <c r="H164" s="66">
        <v>1.0</v>
      </c>
      <c r="I164" s="66">
        <v>0.0</v>
      </c>
      <c r="J164" s="66">
        <v>0.0</v>
      </c>
      <c r="K164" s="66">
        <v>3.0</v>
      </c>
      <c r="L164" s="66">
        <v>0.0</v>
      </c>
      <c r="M164" s="66">
        <v>1.0</v>
      </c>
      <c r="N164" s="66">
        <v>0.0</v>
      </c>
      <c r="O164" s="66">
        <v>0.0</v>
      </c>
      <c r="P164" s="66">
        <v>0.0</v>
      </c>
      <c r="Q164" s="66">
        <v>0.0</v>
      </c>
      <c r="R164" s="66">
        <v>1.0</v>
      </c>
      <c r="S164" s="66">
        <v>0.0</v>
      </c>
      <c r="T164" s="66">
        <v>0.0</v>
      </c>
      <c r="U164" s="66">
        <v>0.0</v>
      </c>
      <c r="V164" s="66">
        <v>0.0</v>
      </c>
      <c r="W164" s="66">
        <v>0.0</v>
      </c>
      <c r="X164" s="66">
        <v>0.0</v>
      </c>
      <c r="Y164" s="66">
        <v>0.0</v>
      </c>
      <c r="Z164" s="66">
        <v>0.0</v>
      </c>
      <c r="AA164" s="66">
        <v>0.0</v>
      </c>
      <c r="AB164" s="66">
        <v>0.0</v>
      </c>
      <c r="AC164" s="66">
        <v>0.0</v>
      </c>
      <c r="AD164" s="66">
        <v>0.0</v>
      </c>
      <c r="AE164" s="66">
        <v>0.0</v>
      </c>
      <c r="AF164" s="66">
        <v>0.0</v>
      </c>
      <c r="AG164" s="6">
        <f t="shared" si="46"/>
        <v>6</v>
      </c>
    </row>
    <row r="165" ht="12.75" customHeight="1">
      <c r="A165" s="18"/>
      <c r="B165" s="51"/>
      <c r="C165" s="52" t="s">
        <v>138</v>
      </c>
      <c r="D165" s="53"/>
      <c r="E165" s="66">
        <v>0.0</v>
      </c>
      <c r="F165" s="66">
        <v>0.0</v>
      </c>
      <c r="G165" s="66">
        <v>0.0</v>
      </c>
      <c r="H165" s="66">
        <v>0.0</v>
      </c>
      <c r="I165" s="66">
        <v>1.0</v>
      </c>
      <c r="J165" s="66">
        <v>0.0</v>
      </c>
      <c r="K165" s="66">
        <v>0.0</v>
      </c>
      <c r="L165" s="66">
        <v>0.0</v>
      </c>
      <c r="M165" s="66">
        <v>0.0</v>
      </c>
      <c r="N165" s="66">
        <v>0.0</v>
      </c>
      <c r="O165" s="66">
        <v>0.0</v>
      </c>
      <c r="P165" s="66">
        <v>0.0</v>
      </c>
      <c r="Q165" s="66">
        <v>0.0</v>
      </c>
      <c r="R165" s="66">
        <v>1.0</v>
      </c>
      <c r="S165" s="66">
        <v>0.0</v>
      </c>
      <c r="T165" s="66">
        <v>0.0</v>
      </c>
      <c r="U165" s="66">
        <v>0.0</v>
      </c>
      <c r="V165" s="66">
        <v>0.0</v>
      </c>
      <c r="W165" s="66">
        <v>0.0</v>
      </c>
      <c r="X165" s="66">
        <v>0.0</v>
      </c>
      <c r="Y165" s="66">
        <v>0.0</v>
      </c>
      <c r="Z165" s="66">
        <v>0.0</v>
      </c>
      <c r="AA165" s="66">
        <v>0.0</v>
      </c>
      <c r="AB165" s="66">
        <v>0.0</v>
      </c>
      <c r="AC165" s="66">
        <v>0.0</v>
      </c>
      <c r="AD165" s="66">
        <v>0.0</v>
      </c>
      <c r="AE165" s="66">
        <v>0.0</v>
      </c>
      <c r="AF165" s="66">
        <v>0.0</v>
      </c>
      <c r="AG165" s="6">
        <f t="shared" si="46"/>
        <v>2</v>
      </c>
    </row>
    <row r="166" ht="12.75" customHeight="1">
      <c r="A166" s="18"/>
      <c r="B166" s="51"/>
      <c r="C166" s="52" t="s">
        <v>139</v>
      </c>
      <c r="D166" s="53"/>
      <c r="E166" s="66">
        <v>2.0</v>
      </c>
      <c r="F166" s="66">
        <v>0.0</v>
      </c>
      <c r="G166" s="66">
        <v>0.0</v>
      </c>
      <c r="H166" s="66">
        <v>0.0</v>
      </c>
      <c r="I166" s="66">
        <v>0.0</v>
      </c>
      <c r="J166" s="66">
        <v>1.0</v>
      </c>
      <c r="K166" s="66">
        <v>0.0</v>
      </c>
      <c r="L166" s="66">
        <v>2.0</v>
      </c>
      <c r="M166" s="66">
        <v>0.0</v>
      </c>
      <c r="N166" s="66">
        <v>0.0</v>
      </c>
      <c r="O166" s="66">
        <v>0.0</v>
      </c>
      <c r="P166" s="66">
        <v>1.0</v>
      </c>
      <c r="Q166" s="66">
        <v>0.0</v>
      </c>
      <c r="R166" s="66">
        <v>10.0</v>
      </c>
      <c r="S166" s="66">
        <v>1.0</v>
      </c>
      <c r="T166" s="66">
        <v>0.0</v>
      </c>
      <c r="U166" s="66">
        <v>1.0</v>
      </c>
      <c r="V166" s="66">
        <v>0.0</v>
      </c>
      <c r="W166" s="66">
        <v>0.0</v>
      </c>
      <c r="X166" s="66">
        <v>0.0</v>
      </c>
      <c r="Y166" s="66">
        <v>0.0</v>
      </c>
      <c r="Z166" s="66">
        <v>0.0</v>
      </c>
      <c r="AA166" s="66">
        <v>0.0</v>
      </c>
      <c r="AB166" s="66">
        <v>0.0</v>
      </c>
      <c r="AC166" s="66">
        <v>0.0</v>
      </c>
      <c r="AD166" s="66">
        <v>0.0</v>
      </c>
      <c r="AE166" s="66">
        <v>1.0</v>
      </c>
      <c r="AF166" s="66">
        <v>0.0</v>
      </c>
      <c r="AG166" s="6">
        <f t="shared" si="46"/>
        <v>19</v>
      </c>
    </row>
    <row r="167" ht="12.75" customHeight="1">
      <c r="A167" s="18"/>
      <c r="B167" s="51"/>
      <c r="C167" s="52" t="s">
        <v>140</v>
      </c>
      <c r="D167" s="53"/>
      <c r="E167" s="66">
        <v>0.0</v>
      </c>
      <c r="F167" s="66">
        <v>0.0</v>
      </c>
      <c r="G167" s="66">
        <v>0.0</v>
      </c>
      <c r="H167" s="66">
        <v>0.0</v>
      </c>
      <c r="I167" s="66">
        <v>0.0</v>
      </c>
      <c r="J167" s="66">
        <v>0.0</v>
      </c>
      <c r="K167" s="66">
        <v>0.0</v>
      </c>
      <c r="L167" s="66">
        <v>0.0</v>
      </c>
      <c r="M167" s="66">
        <v>0.0</v>
      </c>
      <c r="N167" s="66">
        <v>0.0</v>
      </c>
      <c r="O167" s="66">
        <v>0.0</v>
      </c>
      <c r="P167" s="66">
        <v>0.0</v>
      </c>
      <c r="Q167" s="66">
        <v>0.0</v>
      </c>
      <c r="R167" s="66">
        <v>0.0</v>
      </c>
      <c r="S167" s="66">
        <v>1.0</v>
      </c>
      <c r="T167" s="66">
        <v>0.0</v>
      </c>
      <c r="U167" s="66">
        <v>0.0</v>
      </c>
      <c r="V167" s="66">
        <v>0.0</v>
      </c>
      <c r="W167" s="66">
        <v>0.0</v>
      </c>
      <c r="X167" s="66">
        <v>0.0</v>
      </c>
      <c r="Y167" s="66">
        <v>0.0</v>
      </c>
      <c r="Z167" s="66">
        <v>1.0</v>
      </c>
      <c r="AA167" s="66">
        <v>0.0</v>
      </c>
      <c r="AB167" s="66">
        <v>0.0</v>
      </c>
      <c r="AC167" s="66">
        <v>0.0</v>
      </c>
      <c r="AD167" s="66">
        <v>0.0</v>
      </c>
      <c r="AE167" s="66">
        <v>0.0</v>
      </c>
      <c r="AF167" s="66">
        <v>0.0</v>
      </c>
      <c r="AG167" s="6">
        <f t="shared" si="46"/>
        <v>2</v>
      </c>
    </row>
    <row r="168" ht="12.75" customHeight="1">
      <c r="A168" s="13" t="s">
        <v>14</v>
      </c>
      <c r="B168" s="49" t="s">
        <v>45</v>
      </c>
      <c r="C168" s="8"/>
      <c r="D168" s="9"/>
      <c r="E168" s="54">
        <f t="shared" ref="E168:AF168" si="47">SUM(E161:E167)</f>
        <v>17</v>
      </c>
      <c r="F168" s="54">
        <f t="shared" si="47"/>
        <v>2</v>
      </c>
      <c r="G168" s="54">
        <f t="shared" si="47"/>
        <v>12</v>
      </c>
      <c r="H168" s="54">
        <f t="shared" si="47"/>
        <v>6</v>
      </c>
      <c r="I168" s="54">
        <f t="shared" si="47"/>
        <v>1</v>
      </c>
      <c r="J168" s="54">
        <f t="shared" si="47"/>
        <v>2</v>
      </c>
      <c r="K168" s="54">
        <f t="shared" si="47"/>
        <v>3</v>
      </c>
      <c r="L168" s="54">
        <f t="shared" si="47"/>
        <v>5</v>
      </c>
      <c r="M168" s="54">
        <f t="shared" si="47"/>
        <v>10</v>
      </c>
      <c r="N168" s="54">
        <f t="shared" si="47"/>
        <v>3</v>
      </c>
      <c r="O168" s="54">
        <f t="shared" si="47"/>
        <v>0</v>
      </c>
      <c r="P168" s="54">
        <f t="shared" si="47"/>
        <v>1</v>
      </c>
      <c r="Q168" s="54">
        <f t="shared" si="47"/>
        <v>13</v>
      </c>
      <c r="R168" s="54">
        <f t="shared" si="47"/>
        <v>25</v>
      </c>
      <c r="S168" s="54">
        <f t="shared" si="47"/>
        <v>16</v>
      </c>
      <c r="T168" s="54">
        <f t="shared" si="47"/>
        <v>1</v>
      </c>
      <c r="U168" s="54">
        <f t="shared" si="47"/>
        <v>1</v>
      </c>
      <c r="V168" s="54">
        <f t="shared" si="47"/>
        <v>0</v>
      </c>
      <c r="W168" s="54">
        <f t="shared" si="47"/>
        <v>0</v>
      </c>
      <c r="X168" s="54">
        <f t="shared" si="47"/>
        <v>0</v>
      </c>
      <c r="Y168" s="54">
        <f t="shared" si="47"/>
        <v>0</v>
      </c>
      <c r="Z168" s="54">
        <f t="shared" si="47"/>
        <v>3</v>
      </c>
      <c r="AA168" s="54">
        <f t="shared" si="47"/>
        <v>2</v>
      </c>
      <c r="AB168" s="54">
        <f t="shared" si="47"/>
        <v>0</v>
      </c>
      <c r="AC168" s="54">
        <f t="shared" si="47"/>
        <v>0</v>
      </c>
      <c r="AD168" s="54">
        <f t="shared" si="47"/>
        <v>0</v>
      </c>
      <c r="AE168" s="54">
        <f t="shared" si="47"/>
        <v>1</v>
      </c>
      <c r="AF168" s="54">
        <f t="shared" si="47"/>
        <v>1</v>
      </c>
      <c r="AG168" s="6">
        <f t="shared" si="46"/>
        <v>125</v>
      </c>
    </row>
    <row r="169" ht="12.75" customHeight="1">
      <c r="A169" s="55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6"/>
    </row>
    <row r="170" ht="12.75" customHeight="1">
      <c r="A170" s="32" t="s">
        <v>36</v>
      </c>
      <c r="B170" s="49" t="s">
        <v>141</v>
      </c>
      <c r="C170" s="50" t="s">
        <v>142</v>
      </c>
      <c r="D170" s="9"/>
      <c r="E170" s="66">
        <v>0.0</v>
      </c>
      <c r="F170" s="66">
        <v>1.0</v>
      </c>
      <c r="G170" s="66">
        <v>0.0</v>
      </c>
      <c r="H170" s="66">
        <v>0.0</v>
      </c>
      <c r="I170" s="66">
        <v>1.0</v>
      </c>
      <c r="J170" s="66">
        <v>0.0</v>
      </c>
      <c r="K170" s="66">
        <v>1.0</v>
      </c>
      <c r="L170" s="66">
        <v>0.0</v>
      </c>
      <c r="M170" s="66">
        <v>0.0</v>
      </c>
      <c r="N170" s="66">
        <v>0.0</v>
      </c>
      <c r="O170" s="66">
        <v>1.0</v>
      </c>
      <c r="P170" s="66">
        <v>0.0</v>
      </c>
      <c r="Q170" s="66">
        <v>1.0</v>
      </c>
      <c r="R170" s="66">
        <v>0.0</v>
      </c>
      <c r="S170" s="66">
        <v>0.0</v>
      </c>
      <c r="T170" s="66">
        <v>0.0</v>
      </c>
      <c r="U170" s="66">
        <v>1.0</v>
      </c>
      <c r="V170" s="66">
        <v>1.0</v>
      </c>
      <c r="W170" s="66">
        <v>0.0</v>
      </c>
      <c r="X170" s="66">
        <v>1.0</v>
      </c>
      <c r="Y170" s="66">
        <v>1.0</v>
      </c>
      <c r="Z170" s="66">
        <v>0.0</v>
      </c>
      <c r="AA170" s="66">
        <v>0.0</v>
      </c>
      <c r="AB170" s="66">
        <v>0.0</v>
      </c>
      <c r="AC170" s="66">
        <v>1.0</v>
      </c>
      <c r="AD170" s="66">
        <v>0.0</v>
      </c>
      <c r="AE170" s="66">
        <v>1.0</v>
      </c>
      <c r="AF170" s="66">
        <v>0.0</v>
      </c>
      <c r="AG170" s="6">
        <f t="shared" ref="AG170:AG172" si="48">SUM(E170:AF170)</f>
        <v>11</v>
      </c>
    </row>
    <row r="171" ht="12.75" customHeight="1">
      <c r="A171" s="32" t="s">
        <v>38</v>
      </c>
      <c r="B171" s="51"/>
      <c r="C171" s="52" t="s">
        <v>143</v>
      </c>
      <c r="D171" s="53"/>
      <c r="E171" s="66">
        <v>0.0</v>
      </c>
      <c r="F171" s="66">
        <v>2.0</v>
      </c>
      <c r="G171" s="66">
        <v>0.0</v>
      </c>
      <c r="H171" s="66">
        <v>0.0</v>
      </c>
      <c r="I171" s="66">
        <v>0.0</v>
      </c>
      <c r="J171" s="66">
        <v>0.0</v>
      </c>
      <c r="K171" s="66">
        <v>0.0</v>
      </c>
      <c r="L171" s="66">
        <v>0.0</v>
      </c>
      <c r="M171" s="66">
        <v>0.0</v>
      </c>
      <c r="N171" s="66">
        <v>0.0</v>
      </c>
      <c r="O171" s="66">
        <v>0.0</v>
      </c>
      <c r="P171" s="66">
        <v>0.0</v>
      </c>
      <c r="Q171" s="66">
        <v>0.0</v>
      </c>
      <c r="R171" s="66">
        <v>1.0</v>
      </c>
      <c r="S171" s="66">
        <v>0.0</v>
      </c>
      <c r="T171" s="66">
        <v>0.0</v>
      </c>
      <c r="U171" s="66">
        <v>0.0</v>
      </c>
      <c r="V171" s="66">
        <v>2.0</v>
      </c>
      <c r="W171" s="66">
        <v>2.0</v>
      </c>
      <c r="X171" s="66">
        <v>3.0</v>
      </c>
      <c r="Y171" s="66">
        <v>0.0</v>
      </c>
      <c r="Z171" s="66">
        <v>0.0</v>
      </c>
      <c r="AA171" s="66">
        <v>1.0</v>
      </c>
      <c r="AB171" s="66">
        <v>0.0</v>
      </c>
      <c r="AC171" s="66">
        <v>2.0</v>
      </c>
      <c r="AD171" s="66">
        <v>0.0</v>
      </c>
      <c r="AE171" s="66">
        <v>0.0</v>
      </c>
      <c r="AF171" s="66">
        <v>3.0</v>
      </c>
      <c r="AG171" s="6">
        <f t="shared" si="48"/>
        <v>16</v>
      </c>
    </row>
    <row r="172" ht="12.75" customHeight="1">
      <c r="A172" s="13" t="s">
        <v>14</v>
      </c>
      <c r="B172" s="49" t="s">
        <v>45</v>
      </c>
      <c r="C172" s="8"/>
      <c r="D172" s="9"/>
      <c r="E172" s="54">
        <f t="shared" ref="E172:AF172" si="49">SUM(E170:E171)</f>
        <v>0</v>
      </c>
      <c r="F172" s="54">
        <f t="shared" si="49"/>
        <v>3</v>
      </c>
      <c r="G172" s="54">
        <f t="shared" si="49"/>
        <v>0</v>
      </c>
      <c r="H172" s="54">
        <f t="shared" si="49"/>
        <v>0</v>
      </c>
      <c r="I172" s="54">
        <f t="shared" si="49"/>
        <v>1</v>
      </c>
      <c r="J172" s="54">
        <f t="shared" si="49"/>
        <v>0</v>
      </c>
      <c r="K172" s="54">
        <f t="shared" si="49"/>
        <v>1</v>
      </c>
      <c r="L172" s="54">
        <f t="shared" si="49"/>
        <v>0</v>
      </c>
      <c r="M172" s="54">
        <f t="shared" si="49"/>
        <v>0</v>
      </c>
      <c r="N172" s="54">
        <f t="shared" si="49"/>
        <v>0</v>
      </c>
      <c r="O172" s="54">
        <f t="shared" si="49"/>
        <v>1</v>
      </c>
      <c r="P172" s="54">
        <f t="shared" si="49"/>
        <v>0</v>
      </c>
      <c r="Q172" s="54">
        <f t="shared" si="49"/>
        <v>1</v>
      </c>
      <c r="R172" s="54">
        <f t="shared" si="49"/>
        <v>1</v>
      </c>
      <c r="S172" s="54">
        <f t="shared" si="49"/>
        <v>0</v>
      </c>
      <c r="T172" s="54">
        <f t="shared" si="49"/>
        <v>0</v>
      </c>
      <c r="U172" s="54">
        <f t="shared" si="49"/>
        <v>1</v>
      </c>
      <c r="V172" s="54">
        <f t="shared" si="49"/>
        <v>3</v>
      </c>
      <c r="W172" s="54">
        <f t="shared" si="49"/>
        <v>2</v>
      </c>
      <c r="X172" s="54">
        <f t="shared" si="49"/>
        <v>4</v>
      </c>
      <c r="Y172" s="54">
        <f t="shared" si="49"/>
        <v>1</v>
      </c>
      <c r="Z172" s="54">
        <f t="shared" si="49"/>
        <v>0</v>
      </c>
      <c r="AA172" s="54">
        <f t="shared" si="49"/>
        <v>1</v>
      </c>
      <c r="AB172" s="54">
        <f t="shared" si="49"/>
        <v>0</v>
      </c>
      <c r="AC172" s="54">
        <f t="shared" si="49"/>
        <v>3</v>
      </c>
      <c r="AD172" s="54">
        <f t="shared" si="49"/>
        <v>0</v>
      </c>
      <c r="AE172" s="54">
        <f t="shared" si="49"/>
        <v>1</v>
      </c>
      <c r="AF172" s="54">
        <f t="shared" si="49"/>
        <v>3</v>
      </c>
      <c r="AG172" s="6">
        <f t="shared" si="48"/>
        <v>27</v>
      </c>
    </row>
    <row r="173" ht="12.75" customHeight="1">
      <c r="A173" s="47"/>
      <c r="B173" s="46"/>
      <c r="C173" s="46"/>
      <c r="D173" s="27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6"/>
    </row>
    <row r="174" ht="12.75" customHeight="1">
      <c r="A174" s="44" t="s">
        <v>144</v>
      </c>
      <c r="B174" s="7" t="s">
        <v>145</v>
      </c>
      <c r="C174" s="8"/>
      <c r="D174" s="9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6"/>
    </row>
    <row r="175" ht="12.75" customHeight="1">
      <c r="A175" s="44"/>
      <c r="B175" s="62" t="s">
        <v>146</v>
      </c>
      <c r="C175" s="63" t="s">
        <v>147</v>
      </c>
      <c r="D175" s="9"/>
      <c r="E175" s="13">
        <f t="shared" ref="E175:AF175" si="50">E52+E61+E70+E79+E88+E92+E98+E107+E111+E120+E124+E131+E140+E149+E153+E159+E168+E172</f>
        <v>191</v>
      </c>
      <c r="F175" s="13">
        <f t="shared" si="50"/>
        <v>186</v>
      </c>
      <c r="G175" s="13">
        <f t="shared" si="50"/>
        <v>172</v>
      </c>
      <c r="H175" s="13">
        <f t="shared" si="50"/>
        <v>137</v>
      </c>
      <c r="I175" s="13">
        <f t="shared" si="50"/>
        <v>186</v>
      </c>
      <c r="J175" s="13">
        <f t="shared" si="50"/>
        <v>159</v>
      </c>
      <c r="K175" s="13">
        <f t="shared" si="50"/>
        <v>200</v>
      </c>
      <c r="L175" s="13">
        <f t="shared" si="50"/>
        <v>206</v>
      </c>
      <c r="M175" s="13">
        <f t="shared" si="50"/>
        <v>235</v>
      </c>
      <c r="N175" s="13">
        <f t="shared" si="50"/>
        <v>224</v>
      </c>
      <c r="O175" s="13">
        <f t="shared" si="50"/>
        <v>186</v>
      </c>
      <c r="P175" s="13">
        <f t="shared" si="50"/>
        <v>176</v>
      </c>
      <c r="Q175" s="13">
        <f t="shared" si="50"/>
        <v>164</v>
      </c>
      <c r="R175" s="13">
        <f t="shared" si="50"/>
        <v>214</v>
      </c>
      <c r="S175" s="13">
        <f t="shared" si="50"/>
        <v>202</v>
      </c>
      <c r="T175" s="13">
        <f t="shared" si="50"/>
        <v>209</v>
      </c>
      <c r="U175" s="13">
        <f t="shared" si="50"/>
        <v>187</v>
      </c>
      <c r="V175" s="13">
        <f t="shared" si="50"/>
        <v>227</v>
      </c>
      <c r="W175" s="13">
        <f t="shared" si="50"/>
        <v>207</v>
      </c>
      <c r="X175" s="13">
        <f t="shared" si="50"/>
        <v>227</v>
      </c>
      <c r="Y175" s="13">
        <f t="shared" si="50"/>
        <v>231</v>
      </c>
      <c r="Z175" s="13">
        <f t="shared" si="50"/>
        <v>215</v>
      </c>
      <c r="AA175" s="13">
        <f t="shared" si="50"/>
        <v>213</v>
      </c>
      <c r="AB175" s="13">
        <f t="shared" si="50"/>
        <v>190</v>
      </c>
      <c r="AC175" s="13">
        <f t="shared" si="50"/>
        <v>201</v>
      </c>
      <c r="AD175" s="13">
        <f t="shared" si="50"/>
        <v>208</v>
      </c>
      <c r="AE175" s="13">
        <f t="shared" si="50"/>
        <v>225</v>
      </c>
      <c r="AF175" s="13">
        <f t="shared" si="50"/>
        <v>202</v>
      </c>
      <c r="AG175" s="6">
        <f t="shared" ref="AG175:AG177" si="51">SUM(E175:AF175)</f>
        <v>5580</v>
      </c>
    </row>
    <row r="176" ht="12.75" customHeight="1">
      <c r="A176" s="37"/>
      <c r="B176" s="62" t="s">
        <v>148</v>
      </c>
      <c r="C176" s="63" t="s">
        <v>149</v>
      </c>
      <c r="D176" s="9"/>
      <c r="E176" s="66">
        <v>14.0</v>
      </c>
      <c r="F176" s="66">
        <v>11.0</v>
      </c>
      <c r="G176" s="66">
        <v>25.0</v>
      </c>
      <c r="H176" s="66">
        <v>18.0</v>
      </c>
      <c r="I176" s="66">
        <v>16.0</v>
      </c>
      <c r="J176" s="66">
        <v>6.0</v>
      </c>
      <c r="K176" s="66">
        <v>14.0</v>
      </c>
      <c r="L176" s="66">
        <v>15.0</v>
      </c>
      <c r="M176" s="66">
        <v>9.0</v>
      </c>
      <c r="N176" s="66">
        <v>20.0</v>
      </c>
      <c r="O176" s="66">
        <v>12.0</v>
      </c>
      <c r="P176" s="66">
        <v>1.0</v>
      </c>
      <c r="Q176" s="66">
        <v>16.0</v>
      </c>
      <c r="R176" s="66">
        <v>16.0</v>
      </c>
      <c r="S176" s="66">
        <v>14.0</v>
      </c>
      <c r="T176" s="66">
        <v>15.0</v>
      </c>
      <c r="U176" s="66">
        <v>17.0</v>
      </c>
      <c r="V176" s="66">
        <v>14.0</v>
      </c>
      <c r="W176" s="66">
        <v>9.0</v>
      </c>
      <c r="X176" s="66">
        <v>5.0</v>
      </c>
      <c r="Y176" s="66">
        <v>16.0</v>
      </c>
      <c r="Z176" s="66">
        <v>8.0</v>
      </c>
      <c r="AA176" s="66">
        <v>10.0</v>
      </c>
      <c r="AB176" s="66">
        <v>8.0</v>
      </c>
      <c r="AC176" s="66">
        <v>6.0</v>
      </c>
      <c r="AD176" s="66">
        <v>11.0</v>
      </c>
      <c r="AE176" s="66">
        <v>8.0</v>
      </c>
      <c r="AF176" s="66">
        <v>24.0</v>
      </c>
      <c r="AG176" s="6">
        <f t="shared" si="51"/>
        <v>358</v>
      </c>
    </row>
    <row r="177" ht="12.75" customHeight="1">
      <c r="A177" s="42"/>
      <c r="B177" s="62" t="s">
        <v>150</v>
      </c>
      <c r="C177" s="63" t="s">
        <v>151</v>
      </c>
      <c r="D177" s="9"/>
      <c r="E177" s="28">
        <f t="shared" ref="E177:AF177" si="52">SUM(E175:E176)</f>
        <v>205</v>
      </c>
      <c r="F177" s="28">
        <f t="shared" si="52"/>
        <v>197</v>
      </c>
      <c r="G177" s="28">
        <f t="shared" si="52"/>
        <v>197</v>
      </c>
      <c r="H177" s="28">
        <f t="shared" si="52"/>
        <v>155</v>
      </c>
      <c r="I177" s="28">
        <f t="shared" si="52"/>
        <v>202</v>
      </c>
      <c r="J177" s="28">
        <f t="shared" si="52"/>
        <v>165</v>
      </c>
      <c r="K177" s="28">
        <f t="shared" si="52"/>
        <v>214</v>
      </c>
      <c r="L177" s="28">
        <f t="shared" si="52"/>
        <v>221</v>
      </c>
      <c r="M177" s="28">
        <f t="shared" si="52"/>
        <v>244</v>
      </c>
      <c r="N177" s="28">
        <f t="shared" si="52"/>
        <v>244</v>
      </c>
      <c r="O177" s="28">
        <f t="shared" si="52"/>
        <v>198</v>
      </c>
      <c r="P177" s="28">
        <f t="shared" si="52"/>
        <v>177</v>
      </c>
      <c r="Q177" s="28">
        <f t="shared" si="52"/>
        <v>180</v>
      </c>
      <c r="R177" s="28">
        <f t="shared" si="52"/>
        <v>230</v>
      </c>
      <c r="S177" s="28">
        <f t="shared" si="52"/>
        <v>216</v>
      </c>
      <c r="T177" s="28">
        <f t="shared" si="52"/>
        <v>224</v>
      </c>
      <c r="U177" s="28">
        <f t="shared" si="52"/>
        <v>204</v>
      </c>
      <c r="V177" s="28">
        <f t="shared" si="52"/>
        <v>241</v>
      </c>
      <c r="W177" s="28">
        <f t="shared" si="52"/>
        <v>216</v>
      </c>
      <c r="X177" s="28">
        <f t="shared" si="52"/>
        <v>232</v>
      </c>
      <c r="Y177" s="28">
        <f t="shared" si="52"/>
        <v>247</v>
      </c>
      <c r="Z177" s="28">
        <f t="shared" si="52"/>
        <v>223</v>
      </c>
      <c r="AA177" s="28">
        <f t="shared" si="52"/>
        <v>223</v>
      </c>
      <c r="AB177" s="28">
        <f t="shared" si="52"/>
        <v>198</v>
      </c>
      <c r="AC177" s="28">
        <f t="shared" si="52"/>
        <v>207</v>
      </c>
      <c r="AD177" s="28">
        <f t="shared" si="52"/>
        <v>219</v>
      </c>
      <c r="AE177" s="28">
        <f t="shared" si="52"/>
        <v>233</v>
      </c>
      <c r="AF177" s="28">
        <f t="shared" si="52"/>
        <v>226</v>
      </c>
      <c r="AG177" s="6">
        <f t="shared" si="51"/>
        <v>5938</v>
      </c>
    </row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1">
    <mergeCell ref="B39:C41"/>
    <mergeCell ref="A42:D42"/>
    <mergeCell ref="B38:D38"/>
    <mergeCell ref="C28:C30"/>
    <mergeCell ref="A31:D31"/>
    <mergeCell ref="B32:D32"/>
    <mergeCell ref="B33:D33"/>
    <mergeCell ref="B34:D34"/>
    <mergeCell ref="A37:D37"/>
    <mergeCell ref="C63:D63"/>
    <mergeCell ref="B70:D70"/>
    <mergeCell ref="C81:D81"/>
    <mergeCell ref="B79:D79"/>
    <mergeCell ref="B35:D35"/>
    <mergeCell ref="B36:D36"/>
    <mergeCell ref="B88:D88"/>
    <mergeCell ref="B52:D52"/>
    <mergeCell ref="C54:D54"/>
    <mergeCell ref="B61:D61"/>
    <mergeCell ref="C72:D72"/>
    <mergeCell ref="A44:D44"/>
    <mergeCell ref="B172:D172"/>
    <mergeCell ref="A173:D173"/>
    <mergeCell ref="B174:D174"/>
    <mergeCell ref="C175:D175"/>
    <mergeCell ref="C176:D176"/>
    <mergeCell ref="C177:D177"/>
    <mergeCell ref="B168:D168"/>
    <mergeCell ref="C126:D126"/>
    <mergeCell ref="B131:D131"/>
    <mergeCell ref="C109:D109"/>
    <mergeCell ref="B111:D111"/>
    <mergeCell ref="C113:D113"/>
    <mergeCell ref="B120:D120"/>
    <mergeCell ref="C122:D122"/>
    <mergeCell ref="B98:D98"/>
    <mergeCell ref="C151:D151"/>
    <mergeCell ref="B149:D149"/>
    <mergeCell ref="B12:D12"/>
    <mergeCell ref="A17:D17"/>
    <mergeCell ref="C133:D133"/>
    <mergeCell ref="C90:D90"/>
    <mergeCell ref="C91:D91"/>
    <mergeCell ref="C94:D94"/>
    <mergeCell ref="C100:D100"/>
    <mergeCell ref="B140:D140"/>
    <mergeCell ref="AG12:AG13"/>
    <mergeCell ref="B13:D13"/>
    <mergeCell ref="B14:C16"/>
    <mergeCell ref="B18:D18"/>
    <mergeCell ref="C45:D45"/>
    <mergeCell ref="E12:AF12"/>
    <mergeCell ref="C170:D170"/>
    <mergeCell ref="B153:D153"/>
    <mergeCell ref="C155:D155"/>
    <mergeCell ref="B159:D159"/>
    <mergeCell ref="C161:D161"/>
    <mergeCell ref="B124:D124"/>
    <mergeCell ref="C142:D142"/>
    <mergeCell ref="B19:B21"/>
    <mergeCell ref="C19:C21"/>
    <mergeCell ref="B22:B24"/>
    <mergeCell ref="C22:C24"/>
    <mergeCell ref="B25:B27"/>
    <mergeCell ref="C25:C27"/>
    <mergeCell ref="B28:B30"/>
    <mergeCell ref="E37:I37"/>
    <mergeCell ref="E42:I42"/>
    <mergeCell ref="B43:D43"/>
    <mergeCell ref="B92:D92"/>
    <mergeCell ref="B107:D107"/>
  </mergeCells>
  <conditionalFormatting sqref="E30:T30">
    <cfRule type="expression" dxfId="0" priority="1">
      <formula>E30&lt;&gt;E62</formula>
    </cfRule>
  </conditionalFormatting>
  <conditionalFormatting sqref="E14:AF15">
    <cfRule type="containsBlanks" dxfId="4" priority="2">
      <formula>LEN(TRIM(E14))=0</formula>
    </cfRule>
  </conditionalFormatting>
  <conditionalFormatting sqref="E19:AF20">
    <cfRule type="containsBlanks" dxfId="4" priority="3">
      <formula>LEN(TRIM(E19))=0</formula>
    </cfRule>
  </conditionalFormatting>
  <conditionalFormatting sqref="E22:AF23 E25:AF26 E33:AF33 E35:AF35 E39:AF40">
    <cfRule type="containsBlanks" dxfId="4" priority="4">
      <formula>LEN(TRIM(E22))=0</formula>
    </cfRule>
  </conditionalFormatting>
  <conditionalFormatting sqref="E30:AF30">
    <cfRule type="expression" dxfId="0" priority="5">
      <formula>E30&lt;&gt;E34</formula>
    </cfRule>
  </conditionalFormatting>
  <conditionalFormatting sqref="E34:AF34">
    <cfRule type="expression" dxfId="2" priority="6">
      <formula>E30&lt;&gt;E34</formula>
    </cfRule>
  </conditionalFormatting>
  <conditionalFormatting sqref="E34:AF34">
    <cfRule type="expression" dxfId="5" priority="7">
      <formula>E30=E34</formula>
    </cfRule>
  </conditionalFormatting>
  <conditionalFormatting sqref="E34:AF34">
    <cfRule type="expression" dxfId="0" priority="8">
      <formula>E34&lt;&gt;E30</formula>
    </cfRule>
  </conditionalFormatting>
  <conditionalFormatting sqref="U30:AF30">
    <cfRule type="expression" dxfId="0" priority="9">
      <formula>U30&lt;&gt;U47</formula>
    </cfRule>
  </conditionalFormatting>
  <conditionalFormatting sqref="E34 U34:AF34">
    <cfRule type="expression" dxfId="0" priority="10">
      <formula>E34&lt;&gt;E47</formula>
    </cfRule>
  </conditionalFormatting>
  <conditionalFormatting sqref="E177:AF177">
    <cfRule type="expression" dxfId="0" priority="11">
      <formula>E177&lt;&gt;E30</formula>
    </cfRule>
  </conditionalFormatting>
  <conditionalFormatting sqref="E177:AF177">
    <cfRule type="expression" dxfId="0" priority="12">
      <formula>E177&lt;&gt;E34</formula>
    </cfRule>
  </conditionalFormatting>
  <conditionalFormatting sqref="E45:AF51">
    <cfRule type="containsBlanks" dxfId="4" priority="13">
      <formula>LEN(TRIM(E45))=0</formula>
    </cfRule>
  </conditionalFormatting>
  <conditionalFormatting sqref="E54:AF60">
    <cfRule type="containsBlanks" dxfId="4" priority="14">
      <formula>LEN(TRIM(E54))=0</formula>
    </cfRule>
  </conditionalFormatting>
  <conditionalFormatting sqref="E63:AF69">
    <cfRule type="containsBlanks" dxfId="4" priority="15">
      <formula>LEN(TRIM(E63))=0</formula>
    </cfRule>
  </conditionalFormatting>
  <conditionalFormatting sqref="E72:AF78">
    <cfRule type="containsBlanks" dxfId="4" priority="16">
      <formula>LEN(TRIM(E72))=0</formula>
    </cfRule>
  </conditionalFormatting>
  <conditionalFormatting sqref="E81:AF87">
    <cfRule type="containsBlanks" dxfId="4" priority="17">
      <formula>LEN(TRIM(E81))=0</formula>
    </cfRule>
  </conditionalFormatting>
  <conditionalFormatting sqref="E100:AF106">
    <cfRule type="containsBlanks" dxfId="4" priority="18">
      <formula>LEN(TRIM(E100))=0</formula>
    </cfRule>
  </conditionalFormatting>
  <conditionalFormatting sqref="E90:AF91">
    <cfRule type="containsBlanks" dxfId="4" priority="19">
      <formula>LEN(TRIM(E90))=0</formula>
    </cfRule>
  </conditionalFormatting>
  <conditionalFormatting sqref="E94:AF95">
    <cfRule type="containsBlanks" dxfId="4" priority="20">
      <formula>LEN(TRIM(E94))=0</formula>
    </cfRule>
  </conditionalFormatting>
  <conditionalFormatting sqref="E96:AF97">
    <cfRule type="containsBlanks" dxfId="4" priority="21">
      <formula>LEN(TRIM(E96))=0</formula>
    </cfRule>
  </conditionalFormatting>
  <conditionalFormatting sqref="E109:AF110">
    <cfRule type="containsBlanks" dxfId="4" priority="22">
      <formula>LEN(TRIM(E109))=0</formula>
    </cfRule>
  </conditionalFormatting>
  <conditionalFormatting sqref="E113:AF119">
    <cfRule type="containsBlanks" dxfId="4" priority="23">
      <formula>LEN(TRIM(E113))=0</formula>
    </cfRule>
  </conditionalFormatting>
  <conditionalFormatting sqref="E133:AF139">
    <cfRule type="containsBlanks" dxfId="4" priority="24">
      <formula>LEN(TRIM(E133))=0</formula>
    </cfRule>
  </conditionalFormatting>
  <conditionalFormatting sqref="E122:AF123">
    <cfRule type="containsBlanks" dxfId="4" priority="25">
      <formula>LEN(TRIM(E122))=0</formula>
    </cfRule>
  </conditionalFormatting>
  <conditionalFormatting sqref="E126:AF130">
    <cfRule type="containsBlanks" dxfId="4" priority="26">
      <formula>LEN(TRIM(E126))=0</formula>
    </cfRule>
  </conditionalFormatting>
  <conditionalFormatting sqref="E142:AF148">
    <cfRule type="containsBlanks" dxfId="4" priority="27">
      <formula>LEN(TRIM(E142))=0</formula>
    </cfRule>
  </conditionalFormatting>
  <conditionalFormatting sqref="E152:AF152">
    <cfRule type="containsBlanks" dxfId="4" priority="28">
      <formula>LEN(TRIM(E152))=0</formula>
    </cfRule>
  </conditionalFormatting>
  <conditionalFormatting sqref="E151:AF151">
    <cfRule type="containsBlanks" dxfId="4" priority="29">
      <formula>LEN(TRIM(E151))=0</formula>
    </cfRule>
  </conditionalFormatting>
  <conditionalFormatting sqref="E155:AF158">
    <cfRule type="containsBlanks" dxfId="4" priority="30">
      <formula>LEN(TRIM(E155))=0</formula>
    </cfRule>
  </conditionalFormatting>
  <conditionalFormatting sqref="E161:AF163">
    <cfRule type="containsBlanks" dxfId="4" priority="31">
      <formula>LEN(TRIM(E161))=0</formula>
    </cfRule>
  </conditionalFormatting>
  <conditionalFormatting sqref="E164:AF167">
    <cfRule type="containsBlanks" dxfId="4" priority="32">
      <formula>LEN(TRIM(E164))=0</formula>
    </cfRule>
  </conditionalFormatting>
  <conditionalFormatting sqref="E170:AF170">
    <cfRule type="containsBlanks" dxfId="4" priority="33">
      <formula>LEN(TRIM(E170))=0</formula>
    </cfRule>
  </conditionalFormatting>
  <conditionalFormatting sqref="E171:AF171">
    <cfRule type="containsBlanks" dxfId="4" priority="34">
      <formula>LEN(TRIM(E171))=0</formula>
    </cfRule>
  </conditionalFormatting>
  <conditionalFormatting sqref="E175:AF175">
    <cfRule type="containsBlanks" dxfId="4" priority="35">
      <formula>LEN(TRIM(E175))=0</formula>
    </cfRule>
  </conditionalFormatting>
  <conditionalFormatting sqref="E176:AF176">
    <cfRule type="containsBlanks" dxfId="4" priority="36">
      <formula>LEN(TRIM(E176))=0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8" width="8.71"/>
    <col customWidth="1" min="19" max="19" width="11.43"/>
  </cols>
  <sheetData>
    <row r="1" ht="12.75" customHeight="1"/>
    <row r="2" ht="12.75" customHeight="1">
      <c r="C2" s="1" t="s">
        <v>0</v>
      </c>
      <c r="D2" s="1"/>
    </row>
    <row r="3" ht="12.75" customHeight="1">
      <c r="C3" s="1" t="s">
        <v>1</v>
      </c>
      <c r="D3" s="1" t="s">
        <v>2</v>
      </c>
    </row>
    <row r="4" ht="12.75" customHeight="1">
      <c r="C4" s="1" t="s">
        <v>3</v>
      </c>
      <c r="D4" s="1" t="s">
        <v>4</v>
      </c>
    </row>
    <row r="5" ht="12.75" customHeight="1">
      <c r="C5" s="1"/>
      <c r="D5" s="1"/>
    </row>
    <row r="6" ht="12.75" customHeight="1">
      <c r="C6" s="1"/>
      <c r="D6" s="1"/>
    </row>
    <row r="7" ht="12.75" customHeight="1">
      <c r="C7" s="1"/>
      <c r="D7" s="1"/>
    </row>
    <row r="8" ht="12.75" customHeight="1">
      <c r="C8" s="1"/>
      <c r="D8" s="1"/>
    </row>
    <row r="9" ht="12.75" customHeight="1">
      <c r="C9" s="1" t="s">
        <v>152</v>
      </c>
      <c r="D9" s="1"/>
    </row>
    <row r="10" ht="12.75" customHeight="1"/>
    <row r="11" ht="12.75" customHeight="1"/>
    <row r="12" ht="12.75" customHeight="1">
      <c r="A12" s="6" t="s">
        <v>5</v>
      </c>
      <c r="B12" s="7" t="s">
        <v>6</v>
      </c>
      <c r="C12" s="8"/>
      <c r="D12" s="8"/>
      <c r="E12" s="2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9"/>
      <c r="S12" s="39" t="s">
        <v>7</v>
      </c>
    </row>
    <row r="13" ht="12.75" customHeight="1">
      <c r="A13" s="13" t="s">
        <v>8</v>
      </c>
      <c r="B13" s="14" t="s">
        <v>9</v>
      </c>
      <c r="C13" s="8"/>
      <c r="D13" s="9"/>
      <c r="E13" s="42" t="s">
        <v>153</v>
      </c>
      <c r="F13" s="42" t="s">
        <v>154</v>
      </c>
      <c r="G13" s="42" t="s">
        <v>155</v>
      </c>
      <c r="H13" s="42" t="s">
        <v>156</v>
      </c>
      <c r="I13" s="42" t="s">
        <v>157</v>
      </c>
      <c r="J13" s="42" t="s">
        <v>158</v>
      </c>
      <c r="K13" s="42" t="s">
        <v>159</v>
      </c>
      <c r="L13" s="42" t="s">
        <v>160</v>
      </c>
      <c r="M13" s="42" t="s">
        <v>161</v>
      </c>
      <c r="N13" s="42" t="s">
        <v>162</v>
      </c>
      <c r="O13" s="42" t="s">
        <v>163</v>
      </c>
      <c r="P13" s="42" t="s">
        <v>164</v>
      </c>
      <c r="Q13" s="42" t="s">
        <v>165</v>
      </c>
      <c r="R13" s="42" t="s">
        <v>166</v>
      </c>
      <c r="S13" s="27"/>
    </row>
    <row r="14" ht="12.75" customHeight="1">
      <c r="A14" s="18"/>
      <c r="B14" s="19" t="s">
        <v>10</v>
      </c>
      <c r="C14" s="20"/>
      <c r="D14" s="13" t="s">
        <v>11</v>
      </c>
      <c r="E14" s="66">
        <v>142.0</v>
      </c>
      <c r="F14" s="66">
        <v>126.0</v>
      </c>
      <c r="G14" s="66">
        <v>141.0</v>
      </c>
      <c r="H14" s="66">
        <v>137.0</v>
      </c>
      <c r="I14" s="66">
        <v>124.0</v>
      </c>
      <c r="J14" s="66">
        <v>138.0</v>
      </c>
      <c r="K14" s="66">
        <v>148.0</v>
      </c>
      <c r="L14" s="66">
        <v>124.0</v>
      </c>
      <c r="M14" s="66">
        <v>140.0</v>
      </c>
      <c r="N14" s="66">
        <v>140.0</v>
      </c>
      <c r="O14" s="66">
        <v>112.0</v>
      </c>
      <c r="P14" s="66">
        <v>97.0</v>
      </c>
      <c r="Q14" s="66">
        <v>113.0</v>
      </c>
      <c r="R14" s="66">
        <v>122.0</v>
      </c>
      <c r="S14" s="6">
        <f t="shared" ref="S14:S16" si="1">SUM(E14:R14)</f>
        <v>1804</v>
      </c>
    </row>
    <row r="15" ht="12.75" customHeight="1">
      <c r="A15" s="18"/>
      <c r="B15" s="25"/>
      <c r="C15" s="26"/>
      <c r="D15" s="13" t="s">
        <v>12</v>
      </c>
      <c r="E15" s="66">
        <v>147.0</v>
      </c>
      <c r="F15" s="66">
        <v>137.0</v>
      </c>
      <c r="G15" s="66">
        <v>137.0</v>
      </c>
      <c r="H15" s="66">
        <v>156.0</v>
      </c>
      <c r="I15" s="66">
        <v>130.0</v>
      </c>
      <c r="J15" s="66">
        <v>126.0</v>
      </c>
      <c r="K15" s="66">
        <v>134.0</v>
      </c>
      <c r="L15" s="66">
        <v>107.0</v>
      </c>
      <c r="M15" s="66">
        <v>129.0</v>
      </c>
      <c r="N15" s="66">
        <v>129.0</v>
      </c>
      <c r="O15" s="66">
        <v>121.0</v>
      </c>
      <c r="P15" s="66">
        <v>103.0</v>
      </c>
      <c r="Q15" s="66">
        <v>107.0</v>
      </c>
      <c r="R15" s="66">
        <v>113.0</v>
      </c>
      <c r="S15" s="6">
        <f t="shared" si="1"/>
        <v>1776</v>
      </c>
    </row>
    <row r="16" ht="12.75" customHeight="1">
      <c r="A16" s="16"/>
      <c r="B16" s="15"/>
      <c r="C16" s="27"/>
      <c r="D16" s="6" t="s">
        <v>13</v>
      </c>
      <c r="E16" s="6">
        <f t="shared" ref="E16:R16" si="2">SUM(E14:E15)</f>
        <v>289</v>
      </c>
      <c r="F16" s="6">
        <f t="shared" si="2"/>
        <v>263</v>
      </c>
      <c r="G16" s="6">
        <f t="shared" si="2"/>
        <v>278</v>
      </c>
      <c r="H16" s="6">
        <f t="shared" si="2"/>
        <v>293</v>
      </c>
      <c r="I16" s="6">
        <f t="shared" si="2"/>
        <v>254</v>
      </c>
      <c r="J16" s="6">
        <f t="shared" si="2"/>
        <v>264</v>
      </c>
      <c r="K16" s="6">
        <f t="shared" si="2"/>
        <v>282</v>
      </c>
      <c r="L16" s="6">
        <f t="shared" si="2"/>
        <v>231</v>
      </c>
      <c r="M16" s="6">
        <f t="shared" si="2"/>
        <v>269</v>
      </c>
      <c r="N16" s="6">
        <f t="shared" si="2"/>
        <v>269</v>
      </c>
      <c r="O16" s="6">
        <f t="shared" si="2"/>
        <v>233</v>
      </c>
      <c r="P16" s="6">
        <f t="shared" si="2"/>
        <v>200</v>
      </c>
      <c r="Q16" s="6">
        <f t="shared" si="2"/>
        <v>220</v>
      </c>
      <c r="R16" s="6">
        <f t="shared" si="2"/>
        <v>235</v>
      </c>
      <c r="S16" s="6">
        <f t="shared" si="1"/>
        <v>3580</v>
      </c>
    </row>
    <row r="17" ht="12.75" customHeight="1">
      <c r="A17" s="21"/>
      <c r="B17" s="8"/>
      <c r="C17" s="8"/>
      <c r="D17" s="9"/>
      <c r="E17" s="13"/>
      <c r="F17" s="13"/>
      <c r="G17" s="13"/>
      <c r="H17" s="13"/>
      <c r="I17" s="13"/>
      <c r="J17" s="13"/>
      <c r="K17" s="13"/>
      <c r="L17" s="13"/>
      <c r="M17" s="13"/>
      <c r="N17" s="67"/>
      <c r="O17" s="67"/>
      <c r="P17" s="67"/>
      <c r="Q17" s="67"/>
      <c r="R17" s="67"/>
      <c r="S17" s="6"/>
    </row>
    <row r="18" ht="12.75" customHeight="1">
      <c r="A18" s="32" t="s">
        <v>14</v>
      </c>
      <c r="B18" s="14" t="s">
        <v>15</v>
      </c>
      <c r="C18" s="8"/>
      <c r="D18" s="9"/>
      <c r="E18" s="13"/>
      <c r="F18" s="13"/>
      <c r="G18" s="13"/>
      <c r="H18" s="13"/>
      <c r="I18" s="13"/>
      <c r="J18" s="13"/>
      <c r="K18" s="13"/>
      <c r="L18" s="13"/>
      <c r="M18" s="13"/>
      <c r="N18" s="67"/>
      <c r="O18" s="67"/>
      <c r="P18" s="67"/>
      <c r="Q18" s="67"/>
      <c r="R18" s="67"/>
      <c r="S18" s="6"/>
    </row>
    <row r="19" ht="12.75" customHeight="1">
      <c r="A19" s="32"/>
      <c r="B19" s="33" t="s">
        <v>16</v>
      </c>
      <c r="C19" s="34" t="s">
        <v>17</v>
      </c>
      <c r="D19" s="13" t="s">
        <v>11</v>
      </c>
      <c r="E19" s="66">
        <v>114.0</v>
      </c>
      <c r="F19" s="66">
        <v>88.0</v>
      </c>
      <c r="G19" s="66">
        <v>96.0</v>
      </c>
      <c r="H19" s="66">
        <v>92.0</v>
      </c>
      <c r="I19" s="66">
        <v>83.0</v>
      </c>
      <c r="J19" s="66">
        <v>95.0</v>
      </c>
      <c r="K19" s="66">
        <v>107.0</v>
      </c>
      <c r="L19" s="66">
        <v>86.0</v>
      </c>
      <c r="M19" s="66">
        <v>110.0</v>
      </c>
      <c r="N19" s="66">
        <v>95.0</v>
      </c>
      <c r="O19" s="66">
        <v>82.0</v>
      </c>
      <c r="P19" s="66">
        <v>60.0</v>
      </c>
      <c r="Q19" s="66">
        <v>77.0</v>
      </c>
      <c r="R19" s="66">
        <v>91.0</v>
      </c>
      <c r="S19" s="6">
        <f t="shared" ref="S19:S30" si="3">SUM(E19:R19)</f>
        <v>1276</v>
      </c>
    </row>
    <row r="20" ht="12.75" customHeight="1">
      <c r="A20" s="35"/>
      <c r="B20" s="26"/>
      <c r="C20" s="36"/>
      <c r="D20" s="13" t="s">
        <v>12</v>
      </c>
      <c r="E20" s="66">
        <v>121.0</v>
      </c>
      <c r="F20" s="66">
        <v>104.0</v>
      </c>
      <c r="G20" s="66">
        <v>115.0</v>
      </c>
      <c r="H20" s="66">
        <v>115.0</v>
      </c>
      <c r="I20" s="66">
        <v>96.0</v>
      </c>
      <c r="J20" s="66">
        <v>105.0</v>
      </c>
      <c r="K20" s="66">
        <v>104.0</v>
      </c>
      <c r="L20" s="66">
        <v>83.0</v>
      </c>
      <c r="M20" s="66">
        <v>109.0</v>
      </c>
      <c r="N20" s="66">
        <v>113.0</v>
      </c>
      <c r="O20" s="66">
        <v>89.0</v>
      </c>
      <c r="P20" s="66">
        <v>73.0</v>
      </c>
      <c r="Q20" s="66">
        <v>74.0</v>
      </c>
      <c r="R20" s="66">
        <v>104.0</v>
      </c>
      <c r="S20" s="6">
        <f t="shared" si="3"/>
        <v>1405</v>
      </c>
    </row>
    <row r="21" ht="12.75" customHeight="1">
      <c r="A21" s="37"/>
      <c r="B21" s="27"/>
      <c r="C21" s="38"/>
      <c r="D21" s="6" t="s">
        <v>13</v>
      </c>
      <c r="E21" s="6">
        <f t="shared" ref="E21:R21" si="4">SUM(E19:E20)</f>
        <v>235</v>
      </c>
      <c r="F21" s="6">
        <f t="shared" si="4"/>
        <v>192</v>
      </c>
      <c r="G21" s="6">
        <f t="shared" si="4"/>
        <v>211</v>
      </c>
      <c r="H21" s="6">
        <f t="shared" si="4"/>
        <v>207</v>
      </c>
      <c r="I21" s="6">
        <f t="shared" si="4"/>
        <v>179</v>
      </c>
      <c r="J21" s="6">
        <f t="shared" si="4"/>
        <v>200</v>
      </c>
      <c r="K21" s="6">
        <f t="shared" si="4"/>
        <v>211</v>
      </c>
      <c r="L21" s="6">
        <f t="shared" si="4"/>
        <v>169</v>
      </c>
      <c r="M21" s="6">
        <f t="shared" si="4"/>
        <v>219</v>
      </c>
      <c r="N21" s="6">
        <f t="shared" si="4"/>
        <v>208</v>
      </c>
      <c r="O21" s="6">
        <f t="shared" si="4"/>
        <v>171</v>
      </c>
      <c r="P21" s="6">
        <f t="shared" si="4"/>
        <v>133</v>
      </c>
      <c r="Q21" s="6">
        <f t="shared" si="4"/>
        <v>151</v>
      </c>
      <c r="R21" s="6">
        <f t="shared" si="4"/>
        <v>195</v>
      </c>
      <c r="S21" s="6">
        <f t="shared" si="3"/>
        <v>2681</v>
      </c>
    </row>
    <row r="22" ht="12.75" customHeight="1">
      <c r="A22" s="35"/>
      <c r="B22" s="33" t="s">
        <v>18</v>
      </c>
      <c r="C22" s="34" t="s">
        <v>19</v>
      </c>
      <c r="D22" s="13" t="s">
        <v>11</v>
      </c>
      <c r="E22" s="66">
        <v>0.0</v>
      </c>
      <c r="F22" s="66">
        <v>0.0</v>
      </c>
      <c r="G22" s="66">
        <v>0.0</v>
      </c>
      <c r="H22" s="66">
        <v>0.0</v>
      </c>
      <c r="I22" s="66">
        <v>0.0</v>
      </c>
      <c r="J22" s="66">
        <v>0.0</v>
      </c>
      <c r="K22" s="66">
        <v>0.0</v>
      </c>
      <c r="L22" s="66">
        <v>0.0</v>
      </c>
      <c r="M22" s="66">
        <v>0.0</v>
      </c>
      <c r="N22" s="66">
        <v>0.0</v>
      </c>
      <c r="O22" s="66">
        <v>0.0</v>
      </c>
      <c r="P22" s="66">
        <v>1.0</v>
      </c>
      <c r="Q22" s="66">
        <v>0.0</v>
      </c>
      <c r="R22" s="66">
        <v>0.0</v>
      </c>
      <c r="S22" s="6">
        <f t="shared" si="3"/>
        <v>1</v>
      </c>
    </row>
    <row r="23" ht="12.75" customHeight="1">
      <c r="A23" s="35"/>
      <c r="B23" s="26"/>
      <c r="C23" s="36"/>
      <c r="D23" s="13" t="s">
        <v>12</v>
      </c>
      <c r="E23" s="66">
        <v>10.0</v>
      </c>
      <c r="F23" s="66">
        <v>5.0</v>
      </c>
      <c r="G23" s="66">
        <v>3.0</v>
      </c>
      <c r="H23" s="66">
        <v>0.0</v>
      </c>
      <c r="I23" s="66">
        <v>0.0</v>
      </c>
      <c r="J23" s="66">
        <v>0.0</v>
      </c>
      <c r="K23" s="66">
        <v>0.0</v>
      </c>
      <c r="L23" s="66">
        <v>0.0</v>
      </c>
      <c r="M23" s="66">
        <v>0.0</v>
      </c>
      <c r="N23" s="66">
        <v>0.0</v>
      </c>
      <c r="O23" s="66">
        <v>0.0</v>
      </c>
      <c r="P23" s="66">
        <v>1.0</v>
      </c>
      <c r="Q23" s="66">
        <v>0.0</v>
      </c>
      <c r="R23" s="66">
        <v>0.0</v>
      </c>
      <c r="S23" s="6">
        <f t="shared" si="3"/>
        <v>19</v>
      </c>
    </row>
    <row r="24" ht="12.75" customHeight="1">
      <c r="A24" s="37"/>
      <c r="B24" s="27"/>
      <c r="C24" s="38"/>
      <c r="D24" s="6" t="s">
        <v>13</v>
      </c>
      <c r="E24" s="6">
        <f t="shared" ref="E24:R24" si="5">SUM(E22:E23)</f>
        <v>10</v>
      </c>
      <c r="F24" s="6">
        <f t="shared" si="5"/>
        <v>5</v>
      </c>
      <c r="G24" s="6">
        <f t="shared" si="5"/>
        <v>3</v>
      </c>
      <c r="H24" s="6">
        <f t="shared" si="5"/>
        <v>0</v>
      </c>
      <c r="I24" s="6">
        <f t="shared" si="5"/>
        <v>0</v>
      </c>
      <c r="J24" s="6">
        <f t="shared" si="5"/>
        <v>0</v>
      </c>
      <c r="K24" s="6">
        <f t="shared" si="5"/>
        <v>0</v>
      </c>
      <c r="L24" s="6">
        <f t="shared" si="5"/>
        <v>0</v>
      </c>
      <c r="M24" s="6">
        <f t="shared" si="5"/>
        <v>0</v>
      </c>
      <c r="N24" s="6">
        <f t="shared" si="5"/>
        <v>0</v>
      </c>
      <c r="O24" s="6">
        <f t="shared" si="5"/>
        <v>0</v>
      </c>
      <c r="P24" s="6">
        <f t="shared" si="5"/>
        <v>2</v>
      </c>
      <c r="Q24" s="6">
        <f t="shared" si="5"/>
        <v>0</v>
      </c>
      <c r="R24" s="6">
        <f t="shared" si="5"/>
        <v>0</v>
      </c>
      <c r="S24" s="6">
        <f t="shared" si="3"/>
        <v>20</v>
      </c>
    </row>
    <row r="25" ht="12.75" customHeight="1">
      <c r="A25" s="35"/>
      <c r="B25" s="33" t="s">
        <v>20</v>
      </c>
      <c r="C25" s="34" t="s">
        <v>21</v>
      </c>
      <c r="D25" s="13" t="s">
        <v>11</v>
      </c>
      <c r="E25" s="66">
        <v>3.0</v>
      </c>
      <c r="F25" s="66">
        <v>0.0</v>
      </c>
      <c r="G25" s="66">
        <v>0.0</v>
      </c>
      <c r="H25" s="66">
        <v>0.0</v>
      </c>
      <c r="I25" s="66">
        <v>2.0</v>
      </c>
      <c r="J25" s="66">
        <v>2.0</v>
      </c>
      <c r="K25" s="66">
        <v>0.0</v>
      </c>
      <c r="L25" s="66">
        <v>1.0</v>
      </c>
      <c r="M25" s="66">
        <v>1.0</v>
      </c>
      <c r="N25" s="66">
        <v>0.0</v>
      </c>
      <c r="O25" s="66">
        <v>0.0</v>
      </c>
      <c r="P25" s="66">
        <v>1.0</v>
      </c>
      <c r="Q25" s="66">
        <v>1.0</v>
      </c>
      <c r="R25" s="66">
        <v>2.0</v>
      </c>
      <c r="S25" s="6">
        <f t="shared" si="3"/>
        <v>13</v>
      </c>
    </row>
    <row r="26" ht="12.75" customHeight="1">
      <c r="A26" s="35"/>
      <c r="B26" s="26"/>
      <c r="C26" s="36"/>
      <c r="D26" s="13" t="s">
        <v>12</v>
      </c>
      <c r="E26" s="66">
        <v>0.0</v>
      </c>
      <c r="F26" s="66">
        <v>0.0</v>
      </c>
      <c r="G26" s="66">
        <v>1.0</v>
      </c>
      <c r="H26" s="66">
        <v>0.0</v>
      </c>
      <c r="I26" s="66">
        <v>3.0</v>
      </c>
      <c r="J26" s="66">
        <v>2.0</v>
      </c>
      <c r="K26" s="66">
        <v>0.0</v>
      </c>
      <c r="L26" s="66">
        <v>1.0</v>
      </c>
      <c r="M26" s="66">
        <v>2.0</v>
      </c>
      <c r="N26" s="66">
        <v>0.0</v>
      </c>
      <c r="O26" s="66">
        <v>0.0</v>
      </c>
      <c r="P26" s="66">
        <v>6.0</v>
      </c>
      <c r="Q26" s="66">
        <v>1.0</v>
      </c>
      <c r="R26" s="66">
        <v>2.0</v>
      </c>
      <c r="S26" s="6">
        <f t="shared" si="3"/>
        <v>18</v>
      </c>
    </row>
    <row r="27" ht="12.75" customHeight="1">
      <c r="A27" s="37"/>
      <c r="B27" s="27"/>
      <c r="C27" s="38"/>
      <c r="D27" s="6" t="s">
        <v>13</v>
      </c>
      <c r="E27" s="6">
        <f t="shared" ref="E27:R27" si="6">SUM(E25:E26)</f>
        <v>3</v>
      </c>
      <c r="F27" s="6">
        <f t="shared" si="6"/>
        <v>0</v>
      </c>
      <c r="G27" s="6">
        <f t="shared" si="6"/>
        <v>1</v>
      </c>
      <c r="H27" s="6">
        <f t="shared" si="6"/>
        <v>0</v>
      </c>
      <c r="I27" s="6">
        <f t="shared" si="6"/>
        <v>5</v>
      </c>
      <c r="J27" s="6">
        <f t="shared" si="6"/>
        <v>4</v>
      </c>
      <c r="K27" s="6">
        <f t="shared" si="6"/>
        <v>0</v>
      </c>
      <c r="L27" s="6">
        <f t="shared" si="6"/>
        <v>2</v>
      </c>
      <c r="M27" s="6">
        <f t="shared" si="6"/>
        <v>3</v>
      </c>
      <c r="N27" s="6">
        <f t="shared" si="6"/>
        <v>0</v>
      </c>
      <c r="O27" s="6">
        <f t="shared" si="6"/>
        <v>0</v>
      </c>
      <c r="P27" s="6">
        <f t="shared" si="6"/>
        <v>7</v>
      </c>
      <c r="Q27" s="6">
        <f t="shared" si="6"/>
        <v>2</v>
      </c>
      <c r="R27" s="6">
        <f t="shared" si="6"/>
        <v>4</v>
      </c>
      <c r="S27" s="6">
        <f t="shared" si="3"/>
        <v>31</v>
      </c>
    </row>
    <row r="28" ht="12.75" customHeight="1">
      <c r="A28" s="37"/>
      <c r="B28" s="39" t="s">
        <v>22</v>
      </c>
      <c r="C28" s="40" t="s">
        <v>23</v>
      </c>
      <c r="D28" s="6" t="s">
        <v>11</v>
      </c>
      <c r="E28" s="6">
        <f t="shared" ref="E28:R28" si="7">SUM(E19,E22,E25)</f>
        <v>117</v>
      </c>
      <c r="F28" s="6">
        <f t="shared" si="7"/>
        <v>88</v>
      </c>
      <c r="G28" s="6">
        <f t="shared" si="7"/>
        <v>96</v>
      </c>
      <c r="H28" s="6">
        <f t="shared" si="7"/>
        <v>92</v>
      </c>
      <c r="I28" s="6">
        <f t="shared" si="7"/>
        <v>85</v>
      </c>
      <c r="J28" s="6">
        <f t="shared" si="7"/>
        <v>97</v>
      </c>
      <c r="K28" s="6">
        <f t="shared" si="7"/>
        <v>107</v>
      </c>
      <c r="L28" s="6">
        <f t="shared" si="7"/>
        <v>87</v>
      </c>
      <c r="M28" s="6">
        <f t="shared" si="7"/>
        <v>111</v>
      </c>
      <c r="N28" s="6">
        <f t="shared" si="7"/>
        <v>95</v>
      </c>
      <c r="O28" s="6">
        <f t="shared" si="7"/>
        <v>82</v>
      </c>
      <c r="P28" s="6">
        <f t="shared" si="7"/>
        <v>62</v>
      </c>
      <c r="Q28" s="6">
        <f t="shared" si="7"/>
        <v>78</v>
      </c>
      <c r="R28" s="6">
        <f t="shared" si="7"/>
        <v>93</v>
      </c>
      <c r="S28" s="6">
        <f t="shared" si="3"/>
        <v>1290</v>
      </c>
    </row>
    <row r="29" ht="12.75" customHeight="1">
      <c r="A29" s="37"/>
      <c r="B29" s="26"/>
      <c r="C29" s="36"/>
      <c r="D29" s="6" t="s">
        <v>12</v>
      </c>
      <c r="E29" s="6">
        <f t="shared" ref="E29:R29" si="8">SUM(E20,E23,E26)</f>
        <v>131</v>
      </c>
      <c r="F29" s="6">
        <f t="shared" si="8"/>
        <v>109</v>
      </c>
      <c r="G29" s="6">
        <f t="shared" si="8"/>
        <v>119</v>
      </c>
      <c r="H29" s="6">
        <f t="shared" si="8"/>
        <v>115</v>
      </c>
      <c r="I29" s="6">
        <f t="shared" si="8"/>
        <v>99</v>
      </c>
      <c r="J29" s="6">
        <f t="shared" si="8"/>
        <v>107</v>
      </c>
      <c r="K29" s="6">
        <f t="shared" si="8"/>
        <v>104</v>
      </c>
      <c r="L29" s="6">
        <f t="shared" si="8"/>
        <v>84</v>
      </c>
      <c r="M29" s="6">
        <f t="shared" si="8"/>
        <v>111</v>
      </c>
      <c r="N29" s="6">
        <f t="shared" si="8"/>
        <v>113</v>
      </c>
      <c r="O29" s="6">
        <f t="shared" si="8"/>
        <v>89</v>
      </c>
      <c r="P29" s="6">
        <f t="shared" si="8"/>
        <v>80</v>
      </c>
      <c r="Q29" s="6">
        <f t="shared" si="8"/>
        <v>75</v>
      </c>
      <c r="R29" s="6">
        <f t="shared" si="8"/>
        <v>106</v>
      </c>
      <c r="S29" s="6">
        <f t="shared" si="3"/>
        <v>1442</v>
      </c>
    </row>
    <row r="30" ht="12.75" customHeight="1">
      <c r="A30" s="37"/>
      <c r="B30" s="27"/>
      <c r="C30" s="38"/>
      <c r="D30" s="6" t="s">
        <v>13</v>
      </c>
      <c r="E30" s="6">
        <f t="shared" ref="E30:R30" si="9">SUM(E28:E29)</f>
        <v>248</v>
      </c>
      <c r="F30" s="6">
        <f t="shared" si="9"/>
        <v>197</v>
      </c>
      <c r="G30" s="6">
        <f t="shared" si="9"/>
        <v>215</v>
      </c>
      <c r="H30" s="6">
        <f t="shared" si="9"/>
        <v>207</v>
      </c>
      <c r="I30" s="6">
        <f t="shared" si="9"/>
        <v>184</v>
      </c>
      <c r="J30" s="6">
        <f t="shared" si="9"/>
        <v>204</v>
      </c>
      <c r="K30" s="6">
        <f t="shared" si="9"/>
        <v>211</v>
      </c>
      <c r="L30" s="6">
        <f t="shared" si="9"/>
        <v>171</v>
      </c>
      <c r="M30" s="6">
        <f t="shared" si="9"/>
        <v>222</v>
      </c>
      <c r="N30" s="6">
        <f t="shared" si="9"/>
        <v>208</v>
      </c>
      <c r="O30" s="6">
        <f t="shared" si="9"/>
        <v>171</v>
      </c>
      <c r="P30" s="6">
        <f t="shared" si="9"/>
        <v>142</v>
      </c>
      <c r="Q30" s="6">
        <f t="shared" si="9"/>
        <v>153</v>
      </c>
      <c r="R30" s="6">
        <f t="shared" si="9"/>
        <v>199</v>
      </c>
      <c r="S30" s="6">
        <f t="shared" si="3"/>
        <v>2732</v>
      </c>
    </row>
    <row r="31" ht="12.75" customHeight="1">
      <c r="A31" s="21"/>
      <c r="B31" s="8"/>
      <c r="C31" s="8"/>
      <c r="D31" s="9"/>
      <c r="E31" s="13"/>
      <c r="F31" s="13"/>
      <c r="G31" s="13"/>
      <c r="H31" s="13"/>
      <c r="I31" s="13"/>
      <c r="J31" s="13"/>
      <c r="K31" s="13"/>
      <c r="L31" s="13"/>
      <c r="M31" s="13"/>
      <c r="N31" s="67"/>
      <c r="O31" s="67"/>
      <c r="P31" s="67"/>
      <c r="Q31" s="67"/>
      <c r="R31" s="67"/>
      <c r="S31" s="6"/>
    </row>
    <row r="32" ht="12.75" customHeight="1">
      <c r="A32" s="42" t="s">
        <v>24</v>
      </c>
      <c r="B32" s="7" t="s">
        <v>25</v>
      </c>
      <c r="C32" s="8"/>
      <c r="D32" s="9"/>
      <c r="E32" s="6"/>
      <c r="F32" s="6"/>
      <c r="G32" s="6"/>
      <c r="H32" s="6"/>
      <c r="I32" s="6"/>
      <c r="J32" s="6"/>
      <c r="K32" s="6"/>
      <c r="L32" s="6"/>
      <c r="M32" s="6"/>
      <c r="N32" s="69"/>
      <c r="O32" s="69"/>
      <c r="P32" s="69"/>
      <c r="Q32" s="69"/>
      <c r="R32" s="69"/>
      <c r="S32" s="6"/>
    </row>
    <row r="33" ht="12.75" customHeight="1">
      <c r="A33" s="13">
        <v>1.0</v>
      </c>
      <c r="B33" s="14" t="s">
        <v>26</v>
      </c>
      <c r="C33" s="8"/>
      <c r="D33" s="9"/>
      <c r="E33" s="66">
        <v>295.0</v>
      </c>
      <c r="F33" s="66">
        <v>269.0</v>
      </c>
      <c r="G33" s="66">
        <v>284.0</v>
      </c>
      <c r="H33" s="66">
        <v>299.0</v>
      </c>
      <c r="I33" s="66">
        <v>260.0</v>
      </c>
      <c r="J33" s="66">
        <v>270.0</v>
      </c>
      <c r="K33" s="66">
        <v>289.0</v>
      </c>
      <c r="L33" s="66">
        <v>236.0</v>
      </c>
      <c r="M33" s="66">
        <v>275.0</v>
      </c>
      <c r="N33" s="66">
        <v>275.0</v>
      </c>
      <c r="O33" s="66">
        <v>238.0</v>
      </c>
      <c r="P33" s="66">
        <v>206.0</v>
      </c>
      <c r="Q33" s="66">
        <v>225.0</v>
      </c>
      <c r="R33" s="66">
        <v>240.0</v>
      </c>
      <c r="S33" s="6">
        <f t="shared" ref="S33:S36" si="10">SUM(E33:R33)</f>
        <v>3661</v>
      </c>
    </row>
    <row r="34" ht="12.75" customHeight="1">
      <c r="A34" s="13">
        <v>2.0</v>
      </c>
      <c r="B34" s="14" t="s">
        <v>27</v>
      </c>
      <c r="C34" s="8"/>
      <c r="D34" s="9"/>
      <c r="E34" s="72">
        <v>248.0</v>
      </c>
      <c r="F34" s="72">
        <v>197.0</v>
      </c>
      <c r="G34" s="72">
        <v>215.0</v>
      </c>
      <c r="H34" s="72">
        <v>207.0</v>
      </c>
      <c r="I34" s="72">
        <v>184.0</v>
      </c>
      <c r="J34" s="72">
        <v>204.0</v>
      </c>
      <c r="K34" s="72">
        <v>211.0</v>
      </c>
      <c r="L34" s="72">
        <v>171.0</v>
      </c>
      <c r="M34" s="72">
        <v>222.0</v>
      </c>
      <c r="N34" s="72">
        <v>208.0</v>
      </c>
      <c r="O34" s="72">
        <v>171.0</v>
      </c>
      <c r="P34" s="72">
        <v>142.0</v>
      </c>
      <c r="Q34" s="72">
        <v>153.0</v>
      </c>
      <c r="R34" s="72">
        <v>199.0</v>
      </c>
      <c r="S34" s="6">
        <f t="shared" si="10"/>
        <v>2732</v>
      </c>
    </row>
    <row r="35" ht="12.75" customHeight="1">
      <c r="A35" s="13">
        <v>3.0</v>
      </c>
      <c r="B35" s="14" t="s">
        <v>28</v>
      </c>
      <c r="C35" s="8"/>
      <c r="D35" s="9"/>
      <c r="E35" s="66">
        <v>0.0</v>
      </c>
      <c r="F35" s="66">
        <v>0.0</v>
      </c>
      <c r="G35" s="66">
        <v>1.0</v>
      </c>
      <c r="H35" s="66">
        <v>0.0</v>
      </c>
      <c r="I35" s="66">
        <v>0.0</v>
      </c>
      <c r="J35" s="66">
        <v>0.0</v>
      </c>
      <c r="K35" s="66">
        <v>0.0</v>
      </c>
      <c r="L35" s="66">
        <v>1.0</v>
      </c>
      <c r="M35" s="66">
        <v>0.0</v>
      </c>
      <c r="N35" s="66">
        <v>2.0</v>
      </c>
      <c r="O35" s="66">
        <v>0.0</v>
      </c>
      <c r="P35" s="66">
        <v>0.0</v>
      </c>
      <c r="Q35" s="66">
        <v>3.0</v>
      </c>
      <c r="R35" s="66">
        <v>0.0</v>
      </c>
      <c r="S35" s="6">
        <f t="shared" si="10"/>
        <v>7</v>
      </c>
    </row>
    <row r="36" ht="12.75" customHeight="1">
      <c r="A36" s="13">
        <v>4.0</v>
      </c>
      <c r="B36" s="14" t="s">
        <v>29</v>
      </c>
      <c r="C36" s="8"/>
      <c r="D36" s="9"/>
      <c r="E36" s="6">
        <f t="shared" ref="E36:R36" si="11">E33-(E34+E35)</f>
        <v>47</v>
      </c>
      <c r="F36" s="6">
        <f t="shared" si="11"/>
        <v>72</v>
      </c>
      <c r="G36" s="6">
        <f t="shared" si="11"/>
        <v>68</v>
      </c>
      <c r="H36" s="6">
        <f t="shared" si="11"/>
        <v>92</v>
      </c>
      <c r="I36" s="6">
        <f t="shared" si="11"/>
        <v>76</v>
      </c>
      <c r="J36" s="6">
        <f t="shared" si="11"/>
        <v>66</v>
      </c>
      <c r="K36" s="6">
        <f t="shared" si="11"/>
        <v>78</v>
      </c>
      <c r="L36" s="6">
        <f t="shared" si="11"/>
        <v>64</v>
      </c>
      <c r="M36" s="6">
        <f t="shared" si="11"/>
        <v>53</v>
      </c>
      <c r="N36" s="6">
        <f t="shared" si="11"/>
        <v>65</v>
      </c>
      <c r="O36" s="6">
        <f t="shared" si="11"/>
        <v>67</v>
      </c>
      <c r="P36" s="6">
        <f t="shared" si="11"/>
        <v>64</v>
      </c>
      <c r="Q36" s="6">
        <f t="shared" si="11"/>
        <v>69</v>
      </c>
      <c r="R36" s="6">
        <f t="shared" si="11"/>
        <v>41</v>
      </c>
      <c r="S36" s="6">
        <f t="shared" si="10"/>
        <v>922</v>
      </c>
    </row>
    <row r="37" ht="12.75" customHeight="1">
      <c r="A37" s="21"/>
      <c r="B37" s="8"/>
      <c r="C37" s="8"/>
      <c r="D37" s="8"/>
      <c r="E37" s="21"/>
      <c r="F37" s="8"/>
      <c r="G37" s="8"/>
      <c r="H37" s="8"/>
      <c r="I37" s="9"/>
      <c r="J37" s="13"/>
      <c r="K37" s="13"/>
      <c r="L37" s="13"/>
      <c r="M37" s="13"/>
      <c r="N37" s="67"/>
      <c r="O37" s="71"/>
      <c r="P37" s="71"/>
      <c r="Q37" s="71"/>
      <c r="R37" s="71"/>
      <c r="S37" s="6"/>
    </row>
    <row r="38" ht="12.75" customHeight="1">
      <c r="A38" s="44" t="s">
        <v>30</v>
      </c>
      <c r="B38" s="7" t="s">
        <v>31</v>
      </c>
      <c r="C38" s="8"/>
      <c r="D38" s="9"/>
      <c r="E38" s="6"/>
      <c r="F38" s="6"/>
      <c r="G38" s="6"/>
      <c r="H38" s="6"/>
      <c r="I38" s="6"/>
      <c r="J38" s="6"/>
      <c r="K38" s="6"/>
      <c r="L38" s="6"/>
      <c r="M38" s="6"/>
      <c r="N38" s="69"/>
      <c r="O38" s="69"/>
      <c r="P38" s="69"/>
      <c r="Q38" s="69"/>
      <c r="R38" s="69"/>
      <c r="S38" s="6"/>
    </row>
    <row r="39" ht="12.75" customHeight="1">
      <c r="A39" s="32"/>
      <c r="B39" s="45" t="s">
        <v>32</v>
      </c>
      <c r="C39" s="20"/>
      <c r="D39" s="13" t="s">
        <v>11</v>
      </c>
      <c r="E39" s="66">
        <v>0.0</v>
      </c>
      <c r="F39" s="66">
        <v>0.0</v>
      </c>
      <c r="G39" s="66">
        <v>0.0</v>
      </c>
      <c r="H39" s="66">
        <v>0.0</v>
      </c>
      <c r="I39" s="66">
        <v>0.0</v>
      </c>
      <c r="J39" s="66">
        <v>0.0</v>
      </c>
      <c r="K39" s="66">
        <v>0.0</v>
      </c>
      <c r="L39" s="66">
        <v>0.0</v>
      </c>
      <c r="M39" s="66">
        <v>0.0</v>
      </c>
      <c r="N39" s="66">
        <v>0.0</v>
      </c>
      <c r="O39" s="66">
        <v>0.0</v>
      </c>
      <c r="P39" s="66">
        <v>0.0</v>
      </c>
      <c r="Q39" s="66">
        <v>0.0</v>
      </c>
      <c r="R39" s="66">
        <v>0.0</v>
      </c>
      <c r="S39" s="6">
        <f t="shared" ref="S39:S41" si="12">SUM(E39:R39)</f>
        <v>0</v>
      </c>
    </row>
    <row r="40" ht="12.75" customHeight="1">
      <c r="A40" s="35"/>
      <c r="C40" s="26"/>
      <c r="D40" s="13" t="s">
        <v>12</v>
      </c>
      <c r="E40" s="66">
        <v>0.0</v>
      </c>
      <c r="F40" s="66">
        <v>0.0</v>
      </c>
      <c r="G40" s="66">
        <v>0.0</v>
      </c>
      <c r="H40" s="66">
        <v>0.0</v>
      </c>
      <c r="I40" s="66">
        <v>0.0</v>
      </c>
      <c r="J40" s="66">
        <v>0.0</v>
      </c>
      <c r="K40" s="66">
        <v>0.0</v>
      </c>
      <c r="L40" s="66">
        <v>0.0</v>
      </c>
      <c r="M40" s="66">
        <v>0.0</v>
      </c>
      <c r="N40" s="66">
        <v>0.0</v>
      </c>
      <c r="O40" s="66">
        <v>0.0</v>
      </c>
      <c r="P40" s="66">
        <v>0.0</v>
      </c>
      <c r="Q40" s="66">
        <v>0.0</v>
      </c>
      <c r="R40" s="66">
        <v>2.0</v>
      </c>
      <c r="S40" s="6">
        <f t="shared" si="12"/>
        <v>2</v>
      </c>
    </row>
    <row r="41" ht="12.75" customHeight="1">
      <c r="A41" s="42"/>
      <c r="B41" s="46"/>
      <c r="C41" s="27"/>
      <c r="D41" s="6" t="s">
        <v>13</v>
      </c>
      <c r="E41" s="6">
        <f t="shared" ref="E41:R41" si="13">SUM(E39:E40)</f>
        <v>0</v>
      </c>
      <c r="F41" s="6">
        <f t="shared" si="13"/>
        <v>0</v>
      </c>
      <c r="G41" s="6">
        <f t="shared" si="13"/>
        <v>0</v>
      </c>
      <c r="H41" s="6">
        <f t="shared" si="13"/>
        <v>0</v>
      </c>
      <c r="I41" s="6">
        <f t="shared" si="13"/>
        <v>0</v>
      </c>
      <c r="J41" s="6">
        <f t="shared" si="13"/>
        <v>0</v>
      </c>
      <c r="K41" s="6">
        <f t="shared" si="13"/>
        <v>0</v>
      </c>
      <c r="L41" s="6">
        <f t="shared" si="13"/>
        <v>0</v>
      </c>
      <c r="M41" s="6">
        <f t="shared" si="13"/>
        <v>0</v>
      </c>
      <c r="N41" s="6">
        <f t="shared" si="13"/>
        <v>0</v>
      </c>
      <c r="O41" s="6">
        <f t="shared" si="13"/>
        <v>0</v>
      </c>
      <c r="P41" s="6">
        <f t="shared" si="13"/>
        <v>0</v>
      </c>
      <c r="Q41" s="6">
        <f t="shared" si="13"/>
        <v>0</v>
      </c>
      <c r="R41" s="6">
        <f t="shared" si="13"/>
        <v>2</v>
      </c>
      <c r="S41" s="6">
        <f t="shared" si="12"/>
        <v>2</v>
      </c>
    </row>
    <row r="42" ht="12.75" customHeight="1">
      <c r="A42" s="47"/>
      <c r="B42" s="46"/>
      <c r="C42" s="46"/>
      <c r="D42" s="27"/>
      <c r="E42" s="21"/>
      <c r="F42" s="8"/>
      <c r="G42" s="8"/>
      <c r="H42" s="8"/>
      <c r="I42" s="9"/>
      <c r="J42" s="13"/>
      <c r="K42" s="13"/>
      <c r="L42" s="13"/>
      <c r="M42" s="13"/>
      <c r="N42" s="67"/>
      <c r="S42" s="6"/>
    </row>
    <row r="43" ht="12.75" customHeight="1">
      <c r="A43" s="44" t="s">
        <v>33</v>
      </c>
      <c r="B43" s="7" t="s">
        <v>34</v>
      </c>
      <c r="C43" s="8"/>
      <c r="D43" s="9"/>
      <c r="E43" s="28"/>
      <c r="F43" s="6"/>
      <c r="G43" s="6"/>
      <c r="H43" s="6"/>
      <c r="I43" s="6"/>
      <c r="J43" s="6"/>
      <c r="K43" s="6"/>
      <c r="L43" s="6"/>
      <c r="M43" s="6"/>
      <c r="N43" s="69"/>
      <c r="S43" s="6"/>
    </row>
    <row r="44" ht="12.75" customHeight="1">
      <c r="A44" s="45" t="s">
        <v>35</v>
      </c>
      <c r="B44" s="48"/>
      <c r="C44" s="48"/>
      <c r="D44" s="20"/>
      <c r="E44" s="21"/>
      <c r="F44" s="13"/>
      <c r="G44" s="13"/>
      <c r="H44" s="13"/>
      <c r="I44" s="13"/>
      <c r="J44" s="13"/>
      <c r="K44" s="13"/>
      <c r="L44" s="13"/>
      <c r="M44" s="13"/>
      <c r="N44" s="67"/>
      <c r="S44" s="6"/>
    </row>
    <row r="45" ht="12.75" customHeight="1">
      <c r="A45" s="32" t="s">
        <v>36</v>
      </c>
      <c r="B45" s="49" t="s">
        <v>16</v>
      </c>
      <c r="C45" s="50" t="s">
        <v>37</v>
      </c>
      <c r="D45" s="9"/>
      <c r="E45" s="66">
        <v>2.0</v>
      </c>
      <c r="F45" s="66">
        <v>4.0</v>
      </c>
      <c r="G45" s="66">
        <v>5.0</v>
      </c>
      <c r="H45" s="66">
        <v>8.0</v>
      </c>
      <c r="I45" s="66">
        <v>7.0</v>
      </c>
      <c r="J45" s="66">
        <v>1.0</v>
      </c>
      <c r="K45" s="66">
        <v>16.0</v>
      </c>
      <c r="L45" s="66">
        <v>11.0</v>
      </c>
      <c r="M45" s="66">
        <v>10.0</v>
      </c>
      <c r="N45" s="66">
        <v>3.0</v>
      </c>
      <c r="O45" s="66">
        <v>11.0</v>
      </c>
      <c r="P45" s="66">
        <v>2.0</v>
      </c>
      <c r="Q45" s="66">
        <v>7.0</v>
      </c>
      <c r="R45" s="66">
        <v>6.0</v>
      </c>
      <c r="S45" s="6">
        <f t="shared" ref="S45:S52" si="14">SUM(E45:R45)</f>
        <v>93</v>
      </c>
    </row>
    <row r="46" ht="12.75" customHeight="1">
      <c r="A46" s="32" t="s">
        <v>38</v>
      </c>
      <c r="B46" s="51"/>
      <c r="C46" s="52" t="s">
        <v>39</v>
      </c>
      <c r="D46" s="53"/>
      <c r="E46" s="66">
        <v>6.0</v>
      </c>
      <c r="F46" s="66">
        <v>3.0</v>
      </c>
      <c r="G46" s="66">
        <v>6.0</v>
      </c>
      <c r="H46" s="66">
        <v>8.0</v>
      </c>
      <c r="I46" s="66">
        <v>9.0</v>
      </c>
      <c r="J46" s="66">
        <v>10.0</v>
      </c>
      <c r="K46" s="66">
        <v>146.0</v>
      </c>
      <c r="L46" s="66">
        <v>63.0</v>
      </c>
      <c r="M46" s="66">
        <v>32.0</v>
      </c>
      <c r="N46" s="66">
        <v>10.0</v>
      </c>
      <c r="O46" s="66">
        <v>37.0</v>
      </c>
      <c r="P46" s="66">
        <v>46.0</v>
      </c>
      <c r="Q46" s="66">
        <v>67.0</v>
      </c>
      <c r="R46" s="66">
        <v>12.0</v>
      </c>
      <c r="S46" s="6">
        <f t="shared" si="14"/>
        <v>455</v>
      </c>
    </row>
    <row r="47" ht="12.75" customHeight="1">
      <c r="A47" s="18"/>
      <c r="B47" s="51"/>
      <c r="C47" s="52" t="s">
        <v>40</v>
      </c>
      <c r="D47" s="53"/>
      <c r="E47" s="66">
        <v>7.0</v>
      </c>
      <c r="F47" s="66">
        <v>11.0</v>
      </c>
      <c r="G47" s="66">
        <v>16.0</v>
      </c>
      <c r="H47" s="66">
        <v>19.0</v>
      </c>
      <c r="I47" s="66">
        <v>30.0</v>
      </c>
      <c r="J47" s="66">
        <v>47.0</v>
      </c>
      <c r="K47" s="66">
        <v>1.0</v>
      </c>
      <c r="L47" s="66">
        <v>1.0</v>
      </c>
      <c r="M47" s="66">
        <v>9.0</v>
      </c>
      <c r="N47" s="66">
        <v>2.0</v>
      </c>
      <c r="O47" s="66">
        <v>0.0</v>
      </c>
      <c r="P47" s="66">
        <v>0.0</v>
      </c>
      <c r="Q47" s="66">
        <v>3.0</v>
      </c>
      <c r="R47" s="66">
        <v>5.0</v>
      </c>
      <c r="S47" s="6">
        <f t="shared" si="14"/>
        <v>151</v>
      </c>
    </row>
    <row r="48" ht="12.75" customHeight="1">
      <c r="A48" s="18"/>
      <c r="B48" s="51"/>
      <c r="C48" s="52" t="s">
        <v>41</v>
      </c>
      <c r="D48" s="53"/>
      <c r="E48" s="66">
        <v>1.0</v>
      </c>
      <c r="F48" s="66">
        <v>0.0</v>
      </c>
      <c r="G48" s="66">
        <v>0.0</v>
      </c>
      <c r="H48" s="66">
        <v>0.0</v>
      </c>
      <c r="I48" s="66">
        <v>0.0</v>
      </c>
      <c r="J48" s="66">
        <v>1.0</v>
      </c>
      <c r="K48" s="66">
        <v>0.0</v>
      </c>
      <c r="L48" s="66">
        <v>0.0</v>
      </c>
      <c r="M48" s="66">
        <v>0.0</v>
      </c>
      <c r="N48" s="66">
        <v>1.0</v>
      </c>
      <c r="O48" s="66">
        <v>2.0</v>
      </c>
      <c r="P48" s="66">
        <v>0.0</v>
      </c>
      <c r="Q48" s="66">
        <v>0.0</v>
      </c>
      <c r="R48" s="66">
        <v>0.0</v>
      </c>
      <c r="S48" s="6">
        <f t="shared" si="14"/>
        <v>5</v>
      </c>
    </row>
    <row r="49" ht="12.75" customHeight="1">
      <c r="A49" s="18"/>
      <c r="B49" s="51"/>
      <c r="C49" s="52" t="s">
        <v>42</v>
      </c>
      <c r="D49" s="53"/>
      <c r="E49" s="66">
        <v>0.0</v>
      </c>
      <c r="F49" s="66">
        <v>0.0</v>
      </c>
      <c r="G49" s="66">
        <v>1.0</v>
      </c>
      <c r="H49" s="66">
        <v>0.0</v>
      </c>
      <c r="I49" s="66">
        <v>0.0</v>
      </c>
      <c r="J49" s="66">
        <v>0.0</v>
      </c>
      <c r="K49" s="66">
        <v>0.0</v>
      </c>
      <c r="L49" s="66">
        <v>0.0</v>
      </c>
      <c r="M49" s="66">
        <v>1.0</v>
      </c>
      <c r="N49" s="66">
        <v>0.0</v>
      </c>
      <c r="O49" s="66">
        <v>1.0</v>
      </c>
      <c r="P49" s="66">
        <v>0.0</v>
      </c>
      <c r="Q49" s="66">
        <v>0.0</v>
      </c>
      <c r="R49" s="66">
        <v>0.0</v>
      </c>
      <c r="S49" s="6">
        <f t="shared" si="14"/>
        <v>3</v>
      </c>
    </row>
    <row r="50" ht="12.75" customHeight="1">
      <c r="A50" s="18"/>
      <c r="B50" s="51"/>
      <c r="C50" s="52" t="s">
        <v>43</v>
      </c>
      <c r="D50" s="53"/>
      <c r="E50" s="66">
        <v>1.0</v>
      </c>
      <c r="F50" s="66">
        <v>0.0</v>
      </c>
      <c r="G50" s="66">
        <v>0.0</v>
      </c>
      <c r="H50" s="66">
        <v>0.0</v>
      </c>
      <c r="I50" s="66">
        <v>0.0</v>
      </c>
      <c r="J50" s="66">
        <v>0.0</v>
      </c>
      <c r="K50" s="66">
        <v>0.0</v>
      </c>
      <c r="L50" s="66">
        <v>0.0</v>
      </c>
      <c r="M50" s="66">
        <v>0.0</v>
      </c>
      <c r="N50" s="66">
        <v>0.0</v>
      </c>
      <c r="O50" s="66">
        <v>0.0</v>
      </c>
      <c r="P50" s="66">
        <v>0.0</v>
      </c>
      <c r="Q50" s="66">
        <v>0.0</v>
      </c>
      <c r="R50" s="66">
        <v>0.0</v>
      </c>
      <c r="S50" s="6">
        <f t="shared" si="14"/>
        <v>1</v>
      </c>
    </row>
    <row r="51" ht="12.75" customHeight="1">
      <c r="A51" s="18"/>
      <c r="B51" s="51"/>
      <c r="C51" s="52" t="s">
        <v>44</v>
      </c>
      <c r="D51" s="53"/>
      <c r="E51" s="66">
        <v>1.0</v>
      </c>
      <c r="F51" s="66">
        <v>0.0</v>
      </c>
      <c r="G51" s="66">
        <v>0.0</v>
      </c>
      <c r="H51" s="66">
        <v>2.0</v>
      </c>
      <c r="I51" s="66">
        <v>1.0</v>
      </c>
      <c r="J51" s="66">
        <v>3.0</v>
      </c>
      <c r="K51" s="66">
        <v>0.0</v>
      </c>
      <c r="L51" s="66">
        <v>8.0</v>
      </c>
      <c r="M51" s="66">
        <v>10.0</v>
      </c>
      <c r="N51" s="66">
        <v>1.0</v>
      </c>
      <c r="O51" s="66">
        <v>0.0</v>
      </c>
      <c r="P51" s="66">
        <v>0.0</v>
      </c>
      <c r="Q51" s="66">
        <v>0.0</v>
      </c>
      <c r="R51" s="66">
        <v>0.0</v>
      </c>
      <c r="S51" s="6">
        <f t="shared" si="14"/>
        <v>26</v>
      </c>
    </row>
    <row r="52" ht="12.75" customHeight="1">
      <c r="A52" s="13" t="s">
        <v>14</v>
      </c>
      <c r="B52" s="49" t="s">
        <v>45</v>
      </c>
      <c r="C52" s="8"/>
      <c r="D52" s="9"/>
      <c r="E52" s="54">
        <f t="shared" ref="E52:R52" si="15">SUM(E45:E51)</f>
        <v>18</v>
      </c>
      <c r="F52" s="54">
        <f t="shared" si="15"/>
        <v>18</v>
      </c>
      <c r="G52" s="54">
        <f t="shared" si="15"/>
        <v>28</v>
      </c>
      <c r="H52" s="54">
        <f t="shared" si="15"/>
        <v>37</v>
      </c>
      <c r="I52" s="54">
        <f t="shared" si="15"/>
        <v>47</v>
      </c>
      <c r="J52" s="54">
        <f t="shared" si="15"/>
        <v>62</v>
      </c>
      <c r="K52" s="54">
        <f t="shared" si="15"/>
        <v>163</v>
      </c>
      <c r="L52" s="54">
        <f t="shared" si="15"/>
        <v>83</v>
      </c>
      <c r="M52" s="54">
        <f t="shared" si="15"/>
        <v>62</v>
      </c>
      <c r="N52" s="54">
        <f t="shared" si="15"/>
        <v>17</v>
      </c>
      <c r="O52" s="54">
        <f t="shared" si="15"/>
        <v>51</v>
      </c>
      <c r="P52" s="54">
        <f t="shared" si="15"/>
        <v>48</v>
      </c>
      <c r="Q52" s="54">
        <f t="shared" si="15"/>
        <v>77</v>
      </c>
      <c r="R52" s="54">
        <f t="shared" si="15"/>
        <v>23</v>
      </c>
      <c r="S52" s="6">
        <f t="shared" si="14"/>
        <v>734</v>
      </c>
    </row>
    <row r="53" ht="12.75" customHeight="1">
      <c r="A53" s="55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6"/>
    </row>
    <row r="54" ht="12.75" customHeight="1">
      <c r="A54" s="32" t="s">
        <v>36</v>
      </c>
      <c r="B54" s="49" t="s">
        <v>18</v>
      </c>
      <c r="C54" s="50" t="s">
        <v>46</v>
      </c>
      <c r="D54" s="9"/>
      <c r="E54" s="66">
        <v>3.0</v>
      </c>
      <c r="F54" s="66">
        <v>6.0</v>
      </c>
      <c r="G54" s="66">
        <v>13.0</v>
      </c>
      <c r="H54" s="66">
        <v>8.0</v>
      </c>
      <c r="I54" s="66">
        <v>6.0</v>
      </c>
      <c r="J54" s="66">
        <v>7.0</v>
      </c>
      <c r="K54" s="66">
        <v>2.0</v>
      </c>
      <c r="L54" s="66">
        <v>5.0</v>
      </c>
      <c r="M54" s="66">
        <v>6.0</v>
      </c>
      <c r="N54" s="66">
        <v>6.0</v>
      </c>
      <c r="O54" s="66">
        <v>4.0</v>
      </c>
      <c r="P54" s="66">
        <v>3.0</v>
      </c>
      <c r="Q54" s="66">
        <v>1.0</v>
      </c>
      <c r="R54" s="66">
        <v>3.0</v>
      </c>
      <c r="S54" s="6">
        <f t="shared" ref="S54:S61" si="16">SUM(E54:R54)</f>
        <v>73</v>
      </c>
    </row>
    <row r="55" ht="12.75" customHeight="1">
      <c r="A55" s="32" t="s">
        <v>38</v>
      </c>
      <c r="B55" s="51"/>
      <c r="C55" s="52" t="s">
        <v>47</v>
      </c>
      <c r="D55" s="53"/>
      <c r="E55" s="66">
        <v>32.0</v>
      </c>
      <c r="F55" s="66">
        <v>8.0</v>
      </c>
      <c r="G55" s="66">
        <v>17.0</v>
      </c>
      <c r="H55" s="66">
        <v>9.0</v>
      </c>
      <c r="I55" s="66">
        <v>6.0</v>
      </c>
      <c r="J55" s="66">
        <v>0.0</v>
      </c>
      <c r="K55" s="66">
        <v>4.0</v>
      </c>
      <c r="L55" s="66">
        <v>15.0</v>
      </c>
      <c r="M55" s="66">
        <v>36.0</v>
      </c>
      <c r="N55" s="66">
        <v>18.0</v>
      </c>
      <c r="O55" s="66">
        <v>17.0</v>
      </c>
      <c r="P55" s="66">
        <v>16.0</v>
      </c>
      <c r="Q55" s="66">
        <v>6.0</v>
      </c>
      <c r="R55" s="66">
        <v>11.0</v>
      </c>
      <c r="S55" s="6">
        <f t="shared" si="16"/>
        <v>195</v>
      </c>
    </row>
    <row r="56" ht="12.75" customHeight="1">
      <c r="A56" s="18"/>
      <c r="B56" s="51"/>
      <c r="C56" s="52" t="s">
        <v>48</v>
      </c>
      <c r="D56" s="53"/>
      <c r="E56" s="66">
        <v>5.0</v>
      </c>
      <c r="F56" s="66">
        <v>9.0</v>
      </c>
      <c r="G56" s="66">
        <v>13.0</v>
      </c>
      <c r="H56" s="66">
        <v>5.0</v>
      </c>
      <c r="I56" s="66">
        <v>2.0</v>
      </c>
      <c r="J56" s="66">
        <v>1.0</v>
      </c>
      <c r="K56" s="66">
        <v>0.0</v>
      </c>
      <c r="L56" s="66">
        <v>1.0</v>
      </c>
      <c r="M56" s="66">
        <v>3.0</v>
      </c>
      <c r="N56" s="66">
        <v>1.0</v>
      </c>
      <c r="O56" s="66">
        <v>5.0</v>
      </c>
      <c r="P56" s="66">
        <v>3.0</v>
      </c>
      <c r="Q56" s="66">
        <v>2.0</v>
      </c>
      <c r="R56" s="66">
        <v>1.0</v>
      </c>
      <c r="S56" s="6">
        <f t="shared" si="16"/>
        <v>51</v>
      </c>
    </row>
    <row r="57" ht="12.75" customHeight="1">
      <c r="A57" s="18"/>
      <c r="B57" s="51"/>
      <c r="C57" s="52" t="s">
        <v>49</v>
      </c>
      <c r="D57" s="53"/>
      <c r="E57" s="66">
        <v>2.0</v>
      </c>
      <c r="F57" s="66">
        <v>2.0</v>
      </c>
      <c r="G57" s="66">
        <v>0.0</v>
      </c>
      <c r="H57" s="66">
        <v>0.0</v>
      </c>
      <c r="I57" s="66">
        <v>1.0</v>
      </c>
      <c r="J57" s="66">
        <v>3.0</v>
      </c>
      <c r="K57" s="66">
        <v>0.0</v>
      </c>
      <c r="L57" s="66">
        <v>0.0</v>
      </c>
      <c r="M57" s="66">
        <v>0.0</v>
      </c>
      <c r="N57" s="66">
        <v>0.0</v>
      </c>
      <c r="O57" s="66">
        <v>0.0</v>
      </c>
      <c r="P57" s="66">
        <v>0.0</v>
      </c>
      <c r="Q57" s="66">
        <v>0.0</v>
      </c>
      <c r="R57" s="66">
        <v>0.0</v>
      </c>
      <c r="S57" s="6">
        <f t="shared" si="16"/>
        <v>8</v>
      </c>
    </row>
    <row r="58" ht="12.75" customHeight="1">
      <c r="A58" s="18"/>
      <c r="B58" s="51"/>
      <c r="C58" s="52" t="s">
        <v>50</v>
      </c>
      <c r="D58" s="53"/>
      <c r="E58" s="66">
        <v>2.0</v>
      </c>
      <c r="F58" s="66">
        <v>0.0</v>
      </c>
      <c r="G58" s="66">
        <v>1.0</v>
      </c>
      <c r="H58" s="66">
        <v>1.0</v>
      </c>
      <c r="I58" s="66">
        <v>0.0</v>
      </c>
      <c r="J58" s="66">
        <v>1.0</v>
      </c>
      <c r="K58" s="66">
        <v>0.0</v>
      </c>
      <c r="L58" s="66">
        <v>1.0</v>
      </c>
      <c r="M58" s="66">
        <v>0.0</v>
      </c>
      <c r="N58" s="66">
        <v>0.0</v>
      </c>
      <c r="O58" s="66">
        <v>0.0</v>
      </c>
      <c r="P58" s="66">
        <v>3.0</v>
      </c>
      <c r="Q58" s="66">
        <v>1.0</v>
      </c>
      <c r="R58" s="66">
        <v>0.0</v>
      </c>
      <c r="S58" s="6">
        <f t="shared" si="16"/>
        <v>10</v>
      </c>
    </row>
    <row r="59" ht="12.75" customHeight="1">
      <c r="A59" s="18"/>
      <c r="B59" s="51"/>
      <c r="C59" s="52" t="s">
        <v>51</v>
      </c>
      <c r="D59" s="53"/>
      <c r="E59" s="66">
        <v>0.0</v>
      </c>
      <c r="F59" s="66">
        <v>1.0</v>
      </c>
      <c r="G59" s="66">
        <v>1.0</v>
      </c>
      <c r="H59" s="66">
        <v>0.0</v>
      </c>
      <c r="I59" s="66">
        <v>0.0</v>
      </c>
      <c r="J59" s="66">
        <v>0.0</v>
      </c>
      <c r="K59" s="66">
        <v>0.0</v>
      </c>
      <c r="L59" s="66">
        <v>0.0</v>
      </c>
      <c r="M59" s="66">
        <v>0.0</v>
      </c>
      <c r="N59" s="66">
        <v>0.0</v>
      </c>
      <c r="O59" s="66">
        <v>0.0</v>
      </c>
      <c r="P59" s="66">
        <v>0.0</v>
      </c>
      <c r="Q59" s="66">
        <v>0.0</v>
      </c>
      <c r="R59" s="66">
        <v>0.0</v>
      </c>
      <c r="S59" s="6">
        <f t="shared" si="16"/>
        <v>2</v>
      </c>
    </row>
    <row r="60" ht="12.75" customHeight="1">
      <c r="A60" s="18"/>
      <c r="B60" s="51"/>
      <c r="C60" s="52" t="s">
        <v>52</v>
      </c>
      <c r="D60" s="53"/>
      <c r="E60" s="66">
        <v>4.0</v>
      </c>
      <c r="F60" s="66">
        <v>1.0</v>
      </c>
      <c r="G60" s="66">
        <v>5.0</v>
      </c>
      <c r="H60" s="66">
        <v>3.0</v>
      </c>
      <c r="I60" s="66">
        <v>0.0</v>
      </c>
      <c r="J60" s="66">
        <v>0.0</v>
      </c>
      <c r="K60" s="66">
        <v>0.0</v>
      </c>
      <c r="L60" s="66">
        <v>0.0</v>
      </c>
      <c r="M60" s="66">
        <v>0.0</v>
      </c>
      <c r="N60" s="66">
        <v>0.0</v>
      </c>
      <c r="O60" s="66">
        <v>0.0</v>
      </c>
      <c r="P60" s="66">
        <v>0.0</v>
      </c>
      <c r="Q60" s="66">
        <v>0.0</v>
      </c>
      <c r="R60" s="66">
        <v>0.0</v>
      </c>
      <c r="S60" s="6">
        <f t="shared" si="16"/>
        <v>13</v>
      </c>
    </row>
    <row r="61" ht="12.75" customHeight="1">
      <c r="A61" s="13" t="s">
        <v>14</v>
      </c>
      <c r="B61" s="49" t="s">
        <v>45</v>
      </c>
      <c r="C61" s="8"/>
      <c r="D61" s="9"/>
      <c r="E61" s="54">
        <f t="shared" ref="E61:R61" si="17">SUM(E54:E60)</f>
        <v>48</v>
      </c>
      <c r="F61" s="54">
        <f t="shared" si="17"/>
        <v>27</v>
      </c>
      <c r="G61" s="54">
        <f t="shared" si="17"/>
        <v>50</v>
      </c>
      <c r="H61" s="54">
        <f t="shared" si="17"/>
        <v>26</v>
      </c>
      <c r="I61" s="54">
        <f t="shared" si="17"/>
        <v>15</v>
      </c>
      <c r="J61" s="54">
        <f t="shared" si="17"/>
        <v>12</v>
      </c>
      <c r="K61" s="54">
        <f t="shared" si="17"/>
        <v>6</v>
      </c>
      <c r="L61" s="54">
        <f t="shared" si="17"/>
        <v>22</v>
      </c>
      <c r="M61" s="54">
        <f t="shared" si="17"/>
        <v>45</v>
      </c>
      <c r="N61" s="54">
        <f t="shared" si="17"/>
        <v>25</v>
      </c>
      <c r="O61" s="54">
        <f t="shared" si="17"/>
        <v>26</v>
      </c>
      <c r="P61" s="54">
        <f t="shared" si="17"/>
        <v>25</v>
      </c>
      <c r="Q61" s="54">
        <f t="shared" si="17"/>
        <v>10</v>
      </c>
      <c r="R61" s="54">
        <f t="shared" si="17"/>
        <v>15</v>
      </c>
      <c r="S61" s="6">
        <f t="shared" si="16"/>
        <v>352</v>
      </c>
    </row>
    <row r="62" ht="12.75" customHeight="1">
      <c r="A62" s="55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6"/>
    </row>
    <row r="63" ht="12.75" customHeight="1">
      <c r="A63" s="32" t="s">
        <v>36</v>
      </c>
      <c r="B63" s="49" t="s">
        <v>20</v>
      </c>
      <c r="C63" s="50" t="s">
        <v>53</v>
      </c>
      <c r="D63" s="9"/>
      <c r="E63" s="66">
        <v>3.0</v>
      </c>
      <c r="F63" s="66">
        <v>10.0</v>
      </c>
      <c r="G63" s="66">
        <v>8.0</v>
      </c>
      <c r="H63" s="66">
        <v>5.0</v>
      </c>
      <c r="I63" s="66">
        <v>6.0</v>
      </c>
      <c r="J63" s="66">
        <v>8.0</v>
      </c>
      <c r="K63" s="66">
        <v>4.0</v>
      </c>
      <c r="L63" s="66">
        <v>3.0</v>
      </c>
      <c r="M63" s="66">
        <v>3.0</v>
      </c>
      <c r="N63" s="66">
        <v>6.0</v>
      </c>
      <c r="O63" s="66">
        <v>6.0</v>
      </c>
      <c r="P63" s="66">
        <v>2.0</v>
      </c>
      <c r="Q63" s="66">
        <v>2.0</v>
      </c>
      <c r="R63" s="66">
        <v>8.0</v>
      </c>
      <c r="S63" s="6">
        <f t="shared" ref="S63:S70" si="18">SUM(E63:R63)</f>
        <v>74</v>
      </c>
    </row>
    <row r="64" ht="12.75" customHeight="1">
      <c r="A64" s="32" t="s">
        <v>38</v>
      </c>
      <c r="B64" s="51"/>
      <c r="C64" s="52" t="s">
        <v>54</v>
      </c>
      <c r="D64" s="53"/>
      <c r="E64" s="66">
        <v>1.0</v>
      </c>
      <c r="F64" s="66">
        <v>3.0</v>
      </c>
      <c r="G64" s="66">
        <v>2.0</v>
      </c>
      <c r="H64" s="66">
        <v>7.0</v>
      </c>
      <c r="I64" s="66">
        <v>4.0</v>
      </c>
      <c r="J64" s="66">
        <v>2.0</v>
      </c>
      <c r="K64" s="66">
        <v>3.0</v>
      </c>
      <c r="L64" s="66">
        <v>3.0</v>
      </c>
      <c r="M64" s="66">
        <v>2.0</v>
      </c>
      <c r="N64" s="66">
        <v>1.0</v>
      </c>
      <c r="O64" s="66">
        <v>2.0</v>
      </c>
      <c r="P64" s="66">
        <v>0.0</v>
      </c>
      <c r="Q64" s="66">
        <v>0.0</v>
      </c>
      <c r="R64" s="66">
        <v>2.0</v>
      </c>
      <c r="S64" s="6">
        <f t="shared" si="18"/>
        <v>32</v>
      </c>
    </row>
    <row r="65" ht="12.75" customHeight="1">
      <c r="A65" s="18"/>
      <c r="B65" s="51"/>
      <c r="C65" s="52" t="s">
        <v>55</v>
      </c>
      <c r="D65" s="53"/>
      <c r="E65" s="66">
        <v>0.0</v>
      </c>
      <c r="F65" s="66">
        <v>0.0</v>
      </c>
      <c r="G65" s="66">
        <v>2.0</v>
      </c>
      <c r="H65" s="66">
        <v>1.0</v>
      </c>
      <c r="I65" s="66">
        <v>2.0</v>
      </c>
      <c r="J65" s="66">
        <v>0.0</v>
      </c>
      <c r="K65" s="66">
        <v>6.0</v>
      </c>
      <c r="L65" s="66">
        <v>1.0</v>
      </c>
      <c r="M65" s="66">
        <v>0.0</v>
      </c>
      <c r="N65" s="66">
        <v>0.0</v>
      </c>
      <c r="O65" s="66">
        <v>1.0</v>
      </c>
      <c r="P65" s="66">
        <v>3.0</v>
      </c>
      <c r="Q65" s="66">
        <v>0.0</v>
      </c>
      <c r="R65" s="66">
        <v>2.0</v>
      </c>
      <c r="S65" s="6">
        <f t="shared" si="18"/>
        <v>18</v>
      </c>
    </row>
    <row r="66" ht="12.75" customHeight="1">
      <c r="A66" s="18"/>
      <c r="B66" s="51"/>
      <c r="C66" s="52" t="s">
        <v>56</v>
      </c>
      <c r="D66" s="53"/>
      <c r="E66" s="66">
        <v>1.0</v>
      </c>
      <c r="F66" s="66">
        <v>0.0</v>
      </c>
      <c r="G66" s="66">
        <v>1.0</v>
      </c>
      <c r="H66" s="66">
        <v>3.0</v>
      </c>
      <c r="I66" s="66">
        <v>2.0</v>
      </c>
      <c r="J66" s="66">
        <v>2.0</v>
      </c>
      <c r="K66" s="66">
        <v>0.0</v>
      </c>
      <c r="L66" s="66">
        <v>1.0</v>
      </c>
      <c r="M66" s="66">
        <v>2.0</v>
      </c>
      <c r="N66" s="66">
        <v>0.0</v>
      </c>
      <c r="O66" s="66">
        <v>0.0</v>
      </c>
      <c r="P66" s="66">
        <v>0.0</v>
      </c>
      <c r="Q66" s="66">
        <v>1.0</v>
      </c>
      <c r="R66" s="66">
        <v>2.0</v>
      </c>
      <c r="S66" s="6">
        <f t="shared" si="18"/>
        <v>15</v>
      </c>
    </row>
    <row r="67" ht="12.75" customHeight="1">
      <c r="A67" s="18"/>
      <c r="B67" s="51"/>
      <c r="C67" s="52" t="s">
        <v>57</v>
      </c>
      <c r="D67" s="53"/>
      <c r="E67" s="66">
        <v>2.0</v>
      </c>
      <c r="F67" s="66">
        <v>2.0</v>
      </c>
      <c r="G67" s="66">
        <v>1.0</v>
      </c>
      <c r="H67" s="66">
        <v>0.0</v>
      </c>
      <c r="I67" s="66">
        <v>15.0</v>
      </c>
      <c r="J67" s="66">
        <v>14.0</v>
      </c>
      <c r="K67" s="66">
        <v>0.0</v>
      </c>
      <c r="L67" s="66">
        <v>2.0</v>
      </c>
      <c r="M67" s="66">
        <v>7.0</v>
      </c>
      <c r="N67" s="66">
        <v>4.0</v>
      </c>
      <c r="O67" s="66">
        <v>0.0</v>
      </c>
      <c r="P67" s="66">
        <v>0.0</v>
      </c>
      <c r="Q67" s="66">
        <v>2.0</v>
      </c>
      <c r="R67" s="66">
        <v>25.0</v>
      </c>
      <c r="S67" s="6">
        <f t="shared" si="18"/>
        <v>74</v>
      </c>
    </row>
    <row r="68" ht="12.75" customHeight="1">
      <c r="A68" s="18"/>
      <c r="B68" s="51"/>
      <c r="C68" s="52" t="s">
        <v>58</v>
      </c>
      <c r="D68" s="53"/>
      <c r="E68" s="66">
        <v>9.0</v>
      </c>
      <c r="F68" s="66">
        <v>7.0</v>
      </c>
      <c r="G68" s="66">
        <v>8.0</v>
      </c>
      <c r="H68" s="66">
        <v>12.0</v>
      </c>
      <c r="I68" s="66">
        <v>6.0</v>
      </c>
      <c r="J68" s="66">
        <v>4.0</v>
      </c>
      <c r="K68" s="66">
        <v>0.0</v>
      </c>
      <c r="L68" s="66">
        <v>4.0</v>
      </c>
      <c r="M68" s="66">
        <v>8.0</v>
      </c>
      <c r="N68" s="66">
        <v>2.0</v>
      </c>
      <c r="O68" s="66">
        <v>1.0</v>
      </c>
      <c r="P68" s="66">
        <v>12.0</v>
      </c>
      <c r="Q68" s="66">
        <v>16.0</v>
      </c>
      <c r="R68" s="66">
        <v>0.0</v>
      </c>
      <c r="S68" s="6">
        <f t="shared" si="18"/>
        <v>89</v>
      </c>
    </row>
    <row r="69" ht="12.75" customHeight="1">
      <c r="A69" s="18"/>
      <c r="B69" s="51"/>
      <c r="C69" s="52" t="s">
        <v>59</v>
      </c>
      <c r="D69" s="53"/>
      <c r="E69" s="66">
        <v>63.0</v>
      </c>
      <c r="F69" s="66">
        <v>59.0</v>
      </c>
      <c r="G69" s="66">
        <v>48.0</v>
      </c>
      <c r="H69" s="66">
        <v>31.0</v>
      </c>
      <c r="I69" s="66">
        <v>12.0</v>
      </c>
      <c r="J69" s="66">
        <v>29.0</v>
      </c>
      <c r="K69" s="66">
        <v>0.0</v>
      </c>
      <c r="L69" s="66">
        <v>8.0</v>
      </c>
      <c r="M69" s="66">
        <v>26.0</v>
      </c>
      <c r="N69" s="66">
        <v>41.0</v>
      </c>
      <c r="O69" s="66">
        <v>30.0</v>
      </c>
      <c r="P69" s="66">
        <v>25.0</v>
      </c>
      <c r="Q69" s="66">
        <v>1.0</v>
      </c>
      <c r="R69" s="66">
        <v>47.0</v>
      </c>
      <c r="S69" s="6">
        <f t="shared" si="18"/>
        <v>420</v>
      </c>
    </row>
    <row r="70" ht="12.75" customHeight="1">
      <c r="A70" s="13" t="s">
        <v>14</v>
      </c>
      <c r="B70" s="49" t="s">
        <v>45</v>
      </c>
      <c r="C70" s="8"/>
      <c r="D70" s="9"/>
      <c r="E70" s="54">
        <f t="shared" ref="E70:R70" si="19">SUM(E63:E69)</f>
        <v>79</v>
      </c>
      <c r="F70" s="54">
        <f t="shared" si="19"/>
        <v>81</v>
      </c>
      <c r="G70" s="54">
        <f t="shared" si="19"/>
        <v>70</v>
      </c>
      <c r="H70" s="54">
        <f t="shared" si="19"/>
        <v>59</v>
      </c>
      <c r="I70" s="54">
        <f t="shared" si="19"/>
        <v>47</v>
      </c>
      <c r="J70" s="54">
        <f t="shared" si="19"/>
        <v>59</v>
      </c>
      <c r="K70" s="54">
        <f t="shared" si="19"/>
        <v>13</v>
      </c>
      <c r="L70" s="54">
        <f t="shared" si="19"/>
        <v>22</v>
      </c>
      <c r="M70" s="54">
        <f t="shared" si="19"/>
        <v>48</v>
      </c>
      <c r="N70" s="54">
        <f t="shared" si="19"/>
        <v>54</v>
      </c>
      <c r="O70" s="54">
        <f t="shared" si="19"/>
        <v>40</v>
      </c>
      <c r="P70" s="54">
        <f t="shared" si="19"/>
        <v>42</v>
      </c>
      <c r="Q70" s="54">
        <f t="shared" si="19"/>
        <v>22</v>
      </c>
      <c r="R70" s="54">
        <f t="shared" si="19"/>
        <v>86</v>
      </c>
      <c r="S70" s="6">
        <f t="shared" si="18"/>
        <v>722</v>
      </c>
    </row>
    <row r="71" ht="12.75" customHeight="1">
      <c r="A71" s="55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6"/>
    </row>
    <row r="72" ht="12.75" customHeight="1">
      <c r="A72" s="32" t="s">
        <v>36</v>
      </c>
      <c r="B72" s="49" t="s">
        <v>22</v>
      </c>
      <c r="C72" s="50" t="s">
        <v>60</v>
      </c>
      <c r="D72" s="9"/>
      <c r="E72" s="66">
        <v>0.0</v>
      </c>
      <c r="F72" s="66">
        <v>3.0</v>
      </c>
      <c r="G72" s="66">
        <v>3.0</v>
      </c>
      <c r="H72" s="66">
        <v>2.0</v>
      </c>
      <c r="I72" s="66">
        <v>3.0</v>
      </c>
      <c r="J72" s="66">
        <v>4.0</v>
      </c>
      <c r="K72" s="66">
        <v>0.0</v>
      </c>
      <c r="L72" s="66">
        <v>0.0</v>
      </c>
      <c r="M72" s="66">
        <v>3.0</v>
      </c>
      <c r="N72" s="66">
        <v>2.0</v>
      </c>
      <c r="O72" s="66">
        <v>2.0</v>
      </c>
      <c r="P72" s="66">
        <v>1.0</v>
      </c>
      <c r="Q72" s="66">
        <v>1.0</v>
      </c>
      <c r="R72" s="66">
        <v>1.0</v>
      </c>
      <c r="S72" s="6">
        <f t="shared" ref="S72:S79" si="20">SUM(E72:R72)</f>
        <v>25</v>
      </c>
    </row>
    <row r="73" ht="12.75" customHeight="1">
      <c r="A73" s="32" t="s">
        <v>38</v>
      </c>
      <c r="B73" s="51"/>
      <c r="C73" s="52" t="s">
        <v>61</v>
      </c>
      <c r="D73" s="53"/>
      <c r="E73" s="66">
        <v>2.0</v>
      </c>
      <c r="F73" s="66">
        <v>9.0</v>
      </c>
      <c r="G73" s="66">
        <v>1.0</v>
      </c>
      <c r="H73" s="66">
        <v>1.0</v>
      </c>
      <c r="I73" s="66">
        <v>3.0</v>
      </c>
      <c r="J73" s="66">
        <v>2.0</v>
      </c>
      <c r="K73" s="66">
        <v>0.0</v>
      </c>
      <c r="L73" s="66">
        <v>2.0</v>
      </c>
      <c r="M73" s="66">
        <v>9.0</v>
      </c>
      <c r="N73" s="66">
        <v>13.0</v>
      </c>
      <c r="O73" s="66">
        <v>2.0</v>
      </c>
      <c r="P73" s="66">
        <v>2.0</v>
      </c>
      <c r="Q73" s="66">
        <v>2.0</v>
      </c>
      <c r="R73" s="66">
        <v>0.0</v>
      </c>
      <c r="S73" s="6">
        <f t="shared" si="20"/>
        <v>48</v>
      </c>
    </row>
    <row r="74" ht="12.75" customHeight="1">
      <c r="A74" s="18"/>
      <c r="B74" s="51"/>
      <c r="C74" s="52" t="s">
        <v>62</v>
      </c>
      <c r="D74" s="53"/>
      <c r="E74" s="66">
        <v>1.0</v>
      </c>
      <c r="F74" s="66">
        <v>0.0</v>
      </c>
      <c r="G74" s="66">
        <v>1.0</v>
      </c>
      <c r="H74" s="66">
        <v>0.0</v>
      </c>
      <c r="I74" s="66">
        <v>1.0</v>
      </c>
      <c r="J74" s="66">
        <v>0.0</v>
      </c>
      <c r="K74" s="66">
        <v>0.0</v>
      </c>
      <c r="L74" s="66">
        <v>0.0</v>
      </c>
      <c r="M74" s="66">
        <v>1.0</v>
      </c>
      <c r="N74" s="66">
        <v>0.0</v>
      </c>
      <c r="O74" s="66">
        <v>0.0</v>
      </c>
      <c r="P74" s="66">
        <v>0.0</v>
      </c>
      <c r="Q74" s="66">
        <v>0.0</v>
      </c>
      <c r="R74" s="66">
        <v>0.0</v>
      </c>
      <c r="S74" s="6">
        <f t="shared" si="20"/>
        <v>4</v>
      </c>
    </row>
    <row r="75" ht="12.75" customHeight="1">
      <c r="A75" s="18"/>
      <c r="B75" s="51"/>
      <c r="C75" s="52" t="s">
        <v>63</v>
      </c>
      <c r="D75" s="53"/>
      <c r="E75" s="66">
        <v>1.0</v>
      </c>
      <c r="F75" s="66">
        <v>6.0</v>
      </c>
      <c r="G75" s="66">
        <v>9.0</v>
      </c>
      <c r="H75" s="66">
        <v>1.0</v>
      </c>
      <c r="I75" s="66">
        <v>6.0</v>
      </c>
      <c r="J75" s="66">
        <v>14.0</v>
      </c>
      <c r="K75" s="66">
        <v>0.0</v>
      </c>
      <c r="L75" s="66">
        <v>3.0</v>
      </c>
      <c r="M75" s="66">
        <v>1.0</v>
      </c>
      <c r="N75" s="66">
        <v>2.0</v>
      </c>
      <c r="O75" s="66">
        <v>1.0</v>
      </c>
      <c r="P75" s="66">
        <v>2.0</v>
      </c>
      <c r="Q75" s="66">
        <v>1.0</v>
      </c>
      <c r="R75" s="66">
        <v>1.0</v>
      </c>
      <c r="S75" s="6">
        <f t="shared" si="20"/>
        <v>48</v>
      </c>
    </row>
    <row r="76" ht="12.75" customHeight="1">
      <c r="A76" s="18"/>
      <c r="B76" s="51"/>
      <c r="C76" s="52" t="s">
        <v>64</v>
      </c>
      <c r="D76" s="53"/>
      <c r="E76" s="66">
        <v>2.0</v>
      </c>
      <c r="F76" s="66">
        <v>2.0</v>
      </c>
      <c r="G76" s="66">
        <v>0.0</v>
      </c>
      <c r="H76" s="66">
        <v>1.0</v>
      </c>
      <c r="I76" s="66">
        <v>0.0</v>
      </c>
      <c r="J76" s="66">
        <v>0.0</v>
      </c>
      <c r="K76" s="66">
        <v>0.0</v>
      </c>
      <c r="L76" s="66">
        <v>0.0</v>
      </c>
      <c r="M76" s="66">
        <v>0.0</v>
      </c>
      <c r="N76" s="66">
        <v>0.0</v>
      </c>
      <c r="O76" s="66">
        <v>0.0</v>
      </c>
      <c r="P76" s="66">
        <v>0.0</v>
      </c>
      <c r="Q76" s="66">
        <v>0.0</v>
      </c>
      <c r="R76" s="66">
        <v>0.0</v>
      </c>
      <c r="S76" s="6">
        <f t="shared" si="20"/>
        <v>5</v>
      </c>
    </row>
    <row r="77" ht="12.75" customHeight="1">
      <c r="A77" s="18"/>
      <c r="B77" s="51"/>
      <c r="C77" s="52" t="s">
        <v>65</v>
      </c>
      <c r="D77" s="53"/>
      <c r="E77" s="66">
        <v>0.0</v>
      </c>
      <c r="F77" s="66">
        <v>0.0</v>
      </c>
      <c r="G77" s="66">
        <v>0.0</v>
      </c>
      <c r="H77" s="66">
        <v>0.0</v>
      </c>
      <c r="I77" s="66">
        <v>0.0</v>
      </c>
      <c r="J77" s="66">
        <v>0.0</v>
      </c>
      <c r="K77" s="66">
        <v>0.0</v>
      </c>
      <c r="L77" s="66">
        <v>0.0</v>
      </c>
      <c r="M77" s="66">
        <v>0.0</v>
      </c>
      <c r="N77" s="66">
        <v>0.0</v>
      </c>
      <c r="O77" s="66">
        <v>1.0</v>
      </c>
      <c r="P77" s="66">
        <v>0.0</v>
      </c>
      <c r="Q77" s="66">
        <v>1.0</v>
      </c>
      <c r="R77" s="66">
        <v>0.0</v>
      </c>
      <c r="S77" s="6">
        <f t="shared" si="20"/>
        <v>2</v>
      </c>
    </row>
    <row r="78" ht="12.75" customHeight="1">
      <c r="A78" s="18"/>
      <c r="B78" s="51"/>
      <c r="C78" s="52" t="s">
        <v>66</v>
      </c>
      <c r="D78" s="53"/>
      <c r="E78" s="66">
        <v>0.0</v>
      </c>
      <c r="F78" s="66">
        <v>0.0</v>
      </c>
      <c r="G78" s="66">
        <v>0.0</v>
      </c>
      <c r="H78" s="66">
        <v>0.0</v>
      </c>
      <c r="I78" s="66">
        <v>0.0</v>
      </c>
      <c r="J78" s="66">
        <v>0.0</v>
      </c>
      <c r="K78" s="66">
        <v>0.0</v>
      </c>
      <c r="L78" s="66">
        <v>0.0</v>
      </c>
      <c r="M78" s="66">
        <v>0.0</v>
      </c>
      <c r="N78" s="66">
        <v>1.0</v>
      </c>
      <c r="O78" s="66">
        <v>0.0</v>
      </c>
      <c r="P78" s="66">
        <v>0.0</v>
      </c>
      <c r="Q78" s="66">
        <v>0.0</v>
      </c>
      <c r="R78" s="66">
        <v>0.0</v>
      </c>
      <c r="S78" s="6">
        <f t="shared" si="20"/>
        <v>1</v>
      </c>
    </row>
    <row r="79" ht="12.75" customHeight="1">
      <c r="A79" s="13" t="s">
        <v>14</v>
      </c>
      <c r="B79" s="49" t="s">
        <v>45</v>
      </c>
      <c r="C79" s="8"/>
      <c r="D79" s="9"/>
      <c r="E79" s="54">
        <f t="shared" ref="E79:R79" si="21">SUM(E72:E78)</f>
        <v>6</v>
      </c>
      <c r="F79" s="54">
        <f t="shared" si="21"/>
        <v>20</v>
      </c>
      <c r="G79" s="54">
        <f t="shared" si="21"/>
        <v>14</v>
      </c>
      <c r="H79" s="54">
        <f t="shared" si="21"/>
        <v>5</v>
      </c>
      <c r="I79" s="54">
        <f t="shared" si="21"/>
        <v>13</v>
      </c>
      <c r="J79" s="54">
        <f t="shared" si="21"/>
        <v>20</v>
      </c>
      <c r="K79" s="54">
        <f t="shared" si="21"/>
        <v>0</v>
      </c>
      <c r="L79" s="54">
        <f t="shared" si="21"/>
        <v>5</v>
      </c>
      <c r="M79" s="54">
        <f t="shared" si="21"/>
        <v>14</v>
      </c>
      <c r="N79" s="54">
        <f t="shared" si="21"/>
        <v>18</v>
      </c>
      <c r="O79" s="54">
        <f t="shared" si="21"/>
        <v>6</v>
      </c>
      <c r="P79" s="54">
        <f t="shared" si="21"/>
        <v>5</v>
      </c>
      <c r="Q79" s="54">
        <f t="shared" si="21"/>
        <v>5</v>
      </c>
      <c r="R79" s="54">
        <f t="shared" si="21"/>
        <v>2</v>
      </c>
      <c r="S79" s="6">
        <f t="shared" si="20"/>
        <v>133</v>
      </c>
    </row>
    <row r="80" ht="12.75" customHeight="1">
      <c r="A80" s="55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6"/>
    </row>
    <row r="81" ht="12.75" customHeight="1">
      <c r="A81" s="32" t="s">
        <v>36</v>
      </c>
      <c r="B81" s="49" t="s">
        <v>67</v>
      </c>
      <c r="C81" s="50" t="s">
        <v>68</v>
      </c>
      <c r="D81" s="9"/>
      <c r="E81" s="66">
        <v>0.0</v>
      </c>
      <c r="F81" s="66">
        <v>0.0</v>
      </c>
      <c r="G81" s="66">
        <v>1.0</v>
      </c>
      <c r="H81" s="66">
        <v>0.0</v>
      </c>
      <c r="I81" s="66">
        <v>1.0</v>
      </c>
      <c r="J81" s="66">
        <v>0.0</v>
      </c>
      <c r="K81" s="66">
        <v>0.0</v>
      </c>
      <c r="L81" s="66">
        <v>2.0</v>
      </c>
      <c r="M81" s="66">
        <v>1.0</v>
      </c>
      <c r="N81" s="66">
        <v>0.0</v>
      </c>
      <c r="O81" s="66">
        <v>1.0</v>
      </c>
      <c r="P81" s="66">
        <v>0.0</v>
      </c>
      <c r="Q81" s="66">
        <v>1.0</v>
      </c>
      <c r="R81" s="66">
        <v>0.0</v>
      </c>
      <c r="S81" s="6">
        <f t="shared" ref="S81:S88" si="22">SUM(E81:R81)</f>
        <v>7</v>
      </c>
    </row>
    <row r="82" ht="12.75" customHeight="1">
      <c r="A82" s="32" t="s">
        <v>38</v>
      </c>
      <c r="B82" s="51"/>
      <c r="C82" s="52" t="s">
        <v>69</v>
      </c>
      <c r="D82" s="53"/>
      <c r="E82" s="66">
        <v>0.0</v>
      </c>
      <c r="F82" s="66">
        <v>0.0</v>
      </c>
      <c r="G82" s="66">
        <v>0.0</v>
      </c>
      <c r="H82" s="66">
        <v>0.0</v>
      </c>
      <c r="I82" s="66">
        <v>0.0</v>
      </c>
      <c r="J82" s="66">
        <v>0.0</v>
      </c>
      <c r="K82" s="66">
        <v>0.0</v>
      </c>
      <c r="L82" s="66">
        <v>0.0</v>
      </c>
      <c r="M82" s="66">
        <v>0.0</v>
      </c>
      <c r="N82" s="66">
        <v>1.0</v>
      </c>
      <c r="O82" s="66">
        <v>1.0</v>
      </c>
      <c r="P82" s="66">
        <v>0.0</v>
      </c>
      <c r="Q82" s="66">
        <v>0.0</v>
      </c>
      <c r="R82" s="66">
        <v>0.0</v>
      </c>
      <c r="S82" s="6">
        <f t="shared" si="22"/>
        <v>2</v>
      </c>
    </row>
    <row r="83" ht="12.75" customHeight="1">
      <c r="A83" s="18"/>
      <c r="B83" s="51"/>
      <c r="C83" s="52" t="s">
        <v>70</v>
      </c>
      <c r="D83" s="53"/>
      <c r="E83" s="66">
        <v>0.0</v>
      </c>
      <c r="F83" s="66">
        <v>0.0</v>
      </c>
      <c r="G83" s="66">
        <v>0.0</v>
      </c>
      <c r="H83" s="66">
        <v>0.0</v>
      </c>
      <c r="I83" s="66">
        <v>0.0</v>
      </c>
      <c r="J83" s="66">
        <v>2.0</v>
      </c>
      <c r="K83" s="66">
        <v>0.0</v>
      </c>
      <c r="L83" s="66">
        <v>0.0</v>
      </c>
      <c r="M83" s="66">
        <v>0.0</v>
      </c>
      <c r="N83" s="66">
        <v>0.0</v>
      </c>
      <c r="O83" s="66">
        <v>0.0</v>
      </c>
      <c r="P83" s="66">
        <v>0.0</v>
      </c>
      <c r="Q83" s="66">
        <v>0.0</v>
      </c>
      <c r="R83" s="66">
        <v>0.0</v>
      </c>
      <c r="S83" s="6">
        <f t="shared" si="22"/>
        <v>2</v>
      </c>
    </row>
    <row r="84" ht="12.75" customHeight="1">
      <c r="A84" s="18"/>
      <c r="B84" s="51"/>
      <c r="C84" s="52" t="s">
        <v>71</v>
      </c>
      <c r="D84" s="53"/>
      <c r="E84" s="66">
        <v>0.0</v>
      </c>
      <c r="F84" s="66">
        <v>0.0</v>
      </c>
      <c r="G84" s="66">
        <v>0.0</v>
      </c>
      <c r="H84" s="66">
        <v>0.0</v>
      </c>
      <c r="I84" s="66">
        <v>0.0</v>
      </c>
      <c r="J84" s="66">
        <v>0.0</v>
      </c>
      <c r="K84" s="66">
        <v>0.0</v>
      </c>
      <c r="L84" s="66">
        <v>0.0</v>
      </c>
      <c r="M84" s="66">
        <v>0.0</v>
      </c>
      <c r="N84" s="66">
        <v>0.0</v>
      </c>
      <c r="O84" s="66">
        <v>0.0</v>
      </c>
      <c r="P84" s="66">
        <v>0.0</v>
      </c>
      <c r="Q84" s="66">
        <v>0.0</v>
      </c>
      <c r="R84" s="66">
        <v>0.0</v>
      </c>
      <c r="S84" s="6">
        <f t="shared" si="22"/>
        <v>0</v>
      </c>
    </row>
    <row r="85" ht="12.75" customHeight="1">
      <c r="A85" s="18"/>
      <c r="B85" s="51"/>
      <c r="C85" s="52" t="s">
        <v>72</v>
      </c>
      <c r="D85" s="53"/>
      <c r="E85" s="66">
        <v>0.0</v>
      </c>
      <c r="F85" s="66">
        <v>0.0</v>
      </c>
      <c r="G85" s="66">
        <v>0.0</v>
      </c>
      <c r="H85" s="66">
        <v>0.0</v>
      </c>
      <c r="I85" s="66">
        <v>0.0</v>
      </c>
      <c r="J85" s="66">
        <v>0.0</v>
      </c>
      <c r="K85" s="66">
        <v>0.0</v>
      </c>
      <c r="L85" s="66">
        <v>0.0</v>
      </c>
      <c r="M85" s="66">
        <v>2.0</v>
      </c>
      <c r="N85" s="66">
        <v>0.0</v>
      </c>
      <c r="O85" s="66">
        <v>0.0</v>
      </c>
      <c r="P85" s="66">
        <v>0.0</v>
      </c>
      <c r="Q85" s="66">
        <v>0.0</v>
      </c>
      <c r="R85" s="66">
        <v>0.0</v>
      </c>
      <c r="S85" s="6">
        <f t="shared" si="22"/>
        <v>2</v>
      </c>
    </row>
    <row r="86" ht="12.75" customHeight="1">
      <c r="A86" s="18"/>
      <c r="B86" s="51"/>
      <c r="C86" s="52" t="s">
        <v>73</v>
      </c>
      <c r="D86" s="53"/>
      <c r="E86" s="66">
        <v>0.0</v>
      </c>
      <c r="F86" s="66">
        <v>0.0</v>
      </c>
      <c r="G86" s="66">
        <v>0.0</v>
      </c>
      <c r="H86" s="66">
        <v>0.0</v>
      </c>
      <c r="I86" s="66">
        <v>0.0</v>
      </c>
      <c r="J86" s="66">
        <v>0.0</v>
      </c>
      <c r="K86" s="66">
        <v>0.0</v>
      </c>
      <c r="L86" s="66">
        <v>1.0</v>
      </c>
      <c r="M86" s="66">
        <v>0.0</v>
      </c>
      <c r="N86" s="66">
        <v>3.0</v>
      </c>
      <c r="O86" s="66">
        <v>1.0</v>
      </c>
      <c r="P86" s="66">
        <v>0.0</v>
      </c>
      <c r="Q86" s="66">
        <v>0.0</v>
      </c>
      <c r="R86" s="66">
        <v>0.0</v>
      </c>
      <c r="S86" s="6">
        <f t="shared" si="22"/>
        <v>5</v>
      </c>
    </row>
    <row r="87" ht="12.75" customHeight="1">
      <c r="A87" s="18"/>
      <c r="B87" s="51"/>
      <c r="C87" s="52" t="s">
        <v>74</v>
      </c>
      <c r="D87" s="53"/>
      <c r="E87" s="66">
        <v>0.0</v>
      </c>
      <c r="F87" s="66">
        <v>0.0</v>
      </c>
      <c r="G87" s="66">
        <v>0.0</v>
      </c>
      <c r="H87" s="66">
        <v>0.0</v>
      </c>
      <c r="I87" s="66">
        <v>0.0</v>
      </c>
      <c r="J87" s="66">
        <v>1.0</v>
      </c>
      <c r="K87" s="66">
        <v>0.0</v>
      </c>
      <c r="L87" s="66">
        <v>0.0</v>
      </c>
      <c r="M87" s="66">
        <v>0.0</v>
      </c>
      <c r="N87" s="66">
        <v>0.0</v>
      </c>
      <c r="O87" s="66">
        <v>0.0</v>
      </c>
      <c r="P87" s="66">
        <v>0.0</v>
      </c>
      <c r="Q87" s="66">
        <v>0.0</v>
      </c>
      <c r="R87" s="66">
        <v>0.0</v>
      </c>
      <c r="S87" s="6">
        <f t="shared" si="22"/>
        <v>1</v>
      </c>
    </row>
    <row r="88" ht="12.75" customHeight="1">
      <c r="A88" s="13" t="s">
        <v>14</v>
      </c>
      <c r="B88" s="49" t="s">
        <v>45</v>
      </c>
      <c r="C88" s="8"/>
      <c r="D88" s="9"/>
      <c r="E88" s="54">
        <f t="shared" ref="E88:R88" si="23">SUM(E81:E87)</f>
        <v>0</v>
      </c>
      <c r="F88" s="54">
        <f t="shared" si="23"/>
        <v>0</v>
      </c>
      <c r="G88" s="54">
        <f t="shared" si="23"/>
        <v>1</v>
      </c>
      <c r="H88" s="54">
        <f t="shared" si="23"/>
        <v>0</v>
      </c>
      <c r="I88" s="54">
        <f t="shared" si="23"/>
        <v>1</v>
      </c>
      <c r="J88" s="54">
        <f t="shared" si="23"/>
        <v>3</v>
      </c>
      <c r="K88" s="54">
        <f t="shared" si="23"/>
        <v>0</v>
      </c>
      <c r="L88" s="54">
        <f t="shared" si="23"/>
        <v>3</v>
      </c>
      <c r="M88" s="54">
        <f t="shared" si="23"/>
        <v>3</v>
      </c>
      <c r="N88" s="54">
        <f t="shared" si="23"/>
        <v>4</v>
      </c>
      <c r="O88" s="54">
        <f t="shared" si="23"/>
        <v>3</v>
      </c>
      <c r="P88" s="54">
        <f t="shared" si="23"/>
        <v>0</v>
      </c>
      <c r="Q88" s="54">
        <f t="shared" si="23"/>
        <v>1</v>
      </c>
      <c r="R88" s="54">
        <f t="shared" si="23"/>
        <v>0</v>
      </c>
      <c r="S88" s="6">
        <f t="shared" si="22"/>
        <v>19</v>
      </c>
    </row>
    <row r="89" ht="12.75" customHeight="1">
      <c r="A89" s="55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6"/>
    </row>
    <row r="90" ht="12.75" customHeight="1">
      <c r="A90" s="32" t="s">
        <v>36</v>
      </c>
      <c r="B90" s="49" t="s">
        <v>75</v>
      </c>
      <c r="C90" s="50" t="s">
        <v>76</v>
      </c>
      <c r="D90" s="9"/>
      <c r="E90" s="66">
        <v>1.0</v>
      </c>
      <c r="F90" s="66">
        <v>5.0</v>
      </c>
      <c r="G90" s="66">
        <v>4.0</v>
      </c>
      <c r="H90" s="66">
        <v>5.0</v>
      </c>
      <c r="I90" s="66">
        <v>4.0</v>
      </c>
      <c r="J90" s="66">
        <v>2.0</v>
      </c>
      <c r="K90" s="66">
        <v>0.0</v>
      </c>
      <c r="L90" s="66">
        <v>1.0</v>
      </c>
      <c r="M90" s="66">
        <v>2.0</v>
      </c>
      <c r="N90" s="66">
        <v>1.0</v>
      </c>
      <c r="O90" s="66">
        <v>5.0</v>
      </c>
      <c r="P90" s="66">
        <v>2.0</v>
      </c>
      <c r="Q90" s="66">
        <v>0.0</v>
      </c>
      <c r="R90" s="66">
        <v>2.0</v>
      </c>
      <c r="S90" s="6">
        <f t="shared" ref="S90:S92" si="24">SUM(E90:R90)</f>
        <v>34</v>
      </c>
    </row>
    <row r="91" ht="12.75" customHeight="1">
      <c r="A91" s="32" t="s">
        <v>38</v>
      </c>
      <c r="B91" s="51"/>
      <c r="C91" s="52"/>
      <c r="D91" s="9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6">
        <f t="shared" si="24"/>
        <v>0</v>
      </c>
    </row>
    <row r="92" ht="12.75" customHeight="1">
      <c r="A92" s="13" t="s">
        <v>14</v>
      </c>
      <c r="B92" s="49" t="s">
        <v>45</v>
      </c>
      <c r="C92" s="8"/>
      <c r="D92" s="9"/>
      <c r="E92" s="54">
        <f t="shared" ref="E92:R92" si="25">SUM(E90:E91)</f>
        <v>1</v>
      </c>
      <c r="F92" s="54">
        <f t="shared" si="25"/>
        <v>5</v>
      </c>
      <c r="G92" s="54">
        <f t="shared" si="25"/>
        <v>4</v>
      </c>
      <c r="H92" s="54">
        <f t="shared" si="25"/>
        <v>5</v>
      </c>
      <c r="I92" s="54">
        <f t="shared" si="25"/>
        <v>4</v>
      </c>
      <c r="J92" s="54">
        <f t="shared" si="25"/>
        <v>2</v>
      </c>
      <c r="K92" s="54">
        <f t="shared" si="25"/>
        <v>0</v>
      </c>
      <c r="L92" s="54">
        <f t="shared" si="25"/>
        <v>1</v>
      </c>
      <c r="M92" s="54">
        <f t="shared" si="25"/>
        <v>2</v>
      </c>
      <c r="N92" s="54">
        <f t="shared" si="25"/>
        <v>1</v>
      </c>
      <c r="O92" s="54">
        <f t="shared" si="25"/>
        <v>5</v>
      </c>
      <c r="P92" s="54">
        <f t="shared" si="25"/>
        <v>2</v>
      </c>
      <c r="Q92" s="54">
        <f t="shared" si="25"/>
        <v>0</v>
      </c>
      <c r="R92" s="54">
        <f t="shared" si="25"/>
        <v>2</v>
      </c>
      <c r="S92" s="6">
        <f t="shared" si="24"/>
        <v>34</v>
      </c>
    </row>
    <row r="93" ht="12.75" customHeight="1">
      <c r="A93" s="55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6"/>
    </row>
    <row r="94" ht="12.75" customHeight="1">
      <c r="A94" s="32" t="s">
        <v>36</v>
      </c>
      <c r="B94" s="49" t="s">
        <v>77</v>
      </c>
      <c r="C94" s="50" t="s">
        <v>78</v>
      </c>
      <c r="D94" s="9"/>
      <c r="E94" s="66">
        <v>0.0</v>
      </c>
      <c r="F94" s="66">
        <v>0.0</v>
      </c>
      <c r="G94" s="66">
        <v>2.0</v>
      </c>
      <c r="H94" s="66">
        <v>0.0</v>
      </c>
      <c r="I94" s="66">
        <v>0.0</v>
      </c>
      <c r="J94" s="66">
        <v>0.0</v>
      </c>
      <c r="K94" s="66">
        <v>0.0</v>
      </c>
      <c r="L94" s="66">
        <v>0.0</v>
      </c>
      <c r="M94" s="66">
        <v>1.0</v>
      </c>
      <c r="N94" s="66">
        <v>0.0</v>
      </c>
      <c r="O94" s="66">
        <v>0.0</v>
      </c>
      <c r="P94" s="66">
        <v>0.0</v>
      </c>
      <c r="Q94" s="66">
        <v>0.0</v>
      </c>
      <c r="R94" s="66">
        <v>0.0</v>
      </c>
      <c r="S94" s="6">
        <f t="shared" ref="S94:S98" si="26">SUM(E94:R94)</f>
        <v>3</v>
      </c>
    </row>
    <row r="95" ht="12.75" customHeight="1">
      <c r="A95" s="32" t="s">
        <v>38</v>
      </c>
      <c r="B95" s="51"/>
      <c r="C95" s="52" t="s">
        <v>79</v>
      </c>
      <c r="D95" s="53"/>
      <c r="E95" s="66">
        <v>0.0</v>
      </c>
      <c r="F95" s="66">
        <v>0.0</v>
      </c>
      <c r="G95" s="66">
        <v>0.0</v>
      </c>
      <c r="H95" s="66">
        <v>1.0</v>
      </c>
      <c r="I95" s="66">
        <v>0.0</v>
      </c>
      <c r="J95" s="66">
        <v>0.0</v>
      </c>
      <c r="K95" s="66">
        <v>0.0</v>
      </c>
      <c r="L95" s="66">
        <v>0.0</v>
      </c>
      <c r="M95" s="66">
        <v>0.0</v>
      </c>
      <c r="N95" s="66">
        <v>0.0</v>
      </c>
      <c r="O95" s="66">
        <v>0.0</v>
      </c>
      <c r="P95" s="66">
        <v>0.0</v>
      </c>
      <c r="Q95" s="66">
        <v>0.0</v>
      </c>
      <c r="R95" s="66">
        <v>0.0</v>
      </c>
      <c r="S95" s="6">
        <f t="shared" si="26"/>
        <v>1</v>
      </c>
    </row>
    <row r="96" ht="12.75" customHeight="1">
      <c r="A96" s="32"/>
      <c r="B96" s="51"/>
      <c r="C96" s="52" t="s">
        <v>80</v>
      </c>
      <c r="D96" s="53"/>
      <c r="E96" s="66">
        <v>0.0</v>
      </c>
      <c r="F96" s="66">
        <v>0.0</v>
      </c>
      <c r="G96" s="66">
        <v>0.0</v>
      </c>
      <c r="H96" s="66">
        <v>1.0</v>
      </c>
      <c r="I96" s="66">
        <v>0.0</v>
      </c>
      <c r="J96" s="66">
        <v>0.0</v>
      </c>
      <c r="K96" s="66">
        <v>0.0</v>
      </c>
      <c r="L96" s="66">
        <v>0.0</v>
      </c>
      <c r="M96" s="66">
        <v>0.0</v>
      </c>
      <c r="N96" s="66">
        <v>0.0</v>
      </c>
      <c r="O96" s="66">
        <v>0.0</v>
      </c>
      <c r="P96" s="66">
        <v>0.0</v>
      </c>
      <c r="Q96" s="66">
        <v>0.0</v>
      </c>
      <c r="R96" s="66">
        <v>0.0</v>
      </c>
      <c r="S96" s="6">
        <f t="shared" si="26"/>
        <v>1</v>
      </c>
    </row>
    <row r="97" ht="12.75" customHeight="1">
      <c r="A97" s="32"/>
      <c r="B97" s="51"/>
      <c r="C97" s="52" t="s">
        <v>81</v>
      </c>
      <c r="D97" s="53"/>
      <c r="E97" s="66">
        <v>0.0</v>
      </c>
      <c r="F97" s="66">
        <v>0.0</v>
      </c>
      <c r="G97" s="66">
        <v>0.0</v>
      </c>
      <c r="H97" s="66">
        <v>0.0</v>
      </c>
      <c r="I97" s="66">
        <v>0.0</v>
      </c>
      <c r="J97" s="66">
        <v>0.0</v>
      </c>
      <c r="K97" s="66">
        <v>0.0</v>
      </c>
      <c r="L97" s="66">
        <v>0.0</v>
      </c>
      <c r="M97" s="66">
        <v>0.0</v>
      </c>
      <c r="N97" s="66">
        <v>0.0</v>
      </c>
      <c r="O97" s="66">
        <v>0.0</v>
      </c>
      <c r="P97" s="66">
        <v>0.0</v>
      </c>
      <c r="Q97" s="66">
        <v>0.0</v>
      </c>
      <c r="R97" s="66">
        <v>0.0</v>
      </c>
      <c r="S97" s="6">
        <f t="shared" si="26"/>
        <v>0</v>
      </c>
    </row>
    <row r="98" ht="12.75" customHeight="1">
      <c r="A98" s="13" t="s">
        <v>14</v>
      </c>
      <c r="B98" s="49" t="s">
        <v>45</v>
      </c>
      <c r="C98" s="8"/>
      <c r="D98" s="9"/>
      <c r="E98" s="54">
        <f t="shared" ref="E98:R98" si="27">SUM(E94:E97)</f>
        <v>0</v>
      </c>
      <c r="F98" s="54">
        <f t="shared" si="27"/>
        <v>0</v>
      </c>
      <c r="G98" s="54">
        <f t="shared" si="27"/>
        <v>2</v>
      </c>
      <c r="H98" s="54">
        <f t="shared" si="27"/>
        <v>2</v>
      </c>
      <c r="I98" s="54">
        <f t="shared" si="27"/>
        <v>0</v>
      </c>
      <c r="J98" s="54">
        <f t="shared" si="27"/>
        <v>0</v>
      </c>
      <c r="K98" s="54">
        <f t="shared" si="27"/>
        <v>0</v>
      </c>
      <c r="L98" s="54">
        <f t="shared" si="27"/>
        <v>0</v>
      </c>
      <c r="M98" s="54">
        <f t="shared" si="27"/>
        <v>1</v>
      </c>
      <c r="N98" s="54">
        <f t="shared" si="27"/>
        <v>0</v>
      </c>
      <c r="O98" s="54">
        <f t="shared" si="27"/>
        <v>0</v>
      </c>
      <c r="P98" s="54">
        <f t="shared" si="27"/>
        <v>0</v>
      </c>
      <c r="Q98" s="54">
        <f t="shared" si="27"/>
        <v>0</v>
      </c>
      <c r="R98" s="54">
        <f t="shared" si="27"/>
        <v>0</v>
      </c>
      <c r="S98" s="6">
        <f t="shared" si="26"/>
        <v>5</v>
      </c>
    </row>
    <row r="99" ht="12.75" customHeight="1">
      <c r="A99" s="55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6"/>
    </row>
    <row r="100" ht="12.75" customHeight="1">
      <c r="A100" s="32" t="s">
        <v>36</v>
      </c>
      <c r="B100" s="49" t="s">
        <v>82</v>
      </c>
      <c r="C100" s="50" t="s">
        <v>83</v>
      </c>
      <c r="D100" s="9"/>
      <c r="E100" s="66">
        <v>1.0</v>
      </c>
      <c r="F100" s="66">
        <v>2.0</v>
      </c>
      <c r="G100" s="66">
        <v>0.0</v>
      </c>
      <c r="H100" s="66">
        <v>1.0</v>
      </c>
      <c r="I100" s="66">
        <v>0.0</v>
      </c>
      <c r="J100" s="66">
        <v>1.0</v>
      </c>
      <c r="K100" s="66">
        <v>0.0</v>
      </c>
      <c r="L100" s="66">
        <v>1.0</v>
      </c>
      <c r="M100" s="66">
        <v>1.0</v>
      </c>
      <c r="N100" s="66">
        <v>1.0</v>
      </c>
      <c r="O100" s="66">
        <v>1.0</v>
      </c>
      <c r="P100" s="66">
        <v>0.0</v>
      </c>
      <c r="Q100" s="66">
        <v>2.0</v>
      </c>
      <c r="R100" s="66">
        <v>2.0</v>
      </c>
      <c r="S100" s="6">
        <f t="shared" ref="S100:S107" si="28">SUM(E100:R100)</f>
        <v>13</v>
      </c>
    </row>
    <row r="101" ht="12.75" customHeight="1">
      <c r="A101" s="32" t="s">
        <v>38</v>
      </c>
      <c r="B101" s="51"/>
      <c r="C101" s="52" t="s">
        <v>84</v>
      </c>
      <c r="D101" s="53"/>
      <c r="E101" s="66">
        <v>19.0</v>
      </c>
      <c r="F101" s="66">
        <v>11.0</v>
      </c>
      <c r="G101" s="66">
        <v>1.0</v>
      </c>
      <c r="H101" s="66">
        <v>7.0</v>
      </c>
      <c r="I101" s="66">
        <v>7.0</v>
      </c>
      <c r="J101" s="66">
        <v>10.0</v>
      </c>
      <c r="K101" s="66">
        <v>0.0</v>
      </c>
      <c r="L101" s="66">
        <v>4.0</v>
      </c>
      <c r="M101" s="66">
        <v>3.0</v>
      </c>
      <c r="N101" s="66">
        <v>1.0</v>
      </c>
      <c r="O101" s="66">
        <v>9.0</v>
      </c>
      <c r="P101" s="66">
        <v>4.0</v>
      </c>
      <c r="Q101" s="66">
        <v>18.0</v>
      </c>
      <c r="R101" s="66">
        <v>3.0</v>
      </c>
      <c r="S101" s="6">
        <f t="shared" si="28"/>
        <v>97</v>
      </c>
    </row>
    <row r="102" ht="12.75" customHeight="1">
      <c r="A102" s="18"/>
      <c r="B102" s="51"/>
      <c r="C102" s="52" t="s">
        <v>85</v>
      </c>
      <c r="D102" s="53"/>
      <c r="E102" s="66">
        <v>0.0</v>
      </c>
      <c r="F102" s="66">
        <v>1.0</v>
      </c>
      <c r="G102" s="66">
        <v>0.0</v>
      </c>
      <c r="H102" s="66">
        <v>1.0</v>
      </c>
      <c r="I102" s="66">
        <v>0.0</v>
      </c>
      <c r="J102" s="66">
        <v>0.0</v>
      </c>
      <c r="K102" s="66">
        <v>0.0</v>
      </c>
      <c r="L102" s="66">
        <v>0.0</v>
      </c>
      <c r="M102" s="66">
        <v>0.0</v>
      </c>
      <c r="N102" s="66">
        <v>0.0</v>
      </c>
      <c r="O102" s="66">
        <v>0.0</v>
      </c>
      <c r="P102" s="66">
        <v>0.0</v>
      </c>
      <c r="Q102" s="66">
        <v>0.0</v>
      </c>
      <c r="R102" s="66">
        <v>0.0</v>
      </c>
      <c r="S102" s="6">
        <f t="shared" si="28"/>
        <v>2</v>
      </c>
    </row>
    <row r="103" ht="12.75" customHeight="1">
      <c r="A103" s="18"/>
      <c r="B103" s="51"/>
      <c r="C103" s="52" t="s">
        <v>86</v>
      </c>
      <c r="D103" s="53"/>
      <c r="E103" s="66">
        <v>0.0</v>
      </c>
      <c r="F103" s="66">
        <v>0.0</v>
      </c>
      <c r="G103" s="66">
        <v>0.0</v>
      </c>
      <c r="H103" s="66">
        <v>0.0</v>
      </c>
      <c r="I103" s="66">
        <v>0.0</v>
      </c>
      <c r="J103" s="66">
        <v>0.0</v>
      </c>
      <c r="K103" s="66">
        <v>0.0</v>
      </c>
      <c r="L103" s="66">
        <v>0.0</v>
      </c>
      <c r="M103" s="66">
        <v>0.0</v>
      </c>
      <c r="N103" s="66">
        <v>0.0</v>
      </c>
      <c r="O103" s="66">
        <v>0.0</v>
      </c>
      <c r="P103" s="66">
        <v>0.0</v>
      </c>
      <c r="Q103" s="66">
        <v>0.0</v>
      </c>
      <c r="R103" s="66">
        <v>0.0</v>
      </c>
      <c r="S103" s="6">
        <f t="shared" si="28"/>
        <v>0</v>
      </c>
    </row>
    <row r="104" ht="12.75" customHeight="1">
      <c r="A104" s="18"/>
      <c r="B104" s="51"/>
      <c r="C104" s="52" t="s">
        <v>87</v>
      </c>
      <c r="D104" s="53"/>
      <c r="E104" s="66">
        <v>2.0</v>
      </c>
      <c r="F104" s="66">
        <v>3.0</v>
      </c>
      <c r="G104" s="66">
        <v>0.0</v>
      </c>
      <c r="H104" s="66">
        <v>0.0</v>
      </c>
      <c r="I104" s="66">
        <v>0.0</v>
      </c>
      <c r="J104" s="66">
        <v>0.0</v>
      </c>
      <c r="K104" s="66">
        <v>0.0</v>
      </c>
      <c r="L104" s="66">
        <v>0.0</v>
      </c>
      <c r="M104" s="66">
        <v>0.0</v>
      </c>
      <c r="N104" s="66">
        <v>0.0</v>
      </c>
      <c r="O104" s="66">
        <v>0.0</v>
      </c>
      <c r="P104" s="66">
        <v>0.0</v>
      </c>
      <c r="Q104" s="66">
        <v>0.0</v>
      </c>
      <c r="R104" s="66">
        <v>0.0</v>
      </c>
      <c r="S104" s="6">
        <f t="shared" si="28"/>
        <v>5</v>
      </c>
    </row>
    <row r="105" ht="12.75" customHeight="1">
      <c r="A105" s="18"/>
      <c r="B105" s="51"/>
      <c r="C105" s="52" t="s">
        <v>88</v>
      </c>
      <c r="D105" s="53"/>
      <c r="E105" s="66">
        <v>1.0</v>
      </c>
      <c r="F105" s="66">
        <v>0.0</v>
      </c>
      <c r="G105" s="66">
        <v>0.0</v>
      </c>
      <c r="H105" s="66">
        <v>0.0</v>
      </c>
      <c r="I105" s="66">
        <v>0.0</v>
      </c>
      <c r="J105" s="66">
        <v>0.0</v>
      </c>
      <c r="K105" s="66">
        <v>0.0</v>
      </c>
      <c r="L105" s="66">
        <v>0.0</v>
      </c>
      <c r="M105" s="66">
        <v>0.0</v>
      </c>
      <c r="N105" s="66">
        <v>0.0</v>
      </c>
      <c r="O105" s="66">
        <v>0.0</v>
      </c>
      <c r="P105" s="66">
        <v>0.0</v>
      </c>
      <c r="Q105" s="66">
        <v>0.0</v>
      </c>
      <c r="R105" s="66">
        <v>0.0</v>
      </c>
      <c r="S105" s="6">
        <f t="shared" si="28"/>
        <v>1</v>
      </c>
    </row>
    <row r="106" ht="12.75" customHeight="1">
      <c r="A106" s="18"/>
      <c r="B106" s="51"/>
      <c r="C106" s="52" t="s">
        <v>89</v>
      </c>
      <c r="D106" s="53"/>
      <c r="E106" s="66">
        <v>2.0</v>
      </c>
      <c r="F106" s="66">
        <v>0.0</v>
      </c>
      <c r="G106" s="66">
        <v>0.0</v>
      </c>
      <c r="H106" s="66">
        <v>1.0</v>
      </c>
      <c r="I106" s="66">
        <v>0.0</v>
      </c>
      <c r="J106" s="66">
        <v>0.0</v>
      </c>
      <c r="K106" s="66">
        <v>0.0</v>
      </c>
      <c r="L106" s="66">
        <v>0.0</v>
      </c>
      <c r="M106" s="66">
        <v>0.0</v>
      </c>
      <c r="N106" s="66">
        <v>0.0</v>
      </c>
      <c r="O106" s="66">
        <v>1.0</v>
      </c>
      <c r="P106" s="66">
        <v>0.0</v>
      </c>
      <c r="Q106" s="66">
        <v>0.0</v>
      </c>
      <c r="R106" s="66">
        <v>7.0</v>
      </c>
      <c r="S106" s="6">
        <f t="shared" si="28"/>
        <v>11</v>
      </c>
    </row>
    <row r="107" ht="12.75" customHeight="1">
      <c r="A107" s="13" t="s">
        <v>14</v>
      </c>
      <c r="B107" s="49" t="s">
        <v>45</v>
      </c>
      <c r="C107" s="8"/>
      <c r="D107" s="9"/>
      <c r="E107" s="54">
        <f t="shared" ref="E107:R107" si="29">SUM(E100:E106)</f>
        <v>25</v>
      </c>
      <c r="F107" s="54">
        <f t="shared" si="29"/>
        <v>17</v>
      </c>
      <c r="G107" s="54">
        <f t="shared" si="29"/>
        <v>1</v>
      </c>
      <c r="H107" s="54">
        <f t="shared" si="29"/>
        <v>10</v>
      </c>
      <c r="I107" s="54">
        <f t="shared" si="29"/>
        <v>7</v>
      </c>
      <c r="J107" s="54">
        <f t="shared" si="29"/>
        <v>11</v>
      </c>
      <c r="K107" s="54">
        <f t="shared" si="29"/>
        <v>0</v>
      </c>
      <c r="L107" s="54">
        <f t="shared" si="29"/>
        <v>5</v>
      </c>
      <c r="M107" s="54">
        <f t="shared" si="29"/>
        <v>4</v>
      </c>
      <c r="N107" s="54">
        <f t="shared" si="29"/>
        <v>2</v>
      </c>
      <c r="O107" s="54">
        <f t="shared" si="29"/>
        <v>11</v>
      </c>
      <c r="P107" s="54">
        <f t="shared" si="29"/>
        <v>4</v>
      </c>
      <c r="Q107" s="54">
        <f t="shared" si="29"/>
        <v>20</v>
      </c>
      <c r="R107" s="54">
        <f t="shared" si="29"/>
        <v>12</v>
      </c>
      <c r="S107" s="6">
        <f t="shared" si="28"/>
        <v>129</v>
      </c>
    </row>
    <row r="108" ht="12.75" customHeight="1">
      <c r="A108" s="55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6"/>
    </row>
    <row r="109" ht="12.75" customHeight="1">
      <c r="A109" s="32" t="s">
        <v>36</v>
      </c>
      <c r="B109" s="49" t="s">
        <v>90</v>
      </c>
      <c r="C109" s="50" t="s">
        <v>91</v>
      </c>
      <c r="D109" s="9"/>
      <c r="E109" s="66">
        <v>0.0</v>
      </c>
      <c r="F109" s="66">
        <v>0.0</v>
      </c>
      <c r="G109" s="66">
        <v>1.0</v>
      </c>
      <c r="H109" s="66">
        <v>0.0</v>
      </c>
      <c r="I109" s="66">
        <v>1.0</v>
      </c>
      <c r="J109" s="66">
        <v>0.0</v>
      </c>
      <c r="K109" s="66">
        <v>0.0</v>
      </c>
      <c r="L109" s="66">
        <v>0.0</v>
      </c>
      <c r="M109" s="66">
        <v>0.0</v>
      </c>
      <c r="N109" s="66">
        <v>1.0</v>
      </c>
      <c r="O109" s="66">
        <v>0.0</v>
      </c>
      <c r="P109" s="66">
        <v>0.0</v>
      </c>
      <c r="Q109" s="66">
        <v>0.0</v>
      </c>
      <c r="R109" s="66">
        <v>0.0</v>
      </c>
      <c r="S109" s="6">
        <f t="shared" ref="S109:S111" si="30">SUM(E109:R109)</f>
        <v>3</v>
      </c>
    </row>
    <row r="110" ht="12.75" customHeight="1">
      <c r="A110" s="32" t="s">
        <v>38</v>
      </c>
      <c r="B110" s="49"/>
      <c r="C110" s="52" t="s">
        <v>92</v>
      </c>
      <c r="D110" s="61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6">
        <f t="shared" si="30"/>
        <v>0</v>
      </c>
    </row>
    <row r="111" ht="12.75" customHeight="1">
      <c r="A111" s="13" t="s">
        <v>14</v>
      </c>
      <c r="B111" s="49" t="s">
        <v>45</v>
      </c>
      <c r="C111" s="8"/>
      <c r="D111" s="9"/>
      <c r="E111" s="54">
        <f t="shared" ref="E111:R111" si="31">SUM(E109:E110)</f>
        <v>0</v>
      </c>
      <c r="F111" s="54">
        <f t="shared" si="31"/>
        <v>0</v>
      </c>
      <c r="G111" s="54">
        <f t="shared" si="31"/>
        <v>1</v>
      </c>
      <c r="H111" s="54">
        <f t="shared" si="31"/>
        <v>0</v>
      </c>
      <c r="I111" s="54">
        <f t="shared" si="31"/>
        <v>1</v>
      </c>
      <c r="J111" s="54">
        <f t="shared" si="31"/>
        <v>0</v>
      </c>
      <c r="K111" s="54">
        <f t="shared" si="31"/>
        <v>0</v>
      </c>
      <c r="L111" s="54">
        <f t="shared" si="31"/>
        <v>0</v>
      </c>
      <c r="M111" s="54">
        <f t="shared" si="31"/>
        <v>0</v>
      </c>
      <c r="N111" s="54">
        <f t="shared" si="31"/>
        <v>1</v>
      </c>
      <c r="O111" s="54">
        <f t="shared" si="31"/>
        <v>0</v>
      </c>
      <c r="P111" s="54">
        <f t="shared" si="31"/>
        <v>0</v>
      </c>
      <c r="Q111" s="54">
        <f t="shared" si="31"/>
        <v>0</v>
      </c>
      <c r="R111" s="54">
        <f t="shared" si="31"/>
        <v>0</v>
      </c>
      <c r="S111" s="6">
        <f t="shared" si="30"/>
        <v>3</v>
      </c>
    </row>
    <row r="112" ht="12.75" customHeight="1">
      <c r="A112" s="55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6"/>
    </row>
    <row r="113" ht="12.75" customHeight="1">
      <c r="A113" s="32" t="s">
        <v>36</v>
      </c>
      <c r="B113" s="49" t="s">
        <v>93</v>
      </c>
      <c r="C113" s="50" t="s">
        <v>94</v>
      </c>
      <c r="D113" s="9"/>
      <c r="E113" s="66">
        <v>0.0</v>
      </c>
      <c r="F113" s="66">
        <v>0.0</v>
      </c>
      <c r="G113" s="66">
        <v>1.0</v>
      </c>
      <c r="H113" s="66">
        <v>3.0</v>
      </c>
      <c r="I113" s="66">
        <v>0.0</v>
      </c>
      <c r="J113" s="66">
        <v>0.0</v>
      </c>
      <c r="K113" s="66">
        <v>0.0</v>
      </c>
      <c r="L113" s="66">
        <v>0.0</v>
      </c>
      <c r="M113" s="66">
        <v>0.0</v>
      </c>
      <c r="N113" s="66">
        <v>0.0</v>
      </c>
      <c r="O113" s="66">
        <v>0.0</v>
      </c>
      <c r="P113" s="66">
        <v>0.0</v>
      </c>
      <c r="Q113" s="66">
        <v>0.0</v>
      </c>
      <c r="R113" s="66">
        <v>0.0</v>
      </c>
      <c r="S113" s="6">
        <f t="shared" ref="S113:S120" si="32">SUM(E113:R113)</f>
        <v>4</v>
      </c>
    </row>
    <row r="114" ht="12.75" customHeight="1">
      <c r="A114" s="32" t="s">
        <v>38</v>
      </c>
      <c r="B114" s="51"/>
      <c r="C114" s="52" t="s">
        <v>95</v>
      </c>
      <c r="D114" s="53"/>
      <c r="E114" s="66">
        <v>0.0</v>
      </c>
      <c r="F114" s="66">
        <v>0.0</v>
      </c>
      <c r="G114" s="66">
        <v>0.0</v>
      </c>
      <c r="H114" s="66">
        <v>0.0</v>
      </c>
      <c r="I114" s="66">
        <v>0.0</v>
      </c>
      <c r="J114" s="66">
        <v>0.0</v>
      </c>
      <c r="K114" s="66">
        <v>0.0</v>
      </c>
      <c r="L114" s="66">
        <v>0.0</v>
      </c>
      <c r="M114" s="66">
        <v>0.0</v>
      </c>
      <c r="N114" s="66">
        <v>0.0</v>
      </c>
      <c r="O114" s="66">
        <v>0.0</v>
      </c>
      <c r="P114" s="66">
        <v>0.0</v>
      </c>
      <c r="Q114" s="66">
        <v>0.0</v>
      </c>
      <c r="R114" s="66">
        <v>0.0</v>
      </c>
      <c r="S114" s="6">
        <f t="shared" si="32"/>
        <v>0</v>
      </c>
    </row>
    <row r="115" ht="12.75" customHeight="1">
      <c r="A115" s="18"/>
      <c r="B115" s="51"/>
      <c r="C115" s="52" t="s">
        <v>96</v>
      </c>
      <c r="D115" s="53"/>
      <c r="E115" s="66">
        <v>0.0</v>
      </c>
      <c r="F115" s="66">
        <v>0.0</v>
      </c>
      <c r="G115" s="66">
        <v>0.0</v>
      </c>
      <c r="H115" s="66">
        <v>0.0</v>
      </c>
      <c r="I115" s="66">
        <v>0.0</v>
      </c>
      <c r="J115" s="66">
        <v>0.0</v>
      </c>
      <c r="K115" s="66">
        <v>0.0</v>
      </c>
      <c r="L115" s="66">
        <v>0.0</v>
      </c>
      <c r="M115" s="66">
        <v>0.0</v>
      </c>
      <c r="N115" s="66">
        <v>0.0</v>
      </c>
      <c r="O115" s="66">
        <v>0.0</v>
      </c>
      <c r="P115" s="66">
        <v>1.0</v>
      </c>
      <c r="Q115" s="66">
        <v>0.0</v>
      </c>
      <c r="R115" s="66">
        <v>0.0</v>
      </c>
      <c r="S115" s="6">
        <f t="shared" si="32"/>
        <v>1</v>
      </c>
    </row>
    <row r="116" ht="12.75" customHeight="1">
      <c r="A116" s="18"/>
      <c r="B116" s="51"/>
      <c r="C116" s="52" t="s">
        <v>97</v>
      </c>
      <c r="D116" s="53"/>
      <c r="E116" s="66">
        <v>1.0</v>
      </c>
      <c r="F116" s="66">
        <v>3.0</v>
      </c>
      <c r="G116" s="66">
        <v>4.0</v>
      </c>
      <c r="H116" s="66">
        <v>3.0</v>
      </c>
      <c r="I116" s="66">
        <v>6.0</v>
      </c>
      <c r="J116" s="66">
        <v>0.0</v>
      </c>
      <c r="K116" s="66">
        <v>0.0</v>
      </c>
      <c r="L116" s="66">
        <v>3.0</v>
      </c>
      <c r="M116" s="66">
        <v>5.0</v>
      </c>
      <c r="N116" s="66">
        <v>4.0</v>
      </c>
      <c r="O116" s="66">
        <v>0.0</v>
      </c>
      <c r="P116" s="66">
        <v>0.0</v>
      </c>
      <c r="Q116" s="66">
        <v>3.0</v>
      </c>
      <c r="R116" s="66">
        <v>0.0</v>
      </c>
      <c r="S116" s="6">
        <f t="shared" si="32"/>
        <v>32</v>
      </c>
    </row>
    <row r="117" ht="12.75" customHeight="1">
      <c r="A117" s="18"/>
      <c r="B117" s="51"/>
      <c r="C117" s="52" t="s">
        <v>98</v>
      </c>
      <c r="D117" s="53"/>
      <c r="E117" s="66">
        <v>0.0</v>
      </c>
      <c r="F117" s="66">
        <v>0.0</v>
      </c>
      <c r="G117" s="66">
        <v>0.0</v>
      </c>
      <c r="H117" s="66">
        <v>0.0</v>
      </c>
      <c r="I117" s="66">
        <v>1.0</v>
      </c>
      <c r="J117" s="66">
        <v>0.0</v>
      </c>
      <c r="K117" s="66">
        <v>0.0</v>
      </c>
      <c r="L117" s="66">
        <v>0.0</v>
      </c>
      <c r="M117" s="66">
        <v>0.0</v>
      </c>
      <c r="N117" s="66">
        <v>0.0</v>
      </c>
      <c r="O117" s="66">
        <v>0.0</v>
      </c>
      <c r="P117" s="66">
        <v>0.0</v>
      </c>
      <c r="Q117" s="66">
        <v>0.0</v>
      </c>
      <c r="R117" s="66">
        <v>0.0</v>
      </c>
      <c r="S117" s="6">
        <f t="shared" si="32"/>
        <v>1</v>
      </c>
    </row>
    <row r="118" ht="12.75" customHeight="1">
      <c r="A118" s="18"/>
      <c r="B118" s="51"/>
      <c r="C118" s="52" t="s">
        <v>99</v>
      </c>
      <c r="D118" s="53"/>
      <c r="E118" s="66">
        <v>1.0</v>
      </c>
      <c r="F118" s="66">
        <v>0.0</v>
      </c>
      <c r="G118" s="66">
        <v>0.0</v>
      </c>
      <c r="H118" s="66">
        <v>0.0</v>
      </c>
      <c r="I118" s="66">
        <v>0.0</v>
      </c>
      <c r="J118" s="66">
        <v>0.0</v>
      </c>
      <c r="K118" s="66">
        <v>0.0</v>
      </c>
      <c r="L118" s="66">
        <v>0.0</v>
      </c>
      <c r="M118" s="66">
        <v>0.0</v>
      </c>
      <c r="N118" s="66">
        <v>0.0</v>
      </c>
      <c r="O118" s="66">
        <v>0.0</v>
      </c>
      <c r="P118" s="66">
        <v>0.0</v>
      </c>
      <c r="Q118" s="66">
        <v>0.0</v>
      </c>
      <c r="R118" s="66">
        <v>0.0</v>
      </c>
      <c r="S118" s="6">
        <f t="shared" si="32"/>
        <v>1</v>
      </c>
    </row>
    <row r="119" ht="12.75" customHeight="1">
      <c r="A119" s="18"/>
      <c r="B119" s="51"/>
      <c r="C119" s="52" t="s">
        <v>100</v>
      </c>
      <c r="D119" s="53"/>
      <c r="E119" s="66">
        <v>0.0</v>
      </c>
      <c r="F119" s="66">
        <v>1.0</v>
      </c>
      <c r="G119" s="66">
        <v>0.0</v>
      </c>
      <c r="H119" s="66">
        <v>0.0</v>
      </c>
      <c r="I119" s="66">
        <v>0.0</v>
      </c>
      <c r="J119" s="66">
        <v>0.0</v>
      </c>
      <c r="K119" s="66">
        <v>0.0</v>
      </c>
      <c r="L119" s="66">
        <v>0.0</v>
      </c>
      <c r="M119" s="66">
        <v>0.0</v>
      </c>
      <c r="N119" s="66">
        <v>0.0</v>
      </c>
      <c r="O119" s="66">
        <v>0.0</v>
      </c>
      <c r="P119" s="66">
        <v>0.0</v>
      </c>
      <c r="Q119" s="66">
        <v>0.0</v>
      </c>
      <c r="R119" s="66">
        <v>0.0</v>
      </c>
      <c r="S119" s="6">
        <f t="shared" si="32"/>
        <v>1</v>
      </c>
    </row>
    <row r="120" ht="12.75" customHeight="1">
      <c r="A120" s="13" t="s">
        <v>14</v>
      </c>
      <c r="B120" s="49" t="s">
        <v>45</v>
      </c>
      <c r="C120" s="8"/>
      <c r="D120" s="9"/>
      <c r="E120" s="54">
        <f t="shared" ref="E120:R120" si="33">SUM(E113:E119)</f>
        <v>2</v>
      </c>
      <c r="F120" s="54">
        <f t="shared" si="33"/>
        <v>4</v>
      </c>
      <c r="G120" s="54">
        <f t="shared" si="33"/>
        <v>5</v>
      </c>
      <c r="H120" s="54">
        <f t="shared" si="33"/>
        <v>6</v>
      </c>
      <c r="I120" s="54">
        <f t="shared" si="33"/>
        <v>7</v>
      </c>
      <c r="J120" s="54">
        <f t="shared" si="33"/>
        <v>0</v>
      </c>
      <c r="K120" s="54">
        <f t="shared" si="33"/>
        <v>0</v>
      </c>
      <c r="L120" s="54">
        <f t="shared" si="33"/>
        <v>3</v>
      </c>
      <c r="M120" s="54">
        <f t="shared" si="33"/>
        <v>5</v>
      </c>
      <c r="N120" s="54">
        <f t="shared" si="33"/>
        <v>4</v>
      </c>
      <c r="O120" s="54">
        <f t="shared" si="33"/>
        <v>0</v>
      </c>
      <c r="P120" s="54">
        <f t="shared" si="33"/>
        <v>1</v>
      </c>
      <c r="Q120" s="54">
        <f t="shared" si="33"/>
        <v>3</v>
      </c>
      <c r="R120" s="54">
        <f t="shared" si="33"/>
        <v>0</v>
      </c>
      <c r="S120" s="6">
        <f t="shared" si="32"/>
        <v>40</v>
      </c>
    </row>
    <row r="121" ht="12.75" customHeight="1">
      <c r="A121" s="55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</row>
    <row r="122" ht="12.75" customHeight="1">
      <c r="A122" s="32" t="s">
        <v>36</v>
      </c>
      <c r="B122" s="49" t="s">
        <v>101</v>
      </c>
      <c r="C122" s="50" t="s">
        <v>102</v>
      </c>
      <c r="D122" s="9"/>
      <c r="E122" s="66">
        <v>0.0</v>
      </c>
      <c r="F122" s="66">
        <v>0.0</v>
      </c>
      <c r="G122" s="66">
        <v>1.0</v>
      </c>
      <c r="H122" s="66">
        <v>0.0</v>
      </c>
      <c r="I122" s="66">
        <v>0.0</v>
      </c>
      <c r="J122" s="66">
        <v>0.0</v>
      </c>
      <c r="K122" s="66">
        <v>0.0</v>
      </c>
      <c r="L122" s="66">
        <v>0.0</v>
      </c>
      <c r="M122" s="66">
        <v>1.0</v>
      </c>
      <c r="N122" s="66">
        <v>0.0</v>
      </c>
      <c r="O122" s="66">
        <v>0.0</v>
      </c>
      <c r="P122" s="66">
        <v>0.0</v>
      </c>
      <c r="Q122" s="66">
        <v>0.0</v>
      </c>
      <c r="R122" s="66">
        <v>0.0</v>
      </c>
      <c r="S122" s="6">
        <f t="shared" ref="S122:S124" si="34">SUM(E122:R122)</f>
        <v>2</v>
      </c>
    </row>
    <row r="123" ht="12.75" customHeight="1">
      <c r="A123" s="32" t="s">
        <v>38</v>
      </c>
      <c r="B123" s="51"/>
      <c r="C123" s="52"/>
      <c r="D123" s="5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6">
        <f t="shared" si="34"/>
        <v>0</v>
      </c>
    </row>
    <row r="124" ht="12.75" customHeight="1">
      <c r="A124" s="13" t="s">
        <v>14</v>
      </c>
      <c r="B124" s="49" t="s">
        <v>45</v>
      </c>
      <c r="C124" s="8"/>
      <c r="D124" s="9"/>
      <c r="E124" s="54">
        <f t="shared" ref="E124:R124" si="35">SUM(E122:E123)</f>
        <v>0</v>
      </c>
      <c r="F124" s="54">
        <f t="shared" si="35"/>
        <v>0</v>
      </c>
      <c r="G124" s="54">
        <f t="shared" si="35"/>
        <v>1</v>
      </c>
      <c r="H124" s="54">
        <f t="shared" si="35"/>
        <v>0</v>
      </c>
      <c r="I124" s="54">
        <f t="shared" si="35"/>
        <v>0</v>
      </c>
      <c r="J124" s="54">
        <f t="shared" si="35"/>
        <v>0</v>
      </c>
      <c r="K124" s="54">
        <f t="shared" si="35"/>
        <v>0</v>
      </c>
      <c r="L124" s="54">
        <f t="shared" si="35"/>
        <v>0</v>
      </c>
      <c r="M124" s="54">
        <f t="shared" si="35"/>
        <v>1</v>
      </c>
      <c r="N124" s="54">
        <f t="shared" si="35"/>
        <v>0</v>
      </c>
      <c r="O124" s="54">
        <f t="shared" si="35"/>
        <v>0</v>
      </c>
      <c r="P124" s="54">
        <f t="shared" si="35"/>
        <v>0</v>
      </c>
      <c r="Q124" s="54">
        <f t="shared" si="35"/>
        <v>0</v>
      </c>
      <c r="R124" s="54">
        <f t="shared" si="35"/>
        <v>0</v>
      </c>
      <c r="S124" s="6">
        <f t="shared" si="34"/>
        <v>2</v>
      </c>
    </row>
    <row r="125" ht="12.75" customHeight="1">
      <c r="A125" s="55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6"/>
    </row>
    <row r="126" ht="12.75" customHeight="1">
      <c r="A126" s="32" t="s">
        <v>36</v>
      </c>
      <c r="B126" s="49" t="s">
        <v>103</v>
      </c>
      <c r="C126" s="50" t="s">
        <v>104</v>
      </c>
      <c r="D126" s="9"/>
      <c r="E126" s="66">
        <v>0.0</v>
      </c>
      <c r="F126" s="66">
        <v>0.0</v>
      </c>
      <c r="G126" s="66">
        <v>1.0</v>
      </c>
      <c r="H126" s="66">
        <v>0.0</v>
      </c>
      <c r="I126" s="66">
        <v>1.0</v>
      </c>
      <c r="J126" s="66">
        <v>0.0</v>
      </c>
      <c r="K126" s="66">
        <v>0.0</v>
      </c>
      <c r="L126" s="66">
        <v>0.0</v>
      </c>
      <c r="M126" s="66">
        <v>0.0</v>
      </c>
      <c r="N126" s="66">
        <v>0.0</v>
      </c>
      <c r="O126" s="66">
        <v>0.0</v>
      </c>
      <c r="P126" s="66">
        <v>0.0</v>
      </c>
      <c r="Q126" s="66">
        <v>0.0</v>
      </c>
      <c r="R126" s="66">
        <v>0.0</v>
      </c>
      <c r="S126" s="6">
        <f t="shared" ref="S126:S131" si="36">SUM(E126:R126)</f>
        <v>2</v>
      </c>
    </row>
    <row r="127" ht="12.75" customHeight="1">
      <c r="A127" s="32" t="s">
        <v>38</v>
      </c>
      <c r="B127" s="51"/>
      <c r="C127" s="52" t="s">
        <v>105</v>
      </c>
      <c r="D127" s="53"/>
      <c r="E127" s="66">
        <v>1.0</v>
      </c>
      <c r="F127" s="66">
        <v>1.0</v>
      </c>
      <c r="G127" s="66">
        <v>0.0</v>
      </c>
      <c r="H127" s="66">
        <v>0.0</v>
      </c>
      <c r="I127" s="66">
        <v>0.0</v>
      </c>
      <c r="J127" s="66">
        <v>0.0</v>
      </c>
      <c r="K127" s="66">
        <v>0.0</v>
      </c>
      <c r="L127" s="66">
        <v>0.0</v>
      </c>
      <c r="M127" s="66">
        <v>0.0</v>
      </c>
      <c r="N127" s="66">
        <v>0.0</v>
      </c>
      <c r="O127" s="66">
        <v>0.0</v>
      </c>
      <c r="P127" s="66">
        <v>0.0</v>
      </c>
      <c r="Q127" s="66">
        <v>0.0</v>
      </c>
      <c r="R127" s="66">
        <v>0.0</v>
      </c>
      <c r="S127" s="6">
        <f t="shared" si="36"/>
        <v>2</v>
      </c>
    </row>
    <row r="128" ht="12.75" customHeight="1">
      <c r="A128" s="18"/>
      <c r="B128" s="51"/>
      <c r="C128" s="52" t="s">
        <v>106</v>
      </c>
      <c r="D128" s="53"/>
      <c r="E128" s="66">
        <v>0.0</v>
      </c>
      <c r="F128" s="66">
        <v>0.0</v>
      </c>
      <c r="G128" s="66">
        <v>0.0</v>
      </c>
      <c r="H128" s="66">
        <v>1.0</v>
      </c>
      <c r="I128" s="66">
        <v>0.0</v>
      </c>
      <c r="J128" s="66">
        <v>0.0</v>
      </c>
      <c r="K128" s="66">
        <v>0.0</v>
      </c>
      <c r="L128" s="66">
        <v>0.0</v>
      </c>
      <c r="M128" s="66">
        <v>0.0</v>
      </c>
      <c r="N128" s="66">
        <v>0.0</v>
      </c>
      <c r="O128" s="66">
        <v>0.0</v>
      </c>
      <c r="P128" s="66">
        <v>0.0</v>
      </c>
      <c r="Q128" s="66">
        <v>0.0</v>
      </c>
      <c r="R128" s="66">
        <v>0.0</v>
      </c>
      <c r="S128" s="6">
        <f t="shared" si="36"/>
        <v>1</v>
      </c>
    </row>
    <row r="129" ht="12.75" customHeight="1">
      <c r="A129" s="18"/>
      <c r="B129" s="51"/>
      <c r="C129" s="52" t="s">
        <v>107</v>
      </c>
      <c r="D129" s="53"/>
      <c r="E129" s="66">
        <v>0.0</v>
      </c>
      <c r="F129" s="66">
        <v>0.0</v>
      </c>
      <c r="G129" s="66">
        <v>0.0</v>
      </c>
      <c r="H129" s="66">
        <v>0.0</v>
      </c>
      <c r="I129" s="66">
        <v>0.0</v>
      </c>
      <c r="J129" s="66">
        <v>0.0</v>
      </c>
      <c r="K129" s="66">
        <v>0.0</v>
      </c>
      <c r="L129" s="66">
        <v>0.0</v>
      </c>
      <c r="M129" s="66">
        <v>0.0</v>
      </c>
      <c r="N129" s="66">
        <v>0.0</v>
      </c>
      <c r="O129" s="66">
        <v>0.0</v>
      </c>
      <c r="P129" s="66">
        <v>0.0</v>
      </c>
      <c r="Q129" s="66">
        <v>0.0</v>
      </c>
      <c r="R129" s="66">
        <v>0.0</v>
      </c>
      <c r="S129" s="6">
        <f t="shared" si="36"/>
        <v>0</v>
      </c>
    </row>
    <row r="130" ht="12.75" customHeight="1">
      <c r="A130" s="18"/>
      <c r="B130" s="51"/>
      <c r="C130" s="52" t="s">
        <v>108</v>
      </c>
      <c r="D130" s="53"/>
      <c r="E130" s="66">
        <v>0.0</v>
      </c>
      <c r="F130" s="66">
        <v>0.0</v>
      </c>
      <c r="G130" s="66">
        <v>0.0</v>
      </c>
      <c r="H130" s="66">
        <v>0.0</v>
      </c>
      <c r="I130" s="66">
        <v>0.0</v>
      </c>
      <c r="J130" s="66">
        <v>0.0</v>
      </c>
      <c r="K130" s="66">
        <v>0.0</v>
      </c>
      <c r="L130" s="66">
        <v>0.0</v>
      </c>
      <c r="M130" s="66">
        <v>0.0</v>
      </c>
      <c r="N130" s="66">
        <v>0.0</v>
      </c>
      <c r="O130" s="66">
        <v>0.0</v>
      </c>
      <c r="P130" s="66">
        <v>0.0</v>
      </c>
      <c r="Q130" s="66">
        <v>0.0</v>
      </c>
      <c r="R130" s="66">
        <v>0.0</v>
      </c>
      <c r="S130" s="6">
        <f t="shared" si="36"/>
        <v>0</v>
      </c>
    </row>
    <row r="131" ht="12.75" customHeight="1">
      <c r="A131" s="13" t="s">
        <v>14</v>
      </c>
      <c r="B131" s="49" t="s">
        <v>45</v>
      </c>
      <c r="C131" s="8"/>
      <c r="D131" s="9"/>
      <c r="E131" s="54">
        <f t="shared" ref="E131:R131" si="37">SUM(E126:E130)</f>
        <v>1</v>
      </c>
      <c r="F131" s="54">
        <f t="shared" si="37"/>
        <v>1</v>
      </c>
      <c r="G131" s="54">
        <f t="shared" si="37"/>
        <v>1</v>
      </c>
      <c r="H131" s="54">
        <f t="shared" si="37"/>
        <v>1</v>
      </c>
      <c r="I131" s="54">
        <f t="shared" si="37"/>
        <v>1</v>
      </c>
      <c r="J131" s="54">
        <f t="shared" si="37"/>
        <v>0</v>
      </c>
      <c r="K131" s="54">
        <f t="shared" si="37"/>
        <v>0</v>
      </c>
      <c r="L131" s="54">
        <f t="shared" si="37"/>
        <v>0</v>
      </c>
      <c r="M131" s="54">
        <f t="shared" si="37"/>
        <v>0</v>
      </c>
      <c r="N131" s="54">
        <f t="shared" si="37"/>
        <v>0</v>
      </c>
      <c r="O131" s="54">
        <f t="shared" si="37"/>
        <v>0</v>
      </c>
      <c r="P131" s="54">
        <f t="shared" si="37"/>
        <v>0</v>
      </c>
      <c r="Q131" s="54">
        <f t="shared" si="37"/>
        <v>0</v>
      </c>
      <c r="R131" s="54">
        <f t="shared" si="37"/>
        <v>0</v>
      </c>
      <c r="S131" s="6">
        <f t="shared" si="36"/>
        <v>5</v>
      </c>
    </row>
    <row r="132" ht="12.75" customHeight="1">
      <c r="A132" s="55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6"/>
    </row>
    <row r="133" ht="12.75" customHeight="1">
      <c r="A133" s="32" t="s">
        <v>36</v>
      </c>
      <c r="B133" s="49" t="s">
        <v>109</v>
      </c>
      <c r="C133" s="50" t="s">
        <v>110</v>
      </c>
      <c r="D133" s="9"/>
      <c r="E133" s="66">
        <v>0.0</v>
      </c>
      <c r="F133" s="66">
        <v>0.0</v>
      </c>
      <c r="G133" s="66">
        <v>0.0</v>
      </c>
      <c r="H133" s="66">
        <v>0.0</v>
      </c>
      <c r="I133" s="66">
        <v>0.0</v>
      </c>
      <c r="J133" s="66">
        <v>0.0</v>
      </c>
      <c r="K133" s="66">
        <v>0.0</v>
      </c>
      <c r="L133" s="66">
        <v>0.0</v>
      </c>
      <c r="M133" s="66">
        <v>0.0</v>
      </c>
      <c r="N133" s="66">
        <v>0.0</v>
      </c>
      <c r="O133" s="66">
        <v>0.0</v>
      </c>
      <c r="P133" s="66">
        <v>0.0</v>
      </c>
      <c r="Q133" s="66">
        <v>0.0</v>
      </c>
      <c r="R133" s="66">
        <v>0.0</v>
      </c>
      <c r="S133" s="6">
        <f t="shared" ref="S133:S140" si="38">SUM(E133:R133)</f>
        <v>0</v>
      </c>
    </row>
    <row r="134" ht="12.75" customHeight="1">
      <c r="A134" s="32" t="s">
        <v>38</v>
      </c>
      <c r="B134" s="51"/>
      <c r="C134" s="52" t="s">
        <v>111</v>
      </c>
      <c r="D134" s="53"/>
      <c r="E134" s="66">
        <v>1.0</v>
      </c>
      <c r="F134" s="66">
        <v>0.0</v>
      </c>
      <c r="G134" s="66">
        <v>0.0</v>
      </c>
      <c r="H134" s="66">
        <v>0.0</v>
      </c>
      <c r="I134" s="66">
        <v>0.0</v>
      </c>
      <c r="J134" s="66">
        <v>0.0</v>
      </c>
      <c r="K134" s="66">
        <v>0.0</v>
      </c>
      <c r="L134" s="66">
        <v>0.0</v>
      </c>
      <c r="M134" s="66">
        <v>0.0</v>
      </c>
      <c r="N134" s="66">
        <v>0.0</v>
      </c>
      <c r="O134" s="66">
        <v>0.0</v>
      </c>
      <c r="P134" s="66">
        <v>0.0</v>
      </c>
      <c r="Q134" s="66">
        <v>0.0</v>
      </c>
      <c r="R134" s="66">
        <v>0.0</v>
      </c>
      <c r="S134" s="6">
        <f t="shared" si="38"/>
        <v>1</v>
      </c>
    </row>
    <row r="135" ht="12.75" customHeight="1">
      <c r="A135" s="18"/>
      <c r="B135" s="51"/>
      <c r="C135" s="52" t="s">
        <v>112</v>
      </c>
      <c r="D135" s="53"/>
      <c r="E135" s="66">
        <v>0.0</v>
      </c>
      <c r="F135" s="66">
        <v>0.0</v>
      </c>
      <c r="G135" s="66">
        <v>0.0</v>
      </c>
      <c r="H135" s="66">
        <v>0.0</v>
      </c>
      <c r="I135" s="66">
        <v>0.0</v>
      </c>
      <c r="J135" s="66">
        <v>0.0</v>
      </c>
      <c r="K135" s="66">
        <v>0.0</v>
      </c>
      <c r="L135" s="66">
        <v>0.0</v>
      </c>
      <c r="M135" s="66">
        <v>0.0</v>
      </c>
      <c r="N135" s="66">
        <v>0.0</v>
      </c>
      <c r="O135" s="66">
        <v>0.0</v>
      </c>
      <c r="P135" s="66">
        <v>0.0</v>
      </c>
      <c r="Q135" s="66">
        <v>0.0</v>
      </c>
      <c r="R135" s="66">
        <v>0.0</v>
      </c>
      <c r="S135" s="6">
        <f t="shared" si="38"/>
        <v>0</v>
      </c>
    </row>
    <row r="136" ht="12.75" customHeight="1">
      <c r="A136" s="18"/>
      <c r="B136" s="51"/>
      <c r="C136" s="52" t="s">
        <v>113</v>
      </c>
      <c r="D136" s="53"/>
      <c r="E136" s="66">
        <v>0.0</v>
      </c>
      <c r="F136" s="66">
        <v>0.0</v>
      </c>
      <c r="G136" s="66">
        <v>0.0</v>
      </c>
      <c r="H136" s="66">
        <v>0.0</v>
      </c>
      <c r="I136" s="66">
        <v>0.0</v>
      </c>
      <c r="J136" s="66">
        <v>0.0</v>
      </c>
      <c r="K136" s="66">
        <v>0.0</v>
      </c>
      <c r="L136" s="66">
        <v>0.0</v>
      </c>
      <c r="M136" s="66">
        <v>0.0</v>
      </c>
      <c r="N136" s="66">
        <v>0.0</v>
      </c>
      <c r="O136" s="66">
        <v>0.0</v>
      </c>
      <c r="P136" s="66">
        <v>0.0</v>
      </c>
      <c r="Q136" s="66">
        <v>0.0</v>
      </c>
      <c r="R136" s="66">
        <v>0.0</v>
      </c>
      <c r="S136" s="6">
        <f t="shared" si="38"/>
        <v>0</v>
      </c>
    </row>
    <row r="137" ht="12.75" customHeight="1">
      <c r="A137" s="18"/>
      <c r="B137" s="51"/>
      <c r="C137" s="52" t="s">
        <v>114</v>
      </c>
      <c r="D137" s="53"/>
      <c r="E137" s="66">
        <v>0.0</v>
      </c>
      <c r="F137" s="66">
        <v>0.0</v>
      </c>
      <c r="G137" s="66">
        <v>0.0</v>
      </c>
      <c r="H137" s="66">
        <v>0.0</v>
      </c>
      <c r="I137" s="66">
        <v>0.0</v>
      </c>
      <c r="J137" s="66">
        <v>0.0</v>
      </c>
      <c r="K137" s="66">
        <v>0.0</v>
      </c>
      <c r="L137" s="66">
        <v>0.0</v>
      </c>
      <c r="M137" s="66">
        <v>0.0</v>
      </c>
      <c r="N137" s="66">
        <v>0.0</v>
      </c>
      <c r="O137" s="66">
        <v>0.0</v>
      </c>
      <c r="P137" s="66">
        <v>0.0</v>
      </c>
      <c r="Q137" s="66">
        <v>0.0</v>
      </c>
      <c r="R137" s="66">
        <v>0.0</v>
      </c>
      <c r="S137" s="6">
        <f t="shared" si="38"/>
        <v>0</v>
      </c>
    </row>
    <row r="138" ht="12.75" customHeight="1">
      <c r="A138" s="18"/>
      <c r="B138" s="51"/>
      <c r="C138" s="52" t="s">
        <v>115</v>
      </c>
      <c r="D138" s="53"/>
      <c r="E138" s="66">
        <v>0.0</v>
      </c>
      <c r="F138" s="66">
        <v>0.0</v>
      </c>
      <c r="G138" s="66">
        <v>0.0</v>
      </c>
      <c r="H138" s="66">
        <v>0.0</v>
      </c>
      <c r="I138" s="66">
        <v>0.0</v>
      </c>
      <c r="J138" s="66">
        <v>0.0</v>
      </c>
      <c r="K138" s="66">
        <v>0.0</v>
      </c>
      <c r="L138" s="66">
        <v>0.0</v>
      </c>
      <c r="M138" s="66">
        <v>0.0</v>
      </c>
      <c r="N138" s="66">
        <v>0.0</v>
      </c>
      <c r="O138" s="66">
        <v>0.0</v>
      </c>
      <c r="P138" s="66">
        <v>0.0</v>
      </c>
      <c r="Q138" s="66">
        <v>0.0</v>
      </c>
      <c r="R138" s="66">
        <v>0.0</v>
      </c>
      <c r="S138" s="6">
        <f t="shared" si="38"/>
        <v>0</v>
      </c>
    </row>
    <row r="139" ht="12.75" customHeight="1">
      <c r="A139" s="18"/>
      <c r="B139" s="51"/>
      <c r="C139" s="52" t="s">
        <v>116</v>
      </c>
      <c r="D139" s="53"/>
      <c r="E139" s="66">
        <v>0.0</v>
      </c>
      <c r="F139" s="66">
        <v>0.0</v>
      </c>
      <c r="G139" s="66">
        <v>0.0</v>
      </c>
      <c r="H139" s="66">
        <v>0.0</v>
      </c>
      <c r="I139" s="66">
        <v>0.0</v>
      </c>
      <c r="J139" s="66">
        <v>0.0</v>
      </c>
      <c r="K139" s="66">
        <v>0.0</v>
      </c>
      <c r="L139" s="66">
        <v>0.0</v>
      </c>
      <c r="M139" s="66">
        <v>0.0</v>
      </c>
      <c r="N139" s="66">
        <v>0.0</v>
      </c>
      <c r="O139" s="66">
        <v>0.0</v>
      </c>
      <c r="P139" s="66">
        <v>0.0</v>
      </c>
      <c r="Q139" s="66">
        <v>0.0</v>
      </c>
      <c r="R139" s="66">
        <v>0.0</v>
      </c>
      <c r="S139" s="6">
        <f t="shared" si="38"/>
        <v>0</v>
      </c>
    </row>
    <row r="140" ht="12.75" customHeight="1">
      <c r="A140" s="13" t="s">
        <v>14</v>
      </c>
      <c r="B140" s="49" t="s">
        <v>45</v>
      </c>
      <c r="C140" s="8"/>
      <c r="D140" s="9"/>
      <c r="E140" s="54">
        <f t="shared" ref="E140:R140" si="39">SUM(E133:E139)</f>
        <v>1</v>
      </c>
      <c r="F140" s="54">
        <f t="shared" si="39"/>
        <v>0</v>
      </c>
      <c r="G140" s="54">
        <f t="shared" si="39"/>
        <v>0</v>
      </c>
      <c r="H140" s="54">
        <f t="shared" si="39"/>
        <v>0</v>
      </c>
      <c r="I140" s="54">
        <f t="shared" si="39"/>
        <v>0</v>
      </c>
      <c r="J140" s="54">
        <f t="shared" si="39"/>
        <v>0</v>
      </c>
      <c r="K140" s="54">
        <f t="shared" si="39"/>
        <v>0</v>
      </c>
      <c r="L140" s="54">
        <f t="shared" si="39"/>
        <v>0</v>
      </c>
      <c r="M140" s="54">
        <f t="shared" si="39"/>
        <v>0</v>
      </c>
      <c r="N140" s="54">
        <f t="shared" si="39"/>
        <v>0</v>
      </c>
      <c r="O140" s="54">
        <f t="shared" si="39"/>
        <v>0</v>
      </c>
      <c r="P140" s="54">
        <f t="shared" si="39"/>
        <v>0</v>
      </c>
      <c r="Q140" s="54">
        <f t="shared" si="39"/>
        <v>0</v>
      </c>
      <c r="R140" s="54">
        <f t="shared" si="39"/>
        <v>0</v>
      </c>
      <c r="S140" s="6">
        <f t="shared" si="38"/>
        <v>1</v>
      </c>
    </row>
    <row r="141" ht="12.75" customHeight="1">
      <c r="A141" s="55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6"/>
    </row>
    <row r="142" ht="12.75" customHeight="1">
      <c r="A142" s="32" t="s">
        <v>36</v>
      </c>
      <c r="B142" s="49" t="s">
        <v>117</v>
      </c>
      <c r="C142" s="50" t="s">
        <v>118</v>
      </c>
      <c r="D142" s="9"/>
      <c r="E142" s="66">
        <v>2.0</v>
      </c>
      <c r="F142" s="66">
        <v>0.0</v>
      </c>
      <c r="G142" s="66">
        <v>1.0</v>
      </c>
      <c r="H142" s="66">
        <v>5.0</v>
      </c>
      <c r="I142" s="66">
        <v>1.0</v>
      </c>
      <c r="J142" s="66">
        <v>0.0</v>
      </c>
      <c r="K142" s="66">
        <v>3.0</v>
      </c>
      <c r="L142" s="66">
        <v>4.0</v>
      </c>
      <c r="M142" s="66">
        <v>0.0</v>
      </c>
      <c r="N142" s="66">
        <v>10.0</v>
      </c>
      <c r="O142" s="66">
        <v>1.0</v>
      </c>
      <c r="P142" s="66">
        <v>0.0</v>
      </c>
      <c r="Q142" s="66">
        <v>0.0</v>
      </c>
      <c r="R142" s="66">
        <v>10.0</v>
      </c>
      <c r="S142" s="6">
        <f t="shared" ref="S142:S149" si="40">SUM(E142:R142)</f>
        <v>37</v>
      </c>
    </row>
    <row r="143" ht="12.75" customHeight="1">
      <c r="A143" s="32" t="s">
        <v>38</v>
      </c>
      <c r="B143" s="51"/>
      <c r="C143" s="52" t="s">
        <v>119</v>
      </c>
      <c r="D143" s="53"/>
      <c r="E143" s="66">
        <v>24.0</v>
      </c>
      <c r="F143" s="66">
        <v>8.0</v>
      </c>
      <c r="G143" s="66">
        <v>5.0</v>
      </c>
      <c r="H143" s="66">
        <v>21.0</v>
      </c>
      <c r="I143" s="66">
        <v>14.0</v>
      </c>
      <c r="J143" s="66">
        <v>5.0</v>
      </c>
      <c r="K143" s="66">
        <v>12.0</v>
      </c>
      <c r="L143" s="66">
        <v>15.0</v>
      </c>
      <c r="M143" s="66">
        <v>15.0</v>
      </c>
      <c r="N143" s="66">
        <v>43.0</v>
      </c>
      <c r="O143" s="66">
        <v>18.0</v>
      </c>
      <c r="P143" s="66">
        <v>8.0</v>
      </c>
      <c r="Q143" s="66">
        <v>2.0</v>
      </c>
      <c r="R143" s="66">
        <v>35.0</v>
      </c>
      <c r="S143" s="6">
        <f t="shared" si="40"/>
        <v>225</v>
      </c>
    </row>
    <row r="144" ht="12.75" customHeight="1">
      <c r="A144" s="18"/>
      <c r="B144" s="51"/>
      <c r="C144" s="52" t="s">
        <v>120</v>
      </c>
      <c r="D144" s="53"/>
      <c r="E144" s="66">
        <v>1.0</v>
      </c>
      <c r="F144" s="66">
        <v>6.0</v>
      </c>
      <c r="G144" s="66">
        <v>10.0</v>
      </c>
      <c r="H144" s="66">
        <v>5.0</v>
      </c>
      <c r="I144" s="66">
        <v>2.0</v>
      </c>
      <c r="J144" s="66">
        <v>2.0</v>
      </c>
      <c r="K144" s="66">
        <v>0.0</v>
      </c>
      <c r="L144" s="66">
        <v>1.0</v>
      </c>
      <c r="M144" s="66">
        <v>0.0</v>
      </c>
      <c r="N144" s="66">
        <v>0.0</v>
      </c>
      <c r="O144" s="66">
        <v>1.0</v>
      </c>
      <c r="P144" s="66">
        <v>0.0</v>
      </c>
      <c r="Q144" s="66">
        <v>0.0</v>
      </c>
      <c r="R144" s="66">
        <v>3.0</v>
      </c>
      <c r="S144" s="6">
        <f t="shared" si="40"/>
        <v>31</v>
      </c>
    </row>
    <row r="145" ht="12.75" customHeight="1">
      <c r="A145" s="18"/>
      <c r="B145" s="51"/>
      <c r="C145" s="52" t="s">
        <v>121</v>
      </c>
      <c r="D145" s="53"/>
      <c r="E145" s="66">
        <v>1.0</v>
      </c>
      <c r="F145" s="66">
        <v>0.0</v>
      </c>
      <c r="G145" s="66">
        <v>0.0</v>
      </c>
      <c r="H145" s="66">
        <v>0.0</v>
      </c>
      <c r="I145" s="66">
        <v>0.0</v>
      </c>
      <c r="J145" s="66">
        <v>1.0</v>
      </c>
      <c r="K145" s="66">
        <v>0.0</v>
      </c>
      <c r="L145" s="66">
        <v>0.0</v>
      </c>
      <c r="M145" s="66">
        <v>0.0</v>
      </c>
      <c r="N145" s="66">
        <v>0.0</v>
      </c>
      <c r="O145" s="66">
        <v>0.0</v>
      </c>
      <c r="P145" s="66">
        <v>0.0</v>
      </c>
      <c r="Q145" s="66">
        <v>0.0</v>
      </c>
      <c r="R145" s="66">
        <v>0.0</v>
      </c>
      <c r="S145" s="6">
        <f t="shared" si="40"/>
        <v>2</v>
      </c>
    </row>
    <row r="146" ht="12.75" customHeight="1">
      <c r="A146" s="18"/>
      <c r="B146" s="51"/>
      <c r="C146" s="52" t="s">
        <v>122</v>
      </c>
      <c r="D146" s="53"/>
      <c r="E146" s="66">
        <v>2.0</v>
      </c>
      <c r="F146" s="66">
        <v>0.0</v>
      </c>
      <c r="G146" s="66">
        <v>0.0</v>
      </c>
      <c r="H146" s="66">
        <v>0.0</v>
      </c>
      <c r="I146" s="66">
        <v>1.0</v>
      </c>
      <c r="J146" s="66">
        <v>0.0</v>
      </c>
      <c r="K146" s="66">
        <v>0.0</v>
      </c>
      <c r="L146" s="66">
        <v>0.0</v>
      </c>
      <c r="M146" s="66">
        <v>0.0</v>
      </c>
      <c r="N146" s="66">
        <v>1.0</v>
      </c>
      <c r="O146" s="66">
        <v>0.0</v>
      </c>
      <c r="P146" s="66">
        <v>0.0</v>
      </c>
      <c r="Q146" s="66">
        <v>1.0</v>
      </c>
      <c r="R146" s="66">
        <v>0.0</v>
      </c>
      <c r="S146" s="6">
        <f t="shared" si="40"/>
        <v>5</v>
      </c>
    </row>
    <row r="147" ht="12.75" customHeight="1">
      <c r="A147" s="18"/>
      <c r="B147" s="51"/>
      <c r="C147" s="52" t="s">
        <v>123</v>
      </c>
      <c r="D147" s="53"/>
      <c r="E147" s="66">
        <v>1.0</v>
      </c>
      <c r="F147" s="66">
        <v>0.0</v>
      </c>
      <c r="G147" s="66">
        <v>0.0</v>
      </c>
      <c r="H147" s="66">
        <v>0.0</v>
      </c>
      <c r="I147" s="66">
        <v>0.0</v>
      </c>
      <c r="J147" s="66">
        <v>0.0</v>
      </c>
      <c r="K147" s="66">
        <v>0.0</v>
      </c>
      <c r="L147" s="66">
        <v>0.0</v>
      </c>
      <c r="M147" s="66">
        <v>0.0</v>
      </c>
      <c r="N147" s="66">
        <v>2.0</v>
      </c>
      <c r="O147" s="66">
        <v>0.0</v>
      </c>
      <c r="P147" s="66">
        <v>0.0</v>
      </c>
      <c r="Q147" s="66">
        <v>0.0</v>
      </c>
      <c r="R147" s="66">
        <v>0.0</v>
      </c>
      <c r="S147" s="6">
        <f t="shared" si="40"/>
        <v>3</v>
      </c>
    </row>
    <row r="148" ht="12.75" customHeight="1">
      <c r="A148" s="18"/>
      <c r="B148" s="51"/>
      <c r="C148" s="52" t="s">
        <v>124</v>
      </c>
      <c r="D148" s="53"/>
      <c r="E148" s="66">
        <v>1.0</v>
      </c>
      <c r="F148" s="66">
        <v>0.0</v>
      </c>
      <c r="G148" s="66">
        <v>0.0</v>
      </c>
      <c r="H148" s="66">
        <v>0.0</v>
      </c>
      <c r="I148" s="66">
        <v>0.0</v>
      </c>
      <c r="J148" s="66">
        <v>0.0</v>
      </c>
      <c r="K148" s="66">
        <v>0.0</v>
      </c>
      <c r="L148" s="66">
        <v>0.0</v>
      </c>
      <c r="M148" s="66">
        <v>0.0</v>
      </c>
      <c r="N148" s="66">
        <v>1.0</v>
      </c>
      <c r="O148" s="66">
        <v>0.0</v>
      </c>
      <c r="P148" s="66">
        <v>0.0</v>
      </c>
      <c r="Q148" s="66">
        <v>0.0</v>
      </c>
      <c r="R148" s="66">
        <v>1.0</v>
      </c>
      <c r="S148" s="6">
        <f t="shared" si="40"/>
        <v>3</v>
      </c>
    </row>
    <row r="149" ht="12.75" customHeight="1">
      <c r="A149" s="13" t="s">
        <v>14</v>
      </c>
      <c r="B149" s="49" t="s">
        <v>45</v>
      </c>
      <c r="C149" s="8"/>
      <c r="D149" s="9"/>
      <c r="E149" s="54">
        <f t="shared" ref="E149:R149" si="41">SUM(E142:E148)</f>
        <v>32</v>
      </c>
      <c r="F149" s="54">
        <f t="shared" si="41"/>
        <v>14</v>
      </c>
      <c r="G149" s="54">
        <f t="shared" si="41"/>
        <v>16</v>
      </c>
      <c r="H149" s="54">
        <f t="shared" si="41"/>
        <v>31</v>
      </c>
      <c r="I149" s="54">
        <f t="shared" si="41"/>
        <v>18</v>
      </c>
      <c r="J149" s="54">
        <f t="shared" si="41"/>
        <v>8</v>
      </c>
      <c r="K149" s="54">
        <f t="shared" si="41"/>
        <v>15</v>
      </c>
      <c r="L149" s="54">
        <f t="shared" si="41"/>
        <v>20</v>
      </c>
      <c r="M149" s="54">
        <f t="shared" si="41"/>
        <v>15</v>
      </c>
      <c r="N149" s="54">
        <f t="shared" si="41"/>
        <v>57</v>
      </c>
      <c r="O149" s="54">
        <f t="shared" si="41"/>
        <v>20</v>
      </c>
      <c r="P149" s="54">
        <f t="shared" si="41"/>
        <v>8</v>
      </c>
      <c r="Q149" s="54">
        <f t="shared" si="41"/>
        <v>3</v>
      </c>
      <c r="R149" s="54">
        <f t="shared" si="41"/>
        <v>49</v>
      </c>
      <c r="S149" s="6">
        <f t="shared" si="40"/>
        <v>306</v>
      </c>
    </row>
    <row r="150" ht="12.75" customHeight="1">
      <c r="A150" s="55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6"/>
    </row>
    <row r="151" ht="12.75" customHeight="1">
      <c r="A151" s="32" t="s">
        <v>36</v>
      </c>
      <c r="B151" s="49" t="s">
        <v>125</v>
      </c>
      <c r="C151" s="50" t="s">
        <v>126</v>
      </c>
      <c r="D151" s="9"/>
      <c r="E151" s="66">
        <v>0.0</v>
      </c>
      <c r="F151" s="66">
        <v>0.0</v>
      </c>
      <c r="G151" s="66">
        <v>1.0</v>
      </c>
      <c r="H151" s="66">
        <v>0.0</v>
      </c>
      <c r="I151" s="66">
        <v>0.0</v>
      </c>
      <c r="J151" s="66">
        <v>1.0</v>
      </c>
      <c r="K151" s="66">
        <v>0.0</v>
      </c>
      <c r="L151" s="66">
        <v>0.0</v>
      </c>
      <c r="M151" s="66">
        <v>0.0</v>
      </c>
      <c r="N151" s="66">
        <v>0.0</v>
      </c>
      <c r="O151" s="66">
        <v>1.0</v>
      </c>
      <c r="P151" s="66">
        <v>0.0</v>
      </c>
      <c r="Q151" s="66">
        <v>0.0</v>
      </c>
      <c r="R151" s="66">
        <v>0.0</v>
      </c>
      <c r="S151" s="6">
        <f t="shared" ref="S151:S153" si="42">SUM(E151:R151)</f>
        <v>3</v>
      </c>
    </row>
    <row r="152" ht="12.75" customHeight="1">
      <c r="A152" s="32" t="s">
        <v>38</v>
      </c>
      <c r="B152" s="51"/>
      <c r="C152" s="52" t="s">
        <v>127</v>
      </c>
      <c r="D152" s="53"/>
      <c r="E152" s="66">
        <v>1.0</v>
      </c>
      <c r="F152" s="66">
        <v>2.0</v>
      </c>
      <c r="G152" s="66">
        <v>0.0</v>
      </c>
      <c r="H152" s="66">
        <v>0.0</v>
      </c>
      <c r="I152" s="66">
        <v>0.0</v>
      </c>
      <c r="J152" s="66">
        <v>2.0</v>
      </c>
      <c r="K152" s="66">
        <v>0.0</v>
      </c>
      <c r="L152" s="66">
        <v>0.0</v>
      </c>
      <c r="M152" s="66">
        <v>0.0</v>
      </c>
      <c r="N152" s="66">
        <v>0.0</v>
      </c>
      <c r="O152" s="66">
        <v>0.0</v>
      </c>
      <c r="P152" s="66">
        <v>0.0</v>
      </c>
      <c r="Q152" s="66">
        <v>0.0</v>
      </c>
      <c r="R152" s="66">
        <v>0.0</v>
      </c>
      <c r="S152" s="6">
        <f t="shared" si="42"/>
        <v>5</v>
      </c>
    </row>
    <row r="153" ht="12.75" customHeight="1">
      <c r="A153" s="13" t="s">
        <v>14</v>
      </c>
      <c r="B153" s="49" t="s">
        <v>45</v>
      </c>
      <c r="C153" s="8"/>
      <c r="D153" s="9"/>
      <c r="E153" s="54">
        <f t="shared" ref="E153:R153" si="43">SUM(E151:E152)</f>
        <v>1</v>
      </c>
      <c r="F153" s="54">
        <f t="shared" si="43"/>
        <v>2</v>
      </c>
      <c r="G153" s="54">
        <f t="shared" si="43"/>
        <v>1</v>
      </c>
      <c r="H153" s="54">
        <f t="shared" si="43"/>
        <v>0</v>
      </c>
      <c r="I153" s="54">
        <f t="shared" si="43"/>
        <v>0</v>
      </c>
      <c r="J153" s="54">
        <f t="shared" si="43"/>
        <v>3</v>
      </c>
      <c r="K153" s="54">
        <f t="shared" si="43"/>
        <v>0</v>
      </c>
      <c r="L153" s="54">
        <f t="shared" si="43"/>
        <v>0</v>
      </c>
      <c r="M153" s="54">
        <f t="shared" si="43"/>
        <v>0</v>
      </c>
      <c r="N153" s="54">
        <f t="shared" si="43"/>
        <v>0</v>
      </c>
      <c r="O153" s="54">
        <f t="shared" si="43"/>
        <v>1</v>
      </c>
      <c r="P153" s="54">
        <f t="shared" si="43"/>
        <v>0</v>
      </c>
      <c r="Q153" s="54">
        <f t="shared" si="43"/>
        <v>0</v>
      </c>
      <c r="R153" s="54">
        <f t="shared" si="43"/>
        <v>0</v>
      </c>
      <c r="S153" s="6">
        <f t="shared" si="42"/>
        <v>8</v>
      </c>
    </row>
    <row r="154" ht="12.75" customHeight="1">
      <c r="A154" s="55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6"/>
    </row>
    <row r="155" ht="12.75" customHeight="1">
      <c r="A155" s="32" t="s">
        <v>36</v>
      </c>
      <c r="B155" s="49" t="s">
        <v>128</v>
      </c>
      <c r="C155" s="50" t="s">
        <v>129</v>
      </c>
      <c r="D155" s="9"/>
      <c r="E155" s="66">
        <v>0.0</v>
      </c>
      <c r="F155" s="66">
        <v>0.0</v>
      </c>
      <c r="G155" s="66">
        <v>1.0</v>
      </c>
      <c r="H155" s="66">
        <v>0.0</v>
      </c>
      <c r="I155" s="66">
        <v>0.0</v>
      </c>
      <c r="J155" s="66">
        <v>0.0</v>
      </c>
      <c r="K155" s="66">
        <v>0.0</v>
      </c>
      <c r="L155" s="66">
        <v>0.0</v>
      </c>
      <c r="M155" s="66">
        <v>2.0</v>
      </c>
      <c r="N155" s="66">
        <v>0.0</v>
      </c>
      <c r="O155" s="66">
        <v>0.0</v>
      </c>
      <c r="P155" s="66">
        <v>0.0</v>
      </c>
      <c r="Q155" s="66">
        <v>0.0</v>
      </c>
      <c r="R155" s="66">
        <v>0.0</v>
      </c>
      <c r="S155" s="6">
        <f t="shared" ref="S155:S159" si="44">SUM(E155:R155)</f>
        <v>3</v>
      </c>
    </row>
    <row r="156" ht="12.75" customHeight="1">
      <c r="A156" s="32"/>
      <c r="B156" s="49"/>
      <c r="C156" s="52" t="s">
        <v>130</v>
      </c>
      <c r="D156" s="61"/>
      <c r="E156" s="66">
        <v>0.0</v>
      </c>
      <c r="F156" s="66">
        <v>1.0</v>
      </c>
      <c r="G156" s="66">
        <v>0.0</v>
      </c>
      <c r="H156" s="66">
        <v>0.0</v>
      </c>
      <c r="I156" s="66">
        <v>0.0</v>
      </c>
      <c r="J156" s="66">
        <v>0.0</v>
      </c>
      <c r="K156" s="66">
        <v>0.0</v>
      </c>
      <c r="L156" s="66">
        <v>0.0</v>
      </c>
      <c r="M156" s="66">
        <v>0.0</v>
      </c>
      <c r="N156" s="66">
        <v>0.0</v>
      </c>
      <c r="O156" s="66">
        <v>0.0</v>
      </c>
      <c r="P156" s="66">
        <v>0.0</v>
      </c>
      <c r="Q156" s="66">
        <v>0.0</v>
      </c>
      <c r="R156" s="66">
        <v>0.0</v>
      </c>
      <c r="S156" s="6">
        <f t="shared" si="44"/>
        <v>1</v>
      </c>
    </row>
    <row r="157" ht="12.75" customHeight="1">
      <c r="A157" s="32"/>
      <c r="B157" s="49"/>
      <c r="C157" s="52" t="s">
        <v>131</v>
      </c>
      <c r="D157" s="61"/>
      <c r="E157" s="66">
        <v>0.0</v>
      </c>
      <c r="F157" s="66">
        <v>0.0</v>
      </c>
      <c r="G157" s="66">
        <v>0.0</v>
      </c>
      <c r="H157" s="66">
        <v>1.0</v>
      </c>
      <c r="I157" s="66">
        <v>0.0</v>
      </c>
      <c r="J157" s="66">
        <v>0.0</v>
      </c>
      <c r="K157" s="66">
        <v>0.0</v>
      </c>
      <c r="L157" s="66">
        <v>0.0</v>
      </c>
      <c r="M157" s="66">
        <v>0.0</v>
      </c>
      <c r="N157" s="66">
        <v>0.0</v>
      </c>
      <c r="O157" s="66">
        <v>0.0</v>
      </c>
      <c r="P157" s="66">
        <v>0.0</v>
      </c>
      <c r="Q157" s="66">
        <v>0.0</v>
      </c>
      <c r="R157" s="66">
        <v>0.0</v>
      </c>
      <c r="S157" s="6">
        <f t="shared" si="44"/>
        <v>1</v>
      </c>
    </row>
    <row r="158" ht="12.75" customHeight="1">
      <c r="A158" s="32"/>
      <c r="B158" s="49"/>
      <c r="C158" s="52" t="s">
        <v>132</v>
      </c>
      <c r="D158" s="61"/>
      <c r="E158" s="66">
        <v>0.0</v>
      </c>
      <c r="F158" s="66">
        <v>0.0</v>
      </c>
      <c r="G158" s="66">
        <v>0.0</v>
      </c>
      <c r="H158" s="66">
        <v>1.0</v>
      </c>
      <c r="I158" s="66">
        <v>0.0</v>
      </c>
      <c r="J158" s="66">
        <v>0.0</v>
      </c>
      <c r="K158" s="66">
        <v>0.0</v>
      </c>
      <c r="L158" s="66">
        <v>0.0</v>
      </c>
      <c r="M158" s="66">
        <v>0.0</v>
      </c>
      <c r="N158" s="66">
        <v>0.0</v>
      </c>
      <c r="O158" s="66">
        <v>0.0</v>
      </c>
      <c r="P158" s="66">
        <v>0.0</v>
      </c>
      <c r="Q158" s="66">
        <v>0.0</v>
      </c>
      <c r="R158" s="66">
        <v>0.0</v>
      </c>
      <c r="S158" s="6">
        <f t="shared" si="44"/>
        <v>1</v>
      </c>
    </row>
    <row r="159" ht="12.75" customHeight="1">
      <c r="A159" s="13" t="s">
        <v>14</v>
      </c>
      <c r="B159" s="49" t="s">
        <v>45</v>
      </c>
      <c r="C159" s="8"/>
      <c r="D159" s="9"/>
      <c r="E159" s="54">
        <f t="shared" ref="E159:R159" si="45">SUM(E155:E158)</f>
        <v>0</v>
      </c>
      <c r="F159" s="54">
        <f t="shared" si="45"/>
        <v>1</v>
      </c>
      <c r="G159" s="54">
        <f t="shared" si="45"/>
        <v>1</v>
      </c>
      <c r="H159" s="54">
        <f t="shared" si="45"/>
        <v>2</v>
      </c>
      <c r="I159" s="54">
        <f t="shared" si="45"/>
        <v>0</v>
      </c>
      <c r="J159" s="54">
        <f t="shared" si="45"/>
        <v>0</v>
      </c>
      <c r="K159" s="54">
        <f t="shared" si="45"/>
        <v>0</v>
      </c>
      <c r="L159" s="54">
        <f t="shared" si="45"/>
        <v>0</v>
      </c>
      <c r="M159" s="54">
        <f t="shared" si="45"/>
        <v>2</v>
      </c>
      <c r="N159" s="54">
        <f t="shared" si="45"/>
        <v>0</v>
      </c>
      <c r="O159" s="54">
        <f t="shared" si="45"/>
        <v>0</v>
      </c>
      <c r="P159" s="54">
        <f t="shared" si="45"/>
        <v>0</v>
      </c>
      <c r="Q159" s="54">
        <f t="shared" si="45"/>
        <v>0</v>
      </c>
      <c r="R159" s="54">
        <f t="shared" si="45"/>
        <v>0</v>
      </c>
      <c r="S159" s="6">
        <f t="shared" si="44"/>
        <v>6</v>
      </c>
    </row>
    <row r="160" ht="12.75" customHeight="1">
      <c r="A160" s="55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6"/>
    </row>
    <row r="161" ht="12.75" customHeight="1">
      <c r="A161" s="32" t="s">
        <v>36</v>
      </c>
      <c r="B161" s="49" t="s">
        <v>133</v>
      </c>
      <c r="C161" s="50" t="s">
        <v>134</v>
      </c>
      <c r="D161" s="9"/>
      <c r="E161" s="66">
        <v>2.0</v>
      </c>
      <c r="F161" s="66">
        <v>1.0</v>
      </c>
      <c r="G161" s="66">
        <v>0.0</v>
      </c>
      <c r="H161" s="66">
        <v>2.0</v>
      </c>
      <c r="I161" s="66">
        <v>0.0</v>
      </c>
      <c r="J161" s="66">
        <v>0.0</v>
      </c>
      <c r="K161" s="66">
        <v>0.0</v>
      </c>
      <c r="L161" s="66">
        <v>0.0</v>
      </c>
      <c r="M161" s="66">
        <v>1.0</v>
      </c>
      <c r="N161" s="66">
        <v>0.0</v>
      </c>
      <c r="O161" s="66">
        <v>0.0</v>
      </c>
      <c r="P161" s="66">
        <v>0.0</v>
      </c>
      <c r="Q161" s="66">
        <v>1.0</v>
      </c>
      <c r="R161" s="66">
        <v>0.0</v>
      </c>
      <c r="S161" s="6">
        <f t="shared" ref="S161:S168" si="46">SUM(E161:R161)</f>
        <v>7</v>
      </c>
    </row>
    <row r="162" ht="12.75" customHeight="1">
      <c r="A162" s="32" t="s">
        <v>38</v>
      </c>
      <c r="B162" s="51"/>
      <c r="C162" s="52" t="s">
        <v>135</v>
      </c>
      <c r="D162" s="53"/>
      <c r="E162" s="66">
        <v>4.0</v>
      </c>
      <c r="F162" s="66">
        <v>0.0</v>
      </c>
      <c r="G162" s="66">
        <v>0.0</v>
      </c>
      <c r="H162" s="66">
        <v>0.0</v>
      </c>
      <c r="I162" s="66">
        <v>0.0</v>
      </c>
      <c r="J162" s="66">
        <v>1.0</v>
      </c>
      <c r="K162" s="66">
        <v>0.0</v>
      </c>
      <c r="L162" s="66">
        <v>0.0</v>
      </c>
      <c r="M162" s="66">
        <v>1.0</v>
      </c>
      <c r="N162" s="66">
        <v>0.0</v>
      </c>
      <c r="O162" s="66">
        <v>0.0</v>
      </c>
      <c r="P162" s="66">
        <v>0.0</v>
      </c>
      <c r="Q162" s="66">
        <v>0.0</v>
      </c>
      <c r="R162" s="66">
        <v>4.0</v>
      </c>
      <c r="S162" s="6">
        <f t="shared" si="46"/>
        <v>10</v>
      </c>
    </row>
    <row r="163" ht="12.75" customHeight="1">
      <c r="A163" s="18"/>
      <c r="B163" s="51"/>
      <c r="C163" s="52" t="s">
        <v>136</v>
      </c>
      <c r="D163" s="53"/>
      <c r="E163" s="66">
        <v>16.0</v>
      </c>
      <c r="F163" s="66">
        <v>0.0</v>
      </c>
      <c r="G163" s="66">
        <v>0.0</v>
      </c>
      <c r="H163" s="66">
        <v>0.0</v>
      </c>
      <c r="I163" s="66">
        <v>0.0</v>
      </c>
      <c r="J163" s="66">
        <v>0.0</v>
      </c>
      <c r="K163" s="66">
        <v>0.0</v>
      </c>
      <c r="L163" s="66">
        <v>0.0</v>
      </c>
      <c r="M163" s="66">
        <v>0.0</v>
      </c>
      <c r="N163" s="66">
        <v>0.0</v>
      </c>
      <c r="O163" s="66">
        <v>0.0</v>
      </c>
      <c r="P163" s="66">
        <v>0.0</v>
      </c>
      <c r="Q163" s="66">
        <v>1.0</v>
      </c>
      <c r="R163" s="66">
        <v>0.0</v>
      </c>
      <c r="S163" s="6">
        <f t="shared" si="46"/>
        <v>17</v>
      </c>
    </row>
    <row r="164" ht="12.75" customHeight="1">
      <c r="A164" s="18"/>
      <c r="B164" s="51"/>
      <c r="C164" s="52" t="s">
        <v>137</v>
      </c>
      <c r="D164" s="53"/>
      <c r="E164" s="66">
        <v>0.0</v>
      </c>
      <c r="F164" s="66">
        <v>1.0</v>
      </c>
      <c r="G164" s="66">
        <v>0.0</v>
      </c>
      <c r="H164" s="66">
        <v>0.0</v>
      </c>
      <c r="I164" s="66">
        <v>0.0</v>
      </c>
      <c r="J164" s="66">
        <v>0.0</v>
      </c>
      <c r="K164" s="66">
        <v>0.0</v>
      </c>
      <c r="L164" s="66">
        <v>0.0</v>
      </c>
      <c r="M164" s="66">
        <v>0.0</v>
      </c>
      <c r="N164" s="66">
        <v>0.0</v>
      </c>
      <c r="O164" s="66">
        <v>0.0</v>
      </c>
      <c r="P164" s="66">
        <v>0.0</v>
      </c>
      <c r="Q164" s="66">
        <v>0.0</v>
      </c>
      <c r="R164" s="66">
        <v>0.0</v>
      </c>
      <c r="S164" s="6">
        <f t="shared" si="46"/>
        <v>1</v>
      </c>
    </row>
    <row r="165" ht="12.75" customHeight="1">
      <c r="A165" s="18"/>
      <c r="B165" s="51"/>
      <c r="C165" s="52" t="s">
        <v>138</v>
      </c>
      <c r="D165" s="53"/>
      <c r="E165" s="66">
        <v>0.0</v>
      </c>
      <c r="F165" s="66">
        <v>0.0</v>
      </c>
      <c r="G165" s="66">
        <v>0.0</v>
      </c>
      <c r="H165" s="66">
        <v>0.0</v>
      </c>
      <c r="I165" s="66">
        <v>0.0</v>
      </c>
      <c r="J165" s="66">
        <v>0.0</v>
      </c>
      <c r="K165" s="66">
        <v>0.0</v>
      </c>
      <c r="L165" s="66">
        <v>0.0</v>
      </c>
      <c r="M165" s="66">
        <v>0.0</v>
      </c>
      <c r="N165" s="66">
        <v>0.0</v>
      </c>
      <c r="O165" s="66">
        <v>0.0</v>
      </c>
      <c r="P165" s="66">
        <v>0.0</v>
      </c>
      <c r="Q165" s="66">
        <v>0.0</v>
      </c>
      <c r="R165" s="66">
        <v>0.0</v>
      </c>
      <c r="S165" s="6">
        <f t="shared" si="46"/>
        <v>0</v>
      </c>
    </row>
    <row r="166" ht="12.75" customHeight="1">
      <c r="A166" s="18"/>
      <c r="B166" s="51"/>
      <c r="C166" s="52" t="s">
        <v>139</v>
      </c>
      <c r="D166" s="53"/>
      <c r="E166" s="66">
        <v>0.0</v>
      </c>
      <c r="F166" s="66">
        <v>0.0</v>
      </c>
      <c r="G166" s="66">
        <v>0.0</v>
      </c>
      <c r="H166" s="66">
        <v>1.0</v>
      </c>
      <c r="I166" s="66">
        <v>0.0</v>
      </c>
      <c r="J166" s="66">
        <v>0.0</v>
      </c>
      <c r="K166" s="66">
        <v>0.0</v>
      </c>
      <c r="L166" s="66">
        <v>0.0</v>
      </c>
      <c r="M166" s="66">
        <v>0.0</v>
      </c>
      <c r="N166" s="66">
        <v>0.0</v>
      </c>
      <c r="O166" s="66">
        <v>0.0</v>
      </c>
      <c r="P166" s="66">
        <v>0.0</v>
      </c>
      <c r="Q166" s="66">
        <v>0.0</v>
      </c>
      <c r="R166" s="66">
        <v>0.0</v>
      </c>
      <c r="S166" s="6">
        <f t="shared" si="46"/>
        <v>1</v>
      </c>
    </row>
    <row r="167" ht="12.75" customHeight="1">
      <c r="A167" s="18"/>
      <c r="B167" s="51"/>
      <c r="C167" s="52" t="s">
        <v>140</v>
      </c>
      <c r="D167" s="53"/>
      <c r="E167" s="66">
        <v>1.0</v>
      </c>
      <c r="F167" s="66">
        <v>0.0</v>
      </c>
      <c r="G167" s="66">
        <v>0.0</v>
      </c>
      <c r="H167" s="66">
        <v>1.0</v>
      </c>
      <c r="I167" s="66">
        <v>0.0</v>
      </c>
      <c r="J167" s="66">
        <v>0.0</v>
      </c>
      <c r="K167" s="66">
        <v>0.0</v>
      </c>
      <c r="L167" s="66">
        <v>0.0</v>
      </c>
      <c r="M167" s="66">
        <v>0.0</v>
      </c>
      <c r="N167" s="66">
        <v>0.0</v>
      </c>
      <c r="O167" s="66">
        <v>0.0</v>
      </c>
      <c r="P167" s="66">
        <v>0.0</v>
      </c>
      <c r="Q167" s="66">
        <v>0.0</v>
      </c>
      <c r="R167" s="66">
        <v>0.0</v>
      </c>
      <c r="S167" s="6">
        <f t="shared" si="46"/>
        <v>2</v>
      </c>
    </row>
    <row r="168" ht="12.75" customHeight="1">
      <c r="A168" s="13" t="s">
        <v>14</v>
      </c>
      <c r="B168" s="49" t="s">
        <v>45</v>
      </c>
      <c r="C168" s="8"/>
      <c r="D168" s="9"/>
      <c r="E168" s="54">
        <f t="shared" ref="E168:R168" si="47">SUM(E161:E167)</f>
        <v>23</v>
      </c>
      <c r="F168" s="54">
        <f t="shared" si="47"/>
        <v>2</v>
      </c>
      <c r="G168" s="54">
        <f t="shared" si="47"/>
        <v>0</v>
      </c>
      <c r="H168" s="54">
        <f t="shared" si="47"/>
        <v>4</v>
      </c>
      <c r="I168" s="54">
        <f t="shared" si="47"/>
        <v>0</v>
      </c>
      <c r="J168" s="54">
        <f t="shared" si="47"/>
        <v>1</v>
      </c>
      <c r="K168" s="54">
        <f t="shared" si="47"/>
        <v>0</v>
      </c>
      <c r="L168" s="54">
        <f t="shared" si="47"/>
        <v>0</v>
      </c>
      <c r="M168" s="54">
        <f t="shared" si="47"/>
        <v>2</v>
      </c>
      <c r="N168" s="54">
        <f t="shared" si="47"/>
        <v>0</v>
      </c>
      <c r="O168" s="54">
        <f t="shared" si="47"/>
        <v>0</v>
      </c>
      <c r="P168" s="54">
        <f t="shared" si="47"/>
        <v>0</v>
      </c>
      <c r="Q168" s="54">
        <f t="shared" si="47"/>
        <v>2</v>
      </c>
      <c r="R168" s="54">
        <f t="shared" si="47"/>
        <v>4</v>
      </c>
      <c r="S168" s="6">
        <f t="shared" si="46"/>
        <v>38</v>
      </c>
    </row>
    <row r="169" ht="12.75" customHeight="1">
      <c r="A169" s="55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6"/>
    </row>
    <row r="170" ht="12.75" customHeight="1">
      <c r="A170" s="32" t="s">
        <v>36</v>
      </c>
      <c r="B170" s="49" t="s">
        <v>141</v>
      </c>
      <c r="C170" s="50" t="s">
        <v>142</v>
      </c>
      <c r="D170" s="9"/>
      <c r="E170" s="66">
        <v>0.0</v>
      </c>
      <c r="F170" s="66">
        <v>0.0</v>
      </c>
      <c r="G170" s="66">
        <v>0.0</v>
      </c>
      <c r="H170" s="66">
        <v>0.0</v>
      </c>
      <c r="I170" s="66">
        <v>0.0</v>
      </c>
      <c r="J170" s="66">
        <v>0.0</v>
      </c>
      <c r="K170" s="66">
        <v>0.0</v>
      </c>
      <c r="L170" s="13"/>
      <c r="M170" s="66">
        <v>0.0</v>
      </c>
      <c r="N170" s="66">
        <v>0.0</v>
      </c>
      <c r="O170" s="66">
        <v>0.0</v>
      </c>
      <c r="P170" s="66">
        <v>0.0</v>
      </c>
      <c r="Q170" s="66">
        <v>0.0</v>
      </c>
      <c r="R170" s="66">
        <v>0.0</v>
      </c>
      <c r="S170" s="6">
        <f t="shared" ref="S170:S172" si="48">SUM(E170:R170)</f>
        <v>0</v>
      </c>
    </row>
    <row r="171" ht="12.75" customHeight="1">
      <c r="A171" s="32" t="s">
        <v>38</v>
      </c>
      <c r="B171" s="51"/>
      <c r="C171" s="52" t="s">
        <v>143</v>
      </c>
      <c r="D171" s="53"/>
      <c r="E171" s="66">
        <v>0.0</v>
      </c>
      <c r="F171" s="66">
        <v>0.0</v>
      </c>
      <c r="G171" s="66">
        <v>0.0</v>
      </c>
      <c r="H171" s="66">
        <v>0.0</v>
      </c>
      <c r="I171" s="66">
        <v>2.0</v>
      </c>
      <c r="J171" s="66">
        <v>0.0</v>
      </c>
      <c r="K171" s="66">
        <v>0.0</v>
      </c>
      <c r="L171" s="66">
        <v>0.0</v>
      </c>
      <c r="M171" s="66">
        <v>0.0</v>
      </c>
      <c r="N171" s="66">
        <v>0.0</v>
      </c>
      <c r="O171" s="66">
        <v>0.0</v>
      </c>
      <c r="P171" s="66">
        <v>0.0</v>
      </c>
      <c r="Q171" s="66">
        <v>0.0</v>
      </c>
      <c r="R171" s="66">
        <v>0.0</v>
      </c>
      <c r="S171" s="6">
        <f t="shared" si="48"/>
        <v>2</v>
      </c>
    </row>
    <row r="172" ht="12.75" customHeight="1">
      <c r="A172" s="13" t="s">
        <v>14</v>
      </c>
      <c r="B172" s="49" t="s">
        <v>45</v>
      </c>
      <c r="C172" s="8"/>
      <c r="D172" s="9"/>
      <c r="E172" s="54">
        <f t="shared" ref="E172:R172" si="49">SUM(E170:E171)</f>
        <v>0</v>
      </c>
      <c r="F172" s="54">
        <f t="shared" si="49"/>
        <v>0</v>
      </c>
      <c r="G172" s="54">
        <f t="shared" si="49"/>
        <v>0</v>
      </c>
      <c r="H172" s="54">
        <f t="shared" si="49"/>
        <v>0</v>
      </c>
      <c r="I172" s="54">
        <f t="shared" si="49"/>
        <v>2</v>
      </c>
      <c r="J172" s="54">
        <f t="shared" si="49"/>
        <v>0</v>
      </c>
      <c r="K172" s="54">
        <f t="shared" si="49"/>
        <v>0</v>
      </c>
      <c r="L172" s="54">
        <f t="shared" si="49"/>
        <v>0</v>
      </c>
      <c r="M172" s="54">
        <f t="shared" si="49"/>
        <v>0</v>
      </c>
      <c r="N172" s="54">
        <f t="shared" si="49"/>
        <v>0</v>
      </c>
      <c r="O172" s="54">
        <f t="shared" si="49"/>
        <v>0</v>
      </c>
      <c r="P172" s="54">
        <f t="shared" si="49"/>
        <v>0</v>
      </c>
      <c r="Q172" s="54">
        <f t="shared" si="49"/>
        <v>0</v>
      </c>
      <c r="R172" s="54">
        <f t="shared" si="49"/>
        <v>0</v>
      </c>
      <c r="S172" s="6">
        <f t="shared" si="48"/>
        <v>2</v>
      </c>
    </row>
    <row r="173" ht="12.75" customHeight="1">
      <c r="A173" s="47"/>
      <c r="B173" s="46"/>
      <c r="C173" s="46"/>
      <c r="D173" s="27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6"/>
    </row>
    <row r="174" ht="12.75" customHeight="1">
      <c r="A174" s="44" t="s">
        <v>144</v>
      </c>
      <c r="B174" s="7" t="s">
        <v>145</v>
      </c>
      <c r="C174" s="8"/>
      <c r="D174" s="9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6"/>
    </row>
    <row r="175" ht="12.75" customHeight="1">
      <c r="A175" s="44"/>
      <c r="B175" s="62" t="s">
        <v>146</v>
      </c>
      <c r="C175" s="63" t="s">
        <v>147</v>
      </c>
      <c r="D175" s="9"/>
      <c r="E175" s="13">
        <f t="shared" ref="E175:R175" si="50">E52+E61+E70+E79+E88+E92+E98+E107+E111+E120+E124+E131+E140+E149+E153+E159+E168+E172</f>
        <v>237</v>
      </c>
      <c r="F175" s="13">
        <f t="shared" si="50"/>
        <v>192</v>
      </c>
      <c r="G175" s="13">
        <f t="shared" si="50"/>
        <v>196</v>
      </c>
      <c r="H175" s="13">
        <f t="shared" si="50"/>
        <v>188</v>
      </c>
      <c r="I175" s="13">
        <f t="shared" si="50"/>
        <v>163</v>
      </c>
      <c r="J175" s="13">
        <f t="shared" si="50"/>
        <v>181</v>
      </c>
      <c r="K175" s="13">
        <f t="shared" si="50"/>
        <v>197</v>
      </c>
      <c r="L175" s="13">
        <f t="shared" si="50"/>
        <v>164</v>
      </c>
      <c r="M175" s="13">
        <f t="shared" si="50"/>
        <v>204</v>
      </c>
      <c r="N175" s="13">
        <f t="shared" si="50"/>
        <v>183</v>
      </c>
      <c r="O175" s="13">
        <f t="shared" si="50"/>
        <v>163</v>
      </c>
      <c r="P175" s="13">
        <f t="shared" si="50"/>
        <v>135</v>
      </c>
      <c r="Q175" s="13">
        <f t="shared" si="50"/>
        <v>143</v>
      </c>
      <c r="R175" s="13">
        <f t="shared" si="50"/>
        <v>193</v>
      </c>
      <c r="S175" s="6">
        <f t="shared" ref="S175:S177" si="51">SUM(E175:R175)</f>
        <v>2539</v>
      </c>
    </row>
    <row r="176" ht="12.75" customHeight="1">
      <c r="A176" s="37"/>
      <c r="B176" s="62" t="s">
        <v>148</v>
      </c>
      <c r="C176" s="63" t="s">
        <v>149</v>
      </c>
      <c r="D176" s="9"/>
      <c r="E176" s="66">
        <v>11.0</v>
      </c>
      <c r="F176" s="66">
        <v>5.0</v>
      </c>
      <c r="G176" s="66">
        <v>19.0</v>
      </c>
      <c r="H176" s="66">
        <v>19.0</v>
      </c>
      <c r="I176" s="66">
        <v>21.0</v>
      </c>
      <c r="J176" s="66">
        <v>23.0</v>
      </c>
      <c r="K176" s="66">
        <v>14.0</v>
      </c>
      <c r="L176" s="66">
        <v>7.0</v>
      </c>
      <c r="M176" s="66">
        <v>18.0</v>
      </c>
      <c r="N176" s="66">
        <v>25.0</v>
      </c>
      <c r="O176" s="66">
        <v>8.0</v>
      </c>
      <c r="P176" s="66">
        <v>7.0</v>
      </c>
      <c r="Q176" s="66">
        <v>10.0</v>
      </c>
      <c r="R176" s="66">
        <v>6.0</v>
      </c>
      <c r="S176" s="6">
        <f t="shared" si="51"/>
        <v>193</v>
      </c>
    </row>
    <row r="177" ht="12.75" customHeight="1">
      <c r="A177" s="42"/>
      <c r="B177" s="62" t="s">
        <v>150</v>
      </c>
      <c r="C177" s="63" t="s">
        <v>151</v>
      </c>
      <c r="D177" s="9"/>
      <c r="E177" s="28">
        <f t="shared" ref="E177:R177" si="52">SUM(E175:E176)</f>
        <v>248</v>
      </c>
      <c r="F177" s="28">
        <f t="shared" si="52"/>
        <v>197</v>
      </c>
      <c r="G177" s="28">
        <f t="shared" si="52"/>
        <v>215</v>
      </c>
      <c r="H177" s="28">
        <f t="shared" si="52"/>
        <v>207</v>
      </c>
      <c r="I177" s="28">
        <f t="shared" si="52"/>
        <v>184</v>
      </c>
      <c r="J177" s="28">
        <f t="shared" si="52"/>
        <v>204</v>
      </c>
      <c r="K177" s="28">
        <f t="shared" si="52"/>
        <v>211</v>
      </c>
      <c r="L177" s="28">
        <f t="shared" si="52"/>
        <v>171</v>
      </c>
      <c r="M177" s="28">
        <f t="shared" si="52"/>
        <v>222</v>
      </c>
      <c r="N177" s="28">
        <f t="shared" si="52"/>
        <v>208</v>
      </c>
      <c r="O177" s="28">
        <f t="shared" si="52"/>
        <v>171</v>
      </c>
      <c r="P177" s="28">
        <f t="shared" si="52"/>
        <v>142</v>
      </c>
      <c r="Q177" s="28">
        <f t="shared" si="52"/>
        <v>153</v>
      </c>
      <c r="R177" s="28">
        <f t="shared" si="52"/>
        <v>199</v>
      </c>
      <c r="S177" s="6">
        <f t="shared" si="51"/>
        <v>2732</v>
      </c>
    </row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1">
    <mergeCell ref="B39:C41"/>
    <mergeCell ref="A42:D42"/>
    <mergeCell ref="B38:D38"/>
    <mergeCell ref="C28:C30"/>
    <mergeCell ref="A31:D31"/>
    <mergeCell ref="B32:D32"/>
    <mergeCell ref="B33:D33"/>
    <mergeCell ref="B34:D34"/>
    <mergeCell ref="A37:D37"/>
    <mergeCell ref="C63:D63"/>
    <mergeCell ref="B70:D70"/>
    <mergeCell ref="C81:D81"/>
    <mergeCell ref="B79:D79"/>
    <mergeCell ref="B35:D35"/>
    <mergeCell ref="B36:D36"/>
    <mergeCell ref="B88:D88"/>
    <mergeCell ref="B52:D52"/>
    <mergeCell ref="C54:D54"/>
    <mergeCell ref="B61:D61"/>
    <mergeCell ref="C72:D72"/>
    <mergeCell ref="A44:D44"/>
    <mergeCell ref="B172:D172"/>
    <mergeCell ref="A173:D173"/>
    <mergeCell ref="B174:D174"/>
    <mergeCell ref="C175:D175"/>
    <mergeCell ref="C176:D176"/>
    <mergeCell ref="C177:D177"/>
    <mergeCell ref="B168:D168"/>
    <mergeCell ref="C126:D126"/>
    <mergeCell ref="B131:D131"/>
    <mergeCell ref="C109:D109"/>
    <mergeCell ref="B111:D111"/>
    <mergeCell ref="C113:D113"/>
    <mergeCell ref="B120:D120"/>
    <mergeCell ref="C122:D122"/>
    <mergeCell ref="B98:D98"/>
    <mergeCell ref="C151:D151"/>
    <mergeCell ref="B149:D149"/>
    <mergeCell ref="B12:D12"/>
    <mergeCell ref="A17:D17"/>
    <mergeCell ref="C133:D133"/>
    <mergeCell ref="C90:D90"/>
    <mergeCell ref="C91:D91"/>
    <mergeCell ref="C94:D94"/>
    <mergeCell ref="C100:D100"/>
    <mergeCell ref="B140:D140"/>
    <mergeCell ref="S12:S13"/>
    <mergeCell ref="B13:D13"/>
    <mergeCell ref="B14:C16"/>
    <mergeCell ref="B18:D18"/>
    <mergeCell ref="C45:D45"/>
    <mergeCell ref="E12:R12"/>
    <mergeCell ref="C170:D170"/>
    <mergeCell ref="B153:D153"/>
    <mergeCell ref="C155:D155"/>
    <mergeCell ref="B159:D159"/>
    <mergeCell ref="C161:D161"/>
    <mergeCell ref="B124:D124"/>
    <mergeCell ref="C142:D142"/>
    <mergeCell ref="B19:B21"/>
    <mergeCell ref="C19:C21"/>
    <mergeCell ref="B22:B24"/>
    <mergeCell ref="C22:C24"/>
    <mergeCell ref="B25:B27"/>
    <mergeCell ref="C25:C27"/>
    <mergeCell ref="B28:B30"/>
    <mergeCell ref="E37:I37"/>
    <mergeCell ref="E42:I42"/>
    <mergeCell ref="B43:D43"/>
    <mergeCell ref="B92:D92"/>
    <mergeCell ref="B107:D107"/>
  </mergeCells>
  <conditionalFormatting sqref="E30:R30">
    <cfRule type="expression" dxfId="0" priority="1">
      <formula>E30&lt;&gt;E62</formula>
    </cfRule>
  </conditionalFormatting>
  <conditionalFormatting sqref="E14:R15">
    <cfRule type="containsBlanks" dxfId="4" priority="2">
      <formula>LEN(TRIM(E14))=0</formula>
    </cfRule>
  </conditionalFormatting>
  <conditionalFormatting sqref="E19:R20">
    <cfRule type="containsBlanks" dxfId="4" priority="3">
      <formula>LEN(TRIM(E19))=0</formula>
    </cfRule>
  </conditionalFormatting>
  <conditionalFormatting sqref="E22:R23 E25:R26 E33:R33 E35:R35 E39:R40">
    <cfRule type="containsBlanks" dxfId="4" priority="4">
      <formula>LEN(TRIM(E22))=0</formula>
    </cfRule>
  </conditionalFormatting>
  <conditionalFormatting sqref="E30:R30">
    <cfRule type="expression" dxfId="0" priority="5">
      <formula>E30&lt;&gt;E34</formula>
    </cfRule>
  </conditionalFormatting>
  <conditionalFormatting sqref="E34:R34">
    <cfRule type="expression" dxfId="2" priority="6">
      <formula>E30&lt;&gt;E34</formula>
    </cfRule>
  </conditionalFormatting>
  <conditionalFormatting sqref="E34:R34">
    <cfRule type="expression" dxfId="5" priority="7">
      <formula>E30=E34</formula>
    </cfRule>
  </conditionalFormatting>
  <conditionalFormatting sqref="E34:R34">
    <cfRule type="expression" dxfId="0" priority="8">
      <formula>E34&lt;&gt;E30</formula>
    </cfRule>
  </conditionalFormatting>
  <conditionalFormatting sqref="E177:R177">
    <cfRule type="expression" dxfId="0" priority="9">
      <formula>E177&lt;&gt;E30</formula>
    </cfRule>
  </conditionalFormatting>
  <conditionalFormatting sqref="E177:R177">
    <cfRule type="expression" dxfId="0" priority="10">
      <formula>E177&lt;&gt;E34</formula>
    </cfRule>
  </conditionalFormatting>
  <conditionalFormatting sqref="E45:R51">
    <cfRule type="containsBlanks" dxfId="4" priority="11">
      <formula>LEN(TRIM(E45))=0</formula>
    </cfRule>
  </conditionalFormatting>
  <conditionalFormatting sqref="E54:R60">
    <cfRule type="containsBlanks" dxfId="4" priority="12">
      <formula>LEN(TRIM(E54))=0</formula>
    </cfRule>
  </conditionalFormatting>
  <conditionalFormatting sqref="E63:R69">
    <cfRule type="containsBlanks" dxfId="4" priority="13">
      <formula>LEN(TRIM(E63))=0</formula>
    </cfRule>
  </conditionalFormatting>
  <conditionalFormatting sqref="E72:R78">
    <cfRule type="containsBlanks" dxfId="4" priority="14">
      <formula>LEN(TRIM(E72))=0</formula>
    </cfRule>
  </conditionalFormatting>
  <conditionalFormatting sqref="E81:R87">
    <cfRule type="containsBlanks" dxfId="4" priority="15">
      <formula>LEN(TRIM(E81))=0</formula>
    </cfRule>
  </conditionalFormatting>
  <conditionalFormatting sqref="E100:R106">
    <cfRule type="containsBlanks" dxfId="4" priority="16">
      <formula>LEN(TRIM(E100))=0</formula>
    </cfRule>
  </conditionalFormatting>
  <conditionalFormatting sqref="E90:R91">
    <cfRule type="containsBlanks" dxfId="4" priority="17">
      <formula>LEN(TRIM(E90))=0</formula>
    </cfRule>
  </conditionalFormatting>
  <conditionalFormatting sqref="E94:R95">
    <cfRule type="containsBlanks" dxfId="4" priority="18">
      <formula>LEN(TRIM(E94))=0</formula>
    </cfRule>
  </conditionalFormatting>
  <conditionalFormatting sqref="E96:R97">
    <cfRule type="containsBlanks" dxfId="4" priority="19">
      <formula>LEN(TRIM(E96))=0</formula>
    </cfRule>
  </conditionalFormatting>
  <conditionalFormatting sqref="E109:R110">
    <cfRule type="containsBlanks" dxfId="4" priority="20">
      <formula>LEN(TRIM(E109))=0</formula>
    </cfRule>
  </conditionalFormatting>
  <conditionalFormatting sqref="E113:R119">
    <cfRule type="containsBlanks" dxfId="4" priority="21">
      <formula>LEN(TRIM(E113))=0</formula>
    </cfRule>
  </conditionalFormatting>
  <conditionalFormatting sqref="E133:R139">
    <cfRule type="containsBlanks" dxfId="4" priority="22">
      <formula>LEN(TRIM(E133))=0</formula>
    </cfRule>
  </conditionalFormatting>
  <conditionalFormatting sqref="E122:R123">
    <cfRule type="containsBlanks" dxfId="4" priority="23">
      <formula>LEN(TRIM(E122))=0</formula>
    </cfRule>
  </conditionalFormatting>
  <conditionalFormatting sqref="E126:R130">
    <cfRule type="containsBlanks" dxfId="4" priority="24">
      <formula>LEN(TRIM(E126))=0</formula>
    </cfRule>
  </conditionalFormatting>
  <conditionalFormatting sqref="E142:R148">
    <cfRule type="containsBlanks" dxfId="4" priority="25">
      <formula>LEN(TRIM(E142))=0</formula>
    </cfRule>
  </conditionalFormatting>
  <conditionalFormatting sqref="E152:R152">
    <cfRule type="containsBlanks" dxfId="4" priority="26">
      <formula>LEN(TRIM(E152))=0</formula>
    </cfRule>
  </conditionalFormatting>
  <conditionalFormatting sqref="E151:R151">
    <cfRule type="containsBlanks" dxfId="4" priority="27">
      <formula>LEN(TRIM(E151))=0</formula>
    </cfRule>
  </conditionalFormatting>
  <conditionalFormatting sqref="E155:R158">
    <cfRule type="containsBlanks" dxfId="4" priority="28">
      <formula>LEN(TRIM(E155))=0</formula>
    </cfRule>
  </conditionalFormatting>
  <conditionalFormatting sqref="E161:R163">
    <cfRule type="containsBlanks" dxfId="4" priority="29">
      <formula>LEN(TRIM(E161))=0</formula>
    </cfRule>
  </conditionalFormatting>
  <conditionalFormatting sqref="E164:R167">
    <cfRule type="containsBlanks" dxfId="4" priority="30">
      <formula>LEN(TRIM(E164))=0</formula>
    </cfRule>
  </conditionalFormatting>
  <conditionalFormatting sqref="E170:R170">
    <cfRule type="containsBlanks" dxfId="4" priority="31">
      <formula>LEN(TRIM(E170))=0</formula>
    </cfRule>
  </conditionalFormatting>
  <conditionalFormatting sqref="E171:R171">
    <cfRule type="containsBlanks" dxfId="4" priority="32">
      <formula>LEN(TRIM(E171))=0</formula>
    </cfRule>
  </conditionalFormatting>
  <conditionalFormatting sqref="E175:R175">
    <cfRule type="containsBlanks" dxfId="4" priority="33">
      <formula>LEN(TRIM(E175))=0</formula>
    </cfRule>
  </conditionalFormatting>
  <conditionalFormatting sqref="E176:R176">
    <cfRule type="containsBlanks" dxfId="4" priority="34">
      <formula>LEN(TRIM(E176))=0</formula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2" width="8.71"/>
    <col customWidth="1" min="23" max="23" width="12.71"/>
  </cols>
  <sheetData>
    <row r="1" ht="12.75" customHeight="1"/>
    <row r="2" ht="12.75" customHeight="1">
      <c r="C2" s="1" t="s">
        <v>0</v>
      </c>
      <c r="D2" s="1"/>
    </row>
    <row r="3" ht="12.75" customHeight="1">
      <c r="C3" s="1" t="s">
        <v>1</v>
      </c>
      <c r="D3" s="1" t="s">
        <v>2</v>
      </c>
    </row>
    <row r="4" ht="12.75" customHeight="1">
      <c r="C4" s="1" t="s">
        <v>3</v>
      </c>
      <c r="D4" s="1" t="s">
        <v>4</v>
      </c>
    </row>
    <row r="5" ht="12.75" customHeight="1">
      <c r="C5" s="1"/>
      <c r="D5" s="1"/>
    </row>
    <row r="6" ht="12.75" customHeight="1">
      <c r="C6" s="1"/>
      <c r="D6" s="1"/>
    </row>
    <row r="7" ht="12.75" customHeight="1">
      <c r="C7" s="1"/>
      <c r="D7" s="1"/>
    </row>
    <row r="8" ht="12.75" customHeight="1">
      <c r="C8" s="1"/>
      <c r="D8" s="1"/>
    </row>
    <row r="9" ht="12.75" customHeight="1">
      <c r="C9" s="1" t="s">
        <v>152</v>
      </c>
      <c r="D9" s="1"/>
    </row>
    <row r="10" ht="12.75" customHeight="1"/>
    <row r="11" ht="12.75" customHeight="1"/>
    <row r="12" ht="12.75" customHeight="1">
      <c r="A12" s="6" t="s">
        <v>5</v>
      </c>
      <c r="B12" s="7" t="s">
        <v>6</v>
      </c>
      <c r="C12" s="8"/>
      <c r="D12" s="8"/>
      <c r="E12" s="2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9"/>
      <c r="W12" s="39" t="s">
        <v>7</v>
      </c>
    </row>
    <row r="13" ht="12.75" customHeight="1">
      <c r="A13" s="13" t="s">
        <v>8</v>
      </c>
      <c r="B13" s="14" t="s">
        <v>9</v>
      </c>
      <c r="C13" s="8"/>
      <c r="D13" s="9"/>
      <c r="E13" s="42" t="s">
        <v>153</v>
      </c>
      <c r="F13" s="42" t="s">
        <v>154</v>
      </c>
      <c r="G13" s="42" t="s">
        <v>155</v>
      </c>
      <c r="H13" s="42" t="s">
        <v>156</v>
      </c>
      <c r="I13" s="42" t="s">
        <v>157</v>
      </c>
      <c r="J13" s="42" t="s">
        <v>158</v>
      </c>
      <c r="K13" s="42" t="s">
        <v>159</v>
      </c>
      <c r="L13" s="42" t="s">
        <v>160</v>
      </c>
      <c r="M13" s="42" t="s">
        <v>161</v>
      </c>
      <c r="N13" s="42" t="s">
        <v>162</v>
      </c>
      <c r="O13" s="42" t="s">
        <v>163</v>
      </c>
      <c r="P13" s="42" t="s">
        <v>164</v>
      </c>
      <c r="Q13" s="42" t="s">
        <v>165</v>
      </c>
      <c r="R13" s="42" t="s">
        <v>166</v>
      </c>
      <c r="S13" s="42" t="s">
        <v>167</v>
      </c>
      <c r="T13" s="42" t="s">
        <v>168</v>
      </c>
      <c r="U13" s="42" t="s">
        <v>169</v>
      </c>
      <c r="V13" s="42" t="s">
        <v>170</v>
      </c>
      <c r="W13" s="27"/>
    </row>
    <row r="14" ht="12.75" customHeight="1">
      <c r="A14" s="18"/>
      <c r="B14" s="19" t="s">
        <v>10</v>
      </c>
      <c r="C14" s="20"/>
      <c r="D14" s="13" t="s">
        <v>11</v>
      </c>
      <c r="E14" s="66">
        <v>143.0</v>
      </c>
      <c r="F14" s="66">
        <v>141.0</v>
      </c>
      <c r="G14" s="66">
        <v>147.0</v>
      </c>
      <c r="H14" s="66">
        <v>147.0</v>
      </c>
      <c r="I14" s="66">
        <v>123.0</v>
      </c>
      <c r="J14" s="66">
        <v>113.0</v>
      </c>
      <c r="K14" s="66">
        <v>136.0</v>
      </c>
      <c r="L14" s="66">
        <v>122.0</v>
      </c>
      <c r="M14" s="66">
        <v>123.0</v>
      </c>
      <c r="N14" s="66">
        <v>129.0</v>
      </c>
      <c r="O14" s="66">
        <v>137.0</v>
      </c>
      <c r="P14" s="66">
        <v>145.0</v>
      </c>
      <c r="Q14" s="66">
        <v>131.0</v>
      </c>
      <c r="R14" s="66">
        <v>148.0</v>
      </c>
      <c r="S14" s="66">
        <v>133.0</v>
      </c>
      <c r="T14" s="66">
        <v>153.0</v>
      </c>
      <c r="U14" s="66">
        <v>111.0</v>
      </c>
      <c r="V14" s="66">
        <v>87.0</v>
      </c>
      <c r="W14" s="6">
        <f t="shared" ref="W14:W16" si="1">SUM(E14:V14)</f>
        <v>2369</v>
      </c>
    </row>
    <row r="15" ht="12.75" customHeight="1">
      <c r="A15" s="18"/>
      <c r="B15" s="25"/>
      <c r="C15" s="26"/>
      <c r="D15" s="13" t="s">
        <v>12</v>
      </c>
      <c r="E15" s="66">
        <v>149.0</v>
      </c>
      <c r="F15" s="66">
        <v>157.0</v>
      </c>
      <c r="G15" s="66">
        <v>145.0</v>
      </c>
      <c r="H15" s="66">
        <v>141.0</v>
      </c>
      <c r="I15" s="66">
        <v>133.0</v>
      </c>
      <c r="J15" s="66">
        <v>118.0</v>
      </c>
      <c r="K15" s="66">
        <v>126.0</v>
      </c>
      <c r="L15" s="66">
        <v>132.0</v>
      </c>
      <c r="M15" s="66">
        <v>128.0</v>
      </c>
      <c r="N15" s="66">
        <v>131.0</v>
      </c>
      <c r="O15" s="66">
        <v>148.0</v>
      </c>
      <c r="P15" s="66">
        <v>148.0</v>
      </c>
      <c r="Q15" s="66">
        <v>149.0</v>
      </c>
      <c r="R15" s="66">
        <v>134.0</v>
      </c>
      <c r="S15" s="66">
        <v>143.0</v>
      </c>
      <c r="T15" s="66">
        <v>128.0</v>
      </c>
      <c r="U15" s="66">
        <v>107.0</v>
      </c>
      <c r="V15" s="66">
        <v>79.0</v>
      </c>
      <c r="W15" s="6">
        <f t="shared" si="1"/>
        <v>2396</v>
      </c>
    </row>
    <row r="16" ht="12.75" customHeight="1">
      <c r="A16" s="16"/>
      <c r="B16" s="15"/>
      <c r="C16" s="27"/>
      <c r="D16" s="6" t="s">
        <v>13</v>
      </c>
      <c r="E16" s="6">
        <f t="shared" ref="E16:V16" si="2">SUM(E14:E15)</f>
        <v>292</v>
      </c>
      <c r="F16" s="6">
        <f t="shared" si="2"/>
        <v>298</v>
      </c>
      <c r="G16" s="6">
        <f t="shared" si="2"/>
        <v>292</v>
      </c>
      <c r="H16" s="6">
        <f t="shared" si="2"/>
        <v>288</v>
      </c>
      <c r="I16" s="6">
        <f t="shared" si="2"/>
        <v>256</v>
      </c>
      <c r="J16" s="6">
        <f t="shared" si="2"/>
        <v>231</v>
      </c>
      <c r="K16" s="6">
        <f t="shared" si="2"/>
        <v>262</v>
      </c>
      <c r="L16" s="6">
        <f t="shared" si="2"/>
        <v>254</v>
      </c>
      <c r="M16" s="6">
        <f t="shared" si="2"/>
        <v>251</v>
      </c>
      <c r="N16" s="6">
        <f t="shared" si="2"/>
        <v>260</v>
      </c>
      <c r="O16" s="6">
        <f t="shared" si="2"/>
        <v>285</v>
      </c>
      <c r="P16" s="6">
        <f t="shared" si="2"/>
        <v>293</v>
      </c>
      <c r="Q16" s="6">
        <f t="shared" si="2"/>
        <v>280</v>
      </c>
      <c r="R16" s="6">
        <f t="shared" si="2"/>
        <v>282</v>
      </c>
      <c r="S16" s="6">
        <f t="shared" si="2"/>
        <v>276</v>
      </c>
      <c r="T16" s="6">
        <f t="shared" si="2"/>
        <v>281</v>
      </c>
      <c r="U16" s="6">
        <f t="shared" si="2"/>
        <v>218</v>
      </c>
      <c r="V16" s="6">
        <f t="shared" si="2"/>
        <v>166</v>
      </c>
      <c r="W16" s="6">
        <f t="shared" si="1"/>
        <v>4765</v>
      </c>
    </row>
    <row r="17" ht="12.75" customHeight="1">
      <c r="A17" s="21"/>
      <c r="B17" s="8"/>
      <c r="C17" s="8"/>
      <c r="D17" s="9"/>
      <c r="E17" s="13"/>
      <c r="F17" s="13"/>
      <c r="G17" s="13"/>
      <c r="H17" s="13"/>
      <c r="I17" s="13"/>
      <c r="J17" s="13"/>
      <c r="K17" s="13"/>
      <c r="L17" s="13"/>
      <c r="M17" s="13"/>
      <c r="N17" s="67"/>
      <c r="O17" s="67"/>
      <c r="P17" s="67"/>
      <c r="Q17" s="67"/>
      <c r="R17" s="67"/>
      <c r="S17" s="67"/>
      <c r="T17" s="67"/>
      <c r="U17" s="67"/>
      <c r="V17" s="67"/>
      <c r="W17" s="6"/>
    </row>
    <row r="18" ht="12.75" customHeight="1">
      <c r="A18" s="32" t="s">
        <v>14</v>
      </c>
      <c r="B18" s="14" t="s">
        <v>15</v>
      </c>
      <c r="C18" s="8"/>
      <c r="D18" s="9"/>
      <c r="E18" s="13"/>
      <c r="F18" s="13"/>
      <c r="G18" s="13"/>
      <c r="H18" s="13"/>
      <c r="I18" s="13"/>
      <c r="J18" s="13"/>
      <c r="K18" s="13"/>
      <c r="L18" s="13"/>
      <c r="M18" s="13"/>
      <c r="N18" s="67"/>
      <c r="O18" s="67"/>
      <c r="P18" s="67"/>
      <c r="Q18" s="67"/>
      <c r="R18" s="67"/>
      <c r="S18" s="67"/>
      <c r="T18" s="67"/>
      <c r="U18" s="67"/>
      <c r="V18" s="67"/>
      <c r="W18" s="6"/>
    </row>
    <row r="19" ht="12.75" customHeight="1">
      <c r="A19" s="32"/>
      <c r="B19" s="33" t="s">
        <v>16</v>
      </c>
      <c r="C19" s="34" t="s">
        <v>17</v>
      </c>
      <c r="D19" s="13" t="s">
        <v>11</v>
      </c>
      <c r="E19" s="66">
        <v>118.0</v>
      </c>
      <c r="F19" s="66">
        <v>102.0</v>
      </c>
      <c r="G19" s="66">
        <v>113.0</v>
      </c>
      <c r="H19" s="66">
        <v>114.0</v>
      </c>
      <c r="I19" s="66">
        <v>85.0</v>
      </c>
      <c r="J19" s="66">
        <v>88.0</v>
      </c>
      <c r="K19" s="66">
        <v>106.0</v>
      </c>
      <c r="L19" s="66">
        <v>86.0</v>
      </c>
      <c r="M19" s="66">
        <v>82.0</v>
      </c>
      <c r="N19" s="66">
        <v>95.0</v>
      </c>
      <c r="O19" s="66">
        <v>95.0</v>
      </c>
      <c r="P19" s="66">
        <v>107.0</v>
      </c>
      <c r="Q19" s="66">
        <v>100.0</v>
      </c>
      <c r="R19" s="66">
        <v>108.0</v>
      </c>
      <c r="S19" s="66">
        <v>96.0</v>
      </c>
      <c r="T19" s="66">
        <v>108.0</v>
      </c>
      <c r="U19" s="66">
        <v>76.0</v>
      </c>
      <c r="V19" s="66">
        <v>68.0</v>
      </c>
      <c r="W19" s="6">
        <f t="shared" ref="W19:W30" si="3">SUM(E19:V19)</f>
        <v>1747</v>
      </c>
    </row>
    <row r="20" ht="12.75" customHeight="1">
      <c r="A20" s="35"/>
      <c r="B20" s="26"/>
      <c r="C20" s="36"/>
      <c r="D20" s="13" t="s">
        <v>12</v>
      </c>
      <c r="E20" s="66">
        <v>121.0</v>
      </c>
      <c r="F20" s="66">
        <v>123.0</v>
      </c>
      <c r="G20" s="66">
        <v>110.0</v>
      </c>
      <c r="H20" s="66">
        <v>113.0</v>
      </c>
      <c r="I20" s="66">
        <v>101.0</v>
      </c>
      <c r="J20" s="66">
        <v>91.0</v>
      </c>
      <c r="K20" s="66">
        <v>102.0</v>
      </c>
      <c r="L20" s="66">
        <v>97.0</v>
      </c>
      <c r="M20" s="66">
        <v>100.0</v>
      </c>
      <c r="N20" s="66">
        <v>101.0</v>
      </c>
      <c r="O20" s="66">
        <v>115.0</v>
      </c>
      <c r="P20" s="66">
        <v>114.0</v>
      </c>
      <c r="Q20" s="66">
        <v>122.0</v>
      </c>
      <c r="R20" s="66">
        <v>102.0</v>
      </c>
      <c r="S20" s="66">
        <v>114.0</v>
      </c>
      <c r="T20" s="66">
        <v>118.0</v>
      </c>
      <c r="U20" s="66">
        <v>83.0</v>
      </c>
      <c r="V20" s="66">
        <v>66.0</v>
      </c>
      <c r="W20" s="6">
        <f t="shared" si="3"/>
        <v>1893</v>
      </c>
    </row>
    <row r="21" ht="12.75" customHeight="1">
      <c r="A21" s="37"/>
      <c r="B21" s="27"/>
      <c r="C21" s="38"/>
      <c r="D21" s="6" t="s">
        <v>13</v>
      </c>
      <c r="E21" s="6">
        <f t="shared" ref="E21:V21" si="4">SUM(E19:E20)</f>
        <v>239</v>
      </c>
      <c r="F21" s="6">
        <f t="shared" si="4"/>
        <v>225</v>
      </c>
      <c r="G21" s="6">
        <f t="shared" si="4"/>
        <v>223</v>
      </c>
      <c r="H21" s="6">
        <f t="shared" si="4"/>
        <v>227</v>
      </c>
      <c r="I21" s="6">
        <f t="shared" si="4"/>
        <v>186</v>
      </c>
      <c r="J21" s="6">
        <f t="shared" si="4"/>
        <v>179</v>
      </c>
      <c r="K21" s="6">
        <f t="shared" si="4"/>
        <v>208</v>
      </c>
      <c r="L21" s="6">
        <f t="shared" si="4"/>
        <v>183</v>
      </c>
      <c r="M21" s="6">
        <f t="shared" si="4"/>
        <v>182</v>
      </c>
      <c r="N21" s="6">
        <f t="shared" si="4"/>
        <v>196</v>
      </c>
      <c r="O21" s="6">
        <f t="shared" si="4"/>
        <v>210</v>
      </c>
      <c r="P21" s="6">
        <f t="shared" si="4"/>
        <v>221</v>
      </c>
      <c r="Q21" s="6">
        <f t="shared" si="4"/>
        <v>222</v>
      </c>
      <c r="R21" s="6">
        <f t="shared" si="4"/>
        <v>210</v>
      </c>
      <c r="S21" s="6">
        <f t="shared" si="4"/>
        <v>210</v>
      </c>
      <c r="T21" s="6">
        <f t="shared" si="4"/>
        <v>226</v>
      </c>
      <c r="U21" s="6">
        <f t="shared" si="4"/>
        <v>159</v>
      </c>
      <c r="V21" s="6">
        <f t="shared" si="4"/>
        <v>134</v>
      </c>
      <c r="W21" s="6">
        <f t="shared" si="3"/>
        <v>3640</v>
      </c>
    </row>
    <row r="22" ht="12.75" customHeight="1">
      <c r="A22" s="35"/>
      <c r="B22" s="33" t="s">
        <v>18</v>
      </c>
      <c r="C22" s="34" t="s">
        <v>19</v>
      </c>
      <c r="D22" s="13" t="s">
        <v>11</v>
      </c>
      <c r="E22" s="66">
        <v>0.0</v>
      </c>
      <c r="F22" s="66">
        <v>0.0</v>
      </c>
      <c r="G22" s="66">
        <v>0.0</v>
      </c>
      <c r="H22" s="66">
        <v>0.0</v>
      </c>
      <c r="I22" s="66">
        <v>0.0</v>
      </c>
      <c r="J22" s="66">
        <v>0.0</v>
      </c>
      <c r="K22" s="66">
        <v>0.0</v>
      </c>
      <c r="L22" s="66">
        <v>0.0</v>
      </c>
      <c r="M22" s="66">
        <v>0.0</v>
      </c>
      <c r="N22" s="66">
        <v>0.0</v>
      </c>
      <c r="O22" s="66">
        <v>0.0</v>
      </c>
      <c r="P22" s="66">
        <v>0.0</v>
      </c>
      <c r="Q22" s="66">
        <v>0.0</v>
      </c>
      <c r="R22" s="66">
        <v>0.0</v>
      </c>
      <c r="S22" s="66">
        <v>0.0</v>
      </c>
      <c r="T22" s="66">
        <v>0.0</v>
      </c>
      <c r="U22" s="66">
        <v>0.0</v>
      </c>
      <c r="V22" s="66">
        <v>0.0</v>
      </c>
      <c r="W22" s="6">
        <f t="shared" si="3"/>
        <v>0</v>
      </c>
    </row>
    <row r="23" ht="12.75" customHeight="1">
      <c r="A23" s="35"/>
      <c r="B23" s="26"/>
      <c r="C23" s="36"/>
      <c r="D23" s="13" t="s">
        <v>12</v>
      </c>
      <c r="E23" s="66">
        <v>0.0</v>
      </c>
      <c r="F23" s="66">
        <v>0.0</v>
      </c>
      <c r="G23" s="66">
        <v>0.0</v>
      </c>
      <c r="H23" s="66">
        <v>0.0</v>
      </c>
      <c r="I23" s="66">
        <v>0.0</v>
      </c>
      <c r="J23" s="66">
        <v>0.0</v>
      </c>
      <c r="K23" s="66">
        <v>0.0</v>
      </c>
      <c r="L23" s="66">
        <v>0.0</v>
      </c>
      <c r="M23" s="66">
        <v>0.0</v>
      </c>
      <c r="N23" s="66">
        <v>0.0</v>
      </c>
      <c r="O23" s="66">
        <v>0.0</v>
      </c>
      <c r="P23" s="66">
        <v>0.0</v>
      </c>
      <c r="Q23" s="66">
        <v>0.0</v>
      </c>
      <c r="R23" s="66">
        <v>0.0</v>
      </c>
      <c r="S23" s="66">
        <v>0.0</v>
      </c>
      <c r="T23" s="66">
        <v>0.0</v>
      </c>
      <c r="U23" s="66">
        <v>0.0</v>
      </c>
      <c r="V23" s="66">
        <v>0.0</v>
      </c>
      <c r="W23" s="6">
        <f t="shared" si="3"/>
        <v>0</v>
      </c>
    </row>
    <row r="24" ht="12.75" customHeight="1">
      <c r="A24" s="37"/>
      <c r="B24" s="27"/>
      <c r="C24" s="38"/>
      <c r="D24" s="6" t="s">
        <v>13</v>
      </c>
      <c r="E24" s="6">
        <f t="shared" ref="E24:V24" si="5">SUM(E22:E23)</f>
        <v>0</v>
      </c>
      <c r="F24" s="6">
        <f t="shared" si="5"/>
        <v>0</v>
      </c>
      <c r="G24" s="6">
        <f t="shared" si="5"/>
        <v>0</v>
      </c>
      <c r="H24" s="6">
        <f t="shared" si="5"/>
        <v>0</v>
      </c>
      <c r="I24" s="6">
        <f t="shared" si="5"/>
        <v>0</v>
      </c>
      <c r="J24" s="6">
        <f t="shared" si="5"/>
        <v>0</v>
      </c>
      <c r="K24" s="6">
        <f t="shared" si="5"/>
        <v>0</v>
      </c>
      <c r="L24" s="6">
        <f t="shared" si="5"/>
        <v>0</v>
      </c>
      <c r="M24" s="6">
        <f t="shared" si="5"/>
        <v>0</v>
      </c>
      <c r="N24" s="6">
        <f t="shared" si="5"/>
        <v>0</v>
      </c>
      <c r="O24" s="6">
        <f t="shared" si="5"/>
        <v>0</v>
      </c>
      <c r="P24" s="6">
        <f t="shared" si="5"/>
        <v>0</v>
      </c>
      <c r="Q24" s="6">
        <f t="shared" si="5"/>
        <v>0</v>
      </c>
      <c r="R24" s="6">
        <f t="shared" si="5"/>
        <v>0</v>
      </c>
      <c r="S24" s="6">
        <f t="shared" si="5"/>
        <v>0</v>
      </c>
      <c r="T24" s="6">
        <f t="shared" si="5"/>
        <v>0</v>
      </c>
      <c r="U24" s="6">
        <f t="shared" si="5"/>
        <v>0</v>
      </c>
      <c r="V24" s="6">
        <f t="shared" si="5"/>
        <v>0</v>
      </c>
      <c r="W24" s="6">
        <f t="shared" si="3"/>
        <v>0</v>
      </c>
    </row>
    <row r="25" ht="12.75" customHeight="1">
      <c r="A25" s="35"/>
      <c r="B25" s="33" t="s">
        <v>20</v>
      </c>
      <c r="C25" s="34" t="s">
        <v>21</v>
      </c>
      <c r="D25" s="13" t="s">
        <v>11</v>
      </c>
      <c r="E25" s="66">
        <v>0.0</v>
      </c>
      <c r="F25" s="66">
        <v>0.0</v>
      </c>
      <c r="G25" s="66">
        <v>0.0</v>
      </c>
      <c r="H25" s="66">
        <v>1.0</v>
      </c>
      <c r="I25" s="66">
        <v>0.0</v>
      </c>
      <c r="J25" s="66">
        <v>0.0</v>
      </c>
      <c r="K25" s="66">
        <v>0.0</v>
      </c>
      <c r="L25" s="66">
        <v>0.0</v>
      </c>
      <c r="M25" s="66">
        <v>0.0</v>
      </c>
      <c r="N25" s="66">
        <v>0.0</v>
      </c>
      <c r="O25" s="66">
        <v>0.0</v>
      </c>
      <c r="P25" s="66">
        <v>0.0</v>
      </c>
      <c r="Q25" s="66">
        <v>0.0</v>
      </c>
      <c r="R25" s="66">
        <v>0.0</v>
      </c>
      <c r="S25" s="66">
        <v>0.0</v>
      </c>
      <c r="T25" s="66">
        <v>1.0</v>
      </c>
      <c r="U25" s="66">
        <v>0.0</v>
      </c>
      <c r="V25" s="66">
        <v>1.0</v>
      </c>
      <c r="W25" s="6">
        <f t="shared" si="3"/>
        <v>3</v>
      </c>
    </row>
    <row r="26" ht="12.75" customHeight="1">
      <c r="A26" s="35"/>
      <c r="B26" s="26"/>
      <c r="C26" s="36"/>
      <c r="D26" s="13" t="s">
        <v>12</v>
      </c>
      <c r="E26" s="66">
        <v>0.0</v>
      </c>
      <c r="F26" s="66">
        <v>0.0</v>
      </c>
      <c r="G26" s="66">
        <v>0.0</v>
      </c>
      <c r="H26" s="66">
        <v>0.0</v>
      </c>
      <c r="I26" s="66">
        <v>0.0</v>
      </c>
      <c r="J26" s="66">
        <v>0.0</v>
      </c>
      <c r="K26" s="66">
        <v>0.0</v>
      </c>
      <c r="L26" s="66">
        <v>0.0</v>
      </c>
      <c r="M26" s="66">
        <v>0.0</v>
      </c>
      <c r="N26" s="66">
        <v>0.0</v>
      </c>
      <c r="O26" s="66">
        <v>0.0</v>
      </c>
      <c r="P26" s="66">
        <v>0.0</v>
      </c>
      <c r="Q26" s="66">
        <v>0.0</v>
      </c>
      <c r="R26" s="66">
        <v>0.0</v>
      </c>
      <c r="S26" s="66">
        <v>0.0</v>
      </c>
      <c r="T26" s="66">
        <v>0.0</v>
      </c>
      <c r="U26" s="66">
        <v>0.0</v>
      </c>
      <c r="V26" s="66">
        <v>1.0</v>
      </c>
      <c r="W26" s="6">
        <f t="shared" si="3"/>
        <v>1</v>
      </c>
    </row>
    <row r="27" ht="12.75" customHeight="1">
      <c r="A27" s="37"/>
      <c r="B27" s="27"/>
      <c r="C27" s="38"/>
      <c r="D27" s="6" t="s">
        <v>13</v>
      </c>
      <c r="E27" s="6">
        <f t="shared" ref="E27:V27" si="6">SUM(E25:E26)</f>
        <v>0</v>
      </c>
      <c r="F27" s="6">
        <f t="shared" si="6"/>
        <v>0</v>
      </c>
      <c r="G27" s="6">
        <f t="shared" si="6"/>
        <v>0</v>
      </c>
      <c r="H27" s="6">
        <f t="shared" si="6"/>
        <v>1</v>
      </c>
      <c r="I27" s="6">
        <f t="shared" si="6"/>
        <v>0</v>
      </c>
      <c r="J27" s="6">
        <f t="shared" si="6"/>
        <v>0</v>
      </c>
      <c r="K27" s="6">
        <f t="shared" si="6"/>
        <v>0</v>
      </c>
      <c r="L27" s="6">
        <f t="shared" si="6"/>
        <v>0</v>
      </c>
      <c r="M27" s="6">
        <f t="shared" si="6"/>
        <v>0</v>
      </c>
      <c r="N27" s="6">
        <f t="shared" si="6"/>
        <v>0</v>
      </c>
      <c r="O27" s="6">
        <f t="shared" si="6"/>
        <v>0</v>
      </c>
      <c r="P27" s="6">
        <f t="shared" si="6"/>
        <v>0</v>
      </c>
      <c r="Q27" s="6">
        <f t="shared" si="6"/>
        <v>0</v>
      </c>
      <c r="R27" s="6">
        <f t="shared" si="6"/>
        <v>0</v>
      </c>
      <c r="S27" s="6">
        <f t="shared" si="6"/>
        <v>0</v>
      </c>
      <c r="T27" s="6">
        <f t="shared" si="6"/>
        <v>1</v>
      </c>
      <c r="U27" s="6">
        <f t="shared" si="6"/>
        <v>0</v>
      </c>
      <c r="V27" s="6">
        <f t="shared" si="6"/>
        <v>2</v>
      </c>
      <c r="W27" s="6">
        <f t="shared" si="3"/>
        <v>4</v>
      </c>
    </row>
    <row r="28" ht="12.75" customHeight="1">
      <c r="A28" s="37"/>
      <c r="B28" s="39" t="s">
        <v>22</v>
      </c>
      <c r="C28" s="40" t="s">
        <v>23</v>
      </c>
      <c r="D28" s="6" t="s">
        <v>11</v>
      </c>
      <c r="E28" s="6">
        <f t="shared" ref="E28:V28" si="7">SUM(E19,E22,E25)</f>
        <v>118</v>
      </c>
      <c r="F28" s="6">
        <f t="shared" si="7"/>
        <v>102</v>
      </c>
      <c r="G28" s="6">
        <f t="shared" si="7"/>
        <v>113</v>
      </c>
      <c r="H28" s="6">
        <f t="shared" si="7"/>
        <v>115</v>
      </c>
      <c r="I28" s="6">
        <f t="shared" si="7"/>
        <v>85</v>
      </c>
      <c r="J28" s="6">
        <f t="shared" si="7"/>
        <v>88</v>
      </c>
      <c r="K28" s="6">
        <f t="shared" si="7"/>
        <v>106</v>
      </c>
      <c r="L28" s="6">
        <f t="shared" si="7"/>
        <v>86</v>
      </c>
      <c r="M28" s="6">
        <f t="shared" si="7"/>
        <v>82</v>
      </c>
      <c r="N28" s="6">
        <f t="shared" si="7"/>
        <v>95</v>
      </c>
      <c r="O28" s="6">
        <f t="shared" si="7"/>
        <v>95</v>
      </c>
      <c r="P28" s="6">
        <f t="shared" si="7"/>
        <v>107</v>
      </c>
      <c r="Q28" s="6">
        <f t="shared" si="7"/>
        <v>100</v>
      </c>
      <c r="R28" s="6">
        <f t="shared" si="7"/>
        <v>108</v>
      </c>
      <c r="S28" s="6">
        <f t="shared" si="7"/>
        <v>96</v>
      </c>
      <c r="T28" s="6">
        <f t="shared" si="7"/>
        <v>109</v>
      </c>
      <c r="U28" s="6">
        <f t="shared" si="7"/>
        <v>76</v>
      </c>
      <c r="V28" s="6">
        <f t="shared" si="7"/>
        <v>69</v>
      </c>
      <c r="W28" s="6">
        <f t="shared" si="3"/>
        <v>1750</v>
      </c>
    </row>
    <row r="29" ht="12.75" customHeight="1">
      <c r="A29" s="37"/>
      <c r="B29" s="26"/>
      <c r="C29" s="36"/>
      <c r="D29" s="6" t="s">
        <v>12</v>
      </c>
      <c r="E29" s="6">
        <f t="shared" ref="E29:V29" si="8">SUM(E20,E23,E26)</f>
        <v>121</v>
      </c>
      <c r="F29" s="6">
        <f t="shared" si="8"/>
        <v>123</v>
      </c>
      <c r="G29" s="6">
        <f t="shared" si="8"/>
        <v>110</v>
      </c>
      <c r="H29" s="6">
        <f t="shared" si="8"/>
        <v>113</v>
      </c>
      <c r="I29" s="6">
        <f t="shared" si="8"/>
        <v>101</v>
      </c>
      <c r="J29" s="6">
        <f t="shared" si="8"/>
        <v>91</v>
      </c>
      <c r="K29" s="6">
        <f t="shared" si="8"/>
        <v>102</v>
      </c>
      <c r="L29" s="6">
        <f t="shared" si="8"/>
        <v>97</v>
      </c>
      <c r="M29" s="6">
        <f t="shared" si="8"/>
        <v>100</v>
      </c>
      <c r="N29" s="6">
        <f t="shared" si="8"/>
        <v>101</v>
      </c>
      <c r="O29" s="6">
        <f t="shared" si="8"/>
        <v>115</v>
      </c>
      <c r="P29" s="6">
        <f t="shared" si="8"/>
        <v>114</v>
      </c>
      <c r="Q29" s="6">
        <f t="shared" si="8"/>
        <v>122</v>
      </c>
      <c r="R29" s="6">
        <f t="shared" si="8"/>
        <v>102</v>
      </c>
      <c r="S29" s="6">
        <f t="shared" si="8"/>
        <v>114</v>
      </c>
      <c r="T29" s="6">
        <f t="shared" si="8"/>
        <v>118</v>
      </c>
      <c r="U29" s="6">
        <f t="shared" si="8"/>
        <v>83</v>
      </c>
      <c r="V29" s="6">
        <f t="shared" si="8"/>
        <v>67</v>
      </c>
      <c r="W29" s="6">
        <f t="shared" si="3"/>
        <v>1894</v>
      </c>
    </row>
    <row r="30" ht="12.75" customHeight="1">
      <c r="A30" s="37"/>
      <c r="B30" s="27"/>
      <c r="C30" s="38"/>
      <c r="D30" s="6" t="s">
        <v>13</v>
      </c>
      <c r="E30" s="6">
        <f t="shared" ref="E30:V30" si="9">SUM(E28:E29)</f>
        <v>239</v>
      </c>
      <c r="F30" s="6">
        <f t="shared" si="9"/>
        <v>225</v>
      </c>
      <c r="G30" s="6">
        <f t="shared" si="9"/>
        <v>223</v>
      </c>
      <c r="H30" s="6">
        <f t="shared" si="9"/>
        <v>228</v>
      </c>
      <c r="I30" s="6">
        <f t="shared" si="9"/>
        <v>186</v>
      </c>
      <c r="J30" s="6">
        <f t="shared" si="9"/>
        <v>179</v>
      </c>
      <c r="K30" s="6">
        <f t="shared" si="9"/>
        <v>208</v>
      </c>
      <c r="L30" s="6">
        <f t="shared" si="9"/>
        <v>183</v>
      </c>
      <c r="M30" s="6">
        <f t="shared" si="9"/>
        <v>182</v>
      </c>
      <c r="N30" s="6">
        <f t="shared" si="9"/>
        <v>196</v>
      </c>
      <c r="O30" s="6">
        <f t="shared" si="9"/>
        <v>210</v>
      </c>
      <c r="P30" s="6">
        <f t="shared" si="9"/>
        <v>221</v>
      </c>
      <c r="Q30" s="6">
        <f t="shared" si="9"/>
        <v>222</v>
      </c>
      <c r="R30" s="6">
        <f t="shared" si="9"/>
        <v>210</v>
      </c>
      <c r="S30" s="6">
        <f t="shared" si="9"/>
        <v>210</v>
      </c>
      <c r="T30" s="6">
        <f t="shared" si="9"/>
        <v>227</v>
      </c>
      <c r="U30" s="6">
        <f t="shared" si="9"/>
        <v>159</v>
      </c>
      <c r="V30" s="6">
        <f t="shared" si="9"/>
        <v>136</v>
      </c>
      <c r="W30" s="6">
        <f t="shared" si="3"/>
        <v>3644</v>
      </c>
    </row>
    <row r="31" ht="12.75" customHeight="1">
      <c r="A31" s="21"/>
      <c r="B31" s="8"/>
      <c r="C31" s="8"/>
      <c r="D31" s="9"/>
      <c r="E31" s="13"/>
      <c r="F31" s="13"/>
      <c r="G31" s="13"/>
      <c r="H31" s="13"/>
      <c r="I31" s="13"/>
      <c r="J31" s="13"/>
      <c r="K31" s="13"/>
      <c r="L31" s="13"/>
      <c r="M31" s="13"/>
      <c r="N31" s="67"/>
      <c r="O31" s="67"/>
      <c r="P31" s="67"/>
      <c r="Q31" s="67"/>
      <c r="R31" s="67"/>
      <c r="S31" s="67"/>
      <c r="T31" s="67"/>
      <c r="U31" s="67"/>
      <c r="V31" s="67"/>
      <c r="W31" s="6"/>
    </row>
    <row r="32" ht="12.75" customHeight="1">
      <c r="A32" s="42" t="s">
        <v>24</v>
      </c>
      <c r="B32" s="7" t="s">
        <v>25</v>
      </c>
      <c r="C32" s="8"/>
      <c r="D32" s="9"/>
      <c r="E32" s="6"/>
      <c r="F32" s="6"/>
      <c r="G32" s="6"/>
      <c r="H32" s="6"/>
      <c r="I32" s="6"/>
      <c r="J32" s="6"/>
      <c r="K32" s="6"/>
      <c r="L32" s="6"/>
      <c r="M32" s="6"/>
      <c r="N32" s="69"/>
      <c r="O32" s="69"/>
      <c r="P32" s="69"/>
      <c r="Q32" s="69"/>
      <c r="R32" s="69"/>
      <c r="S32" s="69"/>
      <c r="T32" s="69"/>
      <c r="U32" s="69"/>
      <c r="V32" s="69"/>
      <c r="W32" s="6"/>
    </row>
    <row r="33" ht="12.75" customHeight="1">
      <c r="A33" s="13">
        <v>1.0</v>
      </c>
      <c r="B33" s="14" t="s">
        <v>26</v>
      </c>
      <c r="C33" s="8"/>
      <c r="D33" s="9"/>
      <c r="E33" s="66">
        <v>298.0</v>
      </c>
      <c r="F33" s="66">
        <v>304.0</v>
      </c>
      <c r="G33" s="66">
        <v>298.0</v>
      </c>
      <c r="H33" s="66">
        <v>299.0</v>
      </c>
      <c r="I33" s="66">
        <v>264.0</v>
      </c>
      <c r="J33" s="66">
        <v>236.0</v>
      </c>
      <c r="K33" s="66">
        <v>268.0</v>
      </c>
      <c r="L33" s="66">
        <v>260.0</v>
      </c>
      <c r="M33" s="66">
        <v>257.0</v>
      </c>
      <c r="N33" s="66">
        <v>266.0</v>
      </c>
      <c r="O33" s="66">
        <v>291.0</v>
      </c>
      <c r="P33" s="66">
        <v>229.0</v>
      </c>
      <c r="Q33" s="66">
        <v>286.0</v>
      </c>
      <c r="R33" s="66">
        <v>288.0</v>
      </c>
      <c r="S33" s="66">
        <v>282.0</v>
      </c>
      <c r="T33" s="66">
        <v>286.0</v>
      </c>
      <c r="U33" s="66">
        <v>216.0</v>
      </c>
      <c r="V33" s="66">
        <v>170.0</v>
      </c>
      <c r="W33" s="6">
        <f t="shared" ref="W33:W36" si="10">SUM(E33:V33)</f>
        <v>4798</v>
      </c>
    </row>
    <row r="34" ht="12.75" customHeight="1">
      <c r="A34" s="13">
        <v>2.0</v>
      </c>
      <c r="B34" s="14" t="s">
        <v>27</v>
      </c>
      <c r="C34" s="8"/>
      <c r="D34" s="9"/>
      <c r="E34" s="72">
        <v>239.0</v>
      </c>
      <c r="F34" s="72">
        <v>225.0</v>
      </c>
      <c r="G34" s="72">
        <v>223.0</v>
      </c>
      <c r="H34" s="72">
        <v>228.0</v>
      </c>
      <c r="I34" s="72">
        <v>186.0</v>
      </c>
      <c r="J34" s="72">
        <v>179.0</v>
      </c>
      <c r="K34" s="72">
        <v>208.0</v>
      </c>
      <c r="L34" s="72">
        <v>183.0</v>
      </c>
      <c r="M34" s="72">
        <v>182.0</v>
      </c>
      <c r="N34" s="72">
        <v>196.0</v>
      </c>
      <c r="O34" s="72">
        <v>210.0</v>
      </c>
      <c r="P34" s="72">
        <v>221.0</v>
      </c>
      <c r="Q34" s="72">
        <v>222.0</v>
      </c>
      <c r="R34" s="72">
        <v>210.0</v>
      </c>
      <c r="S34" s="72">
        <v>210.0</v>
      </c>
      <c r="T34" s="72">
        <v>227.0</v>
      </c>
      <c r="U34" s="72">
        <v>159.0</v>
      </c>
      <c r="V34" s="72">
        <v>136.0</v>
      </c>
      <c r="W34" s="6">
        <f t="shared" si="10"/>
        <v>3644</v>
      </c>
    </row>
    <row r="35" ht="12.75" customHeight="1">
      <c r="A35" s="13">
        <v>3.0</v>
      </c>
      <c r="B35" s="14" t="s">
        <v>28</v>
      </c>
      <c r="C35" s="8"/>
      <c r="D35" s="9"/>
      <c r="E35" s="66">
        <v>0.0</v>
      </c>
      <c r="F35" s="66">
        <v>0.0</v>
      </c>
      <c r="G35" s="66">
        <v>0.0</v>
      </c>
      <c r="H35" s="66">
        <v>3.0</v>
      </c>
      <c r="I35" s="66">
        <v>0.0</v>
      </c>
      <c r="J35" s="66">
        <v>0.0</v>
      </c>
      <c r="K35" s="66">
        <v>0.0</v>
      </c>
      <c r="L35" s="66">
        <v>0.0</v>
      </c>
      <c r="M35" s="66">
        <v>3.0</v>
      </c>
      <c r="N35" s="66">
        <v>0.0</v>
      </c>
      <c r="O35" s="66">
        <v>0.0</v>
      </c>
      <c r="P35" s="66">
        <v>0.0</v>
      </c>
      <c r="Q35" s="66">
        <v>0.0</v>
      </c>
      <c r="R35" s="66">
        <v>1.0</v>
      </c>
      <c r="S35" s="66">
        <v>4.0</v>
      </c>
      <c r="T35" s="66">
        <v>0.0</v>
      </c>
      <c r="U35" s="66">
        <v>0.0</v>
      </c>
      <c r="V35" s="66">
        <v>0.0</v>
      </c>
      <c r="W35" s="6">
        <f t="shared" si="10"/>
        <v>11</v>
      </c>
    </row>
    <row r="36" ht="12.75" customHeight="1">
      <c r="A36" s="13">
        <v>4.0</v>
      </c>
      <c r="B36" s="14" t="s">
        <v>29</v>
      </c>
      <c r="C36" s="8"/>
      <c r="D36" s="9"/>
      <c r="E36" s="6">
        <f t="shared" ref="E36:V36" si="11">E33-(E34+E35)</f>
        <v>59</v>
      </c>
      <c r="F36" s="6">
        <f t="shared" si="11"/>
        <v>79</v>
      </c>
      <c r="G36" s="6">
        <f t="shared" si="11"/>
        <v>75</v>
      </c>
      <c r="H36" s="6">
        <f t="shared" si="11"/>
        <v>68</v>
      </c>
      <c r="I36" s="6">
        <f t="shared" si="11"/>
        <v>78</v>
      </c>
      <c r="J36" s="6">
        <f t="shared" si="11"/>
        <v>57</v>
      </c>
      <c r="K36" s="6">
        <f t="shared" si="11"/>
        <v>60</v>
      </c>
      <c r="L36" s="6">
        <f t="shared" si="11"/>
        <v>77</v>
      </c>
      <c r="M36" s="6">
        <f t="shared" si="11"/>
        <v>72</v>
      </c>
      <c r="N36" s="6">
        <f t="shared" si="11"/>
        <v>70</v>
      </c>
      <c r="O36" s="6">
        <f t="shared" si="11"/>
        <v>81</v>
      </c>
      <c r="P36" s="6">
        <f t="shared" si="11"/>
        <v>8</v>
      </c>
      <c r="Q36" s="6">
        <f t="shared" si="11"/>
        <v>64</v>
      </c>
      <c r="R36" s="6">
        <f t="shared" si="11"/>
        <v>77</v>
      </c>
      <c r="S36" s="6">
        <f t="shared" si="11"/>
        <v>68</v>
      </c>
      <c r="T36" s="6">
        <f t="shared" si="11"/>
        <v>59</v>
      </c>
      <c r="U36" s="6">
        <f t="shared" si="11"/>
        <v>57</v>
      </c>
      <c r="V36" s="6">
        <f t="shared" si="11"/>
        <v>34</v>
      </c>
      <c r="W36" s="6">
        <f t="shared" si="10"/>
        <v>1143</v>
      </c>
    </row>
    <row r="37" ht="12.75" customHeight="1">
      <c r="A37" s="21"/>
      <c r="B37" s="8"/>
      <c r="C37" s="8"/>
      <c r="D37" s="8"/>
      <c r="E37" s="21"/>
      <c r="F37" s="8"/>
      <c r="G37" s="8"/>
      <c r="H37" s="8"/>
      <c r="I37" s="9"/>
      <c r="J37" s="13"/>
      <c r="K37" s="13"/>
      <c r="L37" s="13"/>
      <c r="M37" s="13"/>
      <c r="N37" s="67"/>
      <c r="O37" s="71"/>
      <c r="P37" s="71"/>
      <c r="Q37" s="71"/>
      <c r="R37" s="71"/>
      <c r="S37" s="71"/>
      <c r="T37" s="71"/>
      <c r="U37" s="71"/>
      <c r="V37" s="71"/>
      <c r="W37" s="6"/>
    </row>
    <row r="38" ht="12.75" customHeight="1">
      <c r="A38" s="44" t="s">
        <v>30</v>
      </c>
      <c r="B38" s="7" t="s">
        <v>31</v>
      </c>
      <c r="C38" s="8"/>
      <c r="D38" s="9"/>
      <c r="E38" s="6"/>
      <c r="F38" s="6"/>
      <c r="G38" s="6"/>
      <c r="H38" s="6"/>
      <c r="I38" s="6"/>
      <c r="J38" s="6"/>
      <c r="K38" s="6"/>
      <c r="L38" s="6"/>
      <c r="M38" s="6"/>
      <c r="N38" s="69"/>
      <c r="O38" s="69"/>
      <c r="P38" s="69"/>
      <c r="Q38" s="69"/>
      <c r="R38" s="69"/>
      <c r="S38" s="69"/>
      <c r="T38" s="69"/>
      <c r="U38" s="69"/>
      <c r="V38" s="69"/>
      <c r="W38" s="6"/>
    </row>
    <row r="39" ht="12.75" customHeight="1">
      <c r="A39" s="32"/>
      <c r="B39" s="45" t="s">
        <v>32</v>
      </c>
      <c r="C39" s="20"/>
      <c r="D39" s="13" t="s">
        <v>11</v>
      </c>
      <c r="E39" s="66">
        <v>0.0</v>
      </c>
      <c r="F39" s="66">
        <v>0.0</v>
      </c>
      <c r="G39" s="66">
        <v>0.0</v>
      </c>
      <c r="H39" s="66">
        <v>2.0</v>
      </c>
      <c r="I39" s="66">
        <v>0.0</v>
      </c>
      <c r="J39" s="66">
        <v>0.0</v>
      </c>
      <c r="K39" s="66">
        <v>0.0</v>
      </c>
      <c r="L39" s="66">
        <v>0.0</v>
      </c>
      <c r="M39" s="66">
        <v>0.0</v>
      </c>
      <c r="N39" s="66">
        <v>0.0</v>
      </c>
      <c r="O39" s="66">
        <v>0.0</v>
      </c>
      <c r="P39" s="66">
        <v>1.0</v>
      </c>
      <c r="Q39" s="66">
        <v>0.0</v>
      </c>
      <c r="R39" s="66">
        <v>0.0</v>
      </c>
      <c r="S39" s="66">
        <v>0.0</v>
      </c>
      <c r="T39" s="66">
        <v>1.0</v>
      </c>
      <c r="U39" s="66">
        <v>0.0</v>
      </c>
      <c r="V39" s="66">
        <v>0.0</v>
      </c>
      <c r="W39" s="6">
        <f t="shared" ref="W39:W41" si="12">SUM(E39:V39)</f>
        <v>4</v>
      </c>
    </row>
    <row r="40" ht="12.75" customHeight="1">
      <c r="A40" s="35"/>
      <c r="C40" s="26"/>
      <c r="D40" s="13" t="s">
        <v>12</v>
      </c>
      <c r="E40" s="66">
        <v>0.0</v>
      </c>
      <c r="F40" s="66">
        <v>0.0</v>
      </c>
      <c r="G40" s="66">
        <v>0.0</v>
      </c>
      <c r="H40" s="66">
        <v>1.0</v>
      </c>
      <c r="I40" s="66">
        <v>1.0</v>
      </c>
      <c r="J40" s="66">
        <v>0.0</v>
      </c>
      <c r="K40" s="66">
        <v>0.0</v>
      </c>
      <c r="L40" s="66">
        <v>0.0</v>
      </c>
      <c r="M40" s="66">
        <v>0.0</v>
      </c>
      <c r="N40" s="66">
        <v>0.0</v>
      </c>
      <c r="O40" s="66">
        <v>0.0</v>
      </c>
      <c r="P40" s="66">
        <v>1.0</v>
      </c>
      <c r="Q40" s="66">
        <v>0.0</v>
      </c>
      <c r="R40" s="66">
        <v>0.0</v>
      </c>
      <c r="S40" s="66">
        <v>0.0</v>
      </c>
      <c r="T40" s="66">
        <v>1.0</v>
      </c>
      <c r="U40" s="66">
        <v>0.0</v>
      </c>
      <c r="V40" s="66">
        <v>0.0</v>
      </c>
      <c r="W40" s="6">
        <f t="shared" si="12"/>
        <v>4</v>
      </c>
    </row>
    <row r="41" ht="12.75" customHeight="1">
      <c r="A41" s="42"/>
      <c r="B41" s="46"/>
      <c r="C41" s="27"/>
      <c r="D41" s="6" t="s">
        <v>13</v>
      </c>
      <c r="E41" s="6">
        <f t="shared" ref="E41:V41" si="13">SUM(E39:E40)</f>
        <v>0</v>
      </c>
      <c r="F41" s="6">
        <f t="shared" si="13"/>
        <v>0</v>
      </c>
      <c r="G41" s="6">
        <f t="shared" si="13"/>
        <v>0</v>
      </c>
      <c r="H41" s="6">
        <f t="shared" si="13"/>
        <v>3</v>
      </c>
      <c r="I41" s="6">
        <f t="shared" si="13"/>
        <v>1</v>
      </c>
      <c r="J41" s="6">
        <f t="shared" si="13"/>
        <v>0</v>
      </c>
      <c r="K41" s="6">
        <f t="shared" si="13"/>
        <v>0</v>
      </c>
      <c r="L41" s="6">
        <f t="shared" si="13"/>
        <v>0</v>
      </c>
      <c r="M41" s="6">
        <f t="shared" si="13"/>
        <v>0</v>
      </c>
      <c r="N41" s="6">
        <f t="shared" si="13"/>
        <v>0</v>
      </c>
      <c r="O41" s="6">
        <f t="shared" si="13"/>
        <v>0</v>
      </c>
      <c r="P41" s="6">
        <f t="shared" si="13"/>
        <v>2</v>
      </c>
      <c r="Q41" s="6">
        <f t="shared" si="13"/>
        <v>0</v>
      </c>
      <c r="R41" s="6">
        <f t="shared" si="13"/>
        <v>0</v>
      </c>
      <c r="S41" s="6">
        <f t="shared" si="13"/>
        <v>0</v>
      </c>
      <c r="T41" s="6">
        <f t="shared" si="13"/>
        <v>2</v>
      </c>
      <c r="U41" s="6">
        <f t="shared" si="13"/>
        <v>0</v>
      </c>
      <c r="V41" s="6">
        <f t="shared" si="13"/>
        <v>0</v>
      </c>
      <c r="W41" s="6">
        <f t="shared" si="12"/>
        <v>8</v>
      </c>
    </row>
    <row r="42" ht="12.75" customHeight="1">
      <c r="A42" s="47"/>
      <c r="B42" s="46"/>
      <c r="C42" s="46"/>
      <c r="D42" s="27"/>
      <c r="E42" s="21"/>
      <c r="F42" s="8"/>
      <c r="G42" s="8"/>
      <c r="H42" s="8"/>
      <c r="I42" s="9"/>
      <c r="J42" s="13"/>
      <c r="K42" s="13"/>
      <c r="L42" s="13"/>
      <c r="M42" s="13"/>
      <c r="N42" s="67"/>
      <c r="W42" s="6"/>
    </row>
    <row r="43" ht="12.75" customHeight="1">
      <c r="A43" s="44" t="s">
        <v>33</v>
      </c>
      <c r="B43" s="7" t="s">
        <v>34</v>
      </c>
      <c r="C43" s="8"/>
      <c r="D43" s="9"/>
      <c r="E43" s="28"/>
      <c r="F43" s="6"/>
      <c r="G43" s="6"/>
      <c r="H43" s="6"/>
      <c r="I43" s="6"/>
      <c r="J43" s="6"/>
      <c r="K43" s="6"/>
      <c r="L43" s="6"/>
      <c r="M43" s="6"/>
      <c r="N43" s="69"/>
      <c r="W43" s="6"/>
    </row>
    <row r="44" ht="12.75" customHeight="1">
      <c r="A44" s="45" t="s">
        <v>35</v>
      </c>
      <c r="B44" s="48"/>
      <c r="C44" s="48"/>
      <c r="D44" s="20"/>
      <c r="E44" s="21"/>
      <c r="F44" s="13"/>
      <c r="G44" s="13"/>
      <c r="H44" s="13"/>
      <c r="I44" s="13"/>
      <c r="J44" s="13"/>
      <c r="K44" s="13"/>
      <c r="L44" s="13"/>
      <c r="M44" s="13"/>
      <c r="N44" s="67"/>
      <c r="W44" s="6"/>
    </row>
    <row r="45" ht="12.75" customHeight="1">
      <c r="A45" s="32" t="s">
        <v>36</v>
      </c>
      <c r="B45" s="49" t="s">
        <v>16</v>
      </c>
      <c r="C45" s="50" t="s">
        <v>37</v>
      </c>
      <c r="D45" s="9"/>
      <c r="E45" s="66">
        <v>4.0</v>
      </c>
      <c r="F45" s="66">
        <v>10.0</v>
      </c>
      <c r="G45" s="66">
        <v>8.0</v>
      </c>
      <c r="H45" s="66">
        <v>4.0</v>
      </c>
      <c r="I45" s="66">
        <v>10.0</v>
      </c>
      <c r="J45" s="66">
        <v>7.0</v>
      </c>
      <c r="K45" s="66">
        <v>16.0</v>
      </c>
      <c r="L45" s="66">
        <v>7.0</v>
      </c>
      <c r="M45" s="66">
        <v>10.0</v>
      </c>
      <c r="N45" s="66">
        <v>8.0</v>
      </c>
      <c r="O45" s="66">
        <v>7.0</v>
      </c>
      <c r="P45" s="66">
        <v>3.0</v>
      </c>
      <c r="Q45" s="66">
        <v>13.0</v>
      </c>
      <c r="R45" s="66">
        <v>5.0</v>
      </c>
      <c r="S45" s="66">
        <v>8.0</v>
      </c>
      <c r="T45" s="66">
        <v>2.0</v>
      </c>
      <c r="U45" s="66">
        <v>1.0</v>
      </c>
      <c r="V45" s="66">
        <v>4.0</v>
      </c>
      <c r="W45" s="6">
        <f t="shared" ref="W45:W52" si="14">SUM(E45:V45)</f>
        <v>127</v>
      </c>
    </row>
    <row r="46" ht="12.75" customHeight="1">
      <c r="A46" s="32" t="s">
        <v>38</v>
      </c>
      <c r="B46" s="51"/>
      <c r="C46" s="52" t="s">
        <v>39</v>
      </c>
      <c r="D46" s="53"/>
      <c r="E46" s="66">
        <v>42.0</v>
      </c>
      <c r="F46" s="66">
        <v>29.0</v>
      </c>
      <c r="G46" s="66">
        <v>10.0</v>
      </c>
      <c r="H46" s="66">
        <v>36.0</v>
      </c>
      <c r="I46" s="66">
        <v>46.0</v>
      </c>
      <c r="J46" s="66">
        <v>79.0</v>
      </c>
      <c r="K46" s="66">
        <v>65.0</v>
      </c>
      <c r="L46" s="66">
        <v>35.0</v>
      </c>
      <c r="M46" s="66">
        <v>18.0</v>
      </c>
      <c r="N46" s="66">
        <v>20.0</v>
      </c>
      <c r="O46" s="66">
        <v>12.0</v>
      </c>
      <c r="P46" s="66">
        <v>20.0</v>
      </c>
      <c r="Q46" s="66">
        <v>16.0</v>
      </c>
      <c r="R46" s="66">
        <v>7.0</v>
      </c>
      <c r="S46" s="66">
        <v>20.0</v>
      </c>
      <c r="T46" s="66">
        <v>3.0</v>
      </c>
      <c r="U46" s="66">
        <v>6.0</v>
      </c>
      <c r="V46" s="66">
        <v>124.0</v>
      </c>
      <c r="W46" s="6">
        <f t="shared" si="14"/>
        <v>588</v>
      </c>
    </row>
    <row r="47" ht="12.75" customHeight="1">
      <c r="A47" s="18"/>
      <c r="B47" s="51"/>
      <c r="C47" s="52" t="s">
        <v>40</v>
      </c>
      <c r="D47" s="53"/>
      <c r="E47" s="66">
        <v>0.0</v>
      </c>
      <c r="F47" s="66">
        <v>1.0</v>
      </c>
      <c r="G47" s="66">
        <v>8.0</v>
      </c>
      <c r="H47" s="66">
        <v>1.0</v>
      </c>
      <c r="I47" s="66">
        <v>1.0</v>
      </c>
      <c r="J47" s="66">
        <v>0.0</v>
      </c>
      <c r="K47" s="66">
        <v>1.0</v>
      </c>
      <c r="L47" s="66">
        <v>2.0</v>
      </c>
      <c r="M47" s="66">
        <v>0.0</v>
      </c>
      <c r="N47" s="66">
        <v>2.0</v>
      </c>
      <c r="O47" s="66">
        <v>2.0</v>
      </c>
      <c r="P47" s="66">
        <v>1.0</v>
      </c>
      <c r="Q47" s="66">
        <v>0.0</v>
      </c>
      <c r="R47" s="66">
        <v>0.0</v>
      </c>
      <c r="S47" s="66">
        <v>0.0</v>
      </c>
      <c r="T47" s="66">
        <v>14.0</v>
      </c>
      <c r="U47" s="66">
        <v>13.0</v>
      </c>
      <c r="V47" s="66">
        <v>1.0</v>
      </c>
      <c r="W47" s="6">
        <f t="shared" si="14"/>
        <v>47</v>
      </c>
    </row>
    <row r="48" ht="12.75" customHeight="1">
      <c r="A48" s="18"/>
      <c r="B48" s="51"/>
      <c r="C48" s="52" t="s">
        <v>41</v>
      </c>
      <c r="D48" s="53"/>
      <c r="E48" s="66">
        <v>1.0</v>
      </c>
      <c r="F48" s="66">
        <v>0.0</v>
      </c>
      <c r="G48" s="66">
        <v>0.0</v>
      </c>
      <c r="H48" s="66">
        <v>1.0</v>
      </c>
      <c r="I48" s="66">
        <v>0.0</v>
      </c>
      <c r="J48" s="66">
        <v>1.0</v>
      </c>
      <c r="K48" s="66">
        <v>1.0</v>
      </c>
      <c r="L48" s="66">
        <v>0.0</v>
      </c>
      <c r="M48" s="66">
        <v>0.0</v>
      </c>
      <c r="N48" s="66">
        <v>2.0</v>
      </c>
      <c r="O48" s="66">
        <v>0.0</v>
      </c>
      <c r="P48" s="66">
        <v>1.0</v>
      </c>
      <c r="Q48" s="66">
        <v>1.0</v>
      </c>
      <c r="R48" s="66">
        <v>0.0</v>
      </c>
      <c r="S48" s="66">
        <v>2.0</v>
      </c>
      <c r="T48" s="66">
        <v>0.0</v>
      </c>
      <c r="U48" s="66">
        <v>0.0</v>
      </c>
      <c r="V48" s="66">
        <v>0.0</v>
      </c>
      <c r="W48" s="6">
        <f t="shared" si="14"/>
        <v>10</v>
      </c>
    </row>
    <row r="49" ht="12.75" customHeight="1">
      <c r="A49" s="18"/>
      <c r="B49" s="51"/>
      <c r="C49" s="52" t="s">
        <v>42</v>
      </c>
      <c r="D49" s="53"/>
      <c r="E49" s="66">
        <v>0.0</v>
      </c>
      <c r="F49" s="66">
        <v>0.0</v>
      </c>
      <c r="G49" s="66">
        <v>1.0</v>
      </c>
      <c r="H49" s="66">
        <v>1.0</v>
      </c>
      <c r="I49" s="66">
        <v>0.0</v>
      </c>
      <c r="J49" s="66">
        <v>1.0</v>
      </c>
      <c r="K49" s="66">
        <v>0.0</v>
      </c>
      <c r="L49" s="66">
        <v>1.0</v>
      </c>
      <c r="M49" s="66">
        <v>0.0</v>
      </c>
      <c r="N49" s="66">
        <v>0.0</v>
      </c>
      <c r="O49" s="66">
        <v>0.0</v>
      </c>
      <c r="P49" s="66">
        <v>0.0</v>
      </c>
      <c r="Q49" s="66">
        <v>0.0</v>
      </c>
      <c r="R49" s="66">
        <v>0.0</v>
      </c>
      <c r="S49" s="66">
        <v>0.0</v>
      </c>
      <c r="T49" s="66">
        <v>0.0</v>
      </c>
      <c r="U49" s="66">
        <v>0.0</v>
      </c>
      <c r="V49" s="66">
        <v>0.0</v>
      </c>
      <c r="W49" s="6">
        <f t="shared" si="14"/>
        <v>4</v>
      </c>
    </row>
    <row r="50" ht="12.75" customHeight="1">
      <c r="A50" s="18"/>
      <c r="B50" s="51"/>
      <c r="C50" s="52" t="s">
        <v>43</v>
      </c>
      <c r="D50" s="53"/>
      <c r="E50" s="66">
        <v>1.0</v>
      </c>
      <c r="F50" s="66">
        <v>0.0</v>
      </c>
      <c r="G50" s="66">
        <v>0.0</v>
      </c>
      <c r="H50" s="66">
        <v>1.0</v>
      </c>
      <c r="I50" s="66">
        <v>0.0</v>
      </c>
      <c r="J50" s="66">
        <v>0.0</v>
      </c>
      <c r="K50" s="66">
        <v>0.0</v>
      </c>
      <c r="L50" s="66">
        <v>0.0</v>
      </c>
      <c r="M50" s="66">
        <v>0.0</v>
      </c>
      <c r="N50" s="66">
        <v>0.0</v>
      </c>
      <c r="O50" s="66">
        <v>0.0</v>
      </c>
      <c r="P50" s="66">
        <v>0.0</v>
      </c>
      <c r="Q50" s="66">
        <v>0.0</v>
      </c>
      <c r="R50" s="66">
        <v>0.0</v>
      </c>
      <c r="S50" s="66">
        <v>0.0</v>
      </c>
      <c r="T50" s="66">
        <v>2.0</v>
      </c>
      <c r="U50" s="66">
        <v>0.0</v>
      </c>
      <c r="V50" s="66">
        <v>0.0</v>
      </c>
      <c r="W50" s="6">
        <f t="shared" si="14"/>
        <v>4</v>
      </c>
    </row>
    <row r="51" ht="12.75" customHeight="1">
      <c r="A51" s="18"/>
      <c r="B51" s="51"/>
      <c r="C51" s="52" t="s">
        <v>44</v>
      </c>
      <c r="D51" s="53"/>
      <c r="E51" s="66">
        <v>0.0</v>
      </c>
      <c r="F51" s="66">
        <v>0.0</v>
      </c>
      <c r="G51" s="66">
        <v>1.0</v>
      </c>
      <c r="H51" s="66">
        <v>0.0</v>
      </c>
      <c r="I51" s="66">
        <v>0.0</v>
      </c>
      <c r="J51" s="66">
        <v>0.0</v>
      </c>
      <c r="K51" s="66">
        <v>0.0</v>
      </c>
      <c r="L51" s="66">
        <v>0.0</v>
      </c>
      <c r="M51" s="66">
        <v>0.0</v>
      </c>
      <c r="N51" s="66">
        <v>0.0</v>
      </c>
      <c r="O51" s="66">
        <v>0.0</v>
      </c>
      <c r="P51" s="66">
        <v>0.0</v>
      </c>
      <c r="Q51" s="66">
        <v>0.0</v>
      </c>
      <c r="R51" s="66">
        <v>0.0</v>
      </c>
      <c r="S51" s="66">
        <v>0.0</v>
      </c>
      <c r="T51" s="66">
        <v>0.0</v>
      </c>
      <c r="U51" s="66">
        <v>0.0</v>
      </c>
      <c r="V51" s="66">
        <v>1.0</v>
      </c>
      <c r="W51" s="6">
        <f t="shared" si="14"/>
        <v>2</v>
      </c>
    </row>
    <row r="52" ht="12.75" customHeight="1">
      <c r="A52" s="13" t="s">
        <v>14</v>
      </c>
      <c r="B52" s="49" t="s">
        <v>45</v>
      </c>
      <c r="C52" s="8"/>
      <c r="D52" s="9"/>
      <c r="E52" s="54">
        <f t="shared" ref="E52:V52" si="15">SUM(E45:E51)</f>
        <v>48</v>
      </c>
      <c r="F52" s="54">
        <f t="shared" si="15"/>
        <v>40</v>
      </c>
      <c r="G52" s="54">
        <f t="shared" si="15"/>
        <v>28</v>
      </c>
      <c r="H52" s="54">
        <f t="shared" si="15"/>
        <v>44</v>
      </c>
      <c r="I52" s="54">
        <f t="shared" si="15"/>
        <v>57</v>
      </c>
      <c r="J52" s="54">
        <f t="shared" si="15"/>
        <v>88</v>
      </c>
      <c r="K52" s="54">
        <f t="shared" si="15"/>
        <v>83</v>
      </c>
      <c r="L52" s="54">
        <f t="shared" si="15"/>
        <v>45</v>
      </c>
      <c r="M52" s="54">
        <f t="shared" si="15"/>
        <v>28</v>
      </c>
      <c r="N52" s="54">
        <f t="shared" si="15"/>
        <v>32</v>
      </c>
      <c r="O52" s="54">
        <f t="shared" si="15"/>
        <v>21</v>
      </c>
      <c r="P52" s="54">
        <f t="shared" si="15"/>
        <v>25</v>
      </c>
      <c r="Q52" s="54">
        <f t="shared" si="15"/>
        <v>30</v>
      </c>
      <c r="R52" s="54">
        <f t="shared" si="15"/>
        <v>12</v>
      </c>
      <c r="S52" s="54">
        <f t="shared" si="15"/>
        <v>30</v>
      </c>
      <c r="T52" s="54">
        <f t="shared" si="15"/>
        <v>21</v>
      </c>
      <c r="U52" s="54">
        <f t="shared" si="15"/>
        <v>20</v>
      </c>
      <c r="V52" s="54">
        <f t="shared" si="15"/>
        <v>130</v>
      </c>
      <c r="W52" s="6">
        <f t="shared" si="14"/>
        <v>782</v>
      </c>
    </row>
    <row r="53" ht="12.75" customHeight="1">
      <c r="A53" s="55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6"/>
    </row>
    <row r="54" ht="12.75" customHeight="1">
      <c r="A54" s="32" t="s">
        <v>36</v>
      </c>
      <c r="B54" s="49" t="s">
        <v>18</v>
      </c>
      <c r="C54" s="50" t="s">
        <v>46</v>
      </c>
      <c r="D54" s="9"/>
      <c r="E54" s="66">
        <v>15.0</v>
      </c>
      <c r="F54" s="66">
        <v>18.0</v>
      </c>
      <c r="G54" s="66">
        <v>11.0</v>
      </c>
      <c r="H54" s="66">
        <v>4.0</v>
      </c>
      <c r="I54" s="66">
        <v>2.0</v>
      </c>
      <c r="J54" s="66">
        <v>3.0</v>
      </c>
      <c r="K54" s="66">
        <v>4.0</v>
      </c>
      <c r="L54" s="66">
        <v>3.0</v>
      </c>
      <c r="M54" s="66">
        <v>2.0</v>
      </c>
      <c r="N54" s="66">
        <v>2.0</v>
      </c>
      <c r="O54" s="66">
        <v>1.0</v>
      </c>
      <c r="P54" s="66">
        <v>5.0</v>
      </c>
      <c r="Q54" s="66">
        <v>5.0</v>
      </c>
      <c r="R54" s="66">
        <v>3.0</v>
      </c>
      <c r="S54" s="66">
        <v>7.0</v>
      </c>
      <c r="T54" s="66">
        <v>8.0</v>
      </c>
      <c r="U54" s="66">
        <v>1.0</v>
      </c>
      <c r="V54" s="66">
        <v>0.0</v>
      </c>
      <c r="W54" s="6">
        <f t="shared" ref="W54:W61" si="16">SUM(E54:V54)</f>
        <v>94</v>
      </c>
    </row>
    <row r="55" ht="12.75" customHeight="1">
      <c r="A55" s="32" t="s">
        <v>38</v>
      </c>
      <c r="B55" s="51"/>
      <c r="C55" s="52" t="s">
        <v>47</v>
      </c>
      <c r="D55" s="53"/>
      <c r="E55" s="66">
        <v>55.0</v>
      </c>
      <c r="F55" s="66">
        <v>28.0</v>
      </c>
      <c r="G55" s="66">
        <v>17.0</v>
      </c>
      <c r="H55" s="66">
        <v>16.0</v>
      </c>
      <c r="I55" s="66">
        <v>2.0</v>
      </c>
      <c r="J55" s="66">
        <v>3.0</v>
      </c>
      <c r="K55" s="66">
        <v>2.0</v>
      </c>
      <c r="L55" s="66">
        <v>0.0</v>
      </c>
      <c r="M55" s="66">
        <v>1.0</v>
      </c>
      <c r="N55" s="66">
        <v>2.0</v>
      </c>
      <c r="O55" s="66">
        <v>8.0</v>
      </c>
      <c r="P55" s="66">
        <v>9.0</v>
      </c>
      <c r="Q55" s="66">
        <v>9.0</v>
      </c>
      <c r="R55" s="66">
        <v>13.0</v>
      </c>
      <c r="S55" s="66">
        <v>10.0</v>
      </c>
      <c r="T55" s="66">
        <v>8.0</v>
      </c>
      <c r="U55" s="66">
        <v>3.0</v>
      </c>
      <c r="V55" s="66">
        <v>0.0</v>
      </c>
      <c r="W55" s="6">
        <f t="shared" si="16"/>
        <v>186</v>
      </c>
    </row>
    <row r="56" ht="12.75" customHeight="1">
      <c r="A56" s="18"/>
      <c r="B56" s="51"/>
      <c r="C56" s="52" t="s">
        <v>48</v>
      </c>
      <c r="D56" s="53"/>
      <c r="E56" s="66">
        <v>6.0</v>
      </c>
      <c r="F56" s="66">
        <v>2.0</v>
      </c>
      <c r="G56" s="66">
        <v>4.0</v>
      </c>
      <c r="H56" s="66">
        <v>2.0</v>
      </c>
      <c r="I56" s="66">
        <v>0.0</v>
      </c>
      <c r="J56" s="66">
        <v>1.0</v>
      </c>
      <c r="K56" s="66">
        <v>0.0</v>
      </c>
      <c r="L56" s="66">
        <v>0.0</v>
      </c>
      <c r="M56" s="66">
        <v>0.0</v>
      </c>
      <c r="N56" s="66">
        <v>0.0</v>
      </c>
      <c r="O56" s="66">
        <v>4.0</v>
      </c>
      <c r="P56" s="66">
        <v>4.0</v>
      </c>
      <c r="Q56" s="66">
        <v>11.0</v>
      </c>
      <c r="R56" s="66">
        <v>4.0</v>
      </c>
      <c r="S56" s="66">
        <v>6.0</v>
      </c>
      <c r="T56" s="66">
        <v>6.0</v>
      </c>
      <c r="U56" s="66">
        <v>1.0</v>
      </c>
      <c r="V56" s="66">
        <v>0.0</v>
      </c>
      <c r="W56" s="6">
        <f t="shared" si="16"/>
        <v>51</v>
      </c>
    </row>
    <row r="57" ht="12.75" customHeight="1">
      <c r="A57" s="18"/>
      <c r="B57" s="51"/>
      <c r="C57" s="52" t="s">
        <v>49</v>
      </c>
      <c r="D57" s="53"/>
      <c r="E57" s="66">
        <v>0.0</v>
      </c>
      <c r="F57" s="66">
        <v>3.0</v>
      </c>
      <c r="G57" s="66">
        <v>0.0</v>
      </c>
      <c r="H57" s="66">
        <v>1.0</v>
      </c>
      <c r="I57" s="66">
        <v>0.0</v>
      </c>
      <c r="J57" s="66">
        <v>0.0</v>
      </c>
      <c r="K57" s="66">
        <v>0.0</v>
      </c>
      <c r="L57" s="66">
        <v>0.0</v>
      </c>
      <c r="M57" s="66">
        <v>1.0</v>
      </c>
      <c r="N57" s="66">
        <v>0.0</v>
      </c>
      <c r="O57" s="66">
        <v>1.0</v>
      </c>
      <c r="P57" s="66">
        <v>0.0</v>
      </c>
      <c r="Q57" s="66">
        <v>0.0</v>
      </c>
      <c r="R57" s="66">
        <v>0.0</v>
      </c>
      <c r="S57" s="66">
        <v>0.0</v>
      </c>
      <c r="T57" s="66">
        <v>0.0</v>
      </c>
      <c r="U57" s="66">
        <v>0.0</v>
      </c>
      <c r="V57" s="66">
        <v>0.0</v>
      </c>
      <c r="W57" s="6">
        <f t="shared" si="16"/>
        <v>6</v>
      </c>
    </row>
    <row r="58" ht="12.75" customHeight="1">
      <c r="A58" s="18"/>
      <c r="B58" s="51"/>
      <c r="C58" s="52" t="s">
        <v>50</v>
      </c>
      <c r="D58" s="53"/>
      <c r="E58" s="66">
        <v>3.0</v>
      </c>
      <c r="F58" s="66">
        <v>7.0</v>
      </c>
      <c r="G58" s="66">
        <v>2.0</v>
      </c>
      <c r="H58" s="66">
        <v>2.0</v>
      </c>
      <c r="I58" s="66">
        <v>2.0</v>
      </c>
      <c r="J58" s="66">
        <v>0.0</v>
      </c>
      <c r="K58" s="66">
        <v>0.0</v>
      </c>
      <c r="L58" s="66">
        <v>0.0</v>
      </c>
      <c r="M58" s="66">
        <v>0.0</v>
      </c>
      <c r="N58" s="66">
        <v>1.0</v>
      </c>
      <c r="O58" s="66">
        <v>1.0</v>
      </c>
      <c r="P58" s="66">
        <v>2.0</v>
      </c>
      <c r="Q58" s="66">
        <v>0.0</v>
      </c>
      <c r="R58" s="66">
        <v>0.0</v>
      </c>
      <c r="S58" s="66">
        <v>0.0</v>
      </c>
      <c r="T58" s="66">
        <v>0.0</v>
      </c>
      <c r="U58" s="66">
        <v>0.0</v>
      </c>
      <c r="V58" s="66">
        <v>0.0</v>
      </c>
      <c r="W58" s="6">
        <f t="shared" si="16"/>
        <v>20</v>
      </c>
    </row>
    <row r="59" ht="12.75" customHeight="1">
      <c r="A59" s="18"/>
      <c r="B59" s="51"/>
      <c r="C59" s="52" t="s">
        <v>51</v>
      </c>
      <c r="D59" s="53"/>
      <c r="E59" s="66">
        <v>0.0</v>
      </c>
      <c r="F59" s="66">
        <v>1.0</v>
      </c>
      <c r="G59" s="66">
        <v>0.0</v>
      </c>
      <c r="H59" s="66">
        <v>0.0</v>
      </c>
      <c r="I59" s="66">
        <v>0.0</v>
      </c>
      <c r="J59" s="66">
        <v>0.0</v>
      </c>
      <c r="K59" s="66">
        <v>0.0</v>
      </c>
      <c r="L59" s="66">
        <v>0.0</v>
      </c>
      <c r="M59" s="66">
        <v>0.0</v>
      </c>
      <c r="N59" s="66">
        <v>0.0</v>
      </c>
      <c r="O59" s="66">
        <v>0.0</v>
      </c>
      <c r="P59" s="66">
        <v>1.0</v>
      </c>
      <c r="Q59" s="66">
        <v>0.0</v>
      </c>
      <c r="R59" s="66">
        <v>0.0</v>
      </c>
      <c r="S59" s="66">
        <v>0.0</v>
      </c>
      <c r="T59" s="66">
        <v>0.0</v>
      </c>
      <c r="U59" s="66">
        <v>0.0</v>
      </c>
      <c r="V59" s="66">
        <v>0.0</v>
      </c>
      <c r="W59" s="6">
        <f t="shared" si="16"/>
        <v>2</v>
      </c>
    </row>
    <row r="60" ht="12.75" customHeight="1">
      <c r="A60" s="18"/>
      <c r="B60" s="51"/>
      <c r="C60" s="52" t="s">
        <v>52</v>
      </c>
      <c r="D60" s="53"/>
      <c r="E60" s="66">
        <v>0.0</v>
      </c>
      <c r="F60" s="66">
        <v>0.0</v>
      </c>
      <c r="G60" s="66">
        <v>0.0</v>
      </c>
      <c r="H60" s="66">
        <v>0.0</v>
      </c>
      <c r="I60" s="66">
        <v>0.0</v>
      </c>
      <c r="J60" s="66">
        <v>0.0</v>
      </c>
      <c r="K60" s="66">
        <v>0.0</v>
      </c>
      <c r="L60" s="66">
        <v>0.0</v>
      </c>
      <c r="M60" s="66">
        <v>0.0</v>
      </c>
      <c r="N60" s="66">
        <v>0.0</v>
      </c>
      <c r="O60" s="66">
        <v>0.0</v>
      </c>
      <c r="P60" s="66">
        <v>0.0</v>
      </c>
      <c r="Q60" s="66">
        <v>0.0</v>
      </c>
      <c r="R60" s="66">
        <v>0.0</v>
      </c>
      <c r="S60" s="66">
        <v>0.0</v>
      </c>
      <c r="T60" s="66">
        <v>0.0</v>
      </c>
      <c r="U60" s="66">
        <v>0.0</v>
      </c>
      <c r="V60" s="66">
        <v>0.0</v>
      </c>
      <c r="W60" s="6">
        <f t="shared" si="16"/>
        <v>0</v>
      </c>
    </row>
    <row r="61" ht="12.75" customHeight="1">
      <c r="A61" s="13" t="s">
        <v>14</v>
      </c>
      <c r="B61" s="49" t="s">
        <v>45</v>
      </c>
      <c r="C61" s="8"/>
      <c r="D61" s="9"/>
      <c r="E61" s="54">
        <f t="shared" ref="E61:V61" si="17">SUM(E54:E60)</f>
        <v>79</v>
      </c>
      <c r="F61" s="54">
        <f t="shared" si="17"/>
        <v>59</v>
      </c>
      <c r="G61" s="54">
        <f t="shared" si="17"/>
        <v>34</v>
      </c>
      <c r="H61" s="54">
        <f t="shared" si="17"/>
        <v>25</v>
      </c>
      <c r="I61" s="54">
        <f t="shared" si="17"/>
        <v>6</v>
      </c>
      <c r="J61" s="54">
        <f t="shared" si="17"/>
        <v>7</v>
      </c>
      <c r="K61" s="54">
        <f t="shared" si="17"/>
        <v>6</v>
      </c>
      <c r="L61" s="54">
        <f t="shared" si="17"/>
        <v>3</v>
      </c>
      <c r="M61" s="54">
        <f t="shared" si="17"/>
        <v>4</v>
      </c>
      <c r="N61" s="54">
        <f t="shared" si="17"/>
        <v>5</v>
      </c>
      <c r="O61" s="54">
        <f t="shared" si="17"/>
        <v>15</v>
      </c>
      <c r="P61" s="54">
        <f t="shared" si="17"/>
        <v>21</v>
      </c>
      <c r="Q61" s="54">
        <f t="shared" si="17"/>
        <v>25</v>
      </c>
      <c r="R61" s="54">
        <f t="shared" si="17"/>
        <v>20</v>
      </c>
      <c r="S61" s="54">
        <f t="shared" si="17"/>
        <v>23</v>
      </c>
      <c r="T61" s="54">
        <f t="shared" si="17"/>
        <v>22</v>
      </c>
      <c r="U61" s="54">
        <f t="shared" si="17"/>
        <v>5</v>
      </c>
      <c r="V61" s="54">
        <f t="shared" si="17"/>
        <v>0</v>
      </c>
      <c r="W61" s="6">
        <f t="shared" si="16"/>
        <v>359</v>
      </c>
    </row>
    <row r="62" ht="12.75" customHeight="1">
      <c r="A62" s="55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6"/>
    </row>
    <row r="63" ht="12.75" customHeight="1">
      <c r="A63" s="32" t="s">
        <v>36</v>
      </c>
      <c r="B63" s="49" t="s">
        <v>20</v>
      </c>
      <c r="C63" s="50" t="s">
        <v>53</v>
      </c>
      <c r="D63" s="9"/>
      <c r="E63" s="66">
        <v>6.0</v>
      </c>
      <c r="F63" s="66">
        <v>18.0</v>
      </c>
      <c r="G63" s="66">
        <v>2.0</v>
      </c>
      <c r="H63" s="66">
        <v>2.0</v>
      </c>
      <c r="I63" s="66">
        <v>3.0</v>
      </c>
      <c r="J63" s="66">
        <v>2.0</v>
      </c>
      <c r="K63" s="66">
        <v>6.0</v>
      </c>
      <c r="L63" s="66">
        <v>4.0</v>
      </c>
      <c r="M63" s="66">
        <v>6.0</v>
      </c>
      <c r="N63" s="66">
        <v>3.0</v>
      </c>
      <c r="O63" s="66">
        <v>4.0</v>
      </c>
      <c r="P63" s="66">
        <v>9.0</v>
      </c>
      <c r="Q63" s="66">
        <v>5.0</v>
      </c>
      <c r="R63" s="66">
        <v>3.0</v>
      </c>
      <c r="S63" s="66">
        <v>13.0</v>
      </c>
      <c r="T63" s="66">
        <v>8.0</v>
      </c>
      <c r="U63" s="66">
        <v>2.0</v>
      </c>
      <c r="V63" s="66">
        <v>0.0</v>
      </c>
      <c r="W63" s="6">
        <f t="shared" ref="W63:W70" si="18">SUM(E63:V63)</f>
        <v>96</v>
      </c>
    </row>
    <row r="64" ht="12.75" customHeight="1">
      <c r="A64" s="32" t="s">
        <v>38</v>
      </c>
      <c r="B64" s="51"/>
      <c r="C64" s="52" t="s">
        <v>54</v>
      </c>
      <c r="D64" s="53"/>
      <c r="E64" s="66">
        <v>5.0</v>
      </c>
      <c r="F64" s="66">
        <v>10.0</v>
      </c>
      <c r="G64" s="66">
        <v>13.0</v>
      </c>
      <c r="H64" s="66">
        <v>12.0</v>
      </c>
      <c r="I64" s="66">
        <v>2.0</v>
      </c>
      <c r="J64" s="66">
        <v>0.0</v>
      </c>
      <c r="K64" s="66">
        <v>1.0</v>
      </c>
      <c r="L64" s="66">
        <v>0.0</v>
      </c>
      <c r="M64" s="66">
        <v>2.0</v>
      </c>
      <c r="N64" s="66">
        <v>3.0</v>
      </c>
      <c r="O64" s="66">
        <v>1.0</v>
      </c>
      <c r="P64" s="66">
        <v>9.0</v>
      </c>
      <c r="Q64" s="66">
        <v>1.0</v>
      </c>
      <c r="R64" s="66">
        <v>3.0</v>
      </c>
      <c r="S64" s="66">
        <v>13.0</v>
      </c>
      <c r="T64" s="66">
        <v>5.0</v>
      </c>
      <c r="U64" s="66">
        <v>5.0</v>
      </c>
      <c r="V64" s="66">
        <v>0.0</v>
      </c>
      <c r="W64" s="6">
        <f t="shared" si="18"/>
        <v>85</v>
      </c>
    </row>
    <row r="65" ht="12.75" customHeight="1">
      <c r="A65" s="18"/>
      <c r="B65" s="51"/>
      <c r="C65" s="52" t="s">
        <v>55</v>
      </c>
      <c r="D65" s="53"/>
      <c r="E65" s="66">
        <v>5.0</v>
      </c>
      <c r="F65" s="66">
        <v>25.0</v>
      </c>
      <c r="G65" s="66">
        <v>4.0</v>
      </c>
      <c r="H65" s="66">
        <v>3.0</v>
      </c>
      <c r="I65" s="66">
        <v>0.0</v>
      </c>
      <c r="J65" s="66">
        <v>0.0</v>
      </c>
      <c r="K65" s="66">
        <v>1.0</v>
      </c>
      <c r="L65" s="66">
        <v>0.0</v>
      </c>
      <c r="M65" s="66">
        <v>0.0</v>
      </c>
      <c r="N65" s="66">
        <v>1.0</v>
      </c>
      <c r="O65" s="66">
        <v>1.0</v>
      </c>
      <c r="P65" s="66">
        <v>5.0</v>
      </c>
      <c r="Q65" s="66">
        <v>2.0</v>
      </c>
      <c r="R65" s="66">
        <v>0.0</v>
      </c>
      <c r="S65" s="66">
        <v>1.0</v>
      </c>
      <c r="T65" s="66">
        <v>0.0</v>
      </c>
      <c r="U65" s="66">
        <v>1.0</v>
      </c>
      <c r="V65" s="66">
        <v>1.0</v>
      </c>
      <c r="W65" s="6">
        <f t="shared" si="18"/>
        <v>50</v>
      </c>
    </row>
    <row r="66" ht="12.75" customHeight="1">
      <c r="A66" s="18"/>
      <c r="B66" s="51"/>
      <c r="C66" s="52" t="s">
        <v>56</v>
      </c>
      <c r="D66" s="53"/>
      <c r="E66" s="66">
        <v>2.0</v>
      </c>
      <c r="F66" s="66">
        <v>1.0</v>
      </c>
      <c r="G66" s="66">
        <v>4.0</v>
      </c>
      <c r="H66" s="66">
        <v>0.0</v>
      </c>
      <c r="I66" s="66">
        <v>1.0</v>
      </c>
      <c r="J66" s="66">
        <v>1.0</v>
      </c>
      <c r="K66" s="66">
        <v>0.0</v>
      </c>
      <c r="L66" s="66">
        <v>0.0</v>
      </c>
      <c r="M66" s="66">
        <v>1.0</v>
      </c>
      <c r="N66" s="66">
        <v>0.0</v>
      </c>
      <c r="O66" s="66">
        <v>0.0</v>
      </c>
      <c r="P66" s="66">
        <v>1.0</v>
      </c>
      <c r="Q66" s="66">
        <v>0.0</v>
      </c>
      <c r="R66" s="66">
        <v>0.0</v>
      </c>
      <c r="S66" s="66">
        <v>4.0</v>
      </c>
      <c r="T66" s="66">
        <v>0.0</v>
      </c>
      <c r="U66" s="66">
        <v>1.0</v>
      </c>
      <c r="V66" s="66">
        <v>0.0</v>
      </c>
      <c r="W66" s="6">
        <f t="shared" si="18"/>
        <v>16</v>
      </c>
    </row>
    <row r="67" ht="12.75" customHeight="1">
      <c r="A67" s="18"/>
      <c r="B67" s="51"/>
      <c r="C67" s="52" t="s">
        <v>57</v>
      </c>
      <c r="D67" s="53"/>
      <c r="E67" s="66">
        <v>1.0</v>
      </c>
      <c r="F67" s="66">
        <v>0.0</v>
      </c>
      <c r="G67" s="66">
        <v>0.0</v>
      </c>
      <c r="H67" s="66">
        <v>2.0</v>
      </c>
      <c r="I67" s="66">
        <v>5.0</v>
      </c>
      <c r="J67" s="66">
        <v>3.0</v>
      </c>
      <c r="K67" s="66">
        <v>8.0</v>
      </c>
      <c r="L67" s="66">
        <v>15.0</v>
      </c>
      <c r="M67" s="66">
        <v>5.0</v>
      </c>
      <c r="N67" s="66">
        <v>12.0</v>
      </c>
      <c r="O67" s="66">
        <v>34.0</v>
      </c>
      <c r="P67" s="66">
        <v>39.0</v>
      </c>
      <c r="Q67" s="66">
        <v>1.0</v>
      </c>
      <c r="R67" s="66">
        <v>6.0</v>
      </c>
      <c r="S67" s="66">
        <v>13.0</v>
      </c>
      <c r="T67" s="66">
        <v>5.0</v>
      </c>
      <c r="U67" s="66">
        <v>0.0</v>
      </c>
      <c r="V67" s="66">
        <v>0.0</v>
      </c>
      <c r="W67" s="6">
        <f t="shared" si="18"/>
        <v>149</v>
      </c>
    </row>
    <row r="68" ht="12.75" customHeight="1">
      <c r="A68" s="18"/>
      <c r="B68" s="51"/>
      <c r="C68" s="52" t="s">
        <v>58</v>
      </c>
      <c r="D68" s="53"/>
      <c r="E68" s="66">
        <v>6.0</v>
      </c>
      <c r="F68" s="66">
        <v>21.0</v>
      </c>
      <c r="G68" s="66">
        <v>4.0</v>
      </c>
      <c r="H68" s="66">
        <v>4.0</v>
      </c>
      <c r="I68" s="66">
        <v>0.0</v>
      </c>
      <c r="J68" s="66">
        <v>0.0</v>
      </c>
      <c r="K68" s="66">
        <v>0.0</v>
      </c>
      <c r="L68" s="66">
        <v>3.0</v>
      </c>
      <c r="M68" s="66">
        <v>1.0</v>
      </c>
      <c r="N68" s="66">
        <v>1.0</v>
      </c>
      <c r="O68" s="66">
        <v>0.0</v>
      </c>
      <c r="P68" s="66">
        <v>1.0</v>
      </c>
      <c r="Q68" s="66">
        <v>0.0</v>
      </c>
      <c r="R68" s="66">
        <v>0.0</v>
      </c>
      <c r="S68" s="66">
        <v>0.0</v>
      </c>
      <c r="T68" s="66">
        <v>7.0</v>
      </c>
      <c r="U68" s="66">
        <v>1.0</v>
      </c>
      <c r="V68" s="66">
        <v>0.0</v>
      </c>
      <c r="W68" s="6">
        <f t="shared" si="18"/>
        <v>49</v>
      </c>
    </row>
    <row r="69" ht="12.75" customHeight="1">
      <c r="A69" s="18"/>
      <c r="B69" s="51"/>
      <c r="C69" s="52" t="s">
        <v>59</v>
      </c>
      <c r="D69" s="53"/>
      <c r="E69" s="66">
        <v>0.0</v>
      </c>
      <c r="F69" s="66">
        <v>0.0</v>
      </c>
      <c r="G69" s="66">
        <v>2.0</v>
      </c>
      <c r="H69" s="66">
        <v>2.0</v>
      </c>
      <c r="I69" s="66">
        <v>3.0</v>
      </c>
      <c r="J69" s="66">
        <v>8.0</v>
      </c>
      <c r="K69" s="66">
        <v>5.0</v>
      </c>
      <c r="L69" s="66">
        <v>13.0</v>
      </c>
      <c r="M69" s="66">
        <v>10.0</v>
      </c>
      <c r="N69" s="66">
        <v>7.0</v>
      </c>
      <c r="O69" s="66">
        <v>1.0</v>
      </c>
      <c r="P69" s="66">
        <v>0.0</v>
      </c>
      <c r="Q69" s="66">
        <v>0.0</v>
      </c>
      <c r="R69" s="66">
        <v>1.0</v>
      </c>
      <c r="S69" s="66">
        <v>0.0</v>
      </c>
      <c r="T69" s="66">
        <v>4.0</v>
      </c>
      <c r="U69" s="66">
        <v>6.0</v>
      </c>
      <c r="V69" s="66">
        <v>2.0</v>
      </c>
      <c r="W69" s="6">
        <f t="shared" si="18"/>
        <v>64</v>
      </c>
    </row>
    <row r="70" ht="12.75" customHeight="1">
      <c r="A70" s="13" t="s">
        <v>14</v>
      </c>
      <c r="B70" s="49" t="s">
        <v>45</v>
      </c>
      <c r="C70" s="8"/>
      <c r="D70" s="9"/>
      <c r="E70" s="54">
        <f t="shared" ref="E70:V70" si="19">SUM(E63:E69)</f>
        <v>25</v>
      </c>
      <c r="F70" s="54">
        <f t="shared" si="19"/>
        <v>75</v>
      </c>
      <c r="G70" s="54">
        <f t="shared" si="19"/>
        <v>29</v>
      </c>
      <c r="H70" s="54">
        <f t="shared" si="19"/>
        <v>25</v>
      </c>
      <c r="I70" s="54">
        <f t="shared" si="19"/>
        <v>14</v>
      </c>
      <c r="J70" s="54">
        <f t="shared" si="19"/>
        <v>14</v>
      </c>
      <c r="K70" s="54">
        <f t="shared" si="19"/>
        <v>21</v>
      </c>
      <c r="L70" s="54">
        <f t="shared" si="19"/>
        <v>35</v>
      </c>
      <c r="M70" s="54">
        <f t="shared" si="19"/>
        <v>25</v>
      </c>
      <c r="N70" s="54">
        <f t="shared" si="19"/>
        <v>27</v>
      </c>
      <c r="O70" s="54">
        <f t="shared" si="19"/>
        <v>41</v>
      </c>
      <c r="P70" s="54">
        <f t="shared" si="19"/>
        <v>64</v>
      </c>
      <c r="Q70" s="54">
        <f t="shared" si="19"/>
        <v>9</v>
      </c>
      <c r="R70" s="54">
        <f t="shared" si="19"/>
        <v>13</v>
      </c>
      <c r="S70" s="54">
        <f t="shared" si="19"/>
        <v>44</v>
      </c>
      <c r="T70" s="54">
        <f t="shared" si="19"/>
        <v>29</v>
      </c>
      <c r="U70" s="54">
        <f t="shared" si="19"/>
        <v>16</v>
      </c>
      <c r="V70" s="54">
        <f t="shared" si="19"/>
        <v>3</v>
      </c>
      <c r="W70" s="6">
        <f t="shared" si="18"/>
        <v>509</v>
      </c>
    </row>
    <row r="71" ht="12.75" customHeight="1">
      <c r="A71" s="55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6"/>
    </row>
    <row r="72" ht="12.75" customHeight="1">
      <c r="A72" s="32" t="s">
        <v>36</v>
      </c>
      <c r="B72" s="49" t="s">
        <v>22</v>
      </c>
      <c r="C72" s="50" t="s">
        <v>60</v>
      </c>
      <c r="D72" s="9"/>
      <c r="E72" s="66">
        <v>4.0</v>
      </c>
      <c r="F72" s="66">
        <v>3.0</v>
      </c>
      <c r="G72" s="66">
        <v>2.0</v>
      </c>
      <c r="H72" s="66">
        <v>0.0</v>
      </c>
      <c r="I72" s="66">
        <v>1.0</v>
      </c>
      <c r="J72" s="66">
        <v>0.0</v>
      </c>
      <c r="K72" s="66">
        <v>4.0</v>
      </c>
      <c r="L72" s="66">
        <v>1.0</v>
      </c>
      <c r="M72" s="66">
        <v>2.0</v>
      </c>
      <c r="N72" s="66">
        <v>1.0</v>
      </c>
      <c r="O72" s="66">
        <v>4.0</v>
      </c>
      <c r="P72" s="66">
        <v>6.0</v>
      </c>
      <c r="Q72" s="66">
        <v>4.0</v>
      </c>
      <c r="R72" s="66">
        <v>1.0</v>
      </c>
      <c r="S72" s="66">
        <v>2.0</v>
      </c>
      <c r="T72" s="66">
        <v>7.0</v>
      </c>
      <c r="U72" s="66">
        <v>1.0</v>
      </c>
      <c r="V72" s="66">
        <v>0.0</v>
      </c>
      <c r="W72" s="6">
        <f t="shared" ref="W72:W79" si="20">SUM(E72:V72)</f>
        <v>43</v>
      </c>
    </row>
    <row r="73" ht="12.75" customHeight="1">
      <c r="A73" s="32" t="s">
        <v>38</v>
      </c>
      <c r="B73" s="51"/>
      <c r="C73" s="52" t="s">
        <v>61</v>
      </c>
      <c r="D73" s="53"/>
      <c r="E73" s="66">
        <v>13.0</v>
      </c>
      <c r="F73" s="66">
        <v>3.0</v>
      </c>
      <c r="G73" s="66">
        <v>8.0</v>
      </c>
      <c r="H73" s="66">
        <v>5.0</v>
      </c>
      <c r="I73" s="66">
        <v>1.0</v>
      </c>
      <c r="J73" s="66">
        <v>3.0</v>
      </c>
      <c r="K73" s="66">
        <v>4.0</v>
      </c>
      <c r="L73" s="66">
        <v>5.0</v>
      </c>
      <c r="M73" s="66">
        <v>3.0</v>
      </c>
      <c r="N73" s="66">
        <v>10.0</v>
      </c>
      <c r="O73" s="66">
        <v>25.0</v>
      </c>
      <c r="P73" s="66">
        <v>17.0</v>
      </c>
      <c r="Q73" s="66">
        <v>18.0</v>
      </c>
      <c r="R73" s="66">
        <v>5.0</v>
      </c>
      <c r="S73" s="66">
        <v>14.0</v>
      </c>
      <c r="T73" s="66">
        <v>2.0</v>
      </c>
      <c r="U73" s="66">
        <v>5.0</v>
      </c>
      <c r="V73" s="66">
        <v>0.0</v>
      </c>
      <c r="W73" s="6">
        <f t="shared" si="20"/>
        <v>141</v>
      </c>
    </row>
    <row r="74" ht="12.75" customHeight="1">
      <c r="A74" s="18"/>
      <c r="B74" s="51"/>
      <c r="C74" s="52" t="s">
        <v>62</v>
      </c>
      <c r="D74" s="53"/>
      <c r="E74" s="66">
        <v>1.0</v>
      </c>
      <c r="F74" s="66">
        <v>0.0</v>
      </c>
      <c r="G74" s="66">
        <v>0.0</v>
      </c>
      <c r="H74" s="66">
        <v>0.0</v>
      </c>
      <c r="I74" s="66">
        <v>0.0</v>
      </c>
      <c r="J74" s="66">
        <v>0.0</v>
      </c>
      <c r="K74" s="66">
        <v>0.0</v>
      </c>
      <c r="L74" s="66">
        <v>0.0</v>
      </c>
      <c r="M74" s="66">
        <v>0.0</v>
      </c>
      <c r="N74" s="66">
        <v>0.0</v>
      </c>
      <c r="O74" s="66">
        <v>0.0</v>
      </c>
      <c r="P74" s="66">
        <v>0.0</v>
      </c>
      <c r="Q74" s="66">
        <v>0.0</v>
      </c>
      <c r="R74" s="66">
        <v>0.0</v>
      </c>
      <c r="S74" s="66">
        <v>0.0</v>
      </c>
      <c r="T74" s="66">
        <v>1.0</v>
      </c>
      <c r="U74" s="66">
        <v>0.0</v>
      </c>
      <c r="V74" s="66">
        <v>0.0</v>
      </c>
      <c r="W74" s="6">
        <f t="shared" si="20"/>
        <v>2</v>
      </c>
    </row>
    <row r="75" ht="12.75" customHeight="1">
      <c r="A75" s="18"/>
      <c r="B75" s="51"/>
      <c r="C75" s="52" t="s">
        <v>63</v>
      </c>
      <c r="D75" s="53"/>
      <c r="E75" s="66">
        <v>1.0</v>
      </c>
      <c r="F75" s="66">
        <v>2.0</v>
      </c>
      <c r="G75" s="66">
        <v>4.0</v>
      </c>
      <c r="H75" s="66">
        <v>1.0</v>
      </c>
      <c r="I75" s="66">
        <v>0.0</v>
      </c>
      <c r="J75" s="66">
        <v>0.0</v>
      </c>
      <c r="K75" s="66">
        <v>2.0</v>
      </c>
      <c r="L75" s="66">
        <v>2.0</v>
      </c>
      <c r="M75" s="66">
        <v>0.0</v>
      </c>
      <c r="N75" s="66">
        <v>0.0</v>
      </c>
      <c r="O75" s="66">
        <v>6.0</v>
      </c>
      <c r="P75" s="66">
        <v>3.0</v>
      </c>
      <c r="Q75" s="66">
        <v>0.0</v>
      </c>
      <c r="R75" s="66">
        <v>0.0</v>
      </c>
      <c r="S75" s="66">
        <v>2.0</v>
      </c>
      <c r="T75" s="66">
        <v>40.0</v>
      </c>
      <c r="U75" s="66">
        <v>17.0</v>
      </c>
      <c r="V75" s="66">
        <v>1.0</v>
      </c>
      <c r="W75" s="6">
        <f t="shared" si="20"/>
        <v>81</v>
      </c>
    </row>
    <row r="76" ht="12.75" customHeight="1">
      <c r="A76" s="18"/>
      <c r="B76" s="51"/>
      <c r="C76" s="52" t="s">
        <v>64</v>
      </c>
      <c r="D76" s="53"/>
      <c r="E76" s="66">
        <v>1.0</v>
      </c>
      <c r="F76" s="66">
        <v>0.0</v>
      </c>
      <c r="G76" s="66">
        <v>0.0</v>
      </c>
      <c r="H76" s="66">
        <v>0.0</v>
      </c>
      <c r="I76" s="66">
        <v>0.0</v>
      </c>
      <c r="J76" s="66">
        <v>0.0</v>
      </c>
      <c r="K76" s="66">
        <v>0.0</v>
      </c>
      <c r="L76" s="66">
        <v>0.0</v>
      </c>
      <c r="M76" s="66">
        <v>0.0</v>
      </c>
      <c r="N76" s="66">
        <v>0.0</v>
      </c>
      <c r="O76" s="66">
        <v>1.0</v>
      </c>
      <c r="P76" s="66">
        <v>0.0</v>
      </c>
      <c r="Q76" s="66">
        <v>1.0</v>
      </c>
      <c r="R76" s="66">
        <v>1.0</v>
      </c>
      <c r="S76" s="66">
        <v>0.0</v>
      </c>
      <c r="T76" s="66">
        <v>2.0</v>
      </c>
      <c r="U76" s="66">
        <v>0.0</v>
      </c>
      <c r="V76" s="66">
        <v>0.0</v>
      </c>
      <c r="W76" s="6">
        <f t="shared" si="20"/>
        <v>6</v>
      </c>
    </row>
    <row r="77" ht="12.75" customHeight="1">
      <c r="A77" s="18"/>
      <c r="B77" s="51"/>
      <c r="C77" s="52" t="s">
        <v>65</v>
      </c>
      <c r="D77" s="53"/>
      <c r="E77" s="66">
        <v>0.0</v>
      </c>
      <c r="F77" s="66">
        <v>0.0</v>
      </c>
      <c r="G77" s="66">
        <v>7.0</v>
      </c>
      <c r="H77" s="66">
        <v>0.0</v>
      </c>
      <c r="I77" s="66">
        <v>0.0</v>
      </c>
      <c r="J77" s="66">
        <v>0.0</v>
      </c>
      <c r="K77" s="66">
        <v>0.0</v>
      </c>
      <c r="L77" s="66">
        <v>0.0</v>
      </c>
      <c r="M77" s="66">
        <v>0.0</v>
      </c>
      <c r="N77" s="66">
        <v>0.0</v>
      </c>
      <c r="O77" s="66">
        <v>1.0</v>
      </c>
      <c r="P77" s="66">
        <v>0.0</v>
      </c>
      <c r="Q77" s="66">
        <v>0.0</v>
      </c>
      <c r="R77" s="66">
        <v>0.0</v>
      </c>
      <c r="S77" s="66">
        <v>0.0</v>
      </c>
      <c r="T77" s="66">
        <v>1.0</v>
      </c>
      <c r="U77" s="66">
        <v>0.0</v>
      </c>
      <c r="V77" s="66">
        <v>0.0</v>
      </c>
      <c r="W77" s="6">
        <f t="shared" si="20"/>
        <v>9</v>
      </c>
    </row>
    <row r="78" ht="12.75" customHeight="1">
      <c r="A78" s="18"/>
      <c r="B78" s="51"/>
      <c r="C78" s="52" t="s">
        <v>66</v>
      </c>
      <c r="D78" s="53"/>
      <c r="E78" s="66">
        <v>0.0</v>
      </c>
      <c r="F78" s="66">
        <v>0.0</v>
      </c>
      <c r="G78" s="66">
        <v>0.0</v>
      </c>
      <c r="H78" s="66">
        <v>0.0</v>
      </c>
      <c r="I78" s="66">
        <v>0.0</v>
      </c>
      <c r="J78" s="66">
        <v>0.0</v>
      </c>
      <c r="K78" s="66">
        <v>0.0</v>
      </c>
      <c r="L78" s="66">
        <v>0.0</v>
      </c>
      <c r="M78" s="66">
        <v>0.0</v>
      </c>
      <c r="N78" s="66">
        <v>0.0</v>
      </c>
      <c r="O78" s="66">
        <v>0.0</v>
      </c>
      <c r="P78" s="66">
        <v>0.0</v>
      </c>
      <c r="Q78" s="66">
        <v>0.0</v>
      </c>
      <c r="R78" s="66">
        <v>0.0</v>
      </c>
      <c r="S78" s="66">
        <v>0.0</v>
      </c>
      <c r="T78" s="66">
        <v>0.0</v>
      </c>
      <c r="U78" s="66">
        <v>0.0</v>
      </c>
      <c r="V78" s="66">
        <v>0.0</v>
      </c>
      <c r="W78" s="6">
        <f t="shared" si="20"/>
        <v>0</v>
      </c>
    </row>
    <row r="79" ht="12.75" customHeight="1">
      <c r="A79" s="13" t="s">
        <v>14</v>
      </c>
      <c r="B79" s="49" t="s">
        <v>45</v>
      </c>
      <c r="C79" s="8"/>
      <c r="D79" s="9"/>
      <c r="E79" s="54">
        <f t="shared" ref="E79:V79" si="21">SUM(E72:E78)</f>
        <v>20</v>
      </c>
      <c r="F79" s="54">
        <f t="shared" si="21"/>
        <v>8</v>
      </c>
      <c r="G79" s="54">
        <f t="shared" si="21"/>
        <v>21</v>
      </c>
      <c r="H79" s="54">
        <f t="shared" si="21"/>
        <v>6</v>
      </c>
      <c r="I79" s="54">
        <f t="shared" si="21"/>
        <v>2</v>
      </c>
      <c r="J79" s="54">
        <f t="shared" si="21"/>
        <v>3</v>
      </c>
      <c r="K79" s="54">
        <f t="shared" si="21"/>
        <v>10</v>
      </c>
      <c r="L79" s="54">
        <f t="shared" si="21"/>
        <v>8</v>
      </c>
      <c r="M79" s="54">
        <f t="shared" si="21"/>
        <v>5</v>
      </c>
      <c r="N79" s="54">
        <f t="shared" si="21"/>
        <v>11</v>
      </c>
      <c r="O79" s="54">
        <f t="shared" si="21"/>
        <v>37</v>
      </c>
      <c r="P79" s="54">
        <f t="shared" si="21"/>
        <v>26</v>
      </c>
      <c r="Q79" s="54">
        <f t="shared" si="21"/>
        <v>23</v>
      </c>
      <c r="R79" s="54">
        <f t="shared" si="21"/>
        <v>7</v>
      </c>
      <c r="S79" s="54">
        <f t="shared" si="21"/>
        <v>18</v>
      </c>
      <c r="T79" s="54">
        <f t="shared" si="21"/>
        <v>53</v>
      </c>
      <c r="U79" s="54">
        <f t="shared" si="21"/>
        <v>23</v>
      </c>
      <c r="V79" s="54">
        <f t="shared" si="21"/>
        <v>1</v>
      </c>
      <c r="W79" s="6">
        <f t="shared" si="20"/>
        <v>282</v>
      </c>
    </row>
    <row r="80" ht="12.75" customHeight="1">
      <c r="A80" s="55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6"/>
    </row>
    <row r="81" ht="12.75" customHeight="1">
      <c r="A81" s="32" t="s">
        <v>36</v>
      </c>
      <c r="B81" s="49" t="s">
        <v>67</v>
      </c>
      <c r="C81" s="50" t="s">
        <v>68</v>
      </c>
      <c r="D81" s="9"/>
      <c r="E81" s="66">
        <v>0.0</v>
      </c>
      <c r="F81" s="66">
        <v>4.0</v>
      </c>
      <c r="G81" s="66">
        <v>0.0</v>
      </c>
      <c r="H81" s="66">
        <v>0.0</v>
      </c>
      <c r="I81" s="66">
        <v>2.0</v>
      </c>
      <c r="J81" s="66">
        <v>1.0</v>
      </c>
      <c r="K81" s="66">
        <v>2.0</v>
      </c>
      <c r="L81" s="66">
        <v>9.0</v>
      </c>
      <c r="M81" s="66">
        <v>6.0</v>
      </c>
      <c r="N81" s="66">
        <v>7.0</v>
      </c>
      <c r="O81" s="66">
        <v>1.0</v>
      </c>
      <c r="P81" s="66">
        <v>1.0</v>
      </c>
      <c r="Q81" s="66">
        <v>0.0</v>
      </c>
      <c r="R81" s="66">
        <v>0.0</v>
      </c>
      <c r="S81" s="66">
        <v>1.0</v>
      </c>
      <c r="T81" s="66">
        <v>2.0</v>
      </c>
      <c r="U81" s="66">
        <v>0.0</v>
      </c>
      <c r="V81" s="66">
        <v>0.0</v>
      </c>
      <c r="W81" s="6">
        <f t="shared" ref="W81:W88" si="22">SUM(E81:V81)</f>
        <v>36</v>
      </c>
    </row>
    <row r="82" ht="12.75" customHeight="1">
      <c r="A82" s="32" t="s">
        <v>38</v>
      </c>
      <c r="B82" s="51"/>
      <c r="C82" s="52" t="s">
        <v>69</v>
      </c>
      <c r="D82" s="53"/>
      <c r="E82" s="66">
        <v>0.0</v>
      </c>
      <c r="F82" s="66">
        <v>1.0</v>
      </c>
      <c r="G82" s="66">
        <v>1.0</v>
      </c>
      <c r="H82" s="66">
        <v>1.0</v>
      </c>
      <c r="I82" s="66">
        <v>72.0</v>
      </c>
      <c r="J82" s="66">
        <v>24.0</v>
      </c>
      <c r="K82" s="66">
        <v>42.0</v>
      </c>
      <c r="L82" s="66">
        <v>50.0</v>
      </c>
      <c r="M82" s="66">
        <v>68.0</v>
      </c>
      <c r="N82" s="66">
        <v>78.0</v>
      </c>
      <c r="O82" s="66">
        <v>0.0</v>
      </c>
      <c r="P82" s="66">
        <v>0.0</v>
      </c>
      <c r="Q82" s="66">
        <v>0.0</v>
      </c>
      <c r="R82" s="66">
        <v>0.0</v>
      </c>
      <c r="S82" s="66">
        <v>1.0</v>
      </c>
      <c r="T82" s="66">
        <v>0.0</v>
      </c>
      <c r="U82" s="66">
        <v>0.0</v>
      </c>
      <c r="V82" s="66">
        <v>0.0</v>
      </c>
      <c r="W82" s="6">
        <f t="shared" si="22"/>
        <v>338</v>
      </c>
    </row>
    <row r="83" ht="12.75" customHeight="1">
      <c r="A83" s="18"/>
      <c r="B83" s="51"/>
      <c r="C83" s="52" t="s">
        <v>70</v>
      </c>
      <c r="D83" s="53"/>
      <c r="E83" s="66">
        <v>2.0</v>
      </c>
      <c r="F83" s="66">
        <v>0.0</v>
      </c>
      <c r="G83" s="66">
        <v>0.0</v>
      </c>
      <c r="H83" s="66">
        <v>0.0</v>
      </c>
      <c r="I83" s="66">
        <v>0.0</v>
      </c>
      <c r="J83" s="66">
        <v>0.0</v>
      </c>
      <c r="K83" s="66">
        <v>1.0</v>
      </c>
      <c r="L83" s="66">
        <v>0.0</v>
      </c>
      <c r="M83" s="66">
        <v>1.0</v>
      </c>
      <c r="N83" s="66">
        <v>0.0</v>
      </c>
      <c r="O83" s="66">
        <v>0.0</v>
      </c>
      <c r="P83" s="66">
        <v>0.0</v>
      </c>
      <c r="Q83" s="66">
        <v>0.0</v>
      </c>
      <c r="R83" s="66">
        <v>0.0</v>
      </c>
      <c r="S83" s="66">
        <v>0.0</v>
      </c>
      <c r="T83" s="66">
        <v>1.0</v>
      </c>
      <c r="U83" s="66">
        <v>0.0</v>
      </c>
      <c r="V83" s="66">
        <v>0.0</v>
      </c>
      <c r="W83" s="6">
        <f t="shared" si="22"/>
        <v>5</v>
      </c>
    </row>
    <row r="84" ht="12.75" customHeight="1">
      <c r="A84" s="18"/>
      <c r="B84" s="51"/>
      <c r="C84" s="52" t="s">
        <v>71</v>
      </c>
      <c r="D84" s="53"/>
      <c r="E84" s="66">
        <v>0.0</v>
      </c>
      <c r="F84" s="66">
        <v>0.0</v>
      </c>
      <c r="G84" s="66">
        <v>0.0</v>
      </c>
      <c r="H84" s="66">
        <v>0.0</v>
      </c>
      <c r="I84" s="66">
        <v>0.0</v>
      </c>
      <c r="J84" s="66">
        <v>0.0</v>
      </c>
      <c r="K84" s="66">
        <v>1.0</v>
      </c>
      <c r="L84" s="66">
        <v>0.0</v>
      </c>
      <c r="M84" s="66">
        <v>0.0</v>
      </c>
      <c r="N84" s="66">
        <v>0.0</v>
      </c>
      <c r="O84" s="66">
        <v>0.0</v>
      </c>
      <c r="P84" s="66">
        <v>0.0</v>
      </c>
      <c r="Q84" s="66">
        <v>0.0</v>
      </c>
      <c r="R84" s="66">
        <v>0.0</v>
      </c>
      <c r="S84" s="66">
        <v>0.0</v>
      </c>
      <c r="T84" s="66">
        <v>0.0</v>
      </c>
      <c r="U84" s="66">
        <v>0.0</v>
      </c>
      <c r="V84" s="66">
        <v>0.0</v>
      </c>
      <c r="W84" s="6">
        <f t="shared" si="22"/>
        <v>1</v>
      </c>
    </row>
    <row r="85" ht="12.75" customHeight="1">
      <c r="A85" s="18"/>
      <c r="B85" s="51"/>
      <c r="C85" s="52" t="s">
        <v>72</v>
      </c>
      <c r="D85" s="53"/>
      <c r="E85" s="66">
        <v>0.0</v>
      </c>
      <c r="F85" s="66">
        <v>0.0</v>
      </c>
      <c r="G85" s="66">
        <v>0.0</v>
      </c>
      <c r="H85" s="66">
        <v>0.0</v>
      </c>
      <c r="I85" s="66">
        <v>0.0</v>
      </c>
      <c r="J85" s="66">
        <v>0.0</v>
      </c>
      <c r="K85" s="66">
        <v>0.0</v>
      </c>
      <c r="L85" s="66">
        <v>0.0</v>
      </c>
      <c r="M85" s="66">
        <v>0.0</v>
      </c>
      <c r="N85" s="66">
        <v>0.0</v>
      </c>
      <c r="O85" s="66">
        <v>0.0</v>
      </c>
      <c r="P85" s="66">
        <v>0.0</v>
      </c>
      <c r="Q85" s="66">
        <v>1.0</v>
      </c>
      <c r="R85" s="66">
        <v>0.0</v>
      </c>
      <c r="S85" s="66">
        <v>0.0</v>
      </c>
      <c r="T85" s="66">
        <v>0.0</v>
      </c>
      <c r="U85" s="66">
        <v>0.0</v>
      </c>
      <c r="V85" s="66">
        <v>0.0</v>
      </c>
      <c r="W85" s="6">
        <f t="shared" si="22"/>
        <v>1</v>
      </c>
    </row>
    <row r="86" ht="12.75" customHeight="1">
      <c r="A86" s="18"/>
      <c r="B86" s="51"/>
      <c r="C86" s="52" t="s">
        <v>73</v>
      </c>
      <c r="D86" s="53"/>
      <c r="E86" s="66">
        <v>0.0</v>
      </c>
      <c r="F86" s="66">
        <v>0.0</v>
      </c>
      <c r="G86" s="66">
        <v>1.0</v>
      </c>
      <c r="H86" s="66">
        <v>4.0</v>
      </c>
      <c r="I86" s="66">
        <v>0.0</v>
      </c>
      <c r="J86" s="66">
        <v>0.0</v>
      </c>
      <c r="K86" s="66">
        <v>0.0</v>
      </c>
      <c r="L86" s="66">
        <v>0.0</v>
      </c>
      <c r="M86" s="66">
        <v>0.0</v>
      </c>
      <c r="N86" s="66">
        <v>0.0</v>
      </c>
      <c r="O86" s="66">
        <v>0.0</v>
      </c>
      <c r="P86" s="66">
        <v>0.0</v>
      </c>
      <c r="Q86" s="66">
        <v>0.0</v>
      </c>
      <c r="R86" s="66">
        <v>1.0</v>
      </c>
      <c r="S86" s="66">
        <v>0.0</v>
      </c>
      <c r="T86" s="66">
        <v>5.0</v>
      </c>
      <c r="U86" s="66">
        <v>0.0</v>
      </c>
      <c r="V86" s="66">
        <v>0.0</v>
      </c>
      <c r="W86" s="6">
        <f t="shared" si="22"/>
        <v>11</v>
      </c>
    </row>
    <row r="87" ht="12.75" customHeight="1">
      <c r="A87" s="18"/>
      <c r="B87" s="51"/>
      <c r="C87" s="52" t="s">
        <v>74</v>
      </c>
      <c r="D87" s="53"/>
      <c r="E87" s="66">
        <v>0.0</v>
      </c>
      <c r="F87" s="66">
        <v>0.0</v>
      </c>
      <c r="G87" s="66">
        <v>0.0</v>
      </c>
      <c r="H87" s="66">
        <v>0.0</v>
      </c>
      <c r="I87" s="66">
        <v>0.0</v>
      </c>
      <c r="J87" s="66">
        <v>0.0</v>
      </c>
      <c r="K87" s="66">
        <v>0.0</v>
      </c>
      <c r="L87" s="66">
        <v>0.0</v>
      </c>
      <c r="M87" s="66">
        <v>0.0</v>
      </c>
      <c r="N87" s="66">
        <v>0.0</v>
      </c>
      <c r="O87" s="66">
        <v>0.0</v>
      </c>
      <c r="P87" s="66">
        <v>0.0</v>
      </c>
      <c r="Q87" s="66">
        <v>0.0</v>
      </c>
      <c r="R87" s="66">
        <v>0.0</v>
      </c>
      <c r="S87" s="66">
        <v>0.0</v>
      </c>
      <c r="T87" s="66">
        <v>0.0</v>
      </c>
      <c r="U87" s="66">
        <v>0.0</v>
      </c>
      <c r="V87" s="66">
        <v>0.0</v>
      </c>
      <c r="W87" s="6">
        <f t="shared" si="22"/>
        <v>0</v>
      </c>
    </row>
    <row r="88" ht="12.75" customHeight="1">
      <c r="A88" s="13" t="s">
        <v>14</v>
      </c>
      <c r="B88" s="49" t="s">
        <v>45</v>
      </c>
      <c r="C88" s="8"/>
      <c r="D88" s="9"/>
      <c r="E88" s="54">
        <f t="shared" ref="E88:V88" si="23">SUM(E81:E87)</f>
        <v>2</v>
      </c>
      <c r="F88" s="54">
        <f t="shared" si="23"/>
        <v>5</v>
      </c>
      <c r="G88" s="54">
        <f t="shared" si="23"/>
        <v>2</v>
      </c>
      <c r="H88" s="54">
        <f t="shared" si="23"/>
        <v>5</v>
      </c>
      <c r="I88" s="54">
        <f t="shared" si="23"/>
        <v>74</v>
      </c>
      <c r="J88" s="54">
        <f t="shared" si="23"/>
        <v>25</v>
      </c>
      <c r="K88" s="54">
        <f t="shared" si="23"/>
        <v>46</v>
      </c>
      <c r="L88" s="54">
        <f t="shared" si="23"/>
        <v>59</v>
      </c>
      <c r="M88" s="54">
        <f t="shared" si="23"/>
        <v>75</v>
      </c>
      <c r="N88" s="54">
        <f t="shared" si="23"/>
        <v>85</v>
      </c>
      <c r="O88" s="54">
        <f t="shared" si="23"/>
        <v>1</v>
      </c>
      <c r="P88" s="54">
        <f t="shared" si="23"/>
        <v>1</v>
      </c>
      <c r="Q88" s="54">
        <f t="shared" si="23"/>
        <v>1</v>
      </c>
      <c r="R88" s="54">
        <f t="shared" si="23"/>
        <v>1</v>
      </c>
      <c r="S88" s="54">
        <f t="shared" si="23"/>
        <v>2</v>
      </c>
      <c r="T88" s="54">
        <f t="shared" si="23"/>
        <v>8</v>
      </c>
      <c r="U88" s="54">
        <f t="shared" si="23"/>
        <v>0</v>
      </c>
      <c r="V88" s="54">
        <f t="shared" si="23"/>
        <v>0</v>
      </c>
      <c r="W88" s="6">
        <f t="shared" si="22"/>
        <v>392</v>
      </c>
    </row>
    <row r="89" ht="12.75" customHeight="1">
      <c r="A89" s="55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6"/>
    </row>
    <row r="90" ht="12.75" customHeight="1">
      <c r="A90" s="32" t="s">
        <v>36</v>
      </c>
      <c r="B90" s="49" t="s">
        <v>75</v>
      </c>
      <c r="C90" s="50" t="s">
        <v>76</v>
      </c>
      <c r="D90" s="9"/>
      <c r="E90" s="66">
        <v>1.0</v>
      </c>
      <c r="F90" s="66">
        <v>0.0</v>
      </c>
      <c r="G90" s="66">
        <v>0.0</v>
      </c>
      <c r="H90" s="66">
        <v>0.0</v>
      </c>
      <c r="I90" s="66">
        <v>0.0</v>
      </c>
      <c r="J90" s="66">
        <v>0.0</v>
      </c>
      <c r="K90" s="66">
        <v>0.0</v>
      </c>
      <c r="L90" s="66">
        <v>0.0</v>
      </c>
      <c r="M90" s="66">
        <v>0.0</v>
      </c>
      <c r="N90" s="66">
        <v>1.0</v>
      </c>
      <c r="O90" s="66">
        <v>0.0</v>
      </c>
      <c r="P90" s="66">
        <v>0.0</v>
      </c>
      <c r="Q90" s="66">
        <v>0.0</v>
      </c>
      <c r="R90" s="66">
        <v>0.0</v>
      </c>
      <c r="S90" s="66">
        <v>0.0</v>
      </c>
      <c r="T90" s="66">
        <v>1.0</v>
      </c>
      <c r="U90" s="66">
        <v>0.0</v>
      </c>
      <c r="V90" s="66">
        <v>0.0</v>
      </c>
      <c r="W90" s="6">
        <f t="shared" ref="W90:W92" si="24">SUM(E90:V90)</f>
        <v>3</v>
      </c>
    </row>
    <row r="91" ht="12.75" customHeight="1">
      <c r="A91" s="32" t="s">
        <v>38</v>
      </c>
      <c r="B91" s="51"/>
      <c r="C91" s="52"/>
      <c r="D91" s="9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6">
        <f t="shared" si="24"/>
        <v>0</v>
      </c>
    </row>
    <row r="92" ht="12.75" customHeight="1">
      <c r="A92" s="13" t="s">
        <v>14</v>
      </c>
      <c r="B92" s="49" t="s">
        <v>45</v>
      </c>
      <c r="C92" s="8"/>
      <c r="D92" s="9"/>
      <c r="E92" s="54">
        <f t="shared" ref="E92:V92" si="25">SUM(E90:E91)</f>
        <v>1</v>
      </c>
      <c r="F92" s="54">
        <f t="shared" si="25"/>
        <v>0</v>
      </c>
      <c r="G92" s="54">
        <f t="shared" si="25"/>
        <v>0</v>
      </c>
      <c r="H92" s="54">
        <f t="shared" si="25"/>
        <v>0</v>
      </c>
      <c r="I92" s="54">
        <f t="shared" si="25"/>
        <v>0</v>
      </c>
      <c r="J92" s="54">
        <f t="shared" si="25"/>
        <v>0</v>
      </c>
      <c r="K92" s="54">
        <f t="shared" si="25"/>
        <v>0</v>
      </c>
      <c r="L92" s="54">
        <f t="shared" si="25"/>
        <v>0</v>
      </c>
      <c r="M92" s="54">
        <f t="shared" si="25"/>
        <v>0</v>
      </c>
      <c r="N92" s="54">
        <f t="shared" si="25"/>
        <v>1</v>
      </c>
      <c r="O92" s="54">
        <f t="shared" si="25"/>
        <v>0</v>
      </c>
      <c r="P92" s="54">
        <f t="shared" si="25"/>
        <v>0</v>
      </c>
      <c r="Q92" s="54">
        <f t="shared" si="25"/>
        <v>0</v>
      </c>
      <c r="R92" s="54">
        <f t="shared" si="25"/>
        <v>0</v>
      </c>
      <c r="S92" s="54">
        <f t="shared" si="25"/>
        <v>0</v>
      </c>
      <c r="T92" s="54">
        <f t="shared" si="25"/>
        <v>1</v>
      </c>
      <c r="U92" s="54">
        <f t="shared" si="25"/>
        <v>0</v>
      </c>
      <c r="V92" s="54">
        <f t="shared" si="25"/>
        <v>0</v>
      </c>
      <c r="W92" s="6">
        <f t="shared" si="24"/>
        <v>3</v>
      </c>
    </row>
    <row r="93" ht="12.75" customHeight="1">
      <c r="A93" s="55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6"/>
    </row>
    <row r="94" ht="12.75" customHeight="1">
      <c r="A94" s="32" t="s">
        <v>36</v>
      </c>
      <c r="B94" s="49" t="s">
        <v>77</v>
      </c>
      <c r="C94" s="50" t="s">
        <v>78</v>
      </c>
      <c r="D94" s="9"/>
      <c r="E94" s="66">
        <v>0.0</v>
      </c>
      <c r="F94" s="66">
        <v>0.0</v>
      </c>
      <c r="G94" s="66">
        <v>0.0</v>
      </c>
      <c r="H94" s="66">
        <v>2.0</v>
      </c>
      <c r="I94" s="66">
        <v>0.0</v>
      </c>
      <c r="J94" s="66">
        <v>0.0</v>
      </c>
      <c r="K94" s="66">
        <v>1.0</v>
      </c>
      <c r="L94" s="66">
        <v>0.0</v>
      </c>
      <c r="M94" s="66">
        <v>2.0</v>
      </c>
      <c r="N94" s="66">
        <v>0.0</v>
      </c>
      <c r="O94" s="66">
        <v>0.0</v>
      </c>
      <c r="P94" s="66">
        <v>0.0</v>
      </c>
      <c r="Q94" s="66">
        <v>0.0</v>
      </c>
      <c r="R94" s="66">
        <v>0.0</v>
      </c>
      <c r="S94" s="66">
        <v>0.0</v>
      </c>
      <c r="T94" s="66">
        <v>1.0</v>
      </c>
      <c r="U94" s="66">
        <v>0.0</v>
      </c>
      <c r="V94" s="66">
        <v>0.0</v>
      </c>
      <c r="W94" s="6">
        <f t="shared" ref="W94:W98" si="26">SUM(E94:V94)</f>
        <v>6</v>
      </c>
    </row>
    <row r="95" ht="12.75" customHeight="1">
      <c r="A95" s="32" t="s">
        <v>38</v>
      </c>
      <c r="B95" s="51"/>
      <c r="C95" s="52" t="s">
        <v>79</v>
      </c>
      <c r="D95" s="53"/>
      <c r="E95" s="66">
        <v>0.0</v>
      </c>
      <c r="F95" s="66">
        <v>1.0</v>
      </c>
      <c r="G95" s="66">
        <v>0.0</v>
      </c>
      <c r="H95" s="66">
        <v>0.0</v>
      </c>
      <c r="I95" s="66">
        <v>0.0</v>
      </c>
      <c r="J95" s="66">
        <v>0.0</v>
      </c>
      <c r="K95" s="66">
        <v>0.0</v>
      </c>
      <c r="L95" s="66">
        <v>0.0</v>
      </c>
      <c r="M95" s="66">
        <v>0.0</v>
      </c>
      <c r="N95" s="66">
        <v>1.0</v>
      </c>
      <c r="O95" s="66">
        <v>0.0</v>
      </c>
      <c r="P95" s="66">
        <v>0.0</v>
      </c>
      <c r="Q95" s="66">
        <v>0.0</v>
      </c>
      <c r="R95" s="66">
        <v>1.0</v>
      </c>
      <c r="S95" s="66">
        <v>0.0</v>
      </c>
      <c r="T95" s="66">
        <v>0.0</v>
      </c>
      <c r="U95" s="66">
        <v>0.0</v>
      </c>
      <c r="V95" s="66">
        <v>0.0</v>
      </c>
      <c r="W95" s="6">
        <f t="shared" si="26"/>
        <v>3</v>
      </c>
    </row>
    <row r="96" ht="12.75" customHeight="1">
      <c r="A96" s="32"/>
      <c r="B96" s="51"/>
      <c r="C96" s="52" t="s">
        <v>80</v>
      </c>
      <c r="D96" s="53"/>
      <c r="E96" s="66">
        <v>0.0</v>
      </c>
      <c r="F96" s="66">
        <v>0.0</v>
      </c>
      <c r="G96" s="66">
        <v>0.0</v>
      </c>
      <c r="H96" s="66">
        <v>0.0</v>
      </c>
      <c r="I96" s="66">
        <v>0.0</v>
      </c>
      <c r="J96" s="66">
        <v>0.0</v>
      </c>
      <c r="K96" s="66">
        <v>0.0</v>
      </c>
      <c r="L96" s="66">
        <v>0.0</v>
      </c>
      <c r="M96" s="66">
        <v>0.0</v>
      </c>
      <c r="N96" s="66">
        <v>0.0</v>
      </c>
      <c r="O96" s="66">
        <v>0.0</v>
      </c>
      <c r="P96" s="66">
        <v>0.0</v>
      </c>
      <c r="Q96" s="66">
        <v>0.0</v>
      </c>
      <c r="R96" s="66">
        <v>0.0</v>
      </c>
      <c r="S96" s="66">
        <v>0.0</v>
      </c>
      <c r="T96" s="66">
        <v>0.0</v>
      </c>
      <c r="U96" s="66">
        <v>1.0</v>
      </c>
      <c r="V96" s="66">
        <v>0.0</v>
      </c>
      <c r="W96" s="6">
        <f t="shared" si="26"/>
        <v>1</v>
      </c>
    </row>
    <row r="97" ht="12.75" customHeight="1">
      <c r="A97" s="32"/>
      <c r="B97" s="51"/>
      <c r="C97" s="52" t="s">
        <v>81</v>
      </c>
      <c r="D97" s="53"/>
      <c r="E97" s="66">
        <v>0.0</v>
      </c>
      <c r="F97" s="66">
        <v>0.0</v>
      </c>
      <c r="G97" s="66">
        <v>0.0</v>
      </c>
      <c r="H97" s="66">
        <v>0.0</v>
      </c>
      <c r="I97" s="66">
        <v>0.0</v>
      </c>
      <c r="J97" s="66">
        <v>0.0</v>
      </c>
      <c r="K97" s="66">
        <v>0.0</v>
      </c>
      <c r="L97" s="66">
        <v>0.0</v>
      </c>
      <c r="M97" s="66">
        <v>0.0</v>
      </c>
      <c r="N97" s="66">
        <v>0.0</v>
      </c>
      <c r="O97" s="66">
        <v>0.0</v>
      </c>
      <c r="P97" s="66">
        <v>0.0</v>
      </c>
      <c r="Q97" s="66">
        <v>0.0</v>
      </c>
      <c r="R97" s="66">
        <v>0.0</v>
      </c>
      <c r="S97" s="66">
        <v>0.0</v>
      </c>
      <c r="T97" s="66">
        <v>0.0</v>
      </c>
      <c r="U97" s="66">
        <v>0.0</v>
      </c>
      <c r="V97" s="66">
        <v>0.0</v>
      </c>
      <c r="W97" s="6">
        <f t="shared" si="26"/>
        <v>0</v>
      </c>
    </row>
    <row r="98" ht="12.75" customHeight="1">
      <c r="A98" s="13" t="s">
        <v>14</v>
      </c>
      <c r="B98" s="49" t="s">
        <v>45</v>
      </c>
      <c r="C98" s="8"/>
      <c r="D98" s="9"/>
      <c r="E98" s="54">
        <f t="shared" ref="E98:V98" si="27">SUM(E94:E97)</f>
        <v>0</v>
      </c>
      <c r="F98" s="54">
        <f t="shared" si="27"/>
        <v>1</v>
      </c>
      <c r="G98" s="54">
        <f t="shared" si="27"/>
        <v>0</v>
      </c>
      <c r="H98" s="54">
        <f t="shared" si="27"/>
        <v>2</v>
      </c>
      <c r="I98" s="54">
        <f t="shared" si="27"/>
        <v>0</v>
      </c>
      <c r="J98" s="54">
        <f t="shared" si="27"/>
        <v>0</v>
      </c>
      <c r="K98" s="54">
        <f t="shared" si="27"/>
        <v>1</v>
      </c>
      <c r="L98" s="54">
        <f t="shared" si="27"/>
        <v>0</v>
      </c>
      <c r="M98" s="54">
        <f t="shared" si="27"/>
        <v>2</v>
      </c>
      <c r="N98" s="54">
        <f t="shared" si="27"/>
        <v>1</v>
      </c>
      <c r="O98" s="54">
        <f t="shared" si="27"/>
        <v>0</v>
      </c>
      <c r="P98" s="54">
        <f t="shared" si="27"/>
        <v>0</v>
      </c>
      <c r="Q98" s="54">
        <f t="shared" si="27"/>
        <v>0</v>
      </c>
      <c r="R98" s="54">
        <f t="shared" si="27"/>
        <v>1</v>
      </c>
      <c r="S98" s="54">
        <f t="shared" si="27"/>
        <v>0</v>
      </c>
      <c r="T98" s="54">
        <f t="shared" si="27"/>
        <v>1</v>
      </c>
      <c r="U98" s="54">
        <f t="shared" si="27"/>
        <v>1</v>
      </c>
      <c r="V98" s="54">
        <f t="shared" si="27"/>
        <v>0</v>
      </c>
      <c r="W98" s="6">
        <f t="shared" si="26"/>
        <v>10</v>
      </c>
    </row>
    <row r="99" ht="12.75" customHeight="1">
      <c r="A99" s="55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6"/>
    </row>
    <row r="100" ht="12.75" customHeight="1">
      <c r="A100" s="32" t="s">
        <v>36</v>
      </c>
      <c r="B100" s="49" t="s">
        <v>82</v>
      </c>
      <c r="C100" s="50" t="s">
        <v>83</v>
      </c>
      <c r="D100" s="9"/>
      <c r="E100" s="66">
        <v>1.0</v>
      </c>
      <c r="F100" s="66">
        <v>1.0</v>
      </c>
      <c r="G100" s="66">
        <v>0.0</v>
      </c>
      <c r="H100" s="66">
        <v>6.0</v>
      </c>
      <c r="I100" s="66">
        <v>2.0</v>
      </c>
      <c r="J100" s="66">
        <v>1.0</v>
      </c>
      <c r="K100" s="66">
        <v>1.0</v>
      </c>
      <c r="L100" s="66">
        <v>0.0</v>
      </c>
      <c r="M100" s="66">
        <v>1.0</v>
      </c>
      <c r="N100" s="66">
        <v>2.0</v>
      </c>
      <c r="O100" s="66">
        <v>2.0</v>
      </c>
      <c r="P100" s="66">
        <v>1.0</v>
      </c>
      <c r="Q100" s="66">
        <v>0.0</v>
      </c>
      <c r="R100" s="66">
        <v>1.0</v>
      </c>
      <c r="S100" s="66">
        <v>0.0</v>
      </c>
      <c r="T100" s="66">
        <v>10.0</v>
      </c>
      <c r="U100" s="66">
        <v>6.0</v>
      </c>
      <c r="V100" s="66">
        <v>0.0</v>
      </c>
      <c r="W100" s="6">
        <f t="shared" ref="W100:W107" si="28">SUM(E100:V100)</f>
        <v>35</v>
      </c>
    </row>
    <row r="101" ht="12.75" customHeight="1">
      <c r="A101" s="32" t="s">
        <v>38</v>
      </c>
      <c r="B101" s="51"/>
      <c r="C101" s="52" t="s">
        <v>84</v>
      </c>
      <c r="D101" s="53"/>
      <c r="E101" s="66">
        <v>13.0</v>
      </c>
      <c r="F101" s="66">
        <v>4.0</v>
      </c>
      <c r="G101" s="66">
        <v>11.0</v>
      </c>
      <c r="H101" s="66">
        <v>24.0</v>
      </c>
      <c r="I101" s="66">
        <v>16.0</v>
      </c>
      <c r="J101" s="66">
        <v>27.0</v>
      </c>
      <c r="K101" s="66">
        <v>7.0</v>
      </c>
      <c r="L101" s="66">
        <v>2.0</v>
      </c>
      <c r="M101" s="66">
        <v>14.0</v>
      </c>
      <c r="N101" s="66">
        <v>10.0</v>
      </c>
      <c r="O101" s="66">
        <v>26.0</v>
      </c>
      <c r="P101" s="66">
        <v>27.0</v>
      </c>
      <c r="Q101" s="66">
        <v>27.0</v>
      </c>
      <c r="R101" s="66">
        <v>7.0</v>
      </c>
      <c r="S101" s="66">
        <v>3.0</v>
      </c>
      <c r="T101" s="66">
        <v>50.0</v>
      </c>
      <c r="U101" s="66">
        <v>52.0</v>
      </c>
      <c r="V101" s="66">
        <v>1.0</v>
      </c>
      <c r="W101" s="6">
        <f t="shared" si="28"/>
        <v>321</v>
      </c>
    </row>
    <row r="102" ht="12.75" customHeight="1">
      <c r="A102" s="18"/>
      <c r="B102" s="51"/>
      <c r="C102" s="52" t="s">
        <v>85</v>
      </c>
      <c r="D102" s="53"/>
      <c r="E102" s="66">
        <v>0.0</v>
      </c>
      <c r="F102" s="66">
        <v>0.0</v>
      </c>
      <c r="G102" s="66">
        <v>0.0</v>
      </c>
      <c r="H102" s="66">
        <v>1.0</v>
      </c>
      <c r="I102" s="66">
        <v>0.0</v>
      </c>
      <c r="J102" s="66">
        <v>0.0</v>
      </c>
      <c r="K102" s="66">
        <v>0.0</v>
      </c>
      <c r="L102" s="66">
        <v>0.0</v>
      </c>
      <c r="M102" s="66">
        <v>0.0</v>
      </c>
      <c r="N102" s="66">
        <v>0.0</v>
      </c>
      <c r="O102" s="66">
        <v>1.0</v>
      </c>
      <c r="P102" s="66">
        <v>0.0</v>
      </c>
      <c r="Q102" s="66">
        <v>0.0</v>
      </c>
      <c r="R102" s="66">
        <v>0.0</v>
      </c>
      <c r="S102" s="66">
        <v>0.0</v>
      </c>
      <c r="T102" s="66">
        <v>1.0</v>
      </c>
      <c r="U102" s="66">
        <v>0.0</v>
      </c>
      <c r="V102" s="66">
        <v>0.0</v>
      </c>
      <c r="W102" s="6">
        <f t="shared" si="28"/>
        <v>3</v>
      </c>
    </row>
    <row r="103" ht="12.75" customHeight="1">
      <c r="A103" s="18"/>
      <c r="B103" s="51"/>
      <c r="C103" s="52" t="s">
        <v>86</v>
      </c>
      <c r="D103" s="53"/>
      <c r="E103" s="66">
        <v>0.0</v>
      </c>
      <c r="F103" s="66">
        <v>0.0</v>
      </c>
      <c r="G103" s="66">
        <v>0.0</v>
      </c>
      <c r="H103" s="66">
        <v>0.0</v>
      </c>
      <c r="I103" s="66">
        <v>0.0</v>
      </c>
      <c r="J103" s="66">
        <v>0.0</v>
      </c>
      <c r="K103" s="66">
        <v>0.0</v>
      </c>
      <c r="L103" s="66">
        <v>0.0</v>
      </c>
      <c r="M103" s="66">
        <v>0.0</v>
      </c>
      <c r="N103" s="66">
        <v>0.0</v>
      </c>
      <c r="O103" s="66">
        <v>1.0</v>
      </c>
      <c r="P103" s="66">
        <v>0.0</v>
      </c>
      <c r="Q103" s="66">
        <v>0.0</v>
      </c>
      <c r="R103" s="66">
        <v>0.0</v>
      </c>
      <c r="S103" s="66">
        <v>0.0</v>
      </c>
      <c r="T103" s="66">
        <v>1.0</v>
      </c>
      <c r="U103" s="66">
        <v>0.0</v>
      </c>
      <c r="V103" s="66">
        <v>0.0</v>
      </c>
      <c r="W103" s="6">
        <f t="shared" si="28"/>
        <v>2</v>
      </c>
    </row>
    <row r="104" ht="12.75" customHeight="1">
      <c r="A104" s="18"/>
      <c r="B104" s="51"/>
      <c r="C104" s="52" t="s">
        <v>87</v>
      </c>
      <c r="D104" s="53"/>
      <c r="E104" s="66">
        <v>0.0</v>
      </c>
      <c r="F104" s="66">
        <v>0.0</v>
      </c>
      <c r="G104" s="66">
        <v>0.0</v>
      </c>
      <c r="H104" s="66">
        <v>0.0</v>
      </c>
      <c r="I104" s="66">
        <v>0.0</v>
      </c>
      <c r="J104" s="66">
        <v>0.0</v>
      </c>
      <c r="K104" s="66">
        <v>0.0</v>
      </c>
      <c r="L104" s="66">
        <v>0.0</v>
      </c>
      <c r="M104" s="66">
        <v>0.0</v>
      </c>
      <c r="N104" s="66">
        <v>0.0</v>
      </c>
      <c r="O104" s="66">
        <v>0.0</v>
      </c>
      <c r="P104" s="66">
        <v>0.0</v>
      </c>
      <c r="Q104" s="66">
        <v>0.0</v>
      </c>
      <c r="R104" s="66">
        <v>0.0</v>
      </c>
      <c r="S104" s="66">
        <v>0.0</v>
      </c>
      <c r="T104" s="66">
        <v>0.0</v>
      </c>
      <c r="U104" s="66">
        <v>0.0</v>
      </c>
      <c r="V104" s="66">
        <v>0.0</v>
      </c>
      <c r="W104" s="6">
        <f t="shared" si="28"/>
        <v>0</v>
      </c>
    </row>
    <row r="105" ht="12.75" customHeight="1">
      <c r="A105" s="18"/>
      <c r="B105" s="51"/>
      <c r="C105" s="52" t="s">
        <v>88</v>
      </c>
      <c r="D105" s="53"/>
      <c r="E105" s="66">
        <v>0.0</v>
      </c>
      <c r="F105" s="66">
        <v>0.0</v>
      </c>
      <c r="G105" s="66">
        <v>0.0</v>
      </c>
      <c r="H105" s="66">
        <v>0.0</v>
      </c>
      <c r="I105" s="66">
        <v>0.0</v>
      </c>
      <c r="J105" s="66">
        <v>0.0</v>
      </c>
      <c r="K105" s="66">
        <v>0.0</v>
      </c>
      <c r="L105" s="66">
        <v>0.0</v>
      </c>
      <c r="M105" s="66">
        <v>0.0</v>
      </c>
      <c r="N105" s="66">
        <v>0.0</v>
      </c>
      <c r="O105" s="66">
        <v>0.0</v>
      </c>
      <c r="P105" s="66">
        <v>0.0</v>
      </c>
      <c r="Q105" s="66">
        <v>0.0</v>
      </c>
      <c r="R105" s="66">
        <v>0.0</v>
      </c>
      <c r="S105" s="66">
        <v>0.0</v>
      </c>
      <c r="T105" s="66">
        <v>0.0</v>
      </c>
      <c r="U105" s="66">
        <v>0.0</v>
      </c>
      <c r="V105" s="66">
        <v>0.0</v>
      </c>
      <c r="W105" s="6">
        <f t="shared" si="28"/>
        <v>0</v>
      </c>
    </row>
    <row r="106" ht="12.75" customHeight="1">
      <c r="A106" s="18"/>
      <c r="B106" s="51"/>
      <c r="C106" s="52" t="s">
        <v>89</v>
      </c>
      <c r="D106" s="53"/>
      <c r="E106" s="66">
        <v>0.0</v>
      </c>
      <c r="F106" s="66">
        <v>0.0</v>
      </c>
      <c r="G106" s="66">
        <v>0.0</v>
      </c>
      <c r="H106" s="66">
        <v>0.0</v>
      </c>
      <c r="I106" s="66">
        <v>0.0</v>
      </c>
      <c r="J106" s="66">
        <v>0.0</v>
      </c>
      <c r="K106" s="66">
        <v>0.0</v>
      </c>
      <c r="L106" s="66">
        <v>0.0</v>
      </c>
      <c r="M106" s="66">
        <v>0.0</v>
      </c>
      <c r="N106" s="66">
        <v>0.0</v>
      </c>
      <c r="O106" s="66">
        <v>0.0</v>
      </c>
      <c r="P106" s="66">
        <v>0.0</v>
      </c>
      <c r="Q106" s="66">
        <v>0.0</v>
      </c>
      <c r="R106" s="66">
        <v>0.0</v>
      </c>
      <c r="S106" s="66">
        <v>0.0</v>
      </c>
      <c r="T106" s="66">
        <v>0.0</v>
      </c>
      <c r="U106" s="66">
        <v>0.0</v>
      </c>
      <c r="V106" s="66">
        <v>0.0</v>
      </c>
      <c r="W106" s="6">
        <f t="shared" si="28"/>
        <v>0</v>
      </c>
    </row>
    <row r="107" ht="12.75" customHeight="1">
      <c r="A107" s="13" t="s">
        <v>14</v>
      </c>
      <c r="B107" s="49" t="s">
        <v>45</v>
      </c>
      <c r="C107" s="8"/>
      <c r="D107" s="9"/>
      <c r="E107" s="54">
        <f t="shared" ref="E107:V107" si="29">SUM(E100:E106)</f>
        <v>14</v>
      </c>
      <c r="F107" s="54">
        <f t="shared" si="29"/>
        <v>5</v>
      </c>
      <c r="G107" s="54">
        <f t="shared" si="29"/>
        <v>11</v>
      </c>
      <c r="H107" s="54">
        <f t="shared" si="29"/>
        <v>31</v>
      </c>
      <c r="I107" s="54">
        <f t="shared" si="29"/>
        <v>18</v>
      </c>
      <c r="J107" s="54">
        <f t="shared" si="29"/>
        <v>28</v>
      </c>
      <c r="K107" s="54">
        <f t="shared" si="29"/>
        <v>8</v>
      </c>
      <c r="L107" s="54">
        <f t="shared" si="29"/>
        <v>2</v>
      </c>
      <c r="M107" s="54">
        <f t="shared" si="29"/>
        <v>15</v>
      </c>
      <c r="N107" s="54">
        <f t="shared" si="29"/>
        <v>12</v>
      </c>
      <c r="O107" s="54">
        <f t="shared" si="29"/>
        <v>30</v>
      </c>
      <c r="P107" s="54">
        <f t="shared" si="29"/>
        <v>28</v>
      </c>
      <c r="Q107" s="54">
        <f t="shared" si="29"/>
        <v>27</v>
      </c>
      <c r="R107" s="54">
        <f t="shared" si="29"/>
        <v>8</v>
      </c>
      <c r="S107" s="54">
        <f t="shared" si="29"/>
        <v>3</v>
      </c>
      <c r="T107" s="54">
        <f t="shared" si="29"/>
        <v>62</v>
      </c>
      <c r="U107" s="54">
        <f t="shared" si="29"/>
        <v>58</v>
      </c>
      <c r="V107" s="54">
        <f t="shared" si="29"/>
        <v>1</v>
      </c>
      <c r="W107" s="6">
        <f t="shared" si="28"/>
        <v>361</v>
      </c>
    </row>
    <row r="108" ht="12.75" customHeight="1">
      <c r="A108" s="55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6"/>
    </row>
    <row r="109" ht="12.75" customHeight="1">
      <c r="A109" s="32" t="s">
        <v>36</v>
      </c>
      <c r="B109" s="49" t="s">
        <v>90</v>
      </c>
      <c r="C109" s="50" t="s">
        <v>91</v>
      </c>
      <c r="D109" s="9"/>
      <c r="E109" s="66">
        <v>0.0</v>
      </c>
      <c r="F109" s="66">
        <v>0.0</v>
      </c>
      <c r="G109" s="66">
        <v>0.0</v>
      </c>
      <c r="H109" s="66">
        <v>0.0</v>
      </c>
      <c r="I109" s="66">
        <v>0.0</v>
      </c>
      <c r="J109" s="66">
        <v>0.0</v>
      </c>
      <c r="K109" s="66">
        <v>0.0</v>
      </c>
      <c r="L109" s="66">
        <v>0.0</v>
      </c>
      <c r="M109" s="66">
        <v>0.0</v>
      </c>
      <c r="N109" s="66">
        <v>0.0</v>
      </c>
      <c r="O109" s="66">
        <v>0.0</v>
      </c>
      <c r="P109" s="66">
        <v>0.0</v>
      </c>
      <c r="Q109" s="66">
        <v>1.0</v>
      </c>
      <c r="R109" s="66">
        <v>0.0</v>
      </c>
      <c r="S109" s="66">
        <v>0.0</v>
      </c>
      <c r="T109" s="66">
        <v>0.0</v>
      </c>
      <c r="U109" s="66">
        <v>1.0</v>
      </c>
      <c r="V109" s="66">
        <v>0.0</v>
      </c>
      <c r="W109" s="6">
        <f t="shared" ref="W109:W111" si="30">SUM(E109:V109)</f>
        <v>2</v>
      </c>
    </row>
    <row r="110" ht="12.75" customHeight="1">
      <c r="A110" s="32" t="s">
        <v>38</v>
      </c>
      <c r="B110" s="49"/>
      <c r="C110" s="52" t="s">
        <v>92</v>
      </c>
      <c r="D110" s="61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6">
        <f t="shared" si="30"/>
        <v>0</v>
      </c>
    </row>
    <row r="111" ht="12.75" customHeight="1">
      <c r="A111" s="13" t="s">
        <v>14</v>
      </c>
      <c r="B111" s="49" t="s">
        <v>45</v>
      </c>
      <c r="C111" s="8"/>
      <c r="D111" s="9"/>
      <c r="E111" s="54">
        <f t="shared" ref="E111:V111" si="31">SUM(E109:E110)</f>
        <v>0</v>
      </c>
      <c r="F111" s="54">
        <f t="shared" si="31"/>
        <v>0</v>
      </c>
      <c r="G111" s="54">
        <f t="shared" si="31"/>
        <v>0</v>
      </c>
      <c r="H111" s="54">
        <f t="shared" si="31"/>
        <v>0</v>
      </c>
      <c r="I111" s="54">
        <f t="shared" si="31"/>
        <v>0</v>
      </c>
      <c r="J111" s="54">
        <f t="shared" si="31"/>
        <v>0</v>
      </c>
      <c r="K111" s="54">
        <f t="shared" si="31"/>
        <v>0</v>
      </c>
      <c r="L111" s="54">
        <f t="shared" si="31"/>
        <v>0</v>
      </c>
      <c r="M111" s="54">
        <f t="shared" si="31"/>
        <v>0</v>
      </c>
      <c r="N111" s="54">
        <f t="shared" si="31"/>
        <v>0</v>
      </c>
      <c r="O111" s="54">
        <f t="shared" si="31"/>
        <v>0</v>
      </c>
      <c r="P111" s="54">
        <f t="shared" si="31"/>
        <v>0</v>
      </c>
      <c r="Q111" s="54">
        <f t="shared" si="31"/>
        <v>1</v>
      </c>
      <c r="R111" s="54">
        <f t="shared" si="31"/>
        <v>0</v>
      </c>
      <c r="S111" s="54">
        <f t="shared" si="31"/>
        <v>0</v>
      </c>
      <c r="T111" s="54">
        <f t="shared" si="31"/>
        <v>0</v>
      </c>
      <c r="U111" s="54">
        <f t="shared" si="31"/>
        <v>1</v>
      </c>
      <c r="V111" s="54">
        <f t="shared" si="31"/>
        <v>0</v>
      </c>
      <c r="W111" s="6">
        <f t="shared" si="30"/>
        <v>2</v>
      </c>
    </row>
    <row r="112" ht="12.75" customHeight="1">
      <c r="A112" s="55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6"/>
    </row>
    <row r="113" ht="12.75" customHeight="1">
      <c r="A113" s="32" t="s">
        <v>36</v>
      </c>
      <c r="B113" s="49" t="s">
        <v>93</v>
      </c>
      <c r="C113" s="50" t="s">
        <v>94</v>
      </c>
      <c r="D113" s="9"/>
      <c r="E113" s="66">
        <v>0.0</v>
      </c>
      <c r="F113" s="66">
        <v>0.0</v>
      </c>
      <c r="G113" s="66">
        <v>0.0</v>
      </c>
      <c r="H113" s="66">
        <v>0.0</v>
      </c>
      <c r="I113" s="66">
        <v>0.0</v>
      </c>
      <c r="J113" s="66">
        <v>0.0</v>
      </c>
      <c r="K113" s="66">
        <v>0.0</v>
      </c>
      <c r="L113" s="66">
        <v>0.0</v>
      </c>
      <c r="M113" s="66">
        <v>0.0</v>
      </c>
      <c r="N113" s="66">
        <v>0.0</v>
      </c>
      <c r="O113" s="66">
        <v>0.0</v>
      </c>
      <c r="P113" s="66">
        <v>0.0</v>
      </c>
      <c r="Q113" s="66">
        <v>1.0</v>
      </c>
      <c r="R113" s="66">
        <v>0.0</v>
      </c>
      <c r="S113" s="66">
        <v>0.0</v>
      </c>
      <c r="T113" s="66">
        <v>1.0</v>
      </c>
      <c r="U113" s="66">
        <v>0.0</v>
      </c>
      <c r="V113" s="66">
        <v>0.0</v>
      </c>
      <c r="W113" s="6">
        <f t="shared" ref="W113:W120" si="32">SUM(E113:V113)</f>
        <v>2</v>
      </c>
    </row>
    <row r="114" ht="12.75" customHeight="1">
      <c r="A114" s="32" t="s">
        <v>38</v>
      </c>
      <c r="B114" s="51"/>
      <c r="C114" s="52" t="s">
        <v>95</v>
      </c>
      <c r="D114" s="53"/>
      <c r="E114" s="66">
        <v>0.0</v>
      </c>
      <c r="F114" s="66">
        <v>0.0</v>
      </c>
      <c r="G114" s="66">
        <v>0.0</v>
      </c>
      <c r="H114" s="66">
        <v>0.0</v>
      </c>
      <c r="I114" s="66">
        <v>0.0</v>
      </c>
      <c r="J114" s="66">
        <v>0.0</v>
      </c>
      <c r="K114" s="66">
        <v>0.0</v>
      </c>
      <c r="L114" s="66">
        <v>0.0</v>
      </c>
      <c r="M114" s="66">
        <v>0.0</v>
      </c>
      <c r="N114" s="66">
        <v>0.0</v>
      </c>
      <c r="O114" s="66">
        <v>0.0</v>
      </c>
      <c r="P114" s="66">
        <v>0.0</v>
      </c>
      <c r="Q114" s="66">
        <v>0.0</v>
      </c>
      <c r="R114" s="66">
        <v>1.0</v>
      </c>
      <c r="S114" s="66">
        <v>0.0</v>
      </c>
      <c r="T114" s="66">
        <v>0.0</v>
      </c>
      <c r="U114" s="66">
        <v>0.0</v>
      </c>
      <c r="V114" s="66">
        <v>0.0</v>
      </c>
      <c r="W114" s="6">
        <f t="shared" si="32"/>
        <v>1</v>
      </c>
    </row>
    <row r="115" ht="12.75" customHeight="1">
      <c r="A115" s="18"/>
      <c r="B115" s="51"/>
      <c r="C115" s="52" t="s">
        <v>96</v>
      </c>
      <c r="D115" s="53"/>
      <c r="E115" s="66">
        <v>0.0</v>
      </c>
      <c r="F115" s="66">
        <v>0.0</v>
      </c>
      <c r="G115" s="66">
        <v>0.0</v>
      </c>
      <c r="H115" s="66">
        <v>0.0</v>
      </c>
      <c r="I115" s="66">
        <v>0.0</v>
      </c>
      <c r="J115" s="66">
        <v>0.0</v>
      </c>
      <c r="K115" s="66">
        <v>0.0</v>
      </c>
      <c r="L115" s="66">
        <v>0.0</v>
      </c>
      <c r="M115" s="66">
        <v>0.0</v>
      </c>
      <c r="N115" s="66">
        <v>0.0</v>
      </c>
      <c r="O115" s="66">
        <v>0.0</v>
      </c>
      <c r="P115" s="66">
        <v>0.0</v>
      </c>
      <c r="Q115" s="66">
        <v>0.0</v>
      </c>
      <c r="R115" s="66">
        <v>0.0</v>
      </c>
      <c r="S115" s="66">
        <v>0.0</v>
      </c>
      <c r="T115" s="66">
        <v>0.0</v>
      </c>
      <c r="U115" s="66">
        <v>1.0</v>
      </c>
      <c r="V115" s="66">
        <v>0.0</v>
      </c>
      <c r="W115" s="6">
        <f t="shared" si="32"/>
        <v>1</v>
      </c>
    </row>
    <row r="116" ht="12.75" customHeight="1">
      <c r="A116" s="18"/>
      <c r="B116" s="51"/>
      <c r="C116" s="52" t="s">
        <v>97</v>
      </c>
      <c r="D116" s="53"/>
      <c r="E116" s="66">
        <v>0.0</v>
      </c>
      <c r="F116" s="66">
        <v>0.0</v>
      </c>
      <c r="G116" s="66">
        <v>1.0</v>
      </c>
      <c r="H116" s="66">
        <v>0.0</v>
      </c>
      <c r="I116" s="66">
        <v>0.0</v>
      </c>
      <c r="J116" s="66">
        <v>0.0</v>
      </c>
      <c r="K116" s="66">
        <v>0.0</v>
      </c>
      <c r="L116" s="66">
        <v>0.0</v>
      </c>
      <c r="M116" s="66">
        <v>0.0</v>
      </c>
      <c r="N116" s="66">
        <v>0.0</v>
      </c>
      <c r="O116" s="66">
        <v>1.0</v>
      </c>
      <c r="P116" s="66">
        <v>0.0</v>
      </c>
      <c r="Q116" s="66">
        <v>0.0</v>
      </c>
      <c r="R116" s="66">
        <v>0.0</v>
      </c>
      <c r="S116" s="66">
        <v>0.0</v>
      </c>
      <c r="T116" s="66">
        <v>0.0</v>
      </c>
      <c r="U116" s="66">
        <v>0.0</v>
      </c>
      <c r="V116" s="66">
        <v>0.0</v>
      </c>
      <c r="W116" s="6">
        <f t="shared" si="32"/>
        <v>2</v>
      </c>
    </row>
    <row r="117" ht="12.75" customHeight="1">
      <c r="A117" s="18"/>
      <c r="B117" s="51"/>
      <c r="C117" s="52" t="s">
        <v>98</v>
      </c>
      <c r="D117" s="53"/>
      <c r="E117" s="66">
        <v>0.0</v>
      </c>
      <c r="F117" s="66">
        <v>0.0</v>
      </c>
      <c r="G117" s="66">
        <v>0.0</v>
      </c>
      <c r="H117" s="66">
        <v>0.0</v>
      </c>
      <c r="I117" s="66">
        <v>0.0</v>
      </c>
      <c r="J117" s="66">
        <v>0.0</v>
      </c>
      <c r="K117" s="66">
        <v>0.0</v>
      </c>
      <c r="L117" s="66">
        <v>0.0</v>
      </c>
      <c r="M117" s="66">
        <v>0.0</v>
      </c>
      <c r="N117" s="66">
        <v>0.0</v>
      </c>
      <c r="O117" s="66">
        <v>0.0</v>
      </c>
      <c r="P117" s="66">
        <v>0.0</v>
      </c>
      <c r="Q117" s="66">
        <v>0.0</v>
      </c>
      <c r="R117" s="66">
        <v>0.0</v>
      </c>
      <c r="S117" s="66">
        <v>0.0</v>
      </c>
      <c r="T117" s="66">
        <v>0.0</v>
      </c>
      <c r="U117" s="66">
        <v>0.0</v>
      </c>
      <c r="V117" s="66">
        <v>0.0</v>
      </c>
      <c r="W117" s="6">
        <f t="shared" si="32"/>
        <v>0</v>
      </c>
    </row>
    <row r="118" ht="12.75" customHeight="1">
      <c r="A118" s="18"/>
      <c r="B118" s="51"/>
      <c r="C118" s="52" t="s">
        <v>99</v>
      </c>
      <c r="D118" s="53"/>
      <c r="E118" s="66">
        <v>0.0</v>
      </c>
      <c r="F118" s="66">
        <v>0.0</v>
      </c>
      <c r="G118" s="66">
        <v>0.0</v>
      </c>
      <c r="H118" s="66">
        <v>0.0</v>
      </c>
      <c r="I118" s="66">
        <v>0.0</v>
      </c>
      <c r="J118" s="66">
        <v>0.0</v>
      </c>
      <c r="K118" s="66">
        <v>0.0</v>
      </c>
      <c r="L118" s="66">
        <v>0.0</v>
      </c>
      <c r="M118" s="66">
        <v>0.0</v>
      </c>
      <c r="N118" s="66">
        <v>0.0</v>
      </c>
      <c r="O118" s="66">
        <v>0.0</v>
      </c>
      <c r="P118" s="66">
        <v>0.0</v>
      </c>
      <c r="Q118" s="66">
        <v>0.0</v>
      </c>
      <c r="R118" s="66">
        <v>0.0</v>
      </c>
      <c r="S118" s="66">
        <v>0.0</v>
      </c>
      <c r="T118" s="66">
        <v>0.0</v>
      </c>
      <c r="U118" s="66">
        <v>0.0</v>
      </c>
      <c r="V118" s="66">
        <v>0.0</v>
      </c>
      <c r="W118" s="6">
        <f t="shared" si="32"/>
        <v>0</v>
      </c>
    </row>
    <row r="119" ht="12.75" customHeight="1">
      <c r="A119" s="18"/>
      <c r="B119" s="51"/>
      <c r="C119" s="52" t="s">
        <v>100</v>
      </c>
      <c r="D119" s="53"/>
      <c r="E119" s="66">
        <v>0.0</v>
      </c>
      <c r="F119" s="66">
        <v>0.0</v>
      </c>
      <c r="G119" s="66">
        <v>0.0</v>
      </c>
      <c r="H119" s="66">
        <v>0.0</v>
      </c>
      <c r="I119" s="66">
        <v>0.0</v>
      </c>
      <c r="J119" s="66">
        <v>0.0</v>
      </c>
      <c r="K119" s="66">
        <v>0.0</v>
      </c>
      <c r="L119" s="66">
        <v>0.0</v>
      </c>
      <c r="M119" s="66">
        <v>0.0</v>
      </c>
      <c r="N119" s="66">
        <v>0.0</v>
      </c>
      <c r="O119" s="66">
        <v>0.0</v>
      </c>
      <c r="P119" s="66">
        <v>1.0</v>
      </c>
      <c r="Q119" s="66">
        <v>0.0</v>
      </c>
      <c r="R119" s="66">
        <v>0.0</v>
      </c>
      <c r="S119" s="66">
        <v>0.0</v>
      </c>
      <c r="T119" s="66">
        <v>0.0</v>
      </c>
      <c r="U119" s="66">
        <v>0.0</v>
      </c>
      <c r="V119" s="66">
        <v>0.0</v>
      </c>
      <c r="W119" s="6">
        <f t="shared" si="32"/>
        <v>1</v>
      </c>
    </row>
    <row r="120" ht="12.75" customHeight="1">
      <c r="A120" s="13" t="s">
        <v>14</v>
      </c>
      <c r="B120" s="49" t="s">
        <v>45</v>
      </c>
      <c r="C120" s="8"/>
      <c r="D120" s="9"/>
      <c r="E120" s="54">
        <f t="shared" ref="E120:V120" si="33">SUM(E113:E119)</f>
        <v>0</v>
      </c>
      <c r="F120" s="54">
        <f t="shared" si="33"/>
        <v>0</v>
      </c>
      <c r="G120" s="54">
        <f t="shared" si="33"/>
        <v>1</v>
      </c>
      <c r="H120" s="54">
        <f t="shared" si="33"/>
        <v>0</v>
      </c>
      <c r="I120" s="54">
        <f t="shared" si="33"/>
        <v>0</v>
      </c>
      <c r="J120" s="54">
        <f t="shared" si="33"/>
        <v>0</v>
      </c>
      <c r="K120" s="54">
        <f t="shared" si="33"/>
        <v>0</v>
      </c>
      <c r="L120" s="54">
        <f t="shared" si="33"/>
        <v>0</v>
      </c>
      <c r="M120" s="54">
        <f t="shared" si="33"/>
        <v>0</v>
      </c>
      <c r="N120" s="54">
        <f t="shared" si="33"/>
        <v>0</v>
      </c>
      <c r="O120" s="54">
        <f t="shared" si="33"/>
        <v>1</v>
      </c>
      <c r="P120" s="54">
        <f t="shared" si="33"/>
        <v>1</v>
      </c>
      <c r="Q120" s="54">
        <f t="shared" si="33"/>
        <v>1</v>
      </c>
      <c r="R120" s="54">
        <f t="shared" si="33"/>
        <v>1</v>
      </c>
      <c r="S120" s="54">
        <f t="shared" si="33"/>
        <v>0</v>
      </c>
      <c r="T120" s="54">
        <f t="shared" si="33"/>
        <v>1</v>
      </c>
      <c r="U120" s="54">
        <f t="shared" si="33"/>
        <v>1</v>
      </c>
      <c r="V120" s="54">
        <f t="shared" si="33"/>
        <v>0</v>
      </c>
      <c r="W120" s="6">
        <f t="shared" si="32"/>
        <v>7</v>
      </c>
    </row>
    <row r="121" ht="12.75" customHeight="1">
      <c r="A121" s="55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</row>
    <row r="122" ht="12.75" customHeight="1">
      <c r="A122" s="32" t="s">
        <v>36</v>
      </c>
      <c r="B122" s="49" t="s">
        <v>101</v>
      </c>
      <c r="C122" s="50" t="s">
        <v>102</v>
      </c>
      <c r="D122" s="9"/>
      <c r="E122" s="66">
        <v>0.0</v>
      </c>
      <c r="F122" s="66">
        <v>0.0</v>
      </c>
      <c r="G122" s="66">
        <v>1.0</v>
      </c>
      <c r="H122" s="66">
        <v>1.0</v>
      </c>
      <c r="I122" s="66">
        <v>0.0</v>
      </c>
      <c r="J122" s="66">
        <v>0.0</v>
      </c>
      <c r="K122" s="66">
        <v>2.0</v>
      </c>
      <c r="L122" s="66">
        <v>0.0</v>
      </c>
      <c r="M122" s="66">
        <v>0.0</v>
      </c>
      <c r="N122" s="66">
        <v>0.0</v>
      </c>
      <c r="O122" s="66">
        <v>0.0</v>
      </c>
      <c r="P122" s="66">
        <v>1.0</v>
      </c>
      <c r="Q122" s="66">
        <v>1.0</v>
      </c>
      <c r="R122" s="66">
        <v>0.0</v>
      </c>
      <c r="S122" s="66">
        <v>0.0</v>
      </c>
      <c r="T122" s="66">
        <v>0.0</v>
      </c>
      <c r="U122" s="66">
        <v>0.0</v>
      </c>
      <c r="V122" s="66">
        <v>0.0</v>
      </c>
      <c r="W122" s="6">
        <f t="shared" ref="W122:W124" si="34">SUM(E122:V122)</f>
        <v>6</v>
      </c>
    </row>
    <row r="123" ht="12.75" customHeight="1">
      <c r="A123" s="32" t="s">
        <v>38</v>
      </c>
      <c r="B123" s="51"/>
      <c r="C123" s="52"/>
      <c r="D123" s="5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6">
        <f t="shared" si="34"/>
        <v>0</v>
      </c>
    </row>
    <row r="124" ht="12.75" customHeight="1">
      <c r="A124" s="13" t="s">
        <v>14</v>
      </c>
      <c r="B124" s="49" t="s">
        <v>45</v>
      </c>
      <c r="C124" s="8"/>
      <c r="D124" s="9"/>
      <c r="E124" s="54">
        <f t="shared" ref="E124:V124" si="35">SUM(E122:E123)</f>
        <v>0</v>
      </c>
      <c r="F124" s="54">
        <f t="shared" si="35"/>
        <v>0</v>
      </c>
      <c r="G124" s="54">
        <f t="shared" si="35"/>
        <v>1</v>
      </c>
      <c r="H124" s="54">
        <f t="shared" si="35"/>
        <v>1</v>
      </c>
      <c r="I124" s="54">
        <f t="shared" si="35"/>
        <v>0</v>
      </c>
      <c r="J124" s="54">
        <f t="shared" si="35"/>
        <v>0</v>
      </c>
      <c r="K124" s="54">
        <f t="shared" si="35"/>
        <v>2</v>
      </c>
      <c r="L124" s="54">
        <f t="shared" si="35"/>
        <v>0</v>
      </c>
      <c r="M124" s="54">
        <f t="shared" si="35"/>
        <v>0</v>
      </c>
      <c r="N124" s="54">
        <f t="shared" si="35"/>
        <v>0</v>
      </c>
      <c r="O124" s="54">
        <f t="shared" si="35"/>
        <v>0</v>
      </c>
      <c r="P124" s="54">
        <f t="shared" si="35"/>
        <v>1</v>
      </c>
      <c r="Q124" s="54">
        <f t="shared" si="35"/>
        <v>1</v>
      </c>
      <c r="R124" s="54">
        <f t="shared" si="35"/>
        <v>0</v>
      </c>
      <c r="S124" s="54">
        <f t="shared" si="35"/>
        <v>0</v>
      </c>
      <c r="T124" s="54">
        <f t="shared" si="35"/>
        <v>0</v>
      </c>
      <c r="U124" s="54">
        <f t="shared" si="35"/>
        <v>0</v>
      </c>
      <c r="V124" s="54">
        <f t="shared" si="35"/>
        <v>0</v>
      </c>
      <c r="W124" s="6">
        <f t="shared" si="34"/>
        <v>6</v>
      </c>
    </row>
    <row r="125" ht="12.75" customHeight="1">
      <c r="A125" s="55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6"/>
    </row>
    <row r="126" ht="12.75" customHeight="1">
      <c r="A126" s="32" t="s">
        <v>36</v>
      </c>
      <c r="B126" s="49" t="s">
        <v>103</v>
      </c>
      <c r="C126" s="50" t="s">
        <v>104</v>
      </c>
      <c r="D126" s="9"/>
      <c r="E126" s="66">
        <v>0.0</v>
      </c>
      <c r="F126" s="66">
        <v>0.0</v>
      </c>
      <c r="G126" s="66">
        <v>0.0</v>
      </c>
      <c r="H126" s="66">
        <v>0.0</v>
      </c>
      <c r="I126" s="66">
        <v>0.0</v>
      </c>
      <c r="J126" s="66">
        <v>0.0</v>
      </c>
      <c r="K126" s="66">
        <v>0.0</v>
      </c>
      <c r="L126" s="66">
        <v>0.0</v>
      </c>
      <c r="M126" s="66">
        <v>0.0</v>
      </c>
      <c r="N126" s="66">
        <v>0.0</v>
      </c>
      <c r="O126" s="66">
        <v>0.0</v>
      </c>
      <c r="P126" s="66">
        <v>0.0</v>
      </c>
      <c r="Q126" s="66">
        <v>0.0</v>
      </c>
      <c r="R126" s="66">
        <v>1.0</v>
      </c>
      <c r="S126" s="66">
        <v>1.0</v>
      </c>
      <c r="T126" s="66">
        <v>0.0</v>
      </c>
      <c r="U126" s="66">
        <v>0.0</v>
      </c>
      <c r="V126" s="66">
        <v>0.0</v>
      </c>
      <c r="W126" s="6">
        <f t="shared" ref="W126:W131" si="36">SUM(E126:V126)</f>
        <v>2</v>
      </c>
    </row>
    <row r="127" ht="12.75" customHeight="1">
      <c r="A127" s="32" t="s">
        <v>38</v>
      </c>
      <c r="B127" s="51"/>
      <c r="C127" s="52" t="s">
        <v>105</v>
      </c>
      <c r="D127" s="53"/>
      <c r="E127" s="66">
        <v>0.0</v>
      </c>
      <c r="F127" s="66">
        <v>0.0</v>
      </c>
      <c r="G127" s="66">
        <v>0.0</v>
      </c>
      <c r="H127" s="66">
        <v>0.0</v>
      </c>
      <c r="I127" s="66">
        <v>0.0</v>
      </c>
      <c r="J127" s="66">
        <v>0.0</v>
      </c>
      <c r="K127" s="66">
        <v>0.0</v>
      </c>
      <c r="L127" s="66">
        <v>0.0</v>
      </c>
      <c r="M127" s="66">
        <v>0.0</v>
      </c>
      <c r="N127" s="66">
        <v>0.0</v>
      </c>
      <c r="O127" s="66">
        <v>0.0</v>
      </c>
      <c r="P127" s="66">
        <v>0.0</v>
      </c>
      <c r="Q127" s="66">
        <v>0.0</v>
      </c>
      <c r="R127" s="66">
        <v>0.0</v>
      </c>
      <c r="S127" s="66">
        <v>0.0</v>
      </c>
      <c r="T127" s="66">
        <v>0.0</v>
      </c>
      <c r="U127" s="66">
        <v>0.0</v>
      </c>
      <c r="V127" s="66">
        <v>0.0</v>
      </c>
      <c r="W127" s="6">
        <f t="shared" si="36"/>
        <v>0</v>
      </c>
    </row>
    <row r="128" ht="12.75" customHeight="1">
      <c r="A128" s="18"/>
      <c r="B128" s="51"/>
      <c r="C128" s="52" t="s">
        <v>106</v>
      </c>
      <c r="D128" s="53"/>
      <c r="E128" s="66">
        <v>0.0</v>
      </c>
      <c r="F128" s="66">
        <v>0.0</v>
      </c>
      <c r="G128" s="66">
        <v>0.0</v>
      </c>
      <c r="H128" s="66">
        <v>1.0</v>
      </c>
      <c r="I128" s="66">
        <v>0.0</v>
      </c>
      <c r="J128" s="66">
        <v>0.0</v>
      </c>
      <c r="K128" s="66">
        <v>0.0</v>
      </c>
      <c r="L128" s="66">
        <v>0.0</v>
      </c>
      <c r="M128" s="66">
        <v>0.0</v>
      </c>
      <c r="N128" s="66">
        <v>0.0</v>
      </c>
      <c r="O128" s="66">
        <v>0.0</v>
      </c>
      <c r="P128" s="66">
        <v>0.0</v>
      </c>
      <c r="Q128" s="66">
        <v>0.0</v>
      </c>
      <c r="R128" s="66">
        <v>0.0</v>
      </c>
      <c r="S128" s="66">
        <v>0.0</v>
      </c>
      <c r="T128" s="66">
        <v>0.0</v>
      </c>
      <c r="U128" s="66">
        <v>0.0</v>
      </c>
      <c r="V128" s="66">
        <v>0.0</v>
      </c>
      <c r="W128" s="6">
        <f t="shared" si="36"/>
        <v>1</v>
      </c>
    </row>
    <row r="129" ht="12.75" customHeight="1">
      <c r="A129" s="18"/>
      <c r="B129" s="51"/>
      <c r="C129" s="52" t="s">
        <v>107</v>
      </c>
      <c r="D129" s="53"/>
      <c r="E129" s="66">
        <v>0.0</v>
      </c>
      <c r="F129" s="66">
        <v>0.0</v>
      </c>
      <c r="G129" s="66">
        <v>0.0</v>
      </c>
      <c r="H129" s="66">
        <v>0.0</v>
      </c>
      <c r="I129" s="66">
        <v>0.0</v>
      </c>
      <c r="J129" s="66">
        <v>0.0</v>
      </c>
      <c r="K129" s="66">
        <v>0.0</v>
      </c>
      <c r="L129" s="66">
        <v>0.0</v>
      </c>
      <c r="M129" s="66">
        <v>0.0</v>
      </c>
      <c r="N129" s="66">
        <v>0.0</v>
      </c>
      <c r="O129" s="66">
        <v>1.0</v>
      </c>
      <c r="P129" s="66">
        <v>0.0</v>
      </c>
      <c r="Q129" s="66">
        <v>0.0</v>
      </c>
      <c r="R129" s="66">
        <v>0.0</v>
      </c>
      <c r="S129" s="66">
        <v>0.0</v>
      </c>
      <c r="T129" s="66">
        <v>0.0</v>
      </c>
      <c r="U129" s="66">
        <v>0.0</v>
      </c>
      <c r="V129" s="66">
        <v>0.0</v>
      </c>
      <c r="W129" s="6">
        <f t="shared" si="36"/>
        <v>1</v>
      </c>
    </row>
    <row r="130" ht="12.75" customHeight="1">
      <c r="A130" s="18"/>
      <c r="B130" s="51"/>
      <c r="C130" s="52" t="s">
        <v>108</v>
      </c>
      <c r="D130" s="53"/>
      <c r="E130" s="66">
        <v>0.0</v>
      </c>
      <c r="F130" s="66">
        <v>0.0</v>
      </c>
      <c r="G130" s="66">
        <v>0.0</v>
      </c>
      <c r="H130" s="66">
        <v>0.0</v>
      </c>
      <c r="I130" s="66">
        <v>0.0</v>
      </c>
      <c r="J130" s="66">
        <v>0.0</v>
      </c>
      <c r="K130" s="66">
        <v>0.0</v>
      </c>
      <c r="L130" s="66">
        <v>0.0</v>
      </c>
      <c r="M130" s="66">
        <v>0.0</v>
      </c>
      <c r="N130" s="66">
        <v>0.0</v>
      </c>
      <c r="O130" s="66">
        <v>0.0</v>
      </c>
      <c r="P130" s="66">
        <v>0.0</v>
      </c>
      <c r="Q130" s="66">
        <v>0.0</v>
      </c>
      <c r="R130" s="66">
        <v>0.0</v>
      </c>
      <c r="S130" s="66">
        <v>0.0</v>
      </c>
      <c r="T130" s="66">
        <v>0.0</v>
      </c>
      <c r="U130" s="66">
        <v>0.0</v>
      </c>
      <c r="V130" s="66">
        <v>0.0</v>
      </c>
      <c r="W130" s="6">
        <f t="shared" si="36"/>
        <v>0</v>
      </c>
    </row>
    <row r="131" ht="12.75" customHeight="1">
      <c r="A131" s="13" t="s">
        <v>14</v>
      </c>
      <c r="B131" s="49" t="s">
        <v>45</v>
      </c>
      <c r="C131" s="8"/>
      <c r="D131" s="9"/>
      <c r="E131" s="54">
        <f t="shared" ref="E131:V131" si="37">SUM(E126:E130)</f>
        <v>0</v>
      </c>
      <c r="F131" s="54">
        <f t="shared" si="37"/>
        <v>0</v>
      </c>
      <c r="G131" s="54">
        <f t="shared" si="37"/>
        <v>0</v>
      </c>
      <c r="H131" s="54">
        <f t="shared" si="37"/>
        <v>1</v>
      </c>
      <c r="I131" s="54">
        <f t="shared" si="37"/>
        <v>0</v>
      </c>
      <c r="J131" s="54">
        <f t="shared" si="37"/>
        <v>0</v>
      </c>
      <c r="K131" s="54">
        <f t="shared" si="37"/>
        <v>0</v>
      </c>
      <c r="L131" s="54">
        <f t="shared" si="37"/>
        <v>0</v>
      </c>
      <c r="M131" s="54">
        <f t="shared" si="37"/>
        <v>0</v>
      </c>
      <c r="N131" s="54">
        <f t="shared" si="37"/>
        <v>0</v>
      </c>
      <c r="O131" s="54">
        <f t="shared" si="37"/>
        <v>1</v>
      </c>
      <c r="P131" s="54">
        <f t="shared" si="37"/>
        <v>0</v>
      </c>
      <c r="Q131" s="54">
        <f t="shared" si="37"/>
        <v>0</v>
      </c>
      <c r="R131" s="54">
        <f t="shared" si="37"/>
        <v>1</v>
      </c>
      <c r="S131" s="54">
        <f t="shared" si="37"/>
        <v>1</v>
      </c>
      <c r="T131" s="54">
        <f t="shared" si="37"/>
        <v>0</v>
      </c>
      <c r="U131" s="54">
        <f t="shared" si="37"/>
        <v>0</v>
      </c>
      <c r="V131" s="54">
        <f t="shared" si="37"/>
        <v>0</v>
      </c>
      <c r="W131" s="6">
        <f t="shared" si="36"/>
        <v>4</v>
      </c>
    </row>
    <row r="132" ht="12.75" customHeight="1">
      <c r="A132" s="55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6"/>
    </row>
    <row r="133" ht="12.75" customHeight="1">
      <c r="A133" s="32" t="s">
        <v>36</v>
      </c>
      <c r="B133" s="49" t="s">
        <v>109</v>
      </c>
      <c r="C133" s="50" t="s">
        <v>110</v>
      </c>
      <c r="D133" s="9"/>
      <c r="E133" s="66">
        <v>0.0</v>
      </c>
      <c r="F133" s="66">
        <v>0.0</v>
      </c>
      <c r="G133" s="66">
        <v>0.0</v>
      </c>
      <c r="H133" s="66">
        <v>0.0</v>
      </c>
      <c r="I133" s="66">
        <v>0.0</v>
      </c>
      <c r="J133" s="66">
        <v>0.0</v>
      </c>
      <c r="K133" s="66">
        <v>0.0</v>
      </c>
      <c r="L133" s="66">
        <v>0.0</v>
      </c>
      <c r="M133" s="66">
        <v>0.0</v>
      </c>
      <c r="N133" s="66">
        <v>0.0</v>
      </c>
      <c r="O133" s="66">
        <v>0.0</v>
      </c>
      <c r="P133" s="66">
        <v>0.0</v>
      </c>
      <c r="Q133" s="66">
        <v>1.0</v>
      </c>
      <c r="R133" s="66">
        <v>0.0</v>
      </c>
      <c r="S133" s="66">
        <v>0.0</v>
      </c>
      <c r="T133" s="66">
        <v>0.0</v>
      </c>
      <c r="U133" s="66">
        <v>0.0</v>
      </c>
      <c r="V133" s="66">
        <v>0.0</v>
      </c>
      <c r="W133" s="6">
        <f t="shared" ref="W133:W140" si="38">SUM(E133:V133)</f>
        <v>1</v>
      </c>
    </row>
    <row r="134" ht="12.75" customHeight="1">
      <c r="A134" s="32" t="s">
        <v>38</v>
      </c>
      <c r="B134" s="51"/>
      <c r="C134" s="52" t="s">
        <v>111</v>
      </c>
      <c r="D134" s="53"/>
      <c r="E134" s="66">
        <v>0.0</v>
      </c>
      <c r="F134" s="66">
        <v>0.0</v>
      </c>
      <c r="G134" s="66">
        <v>0.0</v>
      </c>
      <c r="H134" s="66">
        <v>0.0</v>
      </c>
      <c r="I134" s="66">
        <v>0.0</v>
      </c>
      <c r="J134" s="66">
        <v>0.0</v>
      </c>
      <c r="K134" s="66">
        <v>0.0</v>
      </c>
      <c r="L134" s="66">
        <v>0.0</v>
      </c>
      <c r="M134" s="66">
        <v>0.0</v>
      </c>
      <c r="N134" s="66">
        <v>0.0</v>
      </c>
      <c r="O134" s="66">
        <v>0.0</v>
      </c>
      <c r="P134" s="66">
        <v>0.0</v>
      </c>
      <c r="Q134" s="66">
        <v>0.0</v>
      </c>
      <c r="R134" s="66">
        <v>0.0</v>
      </c>
      <c r="S134" s="66">
        <v>0.0</v>
      </c>
      <c r="T134" s="66">
        <v>0.0</v>
      </c>
      <c r="U134" s="66">
        <v>0.0</v>
      </c>
      <c r="V134" s="66">
        <v>0.0</v>
      </c>
      <c r="W134" s="6">
        <f t="shared" si="38"/>
        <v>0</v>
      </c>
    </row>
    <row r="135" ht="12.75" customHeight="1">
      <c r="A135" s="18"/>
      <c r="B135" s="51"/>
      <c r="C135" s="52" t="s">
        <v>112</v>
      </c>
      <c r="D135" s="53"/>
      <c r="E135" s="66">
        <v>0.0</v>
      </c>
      <c r="F135" s="66">
        <v>0.0</v>
      </c>
      <c r="G135" s="66">
        <v>0.0</v>
      </c>
      <c r="H135" s="66">
        <v>0.0</v>
      </c>
      <c r="I135" s="66">
        <v>0.0</v>
      </c>
      <c r="J135" s="66">
        <v>0.0</v>
      </c>
      <c r="K135" s="66">
        <v>0.0</v>
      </c>
      <c r="L135" s="66">
        <v>0.0</v>
      </c>
      <c r="M135" s="66">
        <v>0.0</v>
      </c>
      <c r="N135" s="66">
        <v>0.0</v>
      </c>
      <c r="O135" s="66">
        <v>0.0</v>
      </c>
      <c r="P135" s="66">
        <v>0.0</v>
      </c>
      <c r="Q135" s="66">
        <v>0.0</v>
      </c>
      <c r="R135" s="66">
        <v>0.0</v>
      </c>
      <c r="S135" s="66">
        <v>0.0</v>
      </c>
      <c r="T135" s="66">
        <v>0.0</v>
      </c>
      <c r="U135" s="66">
        <v>0.0</v>
      </c>
      <c r="V135" s="66">
        <v>0.0</v>
      </c>
      <c r="W135" s="6">
        <f t="shared" si="38"/>
        <v>0</v>
      </c>
    </row>
    <row r="136" ht="12.75" customHeight="1">
      <c r="A136" s="18"/>
      <c r="B136" s="51"/>
      <c r="C136" s="52" t="s">
        <v>113</v>
      </c>
      <c r="D136" s="53"/>
      <c r="E136" s="66">
        <v>0.0</v>
      </c>
      <c r="F136" s="66">
        <v>0.0</v>
      </c>
      <c r="G136" s="66">
        <v>0.0</v>
      </c>
      <c r="H136" s="66">
        <v>0.0</v>
      </c>
      <c r="I136" s="66">
        <v>0.0</v>
      </c>
      <c r="J136" s="66">
        <v>0.0</v>
      </c>
      <c r="K136" s="66">
        <v>0.0</v>
      </c>
      <c r="L136" s="66">
        <v>0.0</v>
      </c>
      <c r="M136" s="66">
        <v>0.0</v>
      </c>
      <c r="N136" s="66">
        <v>0.0</v>
      </c>
      <c r="O136" s="66">
        <v>0.0</v>
      </c>
      <c r="P136" s="66">
        <v>0.0</v>
      </c>
      <c r="Q136" s="66">
        <v>0.0</v>
      </c>
      <c r="R136" s="66">
        <v>0.0</v>
      </c>
      <c r="S136" s="66">
        <v>0.0</v>
      </c>
      <c r="T136" s="66">
        <v>0.0</v>
      </c>
      <c r="U136" s="66">
        <v>0.0</v>
      </c>
      <c r="V136" s="66">
        <v>0.0</v>
      </c>
      <c r="W136" s="6">
        <f t="shared" si="38"/>
        <v>0</v>
      </c>
    </row>
    <row r="137" ht="12.75" customHeight="1">
      <c r="A137" s="18"/>
      <c r="B137" s="51"/>
      <c r="C137" s="52" t="s">
        <v>114</v>
      </c>
      <c r="D137" s="53"/>
      <c r="E137" s="66">
        <v>0.0</v>
      </c>
      <c r="F137" s="66">
        <v>0.0</v>
      </c>
      <c r="G137" s="66">
        <v>0.0</v>
      </c>
      <c r="H137" s="66">
        <v>0.0</v>
      </c>
      <c r="I137" s="66">
        <v>0.0</v>
      </c>
      <c r="J137" s="66">
        <v>0.0</v>
      </c>
      <c r="K137" s="66">
        <v>0.0</v>
      </c>
      <c r="L137" s="66">
        <v>0.0</v>
      </c>
      <c r="M137" s="66">
        <v>0.0</v>
      </c>
      <c r="N137" s="66">
        <v>0.0</v>
      </c>
      <c r="O137" s="66">
        <v>0.0</v>
      </c>
      <c r="P137" s="66">
        <v>0.0</v>
      </c>
      <c r="Q137" s="66">
        <v>0.0</v>
      </c>
      <c r="R137" s="66">
        <v>0.0</v>
      </c>
      <c r="S137" s="66">
        <v>0.0</v>
      </c>
      <c r="T137" s="66">
        <v>0.0</v>
      </c>
      <c r="U137" s="66">
        <v>0.0</v>
      </c>
      <c r="V137" s="66">
        <v>0.0</v>
      </c>
      <c r="W137" s="6">
        <f t="shared" si="38"/>
        <v>0</v>
      </c>
    </row>
    <row r="138" ht="12.75" customHeight="1">
      <c r="A138" s="18"/>
      <c r="B138" s="51"/>
      <c r="C138" s="52" t="s">
        <v>115</v>
      </c>
      <c r="D138" s="53"/>
      <c r="E138" s="66">
        <v>0.0</v>
      </c>
      <c r="F138" s="66">
        <v>0.0</v>
      </c>
      <c r="G138" s="66">
        <v>0.0</v>
      </c>
      <c r="H138" s="66">
        <v>0.0</v>
      </c>
      <c r="I138" s="66">
        <v>0.0</v>
      </c>
      <c r="J138" s="66">
        <v>0.0</v>
      </c>
      <c r="K138" s="66">
        <v>0.0</v>
      </c>
      <c r="L138" s="66">
        <v>0.0</v>
      </c>
      <c r="M138" s="66">
        <v>0.0</v>
      </c>
      <c r="N138" s="66">
        <v>0.0</v>
      </c>
      <c r="O138" s="66">
        <v>0.0</v>
      </c>
      <c r="P138" s="66">
        <v>0.0</v>
      </c>
      <c r="Q138" s="66">
        <v>0.0</v>
      </c>
      <c r="R138" s="66">
        <v>0.0</v>
      </c>
      <c r="S138" s="66">
        <v>0.0</v>
      </c>
      <c r="T138" s="66">
        <v>0.0</v>
      </c>
      <c r="U138" s="66">
        <v>0.0</v>
      </c>
      <c r="V138" s="66">
        <v>0.0</v>
      </c>
      <c r="W138" s="6">
        <f t="shared" si="38"/>
        <v>0</v>
      </c>
    </row>
    <row r="139" ht="12.75" customHeight="1">
      <c r="A139" s="18"/>
      <c r="B139" s="51"/>
      <c r="C139" s="52" t="s">
        <v>116</v>
      </c>
      <c r="D139" s="53"/>
      <c r="E139" s="66">
        <v>0.0</v>
      </c>
      <c r="F139" s="66">
        <v>0.0</v>
      </c>
      <c r="G139" s="66">
        <v>0.0</v>
      </c>
      <c r="H139" s="66">
        <v>0.0</v>
      </c>
      <c r="I139" s="66">
        <v>0.0</v>
      </c>
      <c r="J139" s="66">
        <v>0.0</v>
      </c>
      <c r="K139" s="66">
        <v>0.0</v>
      </c>
      <c r="L139" s="66">
        <v>0.0</v>
      </c>
      <c r="M139" s="66">
        <v>0.0</v>
      </c>
      <c r="N139" s="66">
        <v>0.0</v>
      </c>
      <c r="O139" s="66">
        <v>0.0</v>
      </c>
      <c r="P139" s="66">
        <v>0.0</v>
      </c>
      <c r="Q139" s="66">
        <v>0.0</v>
      </c>
      <c r="R139" s="66">
        <v>0.0</v>
      </c>
      <c r="S139" s="66">
        <v>0.0</v>
      </c>
      <c r="T139" s="66">
        <v>0.0</v>
      </c>
      <c r="U139" s="66">
        <v>0.0</v>
      </c>
      <c r="V139" s="66">
        <v>0.0</v>
      </c>
      <c r="W139" s="6">
        <f t="shared" si="38"/>
        <v>0</v>
      </c>
    </row>
    <row r="140" ht="12.75" customHeight="1">
      <c r="A140" s="13" t="s">
        <v>14</v>
      </c>
      <c r="B140" s="49" t="s">
        <v>45</v>
      </c>
      <c r="C140" s="8"/>
      <c r="D140" s="9"/>
      <c r="E140" s="54">
        <f t="shared" ref="E140:V140" si="39">SUM(E133:E139)</f>
        <v>0</v>
      </c>
      <c r="F140" s="54">
        <f t="shared" si="39"/>
        <v>0</v>
      </c>
      <c r="G140" s="54">
        <f t="shared" si="39"/>
        <v>0</v>
      </c>
      <c r="H140" s="54">
        <f t="shared" si="39"/>
        <v>0</v>
      </c>
      <c r="I140" s="54">
        <f t="shared" si="39"/>
        <v>0</v>
      </c>
      <c r="J140" s="54">
        <f t="shared" si="39"/>
        <v>0</v>
      </c>
      <c r="K140" s="54">
        <f t="shared" si="39"/>
        <v>0</v>
      </c>
      <c r="L140" s="54">
        <f t="shared" si="39"/>
        <v>0</v>
      </c>
      <c r="M140" s="54">
        <f t="shared" si="39"/>
        <v>0</v>
      </c>
      <c r="N140" s="54">
        <f t="shared" si="39"/>
        <v>0</v>
      </c>
      <c r="O140" s="54">
        <f t="shared" si="39"/>
        <v>0</v>
      </c>
      <c r="P140" s="54">
        <f t="shared" si="39"/>
        <v>0</v>
      </c>
      <c r="Q140" s="54">
        <f t="shared" si="39"/>
        <v>1</v>
      </c>
      <c r="R140" s="54">
        <f t="shared" si="39"/>
        <v>0</v>
      </c>
      <c r="S140" s="54">
        <f t="shared" si="39"/>
        <v>0</v>
      </c>
      <c r="T140" s="54">
        <f t="shared" si="39"/>
        <v>0</v>
      </c>
      <c r="U140" s="54">
        <f t="shared" si="39"/>
        <v>0</v>
      </c>
      <c r="V140" s="54">
        <f t="shared" si="39"/>
        <v>0</v>
      </c>
      <c r="W140" s="6">
        <f t="shared" si="38"/>
        <v>1</v>
      </c>
    </row>
    <row r="141" ht="12.75" customHeight="1">
      <c r="A141" s="55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6"/>
    </row>
    <row r="142" ht="12.75" customHeight="1">
      <c r="A142" s="32" t="s">
        <v>36</v>
      </c>
      <c r="B142" s="49" t="s">
        <v>117</v>
      </c>
      <c r="C142" s="50" t="s">
        <v>118</v>
      </c>
      <c r="D142" s="9"/>
      <c r="E142" s="66">
        <v>3.0</v>
      </c>
      <c r="F142" s="66">
        <v>7.0</v>
      </c>
      <c r="G142" s="66">
        <v>2.0</v>
      </c>
      <c r="H142" s="66">
        <v>7.0</v>
      </c>
      <c r="I142" s="66">
        <v>0.0</v>
      </c>
      <c r="J142" s="66">
        <v>0.0</v>
      </c>
      <c r="K142" s="66">
        <v>1.0</v>
      </c>
      <c r="L142" s="66">
        <v>5.0</v>
      </c>
      <c r="M142" s="66">
        <v>3.0</v>
      </c>
      <c r="N142" s="66">
        <v>5.0</v>
      </c>
      <c r="O142" s="66">
        <v>3.0</v>
      </c>
      <c r="P142" s="66">
        <v>5.0</v>
      </c>
      <c r="Q142" s="66">
        <v>13.0</v>
      </c>
      <c r="R142" s="66">
        <v>12.0</v>
      </c>
      <c r="S142" s="66">
        <v>11.0</v>
      </c>
      <c r="T142" s="66">
        <v>0.0</v>
      </c>
      <c r="U142" s="66">
        <v>1.0</v>
      </c>
      <c r="V142" s="66">
        <v>0.0</v>
      </c>
      <c r="W142" s="6">
        <f t="shared" ref="W142:W149" si="40">SUM(E142:V142)</f>
        <v>78</v>
      </c>
    </row>
    <row r="143" ht="12.75" customHeight="1">
      <c r="A143" s="32" t="s">
        <v>38</v>
      </c>
      <c r="B143" s="51"/>
      <c r="C143" s="52" t="s">
        <v>119</v>
      </c>
      <c r="D143" s="53"/>
      <c r="E143" s="66">
        <v>26.0</v>
      </c>
      <c r="F143" s="66">
        <v>5.0</v>
      </c>
      <c r="G143" s="66">
        <v>43.0</v>
      </c>
      <c r="H143" s="66">
        <v>35.0</v>
      </c>
      <c r="I143" s="66">
        <v>3.0</v>
      </c>
      <c r="J143" s="66">
        <v>4.0</v>
      </c>
      <c r="K143" s="66">
        <v>11.0</v>
      </c>
      <c r="L143" s="66">
        <v>11.0</v>
      </c>
      <c r="M143" s="66">
        <v>5.0</v>
      </c>
      <c r="N143" s="66">
        <v>8.0</v>
      </c>
      <c r="O143" s="66">
        <v>31.0</v>
      </c>
      <c r="P143" s="66">
        <v>31.0</v>
      </c>
      <c r="Q143" s="66">
        <v>74.0</v>
      </c>
      <c r="R143" s="66">
        <v>107.0</v>
      </c>
      <c r="S143" s="66">
        <v>42.0</v>
      </c>
      <c r="T143" s="66">
        <v>10.0</v>
      </c>
      <c r="U143" s="66">
        <v>9.0</v>
      </c>
      <c r="V143" s="66">
        <v>0.0</v>
      </c>
      <c r="W143" s="6">
        <f t="shared" si="40"/>
        <v>455</v>
      </c>
    </row>
    <row r="144" ht="12.75" customHeight="1">
      <c r="A144" s="18"/>
      <c r="B144" s="51"/>
      <c r="C144" s="52" t="s">
        <v>120</v>
      </c>
      <c r="D144" s="53"/>
      <c r="E144" s="66">
        <v>0.0</v>
      </c>
      <c r="F144" s="66">
        <v>1.0</v>
      </c>
      <c r="G144" s="66">
        <v>11.0</v>
      </c>
      <c r="H144" s="66">
        <v>22.0</v>
      </c>
      <c r="I144" s="66">
        <v>0.0</v>
      </c>
      <c r="J144" s="66">
        <v>6.0</v>
      </c>
      <c r="K144" s="66">
        <v>3.0</v>
      </c>
      <c r="L144" s="66">
        <v>2.0</v>
      </c>
      <c r="M144" s="66">
        <v>8.0</v>
      </c>
      <c r="N144" s="66">
        <v>0.0</v>
      </c>
      <c r="O144" s="66">
        <v>8.0</v>
      </c>
      <c r="P144" s="66">
        <v>0.0</v>
      </c>
      <c r="Q144" s="66">
        <v>1.0</v>
      </c>
      <c r="R144" s="66">
        <v>2.0</v>
      </c>
      <c r="S144" s="66">
        <v>0.0</v>
      </c>
      <c r="T144" s="66">
        <v>0.0</v>
      </c>
      <c r="U144" s="66">
        <v>2.0</v>
      </c>
      <c r="V144" s="66">
        <v>0.0</v>
      </c>
      <c r="W144" s="6">
        <f t="shared" si="40"/>
        <v>66</v>
      </c>
    </row>
    <row r="145" ht="12.75" customHeight="1">
      <c r="A145" s="18"/>
      <c r="B145" s="51"/>
      <c r="C145" s="52" t="s">
        <v>121</v>
      </c>
      <c r="D145" s="53"/>
      <c r="E145" s="66">
        <v>0.0</v>
      </c>
      <c r="F145" s="66">
        <v>0.0</v>
      </c>
      <c r="G145" s="66">
        <v>0.0</v>
      </c>
      <c r="H145" s="66">
        <v>0.0</v>
      </c>
      <c r="I145" s="66">
        <v>0.0</v>
      </c>
      <c r="J145" s="66">
        <v>0.0</v>
      </c>
      <c r="K145" s="66">
        <v>0.0</v>
      </c>
      <c r="L145" s="66">
        <v>0.0</v>
      </c>
      <c r="M145" s="66">
        <v>0.0</v>
      </c>
      <c r="N145" s="66">
        <v>0.0</v>
      </c>
      <c r="O145" s="66">
        <v>0.0</v>
      </c>
      <c r="P145" s="66">
        <v>0.0</v>
      </c>
      <c r="Q145" s="66">
        <v>0.0</v>
      </c>
      <c r="R145" s="66">
        <v>1.0</v>
      </c>
      <c r="S145" s="66">
        <v>0.0</v>
      </c>
      <c r="T145" s="66">
        <v>0.0</v>
      </c>
      <c r="U145" s="66">
        <v>0.0</v>
      </c>
      <c r="V145" s="66">
        <v>0.0</v>
      </c>
      <c r="W145" s="6">
        <f t="shared" si="40"/>
        <v>1</v>
      </c>
    </row>
    <row r="146" ht="12.75" customHeight="1">
      <c r="A146" s="18"/>
      <c r="B146" s="51"/>
      <c r="C146" s="52" t="s">
        <v>122</v>
      </c>
      <c r="D146" s="53"/>
      <c r="E146" s="66">
        <v>1.0</v>
      </c>
      <c r="F146" s="66">
        <v>0.0</v>
      </c>
      <c r="G146" s="66">
        <v>0.0</v>
      </c>
      <c r="H146" s="66">
        <v>1.0</v>
      </c>
      <c r="I146" s="66">
        <v>2.0</v>
      </c>
      <c r="J146" s="66">
        <v>0.0</v>
      </c>
      <c r="K146" s="66">
        <v>0.0</v>
      </c>
      <c r="L146" s="66">
        <v>0.0</v>
      </c>
      <c r="M146" s="66">
        <v>1.0</v>
      </c>
      <c r="N146" s="66">
        <v>0.0</v>
      </c>
      <c r="O146" s="66">
        <v>1.0</v>
      </c>
      <c r="P146" s="66">
        <v>0.0</v>
      </c>
      <c r="Q146" s="66">
        <v>0.0</v>
      </c>
      <c r="R146" s="66">
        <v>0.0</v>
      </c>
      <c r="S146" s="66">
        <v>0.0</v>
      </c>
      <c r="T146" s="66">
        <v>0.0</v>
      </c>
      <c r="U146" s="66">
        <v>0.0</v>
      </c>
      <c r="V146" s="66">
        <v>0.0</v>
      </c>
      <c r="W146" s="6">
        <f t="shared" si="40"/>
        <v>6</v>
      </c>
    </row>
    <row r="147" ht="12.75" customHeight="1">
      <c r="A147" s="18"/>
      <c r="B147" s="51"/>
      <c r="C147" s="52" t="s">
        <v>123</v>
      </c>
      <c r="D147" s="53"/>
      <c r="E147" s="66">
        <v>0.0</v>
      </c>
      <c r="F147" s="66">
        <v>0.0</v>
      </c>
      <c r="G147" s="66">
        <v>0.0</v>
      </c>
      <c r="H147" s="66">
        <v>0.0</v>
      </c>
      <c r="I147" s="66">
        <v>0.0</v>
      </c>
      <c r="J147" s="66">
        <v>0.0</v>
      </c>
      <c r="K147" s="66">
        <v>0.0</v>
      </c>
      <c r="L147" s="66">
        <v>0.0</v>
      </c>
      <c r="M147" s="66">
        <v>0.0</v>
      </c>
      <c r="N147" s="66">
        <v>0.0</v>
      </c>
      <c r="O147" s="66">
        <v>0.0</v>
      </c>
      <c r="P147" s="66">
        <v>0.0</v>
      </c>
      <c r="Q147" s="66">
        <v>0.0</v>
      </c>
      <c r="R147" s="66">
        <v>0.0</v>
      </c>
      <c r="S147" s="66">
        <v>0.0</v>
      </c>
      <c r="T147" s="66">
        <v>0.0</v>
      </c>
      <c r="U147" s="66">
        <v>0.0</v>
      </c>
      <c r="V147" s="66">
        <v>0.0</v>
      </c>
      <c r="W147" s="6">
        <f t="shared" si="40"/>
        <v>0</v>
      </c>
    </row>
    <row r="148" ht="12.75" customHeight="1">
      <c r="A148" s="18"/>
      <c r="B148" s="51"/>
      <c r="C148" s="52" t="s">
        <v>124</v>
      </c>
      <c r="D148" s="53"/>
      <c r="E148" s="66">
        <v>0.0</v>
      </c>
      <c r="F148" s="66">
        <v>0.0</v>
      </c>
      <c r="G148" s="66">
        <v>1.0</v>
      </c>
      <c r="H148" s="66">
        <v>0.0</v>
      </c>
      <c r="I148" s="66">
        <v>0.0</v>
      </c>
      <c r="J148" s="66">
        <v>0.0</v>
      </c>
      <c r="K148" s="66">
        <v>0.0</v>
      </c>
      <c r="L148" s="66">
        <v>0.0</v>
      </c>
      <c r="M148" s="66">
        <v>0.0</v>
      </c>
      <c r="N148" s="66">
        <v>0.0</v>
      </c>
      <c r="O148" s="66">
        <v>0.0</v>
      </c>
      <c r="P148" s="66">
        <v>0.0</v>
      </c>
      <c r="Q148" s="66">
        <v>0.0</v>
      </c>
      <c r="R148" s="66">
        <v>0.0</v>
      </c>
      <c r="S148" s="66">
        <v>0.0</v>
      </c>
      <c r="T148" s="66">
        <v>0.0</v>
      </c>
      <c r="U148" s="66">
        <v>0.0</v>
      </c>
      <c r="V148" s="66">
        <v>0.0</v>
      </c>
      <c r="W148" s="6">
        <f t="shared" si="40"/>
        <v>1</v>
      </c>
    </row>
    <row r="149" ht="12.75" customHeight="1">
      <c r="A149" s="13" t="s">
        <v>14</v>
      </c>
      <c r="B149" s="49" t="s">
        <v>45</v>
      </c>
      <c r="C149" s="8"/>
      <c r="D149" s="9"/>
      <c r="E149" s="54">
        <f t="shared" ref="E149:V149" si="41">SUM(E142:E148)</f>
        <v>30</v>
      </c>
      <c r="F149" s="54">
        <f t="shared" si="41"/>
        <v>13</v>
      </c>
      <c r="G149" s="54">
        <f t="shared" si="41"/>
        <v>57</v>
      </c>
      <c r="H149" s="54">
        <f t="shared" si="41"/>
        <v>65</v>
      </c>
      <c r="I149" s="54">
        <f t="shared" si="41"/>
        <v>5</v>
      </c>
      <c r="J149" s="54">
        <f t="shared" si="41"/>
        <v>10</v>
      </c>
      <c r="K149" s="54">
        <f t="shared" si="41"/>
        <v>15</v>
      </c>
      <c r="L149" s="54">
        <f t="shared" si="41"/>
        <v>18</v>
      </c>
      <c r="M149" s="54">
        <f t="shared" si="41"/>
        <v>17</v>
      </c>
      <c r="N149" s="54">
        <f t="shared" si="41"/>
        <v>13</v>
      </c>
      <c r="O149" s="54">
        <f t="shared" si="41"/>
        <v>43</v>
      </c>
      <c r="P149" s="54">
        <f t="shared" si="41"/>
        <v>36</v>
      </c>
      <c r="Q149" s="54">
        <f t="shared" si="41"/>
        <v>88</v>
      </c>
      <c r="R149" s="54">
        <f t="shared" si="41"/>
        <v>122</v>
      </c>
      <c r="S149" s="54">
        <f t="shared" si="41"/>
        <v>53</v>
      </c>
      <c r="T149" s="54">
        <f t="shared" si="41"/>
        <v>10</v>
      </c>
      <c r="U149" s="54">
        <f t="shared" si="41"/>
        <v>12</v>
      </c>
      <c r="V149" s="54">
        <f t="shared" si="41"/>
        <v>0</v>
      </c>
      <c r="W149" s="6">
        <f t="shared" si="40"/>
        <v>607</v>
      </c>
    </row>
    <row r="150" ht="12.75" customHeight="1">
      <c r="A150" s="55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6"/>
    </row>
    <row r="151" ht="12.75" customHeight="1">
      <c r="A151" s="32" t="s">
        <v>36</v>
      </c>
      <c r="B151" s="49" t="s">
        <v>125</v>
      </c>
      <c r="C151" s="50" t="s">
        <v>126</v>
      </c>
      <c r="D151" s="9"/>
      <c r="E151" s="66">
        <v>0.0</v>
      </c>
      <c r="F151" s="66">
        <v>0.0</v>
      </c>
      <c r="G151" s="66">
        <v>0.0</v>
      </c>
      <c r="H151" s="66">
        <v>0.0</v>
      </c>
      <c r="I151" s="66">
        <v>0.0</v>
      </c>
      <c r="J151" s="66">
        <v>0.0</v>
      </c>
      <c r="K151" s="66">
        <v>0.0</v>
      </c>
      <c r="L151" s="66">
        <v>0.0</v>
      </c>
      <c r="M151" s="66">
        <v>0.0</v>
      </c>
      <c r="N151" s="66">
        <v>0.0</v>
      </c>
      <c r="O151" s="66">
        <v>0.0</v>
      </c>
      <c r="P151" s="66">
        <v>0.0</v>
      </c>
      <c r="Q151" s="66">
        <v>0.0</v>
      </c>
      <c r="R151" s="66">
        <v>1.0</v>
      </c>
      <c r="S151" s="66">
        <v>1.0</v>
      </c>
      <c r="T151" s="66">
        <v>0.0</v>
      </c>
      <c r="U151" s="66">
        <v>0.0</v>
      </c>
      <c r="V151" s="66">
        <v>0.0</v>
      </c>
      <c r="W151" s="6">
        <f t="shared" ref="W151:W153" si="42">SUM(E151:V151)</f>
        <v>2</v>
      </c>
    </row>
    <row r="152" ht="12.75" customHeight="1">
      <c r="A152" s="32" t="s">
        <v>38</v>
      </c>
      <c r="B152" s="51"/>
      <c r="C152" s="52" t="s">
        <v>127</v>
      </c>
      <c r="D152" s="53"/>
      <c r="E152" s="66">
        <v>0.0</v>
      </c>
      <c r="F152" s="66">
        <v>0.0</v>
      </c>
      <c r="G152" s="66">
        <v>4.0</v>
      </c>
      <c r="H152" s="66">
        <v>2.0</v>
      </c>
      <c r="I152" s="66">
        <v>0.0</v>
      </c>
      <c r="J152" s="66">
        <v>0.0</v>
      </c>
      <c r="K152" s="66">
        <v>0.0</v>
      </c>
      <c r="L152" s="66">
        <v>0.0</v>
      </c>
      <c r="M152" s="66">
        <v>0.0</v>
      </c>
      <c r="N152" s="66">
        <v>1.0</v>
      </c>
      <c r="O152" s="66">
        <v>2.0</v>
      </c>
      <c r="P152" s="66">
        <v>0.0</v>
      </c>
      <c r="Q152" s="66">
        <v>0.0</v>
      </c>
      <c r="R152" s="66">
        <v>0.0</v>
      </c>
      <c r="S152" s="66">
        <v>1.0</v>
      </c>
      <c r="T152" s="66">
        <v>1.0</v>
      </c>
      <c r="U152" s="66">
        <v>1.0</v>
      </c>
      <c r="V152" s="66">
        <v>0.0</v>
      </c>
      <c r="W152" s="6">
        <f t="shared" si="42"/>
        <v>12</v>
      </c>
    </row>
    <row r="153" ht="12.75" customHeight="1">
      <c r="A153" s="13" t="s">
        <v>14</v>
      </c>
      <c r="B153" s="49" t="s">
        <v>45</v>
      </c>
      <c r="C153" s="8"/>
      <c r="D153" s="9"/>
      <c r="E153" s="54">
        <f t="shared" ref="E153:V153" si="43">SUM(E151:E152)</f>
        <v>0</v>
      </c>
      <c r="F153" s="54">
        <f t="shared" si="43"/>
        <v>0</v>
      </c>
      <c r="G153" s="54">
        <f t="shared" si="43"/>
        <v>4</v>
      </c>
      <c r="H153" s="54">
        <f t="shared" si="43"/>
        <v>2</v>
      </c>
      <c r="I153" s="54">
        <f t="shared" si="43"/>
        <v>0</v>
      </c>
      <c r="J153" s="54">
        <f t="shared" si="43"/>
        <v>0</v>
      </c>
      <c r="K153" s="54">
        <f t="shared" si="43"/>
        <v>0</v>
      </c>
      <c r="L153" s="54">
        <f t="shared" si="43"/>
        <v>0</v>
      </c>
      <c r="M153" s="54">
        <f t="shared" si="43"/>
        <v>0</v>
      </c>
      <c r="N153" s="54">
        <f t="shared" si="43"/>
        <v>1</v>
      </c>
      <c r="O153" s="54">
        <f t="shared" si="43"/>
        <v>2</v>
      </c>
      <c r="P153" s="54">
        <f t="shared" si="43"/>
        <v>0</v>
      </c>
      <c r="Q153" s="54">
        <f t="shared" si="43"/>
        <v>0</v>
      </c>
      <c r="R153" s="54">
        <f t="shared" si="43"/>
        <v>1</v>
      </c>
      <c r="S153" s="54">
        <f t="shared" si="43"/>
        <v>2</v>
      </c>
      <c r="T153" s="54">
        <f t="shared" si="43"/>
        <v>1</v>
      </c>
      <c r="U153" s="54">
        <f t="shared" si="43"/>
        <v>1</v>
      </c>
      <c r="V153" s="54">
        <f t="shared" si="43"/>
        <v>0</v>
      </c>
      <c r="W153" s="6">
        <f t="shared" si="42"/>
        <v>14</v>
      </c>
    </row>
    <row r="154" ht="12.75" customHeight="1">
      <c r="A154" s="55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6"/>
    </row>
    <row r="155" ht="12.75" customHeight="1">
      <c r="A155" s="32" t="s">
        <v>36</v>
      </c>
      <c r="B155" s="49" t="s">
        <v>128</v>
      </c>
      <c r="C155" s="50" t="s">
        <v>129</v>
      </c>
      <c r="D155" s="9"/>
      <c r="E155" s="66">
        <v>0.0</v>
      </c>
      <c r="F155" s="66">
        <v>0.0</v>
      </c>
      <c r="G155" s="66">
        <v>0.0</v>
      </c>
      <c r="H155" s="66">
        <v>0.0</v>
      </c>
      <c r="I155" s="66">
        <v>0.0</v>
      </c>
      <c r="J155" s="66">
        <v>0.0</v>
      </c>
      <c r="K155" s="66">
        <v>0.0</v>
      </c>
      <c r="L155" s="66">
        <v>0.0</v>
      </c>
      <c r="M155" s="66">
        <v>0.0</v>
      </c>
      <c r="N155" s="66">
        <v>0.0</v>
      </c>
      <c r="O155" s="66">
        <v>0.0</v>
      </c>
      <c r="P155" s="66">
        <v>0.0</v>
      </c>
      <c r="Q155" s="66">
        <v>0.0</v>
      </c>
      <c r="R155" s="66">
        <v>0.0</v>
      </c>
      <c r="S155" s="66">
        <v>0.0</v>
      </c>
      <c r="T155" s="66">
        <v>1.0</v>
      </c>
      <c r="U155" s="66">
        <v>0.0</v>
      </c>
      <c r="V155" s="66">
        <v>0.0</v>
      </c>
      <c r="W155" s="6">
        <f t="shared" ref="W155:W159" si="44">SUM(E155:V155)</f>
        <v>1</v>
      </c>
    </row>
    <row r="156" ht="12.75" customHeight="1">
      <c r="A156" s="32"/>
      <c r="B156" s="49"/>
      <c r="C156" s="52" t="s">
        <v>130</v>
      </c>
      <c r="D156" s="61"/>
      <c r="E156" s="66">
        <v>0.0</v>
      </c>
      <c r="F156" s="66">
        <v>0.0</v>
      </c>
      <c r="G156" s="66">
        <v>0.0</v>
      </c>
      <c r="H156" s="66">
        <v>0.0</v>
      </c>
      <c r="I156" s="66">
        <v>0.0</v>
      </c>
      <c r="J156" s="66">
        <v>0.0</v>
      </c>
      <c r="K156" s="66">
        <v>0.0</v>
      </c>
      <c r="L156" s="66">
        <v>0.0</v>
      </c>
      <c r="M156" s="66">
        <v>0.0</v>
      </c>
      <c r="N156" s="66">
        <v>0.0</v>
      </c>
      <c r="O156" s="66">
        <v>0.0</v>
      </c>
      <c r="P156" s="66">
        <v>0.0</v>
      </c>
      <c r="Q156" s="66">
        <v>0.0</v>
      </c>
      <c r="R156" s="66">
        <v>0.0</v>
      </c>
      <c r="S156" s="66">
        <v>0.0</v>
      </c>
      <c r="T156" s="66">
        <v>0.0</v>
      </c>
      <c r="U156" s="66">
        <v>0.0</v>
      </c>
      <c r="V156" s="66">
        <v>0.0</v>
      </c>
      <c r="W156" s="6">
        <f t="shared" si="44"/>
        <v>0</v>
      </c>
    </row>
    <row r="157" ht="12.75" customHeight="1">
      <c r="A157" s="32"/>
      <c r="B157" s="49"/>
      <c r="C157" s="52" t="s">
        <v>131</v>
      </c>
      <c r="D157" s="61"/>
      <c r="E157" s="66">
        <v>0.0</v>
      </c>
      <c r="F157" s="66">
        <v>0.0</v>
      </c>
      <c r="G157" s="66">
        <v>0.0</v>
      </c>
      <c r="H157" s="66">
        <v>0.0</v>
      </c>
      <c r="I157" s="66">
        <v>0.0</v>
      </c>
      <c r="J157" s="66">
        <v>0.0</v>
      </c>
      <c r="K157" s="66">
        <v>0.0</v>
      </c>
      <c r="L157" s="66">
        <v>0.0</v>
      </c>
      <c r="M157" s="66">
        <v>0.0</v>
      </c>
      <c r="N157" s="66">
        <v>0.0</v>
      </c>
      <c r="O157" s="66">
        <v>0.0</v>
      </c>
      <c r="P157" s="66">
        <v>0.0</v>
      </c>
      <c r="Q157" s="66">
        <v>0.0</v>
      </c>
      <c r="R157" s="66">
        <v>0.0</v>
      </c>
      <c r="S157" s="66">
        <v>0.0</v>
      </c>
      <c r="T157" s="66">
        <v>0.0</v>
      </c>
      <c r="U157" s="66">
        <v>0.0</v>
      </c>
      <c r="V157" s="66">
        <v>0.0</v>
      </c>
      <c r="W157" s="6">
        <f t="shared" si="44"/>
        <v>0</v>
      </c>
    </row>
    <row r="158" ht="12.75" customHeight="1">
      <c r="A158" s="32"/>
      <c r="B158" s="49"/>
      <c r="C158" s="52" t="s">
        <v>132</v>
      </c>
      <c r="D158" s="61"/>
      <c r="E158" s="66">
        <v>0.0</v>
      </c>
      <c r="F158" s="66">
        <v>0.0</v>
      </c>
      <c r="G158" s="66">
        <v>0.0</v>
      </c>
      <c r="H158" s="66">
        <v>0.0</v>
      </c>
      <c r="I158" s="66">
        <v>0.0</v>
      </c>
      <c r="J158" s="66">
        <v>0.0</v>
      </c>
      <c r="K158" s="66">
        <v>0.0</v>
      </c>
      <c r="L158" s="66">
        <v>0.0</v>
      </c>
      <c r="M158" s="66">
        <v>0.0</v>
      </c>
      <c r="N158" s="66">
        <v>0.0</v>
      </c>
      <c r="O158" s="66">
        <v>0.0</v>
      </c>
      <c r="P158" s="66">
        <v>0.0</v>
      </c>
      <c r="Q158" s="66">
        <v>0.0</v>
      </c>
      <c r="R158" s="66">
        <v>0.0</v>
      </c>
      <c r="S158" s="66">
        <v>0.0</v>
      </c>
      <c r="T158" s="66">
        <v>0.0</v>
      </c>
      <c r="U158" s="66">
        <v>0.0</v>
      </c>
      <c r="V158" s="66">
        <v>0.0</v>
      </c>
      <c r="W158" s="6">
        <f t="shared" si="44"/>
        <v>0</v>
      </c>
    </row>
    <row r="159" ht="12.75" customHeight="1">
      <c r="A159" s="13" t="s">
        <v>14</v>
      </c>
      <c r="B159" s="49" t="s">
        <v>45</v>
      </c>
      <c r="C159" s="8"/>
      <c r="D159" s="9"/>
      <c r="E159" s="54">
        <f t="shared" ref="E159:V159" si="45">SUM(E155:E158)</f>
        <v>0</v>
      </c>
      <c r="F159" s="54">
        <f t="shared" si="45"/>
        <v>0</v>
      </c>
      <c r="G159" s="54">
        <f t="shared" si="45"/>
        <v>0</v>
      </c>
      <c r="H159" s="54">
        <f t="shared" si="45"/>
        <v>0</v>
      </c>
      <c r="I159" s="54">
        <f t="shared" si="45"/>
        <v>0</v>
      </c>
      <c r="J159" s="54">
        <f t="shared" si="45"/>
        <v>0</v>
      </c>
      <c r="K159" s="54">
        <f t="shared" si="45"/>
        <v>0</v>
      </c>
      <c r="L159" s="54">
        <f t="shared" si="45"/>
        <v>0</v>
      </c>
      <c r="M159" s="54">
        <f t="shared" si="45"/>
        <v>0</v>
      </c>
      <c r="N159" s="54">
        <f t="shared" si="45"/>
        <v>0</v>
      </c>
      <c r="O159" s="54">
        <f t="shared" si="45"/>
        <v>0</v>
      </c>
      <c r="P159" s="54">
        <f t="shared" si="45"/>
        <v>0</v>
      </c>
      <c r="Q159" s="54">
        <f t="shared" si="45"/>
        <v>0</v>
      </c>
      <c r="R159" s="54">
        <f t="shared" si="45"/>
        <v>0</v>
      </c>
      <c r="S159" s="54">
        <f t="shared" si="45"/>
        <v>0</v>
      </c>
      <c r="T159" s="54">
        <f t="shared" si="45"/>
        <v>1</v>
      </c>
      <c r="U159" s="54">
        <f t="shared" si="45"/>
        <v>0</v>
      </c>
      <c r="V159" s="54">
        <f t="shared" si="45"/>
        <v>0</v>
      </c>
      <c r="W159" s="6">
        <f t="shared" si="44"/>
        <v>1</v>
      </c>
    </row>
    <row r="160" ht="12.75" customHeight="1">
      <c r="A160" s="55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6"/>
    </row>
    <row r="161" ht="12.75" customHeight="1">
      <c r="A161" s="32" t="s">
        <v>36</v>
      </c>
      <c r="B161" s="49" t="s">
        <v>133</v>
      </c>
      <c r="C161" s="50" t="s">
        <v>134</v>
      </c>
      <c r="D161" s="9"/>
      <c r="E161" s="66">
        <v>0.0</v>
      </c>
      <c r="F161" s="66">
        <v>3.0</v>
      </c>
      <c r="G161" s="66">
        <v>0.0</v>
      </c>
      <c r="H161" s="66">
        <v>0.0</v>
      </c>
      <c r="I161" s="66">
        <v>1.0</v>
      </c>
      <c r="J161" s="66">
        <v>1.0</v>
      </c>
      <c r="K161" s="66">
        <v>2.0</v>
      </c>
      <c r="L161" s="66">
        <v>1.0</v>
      </c>
      <c r="M161" s="66">
        <v>0.0</v>
      </c>
      <c r="N161" s="66">
        <v>0.0</v>
      </c>
      <c r="O161" s="66">
        <v>1.0</v>
      </c>
      <c r="P161" s="66">
        <v>1.0</v>
      </c>
      <c r="Q161" s="66">
        <v>1.0</v>
      </c>
      <c r="R161" s="66">
        <v>3.0</v>
      </c>
      <c r="S161" s="66">
        <v>1.0</v>
      </c>
      <c r="T161" s="66">
        <v>1.0</v>
      </c>
      <c r="U161" s="66">
        <v>4.0</v>
      </c>
      <c r="V161" s="66">
        <v>0.0</v>
      </c>
      <c r="W161" s="6">
        <f t="shared" ref="W161:W168" si="46">SUM(E161:V161)</f>
        <v>20</v>
      </c>
    </row>
    <row r="162" ht="12.75" customHeight="1">
      <c r="A162" s="32" t="s">
        <v>38</v>
      </c>
      <c r="B162" s="51"/>
      <c r="C162" s="52" t="s">
        <v>135</v>
      </c>
      <c r="D162" s="53"/>
      <c r="E162" s="66">
        <v>1.0</v>
      </c>
      <c r="F162" s="66">
        <v>4.0</v>
      </c>
      <c r="G162" s="66">
        <v>4.0</v>
      </c>
      <c r="H162" s="66">
        <v>1.0</v>
      </c>
      <c r="I162" s="66">
        <v>1.0</v>
      </c>
      <c r="J162" s="66">
        <v>0.0</v>
      </c>
      <c r="K162" s="66">
        <v>2.0</v>
      </c>
      <c r="L162" s="66">
        <v>3.0</v>
      </c>
      <c r="M162" s="66">
        <v>0.0</v>
      </c>
      <c r="N162" s="66">
        <v>1.0</v>
      </c>
      <c r="O162" s="66">
        <v>6.0</v>
      </c>
      <c r="P162" s="66">
        <v>2.0</v>
      </c>
      <c r="Q162" s="66">
        <v>0.0</v>
      </c>
      <c r="R162" s="66">
        <v>9.0</v>
      </c>
      <c r="S162" s="66">
        <v>5.0</v>
      </c>
      <c r="T162" s="66">
        <v>0.0</v>
      </c>
      <c r="U162" s="66">
        <v>2.0</v>
      </c>
      <c r="V162" s="66">
        <v>0.0</v>
      </c>
      <c r="W162" s="6">
        <f t="shared" si="46"/>
        <v>41</v>
      </c>
    </row>
    <row r="163" ht="12.75" customHeight="1">
      <c r="A163" s="18"/>
      <c r="B163" s="51"/>
      <c r="C163" s="52" t="s">
        <v>136</v>
      </c>
      <c r="D163" s="53"/>
      <c r="E163" s="66">
        <v>0.0</v>
      </c>
      <c r="F163" s="66">
        <v>0.0</v>
      </c>
      <c r="G163" s="66">
        <v>0.0</v>
      </c>
      <c r="H163" s="66">
        <v>0.0</v>
      </c>
      <c r="I163" s="66">
        <v>0.0</v>
      </c>
      <c r="J163" s="66">
        <v>0.0</v>
      </c>
      <c r="K163" s="66">
        <v>1.0</v>
      </c>
      <c r="L163" s="66">
        <v>0.0</v>
      </c>
      <c r="M163" s="66">
        <v>0.0</v>
      </c>
      <c r="N163" s="66">
        <v>0.0</v>
      </c>
      <c r="O163" s="66">
        <v>0.0</v>
      </c>
      <c r="P163" s="66">
        <v>0.0</v>
      </c>
      <c r="Q163" s="66">
        <v>0.0</v>
      </c>
      <c r="R163" s="66">
        <v>1.0</v>
      </c>
      <c r="S163" s="66">
        <v>0.0</v>
      </c>
      <c r="T163" s="66">
        <v>0.0</v>
      </c>
      <c r="U163" s="66">
        <v>0.0</v>
      </c>
      <c r="V163" s="66">
        <v>0.0</v>
      </c>
      <c r="W163" s="6">
        <f t="shared" si="46"/>
        <v>2</v>
      </c>
    </row>
    <row r="164" ht="12.75" customHeight="1">
      <c r="A164" s="18"/>
      <c r="B164" s="51"/>
      <c r="C164" s="52" t="s">
        <v>137</v>
      </c>
      <c r="D164" s="53"/>
      <c r="E164" s="66">
        <v>0.0</v>
      </c>
      <c r="F164" s="66">
        <v>0.0</v>
      </c>
      <c r="G164" s="66">
        <v>0.0</v>
      </c>
      <c r="H164" s="66">
        <v>0.0</v>
      </c>
      <c r="I164" s="66">
        <v>0.0</v>
      </c>
      <c r="J164" s="66">
        <v>0.0</v>
      </c>
      <c r="K164" s="66">
        <v>0.0</v>
      </c>
      <c r="L164" s="66">
        <v>0.0</v>
      </c>
      <c r="M164" s="66">
        <v>0.0</v>
      </c>
      <c r="N164" s="66">
        <v>0.0</v>
      </c>
      <c r="O164" s="66">
        <v>0.0</v>
      </c>
      <c r="P164" s="66">
        <v>0.0</v>
      </c>
      <c r="Q164" s="66">
        <v>0.0</v>
      </c>
      <c r="R164" s="66">
        <v>0.0</v>
      </c>
      <c r="S164" s="66">
        <v>0.0</v>
      </c>
      <c r="T164" s="66">
        <v>0.0</v>
      </c>
      <c r="U164" s="66">
        <v>0.0</v>
      </c>
      <c r="V164" s="66">
        <v>0.0</v>
      </c>
      <c r="W164" s="6">
        <f t="shared" si="46"/>
        <v>0</v>
      </c>
    </row>
    <row r="165" ht="12.75" customHeight="1">
      <c r="A165" s="18"/>
      <c r="B165" s="51"/>
      <c r="C165" s="52" t="s">
        <v>138</v>
      </c>
      <c r="D165" s="53"/>
      <c r="E165" s="66">
        <v>0.0</v>
      </c>
      <c r="F165" s="66">
        <v>0.0</v>
      </c>
      <c r="G165" s="66">
        <v>0.0</v>
      </c>
      <c r="H165" s="66">
        <v>0.0</v>
      </c>
      <c r="I165" s="66">
        <v>0.0</v>
      </c>
      <c r="J165" s="66">
        <v>0.0</v>
      </c>
      <c r="K165" s="66">
        <v>0.0</v>
      </c>
      <c r="L165" s="66">
        <v>0.0</v>
      </c>
      <c r="M165" s="66">
        <v>0.0</v>
      </c>
      <c r="N165" s="66">
        <v>0.0</v>
      </c>
      <c r="O165" s="66">
        <v>0.0</v>
      </c>
      <c r="P165" s="66">
        <v>0.0</v>
      </c>
      <c r="Q165" s="66">
        <v>0.0</v>
      </c>
      <c r="R165" s="66">
        <v>0.0</v>
      </c>
      <c r="S165" s="66">
        <v>0.0</v>
      </c>
      <c r="T165" s="66">
        <v>0.0</v>
      </c>
      <c r="U165" s="66">
        <v>0.0</v>
      </c>
      <c r="V165" s="66">
        <v>0.0</v>
      </c>
      <c r="W165" s="6">
        <f t="shared" si="46"/>
        <v>0</v>
      </c>
    </row>
    <row r="166" ht="12.75" customHeight="1">
      <c r="A166" s="18"/>
      <c r="B166" s="51"/>
      <c r="C166" s="52" t="s">
        <v>139</v>
      </c>
      <c r="D166" s="53"/>
      <c r="E166" s="66">
        <v>0.0</v>
      </c>
      <c r="F166" s="66">
        <v>0.0</v>
      </c>
      <c r="G166" s="66">
        <v>0.0</v>
      </c>
      <c r="H166" s="66">
        <v>0.0</v>
      </c>
      <c r="I166" s="66">
        <v>0.0</v>
      </c>
      <c r="J166" s="66">
        <v>0.0</v>
      </c>
      <c r="K166" s="66">
        <v>0.0</v>
      </c>
      <c r="L166" s="66">
        <v>0.0</v>
      </c>
      <c r="M166" s="66">
        <v>0.0</v>
      </c>
      <c r="N166" s="66">
        <v>0.0</v>
      </c>
      <c r="O166" s="66">
        <v>0.0</v>
      </c>
      <c r="P166" s="66">
        <v>0.0</v>
      </c>
      <c r="Q166" s="66">
        <v>0.0</v>
      </c>
      <c r="R166" s="66">
        <v>0.0</v>
      </c>
      <c r="S166" s="66">
        <v>0.0</v>
      </c>
      <c r="T166" s="66">
        <v>0.0</v>
      </c>
      <c r="U166" s="66">
        <v>0.0</v>
      </c>
      <c r="V166" s="66">
        <v>0.0</v>
      </c>
      <c r="W166" s="6">
        <f t="shared" si="46"/>
        <v>0</v>
      </c>
    </row>
    <row r="167" ht="12.75" customHeight="1">
      <c r="A167" s="18"/>
      <c r="B167" s="51"/>
      <c r="C167" s="52" t="s">
        <v>140</v>
      </c>
      <c r="D167" s="53"/>
      <c r="E167" s="66">
        <v>0.0</v>
      </c>
      <c r="F167" s="66">
        <v>0.0</v>
      </c>
      <c r="G167" s="66">
        <v>0.0</v>
      </c>
      <c r="H167" s="66">
        <v>0.0</v>
      </c>
      <c r="I167" s="66">
        <v>0.0</v>
      </c>
      <c r="J167" s="66">
        <v>0.0</v>
      </c>
      <c r="K167" s="66">
        <v>0.0</v>
      </c>
      <c r="L167" s="66">
        <v>0.0</v>
      </c>
      <c r="M167" s="66">
        <v>0.0</v>
      </c>
      <c r="N167" s="66">
        <v>0.0</v>
      </c>
      <c r="O167" s="66">
        <v>0.0</v>
      </c>
      <c r="P167" s="66">
        <v>0.0</v>
      </c>
      <c r="Q167" s="66">
        <v>0.0</v>
      </c>
      <c r="R167" s="66">
        <v>0.0</v>
      </c>
      <c r="S167" s="66">
        <v>0.0</v>
      </c>
      <c r="T167" s="66">
        <v>0.0</v>
      </c>
      <c r="U167" s="66">
        <v>0.0</v>
      </c>
      <c r="V167" s="66">
        <v>0.0</v>
      </c>
      <c r="W167" s="6">
        <f t="shared" si="46"/>
        <v>0</v>
      </c>
    </row>
    <row r="168" ht="12.75" customHeight="1">
      <c r="A168" s="13" t="s">
        <v>14</v>
      </c>
      <c r="B168" s="49" t="s">
        <v>45</v>
      </c>
      <c r="C168" s="8"/>
      <c r="D168" s="9"/>
      <c r="E168" s="54">
        <f t="shared" ref="E168:V168" si="47">SUM(E161:E167)</f>
        <v>1</v>
      </c>
      <c r="F168" s="54">
        <f t="shared" si="47"/>
        <v>7</v>
      </c>
      <c r="G168" s="54">
        <f t="shared" si="47"/>
        <v>4</v>
      </c>
      <c r="H168" s="54">
        <f t="shared" si="47"/>
        <v>1</v>
      </c>
      <c r="I168" s="54">
        <f t="shared" si="47"/>
        <v>2</v>
      </c>
      <c r="J168" s="54">
        <f t="shared" si="47"/>
        <v>1</v>
      </c>
      <c r="K168" s="54">
        <f t="shared" si="47"/>
        <v>5</v>
      </c>
      <c r="L168" s="54">
        <f t="shared" si="47"/>
        <v>4</v>
      </c>
      <c r="M168" s="54">
        <f t="shared" si="47"/>
        <v>0</v>
      </c>
      <c r="N168" s="54">
        <f t="shared" si="47"/>
        <v>1</v>
      </c>
      <c r="O168" s="54">
        <f t="shared" si="47"/>
        <v>7</v>
      </c>
      <c r="P168" s="54">
        <f t="shared" si="47"/>
        <v>3</v>
      </c>
      <c r="Q168" s="54">
        <f t="shared" si="47"/>
        <v>1</v>
      </c>
      <c r="R168" s="54">
        <f t="shared" si="47"/>
        <v>13</v>
      </c>
      <c r="S168" s="54">
        <f t="shared" si="47"/>
        <v>6</v>
      </c>
      <c r="T168" s="54">
        <f t="shared" si="47"/>
        <v>1</v>
      </c>
      <c r="U168" s="54">
        <f t="shared" si="47"/>
        <v>6</v>
      </c>
      <c r="V168" s="54">
        <f t="shared" si="47"/>
        <v>0</v>
      </c>
      <c r="W168" s="6">
        <f t="shared" si="46"/>
        <v>63</v>
      </c>
    </row>
    <row r="169" ht="12.75" customHeight="1">
      <c r="A169" s="55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6"/>
    </row>
    <row r="170" ht="12.75" customHeight="1">
      <c r="A170" s="32" t="s">
        <v>36</v>
      </c>
      <c r="B170" s="49" t="s">
        <v>141</v>
      </c>
      <c r="C170" s="50" t="s">
        <v>142</v>
      </c>
      <c r="D170" s="9"/>
      <c r="E170" s="66">
        <v>1.0</v>
      </c>
      <c r="F170" s="66">
        <v>0.0</v>
      </c>
      <c r="G170" s="66">
        <v>0.0</v>
      </c>
      <c r="H170" s="66">
        <v>0.0</v>
      </c>
      <c r="I170" s="66">
        <v>0.0</v>
      </c>
      <c r="J170" s="66">
        <v>0.0</v>
      </c>
      <c r="K170" s="66">
        <v>0.0</v>
      </c>
      <c r="L170" s="66">
        <v>1.0</v>
      </c>
      <c r="M170" s="66">
        <v>0.0</v>
      </c>
      <c r="N170" s="66">
        <v>0.0</v>
      </c>
      <c r="O170" s="66">
        <v>0.0</v>
      </c>
      <c r="P170" s="66">
        <v>0.0</v>
      </c>
      <c r="Q170" s="66">
        <v>0.0</v>
      </c>
      <c r="R170" s="66">
        <v>0.0</v>
      </c>
      <c r="S170" s="66">
        <v>0.0</v>
      </c>
      <c r="T170" s="66">
        <v>0.0</v>
      </c>
      <c r="U170" s="66">
        <v>0.0</v>
      </c>
      <c r="V170" s="66">
        <v>0.0</v>
      </c>
      <c r="W170" s="6">
        <f t="shared" ref="W170:W172" si="48">SUM(E170:V170)</f>
        <v>2</v>
      </c>
    </row>
    <row r="171" ht="12.75" customHeight="1">
      <c r="A171" s="32" t="s">
        <v>38</v>
      </c>
      <c r="B171" s="51"/>
      <c r="C171" s="52" t="s">
        <v>143</v>
      </c>
      <c r="D171" s="53"/>
      <c r="E171" s="66">
        <v>0.0</v>
      </c>
      <c r="F171" s="66">
        <v>0.0</v>
      </c>
      <c r="G171" s="66">
        <v>0.0</v>
      </c>
      <c r="H171" s="66">
        <v>0.0</v>
      </c>
      <c r="I171" s="66">
        <v>0.0</v>
      </c>
      <c r="J171" s="66">
        <v>0.0</v>
      </c>
      <c r="K171" s="66">
        <v>0.0</v>
      </c>
      <c r="L171" s="66">
        <v>0.0</v>
      </c>
      <c r="M171" s="66">
        <v>0.0</v>
      </c>
      <c r="N171" s="66">
        <v>0.0</v>
      </c>
      <c r="O171" s="66">
        <v>0.0</v>
      </c>
      <c r="P171" s="66">
        <v>0.0</v>
      </c>
      <c r="Q171" s="66">
        <v>0.0</v>
      </c>
      <c r="R171" s="66">
        <v>1.0</v>
      </c>
      <c r="S171" s="66">
        <v>0.0</v>
      </c>
      <c r="T171" s="66">
        <v>0.0</v>
      </c>
      <c r="U171" s="66">
        <v>0.0</v>
      </c>
      <c r="V171" s="66">
        <v>0.0</v>
      </c>
      <c r="W171" s="6">
        <f t="shared" si="48"/>
        <v>1</v>
      </c>
    </row>
    <row r="172" ht="12.75" customHeight="1">
      <c r="A172" s="13" t="s">
        <v>14</v>
      </c>
      <c r="B172" s="49" t="s">
        <v>45</v>
      </c>
      <c r="C172" s="8"/>
      <c r="D172" s="9"/>
      <c r="E172" s="54">
        <f t="shared" ref="E172:V172" si="49">SUM(E170:E171)</f>
        <v>1</v>
      </c>
      <c r="F172" s="54">
        <f t="shared" si="49"/>
        <v>0</v>
      </c>
      <c r="G172" s="54">
        <f t="shared" si="49"/>
        <v>0</v>
      </c>
      <c r="H172" s="54">
        <f t="shared" si="49"/>
        <v>0</v>
      </c>
      <c r="I172" s="54">
        <f t="shared" si="49"/>
        <v>0</v>
      </c>
      <c r="J172" s="54">
        <f t="shared" si="49"/>
        <v>0</v>
      </c>
      <c r="K172" s="54">
        <f t="shared" si="49"/>
        <v>0</v>
      </c>
      <c r="L172" s="54">
        <f t="shared" si="49"/>
        <v>1</v>
      </c>
      <c r="M172" s="54">
        <f t="shared" si="49"/>
        <v>0</v>
      </c>
      <c r="N172" s="54">
        <f t="shared" si="49"/>
        <v>0</v>
      </c>
      <c r="O172" s="54">
        <f t="shared" si="49"/>
        <v>0</v>
      </c>
      <c r="P172" s="54">
        <f t="shared" si="49"/>
        <v>0</v>
      </c>
      <c r="Q172" s="54">
        <f t="shared" si="49"/>
        <v>0</v>
      </c>
      <c r="R172" s="54">
        <f t="shared" si="49"/>
        <v>1</v>
      </c>
      <c r="S172" s="54">
        <f t="shared" si="49"/>
        <v>0</v>
      </c>
      <c r="T172" s="54">
        <f t="shared" si="49"/>
        <v>0</v>
      </c>
      <c r="U172" s="54">
        <f t="shared" si="49"/>
        <v>0</v>
      </c>
      <c r="V172" s="54">
        <f t="shared" si="49"/>
        <v>0</v>
      </c>
      <c r="W172" s="6">
        <f t="shared" si="48"/>
        <v>3</v>
      </c>
    </row>
    <row r="173" ht="12.75" customHeight="1">
      <c r="A173" s="47"/>
      <c r="B173" s="46"/>
      <c r="C173" s="46"/>
      <c r="D173" s="27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6"/>
    </row>
    <row r="174" ht="12.75" customHeight="1">
      <c r="A174" s="44" t="s">
        <v>144</v>
      </c>
      <c r="B174" s="7" t="s">
        <v>145</v>
      </c>
      <c r="C174" s="8"/>
      <c r="D174" s="9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6"/>
    </row>
    <row r="175" ht="12.75" customHeight="1">
      <c r="A175" s="44"/>
      <c r="B175" s="62" t="s">
        <v>146</v>
      </c>
      <c r="C175" s="63" t="s">
        <v>147</v>
      </c>
      <c r="D175" s="9"/>
      <c r="E175" s="13">
        <f t="shared" ref="E175:V175" si="50">E52+E61+E70+E79+E88+E92+E98+E107+E111+E120+E124+E131+E140+E149+E153+E159+E168+E172</f>
        <v>221</v>
      </c>
      <c r="F175" s="13">
        <f t="shared" si="50"/>
        <v>213</v>
      </c>
      <c r="G175" s="13">
        <f t="shared" si="50"/>
        <v>192</v>
      </c>
      <c r="H175" s="13">
        <f t="shared" si="50"/>
        <v>208</v>
      </c>
      <c r="I175" s="13">
        <f t="shared" si="50"/>
        <v>178</v>
      </c>
      <c r="J175" s="13">
        <f t="shared" si="50"/>
        <v>176</v>
      </c>
      <c r="K175" s="13">
        <f t="shared" si="50"/>
        <v>197</v>
      </c>
      <c r="L175" s="13">
        <f t="shared" si="50"/>
        <v>175</v>
      </c>
      <c r="M175" s="13">
        <f t="shared" si="50"/>
        <v>171</v>
      </c>
      <c r="N175" s="13">
        <f t="shared" si="50"/>
        <v>189</v>
      </c>
      <c r="O175" s="13">
        <f t="shared" si="50"/>
        <v>199</v>
      </c>
      <c r="P175" s="13">
        <f t="shared" si="50"/>
        <v>206</v>
      </c>
      <c r="Q175" s="13">
        <f t="shared" si="50"/>
        <v>208</v>
      </c>
      <c r="R175" s="13">
        <f t="shared" si="50"/>
        <v>201</v>
      </c>
      <c r="S175" s="13">
        <f t="shared" si="50"/>
        <v>182</v>
      </c>
      <c r="T175" s="13">
        <f t="shared" si="50"/>
        <v>211</v>
      </c>
      <c r="U175" s="13">
        <f t="shared" si="50"/>
        <v>144</v>
      </c>
      <c r="V175" s="13">
        <f t="shared" si="50"/>
        <v>135</v>
      </c>
      <c r="W175" s="6">
        <f t="shared" ref="W175:W177" si="51">SUM(E175:V175)</f>
        <v>3406</v>
      </c>
    </row>
    <row r="176" ht="12.75" customHeight="1">
      <c r="A176" s="37"/>
      <c r="B176" s="62" t="s">
        <v>148</v>
      </c>
      <c r="C176" s="63" t="s">
        <v>149</v>
      </c>
      <c r="D176" s="9"/>
      <c r="E176" s="66">
        <v>18.0</v>
      </c>
      <c r="F176" s="66">
        <v>12.0</v>
      </c>
      <c r="G176" s="66">
        <v>31.0</v>
      </c>
      <c r="H176" s="66">
        <v>20.0</v>
      </c>
      <c r="I176" s="66">
        <v>8.0</v>
      </c>
      <c r="J176" s="66">
        <v>3.0</v>
      </c>
      <c r="K176" s="66">
        <v>11.0</v>
      </c>
      <c r="L176" s="66">
        <v>8.0</v>
      </c>
      <c r="M176" s="66">
        <v>11.0</v>
      </c>
      <c r="N176" s="66">
        <v>7.0</v>
      </c>
      <c r="O176" s="66">
        <v>11.0</v>
      </c>
      <c r="P176" s="66">
        <v>15.0</v>
      </c>
      <c r="Q176" s="66">
        <v>14.0</v>
      </c>
      <c r="R176" s="66">
        <v>9.0</v>
      </c>
      <c r="S176" s="66">
        <v>28.0</v>
      </c>
      <c r="T176" s="66">
        <v>16.0</v>
      </c>
      <c r="U176" s="66">
        <v>15.0</v>
      </c>
      <c r="V176" s="66">
        <v>1.0</v>
      </c>
      <c r="W176" s="6">
        <f t="shared" si="51"/>
        <v>238</v>
      </c>
    </row>
    <row r="177" ht="12.75" customHeight="1">
      <c r="A177" s="42"/>
      <c r="B177" s="62" t="s">
        <v>150</v>
      </c>
      <c r="C177" s="63" t="s">
        <v>151</v>
      </c>
      <c r="D177" s="9"/>
      <c r="E177" s="28">
        <f t="shared" ref="E177:V177" si="52">SUM(E175:E176)</f>
        <v>239</v>
      </c>
      <c r="F177" s="28">
        <f t="shared" si="52"/>
        <v>225</v>
      </c>
      <c r="G177" s="28">
        <f t="shared" si="52"/>
        <v>223</v>
      </c>
      <c r="H177" s="28">
        <f t="shared" si="52"/>
        <v>228</v>
      </c>
      <c r="I177" s="28">
        <f t="shared" si="52"/>
        <v>186</v>
      </c>
      <c r="J177" s="28">
        <f t="shared" si="52"/>
        <v>179</v>
      </c>
      <c r="K177" s="28">
        <f t="shared" si="52"/>
        <v>208</v>
      </c>
      <c r="L177" s="28">
        <f t="shared" si="52"/>
        <v>183</v>
      </c>
      <c r="M177" s="28">
        <f t="shared" si="52"/>
        <v>182</v>
      </c>
      <c r="N177" s="28">
        <f t="shared" si="52"/>
        <v>196</v>
      </c>
      <c r="O177" s="28">
        <f t="shared" si="52"/>
        <v>210</v>
      </c>
      <c r="P177" s="28">
        <f t="shared" si="52"/>
        <v>221</v>
      </c>
      <c r="Q177" s="28">
        <f t="shared" si="52"/>
        <v>222</v>
      </c>
      <c r="R177" s="28">
        <f t="shared" si="52"/>
        <v>210</v>
      </c>
      <c r="S177" s="28">
        <f t="shared" si="52"/>
        <v>210</v>
      </c>
      <c r="T177" s="28">
        <f t="shared" si="52"/>
        <v>227</v>
      </c>
      <c r="U177" s="28">
        <f t="shared" si="52"/>
        <v>159</v>
      </c>
      <c r="V177" s="28">
        <f t="shared" si="52"/>
        <v>136</v>
      </c>
      <c r="W177" s="6">
        <f t="shared" si="51"/>
        <v>3644</v>
      </c>
    </row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1">
    <mergeCell ref="B39:C41"/>
    <mergeCell ref="A42:D42"/>
    <mergeCell ref="B38:D38"/>
    <mergeCell ref="C28:C30"/>
    <mergeCell ref="A31:D31"/>
    <mergeCell ref="B32:D32"/>
    <mergeCell ref="B33:D33"/>
    <mergeCell ref="B34:D34"/>
    <mergeCell ref="A37:D37"/>
    <mergeCell ref="C63:D63"/>
    <mergeCell ref="B70:D70"/>
    <mergeCell ref="C81:D81"/>
    <mergeCell ref="B79:D79"/>
    <mergeCell ref="B35:D35"/>
    <mergeCell ref="B36:D36"/>
    <mergeCell ref="B88:D88"/>
    <mergeCell ref="B52:D52"/>
    <mergeCell ref="C54:D54"/>
    <mergeCell ref="B61:D61"/>
    <mergeCell ref="C72:D72"/>
    <mergeCell ref="A44:D44"/>
    <mergeCell ref="B172:D172"/>
    <mergeCell ref="A173:D173"/>
    <mergeCell ref="B174:D174"/>
    <mergeCell ref="C175:D175"/>
    <mergeCell ref="C176:D176"/>
    <mergeCell ref="C177:D177"/>
    <mergeCell ref="B168:D168"/>
    <mergeCell ref="C126:D126"/>
    <mergeCell ref="B131:D131"/>
    <mergeCell ref="C109:D109"/>
    <mergeCell ref="B111:D111"/>
    <mergeCell ref="C113:D113"/>
    <mergeCell ref="B120:D120"/>
    <mergeCell ref="C122:D122"/>
    <mergeCell ref="B98:D98"/>
    <mergeCell ref="C151:D151"/>
    <mergeCell ref="B149:D149"/>
    <mergeCell ref="B12:D12"/>
    <mergeCell ref="A17:D17"/>
    <mergeCell ref="C133:D133"/>
    <mergeCell ref="C90:D90"/>
    <mergeCell ref="C91:D91"/>
    <mergeCell ref="C94:D94"/>
    <mergeCell ref="C100:D100"/>
    <mergeCell ref="B140:D140"/>
    <mergeCell ref="W12:W13"/>
    <mergeCell ref="B13:D13"/>
    <mergeCell ref="B14:C16"/>
    <mergeCell ref="B18:D18"/>
    <mergeCell ref="C45:D45"/>
    <mergeCell ref="E12:V12"/>
    <mergeCell ref="C170:D170"/>
    <mergeCell ref="B153:D153"/>
    <mergeCell ref="C155:D155"/>
    <mergeCell ref="B159:D159"/>
    <mergeCell ref="C161:D161"/>
    <mergeCell ref="B124:D124"/>
    <mergeCell ref="C142:D142"/>
    <mergeCell ref="B19:B21"/>
    <mergeCell ref="C19:C21"/>
    <mergeCell ref="B22:B24"/>
    <mergeCell ref="C22:C24"/>
    <mergeCell ref="B25:B27"/>
    <mergeCell ref="C25:C27"/>
    <mergeCell ref="B28:B30"/>
    <mergeCell ref="E37:I37"/>
    <mergeCell ref="E42:I42"/>
    <mergeCell ref="B43:D43"/>
    <mergeCell ref="B92:D92"/>
    <mergeCell ref="B107:D107"/>
  </mergeCells>
  <conditionalFormatting sqref="E30:T30">
    <cfRule type="expression" dxfId="0" priority="1">
      <formula>E30&lt;&gt;E62</formula>
    </cfRule>
  </conditionalFormatting>
  <conditionalFormatting sqref="E14:V15">
    <cfRule type="containsBlanks" dxfId="4" priority="2">
      <formula>LEN(TRIM(E14))=0</formula>
    </cfRule>
  </conditionalFormatting>
  <conditionalFormatting sqref="E19:V20">
    <cfRule type="containsBlanks" dxfId="4" priority="3">
      <formula>LEN(TRIM(E19))=0</formula>
    </cfRule>
  </conditionalFormatting>
  <conditionalFormatting sqref="E22:V23 E25:V26 E33:V33 E35:V35 E39:V40">
    <cfRule type="containsBlanks" dxfId="4" priority="4">
      <formula>LEN(TRIM(E22))=0</formula>
    </cfRule>
  </conditionalFormatting>
  <conditionalFormatting sqref="E30:V30">
    <cfRule type="expression" dxfId="0" priority="5">
      <formula>E30&lt;&gt;E34</formula>
    </cfRule>
  </conditionalFormatting>
  <conditionalFormatting sqref="E34:V34">
    <cfRule type="expression" dxfId="2" priority="6">
      <formula>E30&lt;&gt;E34</formula>
    </cfRule>
  </conditionalFormatting>
  <conditionalFormatting sqref="E34:V34">
    <cfRule type="expression" dxfId="5" priority="7">
      <formula>E30=E34</formula>
    </cfRule>
  </conditionalFormatting>
  <conditionalFormatting sqref="E34:V34">
    <cfRule type="expression" dxfId="0" priority="8">
      <formula>E34&lt;&gt;E30</formula>
    </cfRule>
  </conditionalFormatting>
  <conditionalFormatting sqref="U30:V30">
    <cfRule type="expression" dxfId="0" priority="9">
      <formula>U30&lt;&gt;U47</formula>
    </cfRule>
  </conditionalFormatting>
  <conditionalFormatting sqref="U34:V34">
    <cfRule type="expression" dxfId="0" priority="10">
      <formula>U34&lt;&gt;U47</formula>
    </cfRule>
  </conditionalFormatting>
  <conditionalFormatting sqref="E177:V177">
    <cfRule type="expression" dxfId="0" priority="11">
      <formula>E177&lt;&gt;E30</formula>
    </cfRule>
  </conditionalFormatting>
  <conditionalFormatting sqref="E177:V177">
    <cfRule type="expression" dxfId="0" priority="12">
      <formula>E177&lt;&gt;E34</formula>
    </cfRule>
  </conditionalFormatting>
  <conditionalFormatting sqref="E45:V51">
    <cfRule type="containsBlanks" dxfId="4" priority="13">
      <formula>LEN(TRIM(E45))=0</formula>
    </cfRule>
  </conditionalFormatting>
  <conditionalFormatting sqref="E54:V60">
    <cfRule type="containsBlanks" dxfId="4" priority="14">
      <formula>LEN(TRIM(E54))=0</formula>
    </cfRule>
  </conditionalFormatting>
  <conditionalFormatting sqref="E63:V69">
    <cfRule type="containsBlanks" dxfId="4" priority="15">
      <formula>LEN(TRIM(E63))=0</formula>
    </cfRule>
  </conditionalFormatting>
  <conditionalFormatting sqref="E72:V78">
    <cfRule type="containsBlanks" dxfId="4" priority="16">
      <formula>LEN(TRIM(E72))=0</formula>
    </cfRule>
  </conditionalFormatting>
  <conditionalFormatting sqref="E81:V87">
    <cfRule type="containsBlanks" dxfId="4" priority="17">
      <formula>LEN(TRIM(E81))=0</formula>
    </cfRule>
  </conditionalFormatting>
  <conditionalFormatting sqref="E100:V106">
    <cfRule type="containsBlanks" dxfId="4" priority="18">
      <formula>LEN(TRIM(E100))=0</formula>
    </cfRule>
  </conditionalFormatting>
  <conditionalFormatting sqref="E90:V91">
    <cfRule type="containsBlanks" dxfId="4" priority="19">
      <formula>LEN(TRIM(E90))=0</formula>
    </cfRule>
  </conditionalFormatting>
  <conditionalFormatting sqref="E94:V95">
    <cfRule type="containsBlanks" dxfId="4" priority="20">
      <formula>LEN(TRIM(E94))=0</formula>
    </cfRule>
  </conditionalFormatting>
  <conditionalFormatting sqref="E96:V97">
    <cfRule type="containsBlanks" dxfId="4" priority="21">
      <formula>LEN(TRIM(E96))=0</formula>
    </cfRule>
  </conditionalFormatting>
  <conditionalFormatting sqref="E109:V110">
    <cfRule type="containsBlanks" dxfId="4" priority="22">
      <formula>LEN(TRIM(E109))=0</formula>
    </cfRule>
  </conditionalFormatting>
  <conditionalFormatting sqref="E113:V119">
    <cfRule type="containsBlanks" dxfId="4" priority="23">
      <formula>LEN(TRIM(E113))=0</formula>
    </cfRule>
  </conditionalFormatting>
  <conditionalFormatting sqref="E133:V139">
    <cfRule type="containsBlanks" dxfId="4" priority="24">
      <formula>LEN(TRIM(E133))=0</formula>
    </cfRule>
  </conditionalFormatting>
  <conditionalFormatting sqref="E122:V123">
    <cfRule type="containsBlanks" dxfId="4" priority="25">
      <formula>LEN(TRIM(E122))=0</formula>
    </cfRule>
  </conditionalFormatting>
  <conditionalFormatting sqref="E126:V130">
    <cfRule type="containsBlanks" dxfId="4" priority="26">
      <formula>LEN(TRIM(E126))=0</formula>
    </cfRule>
  </conditionalFormatting>
  <conditionalFormatting sqref="E142:V148">
    <cfRule type="containsBlanks" dxfId="4" priority="27">
      <formula>LEN(TRIM(E142))=0</formula>
    </cfRule>
  </conditionalFormatting>
  <conditionalFormatting sqref="E152:V152">
    <cfRule type="containsBlanks" dxfId="4" priority="28">
      <formula>LEN(TRIM(E152))=0</formula>
    </cfRule>
  </conditionalFormatting>
  <conditionalFormatting sqref="E151:V151">
    <cfRule type="containsBlanks" dxfId="4" priority="29">
      <formula>LEN(TRIM(E151))=0</formula>
    </cfRule>
  </conditionalFormatting>
  <conditionalFormatting sqref="E155:V158">
    <cfRule type="containsBlanks" dxfId="4" priority="30">
      <formula>LEN(TRIM(E155))=0</formula>
    </cfRule>
  </conditionalFormatting>
  <conditionalFormatting sqref="E161:V163">
    <cfRule type="containsBlanks" dxfId="4" priority="31">
      <formula>LEN(TRIM(E161))=0</formula>
    </cfRule>
  </conditionalFormatting>
  <conditionalFormatting sqref="E164:V167">
    <cfRule type="containsBlanks" dxfId="4" priority="32">
      <formula>LEN(TRIM(E164))=0</formula>
    </cfRule>
  </conditionalFormatting>
  <conditionalFormatting sqref="E170:V170">
    <cfRule type="containsBlanks" dxfId="4" priority="33">
      <formula>LEN(TRIM(E170))=0</formula>
    </cfRule>
  </conditionalFormatting>
  <conditionalFormatting sqref="E171:V171">
    <cfRule type="containsBlanks" dxfId="4" priority="34">
      <formula>LEN(TRIM(E171))=0</formula>
    </cfRule>
  </conditionalFormatting>
  <conditionalFormatting sqref="E175:V175">
    <cfRule type="containsBlanks" dxfId="4" priority="35">
      <formula>LEN(TRIM(E175))=0</formula>
    </cfRule>
  </conditionalFormatting>
  <conditionalFormatting sqref="E176:V176">
    <cfRule type="containsBlanks" dxfId="4" priority="36">
      <formula>LEN(TRIM(E176))=0</formula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7" width="8.71"/>
    <col customWidth="1" min="28" max="28" width="14.57"/>
  </cols>
  <sheetData>
    <row r="1" ht="12.75" customHeight="1"/>
    <row r="2" ht="12.75" customHeight="1">
      <c r="C2" s="1" t="s">
        <v>0</v>
      </c>
      <c r="D2" s="1"/>
    </row>
    <row r="3" ht="12.75" customHeight="1">
      <c r="C3" s="1" t="s">
        <v>1</v>
      </c>
      <c r="D3" s="1" t="s">
        <v>2</v>
      </c>
    </row>
    <row r="4" ht="12.75" customHeight="1">
      <c r="C4" s="1" t="s">
        <v>3</v>
      </c>
      <c r="D4" s="1" t="s">
        <v>4</v>
      </c>
    </row>
    <row r="5" ht="12.75" customHeight="1">
      <c r="C5" s="1"/>
      <c r="D5" s="1"/>
    </row>
    <row r="6" ht="12.75" customHeight="1">
      <c r="C6" s="1"/>
      <c r="D6" s="1"/>
    </row>
    <row r="7" ht="12.75" customHeight="1">
      <c r="C7" s="1"/>
      <c r="D7" s="1"/>
    </row>
    <row r="8" ht="12.75" customHeight="1">
      <c r="C8" s="1"/>
      <c r="D8" s="1"/>
    </row>
    <row r="9" ht="12.75" customHeight="1">
      <c r="C9" s="1" t="s">
        <v>152</v>
      </c>
      <c r="D9" s="1"/>
    </row>
    <row r="10" ht="12.75" customHeight="1"/>
    <row r="11" ht="12.75" customHeight="1"/>
    <row r="12" ht="12.75" customHeight="1">
      <c r="A12" s="6" t="s">
        <v>5</v>
      </c>
      <c r="B12" s="7" t="s">
        <v>6</v>
      </c>
      <c r="C12" s="8"/>
      <c r="D12" s="8"/>
      <c r="E12" s="2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9"/>
      <c r="AB12" s="39" t="s">
        <v>7</v>
      </c>
    </row>
    <row r="13" ht="12.75" customHeight="1">
      <c r="A13" s="13" t="s">
        <v>8</v>
      </c>
      <c r="B13" s="14" t="s">
        <v>9</v>
      </c>
      <c r="C13" s="8"/>
      <c r="D13" s="9"/>
      <c r="E13" s="42" t="s">
        <v>153</v>
      </c>
      <c r="F13" s="42" t="s">
        <v>154</v>
      </c>
      <c r="G13" s="42" t="s">
        <v>155</v>
      </c>
      <c r="H13" s="42" t="s">
        <v>156</v>
      </c>
      <c r="I13" s="42" t="s">
        <v>157</v>
      </c>
      <c r="J13" s="42" t="s">
        <v>158</v>
      </c>
      <c r="K13" s="42" t="s">
        <v>159</v>
      </c>
      <c r="L13" s="42" t="s">
        <v>160</v>
      </c>
      <c r="M13" s="42" t="s">
        <v>161</v>
      </c>
      <c r="N13" s="42" t="s">
        <v>162</v>
      </c>
      <c r="O13" s="42" t="s">
        <v>163</v>
      </c>
      <c r="P13" s="42" t="s">
        <v>164</v>
      </c>
      <c r="Q13" s="42" t="s">
        <v>165</v>
      </c>
      <c r="R13" s="42" t="s">
        <v>166</v>
      </c>
      <c r="S13" s="42" t="s">
        <v>167</v>
      </c>
      <c r="T13" s="42" t="s">
        <v>168</v>
      </c>
      <c r="U13" s="42" t="s">
        <v>169</v>
      </c>
      <c r="V13" s="42" t="s">
        <v>170</v>
      </c>
      <c r="W13" s="42" t="s">
        <v>171</v>
      </c>
      <c r="X13" s="42" t="s">
        <v>172</v>
      </c>
      <c r="Y13" s="42" t="s">
        <v>173</v>
      </c>
      <c r="Z13" s="42" t="s">
        <v>174</v>
      </c>
      <c r="AA13" s="42" t="s">
        <v>175</v>
      </c>
      <c r="AB13" s="27"/>
    </row>
    <row r="14" ht="12.75" customHeight="1">
      <c r="A14" s="18"/>
      <c r="B14" s="19" t="s">
        <v>10</v>
      </c>
      <c r="C14" s="20"/>
      <c r="D14" s="13" t="s">
        <v>11</v>
      </c>
      <c r="E14" s="66">
        <v>109.0</v>
      </c>
      <c r="F14" s="66">
        <v>118.0</v>
      </c>
      <c r="G14" s="66">
        <v>129.0</v>
      </c>
      <c r="H14" s="66">
        <v>125.0</v>
      </c>
      <c r="I14" s="66">
        <v>117.0</v>
      </c>
      <c r="J14" s="66">
        <v>132.0</v>
      </c>
      <c r="K14" s="66">
        <v>139.0</v>
      </c>
      <c r="L14" s="66">
        <v>132.0</v>
      </c>
      <c r="M14" s="66">
        <v>137.0</v>
      </c>
      <c r="N14" s="66">
        <v>140.0</v>
      </c>
      <c r="O14" s="66">
        <v>139.0</v>
      </c>
      <c r="P14" s="66">
        <v>128.0</v>
      </c>
      <c r="Q14" s="66">
        <v>127.0</v>
      </c>
      <c r="R14" s="66">
        <v>131.0</v>
      </c>
      <c r="S14" s="66">
        <v>83.0</v>
      </c>
      <c r="T14" s="66">
        <v>133.0</v>
      </c>
      <c r="U14" s="66">
        <v>139.0</v>
      </c>
      <c r="V14" s="66">
        <v>149.0</v>
      </c>
      <c r="W14" s="66">
        <v>140.0</v>
      </c>
      <c r="X14" s="66">
        <v>152.0</v>
      </c>
      <c r="Y14" s="66">
        <v>150.0</v>
      </c>
      <c r="Z14" s="66">
        <v>150.0</v>
      </c>
      <c r="AA14" s="66">
        <v>147.0</v>
      </c>
      <c r="AB14" s="6">
        <f t="shared" ref="AB14:AB16" si="1">SUM(E14:AA14)</f>
        <v>3046</v>
      </c>
    </row>
    <row r="15" ht="12.75" customHeight="1">
      <c r="A15" s="18"/>
      <c r="B15" s="25"/>
      <c r="C15" s="26"/>
      <c r="D15" s="13" t="s">
        <v>12</v>
      </c>
      <c r="E15" s="66">
        <v>118.0</v>
      </c>
      <c r="F15" s="66">
        <v>140.0</v>
      </c>
      <c r="G15" s="66">
        <v>133.0</v>
      </c>
      <c r="H15" s="66">
        <v>136.0</v>
      </c>
      <c r="I15" s="66">
        <v>140.0</v>
      </c>
      <c r="J15" s="66">
        <v>123.0</v>
      </c>
      <c r="K15" s="66">
        <v>131.0</v>
      </c>
      <c r="L15" s="66">
        <v>146.0</v>
      </c>
      <c r="M15" s="66">
        <v>141.0</v>
      </c>
      <c r="N15" s="66">
        <v>148.0</v>
      </c>
      <c r="O15" s="66">
        <v>135.0</v>
      </c>
      <c r="P15" s="66">
        <v>134.0</v>
      </c>
      <c r="Q15" s="66">
        <v>123.0</v>
      </c>
      <c r="R15" s="66">
        <v>117.0</v>
      </c>
      <c r="S15" s="66">
        <v>94.0</v>
      </c>
      <c r="T15" s="66">
        <v>151.0</v>
      </c>
      <c r="U15" s="66">
        <v>147.0</v>
      </c>
      <c r="V15" s="66">
        <v>139.0</v>
      </c>
      <c r="W15" s="66">
        <v>151.0</v>
      </c>
      <c r="X15" s="66">
        <v>144.0</v>
      </c>
      <c r="Y15" s="66">
        <v>144.0</v>
      </c>
      <c r="Z15" s="66">
        <v>148.0</v>
      </c>
      <c r="AA15" s="66">
        <v>146.0</v>
      </c>
      <c r="AB15" s="6">
        <f t="shared" si="1"/>
        <v>3129</v>
      </c>
    </row>
    <row r="16" ht="12.75" customHeight="1">
      <c r="A16" s="16"/>
      <c r="B16" s="15"/>
      <c r="C16" s="27"/>
      <c r="D16" s="6" t="s">
        <v>13</v>
      </c>
      <c r="E16" s="6">
        <f t="shared" ref="E16:AA16" si="2">SUM(E14:E15)</f>
        <v>227</v>
      </c>
      <c r="F16" s="6">
        <f t="shared" si="2"/>
        <v>258</v>
      </c>
      <c r="G16" s="6">
        <f t="shared" si="2"/>
        <v>262</v>
      </c>
      <c r="H16" s="6">
        <f t="shared" si="2"/>
        <v>261</v>
      </c>
      <c r="I16" s="6">
        <f t="shared" si="2"/>
        <v>257</v>
      </c>
      <c r="J16" s="6">
        <f t="shared" si="2"/>
        <v>255</v>
      </c>
      <c r="K16" s="6">
        <f t="shared" si="2"/>
        <v>270</v>
      </c>
      <c r="L16" s="6">
        <f t="shared" si="2"/>
        <v>278</v>
      </c>
      <c r="M16" s="6">
        <f t="shared" si="2"/>
        <v>278</v>
      </c>
      <c r="N16" s="6">
        <f t="shared" si="2"/>
        <v>288</v>
      </c>
      <c r="O16" s="6">
        <f t="shared" si="2"/>
        <v>274</v>
      </c>
      <c r="P16" s="6">
        <f t="shared" si="2"/>
        <v>262</v>
      </c>
      <c r="Q16" s="6">
        <f t="shared" si="2"/>
        <v>250</v>
      </c>
      <c r="R16" s="6">
        <f t="shared" si="2"/>
        <v>248</v>
      </c>
      <c r="S16" s="6">
        <f t="shared" si="2"/>
        <v>177</v>
      </c>
      <c r="T16" s="6">
        <f t="shared" si="2"/>
        <v>284</v>
      </c>
      <c r="U16" s="6">
        <f t="shared" si="2"/>
        <v>286</v>
      </c>
      <c r="V16" s="6">
        <f t="shared" si="2"/>
        <v>288</v>
      </c>
      <c r="W16" s="6">
        <f t="shared" si="2"/>
        <v>291</v>
      </c>
      <c r="X16" s="6">
        <f t="shared" si="2"/>
        <v>296</v>
      </c>
      <c r="Y16" s="6">
        <f t="shared" si="2"/>
        <v>294</v>
      </c>
      <c r="Z16" s="6">
        <f t="shared" si="2"/>
        <v>298</v>
      </c>
      <c r="AA16" s="6">
        <f t="shared" si="2"/>
        <v>293</v>
      </c>
      <c r="AB16" s="6">
        <f t="shared" si="1"/>
        <v>6175</v>
      </c>
    </row>
    <row r="17" ht="12.75" customHeight="1">
      <c r="A17" s="21"/>
      <c r="B17" s="8"/>
      <c r="C17" s="8"/>
      <c r="D17" s="9"/>
      <c r="E17" s="13"/>
      <c r="F17" s="13"/>
      <c r="G17" s="13"/>
      <c r="H17" s="13"/>
      <c r="I17" s="13"/>
      <c r="J17" s="13"/>
      <c r="K17" s="13"/>
      <c r="L17" s="13"/>
      <c r="M17" s="13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"/>
    </row>
    <row r="18" ht="12.75" customHeight="1">
      <c r="A18" s="32" t="s">
        <v>14</v>
      </c>
      <c r="B18" s="14" t="s">
        <v>15</v>
      </c>
      <c r="C18" s="8"/>
      <c r="D18" s="9"/>
      <c r="E18" s="13"/>
      <c r="F18" s="13"/>
      <c r="G18" s="13"/>
      <c r="H18" s="13"/>
      <c r="I18" s="13"/>
      <c r="J18" s="13"/>
      <c r="K18" s="13"/>
      <c r="L18" s="13"/>
      <c r="M18" s="13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"/>
    </row>
    <row r="19" ht="12.75" customHeight="1">
      <c r="A19" s="32"/>
      <c r="B19" s="33" t="s">
        <v>16</v>
      </c>
      <c r="C19" s="34" t="s">
        <v>17</v>
      </c>
      <c r="D19" s="13" t="s">
        <v>11</v>
      </c>
      <c r="E19" s="66">
        <v>95.0</v>
      </c>
      <c r="F19" s="66">
        <v>107.0</v>
      </c>
      <c r="G19" s="66">
        <v>92.0</v>
      </c>
      <c r="H19" s="66">
        <v>103.0</v>
      </c>
      <c r="I19" s="66">
        <v>96.0</v>
      </c>
      <c r="J19" s="66">
        <v>93.0</v>
      </c>
      <c r="K19" s="66">
        <v>100.0</v>
      </c>
      <c r="L19" s="66">
        <v>98.0</v>
      </c>
      <c r="M19" s="66">
        <v>94.0</v>
      </c>
      <c r="N19" s="66">
        <v>108.0</v>
      </c>
      <c r="O19" s="66">
        <v>97.0</v>
      </c>
      <c r="P19" s="66">
        <v>74.0</v>
      </c>
      <c r="Q19" s="66">
        <v>92.0</v>
      </c>
      <c r="R19" s="66">
        <v>100.0</v>
      </c>
      <c r="S19" s="66">
        <v>66.0</v>
      </c>
      <c r="T19" s="66">
        <v>83.0</v>
      </c>
      <c r="U19" s="66">
        <v>94.0</v>
      </c>
      <c r="V19" s="66">
        <v>103.0</v>
      </c>
      <c r="W19" s="66">
        <v>103.0</v>
      </c>
      <c r="X19" s="66">
        <v>122.0</v>
      </c>
      <c r="Y19" s="66">
        <v>117.0</v>
      </c>
      <c r="Z19" s="66">
        <v>121.0</v>
      </c>
      <c r="AA19" s="66">
        <v>108.0</v>
      </c>
      <c r="AB19" s="6">
        <f t="shared" ref="AB19:AB30" si="3">SUM(E19:AA19)</f>
        <v>2266</v>
      </c>
    </row>
    <row r="20" ht="12.75" customHeight="1">
      <c r="A20" s="35"/>
      <c r="B20" s="26"/>
      <c r="C20" s="36"/>
      <c r="D20" s="13" t="s">
        <v>12</v>
      </c>
      <c r="E20" s="66">
        <v>96.0</v>
      </c>
      <c r="F20" s="66">
        <v>87.0</v>
      </c>
      <c r="G20" s="66">
        <v>105.0</v>
      </c>
      <c r="H20" s="66">
        <v>107.0</v>
      </c>
      <c r="I20" s="66">
        <v>119.0</v>
      </c>
      <c r="J20" s="66">
        <v>106.0</v>
      </c>
      <c r="K20" s="66">
        <v>105.0</v>
      </c>
      <c r="L20" s="66">
        <v>117.0</v>
      </c>
      <c r="M20" s="66">
        <v>107.0</v>
      </c>
      <c r="N20" s="66">
        <v>120.0</v>
      </c>
      <c r="O20" s="66">
        <v>101.0</v>
      </c>
      <c r="P20" s="66">
        <v>88.0</v>
      </c>
      <c r="Q20" s="66">
        <v>93.0</v>
      </c>
      <c r="R20" s="66">
        <v>100.0</v>
      </c>
      <c r="S20" s="66">
        <v>81.0</v>
      </c>
      <c r="T20" s="66">
        <v>117.0</v>
      </c>
      <c r="U20" s="66">
        <v>116.0</v>
      </c>
      <c r="V20" s="66">
        <v>115.0</v>
      </c>
      <c r="W20" s="66">
        <v>120.0</v>
      </c>
      <c r="X20" s="66">
        <v>106.0</v>
      </c>
      <c r="Y20" s="66">
        <v>119.0</v>
      </c>
      <c r="Z20" s="66">
        <v>106.0</v>
      </c>
      <c r="AA20" s="66">
        <v>109.0</v>
      </c>
      <c r="AB20" s="6">
        <f t="shared" si="3"/>
        <v>2440</v>
      </c>
    </row>
    <row r="21" ht="12.75" customHeight="1">
      <c r="A21" s="37"/>
      <c r="B21" s="27"/>
      <c r="C21" s="38"/>
      <c r="D21" s="6" t="s">
        <v>13</v>
      </c>
      <c r="E21" s="6">
        <f t="shared" ref="E21:AA21" si="4">SUM(E19:E20)</f>
        <v>191</v>
      </c>
      <c r="F21" s="6">
        <f t="shared" si="4"/>
        <v>194</v>
      </c>
      <c r="G21" s="6">
        <f t="shared" si="4"/>
        <v>197</v>
      </c>
      <c r="H21" s="6">
        <f t="shared" si="4"/>
        <v>210</v>
      </c>
      <c r="I21" s="6">
        <f t="shared" si="4"/>
        <v>215</v>
      </c>
      <c r="J21" s="6">
        <f t="shared" si="4"/>
        <v>199</v>
      </c>
      <c r="K21" s="6">
        <f t="shared" si="4"/>
        <v>205</v>
      </c>
      <c r="L21" s="6">
        <f t="shared" si="4"/>
        <v>215</v>
      </c>
      <c r="M21" s="6">
        <f t="shared" si="4"/>
        <v>201</v>
      </c>
      <c r="N21" s="6">
        <f t="shared" si="4"/>
        <v>228</v>
      </c>
      <c r="O21" s="6">
        <f t="shared" si="4"/>
        <v>198</v>
      </c>
      <c r="P21" s="6">
        <f t="shared" si="4"/>
        <v>162</v>
      </c>
      <c r="Q21" s="6">
        <f t="shared" si="4"/>
        <v>185</v>
      </c>
      <c r="R21" s="6">
        <f t="shared" si="4"/>
        <v>200</v>
      </c>
      <c r="S21" s="6">
        <f t="shared" si="4"/>
        <v>147</v>
      </c>
      <c r="T21" s="6">
        <f t="shared" si="4"/>
        <v>200</v>
      </c>
      <c r="U21" s="6">
        <f t="shared" si="4"/>
        <v>210</v>
      </c>
      <c r="V21" s="6">
        <f t="shared" si="4"/>
        <v>218</v>
      </c>
      <c r="W21" s="6">
        <f t="shared" si="4"/>
        <v>223</v>
      </c>
      <c r="X21" s="6">
        <f t="shared" si="4"/>
        <v>228</v>
      </c>
      <c r="Y21" s="6">
        <f t="shared" si="4"/>
        <v>236</v>
      </c>
      <c r="Z21" s="6">
        <f t="shared" si="4"/>
        <v>227</v>
      </c>
      <c r="AA21" s="6">
        <f t="shared" si="4"/>
        <v>217</v>
      </c>
      <c r="AB21" s="6">
        <f t="shared" si="3"/>
        <v>4706</v>
      </c>
    </row>
    <row r="22" ht="12.75" customHeight="1">
      <c r="A22" s="35"/>
      <c r="B22" s="33" t="s">
        <v>18</v>
      </c>
      <c r="C22" s="34" t="s">
        <v>19</v>
      </c>
      <c r="D22" s="13" t="s">
        <v>11</v>
      </c>
      <c r="E22" s="66">
        <v>0.0</v>
      </c>
      <c r="F22" s="66">
        <v>0.0</v>
      </c>
      <c r="G22" s="66">
        <v>0.0</v>
      </c>
      <c r="H22" s="66">
        <v>0.0</v>
      </c>
      <c r="I22" s="66">
        <v>0.0</v>
      </c>
      <c r="J22" s="66">
        <v>0.0</v>
      </c>
      <c r="K22" s="66">
        <v>0.0</v>
      </c>
      <c r="L22" s="66">
        <v>0.0</v>
      </c>
      <c r="M22" s="66">
        <v>0.0</v>
      </c>
      <c r="N22" s="66">
        <v>0.0</v>
      </c>
      <c r="O22" s="66">
        <v>1.0</v>
      </c>
      <c r="P22" s="66">
        <v>0.0</v>
      </c>
      <c r="Q22" s="66">
        <v>0.0</v>
      </c>
      <c r="R22" s="66">
        <v>0.0</v>
      </c>
      <c r="S22" s="66">
        <v>0.0</v>
      </c>
      <c r="T22" s="66">
        <v>0.0</v>
      </c>
      <c r="U22" s="66">
        <v>0.0</v>
      </c>
      <c r="V22" s="66">
        <v>0.0</v>
      </c>
      <c r="W22" s="66">
        <v>0.0</v>
      </c>
      <c r="X22" s="66">
        <v>0.0</v>
      </c>
      <c r="Y22" s="66">
        <v>0.0</v>
      </c>
      <c r="Z22" s="66">
        <v>0.0</v>
      </c>
      <c r="AA22" s="66">
        <v>0.0</v>
      </c>
      <c r="AB22" s="6">
        <f t="shared" si="3"/>
        <v>1</v>
      </c>
    </row>
    <row r="23" ht="12.75" customHeight="1">
      <c r="A23" s="35"/>
      <c r="B23" s="26"/>
      <c r="C23" s="36"/>
      <c r="D23" s="13" t="s">
        <v>12</v>
      </c>
      <c r="E23" s="66">
        <v>0.0</v>
      </c>
      <c r="F23" s="66">
        <v>0.0</v>
      </c>
      <c r="G23" s="66">
        <v>0.0</v>
      </c>
      <c r="H23" s="66">
        <v>0.0</v>
      </c>
      <c r="I23" s="66">
        <v>0.0</v>
      </c>
      <c r="J23" s="66">
        <v>0.0</v>
      </c>
      <c r="K23" s="66">
        <v>0.0</v>
      </c>
      <c r="L23" s="66">
        <v>0.0</v>
      </c>
      <c r="M23" s="66">
        <v>0.0</v>
      </c>
      <c r="N23" s="66">
        <v>0.0</v>
      </c>
      <c r="O23" s="66">
        <v>0.0</v>
      </c>
      <c r="P23" s="66">
        <v>0.0</v>
      </c>
      <c r="Q23" s="66">
        <v>0.0</v>
      </c>
      <c r="R23" s="66">
        <v>0.0</v>
      </c>
      <c r="S23" s="66">
        <v>0.0</v>
      </c>
      <c r="T23" s="66">
        <v>0.0</v>
      </c>
      <c r="U23" s="66">
        <v>0.0</v>
      </c>
      <c r="V23" s="66">
        <v>0.0</v>
      </c>
      <c r="W23" s="66">
        <v>0.0</v>
      </c>
      <c r="X23" s="66">
        <v>0.0</v>
      </c>
      <c r="Y23" s="66">
        <v>0.0</v>
      </c>
      <c r="Z23" s="66">
        <v>0.0</v>
      </c>
      <c r="AA23" s="66">
        <v>0.0</v>
      </c>
      <c r="AB23" s="6">
        <f t="shared" si="3"/>
        <v>0</v>
      </c>
    </row>
    <row r="24" ht="12.75" customHeight="1">
      <c r="A24" s="37"/>
      <c r="B24" s="27"/>
      <c r="C24" s="38"/>
      <c r="D24" s="6" t="s">
        <v>13</v>
      </c>
      <c r="E24" s="6">
        <f t="shared" ref="E24:AA24" si="5">SUM(E22:E23)</f>
        <v>0</v>
      </c>
      <c r="F24" s="6">
        <f t="shared" si="5"/>
        <v>0</v>
      </c>
      <c r="G24" s="6">
        <f t="shared" si="5"/>
        <v>0</v>
      </c>
      <c r="H24" s="6">
        <f t="shared" si="5"/>
        <v>0</v>
      </c>
      <c r="I24" s="6">
        <f t="shared" si="5"/>
        <v>0</v>
      </c>
      <c r="J24" s="6">
        <f t="shared" si="5"/>
        <v>0</v>
      </c>
      <c r="K24" s="6">
        <f t="shared" si="5"/>
        <v>0</v>
      </c>
      <c r="L24" s="6">
        <f t="shared" si="5"/>
        <v>0</v>
      </c>
      <c r="M24" s="6">
        <f t="shared" si="5"/>
        <v>0</v>
      </c>
      <c r="N24" s="6">
        <f t="shared" si="5"/>
        <v>0</v>
      </c>
      <c r="O24" s="6">
        <f t="shared" si="5"/>
        <v>1</v>
      </c>
      <c r="P24" s="6">
        <f t="shared" si="5"/>
        <v>0</v>
      </c>
      <c r="Q24" s="6">
        <f t="shared" si="5"/>
        <v>0</v>
      </c>
      <c r="R24" s="6">
        <f t="shared" si="5"/>
        <v>0</v>
      </c>
      <c r="S24" s="6">
        <f t="shared" si="5"/>
        <v>0</v>
      </c>
      <c r="T24" s="6">
        <f t="shared" si="5"/>
        <v>0</v>
      </c>
      <c r="U24" s="6">
        <f t="shared" si="5"/>
        <v>0</v>
      </c>
      <c r="V24" s="6">
        <f t="shared" si="5"/>
        <v>0</v>
      </c>
      <c r="W24" s="6">
        <f t="shared" si="5"/>
        <v>0</v>
      </c>
      <c r="X24" s="6">
        <f t="shared" si="5"/>
        <v>0</v>
      </c>
      <c r="Y24" s="6">
        <f t="shared" si="5"/>
        <v>0</v>
      </c>
      <c r="Z24" s="6">
        <f t="shared" si="5"/>
        <v>0</v>
      </c>
      <c r="AA24" s="6">
        <f t="shared" si="5"/>
        <v>0</v>
      </c>
      <c r="AB24" s="6">
        <f t="shared" si="3"/>
        <v>1</v>
      </c>
    </row>
    <row r="25" ht="12.75" customHeight="1">
      <c r="A25" s="35"/>
      <c r="B25" s="33" t="s">
        <v>20</v>
      </c>
      <c r="C25" s="34" t="s">
        <v>21</v>
      </c>
      <c r="D25" s="13" t="s">
        <v>11</v>
      </c>
      <c r="E25" s="66">
        <v>0.0</v>
      </c>
      <c r="F25" s="66">
        <v>0.0</v>
      </c>
      <c r="G25" s="66">
        <v>1.0</v>
      </c>
      <c r="H25" s="66">
        <v>3.0</v>
      </c>
      <c r="I25" s="66">
        <v>0.0</v>
      </c>
      <c r="J25" s="66">
        <v>0.0</v>
      </c>
      <c r="K25" s="66">
        <v>0.0</v>
      </c>
      <c r="L25" s="66">
        <v>0.0</v>
      </c>
      <c r="M25" s="66">
        <v>0.0</v>
      </c>
      <c r="N25" s="66">
        <v>0.0</v>
      </c>
      <c r="O25" s="66">
        <v>0.0</v>
      </c>
      <c r="P25" s="66">
        <v>0.0</v>
      </c>
      <c r="Q25" s="66">
        <v>0.0</v>
      </c>
      <c r="R25" s="66">
        <v>0.0</v>
      </c>
      <c r="S25" s="66">
        <v>1.0</v>
      </c>
      <c r="T25" s="66">
        <v>2.0</v>
      </c>
      <c r="U25" s="66">
        <v>1.0</v>
      </c>
      <c r="V25" s="66">
        <v>1.0</v>
      </c>
      <c r="W25" s="66">
        <v>0.0</v>
      </c>
      <c r="X25" s="66">
        <v>0.0</v>
      </c>
      <c r="Y25" s="66">
        <v>2.0</v>
      </c>
      <c r="Z25" s="66">
        <v>1.0</v>
      </c>
      <c r="AA25" s="66">
        <v>0.0</v>
      </c>
      <c r="AB25" s="6">
        <f t="shared" si="3"/>
        <v>12</v>
      </c>
    </row>
    <row r="26" ht="12.75" customHeight="1">
      <c r="A26" s="35"/>
      <c r="B26" s="26"/>
      <c r="C26" s="36"/>
      <c r="D26" s="13" t="s">
        <v>12</v>
      </c>
      <c r="E26" s="66">
        <v>0.0</v>
      </c>
      <c r="F26" s="66">
        <v>0.0</v>
      </c>
      <c r="G26" s="66">
        <v>0.0</v>
      </c>
      <c r="H26" s="66">
        <v>1.0</v>
      </c>
      <c r="I26" s="66">
        <v>0.0</v>
      </c>
      <c r="J26" s="66">
        <v>0.0</v>
      </c>
      <c r="K26" s="66">
        <v>0.0</v>
      </c>
      <c r="L26" s="66">
        <v>1.0</v>
      </c>
      <c r="M26" s="66">
        <v>1.0</v>
      </c>
      <c r="N26" s="66">
        <v>1.0</v>
      </c>
      <c r="O26" s="66">
        <v>0.0</v>
      </c>
      <c r="P26" s="66">
        <v>0.0</v>
      </c>
      <c r="Q26" s="66">
        <v>0.0</v>
      </c>
      <c r="R26" s="66">
        <v>0.0</v>
      </c>
      <c r="S26" s="66">
        <v>1.0</v>
      </c>
      <c r="T26" s="66">
        <v>1.0</v>
      </c>
      <c r="U26" s="66">
        <v>0.0</v>
      </c>
      <c r="V26" s="66">
        <v>1.0</v>
      </c>
      <c r="W26" s="66">
        <v>1.0</v>
      </c>
      <c r="X26" s="66">
        <v>0.0</v>
      </c>
      <c r="Y26" s="66">
        <v>0.0</v>
      </c>
      <c r="Z26" s="66">
        <v>1.0</v>
      </c>
      <c r="AA26" s="66">
        <v>0.0</v>
      </c>
      <c r="AB26" s="6">
        <f t="shared" si="3"/>
        <v>9</v>
      </c>
    </row>
    <row r="27" ht="12.75" customHeight="1">
      <c r="A27" s="37"/>
      <c r="B27" s="27"/>
      <c r="C27" s="38"/>
      <c r="D27" s="6" t="s">
        <v>13</v>
      </c>
      <c r="E27" s="6">
        <f t="shared" ref="E27:AA27" si="6">SUM(E25:E26)</f>
        <v>0</v>
      </c>
      <c r="F27" s="6">
        <f t="shared" si="6"/>
        <v>0</v>
      </c>
      <c r="G27" s="6">
        <f t="shared" si="6"/>
        <v>1</v>
      </c>
      <c r="H27" s="6">
        <f t="shared" si="6"/>
        <v>4</v>
      </c>
      <c r="I27" s="6">
        <f t="shared" si="6"/>
        <v>0</v>
      </c>
      <c r="J27" s="6">
        <f t="shared" si="6"/>
        <v>0</v>
      </c>
      <c r="K27" s="6">
        <f t="shared" si="6"/>
        <v>0</v>
      </c>
      <c r="L27" s="6">
        <f t="shared" si="6"/>
        <v>1</v>
      </c>
      <c r="M27" s="6">
        <f t="shared" si="6"/>
        <v>1</v>
      </c>
      <c r="N27" s="6">
        <f t="shared" si="6"/>
        <v>1</v>
      </c>
      <c r="O27" s="6">
        <f t="shared" si="6"/>
        <v>0</v>
      </c>
      <c r="P27" s="6">
        <f t="shared" si="6"/>
        <v>0</v>
      </c>
      <c r="Q27" s="6">
        <f t="shared" si="6"/>
        <v>0</v>
      </c>
      <c r="R27" s="6">
        <f t="shared" si="6"/>
        <v>0</v>
      </c>
      <c r="S27" s="6">
        <f t="shared" si="6"/>
        <v>2</v>
      </c>
      <c r="T27" s="6">
        <f t="shared" si="6"/>
        <v>3</v>
      </c>
      <c r="U27" s="6">
        <f t="shared" si="6"/>
        <v>1</v>
      </c>
      <c r="V27" s="6">
        <f t="shared" si="6"/>
        <v>2</v>
      </c>
      <c r="W27" s="6">
        <f t="shared" si="6"/>
        <v>1</v>
      </c>
      <c r="X27" s="6">
        <f t="shared" si="6"/>
        <v>0</v>
      </c>
      <c r="Y27" s="6">
        <f t="shared" si="6"/>
        <v>2</v>
      </c>
      <c r="Z27" s="6">
        <f t="shared" si="6"/>
        <v>2</v>
      </c>
      <c r="AA27" s="6">
        <f t="shared" si="6"/>
        <v>0</v>
      </c>
      <c r="AB27" s="6">
        <f t="shared" si="3"/>
        <v>21</v>
      </c>
    </row>
    <row r="28" ht="12.75" customHeight="1">
      <c r="A28" s="37"/>
      <c r="B28" s="39" t="s">
        <v>22</v>
      </c>
      <c r="C28" s="40" t="s">
        <v>23</v>
      </c>
      <c r="D28" s="6" t="s">
        <v>11</v>
      </c>
      <c r="E28" s="6">
        <f t="shared" ref="E28:AA28" si="7">SUM(E19,E22,E25)</f>
        <v>95</v>
      </c>
      <c r="F28" s="6">
        <f t="shared" si="7"/>
        <v>107</v>
      </c>
      <c r="G28" s="6">
        <f t="shared" si="7"/>
        <v>93</v>
      </c>
      <c r="H28" s="6">
        <f t="shared" si="7"/>
        <v>106</v>
      </c>
      <c r="I28" s="6">
        <f t="shared" si="7"/>
        <v>96</v>
      </c>
      <c r="J28" s="6">
        <f t="shared" si="7"/>
        <v>93</v>
      </c>
      <c r="K28" s="6">
        <f t="shared" si="7"/>
        <v>100</v>
      </c>
      <c r="L28" s="6">
        <f t="shared" si="7"/>
        <v>98</v>
      </c>
      <c r="M28" s="6">
        <f t="shared" si="7"/>
        <v>94</v>
      </c>
      <c r="N28" s="6">
        <f t="shared" si="7"/>
        <v>108</v>
      </c>
      <c r="O28" s="6">
        <f t="shared" si="7"/>
        <v>98</v>
      </c>
      <c r="P28" s="6">
        <f t="shared" si="7"/>
        <v>74</v>
      </c>
      <c r="Q28" s="6">
        <f t="shared" si="7"/>
        <v>92</v>
      </c>
      <c r="R28" s="6">
        <f t="shared" si="7"/>
        <v>100</v>
      </c>
      <c r="S28" s="6">
        <f t="shared" si="7"/>
        <v>67</v>
      </c>
      <c r="T28" s="6">
        <f t="shared" si="7"/>
        <v>85</v>
      </c>
      <c r="U28" s="6">
        <f t="shared" si="7"/>
        <v>95</v>
      </c>
      <c r="V28" s="6">
        <f t="shared" si="7"/>
        <v>104</v>
      </c>
      <c r="W28" s="6">
        <f t="shared" si="7"/>
        <v>103</v>
      </c>
      <c r="X28" s="6">
        <f t="shared" si="7"/>
        <v>122</v>
      </c>
      <c r="Y28" s="6">
        <f t="shared" si="7"/>
        <v>119</v>
      </c>
      <c r="Z28" s="6">
        <f t="shared" si="7"/>
        <v>122</v>
      </c>
      <c r="AA28" s="6">
        <f t="shared" si="7"/>
        <v>108</v>
      </c>
      <c r="AB28" s="6">
        <f t="shared" si="3"/>
        <v>2279</v>
      </c>
    </row>
    <row r="29" ht="12.75" customHeight="1">
      <c r="A29" s="37"/>
      <c r="B29" s="26"/>
      <c r="C29" s="36"/>
      <c r="D29" s="6" t="s">
        <v>12</v>
      </c>
      <c r="E29" s="6">
        <f t="shared" ref="E29:AA29" si="8">SUM(E20,E23,E26)</f>
        <v>96</v>
      </c>
      <c r="F29" s="6">
        <f t="shared" si="8"/>
        <v>87</v>
      </c>
      <c r="G29" s="6">
        <f t="shared" si="8"/>
        <v>105</v>
      </c>
      <c r="H29" s="6">
        <f t="shared" si="8"/>
        <v>108</v>
      </c>
      <c r="I29" s="6">
        <f t="shared" si="8"/>
        <v>119</v>
      </c>
      <c r="J29" s="6">
        <f t="shared" si="8"/>
        <v>106</v>
      </c>
      <c r="K29" s="6">
        <f t="shared" si="8"/>
        <v>105</v>
      </c>
      <c r="L29" s="6">
        <f t="shared" si="8"/>
        <v>118</v>
      </c>
      <c r="M29" s="6">
        <f t="shared" si="8"/>
        <v>108</v>
      </c>
      <c r="N29" s="6">
        <f t="shared" si="8"/>
        <v>121</v>
      </c>
      <c r="O29" s="6">
        <f t="shared" si="8"/>
        <v>101</v>
      </c>
      <c r="P29" s="6">
        <f t="shared" si="8"/>
        <v>88</v>
      </c>
      <c r="Q29" s="6">
        <f t="shared" si="8"/>
        <v>93</v>
      </c>
      <c r="R29" s="6">
        <f t="shared" si="8"/>
        <v>100</v>
      </c>
      <c r="S29" s="6">
        <f t="shared" si="8"/>
        <v>82</v>
      </c>
      <c r="T29" s="6">
        <f t="shared" si="8"/>
        <v>118</v>
      </c>
      <c r="U29" s="6">
        <f t="shared" si="8"/>
        <v>116</v>
      </c>
      <c r="V29" s="6">
        <f t="shared" si="8"/>
        <v>116</v>
      </c>
      <c r="W29" s="6">
        <f t="shared" si="8"/>
        <v>121</v>
      </c>
      <c r="X29" s="6">
        <f t="shared" si="8"/>
        <v>106</v>
      </c>
      <c r="Y29" s="6">
        <f t="shared" si="8"/>
        <v>119</v>
      </c>
      <c r="Z29" s="6">
        <f t="shared" si="8"/>
        <v>107</v>
      </c>
      <c r="AA29" s="6">
        <f t="shared" si="8"/>
        <v>109</v>
      </c>
      <c r="AB29" s="6">
        <f t="shared" si="3"/>
        <v>2449</v>
      </c>
    </row>
    <row r="30" ht="12.75" customHeight="1">
      <c r="A30" s="37"/>
      <c r="B30" s="27"/>
      <c r="C30" s="38"/>
      <c r="D30" s="6" t="s">
        <v>13</v>
      </c>
      <c r="E30" s="6">
        <f t="shared" ref="E30:AA30" si="9">SUM(E28:E29)</f>
        <v>191</v>
      </c>
      <c r="F30" s="6">
        <f t="shared" si="9"/>
        <v>194</v>
      </c>
      <c r="G30" s="6">
        <f t="shared" si="9"/>
        <v>198</v>
      </c>
      <c r="H30" s="6">
        <f t="shared" si="9"/>
        <v>214</v>
      </c>
      <c r="I30" s="6">
        <f t="shared" si="9"/>
        <v>215</v>
      </c>
      <c r="J30" s="6">
        <f t="shared" si="9"/>
        <v>199</v>
      </c>
      <c r="K30" s="6">
        <f t="shared" si="9"/>
        <v>205</v>
      </c>
      <c r="L30" s="6">
        <f t="shared" si="9"/>
        <v>216</v>
      </c>
      <c r="M30" s="6">
        <f t="shared" si="9"/>
        <v>202</v>
      </c>
      <c r="N30" s="6">
        <f t="shared" si="9"/>
        <v>229</v>
      </c>
      <c r="O30" s="6">
        <f t="shared" si="9"/>
        <v>199</v>
      </c>
      <c r="P30" s="6">
        <f t="shared" si="9"/>
        <v>162</v>
      </c>
      <c r="Q30" s="6">
        <f t="shared" si="9"/>
        <v>185</v>
      </c>
      <c r="R30" s="6">
        <f t="shared" si="9"/>
        <v>200</v>
      </c>
      <c r="S30" s="6">
        <f t="shared" si="9"/>
        <v>149</v>
      </c>
      <c r="T30" s="6">
        <f t="shared" si="9"/>
        <v>203</v>
      </c>
      <c r="U30" s="6">
        <f t="shared" si="9"/>
        <v>211</v>
      </c>
      <c r="V30" s="6">
        <f t="shared" si="9"/>
        <v>220</v>
      </c>
      <c r="W30" s="6">
        <f t="shared" si="9"/>
        <v>224</v>
      </c>
      <c r="X30" s="6">
        <f t="shared" si="9"/>
        <v>228</v>
      </c>
      <c r="Y30" s="6">
        <f t="shared" si="9"/>
        <v>238</v>
      </c>
      <c r="Z30" s="6">
        <f t="shared" si="9"/>
        <v>229</v>
      </c>
      <c r="AA30" s="6">
        <f t="shared" si="9"/>
        <v>217</v>
      </c>
      <c r="AB30" s="6">
        <f t="shared" si="3"/>
        <v>4728</v>
      </c>
    </row>
    <row r="31" ht="12.75" customHeight="1">
      <c r="A31" s="21"/>
      <c r="B31" s="8"/>
      <c r="C31" s="8"/>
      <c r="D31" s="9"/>
      <c r="E31" s="13"/>
      <c r="F31" s="13"/>
      <c r="G31" s="13"/>
      <c r="H31" s="13"/>
      <c r="I31" s="13"/>
      <c r="J31" s="13"/>
      <c r="K31" s="13"/>
      <c r="L31" s="13"/>
      <c r="M31" s="13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"/>
    </row>
    <row r="32" ht="12.75" customHeight="1">
      <c r="A32" s="42" t="s">
        <v>24</v>
      </c>
      <c r="B32" s="7" t="s">
        <v>25</v>
      </c>
      <c r="C32" s="8"/>
      <c r="D32" s="9"/>
      <c r="E32" s="6"/>
      <c r="F32" s="6"/>
      <c r="G32" s="6"/>
      <c r="H32" s="6"/>
      <c r="I32" s="6"/>
      <c r="J32" s="6"/>
      <c r="K32" s="6"/>
      <c r="L32" s="6"/>
      <c r="M32" s="6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"/>
    </row>
    <row r="33" ht="12.75" customHeight="1">
      <c r="A33" s="13">
        <v>1.0</v>
      </c>
      <c r="B33" s="14" t="s">
        <v>26</v>
      </c>
      <c r="C33" s="8"/>
      <c r="D33" s="9"/>
      <c r="E33" s="66">
        <v>202.0</v>
      </c>
      <c r="F33" s="66">
        <v>264.0</v>
      </c>
      <c r="G33" s="66">
        <v>268.0</v>
      </c>
      <c r="H33" s="66">
        <v>267.0</v>
      </c>
      <c r="I33" s="66">
        <v>263.0</v>
      </c>
      <c r="J33" s="66">
        <v>261.0</v>
      </c>
      <c r="K33" s="66">
        <v>276.0</v>
      </c>
      <c r="L33" s="66">
        <v>284.0</v>
      </c>
      <c r="M33" s="66">
        <v>283.0</v>
      </c>
      <c r="N33" s="66">
        <v>281.0</v>
      </c>
      <c r="O33" s="66">
        <v>280.0</v>
      </c>
      <c r="P33" s="66">
        <v>267.0</v>
      </c>
      <c r="Q33" s="66">
        <v>255.0</v>
      </c>
      <c r="R33" s="66">
        <v>253.0</v>
      </c>
      <c r="S33" s="66">
        <v>181.0</v>
      </c>
      <c r="T33" s="66">
        <v>290.0</v>
      </c>
      <c r="U33" s="66">
        <v>292.0</v>
      </c>
      <c r="V33" s="66">
        <v>294.0</v>
      </c>
      <c r="W33" s="66">
        <v>297.0</v>
      </c>
      <c r="X33" s="66">
        <v>312.0</v>
      </c>
      <c r="Y33" s="66">
        <v>300.0</v>
      </c>
      <c r="Z33" s="66">
        <v>304.0</v>
      </c>
      <c r="AA33" s="66">
        <v>298.0</v>
      </c>
      <c r="AB33" s="6">
        <f t="shared" ref="AB33:AB36" si="10">SUM(E33:AA33)</f>
        <v>6272</v>
      </c>
    </row>
    <row r="34" ht="12.75" customHeight="1">
      <c r="A34" s="13">
        <v>2.0</v>
      </c>
      <c r="B34" s="14" t="s">
        <v>27</v>
      </c>
      <c r="C34" s="8"/>
      <c r="D34" s="9"/>
      <c r="E34" s="72">
        <v>191.0</v>
      </c>
      <c r="F34" s="72">
        <v>194.0</v>
      </c>
      <c r="G34" s="72">
        <v>198.0</v>
      </c>
      <c r="H34" s="72">
        <v>214.0</v>
      </c>
      <c r="I34" s="72">
        <v>215.0</v>
      </c>
      <c r="J34" s="72">
        <v>199.0</v>
      </c>
      <c r="K34" s="72">
        <v>205.0</v>
      </c>
      <c r="L34" s="72">
        <v>216.0</v>
      </c>
      <c r="M34" s="72">
        <v>202.0</v>
      </c>
      <c r="N34" s="72">
        <v>229.0</v>
      </c>
      <c r="O34" s="72">
        <v>199.0</v>
      </c>
      <c r="P34" s="72">
        <v>162.0</v>
      </c>
      <c r="Q34" s="72">
        <v>185.0</v>
      </c>
      <c r="R34" s="72">
        <v>200.0</v>
      </c>
      <c r="S34" s="72">
        <v>149.0</v>
      </c>
      <c r="T34" s="72">
        <v>203.0</v>
      </c>
      <c r="U34" s="72">
        <v>211.0</v>
      </c>
      <c r="V34" s="72">
        <v>220.0</v>
      </c>
      <c r="W34" s="72">
        <v>224.0</v>
      </c>
      <c r="X34" s="72">
        <v>228.0</v>
      </c>
      <c r="Y34" s="72">
        <v>238.0</v>
      </c>
      <c r="Z34" s="72">
        <v>229.0</v>
      </c>
      <c r="AA34" s="72">
        <v>217.0</v>
      </c>
      <c r="AB34" s="6">
        <f t="shared" si="10"/>
        <v>4728</v>
      </c>
    </row>
    <row r="35" ht="12.75" customHeight="1">
      <c r="A35" s="13">
        <v>3.0</v>
      </c>
      <c r="B35" s="14" t="s">
        <v>28</v>
      </c>
      <c r="C35" s="8"/>
      <c r="D35" s="9"/>
      <c r="E35" s="66">
        <v>0.0</v>
      </c>
      <c r="F35" s="66">
        <v>0.0</v>
      </c>
      <c r="G35" s="66">
        <v>0.0</v>
      </c>
      <c r="H35" s="66">
        <v>0.0</v>
      </c>
      <c r="I35" s="66">
        <v>0.0</v>
      </c>
      <c r="J35" s="66">
        <v>1.0</v>
      </c>
      <c r="K35" s="66">
        <v>0.0</v>
      </c>
      <c r="L35" s="66">
        <v>0.0</v>
      </c>
      <c r="M35" s="66">
        <v>0.0</v>
      </c>
      <c r="N35" s="66">
        <v>0.0</v>
      </c>
      <c r="O35" s="66">
        <v>0.0</v>
      </c>
      <c r="P35" s="66">
        <v>0.0</v>
      </c>
      <c r="Q35" s="66">
        <v>0.0</v>
      </c>
      <c r="R35" s="66">
        <v>0.0</v>
      </c>
      <c r="S35" s="66">
        <v>0.0</v>
      </c>
      <c r="T35" s="66">
        <v>1.0</v>
      </c>
      <c r="U35" s="66">
        <v>0.0</v>
      </c>
      <c r="V35" s="66">
        <v>0.0</v>
      </c>
      <c r="W35" s="66">
        <v>0.0</v>
      </c>
      <c r="X35" s="66">
        <v>0.0</v>
      </c>
      <c r="Y35" s="66">
        <v>0.0</v>
      </c>
      <c r="Z35" s="66">
        <v>0.0</v>
      </c>
      <c r="AA35" s="66">
        <v>0.0</v>
      </c>
      <c r="AB35" s="6">
        <f t="shared" si="10"/>
        <v>2</v>
      </c>
    </row>
    <row r="36" ht="12.75" customHeight="1">
      <c r="A36" s="13">
        <v>4.0</v>
      </c>
      <c r="B36" s="14" t="s">
        <v>29</v>
      </c>
      <c r="C36" s="8"/>
      <c r="D36" s="9"/>
      <c r="E36" s="6">
        <f t="shared" ref="E36:AA36" si="11">E33-(E34+E35)</f>
        <v>11</v>
      </c>
      <c r="F36" s="6">
        <f t="shared" si="11"/>
        <v>70</v>
      </c>
      <c r="G36" s="6">
        <f t="shared" si="11"/>
        <v>70</v>
      </c>
      <c r="H36" s="6">
        <f t="shared" si="11"/>
        <v>53</v>
      </c>
      <c r="I36" s="6">
        <f t="shared" si="11"/>
        <v>48</v>
      </c>
      <c r="J36" s="6">
        <f t="shared" si="11"/>
        <v>61</v>
      </c>
      <c r="K36" s="6">
        <f t="shared" si="11"/>
        <v>71</v>
      </c>
      <c r="L36" s="6">
        <f t="shared" si="11"/>
        <v>68</v>
      </c>
      <c r="M36" s="6">
        <f t="shared" si="11"/>
        <v>81</v>
      </c>
      <c r="N36" s="6">
        <f t="shared" si="11"/>
        <v>52</v>
      </c>
      <c r="O36" s="6">
        <f t="shared" si="11"/>
        <v>81</v>
      </c>
      <c r="P36" s="6">
        <f t="shared" si="11"/>
        <v>105</v>
      </c>
      <c r="Q36" s="6">
        <f t="shared" si="11"/>
        <v>70</v>
      </c>
      <c r="R36" s="6">
        <f t="shared" si="11"/>
        <v>53</v>
      </c>
      <c r="S36" s="6">
        <f t="shared" si="11"/>
        <v>32</v>
      </c>
      <c r="T36" s="6">
        <f t="shared" si="11"/>
        <v>86</v>
      </c>
      <c r="U36" s="6">
        <f t="shared" si="11"/>
        <v>81</v>
      </c>
      <c r="V36" s="6">
        <f t="shared" si="11"/>
        <v>74</v>
      </c>
      <c r="W36" s="6">
        <f t="shared" si="11"/>
        <v>73</v>
      </c>
      <c r="X36" s="6">
        <f t="shared" si="11"/>
        <v>84</v>
      </c>
      <c r="Y36" s="6">
        <f t="shared" si="11"/>
        <v>62</v>
      </c>
      <c r="Z36" s="6">
        <f t="shared" si="11"/>
        <v>75</v>
      </c>
      <c r="AA36" s="6">
        <f t="shared" si="11"/>
        <v>81</v>
      </c>
      <c r="AB36" s="6">
        <f t="shared" si="10"/>
        <v>1542</v>
      </c>
    </row>
    <row r="37" ht="12.75" customHeight="1">
      <c r="A37" s="21"/>
      <c r="B37" s="8"/>
      <c r="C37" s="8"/>
      <c r="D37" s="8"/>
      <c r="E37" s="21"/>
      <c r="F37" s="8"/>
      <c r="G37" s="8"/>
      <c r="H37" s="8"/>
      <c r="I37" s="9"/>
      <c r="J37" s="13"/>
      <c r="K37" s="13"/>
      <c r="L37" s="13"/>
      <c r="M37" s="13"/>
      <c r="N37" s="67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6"/>
    </row>
    <row r="38" ht="12.75" customHeight="1">
      <c r="A38" s="44" t="s">
        <v>30</v>
      </c>
      <c r="B38" s="7" t="s">
        <v>31</v>
      </c>
      <c r="C38" s="8"/>
      <c r="D38" s="9"/>
      <c r="E38" s="6"/>
      <c r="F38" s="6"/>
      <c r="G38" s="6"/>
      <c r="H38" s="6"/>
      <c r="I38" s="6"/>
      <c r="J38" s="6"/>
      <c r="K38" s="6"/>
      <c r="L38" s="6"/>
      <c r="M38" s="6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"/>
    </row>
    <row r="39" ht="12.75" customHeight="1">
      <c r="A39" s="32"/>
      <c r="B39" s="45" t="s">
        <v>32</v>
      </c>
      <c r="C39" s="20"/>
      <c r="D39" s="13" t="s">
        <v>11</v>
      </c>
      <c r="E39" s="66">
        <v>0.0</v>
      </c>
      <c r="F39" s="66">
        <v>0.0</v>
      </c>
      <c r="G39" s="66">
        <v>1.0</v>
      </c>
      <c r="H39" s="66">
        <v>0.0</v>
      </c>
      <c r="I39" s="66">
        <v>0.0</v>
      </c>
      <c r="J39" s="66">
        <v>0.0</v>
      </c>
      <c r="K39" s="66">
        <v>0.0</v>
      </c>
      <c r="L39" s="66">
        <v>0.0</v>
      </c>
      <c r="M39" s="66">
        <v>0.0</v>
      </c>
      <c r="N39" s="66">
        <v>0.0</v>
      </c>
      <c r="O39" s="66">
        <v>0.0</v>
      </c>
      <c r="P39" s="66">
        <v>0.0</v>
      </c>
      <c r="Q39" s="66">
        <v>0.0</v>
      </c>
      <c r="R39" s="66">
        <v>0.0</v>
      </c>
      <c r="S39" s="66">
        <v>0.0</v>
      </c>
      <c r="T39" s="66">
        <v>0.0</v>
      </c>
      <c r="U39" s="66">
        <v>0.0</v>
      </c>
      <c r="V39" s="66">
        <v>0.0</v>
      </c>
      <c r="W39" s="66">
        <v>0.0</v>
      </c>
      <c r="X39" s="66">
        <v>0.0</v>
      </c>
      <c r="Y39" s="66">
        <v>0.0</v>
      </c>
      <c r="Z39" s="66">
        <v>0.0</v>
      </c>
      <c r="AA39" s="66">
        <v>0.0</v>
      </c>
      <c r="AB39" s="6">
        <f t="shared" ref="AB39:AB41" si="12">SUM(E39:AA39)</f>
        <v>1</v>
      </c>
    </row>
    <row r="40" ht="12.75" customHeight="1">
      <c r="A40" s="35"/>
      <c r="C40" s="26"/>
      <c r="D40" s="13" t="s">
        <v>12</v>
      </c>
      <c r="E40" s="66">
        <v>0.0</v>
      </c>
      <c r="F40" s="66">
        <v>0.0</v>
      </c>
      <c r="G40" s="66">
        <v>0.0</v>
      </c>
      <c r="H40" s="66">
        <v>0.0</v>
      </c>
      <c r="I40" s="66">
        <v>0.0</v>
      </c>
      <c r="J40" s="66">
        <v>0.0</v>
      </c>
      <c r="K40" s="66">
        <v>0.0</v>
      </c>
      <c r="L40" s="66">
        <v>0.0</v>
      </c>
      <c r="M40" s="66">
        <v>0.0</v>
      </c>
      <c r="N40" s="66">
        <v>0.0</v>
      </c>
      <c r="O40" s="66">
        <v>0.0</v>
      </c>
      <c r="P40" s="66">
        <v>0.0</v>
      </c>
      <c r="Q40" s="66">
        <v>0.0</v>
      </c>
      <c r="R40" s="66">
        <v>0.0</v>
      </c>
      <c r="S40" s="66">
        <v>0.0</v>
      </c>
      <c r="T40" s="66">
        <v>0.0</v>
      </c>
      <c r="U40" s="66">
        <v>0.0</v>
      </c>
      <c r="V40" s="66">
        <v>0.0</v>
      </c>
      <c r="W40" s="66">
        <v>0.0</v>
      </c>
      <c r="X40" s="66">
        <v>0.0</v>
      </c>
      <c r="Y40" s="66">
        <v>0.0</v>
      </c>
      <c r="Z40" s="66">
        <v>0.0</v>
      </c>
      <c r="AA40" s="66">
        <v>1.0</v>
      </c>
      <c r="AB40" s="6">
        <f t="shared" si="12"/>
        <v>1</v>
      </c>
    </row>
    <row r="41" ht="12.75" customHeight="1">
      <c r="A41" s="42"/>
      <c r="B41" s="46"/>
      <c r="C41" s="27"/>
      <c r="D41" s="6" t="s">
        <v>13</v>
      </c>
      <c r="E41" s="6">
        <f t="shared" ref="E41:AA41" si="13">SUM(E39:E40)</f>
        <v>0</v>
      </c>
      <c r="F41" s="6">
        <f t="shared" si="13"/>
        <v>0</v>
      </c>
      <c r="G41" s="6">
        <f t="shared" si="13"/>
        <v>1</v>
      </c>
      <c r="H41" s="6">
        <f t="shared" si="13"/>
        <v>0</v>
      </c>
      <c r="I41" s="6">
        <f t="shared" si="13"/>
        <v>0</v>
      </c>
      <c r="J41" s="6">
        <f t="shared" si="13"/>
        <v>0</v>
      </c>
      <c r="K41" s="6">
        <f t="shared" si="13"/>
        <v>0</v>
      </c>
      <c r="L41" s="6">
        <f t="shared" si="13"/>
        <v>0</v>
      </c>
      <c r="M41" s="6">
        <f t="shared" si="13"/>
        <v>0</v>
      </c>
      <c r="N41" s="6">
        <f t="shared" si="13"/>
        <v>0</v>
      </c>
      <c r="O41" s="6">
        <f t="shared" si="13"/>
        <v>0</v>
      </c>
      <c r="P41" s="6">
        <f t="shared" si="13"/>
        <v>0</v>
      </c>
      <c r="Q41" s="6">
        <f t="shared" si="13"/>
        <v>0</v>
      </c>
      <c r="R41" s="6">
        <f t="shared" si="13"/>
        <v>0</v>
      </c>
      <c r="S41" s="6">
        <f t="shared" si="13"/>
        <v>0</v>
      </c>
      <c r="T41" s="6">
        <f t="shared" si="13"/>
        <v>0</v>
      </c>
      <c r="U41" s="6">
        <f t="shared" si="13"/>
        <v>0</v>
      </c>
      <c r="V41" s="6">
        <f t="shared" si="13"/>
        <v>0</v>
      </c>
      <c r="W41" s="6">
        <f t="shared" si="13"/>
        <v>0</v>
      </c>
      <c r="X41" s="6">
        <f t="shared" si="13"/>
        <v>0</v>
      </c>
      <c r="Y41" s="6">
        <f t="shared" si="13"/>
        <v>0</v>
      </c>
      <c r="Z41" s="6">
        <f t="shared" si="13"/>
        <v>0</v>
      </c>
      <c r="AA41" s="6">
        <f t="shared" si="13"/>
        <v>1</v>
      </c>
      <c r="AB41" s="6">
        <f t="shared" si="12"/>
        <v>2</v>
      </c>
    </row>
    <row r="42" ht="12.75" customHeight="1">
      <c r="A42" s="47"/>
      <c r="B42" s="46"/>
      <c r="C42" s="46"/>
      <c r="D42" s="27"/>
      <c r="E42" s="21"/>
      <c r="F42" s="8"/>
      <c r="G42" s="8"/>
      <c r="H42" s="8"/>
      <c r="I42" s="9"/>
      <c r="J42" s="13"/>
      <c r="K42" s="13"/>
      <c r="L42" s="13"/>
      <c r="M42" s="13"/>
      <c r="N42" s="67"/>
      <c r="AB42" s="6"/>
    </row>
    <row r="43" ht="12.75" customHeight="1">
      <c r="A43" s="44" t="s">
        <v>33</v>
      </c>
      <c r="B43" s="7" t="s">
        <v>34</v>
      </c>
      <c r="C43" s="8"/>
      <c r="D43" s="9"/>
      <c r="E43" s="28"/>
      <c r="F43" s="6"/>
      <c r="G43" s="6"/>
      <c r="H43" s="6"/>
      <c r="I43" s="6"/>
      <c r="J43" s="6"/>
      <c r="K43" s="6"/>
      <c r="L43" s="6"/>
      <c r="M43" s="6"/>
      <c r="N43" s="69"/>
      <c r="AB43" s="6"/>
    </row>
    <row r="44" ht="12.75" customHeight="1">
      <c r="A44" s="45" t="s">
        <v>35</v>
      </c>
      <c r="B44" s="48"/>
      <c r="C44" s="48"/>
      <c r="D44" s="20"/>
      <c r="E44" s="21"/>
      <c r="F44" s="13"/>
      <c r="G44" s="13"/>
      <c r="H44" s="13"/>
      <c r="I44" s="13"/>
      <c r="J44" s="13"/>
      <c r="K44" s="13"/>
      <c r="L44" s="13"/>
      <c r="M44" s="13"/>
      <c r="N44" s="67"/>
      <c r="AB44" s="6"/>
    </row>
    <row r="45" ht="12.75" customHeight="1">
      <c r="A45" s="32" t="s">
        <v>36</v>
      </c>
      <c r="B45" s="49" t="s">
        <v>16</v>
      </c>
      <c r="C45" s="50" t="s">
        <v>37</v>
      </c>
      <c r="D45" s="9"/>
      <c r="E45" s="66">
        <v>2.0</v>
      </c>
      <c r="F45" s="66">
        <v>10.0</v>
      </c>
      <c r="G45" s="66">
        <v>10.0</v>
      </c>
      <c r="H45" s="66">
        <v>8.0</v>
      </c>
      <c r="I45" s="66">
        <v>12.0</v>
      </c>
      <c r="J45" s="66">
        <v>9.0</v>
      </c>
      <c r="K45" s="66">
        <v>4.0</v>
      </c>
      <c r="L45" s="66">
        <v>19.0</v>
      </c>
      <c r="M45" s="66">
        <v>9.0</v>
      </c>
      <c r="N45" s="66">
        <v>3.0</v>
      </c>
      <c r="O45" s="66">
        <v>3.0</v>
      </c>
      <c r="P45" s="66">
        <v>5.0</v>
      </c>
      <c r="Q45" s="66">
        <v>17.0</v>
      </c>
      <c r="R45" s="66">
        <v>5.0</v>
      </c>
      <c r="S45" s="66">
        <v>2.0</v>
      </c>
      <c r="T45" s="66">
        <v>15.0</v>
      </c>
      <c r="U45" s="66">
        <v>19.0</v>
      </c>
      <c r="V45" s="66">
        <v>19.0</v>
      </c>
      <c r="W45" s="66">
        <v>8.0</v>
      </c>
      <c r="X45" s="66">
        <v>6.0</v>
      </c>
      <c r="Y45" s="66">
        <v>8.0</v>
      </c>
      <c r="Z45" s="66">
        <v>9.0</v>
      </c>
      <c r="AA45" s="66">
        <v>5.0</v>
      </c>
      <c r="AB45" s="6">
        <f t="shared" ref="AB45:AB52" si="14">SUM(E45:AA45)</f>
        <v>207</v>
      </c>
    </row>
    <row r="46" ht="12.75" customHeight="1">
      <c r="A46" s="32" t="s">
        <v>38</v>
      </c>
      <c r="B46" s="51"/>
      <c r="C46" s="52" t="s">
        <v>39</v>
      </c>
      <c r="D46" s="53"/>
      <c r="E46" s="66">
        <v>12.0</v>
      </c>
      <c r="F46" s="66">
        <v>70.0</v>
      </c>
      <c r="G46" s="66">
        <v>8.0</v>
      </c>
      <c r="H46" s="66">
        <v>29.0</v>
      </c>
      <c r="I46" s="66">
        <v>23.0</v>
      </c>
      <c r="J46" s="66">
        <v>10.0</v>
      </c>
      <c r="K46" s="66">
        <v>7.0</v>
      </c>
      <c r="L46" s="66">
        <v>36.0</v>
      </c>
      <c r="M46" s="66">
        <v>42.0</v>
      </c>
      <c r="N46" s="66">
        <v>4.0</v>
      </c>
      <c r="O46" s="66">
        <v>2.0</v>
      </c>
      <c r="P46" s="66">
        <v>12.0</v>
      </c>
      <c r="Q46" s="66">
        <v>26.0</v>
      </c>
      <c r="R46" s="66">
        <v>24.0</v>
      </c>
      <c r="S46" s="66">
        <v>8.0</v>
      </c>
      <c r="T46" s="66">
        <v>26.0</v>
      </c>
      <c r="U46" s="66">
        <v>37.0</v>
      </c>
      <c r="V46" s="66">
        <v>33.0</v>
      </c>
      <c r="W46" s="66">
        <v>20.0</v>
      </c>
      <c r="X46" s="66">
        <v>26.0</v>
      </c>
      <c r="Y46" s="66">
        <v>8.0</v>
      </c>
      <c r="Z46" s="66">
        <v>14.0</v>
      </c>
      <c r="AA46" s="66">
        <v>20.0</v>
      </c>
      <c r="AB46" s="6">
        <f t="shared" si="14"/>
        <v>497</v>
      </c>
    </row>
    <row r="47" ht="12.75" customHeight="1">
      <c r="A47" s="18"/>
      <c r="B47" s="51"/>
      <c r="C47" s="52" t="s">
        <v>40</v>
      </c>
      <c r="D47" s="53"/>
      <c r="E47" s="66">
        <v>2.0</v>
      </c>
      <c r="F47" s="66">
        <v>4.0</v>
      </c>
      <c r="G47" s="66">
        <v>0.0</v>
      </c>
      <c r="H47" s="66">
        <v>15.0</v>
      </c>
      <c r="I47" s="66">
        <v>22.0</v>
      </c>
      <c r="J47" s="66">
        <v>9.0</v>
      </c>
      <c r="K47" s="66">
        <v>6.0</v>
      </c>
      <c r="L47" s="66">
        <v>4.0</v>
      </c>
      <c r="M47" s="66">
        <v>2.0</v>
      </c>
      <c r="N47" s="66">
        <v>3.0</v>
      </c>
      <c r="O47" s="66">
        <v>20.0</v>
      </c>
      <c r="P47" s="66">
        <v>12.0</v>
      </c>
      <c r="Q47" s="66">
        <v>38.0</v>
      </c>
      <c r="R47" s="66">
        <v>17.0</v>
      </c>
      <c r="S47" s="66">
        <v>24.0</v>
      </c>
      <c r="T47" s="66">
        <v>13.0</v>
      </c>
      <c r="U47" s="66">
        <v>8.0</v>
      </c>
      <c r="V47" s="66">
        <v>9.0</v>
      </c>
      <c r="W47" s="66">
        <v>2.0</v>
      </c>
      <c r="X47" s="66">
        <v>4.0</v>
      </c>
      <c r="Y47" s="66">
        <v>1.0</v>
      </c>
      <c r="Z47" s="66">
        <v>0.0</v>
      </c>
      <c r="AA47" s="66">
        <v>8.0</v>
      </c>
      <c r="AB47" s="6">
        <f t="shared" si="14"/>
        <v>223</v>
      </c>
    </row>
    <row r="48" ht="12.75" customHeight="1">
      <c r="A48" s="18"/>
      <c r="B48" s="51"/>
      <c r="C48" s="52" t="s">
        <v>41</v>
      </c>
      <c r="D48" s="53"/>
      <c r="E48" s="66">
        <v>1.0</v>
      </c>
      <c r="F48" s="13"/>
      <c r="G48" s="13"/>
      <c r="H48" s="66">
        <v>2.0</v>
      </c>
      <c r="I48" s="66">
        <v>1.0</v>
      </c>
      <c r="J48" s="66">
        <v>1.0</v>
      </c>
      <c r="K48" s="66">
        <v>0.0</v>
      </c>
      <c r="L48" s="66">
        <v>0.0</v>
      </c>
      <c r="M48" s="66">
        <v>0.0</v>
      </c>
      <c r="N48" s="66">
        <v>2.0</v>
      </c>
      <c r="O48" s="66">
        <v>0.0</v>
      </c>
      <c r="P48" s="66">
        <v>0.0</v>
      </c>
      <c r="Q48" s="66">
        <v>2.0</v>
      </c>
      <c r="R48" s="66">
        <v>1.0</v>
      </c>
      <c r="S48" s="13"/>
      <c r="T48" s="13"/>
      <c r="U48" s="66">
        <v>2.0</v>
      </c>
      <c r="V48" s="66">
        <v>0.0</v>
      </c>
      <c r="W48" s="66">
        <v>1.0</v>
      </c>
      <c r="X48" s="66">
        <v>0.0</v>
      </c>
      <c r="Y48" s="66">
        <v>0.0</v>
      </c>
      <c r="Z48" s="66">
        <v>0.0</v>
      </c>
      <c r="AA48" s="66">
        <v>1.0</v>
      </c>
      <c r="AB48" s="6">
        <f t="shared" si="14"/>
        <v>14</v>
      </c>
    </row>
    <row r="49" ht="12.75" customHeight="1">
      <c r="A49" s="18"/>
      <c r="B49" s="51"/>
      <c r="C49" s="52" t="s">
        <v>42</v>
      </c>
      <c r="D49" s="53"/>
      <c r="E49" s="66">
        <v>0.0</v>
      </c>
      <c r="F49" s="13"/>
      <c r="G49" s="66">
        <v>1.0</v>
      </c>
      <c r="H49" s="66">
        <v>0.0</v>
      </c>
      <c r="I49" s="66">
        <v>1.0</v>
      </c>
      <c r="J49" s="66">
        <v>0.0</v>
      </c>
      <c r="K49" s="13"/>
      <c r="L49" s="66">
        <v>1.0</v>
      </c>
      <c r="M49" s="66">
        <v>0.0</v>
      </c>
      <c r="N49" s="66">
        <v>5.0</v>
      </c>
      <c r="O49" s="66">
        <v>0.0</v>
      </c>
      <c r="P49" s="66">
        <v>0.0</v>
      </c>
      <c r="Q49" s="13"/>
      <c r="R49" s="13"/>
      <c r="S49" s="13"/>
      <c r="T49" s="13"/>
      <c r="U49" s="66">
        <v>0.0</v>
      </c>
      <c r="V49" s="66">
        <v>0.0</v>
      </c>
      <c r="W49" s="66">
        <v>1.0</v>
      </c>
      <c r="X49" s="66">
        <v>1.0</v>
      </c>
      <c r="Y49" s="66">
        <v>1.0</v>
      </c>
      <c r="Z49" s="66">
        <v>0.0</v>
      </c>
      <c r="AA49" s="66">
        <v>1.0</v>
      </c>
      <c r="AB49" s="6">
        <f t="shared" si="14"/>
        <v>12</v>
      </c>
    </row>
    <row r="50" ht="12.75" customHeight="1">
      <c r="A50" s="18"/>
      <c r="B50" s="51"/>
      <c r="C50" s="52" t="s">
        <v>43</v>
      </c>
      <c r="D50" s="53"/>
      <c r="E50" s="13"/>
      <c r="F50" s="13"/>
      <c r="G50" s="13"/>
      <c r="H50" s="66">
        <v>0.0</v>
      </c>
      <c r="I50" s="66">
        <v>0.0</v>
      </c>
      <c r="J50" s="66">
        <v>0.0</v>
      </c>
      <c r="K50" s="13"/>
      <c r="L50" s="66">
        <v>0.0</v>
      </c>
      <c r="M50" s="66">
        <v>0.0</v>
      </c>
      <c r="N50" s="66">
        <v>0.0</v>
      </c>
      <c r="O50" s="66">
        <v>0.0</v>
      </c>
      <c r="P50" s="66">
        <v>0.0</v>
      </c>
      <c r="Q50" s="13"/>
      <c r="R50" s="13"/>
      <c r="S50" s="13"/>
      <c r="T50" s="13"/>
      <c r="U50" s="13"/>
      <c r="V50" s="66">
        <v>0.0</v>
      </c>
      <c r="W50" s="66">
        <v>0.0</v>
      </c>
      <c r="X50" s="66">
        <v>0.0</v>
      </c>
      <c r="Y50" s="66">
        <v>0.0</v>
      </c>
      <c r="Z50" s="66">
        <v>0.0</v>
      </c>
      <c r="AA50" s="66">
        <v>0.0</v>
      </c>
      <c r="AB50" s="6">
        <f t="shared" si="14"/>
        <v>0</v>
      </c>
    </row>
    <row r="51" ht="12.75" customHeight="1">
      <c r="A51" s="18"/>
      <c r="B51" s="51"/>
      <c r="C51" s="52" t="s">
        <v>44</v>
      </c>
      <c r="D51" s="53"/>
      <c r="E51" s="13"/>
      <c r="F51" s="13"/>
      <c r="G51" s="66">
        <v>1.0</v>
      </c>
      <c r="H51" s="66">
        <v>0.0</v>
      </c>
      <c r="I51" s="66">
        <v>0.0</v>
      </c>
      <c r="J51" s="66">
        <v>0.0</v>
      </c>
      <c r="K51" s="13"/>
      <c r="L51" s="66">
        <v>0.0</v>
      </c>
      <c r="M51" s="66">
        <v>0.0</v>
      </c>
      <c r="N51" s="66">
        <v>0.0</v>
      </c>
      <c r="O51" s="66">
        <v>0.0</v>
      </c>
      <c r="P51" s="66">
        <v>0.0</v>
      </c>
      <c r="Q51" s="13"/>
      <c r="R51" s="13"/>
      <c r="S51" s="13"/>
      <c r="T51" s="13"/>
      <c r="U51" s="66">
        <v>1.0</v>
      </c>
      <c r="V51" s="66">
        <v>0.0</v>
      </c>
      <c r="W51" s="66">
        <v>1.0</v>
      </c>
      <c r="X51" s="66">
        <v>0.0</v>
      </c>
      <c r="Y51" s="66">
        <v>1.0</v>
      </c>
      <c r="Z51" s="66">
        <v>3.0</v>
      </c>
      <c r="AA51" s="66">
        <v>0.0</v>
      </c>
      <c r="AB51" s="6">
        <f t="shared" si="14"/>
        <v>7</v>
      </c>
    </row>
    <row r="52" ht="12.75" customHeight="1">
      <c r="A52" s="13" t="s">
        <v>14</v>
      </c>
      <c r="B52" s="49" t="s">
        <v>45</v>
      </c>
      <c r="C52" s="8"/>
      <c r="D52" s="9"/>
      <c r="E52" s="54">
        <f t="shared" ref="E52:AA52" si="15">SUM(E45:E51)</f>
        <v>17</v>
      </c>
      <c r="F52" s="54">
        <f t="shared" si="15"/>
        <v>84</v>
      </c>
      <c r="G52" s="54">
        <f t="shared" si="15"/>
        <v>20</v>
      </c>
      <c r="H52" s="54">
        <f t="shared" si="15"/>
        <v>54</v>
      </c>
      <c r="I52" s="54">
        <f t="shared" si="15"/>
        <v>59</v>
      </c>
      <c r="J52" s="54">
        <f t="shared" si="15"/>
        <v>29</v>
      </c>
      <c r="K52" s="54">
        <f t="shared" si="15"/>
        <v>17</v>
      </c>
      <c r="L52" s="54">
        <f t="shared" si="15"/>
        <v>60</v>
      </c>
      <c r="M52" s="54">
        <f t="shared" si="15"/>
        <v>53</v>
      </c>
      <c r="N52" s="54">
        <f t="shared" si="15"/>
        <v>17</v>
      </c>
      <c r="O52" s="54">
        <f t="shared" si="15"/>
        <v>25</v>
      </c>
      <c r="P52" s="54">
        <f t="shared" si="15"/>
        <v>29</v>
      </c>
      <c r="Q52" s="54">
        <f t="shared" si="15"/>
        <v>83</v>
      </c>
      <c r="R52" s="54">
        <f t="shared" si="15"/>
        <v>47</v>
      </c>
      <c r="S52" s="54">
        <f t="shared" si="15"/>
        <v>34</v>
      </c>
      <c r="T52" s="54">
        <f t="shared" si="15"/>
        <v>54</v>
      </c>
      <c r="U52" s="54">
        <f t="shared" si="15"/>
        <v>67</v>
      </c>
      <c r="V52" s="54">
        <f t="shared" si="15"/>
        <v>61</v>
      </c>
      <c r="W52" s="54">
        <f t="shared" si="15"/>
        <v>33</v>
      </c>
      <c r="X52" s="54">
        <f t="shared" si="15"/>
        <v>37</v>
      </c>
      <c r="Y52" s="54">
        <f t="shared" si="15"/>
        <v>19</v>
      </c>
      <c r="Z52" s="54">
        <f t="shared" si="15"/>
        <v>26</v>
      </c>
      <c r="AA52" s="54">
        <f t="shared" si="15"/>
        <v>35</v>
      </c>
      <c r="AB52" s="6">
        <f t="shared" si="14"/>
        <v>960</v>
      </c>
    </row>
    <row r="53" ht="12.75" customHeight="1">
      <c r="A53" s="55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6"/>
    </row>
    <row r="54" ht="12.75" customHeight="1">
      <c r="A54" s="32" t="s">
        <v>36</v>
      </c>
      <c r="B54" s="49" t="s">
        <v>18</v>
      </c>
      <c r="C54" s="50" t="s">
        <v>46</v>
      </c>
      <c r="D54" s="9"/>
      <c r="E54" s="66">
        <v>18.0</v>
      </c>
      <c r="F54" s="66">
        <v>9.0</v>
      </c>
      <c r="G54" s="66">
        <v>5.0</v>
      </c>
      <c r="H54" s="66">
        <v>14.0</v>
      </c>
      <c r="I54" s="66">
        <v>12.0</v>
      </c>
      <c r="J54" s="66">
        <v>11.0</v>
      </c>
      <c r="K54" s="66">
        <v>3.0</v>
      </c>
      <c r="L54" s="66">
        <v>12.0</v>
      </c>
      <c r="M54" s="66">
        <v>7.0</v>
      </c>
      <c r="N54" s="66">
        <v>4.0</v>
      </c>
      <c r="O54" s="66">
        <v>11.0</v>
      </c>
      <c r="P54" s="66">
        <v>5.0</v>
      </c>
      <c r="Q54" s="66">
        <v>7.0</v>
      </c>
      <c r="R54" s="66">
        <v>5.0</v>
      </c>
      <c r="S54" s="66">
        <v>23.0</v>
      </c>
      <c r="T54" s="66">
        <v>7.0</v>
      </c>
      <c r="U54" s="66">
        <v>9.0</v>
      </c>
      <c r="V54" s="66">
        <v>4.0</v>
      </c>
      <c r="W54" s="66">
        <v>9.0</v>
      </c>
      <c r="X54" s="66">
        <v>13.0</v>
      </c>
      <c r="Y54" s="66">
        <v>17.0</v>
      </c>
      <c r="Z54" s="66">
        <v>15.0</v>
      </c>
      <c r="AA54" s="66">
        <v>12.0</v>
      </c>
      <c r="AB54" s="6">
        <f t="shared" ref="AB54:AB61" si="16">SUM(E54:AA54)</f>
        <v>232</v>
      </c>
    </row>
    <row r="55" ht="12.75" customHeight="1">
      <c r="A55" s="32" t="s">
        <v>38</v>
      </c>
      <c r="B55" s="51"/>
      <c r="C55" s="52" t="s">
        <v>47</v>
      </c>
      <c r="D55" s="53"/>
      <c r="E55" s="66">
        <v>30.0</v>
      </c>
      <c r="F55" s="66">
        <v>4.0</v>
      </c>
      <c r="G55" s="66">
        <v>10.0</v>
      </c>
      <c r="H55" s="66">
        <v>21.0</v>
      </c>
      <c r="I55" s="66">
        <v>17.0</v>
      </c>
      <c r="J55" s="66">
        <v>10.0</v>
      </c>
      <c r="K55" s="66">
        <v>10.0</v>
      </c>
      <c r="L55" s="66">
        <v>23.0</v>
      </c>
      <c r="M55" s="66">
        <v>25.0</v>
      </c>
      <c r="N55" s="66">
        <v>20.0</v>
      </c>
      <c r="O55" s="66">
        <v>8.0</v>
      </c>
      <c r="P55" s="66">
        <v>6.0</v>
      </c>
      <c r="Q55" s="66">
        <v>0.0</v>
      </c>
      <c r="R55" s="66">
        <v>6.0</v>
      </c>
      <c r="S55" s="66">
        <v>28.0</v>
      </c>
      <c r="T55" s="66">
        <v>11.0</v>
      </c>
      <c r="U55" s="66">
        <v>6.0</v>
      </c>
      <c r="V55" s="66">
        <v>14.0</v>
      </c>
      <c r="W55" s="66">
        <v>12.0</v>
      </c>
      <c r="X55" s="66">
        <v>23.0</v>
      </c>
      <c r="Y55" s="66">
        <v>1.0</v>
      </c>
      <c r="Z55" s="66">
        <v>37.0</v>
      </c>
      <c r="AA55" s="66">
        <v>26.0</v>
      </c>
      <c r="AB55" s="6">
        <f t="shared" si="16"/>
        <v>348</v>
      </c>
    </row>
    <row r="56" ht="12.75" customHeight="1">
      <c r="A56" s="18"/>
      <c r="B56" s="51"/>
      <c r="C56" s="52" t="s">
        <v>48</v>
      </c>
      <c r="D56" s="53"/>
      <c r="E56" s="66">
        <v>32.0</v>
      </c>
      <c r="F56" s="66">
        <v>15.0</v>
      </c>
      <c r="G56" s="66">
        <v>16.0</v>
      </c>
      <c r="H56" s="66">
        <v>15.0</v>
      </c>
      <c r="I56" s="66">
        <v>5.0</v>
      </c>
      <c r="J56" s="66">
        <v>3.0</v>
      </c>
      <c r="K56" s="66">
        <v>5.0</v>
      </c>
      <c r="L56" s="66">
        <v>33.0</v>
      </c>
      <c r="M56" s="66">
        <v>24.0</v>
      </c>
      <c r="N56" s="66">
        <v>36.0</v>
      </c>
      <c r="O56" s="66">
        <v>46.0</v>
      </c>
      <c r="P56" s="66">
        <v>18.0</v>
      </c>
      <c r="Q56" s="66">
        <v>5.0</v>
      </c>
      <c r="R56" s="66">
        <v>4.0</v>
      </c>
      <c r="S56" s="66">
        <v>3.0</v>
      </c>
      <c r="T56" s="66">
        <v>9.0</v>
      </c>
      <c r="U56" s="66">
        <v>1.0</v>
      </c>
      <c r="V56" s="66">
        <v>2.0</v>
      </c>
      <c r="W56" s="66">
        <v>1.0</v>
      </c>
      <c r="X56" s="66">
        <v>2.0</v>
      </c>
      <c r="Y56" s="66">
        <v>4.0</v>
      </c>
      <c r="Z56" s="66">
        <v>6.0</v>
      </c>
      <c r="AA56" s="66">
        <v>3.0</v>
      </c>
      <c r="AB56" s="6">
        <f t="shared" si="16"/>
        <v>288</v>
      </c>
    </row>
    <row r="57" ht="12.75" customHeight="1">
      <c r="A57" s="18"/>
      <c r="B57" s="51"/>
      <c r="C57" s="52" t="s">
        <v>49</v>
      </c>
      <c r="D57" s="53"/>
      <c r="E57" s="66">
        <v>1.0</v>
      </c>
      <c r="F57" s="66">
        <v>1.0</v>
      </c>
      <c r="G57" s="66">
        <v>0.0</v>
      </c>
      <c r="H57" s="66">
        <v>2.0</v>
      </c>
      <c r="I57" s="66">
        <v>1.0</v>
      </c>
      <c r="J57" s="66">
        <v>0.0</v>
      </c>
      <c r="K57" s="66">
        <v>1.0</v>
      </c>
      <c r="L57" s="13"/>
      <c r="M57" s="66">
        <v>0.0</v>
      </c>
      <c r="N57" s="66">
        <v>0.0</v>
      </c>
      <c r="O57" s="66">
        <v>1.0</v>
      </c>
      <c r="P57" s="66">
        <v>0.0</v>
      </c>
      <c r="Q57" s="13"/>
      <c r="R57" s="66">
        <v>1.0</v>
      </c>
      <c r="S57" s="66">
        <v>1.0</v>
      </c>
      <c r="T57" s="13"/>
      <c r="U57" s="13"/>
      <c r="V57" s="66">
        <v>0.0</v>
      </c>
      <c r="W57" s="66">
        <v>2.0</v>
      </c>
      <c r="X57" s="66">
        <v>1.0</v>
      </c>
      <c r="Y57" s="66">
        <v>2.0</v>
      </c>
      <c r="Z57" s="66">
        <v>0.0</v>
      </c>
      <c r="AA57" s="66">
        <v>0.0</v>
      </c>
      <c r="AB57" s="6">
        <f t="shared" si="16"/>
        <v>14</v>
      </c>
    </row>
    <row r="58" ht="12.75" customHeight="1">
      <c r="A58" s="18"/>
      <c r="B58" s="51"/>
      <c r="C58" s="52" t="s">
        <v>50</v>
      </c>
      <c r="D58" s="53"/>
      <c r="E58" s="66">
        <v>0.0</v>
      </c>
      <c r="F58" s="13"/>
      <c r="G58" s="66">
        <v>1.0</v>
      </c>
      <c r="H58" s="66">
        <v>10.0</v>
      </c>
      <c r="I58" s="66">
        <v>0.0</v>
      </c>
      <c r="J58" s="66">
        <v>0.0</v>
      </c>
      <c r="K58" s="66">
        <v>2.0</v>
      </c>
      <c r="L58" s="13"/>
      <c r="M58" s="66">
        <v>0.0</v>
      </c>
      <c r="N58" s="66">
        <v>0.0</v>
      </c>
      <c r="O58" s="66">
        <v>0.0</v>
      </c>
      <c r="P58" s="66">
        <v>1.0</v>
      </c>
      <c r="Q58" s="13"/>
      <c r="R58" s="66">
        <v>4.0</v>
      </c>
      <c r="S58" s="66">
        <v>0.0</v>
      </c>
      <c r="T58" s="13"/>
      <c r="U58" s="66">
        <v>4.0</v>
      </c>
      <c r="V58" s="66">
        <v>1.0</v>
      </c>
      <c r="W58" s="66">
        <v>0.0</v>
      </c>
      <c r="X58" s="66">
        <v>2.0</v>
      </c>
      <c r="Y58" s="66">
        <v>1.0</v>
      </c>
      <c r="Z58" s="66">
        <v>0.0</v>
      </c>
      <c r="AA58" s="66">
        <v>0.0</v>
      </c>
      <c r="AB58" s="6">
        <f t="shared" si="16"/>
        <v>26</v>
      </c>
    </row>
    <row r="59" ht="12.75" customHeight="1">
      <c r="A59" s="18"/>
      <c r="B59" s="51"/>
      <c r="C59" s="52" t="s">
        <v>51</v>
      </c>
      <c r="D59" s="53"/>
      <c r="E59" s="13"/>
      <c r="F59" s="13"/>
      <c r="G59" s="13"/>
      <c r="H59" s="66">
        <v>0.0</v>
      </c>
      <c r="I59" s="66">
        <v>0.0</v>
      </c>
      <c r="J59" s="66">
        <v>1.0</v>
      </c>
      <c r="K59" s="13"/>
      <c r="L59" s="13"/>
      <c r="M59" s="66">
        <v>0.0</v>
      </c>
      <c r="N59" s="66">
        <v>0.0</v>
      </c>
      <c r="O59" s="66">
        <v>1.0</v>
      </c>
      <c r="P59" s="66">
        <v>0.0</v>
      </c>
      <c r="Q59" s="13"/>
      <c r="R59" s="13"/>
      <c r="S59" s="66">
        <v>1.0</v>
      </c>
      <c r="T59" s="13"/>
      <c r="U59" s="66">
        <v>1.0</v>
      </c>
      <c r="V59" s="66">
        <v>1.0</v>
      </c>
      <c r="W59" s="66">
        <v>0.0</v>
      </c>
      <c r="X59" s="66">
        <v>1.0</v>
      </c>
      <c r="Y59" s="66">
        <v>0.0</v>
      </c>
      <c r="Z59" s="66">
        <v>0.0</v>
      </c>
      <c r="AA59" s="66">
        <v>0.0</v>
      </c>
      <c r="AB59" s="6">
        <f t="shared" si="16"/>
        <v>6</v>
      </c>
    </row>
    <row r="60" ht="12.75" customHeight="1">
      <c r="A60" s="18"/>
      <c r="B60" s="51"/>
      <c r="C60" s="52" t="s">
        <v>52</v>
      </c>
      <c r="D60" s="53"/>
      <c r="E60" s="66">
        <v>1.0</v>
      </c>
      <c r="F60" s="13"/>
      <c r="G60" s="66">
        <v>1.0</v>
      </c>
      <c r="H60" s="66">
        <v>0.0</v>
      </c>
      <c r="I60" s="66">
        <v>2.0</v>
      </c>
      <c r="J60" s="66">
        <v>0.0</v>
      </c>
      <c r="K60" s="13"/>
      <c r="L60" s="13"/>
      <c r="M60" s="66">
        <v>0.0</v>
      </c>
      <c r="N60" s="66">
        <v>0.0</v>
      </c>
      <c r="O60" s="66">
        <v>0.0</v>
      </c>
      <c r="P60" s="66">
        <v>0.0</v>
      </c>
      <c r="Q60" s="13"/>
      <c r="R60" s="13"/>
      <c r="S60" s="13"/>
      <c r="T60" s="13"/>
      <c r="U60" s="13"/>
      <c r="V60" s="66">
        <v>0.0</v>
      </c>
      <c r="W60" s="66">
        <v>0.0</v>
      </c>
      <c r="X60" s="66">
        <v>1.0</v>
      </c>
      <c r="Y60" s="66">
        <v>0.0</v>
      </c>
      <c r="Z60" s="66">
        <v>0.0</v>
      </c>
      <c r="AA60" s="66">
        <v>1.0</v>
      </c>
      <c r="AB60" s="6">
        <f t="shared" si="16"/>
        <v>6</v>
      </c>
    </row>
    <row r="61" ht="12.75" customHeight="1">
      <c r="A61" s="13" t="s">
        <v>14</v>
      </c>
      <c r="B61" s="49" t="s">
        <v>45</v>
      </c>
      <c r="C61" s="8"/>
      <c r="D61" s="9"/>
      <c r="E61" s="54">
        <f t="shared" ref="E61:AA61" si="17">SUM(E54:E60)</f>
        <v>82</v>
      </c>
      <c r="F61" s="54">
        <f t="shared" si="17"/>
        <v>29</v>
      </c>
      <c r="G61" s="54">
        <f t="shared" si="17"/>
        <v>33</v>
      </c>
      <c r="H61" s="54">
        <f t="shared" si="17"/>
        <v>62</v>
      </c>
      <c r="I61" s="54">
        <f t="shared" si="17"/>
        <v>37</v>
      </c>
      <c r="J61" s="54">
        <f t="shared" si="17"/>
        <v>25</v>
      </c>
      <c r="K61" s="54">
        <f t="shared" si="17"/>
        <v>21</v>
      </c>
      <c r="L61" s="54">
        <f t="shared" si="17"/>
        <v>68</v>
      </c>
      <c r="M61" s="54">
        <f t="shared" si="17"/>
        <v>56</v>
      </c>
      <c r="N61" s="54">
        <f t="shared" si="17"/>
        <v>60</v>
      </c>
      <c r="O61" s="54">
        <f t="shared" si="17"/>
        <v>67</v>
      </c>
      <c r="P61" s="54">
        <f t="shared" si="17"/>
        <v>30</v>
      </c>
      <c r="Q61" s="54">
        <f t="shared" si="17"/>
        <v>12</v>
      </c>
      <c r="R61" s="54">
        <f t="shared" si="17"/>
        <v>20</v>
      </c>
      <c r="S61" s="54">
        <f t="shared" si="17"/>
        <v>56</v>
      </c>
      <c r="T61" s="54">
        <f t="shared" si="17"/>
        <v>27</v>
      </c>
      <c r="U61" s="54">
        <f t="shared" si="17"/>
        <v>21</v>
      </c>
      <c r="V61" s="54">
        <f t="shared" si="17"/>
        <v>22</v>
      </c>
      <c r="W61" s="54">
        <f t="shared" si="17"/>
        <v>24</v>
      </c>
      <c r="X61" s="54">
        <f t="shared" si="17"/>
        <v>43</v>
      </c>
      <c r="Y61" s="54">
        <f t="shared" si="17"/>
        <v>25</v>
      </c>
      <c r="Z61" s="54">
        <f t="shared" si="17"/>
        <v>58</v>
      </c>
      <c r="AA61" s="54">
        <f t="shared" si="17"/>
        <v>42</v>
      </c>
      <c r="AB61" s="6">
        <f t="shared" si="16"/>
        <v>920</v>
      </c>
    </row>
    <row r="62" ht="12.75" customHeight="1">
      <c r="A62" s="55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6"/>
    </row>
    <row r="63" ht="12.75" customHeight="1">
      <c r="A63" s="32" t="s">
        <v>36</v>
      </c>
      <c r="B63" s="49" t="s">
        <v>20</v>
      </c>
      <c r="C63" s="50" t="s">
        <v>53</v>
      </c>
      <c r="D63" s="9"/>
      <c r="E63" s="66">
        <v>2.0</v>
      </c>
      <c r="F63" s="66">
        <v>8.0</v>
      </c>
      <c r="G63" s="66">
        <v>9.0</v>
      </c>
      <c r="H63" s="66">
        <v>10.0</v>
      </c>
      <c r="I63" s="66">
        <v>11.0</v>
      </c>
      <c r="J63" s="66">
        <v>4.0</v>
      </c>
      <c r="K63" s="66">
        <v>16.0</v>
      </c>
      <c r="L63" s="66">
        <v>17.0</v>
      </c>
      <c r="M63" s="66">
        <v>4.0</v>
      </c>
      <c r="N63" s="66">
        <v>4.0</v>
      </c>
      <c r="O63" s="66">
        <v>4.0</v>
      </c>
      <c r="P63" s="66">
        <v>3.0</v>
      </c>
      <c r="Q63" s="66">
        <v>7.0</v>
      </c>
      <c r="R63" s="66">
        <v>2.0</v>
      </c>
      <c r="S63" s="66">
        <v>6.0</v>
      </c>
      <c r="T63" s="66">
        <v>17.0</v>
      </c>
      <c r="U63" s="66">
        <v>17.0</v>
      </c>
      <c r="V63" s="66">
        <v>11.0</v>
      </c>
      <c r="W63" s="66">
        <v>8.0</v>
      </c>
      <c r="X63" s="66">
        <v>10.0</v>
      </c>
      <c r="Y63" s="66">
        <v>13.0</v>
      </c>
      <c r="Z63" s="66">
        <v>8.0</v>
      </c>
      <c r="AA63" s="66">
        <v>5.0</v>
      </c>
      <c r="AB63" s="6">
        <f t="shared" ref="AB63:AB70" si="18">SUM(E63:AA63)</f>
        <v>196</v>
      </c>
    </row>
    <row r="64" ht="12.75" customHeight="1">
      <c r="A64" s="32" t="s">
        <v>38</v>
      </c>
      <c r="B64" s="51"/>
      <c r="C64" s="52" t="s">
        <v>54</v>
      </c>
      <c r="D64" s="53"/>
      <c r="E64" s="66">
        <v>12.0</v>
      </c>
      <c r="F64" s="13"/>
      <c r="G64" s="66">
        <v>2.0</v>
      </c>
      <c r="H64" s="66">
        <v>1.0</v>
      </c>
      <c r="I64" s="66">
        <v>1.0</v>
      </c>
      <c r="J64" s="66">
        <v>2.0</v>
      </c>
      <c r="K64" s="66">
        <v>4.0</v>
      </c>
      <c r="L64" s="66">
        <v>4.0</v>
      </c>
      <c r="M64" s="66">
        <v>3.0</v>
      </c>
      <c r="N64" s="66">
        <v>6.0</v>
      </c>
      <c r="O64" s="66">
        <v>3.0</v>
      </c>
      <c r="P64" s="66">
        <v>0.0</v>
      </c>
      <c r="Q64" s="66">
        <v>1.0</v>
      </c>
      <c r="R64" s="66">
        <v>0.0</v>
      </c>
      <c r="S64" s="66">
        <v>7.0</v>
      </c>
      <c r="T64" s="66">
        <v>19.0</v>
      </c>
      <c r="U64" s="66">
        <v>22.0</v>
      </c>
      <c r="V64" s="66">
        <v>2.0</v>
      </c>
      <c r="W64" s="66">
        <v>2.0</v>
      </c>
      <c r="X64" s="66">
        <v>7.0</v>
      </c>
      <c r="Y64" s="66">
        <v>10.0</v>
      </c>
      <c r="Z64" s="66">
        <v>6.0</v>
      </c>
      <c r="AA64" s="66">
        <v>5.0</v>
      </c>
      <c r="AB64" s="6">
        <f t="shared" si="18"/>
        <v>119</v>
      </c>
    </row>
    <row r="65" ht="12.75" customHeight="1">
      <c r="A65" s="18"/>
      <c r="B65" s="51"/>
      <c r="C65" s="52" t="s">
        <v>55</v>
      </c>
      <c r="D65" s="53"/>
      <c r="E65" s="66">
        <v>1.0</v>
      </c>
      <c r="F65" s="66">
        <v>1.0</v>
      </c>
      <c r="G65" s="66">
        <v>3.0</v>
      </c>
      <c r="H65" s="66">
        <v>0.0</v>
      </c>
      <c r="I65" s="66">
        <v>1.0</v>
      </c>
      <c r="J65" s="66">
        <v>0.0</v>
      </c>
      <c r="K65" s="66">
        <v>1.0</v>
      </c>
      <c r="L65" s="66">
        <v>1.0</v>
      </c>
      <c r="M65" s="66">
        <v>0.0</v>
      </c>
      <c r="N65" s="66">
        <v>0.0</v>
      </c>
      <c r="O65" s="66">
        <v>1.0</v>
      </c>
      <c r="P65" s="66">
        <v>0.0</v>
      </c>
      <c r="Q65" s="13"/>
      <c r="R65" s="66">
        <v>1.0</v>
      </c>
      <c r="S65" s="66">
        <v>1.0</v>
      </c>
      <c r="T65" s="13"/>
      <c r="U65" s="66">
        <v>4.0</v>
      </c>
      <c r="V65" s="66">
        <v>0.0</v>
      </c>
      <c r="W65" s="66">
        <v>1.0</v>
      </c>
      <c r="X65" s="66">
        <v>1.0</v>
      </c>
      <c r="Y65" s="66">
        <v>3.0</v>
      </c>
      <c r="Z65" s="66">
        <v>1.0</v>
      </c>
      <c r="AA65" s="66">
        <v>2.0</v>
      </c>
      <c r="AB65" s="6">
        <f t="shared" si="18"/>
        <v>23</v>
      </c>
    </row>
    <row r="66" ht="12.75" customHeight="1">
      <c r="A66" s="18"/>
      <c r="B66" s="51"/>
      <c r="C66" s="52" t="s">
        <v>56</v>
      </c>
      <c r="D66" s="53"/>
      <c r="E66" s="66">
        <v>2.0</v>
      </c>
      <c r="F66" s="66">
        <v>1.0</v>
      </c>
      <c r="G66" s="66">
        <v>0.0</v>
      </c>
      <c r="H66" s="66">
        <v>0.0</v>
      </c>
      <c r="I66" s="66">
        <v>1.0</v>
      </c>
      <c r="J66" s="66">
        <v>1.0</v>
      </c>
      <c r="K66" s="66">
        <v>2.0</v>
      </c>
      <c r="L66" s="66">
        <v>1.0</v>
      </c>
      <c r="M66" s="66">
        <v>2.0</v>
      </c>
      <c r="N66" s="66">
        <v>1.0</v>
      </c>
      <c r="O66" s="66">
        <v>0.0</v>
      </c>
      <c r="P66" s="66">
        <v>0.0</v>
      </c>
      <c r="Q66" s="13"/>
      <c r="R66" s="66">
        <v>1.0</v>
      </c>
      <c r="S66" s="66">
        <v>0.0</v>
      </c>
      <c r="T66" s="13"/>
      <c r="U66" s="66">
        <v>2.0</v>
      </c>
      <c r="V66" s="66">
        <v>4.0</v>
      </c>
      <c r="W66" s="66">
        <v>7.0</v>
      </c>
      <c r="X66" s="66">
        <v>5.0</v>
      </c>
      <c r="Y66" s="66">
        <v>4.0</v>
      </c>
      <c r="Z66" s="66">
        <v>3.0</v>
      </c>
      <c r="AA66" s="66">
        <v>1.0</v>
      </c>
      <c r="AB66" s="6">
        <f t="shared" si="18"/>
        <v>38</v>
      </c>
    </row>
    <row r="67" ht="12.75" customHeight="1">
      <c r="A67" s="18"/>
      <c r="B67" s="51"/>
      <c r="C67" s="52" t="s">
        <v>57</v>
      </c>
      <c r="D67" s="53"/>
      <c r="E67" s="66">
        <v>1.0</v>
      </c>
      <c r="F67" s="66">
        <v>16.0</v>
      </c>
      <c r="G67" s="66">
        <v>73.0</v>
      </c>
      <c r="H67" s="66">
        <v>37.0</v>
      </c>
      <c r="I67" s="66">
        <v>33.0</v>
      </c>
      <c r="J67" s="66">
        <v>5.0</v>
      </c>
      <c r="K67" s="66">
        <v>29.0</v>
      </c>
      <c r="L67" s="66">
        <v>6.0</v>
      </c>
      <c r="M67" s="66">
        <v>5.0</v>
      </c>
      <c r="N67" s="66">
        <v>1.0</v>
      </c>
      <c r="O67" s="66">
        <v>5.0</v>
      </c>
      <c r="P67" s="66">
        <v>0.0</v>
      </c>
      <c r="Q67" s="66">
        <v>9.0</v>
      </c>
      <c r="R67" s="66">
        <v>6.0</v>
      </c>
      <c r="S67" s="66">
        <v>3.0</v>
      </c>
      <c r="T67" s="66">
        <v>14.0</v>
      </c>
      <c r="U67" s="66">
        <v>12.0</v>
      </c>
      <c r="V67" s="66">
        <v>8.0</v>
      </c>
      <c r="W67" s="66">
        <v>33.0</v>
      </c>
      <c r="X67" s="66">
        <v>33.0</v>
      </c>
      <c r="Y67" s="66">
        <v>27.0</v>
      </c>
      <c r="Z67" s="66">
        <v>18.0</v>
      </c>
      <c r="AA67" s="66">
        <v>23.0</v>
      </c>
      <c r="AB67" s="6">
        <f t="shared" si="18"/>
        <v>397</v>
      </c>
    </row>
    <row r="68" ht="12.75" customHeight="1">
      <c r="A68" s="18"/>
      <c r="B68" s="51"/>
      <c r="C68" s="52" t="s">
        <v>58</v>
      </c>
      <c r="D68" s="53"/>
      <c r="E68" s="66">
        <v>7.0</v>
      </c>
      <c r="F68" s="66">
        <v>3.0</v>
      </c>
      <c r="G68" s="66">
        <v>1.0</v>
      </c>
      <c r="H68" s="66">
        <v>2.0</v>
      </c>
      <c r="I68" s="66">
        <v>0.0</v>
      </c>
      <c r="J68" s="66">
        <v>2.0</v>
      </c>
      <c r="K68" s="66">
        <v>1.0</v>
      </c>
      <c r="L68" s="66">
        <v>5.0</v>
      </c>
      <c r="M68" s="66">
        <v>5.0</v>
      </c>
      <c r="N68" s="66">
        <v>10.0</v>
      </c>
      <c r="O68" s="66">
        <v>5.0</v>
      </c>
      <c r="P68" s="66">
        <v>1.0</v>
      </c>
      <c r="Q68" s="66">
        <v>3.0</v>
      </c>
      <c r="R68" s="13"/>
      <c r="S68" s="66">
        <v>12.0</v>
      </c>
      <c r="T68" s="66">
        <v>2.0</v>
      </c>
      <c r="U68" s="66">
        <v>2.0</v>
      </c>
      <c r="V68" s="66">
        <v>15.0</v>
      </c>
      <c r="W68" s="66">
        <v>6.0</v>
      </c>
      <c r="X68" s="66">
        <v>5.0</v>
      </c>
      <c r="Y68" s="66">
        <v>5.0</v>
      </c>
      <c r="Z68" s="66">
        <v>6.0</v>
      </c>
      <c r="AA68" s="66">
        <v>1.0</v>
      </c>
      <c r="AB68" s="6">
        <f t="shared" si="18"/>
        <v>99</v>
      </c>
    </row>
    <row r="69" ht="12.75" customHeight="1">
      <c r="A69" s="18"/>
      <c r="B69" s="51"/>
      <c r="C69" s="52" t="s">
        <v>59</v>
      </c>
      <c r="D69" s="53"/>
      <c r="E69" s="66">
        <v>16.0</v>
      </c>
      <c r="F69" s="66">
        <v>6.0</v>
      </c>
      <c r="G69" s="66">
        <v>2.0</v>
      </c>
      <c r="H69" s="66">
        <v>3.0</v>
      </c>
      <c r="I69" s="66">
        <v>1.0</v>
      </c>
      <c r="J69" s="66">
        <v>6.0</v>
      </c>
      <c r="K69" s="66">
        <v>31.0</v>
      </c>
      <c r="L69" s="66">
        <v>1.0</v>
      </c>
      <c r="M69" s="66">
        <v>15.0</v>
      </c>
      <c r="N69" s="66">
        <v>84.0</v>
      </c>
      <c r="O69" s="66">
        <v>0.0</v>
      </c>
      <c r="P69" s="66">
        <v>0.0</v>
      </c>
      <c r="Q69" s="66">
        <v>1.0</v>
      </c>
      <c r="R69" s="13"/>
      <c r="S69" s="66">
        <v>1.0</v>
      </c>
      <c r="T69" s="66">
        <v>0.0</v>
      </c>
      <c r="U69" s="13"/>
      <c r="V69" s="66">
        <v>1.0</v>
      </c>
      <c r="W69" s="66">
        <v>0.0</v>
      </c>
      <c r="X69" s="66">
        <v>0.0</v>
      </c>
      <c r="Y69" s="66">
        <v>0.0</v>
      </c>
      <c r="Z69" s="66">
        <v>1.0</v>
      </c>
      <c r="AA69" s="66">
        <v>0.0</v>
      </c>
      <c r="AB69" s="6">
        <f t="shared" si="18"/>
        <v>169</v>
      </c>
    </row>
    <row r="70" ht="12.75" customHeight="1">
      <c r="A70" s="13" t="s">
        <v>14</v>
      </c>
      <c r="B70" s="49" t="s">
        <v>45</v>
      </c>
      <c r="C70" s="8"/>
      <c r="D70" s="9"/>
      <c r="E70" s="54">
        <f t="shared" ref="E70:AA70" si="19">SUM(E63:E69)</f>
        <v>41</v>
      </c>
      <c r="F70" s="54">
        <f t="shared" si="19"/>
        <v>35</v>
      </c>
      <c r="G70" s="54">
        <f t="shared" si="19"/>
        <v>90</v>
      </c>
      <c r="H70" s="54">
        <f t="shared" si="19"/>
        <v>53</v>
      </c>
      <c r="I70" s="54">
        <f t="shared" si="19"/>
        <v>48</v>
      </c>
      <c r="J70" s="54">
        <f t="shared" si="19"/>
        <v>20</v>
      </c>
      <c r="K70" s="54">
        <f t="shared" si="19"/>
        <v>84</v>
      </c>
      <c r="L70" s="54">
        <f t="shared" si="19"/>
        <v>35</v>
      </c>
      <c r="M70" s="54">
        <f t="shared" si="19"/>
        <v>34</v>
      </c>
      <c r="N70" s="54">
        <f t="shared" si="19"/>
        <v>106</v>
      </c>
      <c r="O70" s="54">
        <f t="shared" si="19"/>
        <v>18</v>
      </c>
      <c r="P70" s="54">
        <f t="shared" si="19"/>
        <v>4</v>
      </c>
      <c r="Q70" s="54">
        <f t="shared" si="19"/>
        <v>21</v>
      </c>
      <c r="R70" s="54">
        <f t="shared" si="19"/>
        <v>10</v>
      </c>
      <c r="S70" s="54">
        <f t="shared" si="19"/>
        <v>30</v>
      </c>
      <c r="T70" s="54">
        <f t="shared" si="19"/>
        <v>52</v>
      </c>
      <c r="U70" s="54">
        <f t="shared" si="19"/>
        <v>59</v>
      </c>
      <c r="V70" s="54">
        <f t="shared" si="19"/>
        <v>41</v>
      </c>
      <c r="W70" s="54">
        <f t="shared" si="19"/>
        <v>57</v>
      </c>
      <c r="X70" s="54">
        <f t="shared" si="19"/>
        <v>61</v>
      </c>
      <c r="Y70" s="54">
        <f t="shared" si="19"/>
        <v>62</v>
      </c>
      <c r="Z70" s="54">
        <f t="shared" si="19"/>
        <v>43</v>
      </c>
      <c r="AA70" s="54">
        <f t="shared" si="19"/>
        <v>37</v>
      </c>
      <c r="AB70" s="6">
        <f t="shared" si="18"/>
        <v>1041</v>
      </c>
    </row>
    <row r="71" ht="12.75" customHeight="1">
      <c r="A71" s="55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6"/>
    </row>
    <row r="72" ht="12.75" customHeight="1">
      <c r="A72" s="32" t="s">
        <v>36</v>
      </c>
      <c r="B72" s="49" t="s">
        <v>22</v>
      </c>
      <c r="C72" s="50" t="s">
        <v>60</v>
      </c>
      <c r="D72" s="9"/>
      <c r="E72" s="66">
        <v>2.0</v>
      </c>
      <c r="F72" s="66">
        <v>1.0</v>
      </c>
      <c r="G72" s="66">
        <v>3.0</v>
      </c>
      <c r="H72" s="66">
        <v>0.0</v>
      </c>
      <c r="I72" s="66">
        <v>3.0</v>
      </c>
      <c r="J72" s="66">
        <v>3.0</v>
      </c>
      <c r="K72" s="66">
        <v>3.0</v>
      </c>
      <c r="L72" s="66">
        <v>1.0</v>
      </c>
      <c r="M72" s="66">
        <v>1.0</v>
      </c>
      <c r="N72" s="66">
        <v>0.0</v>
      </c>
      <c r="O72" s="66">
        <v>2.0</v>
      </c>
      <c r="P72" s="66">
        <v>1.0</v>
      </c>
      <c r="Q72" s="66">
        <v>4.0</v>
      </c>
      <c r="R72" s="66">
        <v>3.0</v>
      </c>
      <c r="S72" s="66">
        <v>0.0</v>
      </c>
      <c r="T72" s="66">
        <v>9.0</v>
      </c>
      <c r="U72" s="66">
        <v>4.0</v>
      </c>
      <c r="V72" s="66">
        <v>7.0</v>
      </c>
      <c r="W72" s="66">
        <v>2.0</v>
      </c>
      <c r="X72" s="66">
        <v>4.0</v>
      </c>
      <c r="Y72" s="66">
        <v>9.0</v>
      </c>
      <c r="Z72" s="66">
        <v>11.0</v>
      </c>
      <c r="AA72" s="66">
        <v>10.0</v>
      </c>
      <c r="AB72" s="6">
        <f t="shared" ref="AB72:AB79" si="20">SUM(E72:AA72)</f>
        <v>83</v>
      </c>
    </row>
    <row r="73" ht="12.75" customHeight="1">
      <c r="A73" s="32" t="s">
        <v>38</v>
      </c>
      <c r="B73" s="51"/>
      <c r="C73" s="52" t="s">
        <v>61</v>
      </c>
      <c r="D73" s="53"/>
      <c r="E73" s="66">
        <v>2.0</v>
      </c>
      <c r="F73" s="66">
        <v>20.0</v>
      </c>
      <c r="G73" s="66">
        <v>15.0</v>
      </c>
      <c r="H73" s="66">
        <v>3.0</v>
      </c>
      <c r="I73" s="66">
        <v>6.0</v>
      </c>
      <c r="J73" s="66">
        <v>1.0</v>
      </c>
      <c r="K73" s="66">
        <v>1.0</v>
      </c>
      <c r="L73" s="66">
        <v>3.0</v>
      </c>
      <c r="M73" s="66">
        <v>1.0</v>
      </c>
      <c r="N73" s="66">
        <v>9.0</v>
      </c>
      <c r="O73" s="66">
        <v>1.0</v>
      </c>
      <c r="P73" s="66">
        <v>3.0</v>
      </c>
      <c r="Q73" s="66">
        <v>1.0</v>
      </c>
      <c r="R73" s="66">
        <v>34.0</v>
      </c>
      <c r="S73" s="66">
        <v>9.0</v>
      </c>
      <c r="T73" s="66">
        <v>13.0</v>
      </c>
      <c r="U73" s="66">
        <v>4.0</v>
      </c>
      <c r="V73" s="66">
        <v>40.0</v>
      </c>
      <c r="W73" s="66">
        <v>20.0</v>
      </c>
      <c r="X73" s="66">
        <v>29.0</v>
      </c>
      <c r="Y73" s="66">
        <v>7.0</v>
      </c>
      <c r="Z73" s="66">
        <v>27.0</v>
      </c>
      <c r="AA73" s="66">
        <v>48.0</v>
      </c>
      <c r="AB73" s="6">
        <f t="shared" si="20"/>
        <v>297</v>
      </c>
    </row>
    <row r="74" ht="12.75" customHeight="1">
      <c r="A74" s="18"/>
      <c r="B74" s="51"/>
      <c r="C74" s="52" t="s">
        <v>62</v>
      </c>
      <c r="D74" s="53"/>
      <c r="E74" s="13"/>
      <c r="F74" s="13"/>
      <c r="G74" s="66">
        <v>1.0</v>
      </c>
      <c r="H74" s="66">
        <v>1.0</v>
      </c>
      <c r="I74" s="66">
        <v>0.0</v>
      </c>
      <c r="J74" s="66">
        <v>0.0</v>
      </c>
      <c r="K74" s="13"/>
      <c r="L74" s="13"/>
      <c r="M74" s="66">
        <v>0.0</v>
      </c>
      <c r="N74" s="66">
        <v>0.0</v>
      </c>
      <c r="O74" s="66">
        <v>0.0</v>
      </c>
      <c r="P74" s="66">
        <v>0.0</v>
      </c>
      <c r="Q74" s="13"/>
      <c r="R74" s="66">
        <v>0.0</v>
      </c>
      <c r="S74" s="66">
        <v>1.0</v>
      </c>
      <c r="T74" s="66">
        <v>2.0</v>
      </c>
      <c r="U74" s="13"/>
      <c r="V74" s="66">
        <v>2.0</v>
      </c>
      <c r="W74" s="66">
        <v>1.0</v>
      </c>
      <c r="X74" s="66">
        <v>0.0</v>
      </c>
      <c r="Y74" s="66">
        <v>1.0</v>
      </c>
      <c r="Z74" s="66">
        <v>3.0</v>
      </c>
      <c r="AA74" s="66">
        <v>1.0</v>
      </c>
      <c r="AB74" s="6">
        <f t="shared" si="20"/>
        <v>13</v>
      </c>
    </row>
    <row r="75" ht="12.75" customHeight="1">
      <c r="A75" s="18"/>
      <c r="B75" s="51"/>
      <c r="C75" s="52" t="s">
        <v>63</v>
      </c>
      <c r="D75" s="53"/>
      <c r="E75" s="13"/>
      <c r="F75" s="13"/>
      <c r="G75" s="66">
        <v>1.0</v>
      </c>
      <c r="H75" s="66">
        <v>1.0</v>
      </c>
      <c r="I75" s="66">
        <v>2.0</v>
      </c>
      <c r="J75" s="66">
        <v>1.0</v>
      </c>
      <c r="K75" s="13"/>
      <c r="L75" s="66">
        <v>2.0</v>
      </c>
      <c r="M75" s="66">
        <v>1.0</v>
      </c>
      <c r="N75" s="66">
        <v>0.0</v>
      </c>
      <c r="O75" s="66">
        <v>0.0</v>
      </c>
      <c r="P75" s="66">
        <v>0.0</v>
      </c>
      <c r="Q75" s="13"/>
      <c r="R75" s="13"/>
      <c r="S75" s="13"/>
      <c r="T75" s="13"/>
      <c r="U75" s="66">
        <v>1.0</v>
      </c>
      <c r="V75" s="66">
        <v>9.0</v>
      </c>
      <c r="W75" s="66">
        <v>3.0</v>
      </c>
      <c r="X75" s="66">
        <v>1.0</v>
      </c>
      <c r="Y75" s="66">
        <v>8.0</v>
      </c>
      <c r="Z75" s="66">
        <v>0.0</v>
      </c>
      <c r="AA75" s="66">
        <v>0.0</v>
      </c>
      <c r="AB75" s="6">
        <f t="shared" si="20"/>
        <v>30</v>
      </c>
    </row>
    <row r="76" ht="12.75" customHeight="1">
      <c r="A76" s="18"/>
      <c r="B76" s="51"/>
      <c r="C76" s="52" t="s">
        <v>64</v>
      </c>
      <c r="D76" s="53"/>
      <c r="E76" s="13"/>
      <c r="F76" s="13"/>
      <c r="G76" s="13"/>
      <c r="H76" s="66">
        <v>0.0</v>
      </c>
      <c r="I76" s="66">
        <v>0.0</v>
      </c>
      <c r="J76" s="66">
        <v>0.0</v>
      </c>
      <c r="K76" s="13"/>
      <c r="L76" s="13"/>
      <c r="M76" s="66">
        <v>0.0</v>
      </c>
      <c r="N76" s="66">
        <v>0.0</v>
      </c>
      <c r="O76" s="66">
        <v>0.0</v>
      </c>
      <c r="P76" s="66">
        <v>0.0</v>
      </c>
      <c r="Q76" s="13"/>
      <c r="R76" s="13"/>
      <c r="S76" s="13"/>
      <c r="T76" s="13"/>
      <c r="U76" s="13"/>
      <c r="V76" s="66">
        <v>0.0</v>
      </c>
      <c r="W76" s="66">
        <v>0.0</v>
      </c>
      <c r="X76" s="66">
        <v>5.0</v>
      </c>
      <c r="Y76" s="66">
        <v>2.0</v>
      </c>
      <c r="Z76" s="66">
        <v>1.0</v>
      </c>
      <c r="AA76" s="66">
        <v>0.0</v>
      </c>
      <c r="AB76" s="6">
        <f t="shared" si="20"/>
        <v>8</v>
      </c>
    </row>
    <row r="77" ht="12.75" customHeight="1">
      <c r="A77" s="18"/>
      <c r="B77" s="51"/>
      <c r="C77" s="52" t="s">
        <v>65</v>
      </c>
      <c r="D77" s="53"/>
      <c r="E77" s="13"/>
      <c r="F77" s="13"/>
      <c r="G77" s="13"/>
      <c r="H77" s="66">
        <v>0.0</v>
      </c>
      <c r="I77" s="66">
        <v>1.0</v>
      </c>
      <c r="J77" s="66">
        <v>2.0</v>
      </c>
      <c r="K77" s="13"/>
      <c r="L77" s="13"/>
      <c r="M77" s="66">
        <v>0.0</v>
      </c>
      <c r="N77" s="66">
        <v>0.0</v>
      </c>
      <c r="O77" s="66">
        <v>0.0</v>
      </c>
      <c r="P77" s="66">
        <v>8.0</v>
      </c>
      <c r="Q77" s="13"/>
      <c r="R77" s="13"/>
      <c r="S77" s="13"/>
      <c r="T77" s="66">
        <v>3.0</v>
      </c>
      <c r="U77" s="13"/>
      <c r="V77" s="66">
        <v>0.0</v>
      </c>
      <c r="W77" s="66">
        <v>0.0</v>
      </c>
      <c r="X77" s="66">
        <v>0.0</v>
      </c>
      <c r="Y77" s="66">
        <v>0.0</v>
      </c>
      <c r="Z77" s="66">
        <v>0.0</v>
      </c>
      <c r="AA77" s="66">
        <v>0.0</v>
      </c>
      <c r="AB77" s="6">
        <f t="shared" si="20"/>
        <v>14</v>
      </c>
    </row>
    <row r="78" ht="12.75" customHeight="1">
      <c r="A78" s="18"/>
      <c r="B78" s="51"/>
      <c r="C78" s="52" t="s">
        <v>66</v>
      </c>
      <c r="D78" s="53"/>
      <c r="E78" s="13"/>
      <c r="F78" s="13"/>
      <c r="G78" s="13"/>
      <c r="H78" s="66">
        <v>0.0</v>
      </c>
      <c r="I78" s="66">
        <v>0.0</v>
      </c>
      <c r="J78" s="66">
        <v>0.0</v>
      </c>
      <c r="K78" s="13"/>
      <c r="L78" s="13"/>
      <c r="M78" s="66">
        <v>0.0</v>
      </c>
      <c r="N78" s="66">
        <v>0.0</v>
      </c>
      <c r="O78" s="66">
        <v>0.0</v>
      </c>
      <c r="P78" s="66">
        <v>0.0</v>
      </c>
      <c r="Q78" s="13"/>
      <c r="R78" s="13"/>
      <c r="S78" s="13"/>
      <c r="T78" s="13"/>
      <c r="U78" s="13"/>
      <c r="V78" s="66">
        <v>0.0</v>
      </c>
      <c r="W78" s="66">
        <v>0.0</v>
      </c>
      <c r="X78" s="66">
        <v>0.0</v>
      </c>
      <c r="Y78" s="66">
        <v>0.0</v>
      </c>
      <c r="Z78" s="66">
        <v>0.0</v>
      </c>
      <c r="AA78" s="66">
        <v>1.0</v>
      </c>
      <c r="AB78" s="6">
        <f t="shared" si="20"/>
        <v>1</v>
      </c>
    </row>
    <row r="79" ht="12.75" customHeight="1">
      <c r="A79" s="13" t="s">
        <v>14</v>
      </c>
      <c r="B79" s="49" t="s">
        <v>45</v>
      </c>
      <c r="C79" s="8"/>
      <c r="D79" s="9"/>
      <c r="E79" s="54">
        <f t="shared" ref="E79:AA79" si="21">SUM(E72:E78)</f>
        <v>4</v>
      </c>
      <c r="F79" s="54">
        <f t="shared" si="21"/>
        <v>21</v>
      </c>
      <c r="G79" s="54">
        <f t="shared" si="21"/>
        <v>20</v>
      </c>
      <c r="H79" s="54">
        <f t="shared" si="21"/>
        <v>5</v>
      </c>
      <c r="I79" s="54">
        <f t="shared" si="21"/>
        <v>12</v>
      </c>
      <c r="J79" s="54">
        <f t="shared" si="21"/>
        <v>7</v>
      </c>
      <c r="K79" s="54">
        <f t="shared" si="21"/>
        <v>4</v>
      </c>
      <c r="L79" s="54">
        <f t="shared" si="21"/>
        <v>6</v>
      </c>
      <c r="M79" s="54">
        <f t="shared" si="21"/>
        <v>3</v>
      </c>
      <c r="N79" s="54">
        <f t="shared" si="21"/>
        <v>9</v>
      </c>
      <c r="O79" s="54">
        <f t="shared" si="21"/>
        <v>3</v>
      </c>
      <c r="P79" s="54">
        <f t="shared" si="21"/>
        <v>12</v>
      </c>
      <c r="Q79" s="54">
        <f t="shared" si="21"/>
        <v>5</v>
      </c>
      <c r="R79" s="54">
        <f t="shared" si="21"/>
        <v>37</v>
      </c>
      <c r="S79" s="54">
        <f t="shared" si="21"/>
        <v>10</v>
      </c>
      <c r="T79" s="54">
        <f t="shared" si="21"/>
        <v>27</v>
      </c>
      <c r="U79" s="54">
        <f t="shared" si="21"/>
        <v>9</v>
      </c>
      <c r="V79" s="54">
        <f t="shared" si="21"/>
        <v>58</v>
      </c>
      <c r="W79" s="54">
        <f t="shared" si="21"/>
        <v>26</v>
      </c>
      <c r="X79" s="54">
        <f t="shared" si="21"/>
        <v>39</v>
      </c>
      <c r="Y79" s="54">
        <f t="shared" si="21"/>
        <v>27</v>
      </c>
      <c r="Z79" s="54">
        <f t="shared" si="21"/>
        <v>42</v>
      </c>
      <c r="AA79" s="54">
        <f t="shared" si="21"/>
        <v>60</v>
      </c>
      <c r="AB79" s="6">
        <f t="shared" si="20"/>
        <v>446</v>
      </c>
    </row>
    <row r="80" ht="12.75" customHeight="1">
      <c r="A80" s="55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6"/>
    </row>
    <row r="81" ht="12.75" customHeight="1">
      <c r="A81" s="32" t="s">
        <v>36</v>
      </c>
      <c r="B81" s="49" t="s">
        <v>67</v>
      </c>
      <c r="C81" s="50" t="s">
        <v>68</v>
      </c>
      <c r="D81" s="9"/>
      <c r="E81" s="13"/>
      <c r="F81" s="13"/>
      <c r="G81" s="66">
        <v>1.0</v>
      </c>
      <c r="H81" s="66">
        <v>1.0</v>
      </c>
      <c r="I81" s="66">
        <v>3.0</v>
      </c>
      <c r="J81" s="66">
        <v>5.0</v>
      </c>
      <c r="K81" s="66">
        <v>4.0</v>
      </c>
      <c r="L81" s="13"/>
      <c r="M81" s="66">
        <v>3.0</v>
      </c>
      <c r="N81" s="66">
        <v>4.0</v>
      </c>
      <c r="O81" s="66">
        <v>4.0</v>
      </c>
      <c r="P81" s="66">
        <v>0.0</v>
      </c>
      <c r="Q81" s="66">
        <v>1.0</v>
      </c>
      <c r="R81" s="66">
        <v>2.0</v>
      </c>
      <c r="S81" s="66">
        <v>0.0</v>
      </c>
      <c r="T81" s="66">
        <v>1.0</v>
      </c>
      <c r="U81" s="66">
        <v>2.0</v>
      </c>
      <c r="V81" s="66">
        <v>0.0</v>
      </c>
      <c r="W81" s="66">
        <v>3.0</v>
      </c>
      <c r="X81" s="66">
        <v>0.0</v>
      </c>
      <c r="Y81" s="66">
        <v>5.0</v>
      </c>
      <c r="Z81" s="66">
        <v>1.0</v>
      </c>
      <c r="AA81" s="66">
        <v>0.0</v>
      </c>
      <c r="AB81" s="6">
        <f t="shared" ref="AB81:AB88" si="22">SUM(E81:AA81)</f>
        <v>40</v>
      </c>
    </row>
    <row r="82" ht="12.75" customHeight="1">
      <c r="A82" s="32" t="s">
        <v>38</v>
      </c>
      <c r="B82" s="51"/>
      <c r="C82" s="52" t="s">
        <v>69</v>
      </c>
      <c r="D82" s="53"/>
      <c r="E82" s="66">
        <v>1.0</v>
      </c>
      <c r="F82" s="66">
        <v>1.0</v>
      </c>
      <c r="G82" s="66">
        <v>1.0</v>
      </c>
      <c r="H82" s="66">
        <v>4.0</v>
      </c>
      <c r="I82" s="66">
        <v>3.0</v>
      </c>
      <c r="J82" s="66">
        <v>7.0</v>
      </c>
      <c r="K82" s="66">
        <v>2.0</v>
      </c>
      <c r="L82" s="13"/>
      <c r="M82" s="66">
        <v>13.0</v>
      </c>
      <c r="N82" s="66">
        <v>1.0</v>
      </c>
      <c r="O82" s="66">
        <v>5.0</v>
      </c>
      <c r="P82" s="66">
        <v>0.0</v>
      </c>
      <c r="Q82" s="66">
        <v>1.0</v>
      </c>
      <c r="R82" s="66">
        <v>1.0</v>
      </c>
      <c r="S82" s="13"/>
      <c r="T82" s="66">
        <v>0.0</v>
      </c>
      <c r="U82" s="13"/>
      <c r="V82" s="66">
        <v>3.0</v>
      </c>
      <c r="W82" s="66">
        <v>1.0</v>
      </c>
      <c r="X82" s="66">
        <v>4.0</v>
      </c>
      <c r="Y82" s="66">
        <v>22.0</v>
      </c>
      <c r="Z82" s="66">
        <v>12.0</v>
      </c>
      <c r="AA82" s="66">
        <v>1.0</v>
      </c>
      <c r="AB82" s="6">
        <f t="shared" si="22"/>
        <v>83</v>
      </c>
    </row>
    <row r="83" ht="12.75" customHeight="1">
      <c r="A83" s="18"/>
      <c r="B83" s="51"/>
      <c r="C83" s="52" t="s">
        <v>70</v>
      </c>
      <c r="D83" s="53"/>
      <c r="E83" s="66">
        <v>1.0</v>
      </c>
      <c r="F83" s="13"/>
      <c r="G83" s="66">
        <v>4.0</v>
      </c>
      <c r="H83" s="66">
        <v>2.0</v>
      </c>
      <c r="I83" s="66">
        <v>6.0</v>
      </c>
      <c r="J83" s="66">
        <v>6.0</v>
      </c>
      <c r="K83" s="66">
        <v>0.0</v>
      </c>
      <c r="L83" s="66">
        <v>13.0</v>
      </c>
      <c r="M83" s="66">
        <v>17.0</v>
      </c>
      <c r="N83" s="66">
        <v>3.0</v>
      </c>
      <c r="O83" s="66">
        <v>2.0</v>
      </c>
      <c r="P83" s="66">
        <v>1.0</v>
      </c>
      <c r="Q83" s="66">
        <v>4.0</v>
      </c>
      <c r="R83" s="66">
        <v>59.0</v>
      </c>
      <c r="S83" s="66">
        <v>1.0</v>
      </c>
      <c r="T83" s="66">
        <v>1.0</v>
      </c>
      <c r="U83" s="66">
        <v>15.0</v>
      </c>
      <c r="V83" s="66">
        <v>8.0</v>
      </c>
      <c r="W83" s="66">
        <v>27.0</v>
      </c>
      <c r="X83" s="66">
        <v>10.0</v>
      </c>
      <c r="Y83" s="66">
        <v>26.0</v>
      </c>
      <c r="Z83" s="66">
        <v>3.0</v>
      </c>
      <c r="AA83" s="66">
        <v>0.0</v>
      </c>
      <c r="AB83" s="6">
        <f t="shared" si="22"/>
        <v>209</v>
      </c>
    </row>
    <row r="84" ht="12.75" customHeight="1">
      <c r="A84" s="18"/>
      <c r="B84" s="51"/>
      <c r="C84" s="52" t="s">
        <v>71</v>
      </c>
      <c r="D84" s="53"/>
      <c r="E84" s="13"/>
      <c r="F84" s="13"/>
      <c r="G84" s="66">
        <v>0.0</v>
      </c>
      <c r="H84" s="66">
        <v>0.0</v>
      </c>
      <c r="I84" s="66">
        <v>0.0</v>
      </c>
      <c r="J84" s="66">
        <v>0.0</v>
      </c>
      <c r="K84" s="13"/>
      <c r="L84" s="66">
        <v>2.0</v>
      </c>
      <c r="M84" s="66">
        <v>0.0</v>
      </c>
      <c r="N84" s="66">
        <v>1.0</v>
      </c>
      <c r="O84" s="66">
        <v>2.0</v>
      </c>
      <c r="P84" s="66">
        <v>0.0</v>
      </c>
      <c r="Q84" s="13"/>
      <c r="R84" s="66">
        <v>1.0</v>
      </c>
      <c r="S84" s="13"/>
      <c r="T84" s="66">
        <v>0.0</v>
      </c>
      <c r="U84" s="13"/>
      <c r="V84" s="66">
        <v>0.0</v>
      </c>
      <c r="W84" s="66">
        <v>0.0</v>
      </c>
      <c r="X84" s="66">
        <v>0.0</v>
      </c>
      <c r="Y84" s="66">
        <v>0.0</v>
      </c>
      <c r="Z84" s="66">
        <v>0.0</v>
      </c>
      <c r="AA84" s="66">
        <v>0.0</v>
      </c>
      <c r="AB84" s="6">
        <f t="shared" si="22"/>
        <v>6</v>
      </c>
    </row>
    <row r="85" ht="12.75" customHeight="1">
      <c r="A85" s="18"/>
      <c r="B85" s="51"/>
      <c r="C85" s="52" t="s">
        <v>72</v>
      </c>
      <c r="D85" s="53"/>
      <c r="E85" s="13"/>
      <c r="F85" s="13"/>
      <c r="G85" s="13"/>
      <c r="H85" s="66">
        <v>0.0</v>
      </c>
      <c r="I85" s="66">
        <v>0.0</v>
      </c>
      <c r="J85" s="66">
        <v>0.0</v>
      </c>
      <c r="K85" s="13"/>
      <c r="L85" s="66">
        <v>3.0</v>
      </c>
      <c r="M85" s="66">
        <v>0.0</v>
      </c>
      <c r="N85" s="66">
        <v>13.0</v>
      </c>
      <c r="O85" s="66">
        <v>44.0</v>
      </c>
      <c r="P85" s="66">
        <v>1.0</v>
      </c>
      <c r="Q85" s="13"/>
      <c r="R85" s="13"/>
      <c r="S85" s="13"/>
      <c r="T85" s="66">
        <v>1.0</v>
      </c>
      <c r="U85" s="13"/>
      <c r="V85" s="66">
        <v>0.0</v>
      </c>
      <c r="W85" s="66">
        <v>2.0</v>
      </c>
      <c r="X85" s="66">
        <v>0.0</v>
      </c>
      <c r="Y85" s="66">
        <v>0.0</v>
      </c>
      <c r="Z85" s="66">
        <v>0.0</v>
      </c>
      <c r="AA85" s="66">
        <v>0.0</v>
      </c>
      <c r="AB85" s="6">
        <f t="shared" si="22"/>
        <v>64</v>
      </c>
    </row>
    <row r="86" ht="12.75" customHeight="1">
      <c r="A86" s="18"/>
      <c r="B86" s="51"/>
      <c r="C86" s="52" t="s">
        <v>73</v>
      </c>
      <c r="D86" s="53"/>
      <c r="E86" s="13"/>
      <c r="F86" s="13"/>
      <c r="G86" s="13"/>
      <c r="H86" s="66">
        <v>0.0</v>
      </c>
      <c r="I86" s="66">
        <v>0.0</v>
      </c>
      <c r="J86" s="66">
        <v>0.0</v>
      </c>
      <c r="K86" s="13"/>
      <c r="L86" s="13"/>
      <c r="M86" s="66">
        <v>0.0</v>
      </c>
      <c r="N86" s="66">
        <v>0.0</v>
      </c>
      <c r="O86" s="66">
        <v>2.0</v>
      </c>
      <c r="P86" s="66">
        <v>1.0</v>
      </c>
      <c r="Q86" s="13"/>
      <c r="R86" s="13"/>
      <c r="S86" s="13"/>
      <c r="T86" s="66">
        <v>0.0</v>
      </c>
      <c r="U86" s="13"/>
      <c r="V86" s="66">
        <v>0.0</v>
      </c>
      <c r="W86" s="66">
        <v>0.0</v>
      </c>
      <c r="X86" s="66">
        <v>0.0</v>
      </c>
      <c r="Y86" s="66">
        <v>0.0</v>
      </c>
      <c r="Z86" s="66">
        <v>0.0</v>
      </c>
      <c r="AA86" s="66">
        <v>0.0</v>
      </c>
      <c r="AB86" s="6">
        <f t="shared" si="22"/>
        <v>3</v>
      </c>
    </row>
    <row r="87" ht="12.75" customHeight="1">
      <c r="A87" s="18"/>
      <c r="B87" s="51"/>
      <c r="C87" s="52" t="s">
        <v>74</v>
      </c>
      <c r="D87" s="53"/>
      <c r="E87" s="66">
        <v>2.0</v>
      </c>
      <c r="F87" s="13"/>
      <c r="G87" s="13"/>
      <c r="H87" s="66">
        <v>1.0</v>
      </c>
      <c r="I87" s="66">
        <v>0.0</v>
      </c>
      <c r="J87" s="66">
        <v>19.0</v>
      </c>
      <c r="K87" s="66">
        <v>33.0</v>
      </c>
      <c r="L87" s="66">
        <v>7.0</v>
      </c>
      <c r="M87" s="66">
        <v>0.0</v>
      </c>
      <c r="N87" s="66">
        <v>1.0</v>
      </c>
      <c r="O87" s="66">
        <v>0.0</v>
      </c>
      <c r="P87" s="66">
        <v>1.0</v>
      </c>
      <c r="Q87" s="66">
        <v>3.0</v>
      </c>
      <c r="R87" s="13"/>
      <c r="S87" s="13"/>
      <c r="T87" s="66">
        <v>0.0</v>
      </c>
      <c r="U87" s="13"/>
      <c r="V87" s="66">
        <v>0.0</v>
      </c>
      <c r="W87" s="66">
        <v>0.0</v>
      </c>
      <c r="X87" s="66">
        <v>0.0</v>
      </c>
      <c r="Y87" s="66">
        <v>0.0</v>
      </c>
      <c r="Z87" s="66">
        <v>0.0</v>
      </c>
      <c r="AA87" s="66">
        <v>0.0</v>
      </c>
      <c r="AB87" s="6">
        <f t="shared" si="22"/>
        <v>67</v>
      </c>
    </row>
    <row r="88" ht="12.75" customHeight="1">
      <c r="A88" s="13" t="s">
        <v>14</v>
      </c>
      <c r="B88" s="49" t="s">
        <v>45</v>
      </c>
      <c r="C88" s="8"/>
      <c r="D88" s="9"/>
      <c r="E88" s="54">
        <f t="shared" ref="E88:AA88" si="23">SUM(E81:E87)</f>
        <v>4</v>
      </c>
      <c r="F88" s="54">
        <f t="shared" si="23"/>
        <v>1</v>
      </c>
      <c r="G88" s="54">
        <f t="shared" si="23"/>
        <v>6</v>
      </c>
      <c r="H88" s="54">
        <f t="shared" si="23"/>
        <v>8</v>
      </c>
      <c r="I88" s="54">
        <f t="shared" si="23"/>
        <v>12</v>
      </c>
      <c r="J88" s="54">
        <f t="shared" si="23"/>
        <v>37</v>
      </c>
      <c r="K88" s="54">
        <f t="shared" si="23"/>
        <v>39</v>
      </c>
      <c r="L88" s="54">
        <f t="shared" si="23"/>
        <v>25</v>
      </c>
      <c r="M88" s="54">
        <f t="shared" si="23"/>
        <v>33</v>
      </c>
      <c r="N88" s="54">
        <f t="shared" si="23"/>
        <v>23</v>
      </c>
      <c r="O88" s="54">
        <f t="shared" si="23"/>
        <v>59</v>
      </c>
      <c r="P88" s="54">
        <f t="shared" si="23"/>
        <v>4</v>
      </c>
      <c r="Q88" s="54">
        <f t="shared" si="23"/>
        <v>9</v>
      </c>
      <c r="R88" s="54">
        <f t="shared" si="23"/>
        <v>63</v>
      </c>
      <c r="S88" s="54">
        <f t="shared" si="23"/>
        <v>1</v>
      </c>
      <c r="T88" s="54">
        <f t="shared" si="23"/>
        <v>3</v>
      </c>
      <c r="U88" s="54">
        <f t="shared" si="23"/>
        <v>17</v>
      </c>
      <c r="V88" s="54">
        <f t="shared" si="23"/>
        <v>11</v>
      </c>
      <c r="W88" s="54">
        <f t="shared" si="23"/>
        <v>33</v>
      </c>
      <c r="X88" s="54">
        <f t="shared" si="23"/>
        <v>14</v>
      </c>
      <c r="Y88" s="54">
        <f t="shared" si="23"/>
        <v>53</v>
      </c>
      <c r="Z88" s="54">
        <f t="shared" si="23"/>
        <v>16</v>
      </c>
      <c r="AA88" s="54">
        <f t="shared" si="23"/>
        <v>1</v>
      </c>
      <c r="AB88" s="6">
        <f t="shared" si="22"/>
        <v>472</v>
      </c>
    </row>
    <row r="89" ht="12.75" customHeight="1">
      <c r="A89" s="55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6"/>
    </row>
    <row r="90" ht="12.75" customHeight="1">
      <c r="A90" s="32" t="s">
        <v>36</v>
      </c>
      <c r="B90" s="49" t="s">
        <v>75</v>
      </c>
      <c r="C90" s="50" t="s">
        <v>76</v>
      </c>
      <c r="D90" s="9"/>
      <c r="E90" s="66">
        <v>1.0</v>
      </c>
      <c r="F90" s="13"/>
      <c r="G90" s="13"/>
      <c r="H90" s="66">
        <v>0.0</v>
      </c>
      <c r="I90" s="66">
        <v>1.0</v>
      </c>
      <c r="J90" s="66">
        <v>3.0</v>
      </c>
      <c r="K90" s="66">
        <v>5.0</v>
      </c>
      <c r="L90" s="66">
        <v>1.0</v>
      </c>
      <c r="M90" s="66">
        <v>1.0</v>
      </c>
      <c r="N90" s="66">
        <v>0.0</v>
      </c>
      <c r="O90" s="66">
        <v>0.0</v>
      </c>
      <c r="P90" s="66">
        <v>0.0</v>
      </c>
      <c r="Q90" s="13"/>
      <c r="R90" s="13"/>
      <c r="S90" s="66">
        <v>1.0</v>
      </c>
      <c r="T90" s="66">
        <v>1.0</v>
      </c>
      <c r="U90" s="66">
        <v>1.0</v>
      </c>
      <c r="V90" s="66">
        <v>0.0</v>
      </c>
      <c r="W90" s="66">
        <v>1.0</v>
      </c>
      <c r="X90" s="66">
        <v>0.0</v>
      </c>
      <c r="Y90" s="66">
        <v>1.0</v>
      </c>
      <c r="Z90" s="66">
        <v>0.0</v>
      </c>
      <c r="AA90" s="66">
        <v>1.0</v>
      </c>
      <c r="AB90" s="6">
        <f t="shared" ref="AB90:AB92" si="24">SUM(E90:AA90)</f>
        <v>18</v>
      </c>
    </row>
    <row r="91" ht="12.75" customHeight="1">
      <c r="A91" s="32" t="s">
        <v>38</v>
      </c>
      <c r="B91" s="51"/>
      <c r="C91" s="52"/>
      <c r="D91" s="9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6">
        <f t="shared" si="24"/>
        <v>0</v>
      </c>
    </row>
    <row r="92" ht="12.75" customHeight="1">
      <c r="A92" s="13" t="s">
        <v>14</v>
      </c>
      <c r="B92" s="49" t="s">
        <v>45</v>
      </c>
      <c r="C92" s="8"/>
      <c r="D92" s="9"/>
      <c r="E92" s="54">
        <f t="shared" ref="E92:AA92" si="25">SUM(E90:E91)</f>
        <v>1</v>
      </c>
      <c r="F92" s="54">
        <f t="shared" si="25"/>
        <v>0</v>
      </c>
      <c r="G92" s="54">
        <f t="shared" si="25"/>
        <v>0</v>
      </c>
      <c r="H92" s="54">
        <f t="shared" si="25"/>
        <v>0</v>
      </c>
      <c r="I92" s="54">
        <f t="shared" si="25"/>
        <v>1</v>
      </c>
      <c r="J92" s="54">
        <f t="shared" si="25"/>
        <v>3</v>
      </c>
      <c r="K92" s="54">
        <f t="shared" si="25"/>
        <v>5</v>
      </c>
      <c r="L92" s="54">
        <f t="shared" si="25"/>
        <v>1</v>
      </c>
      <c r="M92" s="54">
        <f t="shared" si="25"/>
        <v>1</v>
      </c>
      <c r="N92" s="54">
        <f t="shared" si="25"/>
        <v>0</v>
      </c>
      <c r="O92" s="54">
        <f t="shared" si="25"/>
        <v>0</v>
      </c>
      <c r="P92" s="54">
        <f t="shared" si="25"/>
        <v>0</v>
      </c>
      <c r="Q92" s="54">
        <f t="shared" si="25"/>
        <v>0</v>
      </c>
      <c r="R92" s="54">
        <f t="shared" si="25"/>
        <v>0</v>
      </c>
      <c r="S92" s="54">
        <f t="shared" si="25"/>
        <v>1</v>
      </c>
      <c r="T92" s="54">
        <f t="shared" si="25"/>
        <v>1</v>
      </c>
      <c r="U92" s="54">
        <f t="shared" si="25"/>
        <v>1</v>
      </c>
      <c r="V92" s="54">
        <f t="shared" si="25"/>
        <v>0</v>
      </c>
      <c r="W92" s="54">
        <f t="shared" si="25"/>
        <v>1</v>
      </c>
      <c r="X92" s="54">
        <f t="shared" si="25"/>
        <v>0</v>
      </c>
      <c r="Y92" s="54">
        <f t="shared" si="25"/>
        <v>1</v>
      </c>
      <c r="Z92" s="54">
        <f t="shared" si="25"/>
        <v>0</v>
      </c>
      <c r="AA92" s="54">
        <f t="shared" si="25"/>
        <v>1</v>
      </c>
      <c r="AB92" s="6">
        <f t="shared" si="24"/>
        <v>18</v>
      </c>
    </row>
    <row r="93" ht="12.75" customHeight="1">
      <c r="A93" s="55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6"/>
    </row>
    <row r="94" ht="12.75" customHeight="1">
      <c r="A94" s="32" t="s">
        <v>36</v>
      </c>
      <c r="B94" s="49" t="s">
        <v>77</v>
      </c>
      <c r="C94" s="50" t="s">
        <v>78</v>
      </c>
      <c r="D94" s="9"/>
      <c r="E94" s="66">
        <v>0.0</v>
      </c>
      <c r="F94" s="13"/>
      <c r="G94" s="13"/>
      <c r="H94" s="66">
        <v>1.0</v>
      </c>
      <c r="I94" s="66">
        <v>0.0</v>
      </c>
      <c r="J94" s="66">
        <v>0.0</v>
      </c>
      <c r="K94" s="66">
        <v>1.0</v>
      </c>
      <c r="L94" s="66">
        <v>0.0</v>
      </c>
      <c r="M94" s="66">
        <v>2.0</v>
      </c>
      <c r="N94" s="66">
        <v>0.0</v>
      </c>
      <c r="O94" s="66">
        <v>0.0</v>
      </c>
      <c r="P94" s="66">
        <v>1.0</v>
      </c>
      <c r="Q94" s="66">
        <v>1.0</v>
      </c>
      <c r="R94" s="13"/>
      <c r="S94" s="13"/>
      <c r="T94" s="66">
        <v>0.0</v>
      </c>
      <c r="U94" s="13"/>
      <c r="V94" s="66">
        <v>0.0</v>
      </c>
      <c r="W94" s="66">
        <v>1.0</v>
      </c>
      <c r="X94" s="66">
        <v>1.0</v>
      </c>
      <c r="Y94" s="66">
        <v>2.0</v>
      </c>
      <c r="Z94" s="66">
        <v>0.0</v>
      </c>
      <c r="AA94" s="66">
        <v>2.0</v>
      </c>
      <c r="AB94" s="6">
        <f t="shared" ref="AB94:AB98" si="26">SUM(E94:AA94)</f>
        <v>12</v>
      </c>
    </row>
    <row r="95" ht="12.75" customHeight="1">
      <c r="A95" s="32" t="s">
        <v>38</v>
      </c>
      <c r="B95" s="51"/>
      <c r="C95" s="52" t="s">
        <v>79</v>
      </c>
      <c r="D95" s="53"/>
      <c r="E95" s="13"/>
      <c r="F95" s="13"/>
      <c r="G95" s="13"/>
      <c r="H95" s="66">
        <v>0.0</v>
      </c>
      <c r="I95" s="66">
        <v>0.0</v>
      </c>
      <c r="J95" s="66">
        <v>1.0</v>
      </c>
      <c r="K95" s="13"/>
      <c r="L95" s="66">
        <v>0.0</v>
      </c>
      <c r="M95" s="66">
        <v>0.0</v>
      </c>
      <c r="N95" s="66">
        <v>0.0</v>
      </c>
      <c r="O95" s="66">
        <v>0.0</v>
      </c>
      <c r="P95" s="66">
        <v>0.0</v>
      </c>
      <c r="Q95" s="13"/>
      <c r="R95" s="13"/>
      <c r="S95" s="13"/>
      <c r="T95" s="13"/>
      <c r="U95" s="13"/>
      <c r="V95" s="66">
        <v>0.0</v>
      </c>
      <c r="W95" s="66">
        <v>0.0</v>
      </c>
      <c r="X95" s="66">
        <v>0.0</v>
      </c>
      <c r="Y95" s="66">
        <v>0.0</v>
      </c>
      <c r="Z95" s="66">
        <v>0.0</v>
      </c>
      <c r="AA95" s="66">
        <v>1.0</v>
      </c>
      <c r="AB95" s="6">
        <f t="shared" si="26"/>
        <v>2</v>
      </c>
    </row>
    <row r="96" ht="12.75" customHeight="1">
      <c r="A96" s="32"/>
      <c r="B96" s="51"/>
      <c r="C96" s="52" t="s">
        <v>80</v>
      </c>
      <c r="D96" s="53"/>
      <c r="E96" s="13"/>
      <c r="F96" s="13"/>
      <c r="G96" s="13"/>
      <c r="H96" s="66">
        <v>0.0</v>
      </c>
      <c r="I96" s="66">
        <v>0.0</v>
      </c>
      <c r="J96" s="66">
        <v>0.0</v>
      </c>
      <c r="K96" s="13"/>
      <c r="L96" s="66">
        <v>0.0</v>
      </c>
      <c r="M96" s="66">
        <v>0.0</v>
      </c>
      <c r="N96" s="66">
        <v>0.0</v>
      </c>
      <c r="O96" s="66">
        <v>0.0</v>
      </c>
      <c r="P96" s="66">
        <v>0.0</v>
      </c>
      <c r="Q96" s="13"/>
      <c r="R96" s="13"/>
      <c r="S96" s="13"/>
      <c r="T96" s="13"/>
      <c r="U96" s="13"/>
      <c r="V96" s="66">
        <v>0.0</v>
      </c>
      <c r="W96" s="66">
        <v>0.0</v>
      </c>
      <c r="X96" s="66">
        <v>0.0</v>
      </c>
      <c r="Y96" s="66">
        <v>0.0</v>
      </c>
      <c r="Z96" s="66">
        <v>0.0</v>
      </c>
      <c r="AA96" s="66">
        <v>1.0</v>
      </c>
      <c r="AB96" s="6">
        <f t="shared" si="26"/>
        <v>1</v>
      </c>
    </row>
    <row r="97" ht="12.75" customHeight="1">
      <c r="A97" s="32"/>
      <c r="B97" s="51"/>
      <c r="C97" s="52" t="s">
        <v>81</v>
      </c>
      <c r="D97" s="53"/>
      <c r="E97" s="13"/>
      <c r="F97" s="13"/>
      <c r="G97" s="13"/>
      <c r="H97" s="66">
        <v>0.0</v>
      </c>
      <c r="I97" s="66">
        <v>0.0</v>
      </c>
      <c r="J97" s="66">
        <v>0.0</v>
      </c>
      <c r="K97" s="13"/>
      <c r="L97" s="66">
        <v>0.0</v>
      </c>
      <c r="M97" s="66">
        <v>0.0</v>
      </c>
      <c r="N97" s="66">
        <v>0.0</v>
      </c>
      <c r="O97" s="66">
        <v>0.0</v>
      </c>
      <c r="P97" s="66">
        <v>0.0</v>
      </c>
      <c r="Q97" s="13"/>
      <c r="R97" s="13"/>
      <c r="S97" s="13"/>
      <c r="T97" s="13"/>
      <c r="U97" s="13"/>
      <c r="V97" s="66">
        <v>0.0</v>
      </c>
      <c r="W97" s="66">
        <v>0.0</v>
      </c>
      <c r="X97" s="66">
        <v>0.0</v>
      </c>
      <c r="Y97" s="66">
        <v>0.0</v>
      </c>
      <c r="Z97" s="66">
        <v>0.0</v>
      </c>
      <c r="AA97" s="66">
        <v>0.0</v>
      </c>
      <c r="AB97" s="6">
        <f t="shared" si="26"/>
        <v>0</v>
      </c>
    </row>
    <row r="98" ht="12.75" customHeight="1">
      <c r="A98" s="13" t="s">
        <v>14</v>
      </c>
      <c r="B98" s="49" t="s">
        <v>45</v>
      </c>
      <c r="C98" s="8"/>
      <c r="D98" s="9"/>
      <c r="E98" s="54">
        <f t="shared" ref="E98:AA98" si="27">SUM(E94:E97)</f>
        <v>0</v>
      </c>
      <c r="F98" s="54">
        <f t="shared" si="27"/>
        <v>0</v>
      </c>
      <c r="G98" s="54">
        <f t="shared" si="27"/>
        <v>0</v>
      </c>
      <c r="H98" s="54">
        <f t="shared" si="27"/>
        <v>1</v>
      </c>
      <c r="I98" s="54">
        <f t="shared" si="27"/>
        <v>0</v>
      </c>
      <c r="J98" s="54">
        <f t="shared" si="27"/>
        <v>1</v>
      </c>
      <c r="K98" s="54">
        <f t="shared" si="27"/>
        <v>1</v>
      </c>
      <c r="L98" s="54">
        <f t="shared" si="27"/>
        <v>0</v>
      </c>
      <c r="M98" s="54">
        <f t="shared" si="27"/>
        <v>2</v>
      </c>
      <c r="N98" s="54">
        <f t="shared" si="27"/>
        <v>0</v>
      </c>
      <c r="O98" s="54">
        <f t="shared" si="27"/>
        <v>0</v>
      </c>
      <c r="P98" s="54">
        <f t="shared" si="27"/>
        <v>1</v>
      </c>
      <c r="Q98" s="54">
        <f t="shared" si="27"/>
        <v>1</v>
      </c>
      <c r="R98" s="54">
        <f t="shared" si="27"/>
        <v>0</v>
      </c>
      <c r="S98" s="54">
        <f t="shared" si="27"/>
        <v>0</v>
      </c>
      <c r="T98" s="54">
        <f t="shared" si="27"/>
        <v>0</v>
      </c>
      <c r="U98" s="54">
        <f t="shared" si="27"/>
        <v>0</v>
      </c>
      <c r="V98" s="54">
        <f t="shared" si="27"/>
        <v>0</v>
      </c>
      <c r="W98" s="54">
        <f t="shared" si="27"/>
        <v>1</v>
      </c>
      <c r="X98" s="54">
        <f t="shared" si="27"/>
        <v>1</v>
      </c>
      <c r="Y98" s="54">
        <f t="shared" si="27"/>
        <v>2</v>
      </c>
      <c r="Z98" s="54">
        <f t="shared" si="27"/>
        <v>0</v>
      </c>
      <c r="AA98" s="54">
        <f t="shared" si="27"/>
        <v>4</v>
      </c>
      <c r="AB98" s="6">
        <f t="shared" si="26"/>
        <v>15</v>
      </c>
    </row>
    <row r="99" ht="12.75" customHeight="1">
      <c r="A99" s="55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6"/>
    </row>
    <row r="100" ht="12.75" customHeight="1">
      <c r="A100" s="32" t="s">
        <v>36</v>
      </c>
      <c r="B100" s="49" t="s">
        <v>82</v>
      </c>
      <c r="C100" s="50" t="s">
        <v>83</v>
      </c>
      <c r="D100" s="9"/>
      <c r="E100" s="13"/>
      <c r="F100" s="13"/>
      <c r="G100" s="13"/>
      <c r="H100" s="66">
        <v>0.0</v>
      </c>
      <c r="I100" s="66">
        <v>0.0</v>
      </c>
      <c r="J100" s="66">
        <v>2.0</v>
      </c>
      <c r="K100" s="13"/>
      <c r="L100" s="13"/>
      <c r="M100" s="66">
        <v>0.0</v>
      </c>
      <c r="N100" s="66">
        <v>0.0</v>
      </c>
      <c r="O100" s="66">
        <v>0.0</v>
      </c>
      <c r="P100" s="66">
        <v>0.0</v>
      </c>
      <c r="Q100" s="13"/>
      <c r="R100" s="66">
        <v>2.0</v>
      </c>
      <c r="S100" s="13"/>
      <c r="T100" s="13"/>
      <c r="U100" s="66">
        <v>2.0</v>
      </c>
      <c r="V100" s="66">
        <v>0.0</v>
      </c>
      <c r="W100" s="66">
        <v>0.0</v>
      </c>
      <c r="X100" s="66">
        <v>0.0</v>
      </c>
      <c r="Y100" s="66">
        <v>0.0</v>
      </c>
      <c r="Z100" s="66">
        <v>0.0</v>
      </c>
      <c r="AA100" s="66">
        <v>0.0</v>
      </c>
      <c r="AB100" s="6">
        <f t="shared" ref="AB100:AB107" si="28">SUM(E100:AA100)</f>
        <v>6</v>
      </c>
    </row>
    <row r="101" ht="12.75" customHeight="1">
      <c r="A101" s="32" t="s">
        <v>38</v>
      </c>
      <c r="B101" s="51"/>
      <c r="C101" s="52" t="s">
        <v>84</v>
      </c>
      <c r="D101" s="53"/>
      <c r="E101" s="66">
        <v>1.0</v>
      </c>
      <c r="F101" s="13"/>
      <c r="G101" s="66">
        <v>5.0</v>
      </c>
      <c r="H101" s="66">
        <v>2.0</v>
      </c>
      <c r="I101" s="66">
        <v>1.0</v>
      </c>
      <c r="J101" s="66">
        <v>2.0</v>
      </c>
      <c r="K101" s="13"/>
      <c r="L101" s="13"/>
      <c r="M101" s="66">
        <v>1.0</v>
      </c>
      <c r="N101" s="66">
        <v>1.0</v>
      </c>
      <c r="O101" s="66">
        <v>3.0</v>
      </c>
      <c r="P101" s="66">
        <v>7.0</v>
      </c>
      <c r="Q101" s="66">
        <v>3.0</v>
      </c>
      <c r="R101" s="66">
        <v>1.0</v>
      </c>
      <c r="S101" s="66">
        <v>1.0</v>
      </c>
      <c r="T101" s="66">
        <v>1.0</v>
      </c>
      <c r="U101" s="66">
        <v>2.0</v>
      </c>
      <c r="V101" s="66">
        <v>0.0</v>
      </c>
      <c r="W101" s="66">
        <v>2.0</v>
      </c>
      <c r="X101" s="66">
        <v>1.0</v>
      </c>
      <c r="Y101" s="66">
        <v>2.0</v>
      </c>
      <c r="Z101" s="66">
        <v>0.0</v>
      </c>
      <c r="AA101" s="66">
        <v>2.0</v>
      </c>
      <c r="AB101" s="6">
        <f t="shared" si="28"/>
        <v>38</v>
      </c>
    </row>
    <row r="102" ht="12.75" customHeight="1">
      <c r="A102" s="18"/>
      <c r="B102" s="51"/>
      <c r="C102" s="52" t="s">
        <v>85</v>
      </c>
      <c r="D102" s="53"/>
      <c r="E102" s="13"/>
      <c r="F102" s="13"/>
      <c r="G102" s="13"/>
      <c r="H102" s="66">
        <v>0.0</v>
      </c>
      <c r="I102" s="66">
        <v>0.0</v>
      </c>
      <c r="J102" s="66">
        <v>0.0</v>
      </c>
      <c r="K102" s="13"/>
      <c r="L102" s="13"/>
      <c r="M102" s="66">
        <v>0.0</v>
      </c>
      <c r="N102" s="66">
        <v>0.0</v>
      </c>
      <c r="O102" s="66">
        <v>0.0</v>
      </c>
      <c r="P102" s="66">
        <v>0.0</v>
      </c>
      <c r="Q102" s="13"/>
      <c r="R102" s="13"/>
      <c r="S102" s="13"/>
      <c r="T102" s="13"/>
      <c r="U102" s="13"/>
      <c r="V102" s="66">
        <v>0.0</v>
      </c>
      <c r="W102" s="66">
        <v>0.0</v>
      </c>
      <c r="X102" s="66">
        <v>0.0</v>
      </c>
      <c r="Y102" s="66">
        <v>0.0</v>
      </c>
      <c r="Z102" s="66">
        <v>0.0</v>
      </c>
      <c r="AA102" s="66">
        <v>0.0</v>
      </c>
      <c r="AB102" s="6">
        <f t="shared" si="28"/>
        <v>0</v>
      </c>
    </row>
    <row r="103" ht="12.75" customHeight="1">
      <c r="A103" s="18"/>
      <c r="B103" s="51"/>
      <c r="C103" s="52" t="s">
        <v>86</v>
      </c>
      <c r="D103" s="53"/>
      <c r="E103" s="13"/>
      <c r="F103" s="13"/>
      <c r="G103" s="13"/>
      <c r="H103" s="66">
        <v>0.0</v>
      </c>
      <c r="I103" s="66">
        <v>0.0</v>
      </c>
      <c r="J103" s="66">
        <v>0.0</v>
      </c>
      <c r="K103" s="13"/>
      <c r="L103" s="13"/>
      <c r="M103" s="66">
        <v>1.0</v>
      </c>
      <c r="N103" s="66">
        <v>0.0</v>
      </c>
      <c r="O103" s="66">
        <v>0.0</v>
      </c>
      <c r="P103" s="66">
        <v>0.0</v>
      </c>
      <c r="Q103" s="13"/>
      <c r="R103" s="13"/>
      <c r="S103" s="13"/>
      <c r="T103" s="13"/>
      <c r="U103" s="13"/>
      <c r="V103" s="66">
        <v>0.0</v>
      </c>
      <c r="W103" s="66">
        <v>0.0</v>
      </c>
      <c r="X103" s="66">
        <v>0.0</v>
      </c>
      <c r="Y103" s="66">
        <v>0.0</v>
      </c>
      <c r="Z103" s="66">
        <v>1.0</v>
      </c>
      <c r="AA103" s="66">
        <v>0.0</v>
      </c>
      <c r="AB103" s="6">
        <f t="shared" si="28"/>
        <v>2</v>
      </c>
    </row>
    <row r="104" ht="12.75" customHeight="1">
      <c r="A104" s="18"/>
      <c r="B104" s="51"/>
      <c r="C104" s="52" t="s">
        <v>87</v>
      </c>
      <c r="D104" s="53"/>
      <c r="E104" s="13"/>
      <c r="F104" s="66">
        <v>1.0</v>
      </c>
      <c r="G104" s="13"/>
      <c r="H104" s="66">
        <v>0.0</v>
      </c>
      <c r="I104" s="66">
        <v>0.0</v>
      </c>
      <c r="J104" s="66">
        <v>0.0</v>
      </c>
      <c r="K104" s="13"/>
      <c r="L104" s="13"/>
      <c r="M104" s="66">
        <v>0.0</v>
      </c>
      <c r="N104" s="66">
        <v>0.0</v>
      </c>
      <c r="O104" s="66">
        <v>0.0</v>
      </c>
      <c r="P104" s="66">
        <v>0.0</v>
      </c>
      <c r="Q104" s="13"/>
      <c r="R104" s="13"/>
      <c r="S104" s="13"/>
      <c r="T104" s="13"/>
      <c r="U104" s="13"/>
      <c r="V104" s="66">
        <v>0.0</v>
      </c>
      <c r="W104" s="66">
        <v>0.0</v>
      </c>
      <c r="X104" s="66">
        <v>0.0</v>
      </c>
      <c r="Y104" s="66">
        <v>0.0</v>
      </c>
      <c r="Z104" s="66">
        <v>0.0</v>
      </c>
      <c r="AA104" s="66">
        <v>0.0</v>
      </c>
      <c r="AB104" s="6">
        <f t="shared" si="28"/>
        <v>1</v>
      </c>
    </row>
    <row r="105" ht="12.75" customHeight="1">
      <c r="A105" s="18"/>
      <c r="B105" s="51"/>
      <c r="C105" s="52" t="s">
        <v>88</v>
      </c>
      <c r="D105" s="53"/>
      <c r="E105" s="13"/>
      <c r="F105" s="13"/>
      <c r="G105" s="13"/>
      <c r="H105" s="66">
        <v>0.0</v>
      </c>
      <c r="I105" s="66">
        <v>0.0</v>
      </c>
      <c r="J105" s="66">
        <v>0.0</v>
      </c>
      <c r="K105" s="13"/>
      <c r="L105" s="13"/>
      <c r="M105" s="66">
        <v>0.0</v>
      </c>
      <c r="N105" s="66">
        <v>0.0</v>
      </c>
      <c r="O105" s="66">
        <v>0.0</v>
      </c>
      <c r="P105" s="66">
        <v>0.0</v>
      </c>
      <c r="Q105" s="13"/>
      <c r="R105" s="13"/>
      <c r="S105" s="13"/>
      <c r="T105" s="13"/>
      <c r="U105" s="13"/>
      <c r="V105" s="66">
        <v>0.0</v>
      </c>
      <c r="W105" s="66">
        <v>0.0</v>
      </c>
      <c r="X105" s="66">
        <v>0.0</v>
      </c>
      <c r="Y105" s="66">
        <v>0.0</v>
      </c>
      <c r="Z105" s="66">
        <v>0.0</v>
      </c>
      <c r="AA105" s="66">
        <v>0.0</v>
      </c>
      <c r="AB105" s="6">
        <f t="shared" si="28"/>
        <v>0</v>
      </c>
    </row>
    <row r="106" ht="12.75" customHeight="1">
      <c r="A106" s="18"/>
      <c r="B106" s="51"/>
      <c r="C106" s="52" t="s">
        <v>89</v>
      </c>
      <c r="D106" s="53"/>
      <c r="E106" s="13"/>
      <c r="F106" s="13"/>
      <c r="G106" s="13"/>
      <c r="H106" s="66">
        <v>0.0</v>
      </c>
      <c r="I106" s="66">
        <v>0.0</v>
      </c>
      <c r="J106" s="66">
        <v>0.0</v>
      </c>
      <c r="K106" s="13"/>
      <c r="L106" s="13"/>
      <c r="M106" s="66">
        <v>0.0</v>
      </c>
      <c r="N106" s="66">
        <v>1.0</v>
      </c>
      <c r="O106" s="66">
        <v>0.0</v>
      </c>
      <c r="P106" s="66">
        <v>0.0</v>
      </c>
      <c r="Q106" s="13"/>
      <c r="R106" s="13"/>
      <c r="S106" s="13"/>
      <c r="T106" s="13"/>
      <c r="U106" s="13"/>
      <c r="V106" s="66">
        <v>0.0</v>
      </c>
      <c r="W106" s="66">
        <v>0.0</v>
      </c>
      <c r="X106" s="66">
        <v>0.0</v>
      </c>
      <c r="Y106" s="66">
        <v>0.0</v>
      </c>
      <c r="Z106" s="66">
        <v>0.0</v>
      </c>
      <c r="AA106" s="66">
        <v>0.0</v>
      </c>
      <c r="AB106" s="6">
        <f t="shared" si="28"/>
        <v>1</v>
      </c>
    </row>
    <row r="107" ht="12.75" customHeight="1">
      <c r="A107" s="13" t="s">
        <v>14</v>
      </c>
      <c r="B107" s="49" t="s">
        <v>45</v>
      </c>
      <c r="C107" s="8"/>
      <c r="D107" s="9"/>
      <c r="E107" s="54">
        <f t="shared" ref="E107:AA107" si="29">SUM(E100:E106)</f>
        <v>1</v>
      </c>
      <c r="F107" s="54">
        <f t="shared" si="29"/>
        <v>1</v>
      </c>
      <c r="G107" s="54">
        <f t="shared" si="29"/>
        <v>5</v>
      </c>
      <c r="H107" s="54">
        <f t="shared" si="29"/>
        <v>2</v>
      </c>
      <c r="I107" s="54">
        <f t="shared" si="29"/>
        <v>1</v>
      </c>
      <c r="J107" s="54">
        <f t="shared" si="29"/>
        <v>4</v>
      </c>
      <c r="K107" s="54">
        <f t="shared" si="29"/>
        <v>0</v>
      </c>
      <c r="L107" s="54">
        <f t="shared" si="29"/>
        <v>0</v>
      </c>
      <c r="M107" s="54">
        <f t="shared" si="29"/>
        <v>2</v>
      </c>
      <c r="N107" s="54">
        <f t="shared" si="29"/>
        <v>2</v>
      </c>
      <c r="O107" s="54">
        <f t="shared" si="29"/>
        <v>3</v>
      </c>
      <c r="P107" s="54">
        <f t="shared" si="29"/>
        <v>7</v>
      </c>
      <c r="Q107" s="54">
        <f t="shared" si="29"/>
        <v>3</v>
      </c>
      <c r="R107" s="54">
        <f t="shared" si="29"/>
        <v>3</v>
      </c>
      <c r="S107" s="54">
        <f t="shared" si="29"/>
        <v>1</v>
      </c>
      <c r="T107" s="54">
        <f t="shared" si="29"/>
        <v>1</v>
      </c>
      <c r="U107" s="54">
        <f t="shared" si="29"/>
        <v>4</v>
      </c>
      <c r="V107" s="54">
        <f t="shared" si="29"/>
        <v>0</v>
      </c>
      <c r="W107" s="54">
        <f t="shared" si="29"/>
        <v>2</v>
      </c>
      <c r="X107" s="54">
        <f t="shared" si="29"/>
        <v>1</v>
      </c>
      <c r="Y107" s="54">
        <f t="shared" si="29"/>
        <v>2</v>
      </c>
      <c r="Z107" s="54">
        <f t="shared" si="29"/>
        <v>1</v>
      </c>
      <c r="AA107" s="54">
        <f t="shared" si="29"/>
        <v>2</v>
      </c>
      <c r="AB107" s="6">
        <f t="shared" si="28"/>
        <v>48</v>
      </c>
    </row>
    <row r="108" ht="12.75" customHeight="1">
      <c r="A108" s="55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6"/>
    </row>
    <row r="109" ht="12.75" customHeight="1">
      <c r="A109" s="32" t="s">
        <v>36</v>
      </c>
      <c r="B109" s="49" t="s">
        <v>90</v>
      </c>
      <c r="C109" s="50" t="s">
        <v>91</v>
      </c>
      <c r="D109" s="9"/>
      <c r="E109" s="13"/>
      <c r="F109" s="13"/>
      <c r="G109" s="13"/>
      <c r="H109" s="66">
        <v>0.0</v>
      </c>
      <c r="I109" s="66">
        <v>0.0</v>
      </c>
      <c r="J109" s="66">
        <v>0.0</v>
      </c>
      <c r="K109" s="13"/>
      <c r="L109" s="13"/>
      <c r="M109" s="66">
        <v>0.0</v>
      </c>
      <c r="N109" s="66">
        <v>0.0</v>
      </c>
      <c r="O109" s="66">
        <v>0.0</v>
      </c>
      <c r="P109" s="66">
        <v>0.0</v>
      </c>
      <c r="Q109" s="13"/>
      <c r="R109" s="13"/>
      <c r="S109" s="13"/>
      <c r="T109" s="13"/>
      <c r="U109" s="13"/>
      <c r="V109" s="66">
        <v>0.0</v>
      </c>
      <c r="W109" s="66">
        <v>0.0</v>
      </c>
      <c r="X109" s="66">
        <v>0.0</v>
      </c>
      <c r="Y109" s="66">
        <v>0.0</v>
      </c>
      <c r="Z109" s="66">
        <v>0.0</v>
      </c>
      <c r="AA109" s="66">
        <v>0.0</v>
      </c>
      <c r="AB109" s="6">
        <f t="shared" ref="AB109:AB111" si="30">SUM(E109:AA109)</f>
        <v>0</v>
      </c>
    </row>
    <row r="110" ht="12.75" customHeight="1">
      <c r="A110" s="32" t="s">
        <v>38</v>
      </c>
      <c r="B110" s="49"/>
      <c r="C110" s="52" t="s">
        <v>92</v>
      </c>
      <c r="D110" s="61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6">
        <f t="shared" si="30"/>
        <v>0</v>
      </c>
    </row>
    <row r="111" ht="12.75" customHeight="1">
      <c r="A111" s="13" t="s">
        <v>14</v>
      </c>
      <c r="B111" s="49" t="s">
        <v>45</v>
      </c>
      <c r="C111" s="8"/>
      <c r="D111" s="9"/>
      <c r="E111" s="54">
        <f t="shared" ref="E111:AA111" si="31">SUM(E109:E110)</f>
        <v>0</v>
      </c>
      <c r="F111" s="54">
        <f t="shared" si="31"/>
        <v>0</v>
      </c>
      <c r="G111" s="54">
        <f t="shared" si="31"/>
        <v>0</v>
      </c>
      <c r="H111" s="54">
        <f t="shared" si="31"/>
        <v>0</v>
      </c>
      <c r="I111" s="54">
        <f t="shared" si="31"/>
        <v>0</v>
      </c>
      <c r="J111" s="54">
        <f t="shared" si="31"/>
        <v>0</v>
      </c>
      <c r="K111" s="54">
        <f t="shared" si="31"/>
        <v>0</v>
      </c>
      <c r="L111" s="54">
        <f t="shared" si="31"/>
        <v>0</v>
      </c>
      <c r="M111" s="54">
        <f t="shared" si="31"/>
        <v>0</v>
      </c>
      <c r="N111" s="54">
        <f t="shared" si="31"/>
        <v>0</v>
      </c>
      <c r="O111" s="54">
        <f t="shared" si="31"/>
        <v>0</v>
      </c>
      <c r="P111" s="54">
        <f t="shared" si="31"/>
        <v>0</v>
      </c>
      <c r="Q111" s="54">
        <f t="shared" si="31"/>
        <v>0</v>
      </c>
      <c r="R111" s="54">
        <f t="shared" si="31"/>
        <v>0</v>
      </c>
      <c r="S111" s="54">
        <f t="shared" si="31"/>
        <v>0</v>
      </c>
      <c r="T111" s="54">
        <f t="shared" si="31"/>
        <v>0</v>
      </c>
      <c r="U111" s="54">
        <f t="shared" si="31"/>
        <v>0</v>
      </c>
      <c r="V111" s="54">
        <f t="shared" si="31"/>
        <v>0</v>
      </c>
      <c r="W111" s="54">
        <f t="shared" si="31"/>
        <v>0</v>
      </c>
      <c r="X111" s="54">
        <f t="shared" si="31"/>
        <v>0</v>
      </c>
      <c r="Y111" s="54">
        <f t="shared" si="31"/>
        <v>0</v>
      </c>
      <c r="Z111" s="54">
        <f t="shared" si="31"/>
        <v>0</v>
      </c>
      <c r="AA111" s="54">
        <f t="shared" si="31"/>
        <v>0</v>
      </c>
      <c r="AB111" s="6">
        <f t="shared" si="30"/>
        <v>0</v>
      </c>
    </row>
    <row r="112" ht="12.75" customHeight="1">
      <c r="A112" s="55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6"/>
    </row>
    <row r="113" ht="12.75" customHeight="1">
      <c r="A113" s="32" t="s">
        <v>36</v>
      </c>
      <c r="B113" s="49" t="s">
        <v>93</v>
      </c>
      <c r="C113" s="50" t="s">
        <v>94</v>
      </c>
      <c r="D113" s="9"/>
      <c r="E113" s="13"/>
      <c r="F113" s="13"/>
      <c r="G113" s="13"/>
      <c r="H113" s="66">
        <v>0.0</v>
      </c>
      <c r="I113" s="66">
        <v>0.0</v>
      </c>
      <c r="J113" s="66">
        <v>0.0</v>
      </c>
      <c r="K113" s="66">
        <v>1.0</v>
      </c>
      <c r="L113" s="13"/>
      <c r="M113" s="66">
        <v>0.0</v>
      </c>
      <c r="N113" s="66">
        <v>0.0</v>
      </c>
      <c r="O113" s="66">
        <v>0.0</v>
      </c>
      <c r="P113" s="66">
        <v>0.0</v>
      </c>
      <c r="Q113" s="13"/>
      <c r="R113" s="13"/>
      <c r="S113" s="66">
        <v>0.0</v>
      </c>
      <c r="T113" s="13"/>
      <c r="U113" s="13"/>
      <c r="V113" s="66">
        <v>0.0</v>
      </c>
      <c r="W113" s="66">
        <v>0.0</v>
      </c>
      <c r="X113" s="66">
        <v>1.0</v>
      </c>
      <c r="Y113" s="66">
        <v>0.0</v>
      </c>
      <c r="Z113" s="66">
        <v>0.0</v>
      </c>
      <c r="AA113" s="66">
        <v>0.0</v>
      </c>
      <c r="AB113" s="6">
        <f t="shared" ref="AB113:AB120" si="32">SUM(E113:AA113)</f>
        <v>2</v>
      </c>
    </row>
    <row r="114" ht="12.75" customHeight="1">
      <c r="A114" s="32" t="s">
        <v>38</v>
      </c>
      <c r="B114" s="51"/>
      <c r="C114" s="52" t="s">
        <v>95</v>
      </c>
      <c r="D114" s="53"/>
      <c r="E114" s="13"/>
      <c r="F114" s="13"/>
      <c r="G114" s="13"/>
      <c r="H114" s="66">
        <v>0.0</v>
      </c>
      <c r="I114" s="66">
        <v>0.0</v>
      </c>
      <c r="J114" s="66">
        <v>0.0</v>
      </c>
      <c r="K114" s="13"/>
      <c r="L114" s="13"/>
      <c r="M114" s="66">
        <v>0.0</v>
      </c>
      <c r="N114" s="66">
        <v>0.0</v>
      </c>
      <c r="O114" s="66">
        <v>0.0</v>
      </c>
      <c r="P114" s="66">
        <v>0.0</v>
      </c>
      <c r="Q114" s="13"/>
      <c r="R114" s="13"/>
      <c r="S114" s="66">
        <v>0.0</v>
      </c>
      <c r="T114" s="13"/>
      <c r="U114" s="13"/>
      <c r="V114" s="66">
        <v>0.0</v>
      </c>
      <c r="W114" s="66">
        <v>0.0</v>
      </c>
      <c r="X114" s="66">
        <v>0.0</v>
      </c>
      <c r="Y114" s="66">
        <v>0.0</v>
      </c>
      <c r="Z114" s="66">
        <v>0.0</v>
      </c>
      <c r="AA114" s="66">
        <v>0.0</v>
      </c>
      <c r="AB114" s="6">
        <f t="shared" si="32"/>
        <v>0</v>
      </c>
    </row>
    <row r="115" ht="12.75" customHeight="1">
      <c r="A115" s="18"/>
      <c r="B115" s="51"/>
      <c r="C115" s="52" t="s">
        <v>96</v>
      </c>
      <c r="D115" s="53"/>
      <c r="E115" s="13"/>
      <c r="F115" s="13"/>
      <c r="G115" s="13"/>
      <c r="H115" s="66">
        <v>0.0</v>
      </c>
      <c r="I115" s="66">
        <v>0.0</v>
      </c>
      <c r="J115" s="66">
        <v>0.0</v>
      </c>
      <c r="K115" s="13"/>
      <c r="L115" s="66">
        <v>1.0</v>
      </c>
      <c r="M115" s="66">
        <v>0.0</v>
      </c>
      <c r="N115" s="66">
        <v>0.0</v>
      </c>
      <c r="O115" s="66">
        <v>0.0</v>
      </c>
      <c r="P115" s="66">
        <v>0.0</v>
      </c>
      <c r="Q115" s="13"/>
      <c r="R115" s="13"/>
      <c r="S115" s="66">
        <v>0.0</v>
      </c>
      <c r="T115" s="13"/>
      <c r="U115" s="13"/>
      <c r="V115" s="66">
        <v>0.0</v>
      </c>
      <c r="W115" s="66">
        <v>0.0</v>
      </c>
      <c r="X115" s="66">
        <v>0.0</v>
      </c>
      <c r="Y115" s="66">
        <v>0.0</v>
      </c>
      <c r="Z115" s="66">
        <v>0.0</v>
      </c>
      <c r="AA115" s="66">
        <v>0.0</v>
      </c>
      <c r="AB115" s="6">
        <f t="shared" si="32"/>
        <v>1</v>
      </c>
    </row>
    <row r="116" ht="12.75" customHeight="1">
      <c r="A116" s="18"/>
      <c r="B116" s="51"/>
      <c r="C116" s="52" t="s">
        <v>97</v>
      </c>
      <c r="D116" s="53"/>
      <c r="E116" s="13"/>
      <c r="F116" s="13"/>
      <c r="G116" s="13"/>
      <c r="H116" s="66">
        <v>0.0</v>
      </c>
      <c r="I116" s="66">
        <v>0.0</v>
      </c>
      <c r="J116" s="66">
        <v>0.0</v>
      </c>
      <c r="K116" s="13"/>
      <c r="L116" s="13"/>
      <c r="M116" s="66">
        <v>1.0</v>
      </c>
      <c r="N116" s="66">
        <v>1.0</v>
      </c>
      <c r="O116" s="66">
        <v>0.0</v>
      </c>
      <c r="P116" s="66">
        <v>0.0</v>
      </c>
      <c r="Q116" s="13"/>
      <c r="R116" s="13"/>
      <c r="S116" s="66">
        <v>0.0</v>
      </c>
      <c r="T116" s="13"/>
      <c r="U116" s="13"/>
      <c r="V116" s="66">
        <v>0.0</v>
      </c>
      <c r="W116" s="66">
        <v>0.0</v>
      </c>
      <c r="X116" s="66">
        <v>0.0</v>
      </c>
      <c r="Y116" s="66">
        <v>0.0</v>
      </c>
      <c r="Z116" s="66">
        <v>0.0</v>
      </c>
      <c r="AA116" s="66">
        <v>0.0</v>
      </c>
      <c r="AB116" s="6">
        <f t="shared" si="32"/>
        <v>2</v>
      </c>
    </row>
    <row r="117" ht="12.75" customHeight="1">
      <c r="A117" s="18"/>
      <c r="B117" s="51"/>
      <c r="C117" s="52" t="s">
        <v>98</v>
      </c>
      <c r="D117" s="53"/>
      <c r="E117" s="13"/>
      <c r="F117" s="13"/>
      <c r="G117" s="13"/>
      <c r="H117" s="66">
        <v>0.0</v>
      </c>
      <c r="I117" s="66">
        <v>0.0</v>
      </c>
      <c r="J117" s="66">
        <v>0.0</v>
      </c>
      <c r="K117" s="13"/>
      <c r="L117" s="13"/>
      <c r="M117" s="66">
        <v>0.0</v>
      </c>
      <c r="N117" s="66">
        <v>0.0</v>
      </c>
      <c r="O117" s="66">
        <v>0.0</v>
      </c>
      <c r="P117" s="66">
        <v>0.0</v>
      </c>
      <c r="Q117" s="13"/>
      <c r="R117" s="13"/>
      <c r="S117" s="66">
        <v>0.0</v>
      </c>
      <c r="T117" s="13"/>
      <c r="U117" s="13"/>
      <c r="V117" s="66">
        <v>0.0</v>
      </c>
      <c r="W117" s="66">
        <v>0.0</v>
      </c>
      <c r="X117" s="66">
        <v>0.0</v>
      </c>
      <c r="Y117" s="66">
        <v>0.0</v>
      </c>
      <c r="Z117" s="66">
        <v>0.0</v>
      </c>
      <c r="AA117" s="66">
        <v>0.0</v>
      </c>
      <c r="AB117" s="6">
        <f t="shared" si="32"/>
        <v>0</v>
      </c>
    </row>
    <row r="118" ht="12.75" customHeight="1">
      <c r="A118" s="18"/>
      <c r="B118" s="51"/>
      <c r="C118" s="52" t="s">
        <v>99</v>
      </c>
      <c r="D118" s="53"/>
      <c r="E118" s="13"/>
      <c r="F118" s="13"/>
      <c r="G118" s="13"/>
      <c r="H118" s="66">
        <v>0.0</v>
      </c>
      <c r="I118" s="66">
        <v>0.0</v>
      </c>
      <c r="J118" s="66">
        <v>0.0</v>
      </c>
      <c r="K118" s="13"/>
      <c r="L118" s="13"/>
      <c r="M118" s="66">
        <v>0.0</v>
      </c>
      <c r="N118" s="66">
        <v>0.0</v>
      </c>
      <c r="O118" s="66">
        <v>0.0</v>
      </c>
      <c r="P118" s="66">
        <v>0.0</v>
      </c>
      <c r="Q118" s="13"/>
      <c r="R118" s="13"/>
      <c r="S118" s="66">
        <v>0.0</v>
      </c>
      <c r="T118" s="13"/>
      <c r="U118" s="13"/>
      <c r="V118" s="66">
        <v>0.0</v>
      </c>
      <c r="W118" s="66">
        <v>0.0</v>
      </c>
      <c r="X118" s="66">
        <v>0.0</v>
      </c>
      <c r="Y118" s="66">
        <v>0.0</v>
      </c>
      <c r="Z118" s="66">
        <v>0.0</v>
      </c>
      <c r="AA118" s="66">
        <v>0.0</v>
      </c>
      <c r="AB118" s="6">
        <f t="shared" si="32"/>
        <v>0</v>
      </c>
    </row>
    <row r="119" ht="12.75" customHeight="1">
      <c r="A119" s="18"/>
      <c r="B119" s="51"/>
      <c r="C119" s="52" t="s">
        <v>100</v>
      </c>
      <c r="D119" s="53"/>
      <c r="E119" s="13"/>
      <c r="F119" s="13"/>
      <c r="G119" s="13"/>
      <c r="H119" s="66">
        <v>0.0</v>
      </c>
      <c r="I119" s="66">
        <v>0.0</v>
      </c>
      <c r="J119" s="66">
        <v>0.0</v>
      </c>
      <c r="K119" s="13"/>
      <c r="L119" s="13"/>
      <c r="M119" s="66">
        <v>0.0</v>
      </c>
      <c r="N119" s="66">
        <v>0.0</v>
      </c>
      <c r="O119" s="66">
        <v>0.0</v>
      </c>
      <c r="P119" s="66">
        <v>0.0</v>
      </c>
      <c r="Q119" s="13"/>
      <c r="R119" s="13"/>
      <c r="S119" s="66">
        <v>0.0</v>
      </c>
      <c r="T119" s="13"/>
      <c r="U119" s="13"/>
      <c r="V119" s="66">
        <v>0.0</v>
      </c>
      <c r="W119" s="66">
        <v>0.0</v>
      </c>
      <c r="X119" s="66">
        <v>0.0</v>
      </c>
      <c r="Y119" s="66">
        <v>0.0</v>
      </c>
      <c r="Z119" s="66">
        <v>0.0</v>
      </c>
      <c r="AA119" s="66">
        <v>0.0</v>
      </c>
      <c r="AB119" s="6">
        <f t="shared" si="32"/>
        <v>0</v>
      </c>
    </row>
    <row r="120" ht="12.75" customHeight="1">
      <c r="A120" s="13" t="s">
        <v>14</v>
      </c>
      <c r="B120" s="49" t="s">
        <v>45</v>
      </c>
      <c r="C120" s="8"/>
      <c r="D120" s="9"/>
      <c r="E120" s="54">
        <f t="shared" ref="E120:AA120" si="33">SUM(E113:E119)</f>
        <v>0</v>
      </c>
      <c r="F120" s="54">
        <f t="shared" si="33"/>
        <v>0</v>
      </c>
      <c r="G120" s="54">
        <f t="shared" si="33"/>
        <v>0</v>
      </c>
      <c r="H120" s="54">
        <f t="shared" si="33"/>
        <v>0</v>
      </c>
      <c r="I120" s="54">
        <f t="shared" si="33"/>
        <v>0</v>
      </c>
      <c r="J120" s="54">
        <f t="shared" si="33"/>
        <v>0</v>
      </c>
      <c r="K120" s="54">
        <f t="shared" si="33"/>
        <v>1</v>
      </c>
      <c r="L120" s="54">
        <f t="shared" si="33"/>
        <v>1</v>
      </c>
      <c r="M120" s="54">
        <f t="shared" si="33"/>
        <v>1</v>
      </c>
      <c r="N120" s="54">
        <f t="shared" si="33"/>
        <v>1</v>
      </c>
      <c r="O120" s="54">
        <f t="shared" si="33"/>
        <v>0</v>
      </c>
      <c r="P120" s="54">
        <f t="shared" si="33"/>
        <v>0</v>
      </c>
      <c r="Q120" s="54">
        <f t="shared" si="33"/>
        <v>0</v>
      </c>
      <c r="R120" s="54">
        <f t="shared" si="33"/>
        <v>0</v>
      </c>
      <c r="S120" s="54">
        <f t="shared" si="33"/>
        <v>0</v>
      </c>
      <c r="T120" s="54">
        <f t="shared" si="33"/>
        <v>0</v>
      </c>
      <c r="U120" s="54">
        <f t="shared" si="33"/>
        <v>0</v>
      </c>
      <c r="V120" s="54">
        <f t="shared" si="33"/>
        <v>0</v>
      </c>
      <c r="W120" s="54">
        <f t="shared" si="33"/>
        <v>0</v>
      </c>
      <c r="X120" s="54">
        <f t="shared" si="33"/>
        <v>1</v>
      </c>
      <c r="Y120" s="54">
        <f t="shared" si="33"/>
        <v>0</v>
      </c>
      <c r="Z120" s="54">
        <f t="shared" si="33"/>
        <v>0</v>
      </c>
      <c r="AA120" s="54">
        <f t="shared" si="33"/>
        <v>0</v>
      </c>
      <c r="AB120" s="6">
        <f t="shared" si="32"/>
        <v>5</v>
      </c>
    </row>
    <row r="121" ht="12.75" customHeight="1">
      <c r="A121" s="55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</row>
    <row r="122" ht="12.75" customHeight="1">
      <c r="A122" s="32" t="s">
        <v>36</v>
      </c>
      <c r="B122" s="49" t="s">
        <v>101</v>
      </c>
      <c r="C122" s="50" t="s">
        <v>102</v>
      </c>
      <c r="D122" s="9"/>
      <c r="E122" s="13"/>
      <c r="F122" s="13"/>
      <c r="G122" s="13"/>
      <c r="H122" s="66">
        <v>2.0</v>
      </c>
      <c r="I122" s="66">
        <v>0.0</v>
      </c>
      <c r="J122" s="66">
        <v>0.0</v>
      </c>
      <c r="K122" s="66">
        <v>1.0</v>
      </c>
      <c r="L122" s="13"/>
      <c r="M122" s="66">
        <v>0.0</v>
      </c>
      <c r="N122" s="66">
        <v>0.0</v>
      </c>
      <c r="O122" s="66">
        <v>0.0</v>
      </c>
      <c r="P122" s="66">
        <v>0.0</v>
      </c>
      <c r="Q122" s="13"/>
      <c r="R122" s="13"/>
      <c r="S122" s="13"/>
      <c r="T122" s="13"/>
      <c r="U122" s="13"/>
      <c r="V122" s="66">
        <v>0.0</v>
      </c>
      <c r="W122" s="66">
        <v>1.0</v>
      </c>
      <c r="X122" s="66">
        <v>0.0</v>
      </c>
      <c r="Y122" s="66">
        <v>1.0</v>
      </c>
      <c r="Z122" s="66">
        <v>1.0</v>
      </c>
      <c r="AA122" s="66">
        <v>0.0</v>
      </c>
      <c r="AB122" s="6">
        <f t="shared" ref="AB122:AB124" si="34">SUM(E122:AA122)</f>
        <v>6</v>
      </c>
    </row>
    <row r="123" ht="12.75" customHeight="1">
      <c r="A123" s="32" t="s">
        <v>38</v>
      </c>
      <c r="B123" s="51"/>
      <c r="C123" s="52"/>
      <c r="D123" s="5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6">
        <f t="shared" si="34"/>
        <v>0</v>
      </c>
    </row>
    <row r="124" ht="12.75" customHeight="1">
      <c r="A124" s="13" t="s">
        <v>14</v>
      </c>
      <c r="B124" s="49" t="s">
        <v>45</v>
      </c>
      <c r="C124" s="8"/>
      <c r="D124" s="9"/>
      <c r="E124" s="54">
        <f t="shared" ref="E124:AA124" si="35">SUM(E122:E123)</f>
        <v>0</v>
      </c>
      <c r="F124" s="54">
        <f t="shared" si="35"/>
        <v>0</v>
      </c>
      <c r="G124" s="54">
        <f t="shared" si="35"/>
        <v>0</v>
      </c>
      <c r="H124" s="54">
        <f t="shared" si="35"/>
        <v>2</v>
      </c>
      <c r="I124" s="54">
        <f t="shared" si="35"/>
        <v>0</v>
      </c>
      <c r="J124" s="54">
        <f t="shared" si="35"/>
        <v>0</v>
      </c>
      <c r="K124" s="54">
        <f t="shared" si="35"/>
        <v>1</v>
      </c>
      <c r="L124" s="54">
        <f t="shared" si="35"/>
        <v>0</v>
      </c>
      <c r="M124" s="54">
        <f t="shared" si="35"/>
        <v>0</v>
      </c>
      <c r="N124" s="54">
        <f t="shared" si="35"/>
        <v>0</v>
      </c>
      <c r="O124" s="54">
        <f t="shared" si="35"/>
        <v>0</v>
      </c>
      <c r="P124" s="54">
        <f t="shared" si="35"/>
        <v>0</v>
      </c>
      <c r="Q124" s="54">
        <f t="shared" si="35"/>
        <v>0</v>
      </c>
      <c r="R124" s="54">
        <f t="shared" si="35"/>
        <v>0</v>
      </c>
      <c r="S124" s="54">
        <f t="shared" si="35"/>
        <v>0</v>
      </c>
      <c r="T124" s="54">
        <f t="shared" si="35"/>
        <v>0</v>
      </c>
      <c r="U124" s="54">
        <f t="shared" si="35"/>
        <v>0</v>
      </c>
      <c r="V124" s="54">
        <f t="shared" si="35"/>
        <v>0</v>
      </c>
      <c r="W124" s="54">
        <f t="shared" si="35"/>
        <v>1</v>
      </c>
      <c r="X124" s="54">
        <f t="shared" si="35"/>
        <v>0</v>
      </c>
      <c r="Y124" s="54">
        <f t="shared" si="35"/>
        <v>1</v>
      </c>
      <c r="Z124" s="54">
        <f t="shared" si="35"/>
        <v>1</v>
      </c>
      <c r="AA124" s="54">
        <f t="shared" si="35"/>
        <v>0</v>
      </c>
      <c r="AB124" s="6">
        <f t="shared" si="34"/>
        <v>6</v>
      </c>
    </row>
    <row r="125" ht="12.75" customHeight="1">
      <c r="A125" s="55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6"/>
    </row>
    <row r="126" ht="12.75" customHeight="1">
      <c r="A126" s="32" t="s">
        <v>36</v>
      </c>
      <c r="B126" s="49" t="s">
        <v>103</v>
      </c>
      <c r="C126" s="50" t="s">
        <v>104</v>
      </c>
      <c r="D126" s="9"/>
      <c r="E126" s="13"/>
      <c r="F126" s="13"/>
      <c r="G126" s="13"/>
      <c r="H126" s="66">
        <v>0.0</v>
      </c>
      <c r="I126" s="66">
        <v>0.0</v>
      </c>
      <c r="J126" s="66">
        <v>0.0</v>
      </c>
      <c r="K126" s="66">
        <v>1.0</v>
      </c>
      <c r="L126" s="13"/>
      <c r="M126" s="66">
        <v>0.0</v>
      </c>
      <c r="N126" s="66">
        <v>0.0</v>
      </c>
      <c r="O126" s="66">
        <v>0.0</v>
      </c>
      <c r="P126" s="66">
        <v>1.0</v>
      </c>
      <c r="Q126" s="13"/>
      <c r="R126" s="13"/>
      <c r="S126" s="13"/>
      <c r="T126" s="13"/>
      <c r="U126" s="13"/>
      <c r="V126" s="66">
        <v>0.0</v>
      </c>
      <c r="W126" s="66">
        <v>1.0</v>
      </c>
      <c r="X126" s="66">
        <v>0.0</v>
      </c>
      <c r="Y126" s="66">
        <v>1.0</v>
      </c>
      <c r="Z126" s="66">
        <v>1.0</v>
      </c>
      <c r="AA126" s="66">
        <v>0.0</v>
      </c>
      <c r="AB126" s="6">
        <f t="shared" ref="AB126:AB131" si="36">SUM(E126:AA126)</f>
        <v>5</v>
      </c>
    </row>
    <row r="127" ht="12.75" customHeight="1">
      <c r="A127" s="32" t="s">
        <v>38</v>
      </c>
      <c r="B127" s="51"/>
      <c r="C127" s="52" t="s">
        <v>105</v>
      </c>
      <c r="D127" s="53"/>
      <c r="E127" s="13"/>
      <c r="F127" s="13"/>
      <c r="G127" s="66">
        <v>1.0</v>
      </c>
      <c r="H127" s="66">
        <v>0.0</v>
      </c>
      <c r="I127" s="66">
        <v>0.0</v>
      </c>
      <c r="J127" s="66">
        <v>0.0</v>
      </c>
      <c r="K127" s="66">
        <v>3.0</v>
      </c>
      <c r="L127" s="13"/>
      <c r="M127" s="66">
        <v>0.0</v>
      </c>
      <c r="N127" s="66">
        <v>1.0</v>
      </c>
      <c r="O127" s="66">
        <v>0.0</v>
      </c>
      <c r="P127" s="66">
        <v>0.0</v>
      </c>
      <c r="Q127" s="13"/>
      <c r="R127" s="13"/>
      <c r="S127" s="13"/>
      <c r="T127" s="13"/>
      <c r="U127" s="13"/>
      <c r="V127" s="66">
        <v>0.0</v>
      </c>
      <c r="W127" s="66">
        <v>1.0</v>
      </c>
      <c r="X127" s="66">
        <v>0.0</v>
      </c>
      <c r="Y127" s="66">
        <v>1.0</v>
      </c>
      <c r="Z127" s="66">
        <v>0.0</v>
      </c>
      <c r="AA127" s="66">
        <v>1.0</v>
      </c>
      <c r="AB127" s="6">
        <f t="shared" si="36"/>
        <v>8</v>
      </c>
    </row>
    <row r="128" ht="12.75" customHeight="1">
      <c r="A128" s="18"/>
      <c r="B128" s="51"/>
      <c r="C128" s="52" t="s">
        <v>106</v>
      </c>
      <c r="D128" s="53"/>
      <c r="E128" s="13"/>
      <c r="F128" s="13"/>
      <c r="G128" s="13"/>
      <c r="H128" s="66">
        <v>0.0</v>
      </c>
      <c r="I128" s="66">
        <v>0.0</v>
      </c>
      <c r="J128" s="66">
        <v>0.0</v>
      </c>
      <c r="K128" s="13"/>
      <c r="L128" s="13"/>
      <c r="M128" s="66">
        <v>0.0</v>
      </c>
      <c r="N128" s="66">
        <v>0.0</v>
      </c>
      <c r="O128" s="66">
        <v>0.0</v>
      </c>
      <c r="P128" s="66">
        <v>0.0</v>
      </c>
      <c r="Q128" s="13"/>
      <c r="R128" s="66">
        <v>1.0</v>
      </c>
      <c r="S128" s="13"/>
      <c r="T128" s="13"/>
      <c r="U128" s="13"/>
      <c r="V128" s="66">
        <v>0.0</v>
      </c>
      <c r="W128" s="66">
        <v>0.0</v>
      </c>
      <c r="X128" s="66">
        <v>0.0</v>
      </c>
      <c r="Y128" s="66">
        <v>0.0</v>
      </c>
      <c r="Z128" s="66">
        <v>1.0</v>
      </c>
      <c r="AA128" s="66">
        <v>0.0</v>
      </c>
      <c r="AB128" s="6">
        <f t="shared" si="36"/>
        <v>2</v>
      </c>
    </row>
    <row r="129" ht="12.75" customHeight="1">
      <c r="A129" s="18"/>
      <c r="B129" s="51"/>
      <c r="C129" s="52" t="s">
        <v>107</v>
      </c>
      <c r="D129" s="53"/>
      <c r="E129" s="13"/>
      <c r="F129" s="13"/>
      <c r="G129" s="13"/>
      <c r="H129" s="66">
        <v>0.0</v>
      </c>
      <c r="I129" s="66">
        <v>0.0</v>
      </c>
      <c r="J129" s="66">
        <v>0.0</v>
      </c>
      <c r="K129" s="13"/>
      <c r="L129" s="66">
        <v>1.0</v>
      </c>
      <c r="M129" s="66">
        <v>0.0</v>
      </c>
      <c r="N129" s="66">
        <v>0.0</v>
      </c>
      <c r="O129" s="66">
        <v>0.0</v>
      </c>
      <c r="P129" s="66">
        <v>0.0</v>
      </c>
      <c r="Q129" s="13"/>
      <c r="R129" s="13"/>
      <c r="S129" s="13"/>
      <c r="T129" s="13"/>
      <c r="U129" s="13"/>
      <c r="V129" s="66">
        <v>0.0</v>
      </c>
      <c r="W129" s="66">
        <v>0.0</v>
      </c>
      <c r="X129" s="66">
        <v>0.0</v>
      </c>
      <c r="Y129" s="66">
        <v>1.0</v>
      </c>
      <c r="Z129" s="66">
        <v>0.0</v>
      </c>
      <c r="AA129" s="66">
        <v>0.0</v>
      </c>
      <c r="AB129" s="6">
        <f t="shared" si="36"/>
        <v>2</v>
      </c>
    </row>
    <row r="130" ht="12.75" customHeight="1">
      <c r="A130" s="18"/>
      <c r="B130" s="51"/>
      <c r="C130" s="52" t="s">
        <v>108</v>
      </c>
      <c r="D130" s="53"/>
      <c r="E130" s="13"/>
      <c r="F130" s="13"/>
      <c r="G130" s="13"/>
      <c r="H130" s="66">
        <v>0.0</v>
      </c>
      <c r="I130" s="66">
        <v>0.0</v>
      </c>
      <c r="J130" s="66">
        <v>0.0</v>
      </c>
      <c r="K130" s="13"/>
      <c r="L130" s="13"/>
      <c r="M130" s="66">
        <v>0.0</v>
      </c>
      <c r="N130" s="66">
        <v>0.0</v>
      </c>
      <c r="O130" s="66">
        <v>0.0</v>
      </c>
      <c r="P130" s="66">
        <v>0.0</v>
      </c>
      <c r="Q130" s="13"/>
      <c r="R130" s="13"/>
      <c r="S130" s="13"/>
      <c r="T130" s="13"/>
      <c r="U130" s="13"/>
      <c r="V130" s="66">
        <v>0.0</v>
      </c>
      <c r="W130" s="66">
        <v>0.0</v>
      </c>
      <c r="X130" s="66">
        <v>0.0</v>
      </c>
      <c r="Y130" s="66">
        <v>0.0</v>
      </c>
      <c r="Z130" s="66">
        <v>0.0</v>
      </c>
      <c r="AA130" s="66">
        <v>0.0</v>
      </c>
      <c r="AB130" s="6">
        <f t="shared" si="36"/>
        <v>0</v>
      </c>
    </row>
    <row r="131" ht="12.75" customHeight="1">
      <c r="A131" s="13" t="s">
        <v>14</v>
      </c>
      <c r="B131" s="49" t="s">
        <v>45</v>
      </c>
      <c r="C131" s="8"/>
      <c r="D131" s="9"/>
      <c r="E131" s="54">
        <f t="shared" ref="E131:AA131" si="37">SUM(E126:E130)</f>
        <v>0</v>
      </c>
      <c r="F131" s="54">
        <f t="shared" si="37"/>
        <v>0</v>
      </c>
      <c r="G131" s="54">
        <f t="shared" si="37"/>
        <v>1</v>
      </c>
      <c r="H131" s="54">
        <f t="shared" si="37"/>
        <v>0</v>
      </c>
      <c r="I131" s="54">
        <f t="shared" si="37"/>
        <v>0</v>
      </c>
      <c r="J131" s="54">
        <f t="shared" si="37"/>
        <v>0</v>
      </c>
      <c r="K131" s="54">
        <f t="shared" si="37"/>
        <v>4</v>
      </c>
      <c r="L131" s="54">
        <f t="shared" si="37"/>
        <v>1</v>
      </c>
      <c r="M131" s="54">
        <f t="shared" si="37"/>
        <v>0</v>
      </c>
      <c r="N131" s="54">
        <f t="shared" si="37"/>
        <v>1</v>
      </c>
      <c r="O131" s="54">
        <f t="shared" si="37"/>
        <v>0</v>
      </c>
      <c r="P131" s="54">
        <f t="shared" si="37"/>
        <v>1</v>
      </c>
      <c r="Q131" s="54">
        <f t="shared" si="37"/>
        <v>0</v>
      </c>
      <c r="R131" s="54">
        <f t="shared" si="37"/>
        <v>1</v>
      </c>
      <c r="S131" s="54">
        <f t="shared" si="37"/>
        <v>0</v>
      </c>
      <c r="T131" s="54">
        <f t="shared" si="37"/>
        <v>0</v>
      </c>
      <c r="U131" s="54">
        <f t="shared" si="37"/>
        <v>0</v>
      </c>
      <c r="V131" s="54">
        <f t="shared" si="37"/>
        <v>0</v>
      </c>
      <c r="W131" s="54">
        <f t="shared" si="37"/>
        <v>2</v>
      </c>
      <c r="X131" s="54">
        <f t="shared" si="37"/>
        <v>0</v>
      </c>
      <c r="Y131" s="54">
        <f t="shared" si="37"/>
        <v>3</v>
      </c>
      <c r="Z131" s="54">
        <f t="shared" si="37"/>
        <v>2</v>
      </c>
      <c r="AA131" s="54">
        <f t="shared" si="37"/>
        <v>1</v>
      </c>
      <c r="AB131" s="6">
        <f t="shared" si="36"/>
        <v>17</v>
      </c>
    </row>
    <row r="132" ht="12.75" customHeight="1">
      <c r="A132" s="55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6"/>
    </row>
    <row r="133" ht="12.75" customHeight="1">
      <c r="A133" s="32" t="s">
        <v>36</v>
      </c>
      <c r="B133" s="49" t="s">
        <v>109</v>
      </c>
      <c r="C133" s="50" t="s">
        <v>110</v>
      </c>
      <c r="D133" s="9"/>
      <c r="E133" s="13"/>
      <c r="F133" s="66">
        <v>1.0</v>
      </c>
      <c r="G133" s="13"/>
      <c r="H133" s="66">
        <v>0.0</v>
      </c>
      <c r="I133" s="66">
        <v>0.0</v>
      </c>
      <c r="J133" s="66">
        <v>0.0</v>
      </c>
      <c r="K133" s="13"/>
      <c r="L133" s="66">
        <v>1.0</v>
      </c>
      <c r="M133" s="66">
        <v>0.0</v>
      </c>
      <c r="N133" s="66">
        <v>0.0</v>
      </c>
      <c r="O133" s="66">
        <v>0.0</v>
      </c>
      <c r="P133" s="66">
        <v>0.0</v>
      </c>
      <c r="Q133" s="13"/>
      <c r="R133" s="13"/>
      <c r="S133" s="13"/>
      <c r="T133" s="66">
        <v>0.0</v>
      </c>
      <c r="U133" s="66">
        <v>1.0</v>
      </c>
      <c r="V133" s="66">
        <v>1.0</v>
      </c>
      <c r="W133" s="66">
        <v>0.0</v>
      </c>
      <c r="X133" s="66">
        <v>0.0</v>
      </c>
      <c r="Y133" s="66">
        <v>0.0</v>
      </c>
      <c r="Z133" s="66">
        <v>1.0</v>
      </c>
      <c r="AA133" s="66">
        <v>0.0</v>
      </c>
      <c r="AB133" s="6">
        <f t="shared" ref="AB133:AB140" si="38">SUM(E133:AA133)</f>
        <v>5</v>
      </c>
    </row>
    <row r="134" ht="12.75" customHeight="1">
      <c r="A134" s="32" t="s">
        <v>38</v>
      </c>
      <c r="B134" s="51"/>
      <c r="C134" s="52" t="s">
        <v>111</v>
      </c>
      <c r="D134" s="53"/>
      <c r="E134" s="13"/>
      <c r="F134" s="13"/>
      <c r="G134" s="13"/>
      <c r="H134" s="66">
        <v>0.0</v>
      </c>
      <c r="I134" s="66">
        <v>0.0</v>
      </c>
      <c r="J134" s="66">
        <v>0.0</v>
      </c>
      <c r="K134" s="13"/>
      <c r="L134" s="13"/>
      <c r="M134" s="66">
        <v>0.0</v>
      </c>
      <c r="N134" s="66">
        <v>0.0</v>
      </c>
      <c r="O134" s="66">
        <v>0.0</v>
      </c>
      <c r="P134" s="66">
        <v>0.0</v>
      </c>
      <c r="Q134" s="13"/>
      <c r="R134" s="13"/>
      <c r="S134" s="13"/>
      <c r="T134" s="66">
        <v>0.0</v>
      </c>
      <c r="U134" s="66">
        <v>0.0</v>
      </c>
      <c r="V134" s="66">
        <v>0.0</v>
      </c>
      <c r="W134" s="66">
        <v>0.0</v>
      </c>
      <c r="X134" s="66">
        <v>0.0</v>
      </c>
      <c r="Y134" s="66">
        <v>0.0</v>
      </c>
      <c r="Z134" s="66">
        <v>0.0</v>
      </c>
      <c r="AA134" s="66">
        <v>0.0</v>
      </c>
      <c r="AB134" s="6">
        <f t="shared" si="38"/>
        <v>0</v>
      </c>
    </row>
    <row r="135" ht="12.75" customHeight="1">
      <c r="A135" s="18"/>
      <c r="B135" s="51"/>
      <c r="C135" s="52" t="s">
        <v>112</v>
      </c>
      <c r="D135" s="53"/>
      <c r="E135" s="13"/>
      <c r="F135" s="13"/>
      <c r="G135" s="13"/>
      <c r="H135" s="66">
        <v>0.0</v>
      </c>
      <c r="I135" s="66">
        <v>0.0</v>
      </c>
      <c r="J135" s="66">
        <v>0.0</v>
      </c>
      <c r="K135" s="13"/>
      <c r="L135" s="13"/>
      <c r="M135" s="66">
        <v>0.0</v>
      </c>
      <c r="N135" s="66">
        <v>0.0</v>
      </c>
      <c r="O135" s="66">
        <v>0.0</v>
      </c>
      <c r="P135" s="66">
        <v>0.0</v>
      </c>
      <c r="Q135" s="13"/>
      <c r="R135" s="13"/>
      <c r="S135" s="13"/>
      <c r="T135" s="66">
        <v>0.0</v>
      </c>
      <c r="U135" s="13"/>
      <c r="V135" s="66">
        <v>0.0</v>
      </c>
      <c r="W135" s="66">
        <v>0.0</v>
      </c>
      <c r="X135" s="66">
        <v>1.0</v>
      </c>
      <c r="Y135" s="66">
        <v>0.0</v>
      </c>
      <c r="Z135" s="66">
        <v>0.0</v>
      </c>
      <c r="AA135" s="66">
        <v>0.0</v>
      </c>
      <c r="AB135" s="6">
        <f t="shared" si="38"/>
        <v>1</v>
      </c>
    </row>
    <row r="136" ht="12.75" customHeight="1">
      <c r="A136" s="18"/>
      <c r="B136" s="51"/>
      <c r="C136" s="52" t="s">
        <v>113</v>
      </c>
      <c r="D136" s="53"/>
      <c r="E136" s="13"/>
      <c r="F136" s="13"/>
      <c r="G136" s="13"/>
      <c r="H136" s="66">
        <v>0.0</v>
      </c>
      <c r="I136" s="66">
        <v>0.0</v>
      </c>
      <c r="J136" s="66">
        <v>0.0</v>
      </c>
      <c r="K136" s="13"/>
      <c r="L136" s="13"/>
      <c r="M136" s="66">
        <v>0.0</v>
      </c>
      <c r="N136" s="66">
        <v>0.0</v>
      </c>
      <c r="O136" s="66">
        <v>0.0</v>
      </c>
      <c r="P136" s="66">
        <v>0.0</v>
      </c>
      <c r="Q136" s="13"/>
      <c r="R136" s="13"/>
      <c r="S136" s="13"/>
      <c r="T136" s="66">
        <v>0.0</v>
      </c>
      <c r="U136" s="13"/>
      <c r="V136" s="66">
        <v>0.0</v>
      </c>
      <c r="W136" s="66">
        <v>0.0</v>
      </c>
      <c r="X136" s="66">
        <v>0.0</v>
      </c>
      <c r="Y136" s="66">
        <v>0.0</v>
      </c>
      <c r="Z136" s="66">
        <v>0.0</v>
      </c>
      <c r="AA136" s="66">
        <v>0.0</v>
      </c>
      <c r="AB136" s="6">
        <f t="shared" si="38"/>
        <v>0</v>
      </c>
    </row>
    <row r="137" ht="12.75" customHeight="1">
      <c r="A137" s="18"/>
      <c r="B137" s="51"/>
      <c r="C137" s="52" t="s">
        <v>114</v>
      </c>
      <c r="D137" s="53"/>
      <c r="E137" s="13"/>
      <c r="F137" s="13"/>
      <c r="G137" s="13"/>
      <c r="H137" s="66">
        <v>0.0</v>
      </c>
      <c r="I137" s="66">
        <v>0.0</v>
      </c>
      <c r="J137" s="66">
        <v>0.0</v>
      </c>
      <c r="K137" s="13"/>
      <c r="L137" s="13"/>
      <c r="M137" s="66">
        <v>0.0</v>
      </c>
      <c r="N137" s="66">
        <v>0.0</v>
      </c>
      <c r="O137" s="66">
        <v>0.0</v>
      </c>
      <c r="P137" s="66">
        <v>0.0</v>
      </c>
      <c r="Q137" s="13"/>
      <c r="R137" s="13"/>
      <c r="S137" s="13"/>
      <c r="T137" s="66">
        <v>0.0</v>
      </c>
      <c r="U137" s="13"/>
      <c r="V137" s="66">
        <v>0.0</v>
      </c>
      <c r="W137" s="66">
        <v>0.0</v>
      </c>
      <c r="X137" s="66">
        <v>0.0</v>
      </c>
      <c r="Y137" s="66">
        <v>1.0</v>
      </c>
      <c r="Z137" s="66">
        <v>0.0</v>
      </c>
      <c r="AA137" s="66">
        <v>0.0</v>
      </c>
      <c r="AB137" s="6">
        <f t="shared" si="38"/>
        <v>1</v>
      </c>
    </row>
    <row r="138" ht="12.75" customHeight="1">
      <c r="A138" s="18"/>
      <c r="B138" s="51"/>
      <c r="C138" s="52" t="s">
        <v>115</v>
      </c>
      <c r="D138" s="53"/>
      <c r="E138" s="13"/>
      <c r="F138" s="13"/>
      <c r="G138" s="13"/>
      <c r="H138" s="66">
        <v>0.0</v>
      </c>
      <c r="I138" s="66">
        <v>0.0</v>
      </c>
      <c r="J138" s="66">
        <v>0.0</v>
      </c>
      <c r="K138" s="13"/>
      <c r="L138" s="13"/>
      <c r="M138" s="66">
        <v>0.0</v>
      </c>
      <c r="N138" s="66">
        <v>0.0</v>
      </c>
      <c r="O138" s="66">
        <v>0.0</v>
      </c>
      <c r="P138" s="66">
        <v>0.0</v>
      </c>
      <c r="Q138" s="13"/>
      <c r="R138" s="13"/>
      <c r="S138" s="13"/>
      <c r="T138" s="66">
        <v>0.0</v>
      </c>
      <c r="U138" s="13"/>
      <c r="V138" s="66">
        <v>0.0</v>
      </c>
      <c r="W138" s="66">
        <v>0.0</v>
      </c>
      <c r="X138" s="66">
        <v>0.0</v>
      </c>
      <c r="Y138" s="66">
        <v>0.0</v>
      </c>
      <c r="Z138" s="66">
        <v>0.0</v>
      </c>
      <c r="AA138" s="66">
        <v>0.0</v>
      </c>
      <c r="AB138" s="6">
        <f t="shared" si="38"/>
        <v>0</v>
      </c>
    </row>
    <row r="139" ht="12.75" customHeight="1">
      <c r="A139" s="18"/>
      <c r="B139" s="51"/>
      <c r="C139" s="52" t="s">
        <v>116</v>
      </c>
      <c r="D139" s="53"/>
      <c r="E139" s="13"/>
      <c r="F139" s="13"/>
      <c r="G139" s="13"/>
      <c r="H139" s="66">
        <v>0.0</v>
      </c>
      <c r="I139" s="66">
        <v>0.0</v>
      </c>
      <c r="J139" s="66">
        <v>0.0</v>
      </c>
      <c r="K139" s="13"/>
      <c r="L139" s="13"/>
      <c r="M139" s="66">
        <v>0.0</v>
      </c>
      <c r="N139" s="66">
        <v>0.0</v>
      </c>
      <c r="O139" s="66">
        <v>0.0</v>
      </c>
      <c r="P139" s="66">
        <v>0.0</v>
      </c>
      <c r="Q139" s="13"/>
      <c r="R139" s="13"/>
      <c r="S139" s="13"/>
      <c r="T139" s="66">
        <v>0.0</v>
      </c>
      <c r="U139" s="13"/>
      <c r="V139" s="66">
        <v>0.0</v>
      </c>
      <c r="W139" s="66">
        <v>0.0</v>
      </c>
      <c r="X139" s="66">
        <v>0.0</v>
      </c>
      <c r="Y139" s="66">
        <v>0.0</v>
      </c>
      <c r="Z139" s="66">
        <v>0.0</v>
      </c>
      <c r="AA139" s="66">
        <v>0.0</v>
      </c>
      <c r="AB139" s="6">
        <f t="shared" si="38"/>
        <v>0</v>
      </c>
    </row>
    <row r="140" ht="12.75" customHeight="1">
      <c r="A140" s="13" t="s">
        <v>14</v>
      </c>
      <c r="B140" s="49" t="s">
        <v>45</v>
      </c>
      <c r="C140" s="8"/>
      <c r="D140" s="9"/>
      <c r="E140" s="54">
        <f t="shared" ref="E140:AA140" si="39">SUM(E133:E139)</f>
        <v>0</v>
      </c>
      <c r="F140" s="54">
        <f t="shared" si="39"/>
        <v>1</v>
      </c>
      <c r="G140" s="54">
        <f t="shared" si="39"/>
        <v>0</v>
      </c>
      <c r="H140" s="54">
        <f t="shared" si="39"/>
        <v>0</v>
      </c>
      <c r="I140" s="54">
        <f t="shared" si="39"/>
        <v>0</v>
      </c>
      <c r="J140" s="54">
        <f t="shared" si="39"/>
        <v>0</v>
      </c>
      <c r="K140" s="54">
        <f t="shared" si="39"/>
        <v>0</v>
      </c>
      <c r="L140" s="54">
        <f t="shared" si="39"/>
        <v>1</v>
      </c>
      <c r="M140" s="54">
        <f t="shared" si="39"/>
        <v>0</v>
      </c>
      <c r="N140" s="54">
        <f t="shared" si="39"/>
        <v>0</v>
      </c>
      <c r="O140" s="54">
        <f t="shared" si="39"/>
        <v>0</v>
      </c>
      <c r="P140" s="54">
        <f t="shared" si="39"/>
        <v>0</v>
      </c>
      <c r="Q140" s="54">
        <f t="shared" si="39"/>
        <v>0</v>
      </c>
      <c r="R140" s="54">
        <f t="shared" si="39"/>
        <v>0</v>
      </c>
      <c r="S140" s="54">
        <f t="shared" si="39"/>
        <v>0</v>
      </c>
      <c r="T140" s="54">
        <f t="shared" si="39"/>
        <v>0</v>
      </c>
      <c r="U140" s="54">
        <f t="shared" si="39"/>
        <v>1</v>
      </c>
      <c r="V140" s="54">
        <f t="shared" si="39"/>
        <v>1</v>
      </c>
      <c r="W140" s="54">
        <f t="shared" si="39"/>
        <v>0</v>
      </c>
      <c r="X140" s="54">
        <f t="shared" si="39"/>
        <v>1</v>
      </c>
      <c r="Y140" s="54">
        <f t="shared" si="39"/>
        <v>1</v>
      </c>
      <c r="Z140" s="54">
        <f t="shared" si="39"/>
        <v>1</v>
      </c>
      <c r="AA140" s="54">
        <f t="shared" si="39"/>
        <v>0</v>
      </c>
      <c r="AB140" s="6">
        <f t="shared" si="38"/>
        <v>7</v>
      </c>
    </row>
    <row r="141" ht="12.75" customHeight="1">
      <c r="A141" s="55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6"/>
    </row>
    <row r="142" ht="12.75" customHeight="1">
      <c r="A142" s="32" t="s">
        <v>36</v>
      </c>
      <c r="B142" s="49" t="s">
        <v>117</v>
      </c>
      <c r="C142" s="50" t="s">
        <v>118</v>
      </c>
      <c r="D142" s="9"/>
      <c r="E142" s="13"/>
      <c r="F142" s="13"/>
      <c r="G142" s="66">
        <v>3.0</v>
      </c>
      <c r="H142" s="66">
        <v>0.0</v>
      </c>
      <c r="I142" s="66">
        <v>1.0</v>
      </c>
      <c r="J142" s="66">
        <v>5.0</v>
      </c>
      <c r="K142" s="66">
        <v>4.0</v>
      </c>
      <c r="L142" s="66">
        <v>1.0</v>
      </c>
      <c r="M142" s="66">
        <v>0.0</v>
      </c>
      <c r="N142" s="66">
        <v>0.0</v>
      </c>
      <c r="O142" s="66">
        <v>0.0</v>
      </c>
      <c r="P142" s="66">
        <v>4.0</v>
      </c>
      <c r="Q142" s="66">
        <v>5.0</v>
      </c>
      <c r="R142" s="13"/>
      <c r="S142" s="66">
        <v>2.0</v>
      </c>
      <c r="T142" s="66">
        <v>7.0</v>
      </c>
      <c r="U142" s="66">
        <v>1.0</v>
      </c>
      <c r="V142" s="66">
        <v>1.0</v>
      </c>
      <c r="W142" s="66">
        <v>1.0</v>
      </c>
      <c r="X142" s="66">
        <v>1.0</v>
      </c>
      <c r="Y142" s="66">
        <v>0.0</v>
      </c>
      <c r="Z142" s="66">
        <v>6.0</v>
      </c>
      <c r="AA142" s="66">
        <v>2.0</v>
      </c>
      <c r="AB142" s="6">
        <f t="shared" ref="AB142:AB149" si="40">SUM(E142:AA142)</f>
        <v>44</v>
      </c>
    </row>
    <row r="143" ht="12.75" customHeight="1">
      <c r="A143" s="32" t="s">
        <v>38</v>
      </c>
      <c r="B143" s="51"/>
      <c r="C143" s="52" t="s">
        <v>119</v>
      </c>
      <c r="D143" s="53"/>
      <c r="E143" s="66">
        <v>12.0</v>
      </c>
      <c r="F143" s="66">
        <v>6.0</v>
      </c>
      <c r="G143" s="66">
        <v>5.0</v>
      </c>
      <c r="H143" s="66">
        <v>4.0</v>
      </c>
      <c r="I143" s="66">
        <v>7.0</v>
      </c>
      <c r="J143" s="66">
        <v>36.0</v>
      </c>
      <c r="K143" s="66">
        <v>5.0</v>
      </c>
      <c r="L143" s="66">
        <v>8.0</v>
      </c>
      <c r="M143" s="66">
        <v>4.0</v>
      </c>
      <c r="N143" s="66">
        <v>1.0</v>
      </c>
      <c r="O143" s="66">
        <v>9.0</v>
      </c>
      <c r="P143" s="66">
        <v>50.0</v>
      </c>
      <c r="Q143" s="66">
        <v>25.0</v>
      </c>
      <c r="R143" s="66">
        <v>8.0</v>
      </c>
      <c r="S143" s="66">
        <v>11.0</v>
      </c>
      <c r="T143" s="66">
        <v>16.0</v>
      </c>
      <c r="U143" s="66">
        <v>1.0</v>
      </c>
      <c r="V143" s="66">
        <v>1.0</v>
      </c>
      <c r="W143" s="66">
        <v>11.0</v>
      </c>
      <c r="X143" s="66">
        <v>1.0</v>
      </c>
      <c r="Y143" s="66">
        <v>0.0</v>
      </c>
      <c r="Z143" s="66">
        <v>6.0</v>
      </c>
      <c r="AA143" s="66">
        <v>2.0</v>
      </c>
      <c r="AB143" s="6">
        <f t="shared" si="40"/>
        <v>229</v>
      </c>
    </row>
    <row r="144" ht="12.75" customHeight="1">
      <c r="A144" s="18"/>
      <c r="B144" s="51"/>
      <c r="C144" s="52" t="s">
        <v>120</v>
      </c>
      <c r="D144" s="53"/>
      <c r="E144" s="66">
        <v>1.0</v>
      </c>
      <c r="F144" s="66">
        <v>2.0</v>
      </c>
      <c r="G144" s="13"/>
      <c r="H144" s="66">
        <v>1.0</v>
      </c>
      <c r="I144" s="66">
        <v>0.0</v>
      </c>
      <c r="J144" s="66">
        <v>0.0</v>
      </c>
      <c r="K144" s="66">
        <v>2.0</v>
      </c>
      <c r="L144" s="66">
        <v>1.0</v>
      </c>
      <c r="M144" s="66">
        <v>4.0</v>
      </c>
      <c r="N144" s="66">
        <v>0.0</v>
      </c>
      <c r="O144" s="66">
        <v>1.0</v>
      </c>
      <c r="P144" s="66">
        <v>2.0</v>
      </c>
      <c r="Q144" s="66">
        <v>1.0</v>
      </c>
      <c r="R144" s="13"/>
      <c r="S144" s="13"/>
      <c r="T144" s="13"/>
      <c r="U144" s="66">
        <v>1.0</v>
      </c>
      <c r="V144" s="66">
        <v>0.0</v>
      </c>
      <c r="W144" s="66">
        <v>1.0</v>
      </c>
      <c r="X144" s="66">
        <v>1.0</v>
      </c>
      <c r="Y144" s="66">
        <v>5.0</v>
      </c>
      <c r="Z144" s="66">
        <v>1.0</v>
      </c>
      <c r="AA144" s="66">
        <v>0.0</v>
      </c>
      <c r="AB144" s="6">
        <f t="shared" si="40"/>
        <v>24</v>
      </c>
    </row>
    <row r="145" ht="12.75" customHeight="1">
      <c r="A145" s="18"/>
      <c r="B145" s="51"/>
      <c r="C145" s="52" t="s">
        <v>121</v>
      </c>
      <c r="D145" s="53"/>
      <c r="E145" s="13"/>
      <c r="F145" s="13"/>
      <c r="G145" s="13"/>
      <c r="H145" s="66">
        <v>0.0</v>
      </c>
      <c r="I145" s="66">
        <v>1.0</v>
      </c>
      <c r="J145" s="66">
        <v>0.0</v>
      </c>
      <c r="K145" s="13"/>
      <c r="L145" s="13"/>
      <c r="M145" s="66">
        <v>0.0</v>
      </c>
      <c r="N145" s="66">
        <v>1.0</v>
      </c>
      <c r="O145" s="66">
        <v>1.0</v>
      </c>
      <c r="P145" s="66">
        <v>0.0</v>
      </c>
      <c r="Q145" s="13"/>
      <c r="R145" s="13"/>
      <c r="S145" s="13"/>
      <c r="T145" s="13"/>
      <c r="U145" s="13"/>
      <c r="V145" s="66">
        <v>0.0</v>
      </c>
      <c r="W145" s="66">
        <v>0.0</v>
      </c>
      <c r="X145" s="66">
        <v>0.0</v>
      </c>
      <c r="Y145" s="66">
        <v>1.0</v>
      </c>
      <c r="Z145" s="66">
        <v>0.0</v>
      </c>
      <c r="AA145" s="66">
        <v>1.0</v>
      </c>
      <c r="AB145" s="6">
        <f t="shared" si="40"/>
        <v>5</v>
      </c>
    </row>
    <row r="146" ht="12.75" customHeight="1">
      <c r="A146" s="18"/>
      <c r="B146" s="51"/>
      <c r="C146" s="52" t="s">
        <v>122</v>
      </c>
      <c r="D146" s="53"/>
      <c r="E146" s="13"/>
      <c r="F146" s="13"/>
      <c r="G146" s="66">
        <v>1.0</v>
      </c>
      <c r="H146" s="66">
        <v>0.0</v>
      </c>
      <c r="I146" s="66">
        <v>0.0</v>
      </c>
      <c r="J146" s="66">
        <v>0.0</v>
      </c>
      <c r="K146" s="66">
        <v>1.0</v>
      </c>
      <c r="L146" s="66">
        <v>1.0</v>
      </c>
      <c r="M146" s="66">
        <v>0.0</v>
      </c>
      <c r="N146" s="66">
        <v>0.0</v>
      </c>
      <c r="O146" s="66">
        <v>0.0</v>
      </c>
      <c r="P146" s="66">
        <v>1.0</v>
      </c>
      <c r="Q146" s="13"/>
      <c r="R146" s="66">
        <v>1.0</v>
      </c>
      <c r="S146" s="13"/>
      <c r="T146" s="13"/>
      <c r="U146" s="13"/>
      <c r="V146" s="66">
        <v>0.0</v>
      </c>
      <c r="W146" s="66">
        <v>0.0</v>
      </c>
      <c r="X146" s="66">
        <v>1.0</v>
      </c>
      <c r="Y146" s="66">
        <v>0.0</v>
      </c>
      <c r="Z146" s="66">
        <v>0.0</v>
      </c>
      <c r="AA146" s="66">
        <v>0.0</v>
      </c>
      <c r="AB146" s="6">
        <f t="shared" si="40"/>
        <v>6</v>
      </c>
    </row>
    <row r="147" ht="12.75" customHeight="1">
      <c r="A147" s="18"/>
      <c r="B147" s="51"/>
      <c r="C147" s="52" t="s">
        <v>123</v>
      </c>
      <c r="D147" s="53"/>
      <c r="E147" s="13"/>
      <c r="F147" s="13"/>
      <c r="G147" s="13"/>
      <c r="H147" s="66">
        <v>0.0</v>
      </c>
      <c r="I147" s="66">
        <v>1.0</v>
      </c>
      <c r="J147" s="66">
        <v>0.0</v>
      </c>
      <c r="K147" s="13"/>
      <c r="L147" s="13"/>
      <c r="M147" s="66">
        <v>0.0</v>
      </c>
      <c r="N147" s="66">
        <v>0.0</v>
      </c>
      <c r="O147" s="66">
        <v>0.0</v>
      </c>
      <c r="P147" s="66">
        <v>0.0</v>
      </c>
      <c r="Q147" s="13"/>
      <c r="R147" s="13"/>
      <c r="S147" s="13"/>
      <c r="T147" s="13"/>
      <c r="U147" s="13"/>
      <c r="V147" s="66">
        <v>0.0</v>
      </c>
      <c r="W147" s="66">
        <v>0.0</v>
      </c>
      <c r="X147" s="66">
        <v>0.0</v>
      </c>
      <c r="Y147" s="66">
        <v>0.0</v>
      </c>
      <c r="Z147" s="66">
        <v>0.0</v>
      </c>
      <c r="AA147" s="66">
        <v>1.0</v>
      </c>
      <c r="AB147" s="6">
        <f t="shared" si="40"/>
        <v>2</v>
      </c>
    </row>
    <row r="148" ht="12.75" customHeight="1">
      <c r="A148" s="18"/>
      <c r="B148" s="51"/>
      <c r="C148" s="52" t="s">
        <v>124</v>
      </c>
      <c r="D148" s="53"/>
      <c r="E148" s="13"/>
      <c r="F148" s="13"/>
      <c r="G148" s="13"/>
      <c r="H148" s="66">
        <v>0.0</v>
      </c>
      <c r="I148" s="66">
        <v>0.0</v>
      </c>
      <c r="J148" s="66">
        <v>0.0</v>
      </c>
      <c r="K148" s="13"/>
      <c r="L148" s="13"/>
      <c r="M148" s="66">
        <v>0.0</v>
      </c>
      <c r="N148" s="66">
        <v>0.0</v>
      </c>
      <c r="O148" s="66">
        <v>0.0</v>
      </c>
      <c r="P148" s="66">
        <v>0.0</v>
      </c>
      <c r="Q148" s="13"/>
      <c r="R148" s="13"/>
      <c r="S148" s="66">
        <v>1.0</v>
      </c>
      <c r="T148" s="13"/>
      <c r="U148" s="13"/>
      <c r="V148" s="66">
        <v>0.0</v>
      </c>
      <c r="W148" s="66">
        <v>0.0</v>
      </c>
      <c r="X148" s="66">
        <v>0.0</v>
      </c>
      <c r="Y148" s="66">
        <v>0.0</v>
      </c>
      <c r="Z148" s="66">
        <v>0.0</v>
      </c>
      <c r="AA148" s="66">
        <v>0.0</v>
      </c>
      <c r="AB148" s="6">
        <f t="shared" si="40"/>
        <v>1</v>
      </c>
    </row>
    <row r="149" ht="12.75" customHeight="1">
      <c r="A149" s="13" t="s">
        <v>14</v>
      </c>
      <c r="B149" s="49" t="s">
        <v>45</v>
      </c>
      <c r="C149" s="8"/>
      <c r="D149" s="9"/>
      <c r="E149" s="54">
        <f t="shared" ref="E149:AA149" si="41">SUM(E142:E148)</f>
        <v>13</v>
      </c>
      <c r="F149" s="54">
        <f t="shared" si="41"/>
        <v>8</v>
      </c>
      <c r="G149" s="54">
        <f t="shared" si="41"/>
        <v>9</v>
      </c>
      <c r="H149" s="54">
        <f t="shared" si="41"/>
        <v>5</v>
      </c>
      <c r="I149" s="54">
        <f t="shared" si="41"/>
        <v>10</v>
      </c>
      <c r="J149" s="54">
        <f t="shared" si="41"/>
        <v>41</v>
      </c>
      <c r="K149" s="54">
        <f t="shared" si="41"/>
        <v>12</v>
      </c>
      <c r="L149" s="54">
        <f t="shared" si="41"/>
        <v>11</v>
      </c>
      <c r="M149" s="54">
        <f t="shared" si="41"/>
        <v>8</v>
      </c>
      <c r="N149" s="54">
        <f t="shared" si="41"/>
        <v>2</v>
      </c>
      <c r="O149" s="54">
        <f t="shared" si="41"/>
        <v>11</v>
      </c>
      <c r="P149" s="54">
        <f t="shared" si="41"/>
        <v>57</v>
      </c>
      <c r="Q149" s="54">
        <f t="shared" si="41"/>
        <v>31</v>
      </c>
      <c r="R149" s="54">
        <f t="shared" si="41"/>
        <v>9</v>
      </c>
      <c r="S149" s="54">
        <f t="shared" si="41"/>
        <v>14</v>
      </c>
      <c r="T149" s="54">
        <f t="shared" si="41"/>
        <v>23</v>
      </c>
      <c r="U149" s="54">
        <f t="shared" si="41"/>
        <v>3</v>
      </c>
      <c r="V149" s="54">
        <f t="shared" si="41"/>
        <v>2</v>
      </c>
      <c r="W149" s="54">
        <f t="shared" si="41"/>
        <v>13</v>
      </c>
      <c r="X149" s="54">
        <f t="shared" si="41"/>
        <v>4</v>
      </c>
      <c r="Y149" s="54">
        <f t="shared" si="41"/>
        <v>6</v>
      </c>
      <c r="Z149" s="54">
        <f t="shared" si="41"/>
        <v>13</v>
      </c>
      <c r="AA149" s="54">
        <f t="shared" si="41"/>
        <v>6</v>
      </c>
      <c r="AB149" s="6">
        <f t="shared" si="40"/>
        <v>311</v>
      </c>
    </row>
    <row r="150" ht="12.75" customHeight="1">
      <c r="A150" s="55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6"/>
    </row>
    <row r="151" ht="12.75" customHeight="1">
      <c r="A151" s="32" t="s">
        <v>36</v>
      </c>
      <c r="B151" s="49" t="s">
        <v>125</v>
      </c>
      <c r="C151" s="50" t="s">
        <v>126</v>
      </c>
      <c r="D151" s="9"/>
      <c r="E151" s="13"/>
      <c r="F151" s="13"/>
      <c r="G151" s="13"/>
      <c r="H151" s="66">
        <v>0.0</v>
      </c>
      <c r="I151" s="66">
        <v>0.0</v>
      </c>
      <c r="J151" s="66">
        <v>0.0</v>
      </c>
      <c r="K151" s="66">
        <v>2.0</v>
      </c>
      <c r="L151" s="66">
        <v>0.0</v>
      </c>
      <c r="M151" s="66">
        <v>0.0</v>
      </c>
      <c r="N151" s="66">
        <v>2.0</v>
      </c>
      <c r="O151" s="66">
        <v>0.0</v>
      </c>
      <c r="P151" s="66">
        <v>0.0</v>
      </c>
      <c r="Q151" s="13"/>
      <c r="R151" s="13"/>
      <c r="S151" s="66">
        <v>0.0</v>
      </c>
      <c r="T151" s="66">
        <v>1.0</v>
      </c>
      <c r="U151" s="66">
        <v>1.0</v>
      </c>
      <c r="V151" s="66">
        <v>0.0</v>
      </c>
      <c r="W151" s="66">
        <v>2.0</v>
      </c>
      <c r="X151" s="66">
        <v>0.0</v>
      </c>
      <c r="Y151" s="66">
        <v>0.0</v>
      </c>
      <c r="Z151" s="66">
        <v>2.0</v>
      </c>
      <c r="AA151" s="66">
        <v>2.0</v>
      </c>
      <c r="AB151" s="6">
        <f t="shared" ref="AB151:AB153" si="42">SUM(E151:AA151)</f>
        <v>12</v>
      </c>
    </row>
    <row r="152" ht="12.75" customHeight="1">
      <c r="A152" s="32" t="s">
        <v>38</v>
      </c>
      <c r="B152" s="51"/>
      <c r="C152" s="52" t="s">
        <v>127</v>
      </c>
      <c r="D152" s="53"/>
      <c r="E152" s="66">
        <v>1.0</v>
      </c>
      <c r="F152" s="13"/>
      <c r="G152" s="66">
        <v>1.0</v>
      </c>
      <c r="H152" s="66">
        <v>0.0</v>
      </c>
      <c r="I152" s="66">
        <v>0.0</v>
      </c>
      <c r="J152" s="66">
        <v>1.0</v>
      </c>
      <c r="K152" s="66">
        <v>1.0</v>
      </c>
      <c r="L152" s="66">
        <v>1.0</v>
      </c>
      <c r="M152" s="66">
        <v>0.0</v>
      </c>
      <c r="N152" s="66">
        <v>0.0</v>
      </c>
      <c r="O152" s="66">
        <v>0.0</v>
      </c>
      <c r="P152" s="66">
        <v>2.0</v>
      </c>
      <c r="Q152" s="66">
        <v>1.0</v>
      </c>
      <c r="R152" s="66">
        <v>0.0</v>
      </c>
      <c r="S152" s="66">
        <v>0.0</v>
      </c>
      <c r="T152" s="13"/>
      <c r="U152" s="66">
        <v>2.0</v>
      </c>
      <c r="V152" s="66">
        <v>0.0</v>
      </c>
      <c r="W152" s="66">
        <v>1.0</v>
      </c>
      <c r="X152" s="66">
        <v>1.0</v>
      </c>
      <c r="Y152" s="66">
        <v>3.0</v>
      </c>
      <c r="Z152" s="66">
        <v>1.0</v>
      </c>
      <c r="AA152" s="66">
        <v>0.0</v>
      </c>
      <c r="AB152" s="6">
        <f t="shared" si="42"/>
        <v>16</v>
      </c>
    </row>
    <row r="153" ht="12.75" customHeight="1">
      <c r="A153" s="13" t="s">
        <v>14</v>
      </c>
      <c r="B153" s="49" t="s">
        <v>45</v>
      </c>
      <c r="C153" s="8"/>
      <c r="D153" s="9"/>
      <c r="E153" s="54">
        <f t="shared" ref="E153:AA153" si="43">SUM(E151:E152)</f>
        <v>1</v>
      </c>
      <c r="F153" s="54">
        <f t="shared" si="43"/>
        <v>0</v>
      </c>
      <c r="G153" s="54">
        <f t="shared" si="43"/>
        <v>1</v>
      </c>
      <c r="H153" s="54">
        <f t="shared" si="43"/>
        <v>0</v>
      </c>
      <c r="I153" s="54">
        <f t="shared" si="43"/>
        <v>0</v>
      </c>
      <c r="J153" s="54">
        <f t="shared" si="43"/>
        <v>1</v>
      </c>
      <c r="K153" s="54">
        <f t="shared" si="43"/>
        <v>3</v>
      </c>
      <c r="L153" s="54">
        <f t="shared" si="43"/>
        <v>1</v>
      </c>
      <c r="M153" s="54">
        <f t="shared" si="43"/>
        <v>0</v>
      </c>
      <c r="N153" s="54">
        <f t="shared" si="43"/>
        <v>2</v>
      </c>
      <c r="O153" s="54">
        <f t="shared" si="43"/>
        <v>0</v>
      </c>
      <c r="P153" s="54">
        <f t="shared" si="43"/>
        <v>2</v>
      </c>
      <c r="Q153" s="54">
        <f t="shared" si="43"/>
        <v>1</v>
      </c>
      <c r="R153" s="54">
        <f t="shared" si="43"/>
        <v>0</v>
      </c>
      <c r="S153" s="54">
        <f t="shared" si="43"/>
        <v>0</v>
      </c>
      <c r="T153" s="54">
        <f t="shared" si="43"/>
        <v>1</v>
      </c>
      <c r="U153" s="54">
        <f t="shared" si="43"/>
        <v>3</v>
      </c>
      <c r="V153" s="54">
        <f t="shared" si="43"/>
        <v>0</v>
      </c>
      <c r="W153" s="54">
        <f t="shared" si="43"/>
        <v>3</v>
      </c>
      <c r="X153" s="54">
        <f t="shared" si="43"/>
        <v>1</v>
      </c>
      <c r="Y153" s="54">
        <f t="shared" si="43"/>
        <v>3</v>
      </c>
      <c r="Z153" s="54">
        <f t="shared" si="43"/>
        <v>3</v>
      </c>
      <c r="AA153" s="54">
        <f t="shared" si="43"/>
        <v>2</v>
      </c>
      <c r="AB153" s="6">
        <f t="shared" si="42"/>
        <v>28</v>
      </c>
    </row>
    <row r="154" ht="12.75" customHeight="1">
      <c r="A154" s="55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6"/>
    </row>
    <row r="155" ht="12.75" customHeight="1">
      <c r="A155" s="32" t="s">
        <v>36</v>
      </c>
      <c r="B155" s="49" t="s">
        <v>128</v>
      </c>
      <c r="C155" s="50" t="s">
        <v>129</v>
      </c>
      <c r="D155" s="9"/>
      <c r="E155" s="13"/>
      <c r="F155" s="13"/>
      <c r="G155" s="13"/>
      <c r="H155" s="66">
        <v>1.0</v>
      </c>
      <c r="I155" s="66">
        <v>1.0</v>
      </c>
      <c r="J155" s="66">
        <v>1.0</v>
      </c>
      <c r="K155" s="66">
        <v>1.0</v>
      </c>
      <c r="L155" s="13"/>
      <c r="M155" s="66">
        <v>0.0</v>
      </c>
      <c r="N155" s="66">
        <v>0.0</v>
      </c>
      <c r="O155" s="66">
        <v>0.0</v>
      </c>
      <c r="P155" s="66">
        <v>0.0</v>
      </c>
      <c r="Q155" s="66">
        <v>1.0</v>
      </c>
      <c r="R155" s="66">
        <v>1.0</v>
      </c>
      <c r="S155" s="66">
        <v>0.0</v>
      </c>
      <c r="T155" s="13"/>
      <c r="U155" s="13"/>
      <c r="V155" s="66">
        <v>0.0</v>
      </c>
      <c r="W155" s="66">
        <v>0.0</v>
      </c>
      <c r="X155" s="66">
        <v>0.0</v>
      </c>
      <c r="Y155" s="66">
        <v>0.0</v>
      </c>
      <c r="Z155" s="66">
        <v>0.0</v>
      </c>
      <c r="AA155" s="66">
        <v>0.0</v>
      </c>
      <c r="AB155" s="6">
        <f t="shared" ref="AB155:AB159" si="44">SUM(E155:AA155)</f>
        <v>6</v>
      </c>
    </row>
    <row r="156" ht="12.75" customHeight="1">
      <c r="A156" s="32"/>
      <c r="B156" s="49"/>
      <c r="C156" s="52" t="s">
        <v>130</v>
      </c>
      <c r="D156" s="61"/>
      <c r="E156" s="13"/>
      <c r="F156" s="66">
        <v>1.0</v>
      </c>
      <c r="G156" s="66">
        <v>2.0</v>
      </c>
      <c r="H156" s="66">
        <v>3.0</v>
      </c>
      <c r="I156" s="66">
        <v>13.0</v>
      </c>
      <c r="J156" s="66">
        <v>3.0</v>
      </c>
      <c r="K156" s="66">
        <v>2.0</v>
      </c>
      <c r="L156" s="13"/>
      <c r="M156" s="66">
        <v>0.0</v>
      </c>
      <c r="N156" s="66">
        <v>0.0</v>
      </c>
      <c r="O156" s="66">
        <v>0.0</v>
      </c>
      <c r="P156" s="66">
        <v>0.0</v>
      </c>
      <c r="Q156" s="66">
        <v>2.0</v>
      </c>
      <c r="R156" s="13"/>
      <c r="S156" s="66">
        <v>0.0</v>
      </c>
      <c r="T156" s="13"/>
      <c r="U156" s="13"/>
      <c r="V156" s="66">
        <v>0.0</v>
      </c>
      <c r="W156" s="66">
        <v>0.0</v>
      </c>
      <c r="X156" s="66">
        <v>0.0</v>
      </c>
      <c r="Y156" s="66">
        <v>0.0</v>
      </c>
      <c r="Z156" s="66">
        <v>0.0</v>
      </c>
      <c r="AA156" s="66">
        <v>0.0</v>
      </c>
      <c r="AB156" s="6">
        <f t="shared" si="44"/>
        <v>26</v>
      </c>
    </row>
    <row r="157" ht="12.75" customHeight="1">
      <c r="A157" s="32"/>
      <c r="B157" s="49"/>
      <c r="C157" s="52" t="s">
        <v>131</v>
      </c>
      <c r="D157" s="61"/>
      <c r="E157" s="13"/>
      <c r="F157" s="13"/>
      <c r="G157" s="13"/>
      <c r="H157" s="66">
        <v>0.0</v>
      </c>
      <c r="I157" s="66">
        <v>1.0</v>
      </c>
      <c r="J157" s="66">
        <v>0.0</v>
      </c>
      <c r="K157" s="66">
        <v>0.0</v>
      </c>
      <c r="L157" s="13"/>
      <c r="M157" s="66">
        <v>0.0</v>
      </c>
      <c r="N157" s="66">
        <v>0.0</v>
      </c>
      <c r="O157" s="66">
        <v>0.0</v>
      </c>
      <c r="P157" s="66">
        <v>0.0</v>
      </c>
      <c r="Q157" s="13"/>
      <c r="R157" s="13"/>
      <c r="S157" s="66">
        <v>0.0</v>
      </c>
      <c r="T157" s="13"/>
      <c r="U157" s="13"/>
      <c r="V157" s="66">
        <v>0.0</v>
      </c>
      <c r="W157" s="66">
        <v>0.0</v>
      </c>
      <c r="X157" s="66">
        <v>0.0</v>
      </c>
      <c r="Y157" s="66">
        <v>0.0</v>
      </c>
      <c r="Z157" s="66">
        <v>0.0</v>
      </c>
      <c r="AA157" s="66">
        <v>0.0</v>
      </c>
      <c r="AB157" s="6">
        <f t="shared" si="44"/>
        <v>1</v>
      </c>
    </row>
    <row r="158" ht="12.75" customHeight="1">
      <c r="A158" s="32"/>
      <c r="B158" s="49"/>
      <c r="C158" s="52" t="s">
        <v>132</v>
      </c>
      <c r="D158" s="61"/>
      <c r="E158" s="13"/>
      <c r="F158" s="13"/>
      <c r="G158" s="13"/>
      <c r="H158" s="66">
        <v>0.0</v>
      </c>
      <c r="I158" s="66">
        <v>0.0</v>
      </c>
      <c r="J158" s="66">
        <v>0.0</v>
      </c>
      <c r="K158" s="13"/>
      <c r="L158" s="13"/>
      <c r="M158" s="66">
        <v>0.0</v>
      </c>
      <c r="N158" s="66">
        <v>0.0</v>
      </c>
      <c r="O158" s="66">
        <v>0.0</v>
      </c>
      <c r="P158" s="66">
        <v>0.0</v>
      </c>
      <c r="Q158" s="13"/>
      <c r="R158" s="13"/>
      <c r="S158" s="66">
        <v>0.0</v>
      </c>
      <c r="T158" s="13"/>
      <c r="U158" s="13"/>
      <c r="V158" s="66">
        <v>0.0</v>
      </c>
      <c r="W158" s="66">
        <v>0.0</v>
      </c>
      <c r="X158" s="66">
        <v>0.0</v>
      </c>
      <c r="Y158" s="66">
        <v>0.0</v>
      </c>
      <c r="Z158" s="66">
        <v>0.0</v>
      </c>
      <c r="AA158" s="66">
        <v>0.0</v>
      </c>
      <c r="AB158" s="6">
        <f t="shared" si="44"/>
        <v>0</v>
      </c>
    </row>
    <row r="159" ht="12.75" customHeight="1">
      <c r="A159" s="13" t="s">
        <v>14</v>
      </c>
      <c r="B159" s="49" t="s">
        <v>45</v>
      </c>
      <c r="C159" s="8"/>
      <c r="D159" s="9"/>
      <c r="E159" s="54">
        <f t="shared" ref="E159:AA159" si="45">SUM(E155:E158)</f>
        <v>0</v>
      </c>
      <c r="F159" s="54">
        <f t="shared" si="45"/>
        <v>1</v>
      </c>
      <c r="G159" s="54">
        <f t="shared" si="45"/>
        <v>2</v>
      </c>
      <c r="H159" s="54">
        <f t="shared" si="45"/>
        <v>4</v>
      </c>
      <c r="I159" s="54">
        <f t="shared" si="45"/>
        <v>15</v>
      </c>
      <c r="J159" s="54">
        <f t="shared" si="45"/>
        <v>4</v>
      </c>
      <c r="K159" s="54">
        <f t="shared" si="45"/>
        <v>3</v>
      </c>
      <c r="L159" s="54">
        <f t="shared" si="45"/>
        <v>0</v>
      </c>
      <c r="M159" s="54">
        <f t="shared" si="45"/>
        <v>0</v>
      </c>
      <c r="N159" s="54">
        <f t="shared" si="45"/>
        <v>0</v>
      </c>
      <c r="O159" s="54">
        <f t="shared" si="45"/>
        <v>0</v>
      </c>
      <c r="P159" s="54">
        <f t="shared" si="45"/>
        <v>0</v>
      </c>
      <c r="Q159" s="54">
        <f t="shared" si="45"/>
        <v>3</v>
      </c>
      <c r="R159" s="54">
        <f t="shared" si="45"/>
        <v>1</v>
      </c>
      <c r="S159" s="54">
        <f t="shared" si="45"/>
        <v>0</v>
      </c>
      <c r="T159" s="54">
        <f t="shared" si="45"/>
        <v>0</v>
      </c>
      <c r="U159" s="54">
        <f t="shared" si="45"/>
        <v>0</v>
      </c>
      <c r="V159" s="54">
        <f t="shared" si="45"/>
        <v>0</v>
      </c>
      <c r="W159" s="54">
        <f t="shared" si="45"/>
        <v>0</v>
      </c>
      <c r="X159" s="54">
        <f t="shared" si="45"/>
        <v>0</v>
      </c>
      <c r="Y159" s="54">
        <f t="shared" si="45"/>
        <v>0</v>
      </c>
      <c r="Z159" s="54">
        <f t="shared" si="45"/>
        <v>0</v>
      </c>
      <c r="AA159" s="54">
        <f t="shared" si="45"/>
        <v>0</v>
      </c>
      <c r="AB159" s="6">
        <f t="shared" si="44"/>
        <v>33</v>
      </c>
    </row>
    <row r="160" ht="12.75" customHeight="1">
      <c r="A160" s="55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6"/>
    </row>
    <row r="161" ht="12.75" customHeight="1">
      <c r="A161" s="32" t="s">
        <v>36</v>
      </c>
      <c r="B161" s="49" t="s">
        <v>133</v>
      </c>
      <c r="C161" s="50" t="s">
        <v>134</v>
      </c>
      <c r="D161" s="9"/>
      <c r="E161" s="13"/>
      <c r="F161" s="13"/>
      <c r="G161" s="13"/>
      <c r="H161" s="66">
        <v>0.0</v>
      </c>
      <c r="I161" s="66">
        <v>0.0</v>
      </c>
      <c r="J161" s="66">
        <v>1.0</v>
      </c>
      <c r="K161" s="66">
        <v>1.0</v>
      </c>
      <c r="L161" s="13"/>
      <c r="M161" s="66">
        <v>0.0</v>
      </c>
      <c r="N161" s="66">
        <v>0.0</v>
      </c>
      <c r="O161" s="66">
        <v>0.0</v>
      </c>
      <c r="P161" s="66">
        <v>1.0</v>
      </c>
      <c r="Q161" s="13"/>
      <c r="R161" s="66">
        <v>1.0</v>
      </c>
      <c r="S161" s="13"/>
      <c r="T161" s="13"/>
      <c r="U161" s="13"/>
      <c r="V161" s="66">
        <v>2.0</v>
      </c>
      <c r="W161" s="66">
        <v>0.0</v>
      </c>
      <c r="X161" s="66">
        <v>0.0</v>
      </c>
      <c r="Y161" s="66">
        <v>0.0</v>
      </c>
      <c r="Z161" s="66">
        <v>0.0</v>
      </c>
      <c r="AA161" s="66">
        <v>0.0</v>
      </c>
      <c r="AB161" s="6">
        <f t="shared" ref="AB161:AB168" si="46">SUM(E161:AA161)</f>
        <v>6</v>
      </c>
    </row>
    <row r="162" ht="12.75" customHeight="1">
      <c r="A162" s="32" t="s">
        <v>38</v>
      </c>
      <c r="B162" s="51"/>
      <c r="C162" s="52" t="s">
        <v>135</v>
      </c>
      <c r="D162" s="53"/>
      <c r="E162" s="13"/>
      <c r="F162" s="13"/>
      <c r="G162" s="13"/>
      <c r="H162" s="66">
        <v>1.0</v>
      </c>
      <c r="I162" s="66">
        <v>0.0</v>
      </c>
      <c r="J162" s="66">
        <v>0.0</v>
      </c>
      <c r="K162" s="13"/>
      <c r="L162" s="13"/>
      <c r="M162" s="66">
        <v>0.0</v>
      </c>
      <c r="N162" s="66">
        <v>0.0</v>
      </c>
      <c r="O162" s="66">
        <v>0.0</v>
      </c>
      <c r="P162" s="66">
        <v>3.0</v>
      </c>
      <c r="Q162" s="13"/>
      <c r="R162" s="66">
        <v>1.0</v>
      </c>
      <c r="S162" s="13"/>
      <c r="T162" s="66">
        <v>1.0</v>
      </c>
      <c r="U162" s="66">
        <v>3.0</v>
      </c>
      <c r="V162" s="66">
        <v>1.0</v>
      </c>
      <c r="W162" s="66">
        <v>9.0</v>
      </c>
      <c r="X162" s="66">
        <v>0.0</v>
      </c>
      <c r="Y162" s="66">
        <v>0.0</v>
      </c>
      <c r="Z162" s="66">
        <v>0.0</v>
      </c>
      <c r="AA162" s="66">
        <v>5.0</v>
      </c>
      <c r="AB162" s="6">
        <f t="shared" si="46"/>
        <v>24</v>
      </c>
    </row>
    <row r="163" ht="12.75" customHeight="1">
      <c r="A163" s="18"/>
      <c r="B163" s="51"/>
      <c r="C163" s="52" t="s">
        <v>136</v>
      </c>
      <c r="D163" s="53"/>
      <c r="E163" s="13"/>
      <c r="F163" s="13"/>
      <c r="G163" s="13"/>
      <c r="H163" s="66">
        <v>0.0</v>
      </c>
      <c r="I163" s="66">
        <v>0.0</v>
      </c>
      <c r="J163" s="66">
        <v>0.0</v>
      </c>
      <c r="K163" s="13"/>
      <c r="L163" s="13"/>
      <c r="M163" s="66">
        <v>0.0</v>
      </c>
      <c r="N163" s="66">
        <v>0.0</v>
      </c>
      <c r="O163" s="66">
        <v>0.0</v>
      </c>
      <c r="P163" s="66">
        <v>0.0</v>
      </c>
      <c r="Q163" s="13"/>
      <c r="R163" s="13"/>
      <c r="S163" s="13"/>
      <c r="T163" s="13"/>
      <c r="U163" s="66">
        <v>1.0</v>
      </c>
      <c r="V163" s="66">
        <v>0.0</v>
      </c>
      <c r="W163" s="66">
        <v>0.0</v>
      </c>
      <c r="X163" s="66">
        <v>0.0</v>
      </c>
      <c r="Y163" s="66">
        <v>0.0</v>
      </c>
      <c r="Z163" s="66">
        <v>0.0</v>
      </c>
      <c r="AA163" s="66">
        <v>0.0</v>
      </c>
      <c r="AB163" s="6">
        <f t="shared" si="46"/>
        <v>1</v>
      </c>
    </row>
    <row r="164" ht="12.75" customHeight="1">
      <c r="A164" s="18"/>
      <c r="B164" s="51"/>
      <c r="C164" s="52" t="s">
        <v>137</v>
      </c>
      <c r="D164" s="53"/>
      <c r="E164" s="13"/>
      <c r="F164" s="13"/>
      <c r="G164" s="13"/>
      <c r="H164" s="66">
        <v>0.0</v>
      </c>
      <c r="I164" s="66">
        <v>0.0</v>
      </c>
      <c r="J164" s="66">
        <v>0.0</v>
      </c>
      <c r="K164" s="13"/>
      <c r="L164" s="13"/>
      <c r="M164" s="66">
        <v>0.0</v>
      </c>
      <c r="N164" s="66">
        <v>0.0</v>
      </c>
      <c r="O164" s="66">
        <v>0.0</v>
      </c>
      <c r="P164" s="66">
        <v>0.0</v>
      </c>
      <c r="Q164" s="13"/>
      <c r="R164" s="13"/>
      <c r="S164" s="13"/>
      <c r="T164" s="13"/>
      <c r="U164" s="13"/>
      <c r="V164" s="66">
        <v>0.0</v>
      </c>
      <c r="W164" s="66">
        <v>0.0</v>
      </c>
      <c r="X164" s="66">
        <v>1.0</v>
      </c>
      <c r="Y164" s="66">
        <v>0.0</v>
      </c>
      <c r="Z164" s="66">
        <v>0.0</v>
      </c>
      <c r="AA164" s="66">
        <v>0.0</v>
      </c>
      <c r="AB164" s="6">
        <f t="shared" si="46"/>
        <v>1</v>
      </c>
    </row>
    <row r="165" ht="12.75" customHeight="1">
      <c r="A165" s="18"/>
      <c r="B165" s="51"/>
      <c r="C165" s="52" t="s">
        <v>138</v>
      </c>
      <c r="D165" s="53"/>
      <c r="E165" s="13"/>
      <c r="F165" s="13"/>
      <c r="G165" s="13"/>
      <c r="H165" s="66">
        <v>0.0</v>
      </c>
      <c r="I165" s="66">
        <v>0.0</v>
      </c>
      <c r="J165" s="66">
        <v>0.0</v>
      </c>
      <c r="K165" s="13"/>
      <c r="L165" s="13"/>
      <c r="M165" s="66">
        <v>0.0</v>
      </c>
      <c r="N165" s="66">
        <v>0.0</v>
      </c>
      <c r="O165" s="66">
        <v>0.0</v>
      </c>
      <c r="P165" s="66">
        <v>0.0</v>
      </c>
      <c r="Q165" s="13"/>
      <c r="R165" s="13"/>
      <c r="S165" s="13"/>
      <c r="T165" s="13"/>
      <c r="U165" s="13"/>
      <c r="V165" s="66">
        <v>0.0</v>
      </c>
      <c r="W165" s="66">
        <v>1.0</v>
      </c>
      <c r="X165" s="66">
        <v>0.0</v>
      </c>
      <c r="Y165" s="66">
        <v>0.0</v>
      </c>
      <c r="Z165" s="66">
        <v>0.0</v>
      </c>
      <c r="AA165" s="66">
        <v>0.0</v>
      </c>
      <c r="AB165" s="6">
        <f t="shared" si="46"/>
        <v>1</v>
      </c>
    </row>
    <row r="166" ht="12.75" customHeight="1">
      <c r="A166" s="18"/>
      <c r="B166" s="51"/>
      <c r="C166" s="52" t="s">
        <v>139</v>
      </c>
      <c r="D166" s="53"/>
      <c r="E166" s="13"/>
      <c r="F166" s="13"/>
      <c r="G166" s="13"/>
      <c r="H166" s="66">
        <v>0.0</v>
      </c>
      <c r="I166" s="66">
        <v>0.0</v>
      </c>
      <c r="J166" s="66">
        <v>1.0</v>
      </c>
      <c r="K166" s="13"/>
      <c r="L166" s="13"/>
      <c r="M166" s="66">
        <v>0.0</v>
      </c>
      <c r="N166" s="66">
        <v>0.0</v>
      </c>
      <c r="O166" s="66">
        <v>0.0</v>
      </c>
      <c r="P166" s="66">
        <v>0.0</v>
      </c>
      <c r="Q166" s="13"/>
      <c r="R166" s="13"/>
      <c r="S166" s="13"/>
      <c r="T166" s="13"/>
      <c r="U166" s="13"/>
      <c r="V166" s="66">
        <v>0.0</v>
      </c>
      <c r="W166" s="66">
        <v>0.0</v>
      </c>
      <c r="X166" s="66">
        <v>0.0</v>
      </c>
      <c r="Y166" s="66">
        <v>0.0</v>
      </c>
      <c r="Z166" s="66">
        <v>0.0</v>
      </c>
      <c r="AA166" s="66">
        <v>0.0</v>
      </c>
      <c r="AB166" s="6">
        <f t="shared" si="46"/>
        <v>1</v>
      </c>
    </row>
    <row r="167" ht="12.75" customHeight="1">
      <c r="A167" s="18"/>
      <c r="B167" s="51"/>
      <c r="C167" s="52" t="s">
        <v>140</v>
      </c>
      <c r="D167" s="53"/>
      <c r="E167" s="13"/>
      <c r="F167" s="13"/>
      <c r="G167" s="13"/>
      <c r="H167" s="66">
        <v>0.0</v>
      </c>
      <c r="I167" s="66">
        <v>0.0</v>
      </c>
      <c r="J167" s="66">
        <v>0.0</v>
      </c>
      <c r="K167" s="13"/>
      <c r="L167" s="13"/>
      <c r="M167" s="66">
        <v>0.0</v>
      </c>
      <c r="N167" s="66">
        <v>0.0</v>
      </c>
      <c r="O167" s="66">
        <v>0.0</v>
      </c>
      <c r="P167" s="66">
        <v>0.0</v>
      </c>
      <c r="Q167" s="13"/>
      <c r="R167" s="13"/>
      <c r="S167" s="13"/>
      <c r="T167" s="13"/>
      <c r="U167" s="13"/>
      <c r="V167" s="66">
        <v>0.0</v>
      </c>
      <c r="W167" s="66">
        <v>0.0</v>
      </c>
      <c r="X167" s="66">
        <v>0.0</v>
      </c>
      <c r="Y167" s="66">
        <v>0.0</v>
      </c>
      <c r="Z167" s="66">
        <v>0.0</v>
      </c>
      <c r="AA167" s="66">
        <v>0.0</v>
      </c>
      <c r="AB167" s="6">
        <f t="shared" si="46"/>
        <v>0</v>
      </c>
    </row>
    <row r="168" ht="12.75" customHeight="1">
      <c r="A168" s="13" t="s">
        <v>14</v>
      </c>
      <c r="B168" s="49" t="s">
        <v>45</v>
      </c>
      <c r="C168" s="8"/>
      <c r="D168" s="9"/>
      <c r="E168" s="54">
        <f t="shared" ref="E168:AA168" si="47">SUM(E161:E167)</f>
        <v>0</v>
      </c>
      <c r="F168" s="54">
        <f t="shared" si="47"/>
        <v>0</v>
      </c>
      <c r="G168" s="54">
        <f t="shared" si="47"/>
        <v>0</v>
      </c>
      <c r="H168" s="54">
        <f t="shared" si="47"/>
        <v>1</v>
      </c>
      <c r="I168" s="54">
        <f t="shared" si="47"/>
        <v>0</v>
      </c>
      <c r="J168" s="54">
        <f t="shared" si="47"/>
        <v>2</v>
      </c>
      <c r="K168" s="54">
        <f t="shared" si="47"/>
        <v>1</v>
      </c>
      <c r="L168" s="54">
        <f t="shared" si="47"/>
        <v>0</v>
      </c>
      <c r="M168" s="54">
        <f t="shared" si="47"/>
        <v>0</v>
      </c>
      <c r="N168" s="54">
        <f t="shared" si="47"/>
        <v>0</v>
      </c>
      <c r="O168" s="54">
        <f t="shared" si="47"/>
        <v>0</v>
      </c>
      <c r="P168" s="54">
        <f t="shared" si="47"/>
        <v>4</v>
      </c>
      <c r="Q168" s="54">
        <f t="shared" si="47"/>
        <v>0</v>
      </c>
      <c r="R168" s="54">
        <f t="shared" si="47"/>
        <v>2</v>
      </c>
      <c r="S168" s="54">
        <f t="shared" si="47"/>
        <v>0</v>
      </c>
      <c r="T168" s="54">
        <f t="shared" si="47"/>
        <v>1</v>
      </c>
      <c r="U168" s="54">
        <f t="shared" si="47"/>
        <v>4</v>
      </c>
      <c r="V168" s="54">
        <f t="shared" si="47"/>
        <v>3</v>
      </c>
      <c r="W168" s="54">
        <f t="shared" si="47"/>
        <v>10</v>
      </c>
      <c r="X168" s="54">
        <f t="shared" si="47"/>
        <v>1</v>
      </c>
      <c r="Y168" s="54">
        <f t="shared" si="47"/>
        <v>0</v>
      </c>
      <c r="Z168" s="54">
        <f t="shared" si="47"/>
        <v>0</v>
      </c>
      <c r="AA168" s="54">
        <f t="shared" si="47"/>
        <v>5</v>
      </c>
      <c r="AB168" s="6">
        <f t="shared" si="46"/>
        <v>34</v>
      </c>
    </row>
    <row r="169" ht="12.75" customHeight="1">
      <c r="A169" s="55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6"/>
    </row>
    <row r="170" ht="12.75" customHeight="1">
      <c r="A170" s="32" t="s">
        <v>36</v>
      </c>
      <c r="B170" s="49" t="s">
        <v>141</v>
      </c>
      <c r="C170" s="50" t="s">
        <v>142</v>
      </c>
      <c r="D170" s="9"/>
      <c r="E170" s="66">
        <v>1.0</v>
      </c>
      <c r="F170" s="13"/>
      <c r="G170" s="13"/>
      <c r="H170" s="66">
        <v>0.0</v>
      </c>
      <c r="I170" s="66">
        <v>1.0</v>
      </c>
      <c r="J170" s="66">
        <v>0.0</v>
      </c>
      <c r="K170" s="66">
        <v>1.0</v>
      </c>
      <c r="L170" s="66">
        <v>0.0</v>
      </c>
      <c r="M170" s="66">
        <v>1.0</v>
      </c>
      <c r="N170" s="66">
        <v>0.0</v>
      </c>
      <c r="O170" s="66">
        <v>0.0</v>
      </c>
      <c r="P170" s="66">
        <v>1.0</v>
      </c>
      <c r="Q170" s="13"/>
      <c r="R170" s="13"/>
      <c r="S170" s="13"/>
      <c r="T170" s="13"/>
      <c r="U170" s="13"/>
      <c r="V170" s="66">
        <v>0.0</v>
      </c>
      <c r="W170" s="66">
        <v>1.0</v>
      </c>
      <c r="X170" s="66">
        <v>0.0</v>
      </c>
      <c r="Y170" s="66">
        <v>1.0</v>
      </c>
      <c r="Z170" s="66">
        <v>0.0</v>
      </c>
      <c r="AA170" s="66">
        <v>0.0</v>
      </c>
      <c r="AB170" s="6">
        <f t="shared" ref="AB170:AB172" si="48">SUM(E170:AA170)</f>
        <v>7</v>
      </c>
    </row>
    <row r="171" ht="12.75" customHeight="1">
      <c r="A171" s="32" t="s">
        <v>38</v>
      </c>
      <c r="B171" s="51"/>
      <c r="C171" s="52" t="s">
        <v>143</v>
      </c>
      <c r="D171" s="53"/>
      <c r="E171" s="13"/>
      <c r="F171" s="13"/>
      <c r="G171" s="13"/>
      <c r="H171" s="66">
        <v>0.0</v>
      </c>
      <c r="I171" s="66">
        <v>0.0</v>
      </c>
      <c r="J171" s="66">
        <v>0.0</v>
      </c>
      <c r="K171" s="13"/>
      <c r="L171" s="66">
        <v>0.0</v>
      </c>
      <c r="M171" s="66">
        <v>0.0</v>
      </c>
      <c r="N171" s="66">
        <v>0.0</v>
      </c>
      <c r="O171" s="66">
        <v>0.0</v>
      </c>
      <c r="P171" s="66">
        <v>0.0</v>
      </c>
      <c r="Q171" s="13"/>
      <c r="R171" s="13"/>
      <c r="S171" s="13"/>
      <c r="T171" s="13"/>
      <c r="U171" s="13"/>
      <c r="V171" s="66">
        <v>0.0</v>
      </c>
      <c r="W171" s="66">
        <v>0.0</v>
      </c>
      <c r="X171" s="66">
        <v>0.0</v>
      </c>
      <c r="Y171" s="66">
        <v>0.0</v>
      </c>
      <c r="Z171" s="66">
        <v>0.0</v>
      </c>
      <c r="AA171" s="66">
        <v>0.0</v>
      </c>
      <c r="AB171" s="6">
        <f t="shared" si="48"/>
        <v>0</v>
      </c>
    </row>
    <row r="172" ht="12.75" customHeight="1">
      <c r="A172" s="13" t="s">
        <v>14</v>
      </c>
      <c r="B172" s="49" t="s">
        <v>45</v>
      </c>
      <c r="C172" s="8"/>
      <c r="D172" s="9"/>
      <c r="E172" s="54">
        <f t="shared" ref="E172:AA172" si="49">SUM(E170:E171)</f>
        <v>1</v>
      </c>
      <c r="F172" s="54">
        <f t="shared" si="49"/>
        <v>0</v>
      </c>
      <c r="G172" s="54">
        <f t="shared" si="49"/>
        <v>0</v>
      </c>
      <c r="H172" s="54">
        <f t="shared" si="49"/>
        <v>0</v>
      </c>
      <c r="I172" s="54">
        <f t="shared" si="49"/>
        <v>1</v>
      </c>
      <c r="J172" s="54">
        <f t="shared" si="49"/>
        <v>0</v>
      </c>
      <c r="K172" s="54">
        <f t="shared" si="49"/>
        <v>1</v>
      </c>
      <c r="L172" s="54">
        <f t="shared" si="49"/>
        <v>0</v>
      </c>
      <c r="M172" s="54">
        <f t="shared" si="49"/>
        <v>1</v>
      </c>
      <c r="N172" s="54">
        <f t="shared" si="49"/>
        <v>0</v>
      </c>
      <c r="O172" s="54">
        <f t="shared" si="49"/>
        <v>0</v>
      </c>
      <c r="P172" s="54">
        <f t="shared" si="49"/>
        <v>1</v>
      </c>
      <c r="Q172" s="54">
        <f t="shared" si="49"/>
        <v>0</v>
      </c>
      <c r="R172" s="54">
        <f t="shared" si="49"/>
        <v>0</v>
      </c>
      <c r="S172" s="54">
        <f t="shared" si="49"/>
        <v>0</v>
      </c>
      <c r="T172" s="54">
        <f t="shared" si="49"/>
        <v>0</v>
      </c>
      <c r="U172" s="54">
        <f t="shared" si="49"/>
        <v>0</v>
      </c>
      <c r="V172" s="54">
        <f t="shared" si="49"/>
        <v>0</v>
      </c>
      <c r="W172" s="54">
        <f t="shared" si="49"/>
        <v>1</v>
      </c>
      <c r="X172" s="54">
        <f t="shared" si="49"/>
        <v>0</v>
      </c>
      <c r="Y172" s="54">
        <f t="shared" si="49"/>
        <v>1</v>
      </c>
      <c r="Z172" s="54">
        <f t="shared" si="49"/>
        <v>0</v>
      </c>
      <c r="AA172" s="54">
        <f t="shared" si="49"/>
        <v>0</v>
      </c>
      <c r="AB172" s="6">
        <f t="shared" si="48"/>
        <v>7</v>
      </c>
    </row>
    <row r="173" ht="12.75" customHeight="1">
      <c r="A173" s="47"/>
      <c r="B173" s="46"/>
      <c r="C173" s="46"/>
      <c r="D173" s="27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6"/>
    </row>
    <row r="174" ht="12.75" customHeight="1">
      <c r="A174" s="44" t="s">
        <v>144</v>
      </c>
      <c r="B174" s="7" t="s">
        <v>145</v>
      </c>
      <c r="C174" s="8"/>
      <c r="D174" s="9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6"/>
    </row>
    <row r="175" ht="12.75" customHeight="1">
      <c r="A175" s="44"/>
      <c r="B175" s="62" t="s">
        <v>146</v>
      </c>
      <c r="C175" s="63" t="s">
        <v>147</v>
      </c>
      <c r="D175" s="9"/>
      <c r="E175" s="13">
        <f t="shared" ref="E175:AA175" si="50">E52+E61+E70+E79+E88+E92+E98+E107+E111+E120+E124+E131+E140+E149+E153+E159+E168+E172</f>
        <v>165</v>
      </c>
      <c r="F175" s="13">
        <f t="shared" si="50"/>
        <v>181</v>
      </c>
      <c r="G175" s="13">
        <f t="shared" si="50"/>
        <v>187</v>
      </c>
      <c r="H175" s="13">
        <f t="shared" si="50"/>
        <v>197</v>
      </c>
      <c r="I175" s="13">
        <f t="shared" si="50"/>
        <v>196</v>
      </c>
      <c r="J175" s="13">
        <f t="shared" si="50"/>
        <v>174</v>
      </c>
      <c r="K175" s="13">
        <f t="shared" si="50"/>
        <v>197</v>
      </c>
      <c r="L175" s="13">
        <f t="shared" si="50"/>
        <v>210</v>
      </c>
      <c r="M175" s="13">
        <f t="shared" si="50"/>
        <v>194</v>
      </c>
      <c r="N175" s="13">
        <f t="shared" si="50"/>
        <v>223</v>
      </c>
      <c r="O175" s="13">
        <f t="shared" si="50"/>
        <v>186</v>
      </c>
      <c r="P175" s="13">
        <f t="shared" si="50"/>
        <v>152</v>
      </c>
      <c r="Q175" s="13">
        <f t="shared" si="50"/>
        <v>169</v>
      </c>
      <c r="R175" s="13">
        <f t="shared" si="50"/>
        <v>193</v>
      </c>
      <c r="S175" s="13">
        <f t="shared" si="50"/>
        <v>147</v>
      </c>
      <c r="T175" s="13">
        <f t="shared" si="50"/>
        <v>190</v>
      </c>
      <c r="U175" s="13">
        <f t="shared" si="50"/>
        <v>189</v>
      </c>
      <c r="V175" s="13">
        <f t="shared" si="50"/>
        <v>199</v>
      </c>
      <c r="W175" s="13">
        <f t="shared" si="50"/>
        <v>207</v>
      </c>
      <c r="X175" s="13">
        <f t="shared" si="50"/>
        <v>204</v>
      </c>
      <c r="Y175" s="13">
        <f t="shared" si="50"/>
        <v>206</v>
      </c>
      <c r="Z175" s="13">
        <f t="shared" si="50"/>
        <v>206</v>
      </c>
      <c r="AA175" s="13">
        <f t="shared" si="50"/>
        <v>196</v>
      </c>
      <c r="AB175" s="6">
        <f t="shared" ref="AB175:AB177" si="51">SUM(E175:AA175)</f>
        <v>4368</v>
      </c>
    </row>
    <row r="176" ht="12.75" customHeight="1">
      <c r="A176" s="37"/>
      <c r="B176" s="62" t="s">
        <v>148</v>
      </c>
      <c r="C176" s="63" t="s">
        <v>149</v>
      </c>
      <c r="D176" s="9"/>
      <c r="E176" s="66">
        <v>26.0</v>
      </c>
      <c r="F176" s="66">
        <v>13.0</v>
      </c>
      <c r="G176" s="66">
        <v>11.0</v>
      </c>
      <c r="H176" s="66">
        <v>17.0</v>
      </c>
      <c r="I176" s="66">
        <v>19.0</v>
      </c>
      <c r="J176" s="66">
        <v>25.0</v>
      </c>
      <c r="K176" s="66">
        <v>8.0</v>
      </c>
      <c r="L176" s="66">
        <v>6.0</v>
      </c>
      <c r="M176" s="66">
        <v>8.0</v>
      </c>
      <c r="N176" s="66">
        <v>6.0</v>
      </c>
      <c r="O176" s="66">
        <v>13.0</v>
      </c>
      <c r="P176" s="66">
        <v>10.0</v>
      </c>
      <c r="Q176" s="66">
        <v>16.0</v>
      </c>
      <c r="R176" s="66">
        <v>7.0</v>
      </c>
      <c r="S176" s="66">
        <v>2.0</v>
      </c>
      <c r="T176" s="66">
        <v>13.0</v>
      </c>
      <c r="U176" s="66">
        <v>22.0</v>
      </c>
      <c r="V176" s="66">
        <v>21.0</v>
      </c>
      <c r="W176" s="66">
        <v>17.0</v>
      </c>
      <c r="X176" s="66">
        <v>24.0</v>
      </c>
      <c r="Y176" s="66">
        <v>32.0</v>
      </c>
      <c r="Z176" s="66">
        <v>23.0</v>
      </c>
      <c r="AA176" s="66">
        <v>21.0</v>
      </c>
      <c r="AB176" s="6">
        <f t="shared" si="51"/>
        <v>360</v>
      </c>
    </row>
    <row r="177" ht="12.75" customHeight="1">
      <c r="A177" s="42"/>
      <c r="B177" s="62" t="s">
        <v>150</v>
      </c>
      <c r="C177" s="63" t="s">
        <v>151</v>
      </c>
      <c r="D177" s="9"/>
      <c r="E177" s="28">
        <f t="shared" ref="E177:AA177" si="52">SUM(E175:E176)</f>
        <v>191</v>
      </c>
      <c r="F177" s="28">
        <f t="shared" si="52"/>
        <v>194</v>
      </c>
      <c r="G177" s="28">
        <f t="shared" si="52"/>
        <v>198</v>
      </c>
      <c r="H177" s="28">
        <f t="shared" si="52"/>
        <v>214</v>
      </c>
      <c r="I177" s="28">
        <f t="shared" si="52"/>
        <v>215</v>
      </c>
      <c r="J177" s="28">
        <f t="shared" si="52"/>
        <v>199</v>
      </c>
      <c r="K177" s="28">
        <f t="shared" si="52"/>
        <v>205</v>
      </c>
      <c r="L177" s="28">
        <f t="shared" si="52"/>
        <v>216</v>
      </c>
      <c r="M177" s="28">
        <f t="shared" si="52"/>
        <v>202</v>
      </c>
      <c r="N177" s="28">
        <f t="shared" si="52"/>
        <v>229</v>
      </c>
      <c r="O177" s="28">
        <f t="shared" si="52"/>
        <v>199</v>
      </c>
      <c r="P177" s="28">
        <f t="shared" si="52"/>
        <v>162</v>
      </c>
      <c r="Q177" s="28">
        <f t="shared" si="52"/>
        <v>185</v>
      </c>
      <c r="R177" s="28">
        <f t="shared" si="52"/>
        <v>200</v>
      </c>
      <c r="S177" s="28">
        <f t="shared" si="52"/>
        <v>149</v>
      </c>
      <c r="T177" s="28">
        <f t="shared" si="52"/>
        <v>203</v>
      </c>
      <c r="U177" s="28">
        <f t="shared" si="52"/>
        <v>211</v>
      </c>
      <c r="V177" s="28">
        <f t="shared" si="52"/>
        <v>220</v>
      </c>
      <c r="W177" s="28">
        <f t="shared" si="52"/>
        <v>224</v>
      </c>
      <c r="X177" s="28">
        <f t="shared" si="52"/>
        <v>228</v>
      </c>
      <c r="Y177" s="28">
        <f t="shared" si="52"/>
        <v>238</v>
      </c>
      <c r="Z177" s="28">
        <f t="shared" si="52"/>
        <v>229</v>
      </c>
      <c r="AA177" s="28">
        <f t="shared" si="52"/>
        <v>217</v>
      </c>
      <c r="AB177" s="6">
        <f t="shared" si="51"/>
        <v>4728</v>
      </c>
    </row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1">
    <mergeCell ref="B39:C41"/>
    <mergeCell ref="A42:D42"/>
    <mergeCell ref="B38:D38"/>
    <mergeCell ref="C28:C30"/>
    <mergeCell ref="A31:D31"/>
    <mergeCell ref="B32:D32"/>
    <mergeCell ref="B33:D33"/>
    <mergeCell ref="B34:D34"/>
    <mergeCell ref="A37:D37"/>
    <mergeCell ref="C63:D63"/>
    <mergeCell ref="B70:D70"/>
    <mergeCell ref="C81:D81"/>
    <mergeCell ref="B79:D79"/>
    <mergeCell ref="B35:D35"/>
    <mergeCell ref="B36:D36"/>
    <mergeCell ref="B88:D88"/>
    <mergeCell ref="B52:D52"/>
    <mergeCell ref="C54:D54"/>
    <mergeCell ref="B61:D61"/>
    <mergeCell ref="C72:D72"/>
    <mergeCell ref="A44:D44"/>
    <mergeCell ref="B172:D172"/>
    <mergeCell ref="A173:D173"/>
    <mergeCell ref="B174:D174"/>
    <mergeCell ref="C175:D175"/>
    <mergeCell ref="C176:D176"/>
    <mergeCell ref="C177:D177"/>
    <mergeCell ref="B168:D168"/>
    <mergeCell ref="C126:D126"/>
    <mergeCell ref="B131:D131"/>
    <mergeCell ref="C109:D109"/>
    <mergeCell ref="B111:D111"/>
    <mergeCell ref="C113:D113"/>
    <mergeCell ref="B120:D120"/>
    <mergeCell ref="C122:D122"/>
    <mergeCell ref="B98:D98"/>
    <mergeCell ref="C151:D151"/>
    <mergeCell ref="B149:D149"/>
    <mergeCell ref="B12:D12"/>
    <mergeCell ref="A17:D17"/>
    <mergeCell ref="C133:D133"/>
    <mergeCell ref="C90:D90"/>
    <mergeCell ref="C91:D91"/>
    <mergeCell ref="C94:D94"/>
    <mergeCell ref="C100:D100"/>
    <mergeCell ref="B140:D140"/>
    <mergeCell ref="AB12:AB13"/>
    <mergeCell ref="B13:D13"/>
    <mergeCell ref="B14:C16"/>
    <mergeCell ref="B18:D18"/>
    <mergeCell ref="C45:D45"/>
    <mergeCell ref="E12:AA12"/>
    <mergeCell ref="C170:D170"/>
    <mergeCell ref="B153:D153"/>
    <mergeCell ref="C155:D155"/>
    <mergeCell ref="B159:D159"/>
    <mergeCell ref="C161:D161"/>
    <mergeCell ref="B124:D124"/>
    <mergeCell ref="C142:D142"/>
    <mergeCell ref="B19:B21"/>
    <mergeCell ref="C19:C21"/>
    <mergeCell ref="B22:B24"/>
    <mergeCell ref="C22:C24"/>
    <mergeCell ref="B25:B27"/>
    <mergeCell ref="C25:C27"/>
    <mergeCell ref="B28:B30"/>
    <mergeCell ref="E37:I37"/>
    <mergeCell ref="E42:I42"/>
    <mergeCell ref="B43:D43"/>
    <mergeCell ref="B92:D92"/>
    <mergeCell ref="B107:D107"/>
  </mergeCells>
  <conditionalFormatting sqref="E30:T30">
    <cfRule type="expression" dxfId="0" priority="1">
      <formula>E30&lt;&gt;E62</formula>
    </cfRule>
  </conditionalFormatting>
  <conditionalFormatting sqref="E14:AA15">
    <cfRule type="containsBlanks" dxfId="4" priority="2">
      <formula>LEN(TRIM(E14))=0</formula>
    </cfRule>
  </conditionalFormatting>
  <conditionalFormatting sqref="E19:AA20">
    <cfRule type="containsBlanks" dxfId="4" priority="3">
      <formula>LEN(TRIM(E19))=0</formula>
    </cfRule>
  </conditionalFormatting>
  <conditionalFormatting sqref="E22:AA23 E25:AA26 E33:AA33 E35:AA35 E39:AA40">
    <cfRule type="containsBlanks" dxfId="4" priority="4">
      <formula>LEN(TRIM(E22))=0</formula>
    </cfRule>
  </conditionalFormatting>
  <conditionalFormatting sqref="E30:AA30">
    <cfRule type="expression" dxfId="0" priority="5">
      <formula>E30&lt;&gt;E34</formula>
    </cfRule>
  </conditionalFormatting>
  <conditionalFormatting sqref="E34:AA34">
    <cfRule type="expression" dxfId="2" priority="6">
      <formula>E30&lt;&gt;E34</formula>
    </cfRule>
  </conditionalFormatting>
  <conditionalFormatting sqref="E34:AA34">
    <cfRule type="expression" dxfId="5" priority="7">
      <formula>E30=E34</formula>
    </cfRule>
  </conditionalFormatting>
  <conditionalFormatting sqref="E34:AA34">
    <cfRule type="expression" dxfId="0" priority="8">
      <formula>E34&lt;&gt;E30</formula>
    </cfRule>
  </conditionalFormatting>
  <conditionalFormatting sqref="U30:AA30">
    <cfRule type="expression" dxfId="0" priority="9">
      <formula>U30&lt;&gt;U47</formula>
    </cfRule>
  </conditionalFormatting>
  <conditionalFormatting sqref="U34:AA34">
    <cfRule type="expression" dxfId="0" priority="10">
      <formula>U34&lt;&gt;U47</formula>
    </cfRule>
  </conditionalFormatting>
  <conditionalFormatting sqref="E177:AA177">
    <cfRule type="expression" dxfId="0" priority="11">
      <formula>E177&lt;&gt;E30</formula>
    </cfRule>
  </conditionalFormatting>
  <conditionalFormatting sqref="E177:AA177">
    <cfRule type="expression" dxfId="0" priority="12">
      <formula>E177&lt;&gt;E34</formula>
    </cfRule>
  </conditionalFormatting>
  <conditionalFormatting sqref="E45:AA51">
    <cfRule type="containsBlanks" dxfId="4" priority="13">
      <formula>LEN(TRIM(E45))=0</formula>
    </cfRule>
  </conditionalFormatting>
  <conditionalFormatting sqref="E54:AA60">
    <cfRule type="containsBlanks" dxfId="4" priority="14">
      <formula>LEN(TRIM(E54))=0</formula>
    </cfRule>
  </conditionalFormatting>
  <conditionalFormatting sqref="E63:AA69">
    <cfRule type="containsBlanks" dxfId="4" priority="15">
      <formula>LEN(TRIM(E63))=0</formula>
    </cfRule>
  </conditionalFormatting>
  <conditionalFormatting sqref="E72:AA78">
    <cfRule type="containsBlanks" dxfId="4" priority="16">
      <formula>LEN(TRIM(E72))=0</formula>
    </cfRule>
  </conditionalFormatting>
  <conditionalFormatting sqref="E81:AA87">
    <cfRule type="containsBlanks" dxfId="4" priority="17">
      <formula>LEN(TRIM(E81))=0</formula>
    </cfRule>
  </conditionalFormatting>
  <conditionalFormatting sqref="E100:AA106">
    <cfRule type="containsBlanks" dxfId="4" priority="18">
      <formula>LEN(TRIM(E100))=0</formula>
    </cfRule>
  </conditionalFormatting>
  <conditionalFormatting sqref="E90:AA91">
    <cfRule type="containsBlanks" dxfId="4" priority="19">
      <formula>LEN(TRIM(E90))=0</formula>
    </cfRule>
  </conditionalFormatting>
  <conditionalFormatting sqref="E94:AA95">
    <cfRule type="containsBlanks" dxfId="4" priority="20">
      <formula>LEN(TRIM(E94))=0</formula>
    </cfRule>
  </conditionalFormatting>
  <conditionalFormatting sqref="E96:AA97">
    <cfRule type="containsBlanks" dxfId="4" priority="21">
      <formula>LEN(TRIM(E96))=0</formula>
    </cfRule>
  </conditionalFormatting>
  <conditionalFormatting sqref="E109:AA110">
    <cfRule type="containsBlanks" dxfId="4" priority="22">
      <formula>LEN(TRIM(E109))=0</formula>
    </cfRule>
  </conditionalFormatting>
  <conditionalFormatting sqref="E113:AA119">
    <cfRule type="containsBlanks" dxfId="4" priority="23">
      <formula>LEN(TRIM(E113))=0</formula>
    </cfRule>
  </conditionalFormatting>
  <conditionalFormatting sqref="E133:AA139">
    <cfRule type="containsBlanks" dxfId="4" priority="24">
      <formula>LEN(TRIM(E133))=0</formula>
    </cfRule>
  </conditionalFormatting>
  <conditionalFormatting sqref="E122:AA123">
    <cfRule type="containsBlanks" dxfId="4" priority="25">
      <formula>LEN(TRIM(E122))=0</formula>
    </cfRule>
  </conditionalFormatting>
  <conditionalFormatting sqref="E126:AA130">
    <cfRule type="containsBlanks" dxfId="4" priority="26">
      <formula>LEN(TRIM(E126))=0</formula>
    </cfRule>
  </conditionalFormatting>
  <conditionalFormatting sqref="E142:AA148">
    <cfRule type="containsBlanks" dxfId="4" priority="27">
      <formula>LEN(TRIM(E142))=0</formula>
    </cfRule>
  </conditionalFormatting>
  <conditionalFormatting sqref="E152:AA152">
    <cfRule type="containsBlanks" dxfId="4" priority="28">
      <formula>LEN(TRIM(E152))=0</formula>
    </cfRule>
  </conditionalFormatting>
  <conditionalFormatting sqref="E151:AA151">
    <cfRule type="containsBlanks" dxfId="4" priority="29">
      <formula>LEN(TRIM(E151))=0</formula>
    </cfRule>
  </conditionalFormatting>
  <conditionalFormatting sqref="E155:AA158">
    <cfRule type="containsBlanks" dxfId="4" priority="30">
      <formula>LEN(TRIM(E155))=0</formula>
    </cfRule>
  </conditionalFormatting>
  <conditionalFormatting sqref="E161:AA163">
    <cfRule type="containsBlanks" dxfId="4" priority="31">
      <formula>LEN(TRIM(E161))=0</formula>
    </cfRule>
  </conditionalFormatting>
  <conditionalFormatting sqref="E164:AA167">
    <cfRule type="containsBlanks" dxfId="4" priority="32">
      <formula>LEN(TRIM(E164))=0</formula>
    </cfRule>
  </conditionalFormatting>
  <conditionalFormatting sqref="E170:AA170">
    <cfRule type="containsBlanks" dxfId="4" priority="33">
      <formula>LEN(TRIM(E170))=0</formula>
    </cfRule>
  </conditionalFormatting>
  <conditionalFormatting sqref="E171:AA171">
    <cfRule type="containsBlanks" dxfId="4" priority="34">
      <formula>LEN(TRIM(E171))=0</formula>
    </cfRule>
  </conditionalFormatting>
  <conditionalFormatting sqref="E175:AA175">
    <cfRule type="containsBlanks" dxfId="4" priority="35">
      <formula>LEN(TRIM(E175))=0</formula>
    </cfRule>
  </conditionalFormatting>
  <conditionalFormatting sqref="E176:AA176">
    <cfRule type="containsBlanks" dxfId="4" priority="36">
      <formula>LEN(TRIM(E176))=0</formula>
    </cfRule>
  </conditionalFormatting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3" width="8.71"/>
    <col customWidth="1" min="24" max="24" width="14.71"/>
  </cols>
  <sheetData>
    <row r="1" ht="12.75" customHeight="1"/>
    <row r="2" ht="12.75" customHeight="1">
      <c r="C2" s="1" t="s">
        <v>0</v>
      </c>
      <c r="D2" s="1"/>
    </row>
    <row r="3" ht="12.75" customHeight="1">
      <c r="C3" s="1" t="s">
        <v>1</v>
      </c>
      <c r="D3" s="1" t="s">
        <v>2</v>
      </c>
    </row>
    <row r="4" ht="12.75" customHeight="1">
      <c r="C4" s="1" t="s">
        <v>3</v>
      </c>
      <c r="D4" s="1" t="s">
        <v>4</v>
      </c>
    </row>
    <row r="5" ht="12.75" customHeight="1">
      <c r="C5" s="1"/>
      <c r="D5" s="1"/>
    </row>
    <row r="6" ht="12.75" customHeight="1">
      <c r="C6" s="1"/>
      <c r="D6" s="1"/>
    </row>
    <row r="7" ht="12.75" customHeight="1">
      <c r="C7" s="1"/>
      <c r="D7" s="1"/>
    </row>
    <row r="8" ht="12.75" customHeight="1">
      <c r="C8" s="1"/>
      <c r="D8" s="1"/>
    </row>
    <row r="9" ht="12.75" customHeight="1">
      <c r="C9" s="1" t="s">
        <v>152</v>
      </c>
      <c r="D9" s="1"/>
    </row>
    <row r="10" ht="12.75" customHeight="1"/>
    <row r="11" ht="12.75" customHeight="1"/>
    <row r="12" ht="12.75" customHeight="1">
      <c r="A12" s="6" t="s">
        <v>5</v>
      </c>
      <c r="B12" s="7" t="s">
        <v>6</v>
      </c>
      <c r="C12" s="8"/>
      <c r="D12" s="8"/>
      <c r="E12" s="2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9"/>
      <c r="X12" s="39" t="s">
        <v>7</v>
      </c>
    </row>
    <row r="13" ht="12.75" customHeight="1">
      <c r="A13" s="13" t="s">
        <v>8</v>
      </c>
      <c r="B13" s="14" t="s">
        <v>9</v>
      </c>
      <c r="C13" s="8"/>
      <c r="D13" s="9"/>
      <c r="E13" s="42" t="s">
        <v>153</v>
      </c>
      <c r="F13" s="42" t="s">
        <v>154</v>
      </c>
      <c r="G13" s="42" t="s">
        <v>155</v>
      </c>
      <c r="H13" s="42" t="s">
        <v>156</v>
      </c>
      <c r="I13" s="42" t="s">
        <v>157</v>
      </c>
      <c r="J13" s="42" t="s">
        <v>158</v>
      </c>
      <c r="K13" s="42" t="s">
        <v>159</v>
      </c>
      <c r="L13" s="42" t="s">
        <v>160</v>
      </c>
      <c r="M13" s="42" t="s">
        <v>161</v>
      </c>
      <c r="N13" s="42" t="s">
        <v>162</v>
      </c>
      <c r="O13" s="42" t="s">
        <v>163</v>
      </c>
      <c r="P13" s="42" t="s">
        <v>164</v>
      </c>
      <c r="Q13" s="42" t="s">
        <v>165</v>
      </c>
      <c r="R13" s="42" t="s">
        <v>166</v>
      </c>
      <c r="S13" s="42" t="s">
        <v>167</v>
      </c>
      <c r="T13" s="42" t="s">
        <v>168</v>
      </c>
      <c r="U13" s="42" t="s">
        <v>169</v>
      </c>
      <c r="V13" s="42" t="s">
        <v>170</v>
      </c>
      <c r="W13" s="42" t="s">
        <v>171</v>
      </c>
      <c r="X13" s="27"/>
    </row>
    <row r="14" ht="12.75" customHeight="1">
      <c r="A14" s="18"/>
      <c r="B14" s="19" t="s">
        <v>10</v>
      </c>
      <c r="C14" s="20"/>
      <c r="D14" s="13" t="s">
        <v>11</v>
      </c>
      <c r="E14" s="66">
        <v>141.0</v>
      </c>
      <c r="F14" s="66">
        <v>142.0</v>
      </c>
      <c r="G14" s="66">
        <v>143.0</v>
      </c>
      <c r="H14" s="66">
        <v>153.0</v>
      </c>
      <c r="I14" s="66">
        <v>149.0</v>
      </c>
      <c r="J14" s="66">
        <v>150.0</v>
      </c>
      <c r="K14" s="66">
        <v>144.0</v>
      </c>
      <c r="L14" s="66">
        <v>146.0</v>
      </c>
      <c r="M14" s="66">
        <v>145.0</v>
      </c>
      <c r="N14" s="66">
        <v>141.0</v>
      </c>
      <c r="O14" s="66">
        <v>79.0</v>
      </c>
      <c r="P14" s="66">
        <v>83.0</v>
      </c>
      <c r="Q14" s="66">
        <v>82.0</v>
      </c>
      <c r="R14" s="66">
        <v>83.0</v>
      </c>
      <c r="S14" s="66">
        <v>141.0</v>
      </c>
      <c r="T14" s="66">
        <v>129.0</v>
      </c>
      <c r="U14" s="66">
        <v>154.0</v>
      </c>
      <c r="V14" s="66">
        <v>101.0</v>
      </c>
      <c r="W14" s="66">
        <v>141.0</v>
      </c>
      <c r="X14" s="6">
        <f t="shared" ref="X14:X16" si="1">SUM(E14:W14)</f>
        <v>2447</v>
      </c>
    </row>
    <row r="15" ht="12.75" customHeight="1">
      <c r="A15" s="18"/>
      <c r="B15" s="25"/>
      <c r="C15" s="26"/>
      <c r="D15" s="13" t="s">
        <v>12</v>
      </c>
      <c r="E15" s="66">
        <v>141.0</v>
      </c>
      <c r="F15" s="66">
        <v>154.0</v>
      </c>
      <c r="G15" s="66">
        <v>147.0</v>
      </c>
      <c r="H15" s="66">
        <v>140.0</v>
      </c>
      <c r="I15" s="66">
        <v>142.0</v>
      </c>
      <c r="J15" s="66">
        <v>145.0</v>
      </c>
      <c r="K15" s="66">
        <v>148.0</v>
      </c>
      <c r="L15" s="66">
        <v>150.0</v>
      </c>
      <c r="M15" s="66">
        <v>149.0</v>
      </c>
      <c r="N15" s="66">
        <v>127.0</v>
      </c>
      <c r="O15" s="66">
        <v>84.0</v>
      </c>
      <c r="P15" s="66">
        <v>90.0</v>
      </c>
      <c r="Q15" s="66">
        <v>87.0</v>
      </c>
      <c r="R15" s="66">
        <v>89.0</v>
      </c>
      <c r="S15" s="66">
        <v>151.0</v>
      </c>
      <c r="T15" s="66">
        <v>157.0</v>
      </c>
      <c r="U15" s="66">
        <v>145.0</v>
      </c>
      <c r="V15" s="66">
        <v>112.0</v>
      </c>
      <c r="W15" s="66">
        <v>155.0</v>
      </c>
      <c r="X15" s="6">
        <f t="shared" si="1"/>
        <v>2513</v>
      </c>
    </row>
    <row r="16" ht="12.75" customHeight="1">
      <c r="A16" s="16"/>
      <c r="B16" s="15"/>
      <c r="C16" s="27"/>
      <c r="D16" s="6" t="s">
        <v>13</v>
      </c>
      <c r="E16" s="6">
        <f t="shared" ref="E16:W16" si="2">SUM(E14:E15)</f>
        <v>282</v>
      </c>
      <c r="F16" s="6">
        <f t="shared" si="2"/>
        <v>296</v>
      </c>
      <c r="G16" s="6">
        <f t="shared" si="2"/>
        <v>290</v>
      </c>
      <c r="H16" s="6">
        <f t="shared" si="2"/>
        <v>293</v>
      </c>
      <c r="I16" s="6">
        <f t="shared" si="2"/>
        <v>291</v>
      </c>
      <c r="J16" s="6">
        <f t="shared" si="2"/>
        <v>295</v>
      </c>
      <c r="K16" s="6">
        <f t="shared" si="2"/>
        <v>292</v>
      </c>
      <c r="L16" s="6">
        <f t="shared" si="2"/>
        <v>296</v>
      </c>
      <c r="M16" s="6">
        <f t="shared" si="2"/>
        <v>294</v>
      </c>
      <c r="N16" s="6">
        <f t="shared" si="2"/>
        <v>268</v>
      </c>
      <c r="O16" s="6">
        <f t="shared" si="2"/>
        <v>163</v>
      </c>
      <c r="P16" s="6">
        <f t="shared" si="2"/>
        <v>173</v>
      </c>
      <c r="Q16" s="6">
        <f t="shared" si="2"/>
        <v>169</v>
      </c>
      <c r="R16" s="6">
        <f t="shared" si="2"/>
        <v>172</v>
      </c>
      <c r="S16" s="6">
        <f t="shared" si="2"/>
        <v>292</v>
      </c>
      <c r="T16" s="6">
        <f t="shared" si="2"/>
        <v>286</v>
      </c>
      <c r="U16" s="6">
        <f t="shared" si="2"/>
        <v>299</v>
      </c>
      <c r="V16" s="6">
        <f t="shared" si="2"/>
        <v>213</v>
      </c>
      <c r="W16" s="6">
        <f t="shared" si="2"/>
        <v>296</v>
      </c>
      <c r="X16" s="6">
        <f t="shared" si="1"/>
        <v>4960</v>
      </c>
    </row>
    <row r="17" ht="12.75" customHeight="1">
      <c r="A17" s="21"/>
      <c r="B17" s="8"/>
      <c r="C17" s="8"/>
      <c r="D17" s="9"/>
      <c r="E17" s="13"/>
      <c r="F17" s="13"/>
      <c r="G17" s="13"/>
      <c r="H17" s="13"/>
      <c r="I17" s="13"/>
      <c r="J17" s="13"/>
      <c r="K17" s="13"/>
      <c r="L17" s="13"/>
      <c r="M17" s="13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"/>
    </row>
    <row r="18" ht="12.75" customHeight="1">
      <c r="A18" s="32" t="s">
        <v>14</v>
      </c>
      <c r="B18" s="14" t="s">
        <v>15</v>
      </c>
      <c r="C18" s="8"/>
      <c r="D18" s="9"/>
      <c r="E18" s="13"/>
      <c r="F18" s="13"/>
      <c r="G18" s="13"/>
      <c r="H18" s="13"/>
      <c r="I18" s="13"/>
      <c r="J18" s="13"/>
      <c r="K18" s="13"/>
      <c r="L18" s="13"/>
      <c r="M18" s="13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"/>
    </row>
    <row r="19" ht="12.75" customHeight="1">
      <c r="A19" s="32"/>
      <c r="B19" s="33" t="s">
        <v>16</v>
      </c>
      <c r="C19" s="34" t="s">
        <v>17</v>
      </c>
      <c r="D19" s="13" t="s">
        <v>11</v>
      </c>
      <c r="E19" s="66">
        <v>104.0</v>
      </c>
      <c r="F19" s="66">
        <v>109.0</v>
      </c>
      <c r="G19" s="66">
        <v>106.0</v>
      </c>
      <c r="H19" s="66">
        <v>110.0</v>
      </c>
      <c r="I19" s="66">
        <v>113.0</v>
      </c>
      <c r="J19" s="66">
        <v>117.0</v>
      </c>
      <c r="K19" s="66">
        <v>95.0</v>
      </c>
      <c r="L19" s="66">
        <v>120.0</v>
      </c>
      <c r="M19" s="66">
        <v>117.0</v>
      </c>
      <c r="N19" s="66">
        <v>102.0</v>
      </c>
      <c r="O19" s="66">
        <v>63.0</v>
      </c>
      <c r="P19" s="66">
        <v>64.0</v>
      </c>
      <c r="Q19" s="66">
        <v>69.0</v>
      </c>
      <c r="R19" s="66">
        <v>70.0</v>
      </c>
      <c r="S19" s="66">
        <v>123.0</v>
      </c>
      <c r="T19" s="66">
        <v>98.0</v>
      </c>
      <c r="U19" s="66">
        <v>119.0</v>
      </c>
      <c r="V19" s="66">
        <v>78.0</v>
      </c>
      <c r="W19" s="66">
        <v>83.0</v>
      </c>
      <c r="X19" s="6">
        <f t="shared" ref="X19:X30" si="3">SUM(E19:W19)</f>
        <v>1860</v>
      </c>
    </row>
    <row r="20" ht="12.75" customHeight="1">
      <c r="A20" s="35"/>
      <c r="B20" s="26"/>
      <c r="C20" s="36"/>
      <c r="D20" s="13" t="s">
        <v>12</v>
      </c>
      <c r="E20" s="66">
        <v>115.0</v>
      </c>
      <c r="F20" s="66">
        <v>123.0</v>
      </c>
      <c r="G20" s="66">
        <v>123.0</v>
      </c>
      <c r="H20" s="66">
        <v>116.0</v>
      </c>
      <c r="I20" s="66">
        <v>120.0</v>
      </c>
      <c r="J20" s="66">
        <v>112.0</v>
      </c>
      <c r="K20" s="66">
        <v>110.0</v>
      </c>
      <c r="L20" s="66">
        <v>122.0</v>
      </c>
      <c r="M20" s="66">
        <v>116.0</v>
      </c>
      <c r="N20" s="66">
        <v>101.0</v>
      </c>
      <c r="O20" s="66">
        <v>72.0</v>
      </c>
      <c r="P20" s="66">
        <v>79.0</v>
      </c>
      <c r="Q20" s="66">
        <v>73.0</v>
      </c>
      <c r="R20" s="66">
        <v>80.0</v>
      </c>
      <c r="S20" s="66">
        <v>136.0</v>
      </c>
      <c r="T20" s="66">
        <v>128.0</v>
      </c>
      <c r="U20" s="66">
        <v>108.0</v>
      </c>
      <c r="V20" s="66">
        <v>89.0</v>
      </c>
      <c r="W20" s="66">
        <v>104.0</v>
      </c>
      <c r="X20" s="6">
        <f t="shared" si="3"/>
        <v>2027</v>
      </c>
    </row>
    <row r="21" ht="12.75" customHeight="1">
      <c r="A21" s="37"/>
      <c r="B21" s="27"/>
      <c r="C21" s="38"/>
      <c r="D21" s="6" t="s">
        <v>13</v>
      </c>
      <c r="E21" s="6">
        <f t="shared" ref="E21:W21" si="4">SUM(E19:E20)</f>
        <v>219</v>
      </c>
      <c r="F21" s="6">
        <f t="shared" si="4"/>
        <v>232</v>
      </c>
      <c r="G21" s="6">
        <f t="shared" si="4"/>
        <v>229</v>
      </c>
      <c r="H21" s="6">
        <f t="shared" si="4"/>
        <v>226</v>
      </c>
      <c r="I21" s="6">
        <f t="shared" si="4"/>
        <v>233</v>
      </c>
      <c r="J21" s="6">
        <f t="shared" si="4"/>
        <v>229</v>
      </c>
      <c r="K21" s="6">
        <f t="shared" si="4"/>
        <v>205</v>
      </c>
      <c r="L21" s="6">
        <f t="shared" si="4"/>
        <v>242</v>
      </c>
      <c r="M21" s="6">
        <f t="shared" si="4"/>
        <v>233</v>
      </c>
      <c r="N21" s="6">
        <f t="shared" si="4"/>
        <v>203</v>
      </c>
      <c r="O21" s="6">
        <f t="shared" si="4"/>
        <v>135</v>
      </c>
      <c r="P21" s="6">
        <f t="shared" si="4"/>
        <v>143</v>
      </c>
      <c r="Q21" s="6">
        <f t="shared" si="4"/>
        <v>142</v>
      </c>
      <c r="R21" s="6">
        <f t="shared" si="4"/>
        <v>150</v>
      </c>
      <c r="S21" s="6">
        <f t="shared" si="4"/>
        <v>259</v>
      </c>
      <c r="T21" s="6">
        <f t="shared" si="4"/>
        <v>226</v>
      </c>
      <c r="U21" s="6">
        <f t="shared" si="4"/>
        <v>227</v>
      </c>
      <c r="V21" s="6">
        <f t="shared" si="4"/>
        <v>167</v>
      </c>
      <c r="W21" s="6">
        <f t="shared" si="4"/>
        <v>187</v>
      </c>
      <c r="X21" s="6">
        <f t="shared" si="3"/>
        <v>3887</v>
      </c>
    </row>
    <row r="22" ht="12.75" customHeight="1">
      <c r="A22" s="35"/>
      <c r="B22" s="33" t="s">
        <v>18</v>
      </c>
      <c r="C22" s="34" t="s">
        <v>19</v>
      </c>
      <c r="D22" s="13" t="s">
        <v>11</v>
      </c>
      <c r="E22" s="66">
        <v>0.0</v>
      </c>
      <c r="F22" s="66">
        <v>0.0</v>
      </c>
      <c r="G22" s="66">
        <v>0.0</v>
      </c>
      <c r="H22" s="66">
        <v>0.0</v>
      </c>
      <c r="I22" s="66">
        <v>0.0</v>
      </c>
      <c r="J22" s="66">
        <v>0.0</v>
      </c>
      <c r="K22" s="66">
        <v>0.0</v>
      </c>
      <c r="L22" s="66">
        <v>0.0</v>
      </c>
      <c r="M22" s="66">
        <v>0.0</v>
      </c>
      <c r="N22" s="66">
        <v>0.0</v>
      </c>
      <c r="O22" s="66">
        <v>0.0</v>
      </c>
      <c r="P22" s="66">
        <v>0.0</v>
      </c>
      <c r="Q22" s="66">
        <v>0.0</v>
      </c>
      <c r="R22" s="66">
        <v>0.0</v>
      </c>
      <c r="S22" s="66">
        <v>0.0</v>
      </c>
      <c r="T22" s="66">
        <v>0.0</v>
      </c>
      <c r="U22" s="66">
        <v>0.0</v>
      </c>
      <c r="V22" s="66">
        <v>0.0</v>
      </c>
      <c r="W22" s="66">
        <v>0.0</v>
      </c>
      <c r="X22" s="6">
        <f t="shared" si="3"/>
        <v>0</v>
      </c>
    </row>
    <row r="23" ht="12.75" customHeight="1">
      <c r="A23" s="35"/>
      <c r="B23" s="26"/>
      <c r="C23" s="36"/>
      <c r="D23" s="13" t="s">
        <v>12</v>
      </c>
      <c r="E23" s="66">
        <v>0.0</v>
      </c>
      <c r="F23" s="66">
        <v>0.0</v>
      </c>
      <c r="G23" s="66">
        <v>0.0</v>
      </c>
      <c r="H23" s="66">
        <v>0.0</v>
      </c>
      <c r="I23" s="66">
        <v>0.0</v>
      </c>
      <c r="J23" s="66">
        <v>0.0</v>
      </c>
      <c r="K23" s="66">
        <v>0.0</v>
      </c>
      <c r="L23" s="66">
        <v>0.0</v>
      </c>
      <c r="M23" s="66">
        <v>0.0</v>
      </c>
      <c r="N23" s="66">
        <v>0.0</v>
      </c>
      <c r="O23" s="66">
        <v>0.0</v>
      </c>
      <c r="P23" s="66">
        <v>0.0</v>
      </c>
      <c r="Q23" s="66">
        <v>0.0</v>
      </c>
      <c r="R23" s="66">
        <v>0.0</v>
      </c>
      <c r="S23" s="66">
        <v>0.0</v>
      </c>
      <c r="T23" s="66">
        <v>0.0</v>
      </c>
      <c r="U23" s="66">
        <v>0.0</v>
      </c>
      <c r="V23" s="66">
        <v>0.0</v>
      </c>
      <c r="W23" s="66">
        <v>0.0</v>
      </c>
      <c r="X23" s="6">
        <f t="shared" si="3"/>
        <v>0</v>
      </c>
    </row>
    <row r="24" ht="12.75" customHeight="1">
      <c r="A24" s="37"/>
      <c r="B24" s="27"/>
      <c r="C24" s="38"/>
      <c r="D24" s="6" t="s">
        <v>13</v>
      </c>
      <c r="E24" s="6">
        <f t="shared" ref="E24:W24" si="5">SUM(E22:E23)</f>
        <v>0</v>
      </c>
      <c r="F24" s="6">
        <f t="shared" si="5"/>
        <v>0</v>
      </c>
      <c r="G24" s="6">
        <f t="shared" si="5"/>
        <v>0</v>
      </c>
      <c r="H24" s="6">
        <f t="shared" si="5"/>
        <v>0</v>
      </c>
      <c r="I24" s="6">
        <f t="shared" si="5"/>
        <v>0</v>
      </c>
      <c r="J24" s="6">
        <f t="shared" si="5"/>
        <v>0</v>
      </c>
      <c r="K24" s="6">
        <f t="shared" si="5"/>
        <v>0</v>
      </c>
      <c r="L24" s="6">
        <f t="shared" si="5"/>
        <v>0</v>
      </c>
      <c r="M24" s="6">
        <f t="shared" si="5"/>
        <v>0</v>
      </c>
      <c r="N24" s="6">
        <f t="shared" si="5"/>
        <v>0</v>
      </c>
      <c r="O24" s="6">
        <f t="shared" si="5"/>
        <v>0</v>
      </c>
      <c r="P24" s="6">
        <f t="shared" si="5"/>
        <v>0</v>
      </c>
      <c r="Q24" s="6">
        <f t="shared" si="5"/>
        <v>0</v>
      </c>
      <c r="R24" s="6">
        <f t="shared" si="5"/>
        <v>0</v>
      </c>
      <c r="S24" s="6">
        <f t="shared" si="5"/>
        <v>0</v>
      </c>
      <c r="T24" s="6">
        <f t="shared" si="5"/>
        <v>0</v>
      </c>
      <c r="U24" s="6">
        <f t="shared" si="5"/>
        <v>0</v>
      </c>
      <c r="V24" s="6">
        <f t="shared" si="5"/>
        <v>0</v>
      </c>
      <c r="W24" s="6">
        <f t="shared" si="5"/>
        <v>0</v>
      </c>
      <c r="X24" s="6">
        <f t="shared" si="3"/>
        <v>0</v>
      </c>
    </row>
    <row r="25" ht="12.75" customHeight="1">
      <c r="A25" s="35"/>
      <c r="B25" s="33" t="s">
        <v>20</v>
      </c>
      <c r="C25" s="34" t="s">
        <v>21</v>
      </c>
      <c r="D25" s="13" t="s">
        <v>11</v>
      </c>
      <c r="E25" s="66">
        <v>2.0</v>
      </c>
      <c r="F25" s="66">
        <v>0.0</v>
      </c>
      <c r="G25" s="66">
        <v>0.0</v>
      </c>
      <c r="H25" s="66">
        <v>3.0</v>
      </c>
      <c r="I25" s="66">
        <v>1.0</v>
      </c>
      <c r="J25" s="66">
        <v>0.0</v>
      </c>
      <c r="K25" s="66">
        <v>0.0</v>
      </c>
      <c r="L25" s="66">
        <v>0.0</v>
      </c>
      <c r="M25" s="66">
        <v>0.0</v>
      </c>
      <c r="N25" s="66">
        <v>0.0</v>
      </c>
      <c r="O25" s="66">
        <v>1.0</v>
      </c>
      <c r="P25" s="66">
        <v>0.0</v>
      </c>
      <c r="Q25" s="66">
        <v>0.0</v>
      </c>
      <c r="R25" s="66">
        <v>0.0</v>
      </c>
      <c r="S25" s="66">
        <v>2.0</v>
      </c>
      <c r="T25" s="66">
        <v>0.0</v>
      </c>
      <c r="U25" s="66">
        <v>2.0</v>
      </c>
      <c r="V25" s="66">
        <v>0.0</v>
      </c>
      <c r="W25" s="66">
        <v>0.0</v>
      </c>
      <c r="X25" s="6">
        <f t="shared" si="3"/>
        <v>11</v>
      </c>
    </row>
    <row r="26" ht="12.75" customHeight="1">
      <c r="A26" s="35"/>
      <c r="B26" s="26"/>
      <c r="C26" s="36"/>
      <c r="D26" s="13" t="s">
        <v>12</v>
      </c>
      <c r="E26" s="66">
        <v>3.0</v>
      </c>
      <c r="F26" s="66">
        <v>0.0</v>
      </c>
      <c r="G26" s="66">
        <v>0.0</v>
      </c>
      <c r="H26" s="66">
        <v>1.0</v>
      </c>
      <c r="I26" s="66">
        <v>0.0</v>
      </c>
      <c r="J26" s="66">
        <v>0.0</v>
      </c>
      <c r="K26" s="66">
        <v>0.0</v>
      </c>
      <c r="L26" s="66">
        <v>0.0</v>
      </c>
      <c r="M26" s="66">
        <v>0.0</v>
      </c>
      <c r="N26" s="66">
        <v>0.0</v>
      </c>
      <c r="O26" s="66">
        <v>0.0</v>
      </c>
      <c r="P26" s="66">
        <v>0.0</v>
      </c>
      <c r="Q26" s="66">
        <v>1.0</v>
      </c>
      <c r="R26" s="66">
        <v>0.0</v>
      </c>
      <c r="S26" s="66">
        <v>5.0</v>
      </c>
      <c r="T26" s="66">
        <v>0.0</v>
      </c>
      <c r="U26" s="66">
        <v>0.0</v>
      </c>
      <c r="V26" s="66">
        <v>0.0</v>
      </c>
      <c r="W26" s="66">
        <v>0.0</v>
      </c>
      <c r="X26" s="6">
        <f t="shared" si="3"/>
        <v>10</v>
      </c>
    </row>
    <row r="27" ht="12.75" customHeight="1">
      <c r="A27" s="37"/>
      <c r="B27" s="27"/>
      <c r="C27" s="38"/>
      <c r="D27" s="6" t="s">
        <v>13</v>
      </c>
      <c r="E27" s="6">
        <f t="shared" ref="E27:W27" si="6">SUM(E25:E26)</f>
        <v>5</v>
      </c>
      <c r="F27" s="6">
        <f t="shared" si="6"/>
        <v>0</v>
      </c>
      <c r="G27" s="6">
        <f t="shared" si="6"/>
        <v>0</v>
      </c>
      <c r="H27" s="6">
        <f t="shared" si="6"/>
        <v>4</v>
      </c>
      <c r="I27" s="6">
        <f t="shared" si="6"/>
        <v>1</v>
      </c>
      <c r="J27" s="6">
        <f t="shared" si="6"/>
        <v>0</v>
      </c>
      <c r="K27" s="6">
        <f t="shared" si="6"/>
        <v>0</v>
      </c>
      <c r="L27" s="6">
        <f t="shared" si="6"/>
        <v>0</v>
      </c>
      <c r="M27" s="6">
        <f t="shared" si="6"/>
        <v>0</v>
      </c>
      <c r="N27" s="6">
        <f t="shared" si="6"/>
        <v>0</v>
      </c>
      <c r="O27" s="6">
        <f t="shared" si="6"/>
        <v>1</v>
      </c>
      <c r="P27" s="6">
        <f t="shared" si="6"/>
        <v>0</v>
      </c>
      <c r="Q27" s="6">
        <f t="shared" si="6"/>
        <v>1</v>
      </c>
      <c r="R27" s="6">
        <f t="shared" si="6"/>
        <v>0</v>
      </c>
      <c r="S27" s="6">
        <f t="shared" si="6"/>
        <v>7</v>
      </c>
      <c r="T27" s="6">
        <f t="shared" si="6"/>
        <v>0</v>
      </c>
      <c r="U27" s="6">
        <f t="shared" si="6"/>
        <v>2</v>
      </c>
      <c r="V27" s="6">
        <f t="shared" si="6"/>
        <v>0</v>
      </c>
      <c r="W27" s="6">
        <f t="shared" si="6"/>
        <v>0</v>
      </c>
      <c r="X27" s="6">
        <f t="shared" si="3"/>
        <v>21</v>
      </c>
    </row>
    <row r="28" ht="12.75" customHeight="1">
      <c r="A28" s="37"/>
      <c r="B28" s="39" t="s">
        <v>22</v>
      </c>
      <c r="C28" s="40" t="s">
        <v>23</v>
      </c>
      <c r="D28" s="6" t="s">
        <v>11</v>
      </c>
      <c r="E28" s="6">
        <f t="shared" ref="E28:W28" si="7">SUM(E19,E22,E25)</f>
        <v>106</v>
      </c>
      <c r="F28" s="6">
        <f t="shared" si="7"/>
        <v>109</v>
      </c>
      <c r="G28" s="6">
        <f t="shared" si="7"/>
        <v>106</v>
      </c>
      <c r="H28" s="6">
        <f t="shared" si="7"/>
        <v>113</v>
      </c>
      <c r="I28" s="6">
        <f t="shared" si="7"/>
        <v>114</v>
      </c>
      <c r="J28" s="6">
        <f t="shared" si="7"/>
        <v>117</v>
      </c>
      <c r="K28" s="6">
        <f t="shared" si="7"/>
        <v>95</v>
      </c>
      <c r="L28" s="6">
        <f t="shared" si="7"/>
        <v>120</v>
      </c>
      <c r="M28" s="6">
        <f t="shared" si="7"/>
        <v>117</v>
      </c>
      <c r="N28" s="6">
        <f t="shared" si="7"/>
        <v>102</v>
      </c>
      <c r="O28" s="6">
        <f t="shared" si="7"/>
        <v>64</v>
      </c>
      <c r="P28" s="6">
        <f t="shared" si="7"/>
        <v>64</v>
      </c>
      <c r="Q28" s="6">
        <f t="shared" si="7"/>
        <v>69</v>
      </c>
      <c r="R28" s="6">
        <f t="shared" si="7"/>
        <v>70</v>
      </c>
      <c r="S28" s="6">
        <f t="shared" si="7"/>
        <v>125</v>
      </c>
      <c r="T28" s="6">
        <f t="shared" si="7"/>
        <v>98</v>
      </c>
      <c r="U28" s="6">
        <f t="shared" si="7"/>
        <v>121</v>
      </c>
      <c r="V28" s="6">
        <f t="shared" si="7"/>
        <v>78</v>
      </c>
      <c r="W28" s="6">
        <f t="shared" si="7"/>
        <v>83</v>
      </c>
      <c r="X28" s="6">
        <f t="shared" si="3"/>
        <v>1871</v>
      </c>
    </row>
    <row r="29" ht="12.75" customHeight="1">
      <c r="A29" s="37"/>
      <c r="B29" s="26"/>
      <c r="C29" s="36"/>
      <c r="D29" s="6" t="s">
        <v>12</v>
      </c>
      <c r="E29" s="6">
        <f t="shared" ref="E29:W29" si="8">SUM(E20,E23,E26)</f>
        <v>118</v>
      </c>
      <c r="F29" s="6">
        <f t="shared" si="8"/>
        <v>123</v>
      </c>
      <c r="G29" s="6">
        <f t="shared" si="8"/>
        <v>123</v>
      </c>
      <c r="H29" s="6">
        <f t="shared" si="8"/>
        <v>117</v>
      </c>
      <c r="I29" s="6">
        <f t="shared" si="8"/>
        <v>120</v>
      </c>
      <c r="J29" s="6">
        <f t="shared" si="8"/>
        <v>112</v>
      </c>
      <c r="K29" s="6">
        <f t="shared" si="8"/>
        <v>110</v>
      </c>
      <c r="L29" s="6">
        <f t="shared" si="8"/>
        <v>122</v>
      </c>
      <c r="M29" s="6">
        <f t="shared" si="8"/>
        <v>116</v>
      </c>
      <c r="N29" s="6">
        <f t="shared" si="8"/>
        <v>101</v>
      </c>
      <c r="O29" s="6">
        <f t="shared" si="8"/>
        <v>72</v>
      </c>
      <c r="P29" s="6">
        <f t="shared" si="8"/>
        <v>79</v>
      </c>
      <c r="Q29" s="6">
        <f t="shared" si="8"/>
        <v>74</v>
      </c>
      <c r="R29" s="6">
        <f t="shared" si="8"/>
        <v>80</v>
      </c>
      <c r="S29" s="6">
        <f t="shared" si="8"/>
        <v>141</v>
      </c>
      <c r="T29" s="6">
        <f t="shared" si="8"/>
        <v>128</v>
      </c>
      <c r="U29" s="6">
        <f t="shared" si="8"/>
        <v>108</v>
      </c>
      <c r="V29" s="6">
        <f t="shared" si="8"/>
        <v>89</v>
      </c>
      <c r="W29" s="6">
        <f t="shared" si="8"/>
        <v>104</v>
      </c>
      <c r="X29" s="6">
        <f t="shared" si="3"/>
        <v>2037</v>
      </c>
    </row>
    <row r="30" ht="12.75" customHeight="1">
      <c r="A30" s="37"/>
      <c r="B30" s="27"/>
      <c r="C30" s="38"/>
      <c r="D30" s="6" t="s">
        <v>13</v>
      </c>
      <c r="E30" s="6">
        <f t="shared" ref="E30:W30" si="9">SUM(E28:E29)</f>
        <v>224</v>
      </c>
      <c r="F30" s="6">
        <f t="shared" si="9"/>
        <v>232</v>
      </c>
      <c r="G30" s="6">
        <f t="shared" si="9"/>
        <v>229</v>
      </c>
      <c r="H30" s="6">
        <f t="shared" si="9"/>
        <v>230</v>
      </c>
      <c r="I30" s="6">
        <f t="shared" si="9"/>
        <v>234</v>
      </c>
      <c r="J30" s="6">
        <f t="shared" si="9"/>
        <v>229</v>
      </c>
      <c r="K30" s="6">
        <f t="shared" si="9"/>
        <v>205</v>
      </c>
      <c r="L30" s="6">
        <f t="shared" si="9"/>
        <v>242</v>
      </c>
      <c r="M30" s="6">
        <f t="shared" si="9"/>
        <v>233</v>
      </c>
      <c r="N30" s="6">
        <f t="shared" si="9"/>
        <v>203</v>
      </c>
      <c r="O30" s="6">
        <f t="shared" si="9"/>
        <v>136</v>
      </c>
      <c r="P30" s="6">
        <f t="shared" si="9"/>
        <v>143</v>
      </c>
      <c r="Q30" s="6">
        <f t="shared" si="9"/>
        <v>143</v>
      </c>
      <c r="R30" s="6">
        <f t="shared" si="9"/>
        <v>150</v>
      </c>
      <c r="S30" s="6">
        <f t="shared" si="9"/>
        <v>266</v>
      </c>
      <c r="T30" s="6">
        <f t="shared" si="9"/>
        <v>226</v>
      </c>
      <c r="U30" s="6">
        <f t="shared" si="9"/>
        <v>229</v>
      </c>
      <c r="V30" s="6">
        <f t="shared" si="9"/>
        <v>167</v>
      </c>
      <c r="W30" s="6">
        <f t="shared" si="9"/>
        <v>187</v>
      </c>
      <c r="X30" s="6">
        <f t="shared" si="3"/>
        <v>3908</v>
      </c>
    </row>
    <row r="31" ht="12.75" customHeight="1">
      <c r="A31" s="21"/>
      <c r="B31" s="8"/>
      <c r="C31" s="8"/>
      <c r="D31" s="9"/>
      <c r="E31" s="13"/>
      <c r="F31" s="13"/>
      <c r="G31" s="13"/>
      <c r="H31" s="13"/>
      <c r="I31" s="13"/>
      <c r="J31" s="13"/>
      <c r="K31" s="13"/>
      <c r="L31" s="13"/>
      <c r="M31" s="13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"/>
    </row>
    <row r="32" ht="12.75" customHeight="1">
      <c r="A32" s="42" t="s">
        <v>24</v>
      </c>
      <c r="B32" s="7" t="s">
        <v>25</v>
      </c>
      <c r="C32" s="8"/>
      <c r="D32" s="9"/>
      <c r="E32" s="6"/>
      <c r="F32" s="6"/>
      <c r="G32" s="6"/>
      <c r="H32" s="6"/>
      <c r="I32" s="6"/>
      <c r="J32" s="6"/>
      <c r="K32" s="6"/>
      <c r="L32" s="6"/>
      <c r="M32" s="6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"/>
    </row>
    <row r="33" ht="12.75" customHeight="1">
      <c r="A33" s="13">
        <v>1.0</v>
      </c>
      <c r="B33" s="14" t="s">
        <v>26</v>
      </c>
      <c r="C33" s="8"/>
      <c r="D33" s="9"/>
      <c r="E33" s="66">
        <v>288.0</v>
      </c>
      <c r="F33" s="66">
        <v>303.0</v>
      </c>
      <c r="G33" s="66">
        <v>299.0</v>
      </c>
      <c r="H33" s="66">
        <v>300.0</v>
      </c>
      <c r="I33" s="66">
        <v>293.0</v>
      </c>
      <c r="J33" s="66">
        <v>301.0</v>
      </c>
      <c r="K33" s="66">
        <v>298.0</v>
      </c>
      <c r="L33" s="66">
        <v>292.0</v>
      </c>
      <c r="M33" s="66">
        <v>290.0</v>
      </c>
      <c r="N33" s="66">
        <v>276.0</v>
      </c>
      <c r="O33" s="66">
        <v>167.0</v>
      </c>
      <c r="P33" s="66">
        <v>177.0</v>
      </c>
      <c r="Q33" s="66">
        <v>173.0</v>
      </c>
      <c r="R33" s="66">
        <v>176.0</v>
      </c>
      <c r="S33" s="66">
        <v>298.0</v>
      </c>
      <c r="T33" s="66">
        <v>289.0</v>
      </c>
      <c r="U33" s="66">
        <v>305.0</v>
      </c>
      <c r="V33" s="66">
        <v>218.0</v>
      </c>
      <c r="W33" s="66">
        <v>304.0</v>
      </c>
      <c r="X33" s="6">
        <f t="shared" ref="X33:X36" si="10">SUM(E33:W33)</f>
        <v>5047</v>
      </c>
    </row>
    <row r="34" ht="12.75" customHeight="1">
      <c r="A34" s="13">
        <v>2.0</v>
      </c>
      <c r="B34" s="14" t="s">
        <v>27</v>
      </c>
      <c r="C34" s="8"/>
      <c r="D34" s="9"/>
      <c r="E34" s="72">
        <v>224.0</v>
      </c>
      <c r="F34" s="72">
        <v>232.0</v>
      </c>
      <c r="G34" s="72">
        <v>229.0</v>
      </c>
      <c r="H34" s="72">
        <v>230.0</v>
      </c>
      <c r="I34" s="72">
        <v>234.0</v>
      </c>
      <c r="J34" s="72">
        <v>229.0</v>
      </c>
      <c r="K34" s="72">
        <v>205.0</v>
      </c>
      <c r="L34" s="72">
        <v>242.0</v>
      </c>
      <c r="M34" s="72">
        <v>233.0</v>
      </c>
      <c r="N34" s="72">
        <v>203.0</v>
      </c>
      <c r="O34" s="72">
        <v>136.0</v>
      </c>
      <c r="P34" s="72">
        <v>143.0</v>
      </c>
      <c r="Q34" s="72">
        <v>143.0</v>
      </c>
      <c r="R34" s="72">
        <v>150.0</v>
      </c>
      <c r="S34" s="72">
        <v>266.0</v>
      </c>
      <c r="T34" s="72">
        <v>226.0</v>
      </c>
      <c r="U34" s="72">
        <v>229.0</v>
      </c>
      <c r="V34" s="72">
        <v>167.0</v>
      </c>
      <c r="W34" s="72">
        <v>187.0</v>
      </c>
      <c r="X34" s="6">
        <f t="shared" si="10"/>
        <v>3908</v>
      </c>
    </row>
    <row r="35" ht="12.75" customHeight="1">
      <c r="A35" s="13">
        <v>3.0</v>
      </c>
      <c r="B35" s="14" t="s">
        <v>28</v>
      </c>
      <c r="C35" s="8"/>
      <c r="D35" s="9"/>
      <c r="E35" s="66">
        <v>0.0</v>
      </c>
      <c r="F35" s="66">
        <v>0.0</v>
      </c>
      <c r="G35" s="66">
        <v>0.0</v>
      </c>
      <c r="H35" s="66">
        <v>2.0</v>
      </c>
      <c r="I35" s="66">
        <v>0.0</v>
      </c>
      <c r="J35" s="66">
        <v>0.0</v>
      </c>
      <c r="K35" s="66">
        <v>0.0</v>
      </c>
      <c r="L35" s="66">
        <v>0.0</v>
      </c>
      <c r="M35" s="66">
        <v>1.0</v>
      </c>
      <c r="N35" s="66">
        <v>0.0</v>
      </c>
      <c r="O35" s="66">
        <v>0.0</v>
      </c>
      <c r="P35" s="66">
        <v>0.0</v>
      </c>
      <c r="Q35" s="66">
        <v>0.0</v>
      </c>
      <c r="R35" s="66">
        <v>1.0</v>
      </c>
      <c r="S35" s="66">
        <v>0.0</v>
      </c>
      <c r="T35" s="66">
        <v>0.0</v>
      </c>
      <c r="U35" s="66">
        <v>0.0</v>
      </c>
      <c r="V35" s="66">
        <v>0.0</v>
      </c>
      <c r="W35" s="66">
        <v>0.0</v>
      </c>
      <c r="X35" s="6">
        <f t="shared" si="10"/>
        <v>4</v>
      </c>
    </row>
    <row r="36" ht="12.75" customHeight="1">
      <c r="A36" s="13">
        <v>4.0</v>
      </c>
      <c r="B36" s="14" t="s">
        <v>29</v>
      </c>
      <c r="C36" s="8"/>
      <c r="D36" s="9"/>
      <c r="E36" s="6">
        <f t="shared" ref="E36:W36" si="11">E33-(E34+E35)</f>
        <v>64</v>
      </c>
      <c r="F36" s="6">
        <f t="shared" si="11"/>
        <v>71</v>
      </c>
      <c r="G36" s="6">
        <f t="shared" si="11"/>
        <v>70</v>
      </c>
      <c r="H36" s="6">
        <f t="shared" si="11"/>
        <v>68</v>
      </c>
      <c r="I36" s="6">
        <f t="shared" si="11"/>
        <v>59</v>
      </c>
      <c r="J36" s="6">
        <f t="shared" si="11"/>
        <v>72</v>
      </c>
      <c r="K36" s="6">
        <f t="shared" si="11"/>
        <v>93</v>
      </c>
      <c r="L36" s="6">
        <f t="shared" si="11"/>
        <v>50</v>
      </c>
      <c r="M36" s="6">
        <f t="shared" si="11"/>
        <v>56</v>
      </c>
      <c r="N36" s="6">
        <f t="shared" si="11"/>
        <v>73</v>
      </c>
      <c r="O36" s="6">
        <f t="shared" si="11"/>
        <v>31</v>
      </c>
      <c r="P36" s="6">
        <f t="shared" si="11"/>
        <v>34</v>
      </c>
      <c r="Q36" s="6">
        <f t="shared" si="11"/>
        <v>30</v>
      </c>
      <c r="R36" s="6">
        <f t="shared" si="11"/>
        <v>25</v>
      </c>
      <c r="S36" s="6">
        <f t="shared" si="11"/>
        <v>32</v>
      </c>
      <c r="T36" s="6">
        <f t="shared" si="11"/>
        <v>63</v>
      </c>
      <c r="U36" s="6">
        <f t="shared" si="11"/>
        <v>76</v>
      </c>
      <c r="V36" s="6">
        <f t="shared" si="11"/>
        <v>51</v>
      </c>
      <c r="W36" s="6">
        <f t="shared" si="11"/>
        <v>117</v>
      </c>
      <c r="X36" s="6">
        <f t="shared" si="10"/>
        <v>1135</v>
      </c>
    </row>
    <row r="37" ht="12.75" customHeight="1">
      <c r="A37" s="21"/>
      <c r="B37" s="8"/>
      <c r="C37" s="8"/>
      <c r="D37" s="8"/>
      <c r="E37" s="21"/>
      <c r="F37" s="8"/>
      <c r="G37" s="8"/>
      <c r="H37" s="8"/>
      <c r="I37" s="9"/>
      <c r="J37" s="13"/>
      <c r="K37" s="13"/>
      <c r="L37" s="13"/>
      <c r="M37" s="13"/>
      <c r="N37" s="67"/>
      <c r="O37" s="71"/>
      <c r="P37" s="71"/>
      <c r="Q37" s="71"/>
      <c r="R37" s="71"/>
      <c r="S37" s="71"/>
      <c r="T37" s="71"/>
      <c r="U37" s="71"/>
      <c r="V37" s="71"/>
      <c r="W37" s="71"/>
      <c r="X37" s="6"/>
    </row>
    <row r="38" ht="12.75" customHeight="1">
      <c r="A38" s="44" t="s">
        <v>30</v>
      </c>
      <c r="B38" s="7" t="s">
        <v>31</v>
      </c>
      <c r="C38" s="8"/>
      <c r="D38" s="9"/>
      <c r="E38" s="6"/>
      <c r="F38" s="6"/>
      <c r="G38" s="6"/>
      <c r="H38" s="6"/>
      <c r="I38" s="6"/>
      <c r="J38" s="6"/>
      <c r="K38" s="6"/>
      <c r="L38" s="6"/>
      <c r="M38" s="6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"/>
    </row>
    <row r="39" ht="12.75" customHeight="1">
      <c r="A39" s="32"/>
      <c r="B39" s="45" t="s">
        <v>32</v>
      </c>
      <c r="C39" s="20"/>
      <c r="D39" s="13" t="s">
        <v>11</v>
      </c>
      <c r="E39" s="66">
        <v>0.0</v>
      </c>
      <c r="F39" s="66">
        <v>0.0</v>
      </c>
      <c r="G39" s="66">
        <v>0.0</v>
      </c>
      <c r="H39" s="66">
        <v>0.0</v>
      </c>
      <c r="I39" s="66">
        <v>0.0</v>
      </c>
      <c r="J39" s="66">
        <v>0.0</v>
      </c>
      <c r="K39" s="66">
        <v>0.0</v>
      </c>
      <c r="L39" s="66">
        <v>0.0</v>
      </c>
      <c r="M39" s="66">
        <v>0.0</v>
      </c>
      <c r="N39" s="66">
        <v>0.0</v>
      </c>
      <c r="O39" s="66">
        <v>0.0</v>
      </c>
      <c r="P39" s="66">
        <v>0.0</v>
      </c>
      <c r="Q39" s="66">
        <v>0.0</v>
      </c>
      <c r="R39" s="66">
        <v>0.0</v>
      </c>
      <c r="S39" s="66">
        <v>0.0</v>
      </c>
      <c r="T39" s="66">
        <v>0.0</v>
      </c>
      <c r="U39" s="66">
        <v>2.0</v>
      </c>
      <c r="V39" s="66">
        <v>0.0</v>
      </c>
      <c r="W39" s="66">
        <v>0.0</v>
      </c>
      <c r="X39" s="6">
        <f t="shared" ref="X39:X41" si="12">SUM(E39:W39)</f>
        <v>2</v>
      </c>
    </row>
    <row r="40" ht="12.75" customHeight="1">
      <c r="A40" s="35"/>
      <c r="C40" s="26"/>
      <c r="D40" s="13" t="s">
        <v>12</v>
      </c>
      <c r="E40" s="66">
        <v>0.0</v>
      </c>
      <c r="F40" s="66">
        <v>0.0</v>
      </c>
      <c r="G40" s="66">
        <v>0.0</v>
      </c>
      <c r="H40" s="66">
        <v>0.0</v>
      </c>
      <c r="I40" s="66">
        <v>0.0</v>
      </c>
      <c r="J40" s="66">
        <v>0.0</v>
      </c>
      <c r="K40" s="66">
        <v>0.0</v>
      </c>
      <c r="L40" s="66">
        <v>0.0</v>
      </c>
      <c r="M40" s="66">
        <v>0.0</v>
      </c>
      <c r="N40" s="66">
        <v>0.0</v>
      </c>
      <c r="O40" s="66">
        <v>0.0</v>
      </c>
      <c r="P40" s="66">
        <v>0.0</v>
      </c>
      <c r="Q40" s="66">
        <v>0.0</v>
      </c>
      <c r="R40" s="66">
        <v>0.0</v>
      </c>
      <c r="S40" s="66">
        <v>0.0</v>
      </c>
      <c r="T40" s="66">
        <v>0.0</v>
      </c>
      <c r="U40" s="66">
        <v>0.0</v>
      </c>
      <c r="V40" s="66">
        <v>0.0</v>
      </c>
      <c r="W40" s="66">
        <v>0.0</v>
      </c>
      <c r="X40" s="6">
        <f t="shared" si="12"/>
        <v>0</v>
      </c>
    </row>
    <row r="41" ht="12.75" customHeight="1">
      <c r="A41" s="42"/>
      <c r="B41" s="46"/>
      <c r="C41" s="27"/>
      <c r="D41" s="6" t="s">
        <v>13</v>
      </c>
      <c r="E41" s="6">
        <f t="shared" ref="E41:W41" si="13">SUM(E39:E40)</f>
        <v>0</v>
      </c>
      <c r="F41" s="6">
        <f t="shared" si="13"/>
        <v>0</v>
      </c>
      <c r="G41" s="6">
        <f t="shared" si="13"/>
        <v>0</v>
      </c>
      <c r="H41" s="6">
        <f t="shared" si="13"/>
        <v>0</v>
      </c>
      <c r="I41" s="6">
        <f t="shared" si="13"/>
        <v>0</v>
      </c>
      <c r="J41" s="6">
        <f t="shared" si="13"/>
        <v>0</v>
      </c>
      <c r="K41" s="6">
        <f t="shared" si="13"/>
        <v>0</v>
      </c>
      <c r="L41" s="6">
        <f t="shared" si="13"/>
        <v>0</v>
      </c>
      <c r="M41" s="6">
        <f t="shared" si="13"/>
        <v>0</v>
      </c>
      <c r="N41" s="6">
        <f t="shared" si="13"/>
        <v>0</v>
      </c>
      <c r="O41" s="6">
        <f t="shared" si="13"/>
        <v>0</v>
      </c>
      <c r="P41" s="6">
        <f t="shared" si="13"/>
        <v>0</v>
      </c>
      <c r="Q41" s="6">
        <f t="shared" si="13"/>
        <v>0</v>
      </c>
      <c r="R41" s="6">
        <f t="shared" si="13"/>
        <v>0</v>
      </c>
      <c r="S41" s="6">
        <f t="shared" si="13"/>
        <v>0</v>
      </c>
      <c r="T41" s="6">
        <f t="shared" si="13"/>
        <v>0</v>
      </c>
      <c r="U41" s="6">
        <f t="shared" si="13"/>
        <v>2</v>
      </c>
      <c r="V41" s="6">
        <f t="shared" si="13"/>
        <v>0</v>
      </c>
      <c r="W41" s="6">
        <f t="shared" si="13"/>
        <v>0</v>
      </c>
      <c r="X41" s="6">
        <f t="shared" si="12"/>
        <v>2</v>
      </c>
    </row>
    <row r="42" ht="12.75" customHeight="1">
      <c r="A42" s="47"/>
      <c r="B42" s="46"/>
      <c r="C42" s="46"/>
      <c r="D42" s="27"/>
      <c r="E42" s="21"/>
      <c r="F42" s="8"/>
      <c r="G42" s="8"/>
      <c r="H42" s="8"/>
      <c r="I42" s="9"/>
      <c r="J42" s="13"/>
      <c r="K42" s="13"/>
      <c r="L42" s="13"/>
      <c r="M42" s="13"/>
      <c r="N42" s="67"/>
      <c r="X42" s="6"/>
    </row>
    <row r="43" ht="12.75" customHeight="1">
      <c r="A43" s="44" t="s">
        <v>33</v>
      </c>
      <c r="B43" s="7" t="s">
        <v>34</v>
      </c>
      <c r="C43" s="8"/>
      <c r="D43" s="9"/>
      <c r="E43" s="28"/>
      <c r="F43" s="6"/>
      <c r="G43" s="6"/>
      <c r="H43" s="6"/>
      <c r="I43" s="6"/>
      <c r="J43" s="6"/>
      <c r="K43" s="6"/>
      <c r="L43" s="6"/>
      <c r="M43" s="6"/>
      <c r="N43" s="69"/>
      <c r="X43" s="6"/>
    </row>
    <row r="44" ht="12.75" customHeight="1">
      <c r="A44" s="45" t="s">
        <v>35</v>
      </c>
      <c r="B44" s="48"/>
      <c r="C44" s="48"/>
      <c r="D44" s="20"/>
      <c r="E44" s="21"/>
      <c r="F44" s="13"/>
      <c r="G44" s="13"/>
      <c r="H44" s="13"/>
      <c r="I44" s="13"/>
      <c r="J44" s="13"/>
      <c r="K44" s="13"/>
      <c r="L44" s="13"/>
      <c r="M44" s="13"/>
      <c r="N44" s="67"/>
      <c r="X44" s="6"/>
    </row>
    <row r="45" ht="12.75" customHeight="1">
      <c r="A45" s="32" t="s">
        <v>36</v>
      </c>
      <c r="B45" s="49" t="s">
        <v>16</v>
      </c>
      <c r="C45" s="50" t="s">
        <v>37</v>
      </c>
      <c r="D45" s="9"/>
      <c r="E45" s="66">
        <v>10.0</v>
      </c>
      <c r="F45" s="66">
        <v>10.0</v>
      </c>
      <c r="G45" s="66">
        <v>6.0</v>
      </c>
      <c r="H45" s="66">
        <v>6.0</v>
      </c>
      <c r="I45" s="66">
        <v>10.0</v>
      </c>
      <c r="J45" s="66">
        <v>9.0</v>
      </c>
      <c r="K45" s="66">
        <v>7.0</v>
      </c>
      <c r="L45" s="66">
        <v>11.0</v>
      </c>
      <c r="M45" s="66">
        <v>22.0</v>
      </c>
      <c r="N45" s="66">
        <v>11.0</v>
      </c>
      <c r="O45" s="66">
        <v>9.0</v>
      </c>
      <c r="P45" s="66">
        <v>6.0</v>
      </c>
      <c r="Q45" s="66">
        <v>5.0</v>
      </c>
      <c r="R45" s="66">
        <v>0.0</v>
      </c>
      <c r="S45" s="66">
        <v>11.0</v>
      </c>
      <c r="T45" s="66">
        <v>16.0</v>
      </c>
      <c r="U45" s="66">
        <v>9.0</v>
      </c>
      <c r="V45" s="66">
        <v>1.0</v>
      </c>
      <c r="W45" s="66">
        <v>3.0</v>
      </c>
      <c r="X45" s="6">
        <f t="shared" ref="X45:X52" si="14">SUM(E45:W45)</f>
        <v>162</v>
      </c>
    </row>
    <row r="46" ht="12.75" customHeight="1">
      <c r="A46" s="32" t="s">
        <v>38</v>
      </c>
      <c r="B46" s="51"/>
      <c r="C46" s="52" t="s">
        <v>39</v>
      </c>
      <c r="D46" s="53"/>
      <c r="E46" s="66">
        <v>57.0</v>
      </c>
      <c r="F46" s="66">
        <v>28.0</v>
      </c>
      <c r="G46" s="66">
        <v>23.0</v>
      </c>
      <c r="H46" s="66">
        <v>51.0</v>
      </c>
      <c r="I46" s="66">
        <v>56.0</v>
      </c>
      <c r="J46" s="66">
        <v>20.0</v>
      </c>
      <c r="K46" s="66">
        <v>27.0</v>
      </c>
      <c r="L46" s="66">
        <v>67.0</v>
      </c>
      <c r="M46" s="66">
        <v>76.0</v>
      </c>
      <c r="N46" s="66">
        <v>37.0</v>
      </c>
      <c r="O46" s="66">
        <v>42.0</v>
      </c>
      <c r="P46" s="66">
        <v>47.0</v>
      </c>
      <c r="Q46" s="66">
        <v>34.0</v>
      </c>
      <c r="R46" s="66">
        <v>2.0</v>
      </c>
      <c r="S46" s="66">
        <v>47.0</v>
      </c>
      <c r="T46" s="66">
        <v>59.0</v>
      </c>
      <c r="U46" s="66">
        <v>25.0</v>
      </c>
      <c r="V46" s="66">
        <v>5.0</v>
      </c>
      <c r="W46" s="66">
        <v>10.0</v>
      </c>
      <c r="X46" s="6">
        <f t="shared" si="14"/>
        <v>713</v>
      </c>
    </row>
    <row r="47" ht="12.75" customHeight="1">
      <c r="A47" s="18"/>
      <c r="B47" s="51"/>
      <c r="C47" s="52" t="s">
        <v>40</v>
      </c>
      <c r="D47" s="53"/>
      <c r="E47" s="66">
        <v>9.0</v>
      </c>
      <c r="F47" s="66">
        <v>2.0</v>
      </c>
      <c r="G47" s="66">
        <v>1.0</v>
      </c>
      <c r="H47" s="66">
        <v>3.0</v>
      </c>
      <c r="I47" s="66">
        <v>4.0</v>
      </c>
      <c r="J47" s="66">
        <v>0.0</v>
      </c>
      <c r="K47" s="66">
        <v>2.0</v>
      </c>
      <c r="L47" s="66">
        <v>3.0</v>
      </c>
      <c r="M47" s="66">
        <v>3.0</v>
      </c>
      <c r="N47" s="66">
        <v>0.0</v>
      </c>
      <c r="O47" s="66">
        <v>0.0</v>
      </c>
      <c r="P47" s="66">
        <v>0.0</v>
      </c>
      <c r="Q47" s="66">
        <v>0.0</v>
      </c>
      <c r="R47" s="66">
        <v>0.0</v>
      </c>
      <c r="S47" s="66">
        <v>2.0</v>
      </c>
      <c r="T47" s="66">
        <v>3.0</v>
      </c>
      <c r="U47" s="66">
        <v>0.0</v>
      </c>
      <c r="V47" s="66">
        <v>0.0</v>
      </c>
      <c r="W47" s="66">
        <v>1.0</v>
      </c>
      <c r="X47" s="6">
        <f t="shared" si="14"/>
        <v>33</v>
      </c>
    </row>
    <row r="48" ht="12.75" customHeight="1">
      <c r="A48" s="18"/>
      <c r="B48" s="51"/>
      <c r="C48" s="52" t="s">
        <v>41</v>
      </c>
      <c r="D48" s="53"/>
      <c r="E48" s="66">
        <v>2.0</v>
      </c>
      <c r="F48" s="66">
        <v>2.0</v>
      </c>
      <c r="G48" s="66">
        <v>1.0</v>
      </c>
      <c r="H48" s="66">
        <v>0.0</v>
      </c>
      <c r="I48" s="66">
        <v>1.0</v>
      </c>
      <c r="J48" s="66">
        <v>0.0</v>
      </c>
      <c r="K48" s="66">
        <v>1.0</v>
      </c>
      <c r="L48" s="66">
        <v>0.0</v>
      </c>
      <c r="M48" s="66">
        <v>2.0</v>
      </c>
      <c r="N48" s="66">
        <v>0.0</v>
      </c>
      <c r="O48" s="66">
        <v>1.0</v>
      </c>
      <c r="P48" s="66">
        <v>0.0</v>
      </c>
      <c r="Q48" s="66">
        <v>0.0</v>
      </c>
      <c r="R48" s="66">
        <v>0.0</v>
      </c>
      <c r="S48" s="66">
        <v>0.0</v>
      </c>
      <c r="T48" s="66">
        <v>1.0</v>
      </c>
      <c r="U48" s="66">
        <v>1.0</v>
      </c>
      <c r="V48" s="66">
        <v>0.0</v>
      </c>
      <c r="W48" s="66">
        <v>1.0</v>
      </c>
      <c r="X48" s="6">
        <f t="shared" si="14"/>
        <v>13</v>
      </c>
    </row>
    <row r="49" ht="12.75" customHeight="1">
      <c r="A49" s="18"/>
      <c r="B49" s="51"/>
      <c r="C49" s="52" t="s">
        <v>42</v>
      </c>
      <c r="D49" s="53"/>
      <c r="E49" s="66">
        <v>0.0</v>
      </c>
      <c r="F49" s="66">
        <v>0.0</v>
      </c>
      <c r="G49" s="66">
        <v>0.0</v>
      </c>
      <c r="H49" s="66">
        <v>0.0</v>
      </c>
      <c r="I49" s="66">
        <v>2.0</v>
      </c>
      <c r="J49" s="66">
        <v>1.0</v>
      </c>
      <c r="K49" s="66">
        <v>0.0</v>
      </c>
      <c r="L49" s="66">
        <v>1.0</v>
      </c>
      <c r="M49" s="66">
        <v>0.0</v>
      </c>
      <c r="N49" s="66">
        <v>2.0</v>
      </c>
      <c r="O49" s="66">
        <v>0.0</v>
      </c>
      <c r="P49" s="66">
        <v>0.0</v>
      </c>
      <c r="Q49" s="66">
        <v>0.0</v>
      </c>
      <c r="R49" s="66">
        <v>0.0</v>
      </c>
      <c r="S49" s="66">
        <v>0.0</v>
      </c>
      <c r="T49" s="66">
        <v>1.0</v>
      </c>
      <c r="U49" s="66">
        <v>1.0</v>
      </c>
      <c r="V49" s="66">
        <v>0.0</v>
      </c>
      <c r="W49" s="66">
        <v>0.0</v>
      </c>
      <c r="X49" s="6">
        <f t="shared" si="14"/>
        <v>8</v>
      </c>
    </row>
    <row r="50" ht="12.75" customHeight="1">
      <c r="A50" s="18"/>
      <c r="B50" s="51"/>
      <c r="C50" s="52" t="s">
        <v>43</v>
      </c>
      <c r="D50" s="53"/>
      <c r="E50" s="66">
        <v>0.0</v>
      </c>
      <c r="F50" s="66">
        <v>0.0</v>
      </c>
      <c r="G50" s="66">
        <v>0.0</v>
      </c>
      <c r="H50" s="66">
        <v>0.0</v>
      </c>
      <c r="I50" s="66">
        <v>0.0</v>
      </c>
      <c r="J50" s="66">
        <v>0.0</v>
      </c>
      <c r="K50" s="66">
        <v>0.0</v>
      </c>
      <c r="L50" s="66">
        <v>0.0</v>
      </c>
      <c r="M50" s="66">
        <v>0.0</v>
      </c>
      <c r="N50" s="66">
        <v>0.0</v>
      </c>
      <c r="O50" s="66">
        <v>0.0</v>
      </c>
      <c r="P50" s="66">
        <v>0.0</v>
      </c>
      <c r="Q50" s="66">
        <v>0.0</v>
      </c>
      <c r="R50" s="66">
        <v>0.0</v>
      </c>
      <c r="S50" s="66">
        <v>1.0</v>
      </c>
      <c r="T50" s="66">
        <v>0.0</v>
      </c>
      <c r="U50" s="66">
        <v>0.0</v>
      </c>
      <c r="V50" s="66">
        <v>0.0</v>
      </c>
      <c r="W50" s="66">
        <v>0.0</v>
      </c>
      <c r="X50" s="6">
        <f t="shared" si="14"/>
        <v>1</v>
      </c>
    </row>
    <row r="51" ht="12.75" customHeight="1">
      <c r="A51" s="18"/>
      <c r="B51" s="51"/>
      <c r="C51" s="52" t="s">
        <v>44</v>
      </c>
      <c r="D51" s="53"/>
      <c r="E51" s="66">
        <v>0.0</v>
      </c>
      <c r="F51" s="66">
        <v>0.0</v>
      </c>
      <c r="G51" s="66">
        <v>7.0</v>
      </c>
      <c r="H51" s="66">
        <v>1.0</v>
      </c>
      <c r="I51" s="66">
        <v>10.0</v>
      </c>
      <c r="J51" s="66">
        <v>3.0</v>
      </c>
      <c r="K51" s="66">
        <v>1.0</v>
      </c>
      <c r="L51" s="66">
        <v>2.0</v>
      </c>
      <c r="M51" s="66">
        <v>1.0</v>
      </c>
      <c r="N51" s="66">
        <v>5.0</v>
      </c>
      <c r="O51" s="66">
        <v>0.0</v>
      </c>
      <c r="P51" s="66">
        <v>0.0</v>
      </c>
      <c r="Q51" s="66">
        <v>0.0</v>
      </c>
      <c r="R51" s="66">
        <v>0.0</v>
      </c>
      <c r="S51" s="66">
        <v>1.0</v>
      </c>
      <c r="T51" s="66">
        <v>8.0</v>
      </c>
      <c r="U51" s="66">
        <v>6.0</v>
      </c>
      <c r="V51" s="66">
        <v>0.0</v>
      </c>
      <c r="W51" s="66">
        <v>5.0</v>
      </c>
      <c r="X51" s="6">
        <f t="shared" si="14"/>
        <v>50</v>
      </c>
    </row>
    <row r="52" ht="12.75" customHeight="1">
      <c r="A52" s="13" t="s">
        <v>14</v>
      </c>
      <c r="B52" s="49" t="s">
        <v>45</v>
      </c>
      <c r="C52" s="8"/>
      <c r="D52" s="9"/>
      <c r="E52" s="54">
        <f t="shared" ref="E52:W52" si="15">SUM(E45:E51)</f>
        <v>78</v>
      </c>
      <c r="F52" s="54">
        <f t="shared" si="15"/>
        <v>42</v>
      </c>
      <c r="G52" s="54">
        <f t="shared" si="15"/>
        <v>38</v>
      </c>
      <c r="H52" s="54">
        <f t="shared" si="15"/>
        <v>61</v>
      </c>
      <c r="I52" s="54">
        <f t="shared" si="15"/>
        <v>83</v>
      </c>
      <c r="J52" s="54">
        <f t="shared" si="15"/>
        <v>33</v>
      </c>
      <c r="K52" s="54">
        <f t="shared" si="15"/>
        <v>38</v>
      </c>
      <c r="L52" s="54">
        <f t="shared" si="15"/>
        <v>84</v>
      </c>
      <c r="M52" s="54">
        <f t="shared" si="15"/>
        <v>104</v>
      </c>
      <c r="N52" s="54">
        <f t="shared" si="15"/>
        <v>55</v>
      </c>
      <c r="O52" s="54">
        <f t="shared" si="15"/>
        <v>52</v>
      </c>
      <c r="P52" s="54">
        <f t="shared" si="15"/>
        <v>53</v>
      </c>
      <c r="Q52" s="54">
        <f t="shared" si="15"/>
        <v>39</v>
      </c>
      <c r="R52" s="54">
        <f t="shared" si="15"/>
        <v>2</v>
      </c>
      <c r="S52" s="54">
        <f t="shared" si="15"/>
        <v>62</v>
      </c>
      <c r="T52" s="54">
        <f t="shared" si="15"/>
        <v>88</v>
      </c>
      <c r="U52" s="54">
        <f t="shared" si="15"/>
        <v>42</v>
      </c>
      <c r="V52" s="54">
        <f t="shared" si="15"/>
        <v>6</v>
      </c>
      <c r="W52" s="54">
        <f t="shared" si="15"/>
        <v>20</v>
      </c>
      <c r="X52" s="6">
        <f t="shared" si="14"/>
        <v>980</v>
      </c>
    </row>
    <row r="53" ht="12.75" customHeight="1">
      <c r="A53" s="55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6"/>
    </row>
    <row r="54" ht="12.75" customHeight="1">
      <c r="A54" s="32" t="s">
        <v>36</v>
      </c>
      <c r="B54" s="49" t="s">
        <v>18</v>
      </c>
      <c r="C54" s="50" t="s">
        <v>46</v>
      </c>
      <c r="D54" s="9"/>
      <c r="E54" s="66">
        <v>4.0</v>
      </c>
      <c r="F54" s="66">
        <v>7.0</v>
      </c>
      <c r="G54" s="66">
        <v>8.0</v>
      </c>
      <c r="H54" s="66">
        <v>4.0</v>
      </c>
      <c r="I54" s="66">
        <v>4.0</v>
      </c>
      <c r="J54" s="66">
        <v>11.0</v>
      </c>
      <c r="K54" s="66">
        <v>10.0</v>
      </c>
      <c r="L54" s="66">
        <v>3.0</v>
      </c>
      <c r="M54" s="66">
        <v>9.0</v>
      </c>
      <c r="N54" s="66">
        <v>9.0</v>
      </c>
      <c r="O54" s="66">
        <v>0.0</v>
      </c>
      <c r="P54" s="66">
        <v>3.0</v>
      </c>
      <c r="Q54" s="66">
        <v>2.0</v>
      </c>
      <c r="R54" s="66">
        <v>0.0</v>
      </c>
      <c r="S54" s="66">
        <v>5.0</v>
      </c>
      <c r="T54" s="66">
        <v>7.0</v>
      </c>
      <c r="U54" s="66">
        <v>7.0</v>
      </c>
      <c r="V54" s="66">
        <v>7.0</v>
      </c>
      <c r="W54" s="66">
        <v>6.0</v>
      </c>
      <c r="X54" s="6">
        <f t="shared" ref="X54:X61" si="16">SUM(E54:W54)</f>
        <v>106</v>
      </c>
    </row>
    <row r="55" ht="12.75" customHeight="1">
      <c r="A55" s="32" t="s">
        <v>38</v>
      </c>
      <c r="B55" s="51"/>
      <c r="C55" s="52" t="s">
        <v>47</v>
      </c>
      <c r="D55" s="53"/>
      <c r="E55" s="66">
        <v>3.0</v>
      </c>
      <c r="F55" s="66">
        <v>7.0</v>
      </c>
      <c r="G55" s="66">
        <v>4.0</v>
      </c>
      <c r="H55" s="66">
        <v>6.0</v>
      </c>
      <c r="I55" s="66">
        <v>5.0</v>
      </c>
      <c r="J55" s="66">
        <v>4.0</v>
      </c>
      <c r="K55" s="66">
        <v>5.0</v>
      </c>
      <c r="L55" s="66">
        <v>4.0</v>
      </c>
      <c r="M55" s="66">
        <v>18.0</v>
      </c>
      <c r="N55" s="66">
        <v>11.0</v>
      </c>
      <c r="O55" s="66">
        <v>1.0</v>
      </c>
      <c r="P55" s="66">
        <v>11.0</v>
      </c>
      <c r="Q55" s="66">
        <v>9.0</v>
      </c>
      <c r="R55" s="66">
        <v>0.0</v>
      </c>
      <c r="S55" s="66">
        <v>1.0</v>
      </c>
      <c r="T55" s="66">
        <v>3.0</v>
      </c>
      <c r="U55" s="66">
        <v>0.0</v>
      </c>
      <c r="V55" s="66">
        <v>12.0</v>
      </c>
      <c r="W55" s="66">
        <v>5.0</v>
      </c>
      <c r="X55" s="6">
        <f t="shared" si="16"/>
        <v>109</v>
      </c>
    </row>
    <row r="56" ht="12.75" customHeight="1">
      <c r="A56" s="18"/>
      <c r="B56" s="51"/>
      <c r="C56" s="52" t="s">
        <v>48</v>
      </c>
      <c r="D56" s="53"/>
      <c r="E56" s="66">
        <v>0.0</v>
      </c>
      <c r="F56" s="66">
        <v>32.0</v>
      </c>
      <c r="G56" s="66">
        <v>47.0</v>
      </c>
      <c r="H56" s="66">
        <v>10.0</v>
      </c>
      <c r="I56" s="66">
        <v>11.0</v>
      </c>
      <c r="J56" s="66">
        <v>4.0</v>
      </c>
      <c r="K56" s="66">
        <v>3.0</v>
      </c>
      <c r="L56" s="66">
        <v>2.0</v>
      </c>
      <c r="M56" s="66">
        <v>0.0</v>
      </c>
      <c r="N56" s="66">
        <v>0.0</v>
      </c>
      <c r="O56" s="66">
        <v>0.0</v>
      </c>
      <c r="P56" s="66">
        <v>0.0</v>
      </c>
      <c r="Q56" s="66">
        <v>3.0</v>
      </c>
      <c r="R56" s="66">
        <v>2.0</v>
      </c>
      <c r="S56" s="66">
        <v>0.0</v>
      </c>
      <c r="T56" s="66">
        <v>1.0</v>
      </c>
      <c r="U56" s="66">
        <v>1.0</v>
      </c>
      <c r="V56" s="66">
        <v>54.0</v>
      </c>
      <c r="W56" s="66">
        <v>5.0</v>
      </c>
      <c r="X56" s="6">
        <f t="shared" si="16"/>
        <v>175</v>
      </c>
    </row>
    <row r="57" ht="12.75" customHeight="1">
      <c r="A57" s="18"/>
      <c r="B57" s="51"/>
      <c r="C57" s="52" t="s">
        <v>49</v>
      </c>
      <c r="D57" s="53"/>
      <c r="E57" s="66">
        <v>1.0</v>
      </c>
      <c r="F57" s="66">
        <v>0.0</v>
      </c>
      <c r="G57" s="66">
        <v>1.0</v>
      </c>
      <c r="H57" s="66">
        <v>0.0</v>
      </c>
      <c r="I57" s="66">
        <v>0.0</v>
      </c>
      <c r="J57" s="66">
        <v>1.0</v>
      </c>
      <c r="K57" s="66">
        <v>1.0</v>
      </c>
      <c r="L57" s="66">
        <v>2.0</v>
      </c>
      <c r="M57" s="66">
        <v>0.0</v>
      </c>
      <c r="N57" s="66">
        <v>0.0</v>
      </c>
      <c r="O57" s="66">
        <v>1.0</v>
      </c>
      <c r="P57" s="66">
        <v>0.0</v>
      </c>
      <c r="Q57" s="66">
        <v>0.0</v>
      </c>
      <c r="R57" s="66">
        <v>0.0</v>
      </c>
      <c r="S57" s="66">
        <v>0.0</v>
      </c>
      <c r="T57" s="66">
        <v>1.0</v>
      </c>
      <c r="U57" s="66">
        <v>0.0</v>
      </c>
      <c r="V57" s="66">
        <v>1.0</v>
      </c>
      <c r="W57" s="66">
        <v>2.0</v>
      </c>
      <c r="X57" s="6">
        <f t="shared" si="16"/>
        <v>11</v>
      </c>
    </row>
    <row r="58" ht="12.75" customHeight="1">
      <c r="A58" s="18"/>
      <c r="B58" s="51"/>
      <c r="C58" s="52" t="s">
        <v>50</v>
      </c>
      <c r="D58" s="53"/>
      <c r="E58" s="66">
        <v>47.0</v>
      </c>
      <c r="F58" s="66">
        <v>29.0</v>
      </c>
      <c r="G58" s="66">
        <v>13.0</v>
      </c>
      <c r="H58" s="66">
        <v>8.0</v>
      </c>
      <c r="I58" s="66">
        <v>2.0</v>
      </c>
      <c r="J58" s="66">
        <v>34.0</v>
      </c>
      <c r="K58" s="66">
        <v>16.0</v>
      </c>
      <c r="L58" s="66">
        <v>9.0</v>
      </c>
      <c r="M58" s="66">
        <v>0.0</v>
      </c>
      <c r="N58" s="66">
        <v>1.0</v>
      </c>
      <c r="O58" s="66">
        <v>4.0</v>
      </c>
      <c r="P58" s="66">
        <v>5.0</v>
      </c>
      <c r="Q58" s="66">
        <v>0.0</v>
      </c>
      <c r="R58" s="66">
        <v>0.0</v>
      </c>
      <c r="S58" s="66">
        <v>2.0</v>
      </c>
      <c r="T58" s="66">
        <v>1.0</v>
      </c>
      <c r="U58" s="66">
        <v>3.0</v>
      </c>
      <c r="V58" s="66">
        <v>1.0</v>
      </c>
      <c r="W58" s="66">
        <v>0.0</v>
      </c>
      <c r="X58" s="6">
        <f t="shared" si="16"/>
        <v>175</v>
      </c>
    </row>
    <row r="59" ht="12.75" customHeight="1">
      <c r="A59" s="18"/>
      <c r="B59" s="51"/>
      <c r="C59" s="52" t="s">
        <v>51</v>
      </c>
      <c r="D59" s="53"/>
      <c r="E59" s="66">
        <v>0.0</v>
      </c>
      <c r="F59" s="66">
        <v>0.0</v>
      </c>
      <c r="G59" s="66">
        <v>0.0</v>
      </c>
      <c r="H59" s="66">
        <v>1.0</v>
      </c>
      <c r="I59" s="66">
        <v>0.0</v>
      </c>
      <c r="J59" s="66">
        <v>0.0</v>
      </c>
      <c r="K59" s="66">
        <v>0.0</v>
      </c>
      <c r="L59" s="66">
        <v>0.0</v>
      </c>
      <c r="M59" s="66">
        <v>0.0</v>
      </c>
      <c r="N59" s="66">
        <v>0.0</v>
      </c>
      <c r="O59" s="66">
        <v>0.0</v>
      </c>
      <c r="P59" s="66">
        <v>0.0</v>
      </c>
      <c r="Q59" s="66">
        <v>0.0</v>
      </c>
      <c r="R59" s="66">
        <v>0.0</v>
      </c>
      <c r="S59" s="66">
        <v>1.0</v>
      </c>
      <c r="T59" s="66">
        <v>0.0</v>
      </c>
      <c r="U59" s="66">
        <v>0.0</v>
      </c>
      <c r="V59" s="66">
        <v>0.0</v>
      </c>
      <c r="W59" s="66">
        <v>0.0</v>
      </c>
      <c r="X59" s="6">
        <f t="shared" si="16"/>
        <v>2</v>
      </c>
    </row>
    <row r="60" ht="12.75" customHeight="1">
      <c r="A60" s="18"/>
      <c r="B60" s="51"/>
      <c r="C60" s="52" t="s">
        <v>52</v>
      </c>
      <c r="D60" s="53"/>
      <c r="E60" s="66">
        <v>0.0</v>
      </c>
      <c r="F60" s="66">
        <v>0.0</v>
      </c>
      <c r="G60" s="66">
        <v>0.0</v>
      </c>
      <c r="H60" s="66">
        <v>0.0</v>
      </c>
      <c r="I60" s="66">
        <v>0.0</v>
      </c>
      <c r="J60" s="66">
        <v>1.0</v>
      </c>
      <c r="K60" s="66">
        <v>0.0</v>
      </c>
      <c r="L60" s="66">
        <v>0.0</v>
      </c>
      <c r="M60" s="66">
        <v>2.0</v>
      </c>
      <c r="N60" s="66">
        <v>0.0</v>
      </c>
      <c r="O60" s="66">
        <v>0.0</v>
      </c>
      <c r="P60" s="66">
        <v>0.0</v>
      </c>
      <c r="Q60" s="66">
        <v>0.0</v>
      </c>
      <c r="R60" s="66">
        <v>0.0</v>
      </c>
      <c r="S60" s="66">
        <v>2.0</v>
      </c>
      <c r="T60" s="66">
        <v>3.0</v>
      </c>
      <c r="U60" s="66">
        <v>0.0</v>
      </c>
      <c r="V60" s="66">
        <v>0.0</v>
      </c>
      <c r="W60" s="66">
        <v>0.0</v>
      </c>
      <c r="X60" s="6">
        <f t="shared" si="16"/>
        <v>8</v>
      </c>
    </row>
    <row r="61" ht="12.75" customHeight="1">
      <c r="A61" s="13" t="s">
        <v>14</v>
      </c>
      <c r="B61" s="49" t="s">
        <v>45</v>
      </c>
      <c r="C61" s="8"/>
      <c r="D61" s="9"/>
      <c r="E61" s="54">
        <f t="shared" ref="E61:W61" si="17">SUM(E54:E60)</f>
        <v>55</v>
      </c>
      <c r="F61" s="54">
        <f t="shared" si="17"/>
        <v>75</v>
      </c>
      <c r="G61" s="54">
        <f t="shared" si="17"/>
        <v>73</v>
      </c>
      <c r="H61" s="54">
        <f t="shared" si="17"/>
        <v>29</v>
      </c>
      <c r="I61" s="54">
        <f t="shared" si="17"/>
        <v>22</v>
      </c>
      <c r="J61" s="54">
        <f t="shared" si="17"/>
        <v>55</v>
      </c>
      <c r="K61" s="54">
        <f t="shared" si="17"/>
        <v>35</v>
      </c>
      <c r="L61" s="54">
        <f t="shared" si="17"/>
        <v>20</v>
      </c>
      <c r="M61" s="54">
        <f t="shared" si="17"/>
        <v>29</v>
      </c>
      <c r="N61" s="54">
        <f t="shared" si="17"/>
        <v>21</v>
      </c>
      <c r="O61" s="54">
        <f t="shared" si="17"/>
        <v>6</v>
      </c>
      <c r="P61" s="54">
        <f t="shared" si="17"/>
        <v>19</v>
      </c>
      <c r="Q61" s="54">
        <f t="shared" si="17"/>
        <v>14</v>
      </c>
      <c r="R61" s="54">
        <f t="shared" si="17"/>
        <v>2</v>
      </c>
      <c r="S61" s="54">
        <f t="shared" si="17"/>
        <v>11</v>
      </c>
      <c r="T61" s="54">
        <f t="shared" si="17"/>
        <v>16</v>
      </c>
      <c r="U61" s="54">
        <f t="shared" si="17"/>
        <v>11</v>
      </c>
      <c r="V61" s="54">
        <f t="shared" si="17"/>
        <v>75</v>
      </c>
      <c r="W61" s="54">
        <f t="shared" si="17"/>
        <v>18</v>
      </c>
      <c r="X61" s="6">
        <f t="shared" si="16"/>
        <v>586</v>
      </c>
    </row>
    <row r="62" ht="12.75" customHeight="1">
      <c r="A62" s="55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6"/>
    </row>
    <row r="63" ht="12.75" customHeight="1">
      <c r="A63" s="32" t="s">
        <v>36</v>
      </c>
      <c r="B63" s="49" t="s">
        <v>20</v>
      </c>
      <c r="C63" s="50" t="s">
        <v>53</v>
      </c>
      <c r="D63" s="9"/>
      <c r="E63" s="66">
        <v>3.0</v>
      </c>
      <c r="F63" s="66">
        <v>5.0</v>
      </c>
      <c r="G63" s="66">
        <v>7.0</v>
      </c>
      <c r="H63" s="66">
        <v>8.0</v>
      </c>
      <c r="I63" s="66">
        <v>3.0</v>
      </c>
      <c r="J63" s="66">
        <v>9.0</v>
      </c>
      <c r="K63" s="66">
        <v>13.0</v>
      </c>
      <c r="L63" s="66">
        <v>4.0</v>
      </c>
      <c r="M63" s="66">
        <v>5.0</v>
      </c>
      <c r="N63" s="66">
        <v>8.0</v>
      </c>
      <c r="O63" s="66">
        <v>2.0</v>
      </c>
      <c r="P63" s="66">
        <v>2.0</v>
      </c>
      <c r="Q63" s="66">
        <v>4.0</v>
      </c>
      <c r="R63" s="66">
        <v>0.0</v>
      </c>
      <c r="S63" s="66">
        <v>12.0</v>
      </c>
      <c r="T63" s="66">
        <v>15.0</v>
      </c>
      <c r="U63" s="66">
        <v>20.0</v>
      </c>
      <c r="V63" s="66">
        <v>4.0</v>
      </c>
      <c r="W63" s="66">
        <v>1.0</v>
      </c>
      <c r="X63" s="6">
        <f t="shared" ref="X63:X70" si="18">SUM(E63:W63)</f>
        <v>125</v>
      </c>
    </row>
    <row r="64" ht="12.75" customHeight="1">
      <c r="A64" s="32" t="s">
        <v>38</v>
      </c>
      <c r="B64" s="51"/>
      <c r="C64" s="52" t="s">
        <v>54</v>
      </c>
      <c r="D64" s="53"/>
      <c r="E64" s="66">
        <v>5.0</v>
      </c>
      <c r="F64" s="66">
        <v>2.0</v>
      </c>
      <c r="G64" s="66">
        <v>6.0</v>
      </c>
      <c r="H64" s="66">
        <v>3.0</v>
      </c>
      <c r="I64" s="66">
        <v>16.0</v>
      </c>
      <c r="J64" s="66">
        <v>3.0</v>
      </c>
      <c r="K64" s="66">
        <v>2.0</v>
      </c>
      <c r="L64" s="66">
        <v>6.0</v>
      </c>
      <c r="M64" s="66">
        <v>9.0</v>
      </c>
      <c r="N64" s="66">
        <v>7.0</v>
      </c>
      <c r="O64" s="66">
        <v>4.0</v>
      </c>
      <c r="P64" s="66">
        <v>5.0</v>
      </c>
      <c r="Q64" s="66">
        <v>2.0</v>
      </c>
      <c r="R64" s="66">
        <v>4.0</v>
      </c>
      <c r="S64" s="66">
        <v>13.0</v>
      </c>
      <c r="T64" s="66">
        <v>5.0</v>
      </c>
      <c r="U64" s="66">
        <v>8.0</v>
      </c>
      <c r="V64" s="66">
        <v>3.0</v>
      </c>
      <c r="W64" s="66">
        <v>1.0</v>
      </c>
      <c r="X64" s="6">
        <f t="shared" si="18"/>
        <v>104</v>
      </c>
    </row>
    <row r="65" ht="12.75" customHeight="1">
      <c r="A65" s="18"/>
      <c r="B65" s="51"/>
      <c r="C65" s="52" t="s">
        <v>55</v>
      </c>
      <c r="D65" s="53"/>
      <c r="E65" s="66">
        <v>0.0</v>
      </c>
      <c r="F65" s="66">
        <v>3.0</v>
      </c>
      <c r="G65" s="66">
        <v>5.0</v>
      </c>
      <c r="H65" s="66">
        <v>7.0</v>
      </c>
      <c r="I65" s="66">
        <v>1.0</v>
      </c>
      <c r="J65" s="66">
        <v>0.0</v>
      </c>
      <c r="K65" s="66">
        <v>2.0</v>
      </c>
      <c r="L65" s="66">
        <v>1.0</v>
      </c>
      <c r="M65" s="66">
        <v>0.0</v>
      </c>
      <c r="N65" s="66">
        <v>1.0</v>
      </c>
      <c r="O65" s="66">
        <v>2.0</v>
      </c>
      <c r="P65" s="66">
        <v>2.0</v>
      </c>
      <c r="Q65" s="66">
        <v>0.0</v>
      </c>
      <c r="R65" s="66">
        <v>0.0</v>
      </c>
      <c r="S65" s="66">
        <v>26.0</v>
      </c>
      <c r="T65" s="66">
        <v>3.0</v>
      </c>
      <c r="U65" s="66">
        <v>6.0</v>
      </c>
      <c r="V65" s="66">
        <v>0.0</v>
      </c>
      <c r="W65" s="66">
        <v>1.0</v>
      </c>
      <c r="X65" s="6">
        <f t="shared" si="18"/>
        <v>60</v>
      </c>
    </row>
    <row r="66" ht="12.75" customHeight="1">
      <c r="A66" s="18"/>
      <c r="B66" s="51"/>
      <c r="C66" s="52" t="s">
        <v>56</v>
      </c>
      <c r="D66" s="53"/>
      <c r="E66" s="66">
        <v>1.0</v>
      </c>
      <c r="F66" s="66">
        <v>1.0</v>
      </c>
      <c r="G66" s="66">
        <v>1.0</v>
      </c>
      <c r="H66" s="66">
        <v>5.0</v>
      </c>
      <c r="I66" s="66">
        <v>1.0</v>
      </c>
      <c r="J66" s="66">
        <v>0.0</v>
      </c>
      <c r="K66" s="66">
        <v>2.0</v>
      </c>
      <c r="L66" s="66">
        <v>0.0</v>
      </c>
      <c r="M66" s="66">
        <v>0.0</v>
      </c>
      <c r="N66" s="66">
        <v>2.0</v>
      </c>
      <c r="O66" s="66">
        <v>0.0</v>
      </c>
      <c r="P66" s="66">
        <v>1.0</v>
      </c>
      <c r="Q66" s="66">
        <v>1.0</v>
      </c>
      <c r="R66" s="66">
        <v>0.0</v>
      </c>
      <c r="S66" s="66">
        <v>1.0</v>
      </c>
      <c r="T66" s="66">
        <v>3.0</v>
      </c>
      <c r="U66" s="66">
        <v>5.0</v>
      </c>
      <c r="V66" s="66">
        <v>1.0</v>
      </c>
      <c r="W66" s="66">
        <v>1.0</v>
      </c>
      <c r="X66" s="6">
        <f t="shared" si="18"/>
        <v>26</v>
      </c>
    </row>
    <row r="67" ht="12.75" customHeight="1">
      <c r="A67" s="18"/>
      <c r="B67" s="51"/>
      <c r="C67" s="52" t="s">
        <v>57</v>
      </c>
      <c r="D67" s="53"/>
      <c r="E67" s="66">
        <v>3.0</v>
      </c>
      <c r="F67" s="66">
        <v>12.0</v>
      </c>
      <c r="G67" s="66">
        <v>29.0</v>
      </c>
      <c r="H67" s="66">
        <v>35.0</v>
      </c>
      <c r="I67" s="66">
        <v>32.0</v>
      </c>
      <c r="J67" s="66">
        <v>36.0</v>
      </c>
      <c r="K67" s="66">
        <v>34.0</v>
      </c>
      <c r="L67" s="66">
        <v>33.0</v>
      </c>
      <c r="M67" s="66">
        <v>25.0</v>
      </c>
      <c r="N67" s="66">
        <v>39.0</v>
      </c>
      <c r="O67" s="66">
        <v>2.0</v>
      </c>
      <c r="P67" s="66">
        <v>5.0</v>
      </c>
      <c r="Q67" s="66">
        <v>41.0</v>
      </c>
      <c r="R67" s="66">
        <v>14.0</v>
      </c>
      <c r="S67" s="66">
        <v>13.0</v>
      </c>
      <c r="T67" s="66">
        <v>26.0</v>
      </c>
      <c r="U67" s="66">
        <v>66.0</v>
      </c>
      <c r="V67" s="66">
        <v>27.0</v>
      </c>
      <c r="W67" s="66">
        <v>31.0</v>
      </c>
      <c r="X67" s="6">
        <f t="shared" si="18"/>
        <v>503</v>
      </c>
    </row>
    <row r="68" ht="12.75" customHeight="1">
      <c r="A68" s="18"/>
      <c r="B68" s="51"/>
      <c r="C68" s="52" t="s">
        <v>58</v>
      </c>
      <c r="D68" s="53"/>
      <c r="E68" s="66">
        <v>3.0</v>
      </c>
      <c r="F68" s="66">
        <v>5.0</v>
      </c>
      <c r="G68" s="66">
        <v>0.0</v>
      </c>
      <c r="H68" s="66">
        <v>0.0</v>
      </c>
      <c r="I68" s="66">
        <v>4.0</v>
      </c>
      <c r="J68" s="66">
        <v>1.0</v>
      </c>
      <c r="K68" s="66">
        <v>0.0</v>
      </c>
      <c r="L68" s="66">
        <v>3.0</v>
      </c>
      <c r="M68" s="66">
        <v>1.0</v>
      </c>
      <c r="N68" s="66">
        <v>0.0</v>
      </c>
      <c r="O68" s="66">
        <v>1.0</v>
      </c>
      <c r="P68" s="66">
        <v>0.0</v>
      </c>
      <c r="Q68" s="66">
        <v>0.0</v>
      </c>
      <c r="R68" s="66">
        <v>0.0</v>
      </c>
      <c r="S68" s="66">
        <v>7.0</v>
      </c>
      <c r="T68" s="66">
        <v>4.0</v>
      </c>
      <c r="U68" s="66">
        <v>6.0</v>
      </c>
      <c r="V68" s="66">
        <v>0.0</v>
      </c>
      <c r="W68" s="66">
        <v>0.0</v>
      </c>
      <c r="X68" s="6">
        <f t="shared" si="18"/>
        <v>35</v>
      </c>
    </row>
    <row r="69" ht="12.75" customHeight="1">
      <c r="A69" s="18"/>
      <c r="B69" s="51"/>
      <c r="C69" s="52" t="s">
        <v>59</v>
      </c>
      <c r="D69" s="53"/>
      <c r="E69" s="66">
        <v>6.0</v>
      </c>
      <c r="F69" s="66">
        <v>3.0</v>
      </c>
      <c r="G69" s="66">
        <v>6.0</v>
      </c>
      <c r="H69" s="66">
        <v>0.0</v>
      </c>
      <c r="I69" s="66">
        <v>8.0</v>
      </c>
      <c r="J69" s="66">
        <v>7.0</v>
      </c>
      <c r="K69" s="66">
        <v>2.0</v>
      </c>
      <c r="L69" s="66">
        <v>12.0</v>
      </c>
      <c r="M69" s="66">
        <v>6.0</v>
      </c>
      <c r="N69" s="66">
        <v>1.0</v>
      </c>
      <c r="O69" s="66">
        <v>0.0</v>
      </c>
      <c r="P69" s="66">
        <v>0.0</v>
      </c>
      <c r="Q69" s="66">
        <v>0.0</v>
      </c>
      <c r="R69" s="66">
        <v>1.0</v>
      </c>
      <c r="S69" s="66">
        <v>15.0</v>
      </c>
      <c r="T69" s="66">
        <v>0.0</v>
      </c>
      <c r="U69" s="66">
        <v>5.0</v>
      </c>
      <c r="V69" s="66">
        <v>0.0</v>
      </c>
      <c r="W69" s="66">
        <v>0.0</v>
      </c>
      <c r="X69" s="6">
        <f t="shared" si="18"/>
        <v>72</v>
      </c>
    </row>
    <row r="70" ht="12.75" customHeight="1">
      <c r="A70" s="13" t="s">
        <v>14</v>
      </c>
      <c r="B70" s="49" t="s">
        <v>45</v>
      </c>
      <c r="C70" s="8"/>
      <c r="D70" s="9"/>
      <c r="E70" s="54">
        <f t="shared" ref="E70:W70" si="19">SUM(E63:E69)</f>
        <v>21</v>
      </c>
      <c r="F70" s="54">
        <f t="shared" si="19"/>
        <v>31</v>
      </c>
      <c r="G70" s="54">
        <f t="shared" si="19"/>
        <v>54</v>
      </c>
      <c r="H70" s="54">
        <f t="shared" si="19"/>
        <v>58</v>
      </c>
      <c r="I70" s="54">
        <f t="shared" si="19"/>
        <v>65</v>
      </c>
      <c r="J70" s="54">
        <f t="shared" si="19"/>
        <v>56</v>
      </c>
      <c r="K70" s="54">
        <f t="shared" si="19"/>
        <v>55</v>
      </c>
      <c r="L70" s="54">
        <f t="shared" si="19"/>
        <v>59</v>
      </c>
      <c r="M70" s="54">
        <f t="shared" si="19"/>
        <v>46</v>
      </c>
      <c r="N70" s="54">
        <f t="shared" si="19"/>
        <v>58</v>
      </c>
      <c r="O70" s="54">
        <f t="shared" si="19"/>
        <v>11</v>
      </c>
      <c r="P70" s="54">
        <f t="shared" si="19"/>
        <v>15</v>
      </c>
      <c r="Q70" s="54">
        <f t="shared" si="19"/>
        <v>48</v>
      </c>
      <c r="R70" s="54">
        <f t="shared" si="19"/>
        <v>19</v>
      </c>
      <c r="S70" s="54">
        <f t="shared" si="19"/>
        <v>87</v>
      </c>
      <c r="T70" s="54">
        <f t="shared" si="19"/>
        <v>56</v>
      </c>
      <c r="U70" s="54">
        <f t="shared" si="19"/>
        <v>116</v>
      </c>
      <c r="V70" s="54">
        <f t="shared" si="19"/>
        <v>35</v>
      </c>
      <c r="W70" s="54">
        <f t="shared" si="19"/>
        <v>35</v>
      </c>
      <c r="X70" s="6">
        <f t="shared" si="18"/>
        <v>925</v>
      </c>
    </row>
    <row r="71" ht="12.75" customHeight="1">
      <c r="A71" s="55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6"/>
    </row>
    <row r="72" ht="12.75" customHeight="1">
      <c r="A72" s="32" t="s">
        <v>36</v>
      </c>
      <c r="B72" s="49" t="s">
        <v>22</v>
      </c>
      <c r="C72" s="50" t="s">
        <v>60</v>
      </c>
      <c r="D72" s="9"/>
      <c r="E72" s="66">
        <v>4.0</v>
      </c>
      <c r="F72" s="66">
        <v>2.0</v>
      </c>
      <c r="G72" s="66">
        <v>0.0</v>
      </c>
      <c r="H72" s="66">
        <v>0.0</v>
      </c>
      <c r="I72" s="66">
        <v>2.0</v>
      </c>
      <c r="J72" s="66">
        <v>8.0</v>
      </c>
      <c r="K72" s="66">
        <v>4.0</v>
      </c>
      <c r="L72" s="66">
        <v>2.0</v>
      </c>
      <c r="M72" s="66">
        <v>2.0</v>
      </c>
      <c r="N72" s="66">
        <v>6.0</v>
      </c>
      <c r="O72" s="66">
        <v>1.0</v>
      </c>
      <c r="P72" s="66">
        <v>1.0</v>
      </c>
      <c r="Q72" s="66">
        <v>2.0</v>
      </c>
      <c r="R72" s="66">
        <v>2.0</v>
      </c>
      <c r="S72" s="66">
        <v>2.0</v>
      </c>
      <c r="T72" s="66">
        <v>5.0</v>
      </c>
      <c r="U72" s="66">
        <v>5.0</v>
      </c>
      <c r="V72" s="66">
        <v>3.0</v>
      </c>
      <c r="W72" s="66">
        <v>3.0</v>
      </c>
      <c r="X72" s="6">
        <f t="shared" ref="X72:X79" si="20">SUM(E72:W72)</f>
        <v>54</v>
      </c>
    </row>
    <row r="73" ht="12.75" customHeight="1">
      <c r="A73" s="32" t="s">
        <v>38</v>
      </c>
      <c r="B73" s="51"/>
      <c r="C73" s="52" t="s">
        <v>61</v>
      </c>
      <c r="D73" s="53"/>
      <c r="E73" s="66">
        <v>7.0</v>
      </c>
      <c r="F73" s="66">
        <v>4.0</v>
      </c>
      <c r="G73" s="66">
        <v>2.0</v>
      </c>
      <c r="H73" s="66">
        <v>4.0</v>
      </c>
      <c r="I73" s="66">
        <v>9.0</v>
      </c>
      <c r="J73" s="66">
        <v>5.0</v>
      </c>
      <c r="K73" s="66">
        <v>12.0</v>
      </c>
      <c r="L73" s="66">
        <v>3.0</v>
      </c>
      <c r="M73" s="66">
        <v>4.0</v>
      </c>
      <c r="N73" s="66">
        <v>8.0</v>
      </c>
      <c r="O73" s="66">
        <v>0.0</v>
      </c>
      <c r="P73" s="66">
        <v>2.0</v>
      </c>
      <c r="Q73" s="66">
        <v>11.0</v>
      </c>
      <c r="R73" s="66">
        <v>6.0</v>
      </c>
      <c r="S73" s="66">
        <v>3.0</v>
      </c>
      <c r="T73" s="66">
        <v>8.0</v>
      </c>
      <c r="U73" s="66">
        <v>3.0</v>
      </c>
      <c r="V73" s="66">
        <v>3.0</v>
      </c>
      <c r="W73" s="66">
        <v>3.0</v>
      </c>
      <c r="X73" s="6">
        <f t="shared" si="20"/>
        <v>97</v>
      </c>
    </row>
    <row r="74" ht="12.75" customHeight="1">
      <c r="A74" s="18"/>
      <c r="B74" s="51"/>
      <c r="C74" s="52" t="s">
        <v>62</v>
      </c>
      <c r="D74" s="53"/>
      <c r="E74" s="66">
        <v>1.0</v>
      </c>
      <c r="F74" s="66">
        <v>0.0</v>
      </c>
      <c r="G74" s="66">
        <v>1.0</v>
      </c>
      <c r="H74" s="66">
        <v>1.0</v>
      </c>
      <c r="I74" s="66">
        <v>0.0</v>
      </c>
      <c r="J74" s="66">
        <v>0.0</v>
      </c>
      <c r="K74" s="66">
        <v>0.0</v>
      </c>
      <c r="L74" s="66">
        <v>0.0</v>
      </c>
      <c r="M74" s="66">
        <v>1.0</v>
      </c>
      <c r="N74" s="66">
        <v>0.0</v>
      </c>
      <c r="O74" s="66">
        <v>0.0</v>
      </c>
      <c r="P74" s="66">
        <v>0.0</v>
      </c>
      <c r="Q74" s="66">
        <v>1.0</v>
      </c>
      <c r="R74" s="66">
        <v>0.0</v>
      </c>
      <c r="S74" s="66">
        <v>0.0</v>
      </c>
      <c r="T74" s="66">
        <v>1.0</v>
      </c>
      <c r="U74" s="66">
        <v>0.0</v>
      </c>
      <c r="V74" s="66">
        <v>0.0</v>
      </c>
      <c r="W74" s="66">
        <v>1.0</v>
      </c>
      <c r="X74" s="6">
        <f t="shared" si="20"/>
        <v>7</v>
      </c>
    </row>
    <row r="75" ht="12.75" customHeight="1">
      <c r="A75" s="18"/>
      <c r="B75" s="51"/>
      <c r="C75" s="52" t="s">
        <v>63</v>
      </c>
      <c r="D75" s="53"/>
      <c r="E75" s="66">
        <v>16.0</v>
      </c>
      <c r="F75" s="66">
        <v>8.0</v>
      </c>
      <c r="G75" s="66">
        <v>12.0</v>
      </c>
      <c r="H75" s="66">
        <v>4.0</v>
      </c>
      <c r="I75" s="66">
        <v>5.0</v>
      </c>
      <c r="J75" s="66">
        <v>4.0</v>
      </c>
      <c r="K75" s="66">
        <v>4.0</v>
      </c>
      <c r="L75" s="66">
        <v>2.0</v>
      </c>
      <c r="M75" s="66">
        <v>0.0</v>
      </c>
      <c r="N75" s="66">
        <v>0.0</v>
      </c>
      <c r="O75" s="66">
        <v>12.0</v>
      </c>
      <c r="P75" s="66">
        <v>2.0</v>
      </c>
      <c r="Q75" s="66">
        <v>0.0</v>
      </c>
      <c r="R75" s="66">
        <v>0.0</v>
      </c>
      <c r="S75" s="66">
        <v>0.0</v>
      </c>
      <c r="T75" s="66">
        <v>3.0</v>
      </c>
      <c r="U75" s="66">
        <v>0.0</v>
      </c>
      <c r="V75" s="66">
        <v>1.0</v>
      </c>
      <c r="W75" s="66">
        <v>0.0</v>
      </c>
      <c r="X75" s="6">
        <f t="shared" si="20"/>
        <v>73</v>
      </c>
    </row>
    <row r="76" ht="12.75" customHeight="1">
      <c r="A76" s="18"/>
      <c r="B76" s="51"/>
      <c r="C76" s="52" t="s">
        <v>64</v>
      </c>
      <c r="D76" s="53"/>
      <c r="E76" s="66">
        <v>0.0</v>
      </c>
      <c r="F76" s="66">
        <v>0.0</v>
      </c>
      <c r="G76" s="66">
        <v>0.0</v>
      </c>
      <c r="H76" s="66">
        <v>1.0</v>
      </c>
      <c r="I76" s="66">
        <v>0.0</v>
      </c>
      <c r="J76" s="66">
        <v>0.0</v>
      </c>
      <c r="K76" s="66">
        <v>0.0</v>
      </c>
      <c r="L76" s="66">
        <v>0.0</v>
      </c>
      <c r="M76" s="66">
        <v>0.0</v>
      </c>
      <c r="N76" s="66">
        <v>1.0</v>
      </c>
      <c r="O76" s="66">
        <v>0.0</v>
      </c>
      <c r="P76" s="66">
        <v>0.0</v>
      </c>
      <c r="Q76" s="66">
        <v>0.0</v>
      </c>
      <c r="R76" s="66">
        <v>0.0</v>
      </c>
      <c r="S76" s="66">
        <v>0.0</v>
      </c>
      <c r="T76" s="66">
        <v>1.0</v>
      </c>
      <c r="U76" s="66">
        <v>2.0</v>
      </c>
      <c r="V76" s="66">
        <v>1.0</v>
      </c>
      <c r="W76" s="66">
        <v>0.0</v>
      </c>
      <c r="X76" s="6">
        <f t="shared" si="20"/>
        <v>6</v>
      </c>
    </row>
    <row r="77" ht="12.75" customHeight="1">
      <c r="A77" s="18"/>
      <c r="B77" s="51"/>
      <c r="C77" s="52" t="s">
        <v>65</v>
      </c>
      <c r="D77" s="53"/>
      <c r="E77" s="66">
        <v>0.0</v>
      </c>
      <c r="F77" s="66">
        <v>0.0</v>
      </c>
      <c r="G77" s="66">
        <v>0.0</v>
      </c>
      <c r="H77" s="66">
        <v>0.0</v>
      </c>
      <c r="I77" s="66">
        <v>0.0</v>
      </c>
      <c r="J77" s="66">
        <v>0.0</v>
      </c>
      <c r="K77" s="66">
        <v>0.0</v>
      </c>
      <c r="L77" s="66">
        <v>1.0</v>
      </c>
      <c r="M77" s="66">
        <v>0.0</v>
      </c>
      <c r="N77" s="66">
        <v>0.0</v>
      </c>
      <c r="O77" s="66">
        <v>0.0</v>
      </c>
      <c r="P77" s="66">
        <v>0.0</v>
      </c>
      <c r="Q77" s="66">
        <v>1.0</v>
      </c>
      <c r="R77" s="66">
        <v>0.0</v>
      </c>
      <c r="S77" s="66">
        <v>0.0</v>
      </c>
      <c r="T77" s="66">
        <v>1.0</v>
      </c>
      <c r="U77" s="66">
        <v>0.0</v>
      </c>
      <c r="V77" s="66">
        <v>0.0</v>
      </c>
      <c r="W77" s="66">
        <v>0.0</v>
      </c>
      <c r="X77" s="6">
        <f t="shared" si="20"/>
        <v>3</v>
      </c>
    </row>
    <row r="78" ht="12.75" customHeight="1">
      <c r="A78" s="18"/>
      <c r="B78" s="51"/>
      <c r="C78" s="52" t="s">
        <v>66</v>
      </c>
      <c r="D78" s="53"/>
      <c r="E78" s="66">
        <v>0.0</v>
      </c>
      <c r="F78" s="66">
        <v>0.0</v>
      </c>
      <c r="G78" s="66">
        <v>0.0</v>
      </c>
      <c r="H78" s="66">
        <v>0.0</v>
      </c>
      <c r="I78" s="66">
        <v>1.0</v>
      </c>
      <c r="J78" s="66">
        <v>0.0</v>
      </c>
      <c r="K78" s="66">
        <v>0.0</v>
      </c>
      <c r="L78" s="66">
        <v>0.0</v>
      </c>
      <c r="M78" s="66">
        <v>0.0</v>
      </c>
      <c r="N78" s="66">
        <v>0.0</v>
      </c>
      <c r="O78" s="66">
        <v>0.0</v>
      </c>
      <c r="P78" s="66">
        <v>0.0</v>
      </c>
      <c r="Q78" s="66">
        <v>0.0</v>
      </c>
      <c r="R78" s="66">
        <v>0.0</v>
      </c>
      <c r="S78" s="66">
        <v>0.0</v>
      </c>
      <c r="T78" s="66">
        <v>0.0</v>
      </c>
      <c r="U78" s="66">
        <v>0.0</v>
      </c>
      <c r="V78" s="66">
        <v>0.0</v>
      </c>
      <c r="W78" s="66">
        <v>0.0</v>
      </c>
      <c r="X78" s="6">
        <f t="shared" si="20"/>
        <v>1</v>
      </c>
    </row>
    <row r="79" ht="12.75" customHeight="1">
      <c r="A79" s="13" t="s">
        <v>14</v>
      </c>
      <c r="B79" s="49" t="s">
        <v>45</v>
      </c>
      <c r="C79" s="8"/>
      <c r="D79" s="9"/>
      <c r="E79" s="54">
        <f t="shared" ref="E79:W79" si="21">SUM(E72:E78)</f>
        <v>28</v>
      </c>
      <c r="F79" s="54">
        <f t="shared" si="21"/>
        <v>14</v>
      </c>
      <c r="G79" s="54">
        <f t="shared" si="21"/>
        <v>15</v>
      </c>
      <c r="H79" s="54">
        <f t="shared" si="21"/>
        <v>10</v>
      </c>
      <c r="I79" s="54">
        <f t="shared" si="21"/>
        <v>17</v>
      </c>
      <c r="J79" s="54">
        <f t="shared" si="21"/>
        <v>17</v>
      </c>
      <c r="K79" s="54">
        <f t="shared" si="21"/>
        <v>20</v>
      </c>
      <c r="L79" s="54">
        <f t="shared" si="21"/>
        <v>8</v>
      </c>
      <c r="M79" s="54">
        <f t="shared" si="21"/>
        <v>7</v>
      </c>
      <c r="N79" s="54">
        <f t="shared" si="21"/>
        <v>15</v>
      </c>
      <c r="O79" s="54">
        <f t="shared" si="21"/>
        <v>13</v>
      </c>
      <c r="P79" s="54">
        <f t="shared" si="21"/>
        <v>5</v>
      </c>
      <c r="Q79" s="54">
        <f t="shared" si="21"/>
        <v>15</v>
      </c>
      <c r="R79" s="54">
        <f t="shared" si="21"/>
        <v>8</v>
      </c>
      <c r="S79" s="54">
        <f t="shared" si="21"/>
        <v>5</v>
      </c>
      <c r="T79" s="54">
        <f t="shared" si="21"/>
        <v>19</v>
      </c>
      <c r="U79" s="54">
        <f t="shared" si="21"/>
        <v>10</v>
      </c>
      <c r="V79" s="54">
        <f t="shared" si="21"/>
        <v>8</v>
      </c>
      <c r="W79" s="54">
        <f t="shared" si="21"/>
        <v>7</v>
      </c>
      <c r="X79" s="6">
        <f t="shared" si="20"/>
        <v>241</v>
      </c>
    </row>
    <row r="80" ht="12.75" customHeight="1">
      <c r="A80" s="55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6"/>
    </row>
    <row r="81" ht="12.75" customHeight="1">
      <c r="A81" s="32" t="s">
        <v>36</v>
      </c>
      <c r="B81" s="49" t="s">
        <v>67</v>
      </c>
      <c r="C81" s="50" t="s">
        <v>68</v>
      </c>
      <c r="D81" s="9"/>
      <c r="E81" s="66">
        <v>0.0</v>
      </c>
      <c r="F81" s="66">
        <v>0.0</v>
      </c>
      <c r="G81" s="66">
        <v>1.0</v>
      </c>
      <c r="H81" s="66">
        <v>1.0</v>
      </c>
      <c r="I81" s="66">
        <v>0.0</v>
      </c>
      <c r="J81" s="66">
        <v>1.0</v>
      </c>
      <c r="K81" s="66">
        <v>0.0</v>
      </c>
      <c r="L81" s="66">
        <v>0.0</v>
      </c>
      <c r="M81" s="66">
        <v>0.0</v>
      </c>
      <c r="N81" s="66">
        <v>0.0</v>
      </c>
      <c r="O81" s="66">
        <v>0.0</v>
      </c>
      <c r="P81" s="66">
        <v>0.0</v>
      </c>
      <c r="Q81" s="66">
        <v>0.0</v>
      </c>
      <c r="R81" s="66">
        <v>5.0</v>
      </c>
      <c r="S81" s="66">
        <v>0.0</v>
      </c>
      <c r="T81" s="66">
        <v>0.0</v>
      </c>
      <c r="U81" s="66">
        <v>2.0</v>
      </c>
      <c r="V81" s="66">
        <v>0.0</v>
      </c>
      <c r="W81" s="66">
        <v>9.0</v>
      </c>
      <c r="X81" s="6">
        <f t="shared" ref="X81:X88" si="22">SUM(E81:W81)</f>
        <v>19</v>
      </c>
    </row>
    <row r="82" ht="12.75" customHeight="1">
      <c r="A82" s="32" t="s">
        <v>38</v>
      </c>
      <c r="B82" s="51"/>
      <c r="C82" s="52" t="s">
        <v>69</v>
      </c>
      <c r="D82" s="53"/>
      <c r="E82" s="66">
        <v>0.0</v>
      </c>
      <c r="F82" s="66">
        <v>0.0</v>
      </c>
      <c r="G82" s="66">
        <v>0.0</v>
      </c>
      <c r="H82" s="66">
        <v>1.0</v>
      </c>
      <c r="I82" s="66">
        <v>0.0</v>
      </c>
      <c r="J82" s="66">
        <v>0.0</v>
      </c>
      <c r="K82" s="66">
        <v>3.0</v>
      </c>
      <c r="L82" s="66">
        <v>0.0</v>
      </c>
      <c r="M82" s="66">
        <v>0.0</v>
      </c>
      <c r="N82" s="66">
        <v>0.0</v>
      </c>
      <c r="O82" s="66">
        <v>0.0</v>
      </c>
      <c r="P82" s="66">
        <v>0.0</v>
      </c>
      <c r="Q82" s="66">
        <v>2.0</v>
      </c>
      <c r="R82" s="66">
        <v>101.0</v>
      </c>
      <c r="S82" s="66">
        <v>0.0</v>
      </c>
      <c r="T82" s="66">
        <v>0.0</v>
      </c>
      <c r="U82" s="66">
        <v>1.0</v>
      </c>
      <c r="V82" s="66">
        <v>12.0</v>
      </c>
      <c r="W82" s="66">
        <v>73.0</v>
      </c>
      <c r="X82" s="6">
        <f t="shared" si="22"/>
        <v>193</v>
      </c>
    </row>
    <row r="83" ht="12.75" customHeight="1">
      <c r="A83" s="18"/>
      <c r="B83" s="51"/>
      <c r="C83" s="52" t="s">
        <v>70</v>
      </c>
      <c r="D83" s="53"/>
      <c r="E83" s="66">
        <v>0.0</v>
      </c>
      <c r="F83" s="66">
        <v>0.0</v>
      </c>
      <c r="G83" s="66">
        <v>0.0</v>
      </c>
      <c r="H83" s="66">
        <v>0.0</v>
      </c>
      <c r="I83" s="66">
        <v>0.0</v>
      </c>
      <c r="J83" s="66">
        <v>0.0</v>
      </c>
      <c r="K83" s="66">
        <v>0.0</v>
      </c>
      <c r="L83" s="66">
        <v>0.0</v>
      </c>
      <c r="M83" s="66">
        <v>0.0</v>
      </c>
      <c r="N83" s="66">
        <v>0.0</v>
      </c>
      <c r="O83" s="66">
        <v>0.0</v>
      </c>
      <c r="P83" s="66">
        <v>0.0</v>
      </c>
      <c r="Q83" s="66">
        <v>0.0</v>
      </c>
      <c r="R83" s="66">
        <v>0.0</v>
      </c>
      <c r="S83" s="66">
        <v>0.0</v>
      </c>
      <c r="T83" s="66">
        <v>0.0</v>
      </c>
      <c r="U83" s="66">
        <v>0.0</v>
      </c>
      <c r="V83" s="66">
        <v>0.0</v>
      </c>
      <c r="W83" s="66">
        <v>2.0</v>
      </c>
      <c r="X83" s="6">
        <f t="shared" si="22"/>
        <v>2</v>
      </c>
    </row>
    <row r="84" ht="12.75" customHeight="1">
      <c r="A84" s="18"/>
      <c r="B84" s="51"/>
      <c r="C84" s="52" t="s">
        <v>71</v>
      </c>
      <c r="D84" s="53"/>
      <c r="E84" s="66">
        <v>0.0</v>
      </c>
      <c r="F84" s="66">
        <v>0.0</v>
      </c>
      <c r="G84" s="66">
        <v>0.0</v>
      </c>
      <c r="H84" s="66">
        <v>0.0</v>
      </c>
      <c r="I84" s="66">
        <v>0.0</v>
      </c>
      <c r="J84" s="66">
        <v>0.0</v>
      </c>
      <c r="K84" s="66">
        <v>0.0</v>
      </c>
      <c r="L84" s="66">
        <v>0.0</v>
      </c>
      <c r="M84" s="66">
        <v>0.0</v>
      </c>
      <c r="N84" s="66">
        <v>0.0</v>
      </c>
      <c r="O84" s="66">
        <v>0.0</v>
      </c>
      <c r="P84" s="66">
        <v>0.0</v>
      </c>
      <c r="Q84" s="66">
        <v>0.0</v>
      </c>
      <c r="R84" s="66">
        <v>0.0</v>
      </c>
      <c r="S84" s="66">
        <v>0.0</v>
      </c>
      <c r="T84" s="66">
        <v>0.0</v>
      </c>
      <c r="U84" s="66">
        <v>0.0</v>
      </c>
      <c r="V84" s="66">
        <v>0.0</v>
      </c>
      <c r="W84" s="66">
        <v>0.0</v>
      </c>
      <c r="X84" s="6">
        <f t="shared" si="22"/>
        <v>0</v>
      </c>
    </row>
    <row r="85" ht="12.75" customHeight="1">
      <c r="A85" s="18"/>
      <c r="B85" s="51"/>
      <c r="C85" s="52" t="s">
        <v>72</v>
      </c>
      <c r="D85" s="53"/>
      <c r="E85" s="66">
        <v>0.0</v>
      </c>
      <c r="F85" s="66">
        <v>1.0</v>
      </c>
      <c r="G85" s="66">
        <v>0.0</v>
      </c>
      <c r="H85" s="66">
        <v>0.0</v>
      </c>
      <c r="I85" s="66">
        <v>0.0</v>
      </c>
      <c r="J85" s="66">
        <v>0.0</v>
      </c>
      <c r="K85" s="66">
        <v>0.0</v>
      </c>
      <c r="L85" s="66">
        <v>0.0</v>
      </c>
      <c r="M85" s="66">
        <v>0.0</v>
      </c>
      <c r="N85" s="66">
        <v>0.0</v>
      </c>
      <c r="O85" s="66">
        <v>0.0</v>
      </c>
      <c r="P85" s="66">
        <v>0.0</v>
      </c>
      <c r="Q85" s="66">
        <v>0.0</v>
      </c>
      <c r="R85" s="66">
        <v>0.0</v>
      </c>
      <c r="S85" s="66">
        <v>0.0</v>
      </c>
      <c r="T85" s="66">
        <v>0.0</v>
      </c>
      <c r="U85" s="66">
        <v>0.0</v>
      </c>
      <c r="V85" s="66">
        <v>0.0</v>
      </c>
      <c r="W85" s="66">
        <v>0.0</v>
      </c>
      <c r="X85" s="6">
        <f t="shared" si="22"/>
        <v>1</v>
      </c>
    </row>
    <row r="86" ht="12.75" customHeight="1">
      <c r="A86" s="18"/>
      <c r="B86" s="51"/>
      <c r="C86" s="52" t="s">
        <v>73</v>
      </c>
      <c r="D86" s="53"/>
      <c r="E86" s="66">
        <v>0.0</v>
      </c>
      <c r="F86" s="66">
        <v>0.0</v>
      </c>
      <c r="G86" s="66">
        <v>0.0</v>
      </c>
      <c r="H86" s="66">
        <v>0.0</v>
      </c>
      <c r="I86" s="66">
        <v>0.0</v>
      </c>
      <c r="J86" s="66">
        <v>2.0</v>
      </c>
      <c r="K86" s="66">
        <v>0.0</v>
      </c>
      <c r="L86" s="66">
        <v>0.0</v>
      </c>
      <c r="M86" s="66">
        <v>0.0</v>
      </c>
      <c r="N86" s="66">
        <v>0.0</v>
      </c>
      <c r="O86" s="66">
        <v>0.0</v>
      </c>
      <c r="P86" s="66">
        <v>0.0</v>
      </c>
      <c r="Q86" s="66">
        <v>0.0</v>
      </c>
      <c r="R86" s="66">
        <v>0.0</v>
      </c>
      <c r="S86" s="66">
        <v>0.0</v>
      </c>
      <c r="T86" s="66">
        <v>0.0</v>
      </c>
      <c r="U86" s="66">
        <v>0.0</v>
      </c>
      <c r="V86" s="66">
        <v>1.0</v>
      </c>
      <c r="W86" s="66">
        <v>0.0</v>
      </c>
      <c r="X86" s="6">
        <f t="shared" si="22"/>
        <v>3</v>
      </c>
    </row>
    <row r="87" ht="12.75" customHeight="1">
      <c r="A87" s="18"/>
      <c r="B87" s="51"/>
      <c r="C87" s="52" t="s">
        <v>74</v>
      </c>
      <c r="D87" s="53"/>
      <c r="E87" s="66">
        <v>0.0</v>
      </c>
      <c r="F87" s="66">
        <v>3.0</v>
      </c>
      <c r="G87" s="66">
        <v>0.0</v>
      </c>
      <c r="H87" s="66">
        <v>0.0</v>
      </c>
      <c r="I87" s="66">
        <v>0.0</v>
      </c>
      <c r="J87" s="66">
        <v>0.0</v>
      </c>
      <c r="K87" s="66">
        <v>1.0</v>
      </c>
      <c r="L87" s="66">
        <v>0.0</v>
      </c>
      <c r="M87" s="66">
        <v>0.0</v>
      </c>
      <c r="N87" s="66">
        <v>0.0</v>
      </c>
      <c r="O87" s="66">
        <v>0.0</v>
      </c>
      <c r="P87" s="66">
        <v>0.0</v>
      </c>
      <c r="Q87" s="66">
        <v>0.0</v>
      </c>
      <c r="R87" s="66">
        <v>0.0</v>
      </c>
      <c r="S87" s="66">
        <v>0.0</v>
      </c>
      <c r="T87" s="66">
        <v>0.0</v>
      </c>
      <c r="U87" s="66">
        <v>0.0</v>
      </c>
      <c r="V87" s="66">
        <v>0.0</v>
      </c>
      <c r="W87" s="66">
        <v>0.0</v>
      </c>
      <c r="X87" s="6">
        <f t="shared" si="22"/>
        <v>4</v>
      </c>
    </row>
    <row r="88" ht="12.75" customHeight="1">
      <c r="A88" s="13" t="s">
        <v>14</v>
      </c>
      <c r="B88" s="49" t="s">
        <v>45</v>
      </c>
      <c r="C88" s="8"/>
      <c r="D88" s="9"/>
      <c r="E88" s="54">
        <f t="shared" ref="E88:W88" si="23">SUM(E81:E87)</f>
        <v>0</v>
      </c>
      <c r="F88" s="54">
        <f t="shared" si="23"/>
        <v>4</v>
      </c>
      <c r="G88" s="54">
        <f t="shared" si="23"/>
        <v>1</v>
      </c>
      <c r="H88" s="54">
        <f t="shared" si="23"/>
        <v>2</v>
      </c>
      <c r="I88" s="54">
        <f t="shared" si="23"/>
        <v>0</v>
      </c>
      <c r="J88" s="54">
        <f t="shared" si="23"/>
        <v>3</v>
      </c>
      <c r="K88" s="54">
        <f t="shared" si="23"/>
        <v>4</v>
      </c>
      <c r="L88" s="54">
        <f t="shared" si="23"/>
        <v>0</v>
      </c>
      <c r="M88" s="54">
        <f t="shared" si="23"/>
        <v>0</v>
      </c>
      <c r="N88" s="54">
        <f t="shared" si="23"/>
        <v>0</v>
      </c>
      <c r="O88" s="54">
        <f t="shared" si="23"/>
        <v>0</v>
      </c>
      <c r="P88" s="54">
        <f t="shared" si="23"/>
        <v>0</v>
      </c>
      <c r="Q88" s="54">
        <f t="shared" si="23"/>
        <v>2</v>
      </c>
      <c r="R88" s="54">
        <f t="shared" si="23"/>
        <v>106</v>
      </c>
      <c r="S88" s="54">
        <f t="shared" si="23"/>
        <v>0</v>
      </c>
      <c r="T88" s="54">
        <f t="shared" si="23"/>
        <v>0</v>
      </c>
      <c r="U88" s="54">
        <f t="shared" si="23"/>
        <v>3</v>
      </c>
      <c r="V88" s="54">
        <f t="shared" si="23"/>
        <v>13</v>
      </c>
      <c r="W88" s="54">
        <f t="shared" si="23"/>
        <v>84</v>
      </c>
      <c r="X88" s="6">
        <f t="shared" si="22"/>
        <v>222</v>
      </c>
    </row>
    <row r="89" ht="12.75" customHeight="1">
      <c r="A89" s="55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6"/>
    </row>
    <row r="90" ht="12.75" customHeight="1">
      <c r="A90" s="32" t="s">
        <v>36</v>
      </c>
      <c r="B90" s="49" t="s">
        <v>75</v>
      </c>
      <c r="C90" s="50" t="s">
        <v>76</v>
      </c>
      <c r="D90" s="9"/>
      <c r="E90" s="66">
        <v>0.0</v>
      </c>
      <c r="F90" s="66">
        <v>0.0</v>
      </c>
      <c r="G90" s="66">
        <v>1.0</v>
      </c>
      <c r="H90" s="66">
        <v>3.0</v>
      </c>
      <c r="I90" s="66">
        <v>1.0</v>
      </c>
      <c r="J90" s="66">
        <v>2.0</v>
      </c>
      <c r="K90" s="66">
        <v>1.0</v>
      </c>
      <c r="L90" s="66">
        <v>0.0</v>
      </c>
      <c r="M90" s="66">
        <v>1.0</v>
      </c>
      <c r="N90" s="66">
        <v>1.0</v>
      </c>
      <c r="O90" s="66">
        <v>0.0</v>
      </c>
      <c r="P90" s="66">
        <v>0.0</v>
      </c>
      <c r="Q90" s="66">
        <v>0.0</v>
      </c>
      <c r="R90" s="66">
        <v>0.0</v>
      </c>
      <c r="S90" s="66">
        <v>1.0</v>
      </c>
      <c r="T90" s="66">
        <v>2.0</v>
      </c>
      <c r="U90" s="66">
        <v>2.0</v>
      </c>
      <c r="V90" s="66">
        <v>0.0</v>
      </c>
      <c r="W90" s="66">
        <v>3.0</v>
      </c>
      <c r="X90" s="6">
        <f t="shared" ref="X90:X92" si="24">SUM(E90:W90)</f>
        <v>18</v>
      </c>
    </row>
    <row r="91" ht="12.75" customHeight="1">
      <c r="A91" s="32" t="s">
        <v>38</v>
      </c>
      <c r="B91" s="51"/>
      <c r="C91" s="52"/>
      <c r="D91" s="9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6">
        <f t="shared" si="24"/>
        <v>0</v>
      </c>
    </row>
    <row r="92" ht="12.75" customHeight="1">
      <c r="A92" s="13" t="s">
        <v>14</v>
      </c>
      <c r="B92" s="49" t="s">
        <v>45</v>
      </c>
      <c r="C92" s="8"/>
      <c r="D92" s="9"/>
      <c r="E92" s="54">
        <f t="shared" ref="E92:W92" si="25">SUM(E90:E91)</f>
        <v>0</v>
      </c>
      <c r="F92" s="54">
        <f t="shared" si="25"/>
        <v>0</v>
      </c>
      <c r="G92" s="54">
        <f t="shared" si="25"/>
        <v>1</v>
      </c>
      <c r="H92" s="54">
        <f t="shared" si="25"/>
        <v>3</v>
      </c>
      <c r="I92" s="54">
        <f t="shared" si="25"/>
        <v>1</v>
      </c>
      <c r="J92" s="54">
        <f t="shared" si="25"/>
        <v>2</v>
      </c>
      <c r="K92" s="54">
        <f t="shared" si="25"/>
        <v>1</v>
      </c>
      <c r="L92" s="54">
        <f t="shared" si="25"/>
        <v>0</v>
      </c>
      <c r="M92" s="54">
        <f t="shared" si="25"/>
        <v>1</v>
      </c>
      <c r="N92" s="54">
        <f t="shared" si="25"/>
        <v>1</v>
      </c>
      <c r="O92" s="54">
        <f t="shared" si="25"/>
        <v>0</v>
      </c>
      <c r="P92" s="54">
        <f t="shared" si="25"/>
        <v>0</v>
      </c>
      <c r="Q92" s="54">
        <f t="shared" si="25"/>
        <v>0</v>
      </c>
      <c r="R92" s="54">
        <f t="shared" si="25"/>
        <v>0</v>
      </c>
      <c r="S92" s="54">
        <f t="shared" si="25"/>
        <v>1</v>
      </c>
      <c r="T92" s="54">
        <f t="shared" si="25"/>
        <v>2</v>
      </c>
      <c r="U92" s="54">
        <f t="shared" si="25"/>
        <v>2</v>
      </c>
      <c r="V92" s="54">
        <f t="shared" si="25"/>
        <v>0</v>
      </c>
      <c r="W92" s="54">
        <f t="shared" si="25"/>
        <v>3</v>
      </c>
      <c r="X92" s="6">
        <f t="shared" si="24"/>
        <v>18</v>
      </c>
    </row>
    <row r="93" ht="12.75" customHeight="1">
      <c r="A93" s="55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6"/>
    </row>
    <row r="94" ht="12.75" customHeight="1">
      <c r="A94" s="32" t="s">
        <v>36</v>
      </c>
      <c r="B94" s="49" t="s">
        <v>77</v>
      </c>
      <c r="C94" s="50" t="s">
        <v>78</v>
      </c>
      <c r="D94" s="9"/>
      <c r="E94" s="66">
        <v>0.0</v>
      </c>
      <c r="F94" s="66">
        <v>1.0</v>
      </c>
      <c r="G94" s="66">
        <v>0.0</v>
      </c>
      <c r="H94" s="66">
        <v>0.0</v>
      </c>
      <c r="I94" s="66">
        <v>0.0</v>
      </c>
      <c r="J94" s="66">
        <v>0.0</v>
      </c>
      <c r="K94" s="66">
        <v>1.0</v>
      </c>
      <c r="L94" s="66">
        <v>1.0</v>
      </c>
      <c r="M94" s="66">
        <v>1.0</v>
      </c>
      <c r="N94" s="66">
        <v>0.0</v>
      </c>
      <c r="O94" s="66">
        <v>0.0</v>
      </c>
      <c r="P94" s="66">
        <v>0.0</v>
      </c>
      <c r="Q94" s="66">
        <v>0.0</v>
      </c>
      <c r="R94" s="66">
        <v>0.0</v>
      </c>
      <c r="S94" s="66">
        <v>1.0</v>
      </c>
      <c r="T94" s="66">
        <v>0.0</v>
      </c>
      <c r="U94" s="66">
        <v>0.0</v>
      </c>
      <c r="V94" s="66">
        <v>0.0</v>
      </c>
      <c r="W94" s="66">
        <v>0.0</v>
      </c>
      <c r="X94" s="6">
        <f t="shared" ref="X94:X98" si="26">SUM(E94:W94)</f>
        <v>5</v>
      </c>
    </row>
    <row r="95" ht="12.75" customHeight="1">
      <c r="A95" s="32" t="s">
        <v>38</v>
      </c>
      <c r="B95" s="51"/>
      <c r="C95" s="52" t="s">
        <v>79</v>
      </c>
      <c r="D95" s="53"/>
      <c r="E95" s="66">
        <v>0.0</v>
      </c>
      <c r="F95" s="66">
        <v>0.0</v>
      </c>
      <c r="G95" s="66">
        <v>0.0</v>
      </c>
      <c r="H95" s="66">
        <v>0.0</v>
      </c>
      <c r="I95" s="66">
        <v>0.0</v>
      </c>
      <c r="J95" s="66">
        <v>0.0</v>
      </c>
      <c r="K95" s="66">
        <v>0.0</v>
      </c>
      <c r="L95" s="66">
        <v>0.0</v>
      </c>
      <c r="M95" s="66">
        <v>0.0</v>
      </c>
      <c r="N95" s="66">
        <v>0.0</v>
      </c>
      <c r="O95" s="66">
        <v>0.0</v>
      </c>
      <c r="P95" s="66">
        <v>0.0</v>
      </c>
      <c r="Q95" s="66">
        <v>0.0</v>
      </c>
      <c r="R95" s="66">
        <v>0.0</v>
      </c>
      <c r="S95" s="66">
        <v>0.0</v>
      </c>
      <c r="T95" s="66">
        <v>0.0</v>
      </c>
      <c r="U95" s="66">
        <v>0.0</v>
      </c>
      <c r="V95" s="66">
        <v>0.0</v>
      </c>
      <c r="W95" s="66">
        <v>0.0</v>
      </c>
      <c r="X95" s="6">
        <f t="shared" si="26"/>
        <v>0</v>
      </c>
    </row>
    <row r="96" ht="12.75" customHeight="1">
      <c r="A96" s="32"/>
      <c r="B96" s="51"/>
      <c r="C96" s="52" t="s">
        <v>80</v>
      </c>
      <c r="D96" s="53"/>
      <c r="E96" s="66">
        <v>0.0</v>
      </c>
      <c r="F96" s="66">
        <v>0.0</v>
      </c>
      <c r="G96" s="66">
        <v>0.0</v>
      </c>
      <c r="H96" s="66">
        <v>0.0</v>
      </c>
      <c r="I96" s="66">
        <v>0.0</v>
      </c>
      <c r="J96" s="66">
        <v>0.0</v>
      </c>
      <c r="K96" s="66">
        <v>1.0</v>
      </c>
      <c r="L96" s="66">
        <v>0.0</v>
      </c>
      <c r="M96" s="66">
        <v>0.0</v>
      </c>
      <c r="N96" s="66">
        <v>0.0</v>
      </c>
      <c r="O96" s="66">
        <v>0.0</v>
      </c>
      <c r="P96" s="66">
        <v>0.0</v>
      </c>
      <c r="Q96" s="66">
        <v>0.0</v>
      </c>
      <c r="R96" s="66">
        <v>0.0</v>
      </c>
      <c r="S96" s="66">
        <v>0.0</v>
      </c>
      <c r="T96" s="66">
        <v>0.0</v>
      </c>
      <c r="U96" s="66">
        <v>0.0</v>
      </c>
      <c r="V96" s="66">
        <v>0.0</v>
      </c>
      <c r="W96" s="66">
        <v>0.0</v>
      </c>
      <c r="X96" s="6">
        <f t="shared" si="26"/>
        <v>1</v>
      </c>
    </row>
    <row r="97" ht="12.75" customHeight="1">
      <c r="A97" s="32"/>
      <c r="B97" s="51"/>
      <c r="C97" s="52" t="s">
        <v>81</v>
      </c>
      <c r="D97" s="53"/>
      <c r="E97" s="66">
        <v>0.0</v>
      </c>
      <c r="F97" s="66">
        <v>0.0</v>
      </c>
      <c r="G97" s="66">
        <v>0.0</v>
      </c>
      <c r="H97" s="66">
        <v>0.0</v>
      </c>
      <c r="I97" s="66">
        <v>0.0</v>
      </c>
      <c r="J97" s="66">
        <v>0.0</v>
      </c>
      <c r="K97" s="66">
        <v>0.0</v>
      </c>
      <c r="L97" s="66">
        <v>0.0</v>
      </c>
      <c r="M97" s="66">
        <v>0.0</v>
      </c>
      <c r="N97" s="66">
        <v>0.0</v>
      </c>
      <c r="O97" s="66">
        <v>0.0</v>
      </c>
      <c r="P97" s="66">
        <v>0.0</v>
      </c>
      <c r="Q97" s="66">
        <v>0.0</v>
      </c>
      <c r="R97" s="66">
        <v>0.0</v>
      </c>
      <c r="S97" s="66">
        <v>0.0</v>
      </c>
      <c r="T97" s="66">
        <v>0.0</v>
      </c>
      <c r="U97" s="66">
        <v>0.0</v>
      </c>
      <c r="V97" s="66">
        <v>0.0</v>
      </c>
      <c r="W97" s="66">
        <v>0.0</v>
      </c>
      <c r="X97" s="6">
        <f t="shared" si="26"/>
        <v>0</v>
      </c>
    </row>
    <row r="98" ht="12.75" customHeight="1">
      <c r="A98" s="13" t="s">
        <v>14</v>
      </c>
      <c r="B98" s="49" t="s">
        <v>45</v>
      </c>
      <c r="C98" s="8"/>
      <c r="D98" s="9"/>
      <c r="E98" s="54">
        <f t="shared" ref="E98:W98" si="27">SUM(E94:E97)</f>
        <v>0</v>
      </c>
      <c r="F98" s="54">
        <f t="shared" si="27"/>
        <v>1</v>
      </c>
      <c r="G98" s="54">
        <f t="shared" si="27"/>
        <v>0</v>
      </c>
      <c r="H98" s="54">
        <f t="shared" si="27"/>
        <v>0</v>
      </c>
      <c r="I98" s="54">
        <f t="shared" si="27"/>
        <v>0</v>
      </c>
      <c r="J98" s="54">
        <f t="shared" si="27"/>
        <v>0</v>
      </c>
      <c r="K98" s="54">
        <f t="shared" si="27"/>
        <v>2</v>
      </c>
      <c r="L98" s="54">
        <f t="shared" si="27"/>
        <v>1</v>
      </c>
      <c r="M98" s="54">
        <f t="shared" si="27"/>
        <v>1</v>
      </c>
      <c r="N98" s="54">
        <f t="shared" si="27"/>
        <v>0</v>
      </c>
      <c r="O98" s="54">
        <f t="shared" si="27"/>
        <v>0</v>
      </c>
      <c r="P98" s="54">
        <f t="shared" si="27"/>
        <v>0</v>
      </c>
      <c r="Q98" s="54">
        <f t="shared" si="27"/>
        <v>0</v>
      </c>
      <c r="R98" s="54">
        <f t="shared" si="27"/>
        <v>0</v>
      </c>
      <c r="S98" s="54">
        <f t="shared" si="27"/>
        <v>1</v>
      </c>
      <c r="T98" s="54">
        <f t="shared" si="27"/>
        <v>0</v>
      </c>
      <c r="U98" s="54">
        <f t="shared" si="27"/>
        <v>0</v>
      </c>
      <c r="V98" s="54">
        <f t="shared" si="27"/>
        <v>0</v>
      </c>
      <c r="W98" s="54">
        <f t="shared" si="27"/>
        <v>0</v>
      </c>
      <c r="X98" s="6">
        <f t="shared" si="26"/>
        <v>6</v>
      </c>
    </row>
    <row r="99" ht="12.75" customHeight="1">
      <c r="A99" s="55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6"/>
    </row>
    <row r="100" ht="12.75" customHeight="1">
      <c r="A100" s="32" t="s">
        <v>36</v>
      </c>
      <c r="B100" s="49" t="s">
        <v>82</v>
      </c>
      <c r="C100" s="50" t="s">
        <v>83</v>
      </c>
      <c r="D100" s="9"/>
      <c r="E100" s="66">
        <v>1.0</v>
      </c>
      <c r="F100" s="66">
        <v>0.0</v>
      </c>
      <c r="G100" s="66">
        <v>0.0</v>
      </c>
      <c r="H100" s="66">
        <v>0.0</v>
      </c>
      <c r="I100" s="66">
        <v>1.0</v>
      </c>
      <c r="J100" s="66">
        <v>1.0</v>
      </c>
      <c r="K100" s="66">
        <v>1.0</v>
      </c>
      <c r="L100" s="66">
        <v>3.0</v>
      </c>
      <c r="M100" s="66">
        <v>0.0</v>
      </c>
      <c r="N100" s="66">
        <v>0.0</v>
      </c>
      <c r="O100" s="66">
        <v>0.0</v>
      </c>
      <c r="P100" s="66">
        <v>1.0</v>
      </c>
      <c r="Q100" s="66">
        <v>0.0</v>
      </c>
      <c r="R100" s="66">
        <v>0.0</v>
      </c>
      <c r="S100" s="66">
        <v>1.0</v>
      </c>
      <c r="T100" s="66">
        <v>0.0</v>
      </c>
      <c r="U100" s="66">
        <v>1.0</v>
      </c>
      <c r="V100" s="66">
        <v>0.0</v>
      </c>
      <c r="W100" s="66">
        <v>0.0</v>
      </c>
      <c r="X100" s="6">
        <f t="shared" ref="X100:X107" si="28">SUM(E100:W100)</f>
        <v>10</v>
      </c>
    </row>
    <row r="101" ht="12.75" customHeight="1">
      <c r="A101" s="32" t="s">
        <v>38</v>
      </c>
      <c r="B101" s="51"/>
      <c r="C101" s="52" t="s">
        <v>84</v>
      </c>
      <c r="D101" s="53"/>
      <c r="E101" s="66">
        <v>0.0</v>
      </c>
      <c r="F101" s="66">
        <v>3.0</v>
      </c>
      <c r="G101" s="66">
        <v>4.0</v>
      </c>
      <c r="H101" s="66">
        <v>1.0</v>
      </c>
      <c r="I101" s="66">
        <v>1.0</v>
      </c>
      <c r="J101" s="66">
        <v>6.0</v>
      </c>
      <c r="K101" s="66">
        <v>6.0</v>
      </c>
      <c r="L101" s="66">
        <v>27.0</v>
      </c>
      <c r="M101" s="66">
        <v>2.0</v>
      </c>
      <c r="N101" s="66">
        <v>0.0</v>
      </c>
      <c r="O101" s="66">
        <v>8.0</v>
      </c>
      <c r="P101" s="66">
        <v>17.0</v>
      </c>
      <c r="Q101" s="66">
        <v>0.0</v>
      </c>
      <c r="R101" s="66">
        <v>0.0</v>
      </c>
      <c r="S101" s="66">
        <v>11.0</v>
      </c>
      <c r="T101" s="66">
        <v>0.0</v>
      </c>
      <c r="U101" s="66">
        <v>0.0</v>
      </c>
      <c r="V101" s="66">
        <v>0.0</v>
      </c>
      <c r="W101" s="66">
        <v>0.0</v>
      </c>
      <c r="X101" s="6">
        <f t="shared" si="28"/>
        <v>86</v>
      </c>
    </row>
    <row r="102" ht="12.75" customHeight="1">
      <c r="A102" s="18"/>
      <c r="B102" s="51"/>
      <c r="C102" s="52" t="s">
        <v>85</v>
      </c>
      <c r="D102" s="53"/>
      <c r="E102" s="66">
        <v>1.0</v>
      </c>
      <c r="F102" s="66">
        <v>0.0</v>
      </c>
      <c r="G102" s="66">
        <v>0.0</v>
      </c>
      <c r="H102" s="66">
        <v>0.0</v>
      </c>
      <c r="I102" s="66">
        <v>0.0</v>
      </c>
      <c r="J102" s="66">
        <v>1.0</v>
      </c>
      <c r="K102" s="66">
        <v>0.0</v>
      </c>
      <c r="L102" s="66">
        <v>0.0</v>
      </c>
      <c r="M102" s="66">
        <v>0.0</v>
      </c>
      <c r="N102" s="66">
        <v>0.0</v>
      </c>
      <c r="O102" s="66">
        <v>0.0</v>
      </c>
      <c r="P102" s="66">
        <v>0.0</v>
      </c>
      <c r="Q102" s="66">
        <v>0.0</v>
      </c>
      <c r="R102" s="66">
        <v>0.0</v>
      </c>
      <c r="S102" s="66">
        <v>0.0</v>
      </c>
      <c r="T102" s="66">
        <v>0.0</v>
      </c>
      <c r="U102" s="66">
        <v>0.0</v>
      </c>
      <c r="V102" s="66">
        <v>0.0</v>
      </c>
      <c r="W102" s="66">
        <v>0.0</v>
      </c>
      <c r="X102" s="6">
        <f t="shared" si="28"/>
        <v>2</v>
      </c>
    </row>
    <row r="103" ht="12.75" customHeight="1">
      <c r="A103" s="18"/>
      <c r="B103" s="51"/>
      <c r="C103" s="52" t="s">
        <v>86</v>
      </c>
      <c r="D103" s="53"/>
      <c r="E103" s="66">
        <v>0.0</v>
      </c>
      <c r="F103" s="66">
        <v>0.0</v>
      </c>
      <c r="G103" s="66">
        <v>0.0</v>
      </c>
      <c r="H103" s="66">
        <v>0.0</v>
      </c>
      <c r="I103" s="66">
        <v>0.0</v>
      </c>
      <c r="J103" s="66">
        <v>0.0</v>
      </c>
      <c r="K103" s="66">
        <v>0.0</v>
      </c>
      <c r="L103" s="66">
        <v>0.0</v>
      </c>
      <c r="M103" s="66">
        <v>0.0</v>
      </c>
      <c r="N103" s="66">
        <v>0.0</v>
      </c>
      <c r="O103" s="66">
        <v>0.0</v>
      </c>
      <c r="P103" s="66">
        <v>0.0</v>
      </c>
      <c r="Q103" s="66">
        <v>0.0</v>
      </c>
      <c r="R103" s="66">
        <v>0.0</v>
      </c>
      <c r="S103" s="66">
        <v>0.0</v>
      </c>
      <c r="T103" s="66">
        <v>1.0</v>
      </c>
      <c r="U103" s="66">
        <v>0.0</v>
      </c>
      <c r="V103" s="66">
        <v>0.0</v>
      </c>
      <c r="W103" s="66">
        <v>0.0</v>
      </c>
      <c r="X103" s="6">
        <f t="shared" si="28"/>
        <v>1</v>
      </c>
    </row>
    <row r="104" ht="12.75" customHeight="1">
      <c r="A104" s="18"/>
      <c r="B104" s="51"/>
      <c r="C104" s="52" t="s">
        <v>87</v>
      </c>
      <c r="D104" s="53"/>
      <c r="E104" s="66">
        <v>1.0</v>
      </c>
      <c r="F104" s="66">
        <v>6.0</v>
      </c>
      <c r="G104" s="66">
        <v>1.0</v>
      </c>
      <c r="H104" s="66">
        <v>0.0</v>
      </c>
      <c r="I104" s="66">
        <v>0.0</v>
      </c>
      <c r="J104" s="66">
        <v>0.0</v>
      </c>
      <c r="K104" s="66">
        <v>0.0</v>
      </c>
      <c r="L104" s="66">
        <v>0.0</v>
      </c>
      <c r="M104" s="66">
        <v>0.0</v>
      </c>
      <c r="N104" s="66">
        <v>0.0</v>
      </c>
      <c r="O104" s="66">
        <v>0.0</v>
      </c>
      <c r="P104" s="66">
        <v>0.0</v>
      </c>
      <c r="Q104" s="66">
        <v>0.0</v>
      </c>
      <c r="R104" s="66">
        <v>0.0</v>
      </c>
      <c r="S104" s="66">
        <v>0.0</v>
      </c>
      <c r="T104" s="66">
        <v>0.0</v>
      </c>
      <c r="U104" s="66">
        <v>1.0</v>
      </c>
      <c r="V104" s="66">
        <v>0.0</v>
      </c>
      <c r="W104" s="66">
        <v>0.0</v>
      </c>
      <c r="X104" s="6">
        <f t="shared" si="28"/>
        <v>9</v>
      </c>
    </row>
    <row r="105" ht="12.75" customHeight="1">
      <c r="A105" s="18"/>
      <c r="B105" s="51"/>
      <c r="C105" s="52" t="s">
        <v>88</v>
      </c>
      <c r="D105" s="53"/>
      <c r="E105" s="66">
        <v>0.0</v>
      </c>
      <c r="F105" s="66">
        <v>0.0</v>
      </c>
      <c r="G105" s="66">
        <v>0.0</v>
      </c>
      <c r="H105" s="66">
        <v>0.0</v>
      </c>
      <c r="I105" s="66">
        <v>0.0</v>
      </c>
      <c r="J105" s="66">
        <v>0.0</v>
      </c>
      <c r="K105" s="66">
        <v>0.0</v>
      </c>
      <c r="L105" s="66">
        <v>0.0</v>
      </c>
      <c r="M105" s="66">
        <v>0.0</v>
      </c>
      <c r="N105" s="66">
        <v>0.0</v>
      </c>
      <c r="O105" s="66">
        <v>0.0</v>
      </c>
      <c r="P105" s="66">
        <v>1.0</v>
      </c>
      <c r="Q105" s="66">
        <v>0.0</v>
      </c>
      <c r="R105" s="66">
        <v>0.0</v>
      </c>
      <c r="S105" s="66">
        <v>0.0</v>
      </c>
      <c r="T105" s="66">
        <v>0.0</v>
      </c>
      <c r="U105" s="66">
        <v>0.0</v>
      </c>
      <c r="V105" s="66">
        <v>0.0</v>
      </c>
      <c r="W105" s="66">
        <v>0.0</v>
      </c>
      <c r="X105" s="6">
        <f t="shared" si="28"/>
        <v>1</v>
      </c>
    </row>
    <row r="106" ht="12.75" customHeight="1">
      <c r="A106" s="18"/>
      <c r="B106" s="51"/>
      <c r="C106" s="52" t="s">
        <v>89</v>
      </c>
      <c r="D106" s="53"/>
      <c r="E106" s="66">
        <v>0.0</v>
      </c>
      <c r="F106" s="66">
        <v>0.0</v>
      </c>
      <c r="G106" s="66">
        <v>0.0</v>
      </c>
      <c r="H106" s="66">
        <v>0.0</v>
      </c>
      <c r="I106" s="66">
        <v>0.0</v>
      </c>
      <c r="J106" s="66">
        <v>0.0</v>
      </c>
      <c r="K106" s="66">
        <v>0.0</v>
      </c>
      <c r="L106" s="66">
        <v>1.0</v>
      </c>
      <c r="M106" s="66">
        <v>0.0</v>
      </c>
      <c r="N106" s="66">
        <v>0.0</v>
      </c>
      <c r="O106" s="66">
        <v>0.0</v>
      </c>
      <c r="P106" s="66">
        <v>8.0</v>
      </c>
      <c r="Q106" s="66">
        <v>0.0</v>
      </c>
      <c r="R106" s="66">
        <v>0.0</v>
      </c>
      <c r="S106" s="66">
        <v>3.0</v>
      </c>
      <c r="T106" s="66">
        <v>0.0</v>
      </c>
      <c r="U106" s="66">
        <v>8.0</v>
      </c>
      <c r="V106" s="66">
        <v>0.0</v>
      </c>
      <c r="W106" s="66">
        <v>0.0</v>
      </c>
      <c r="X106" s="6">
        <f t="shared" si="28"/>
        <v>20</v>
      </c>
    </row>
    <row r="107" ht="12.75" customHeight="1">
      <c r="A107" s="13" t="s">
        <v>14</v>
      </c>
      <c r="B107" s="49" t="s">
        <v>45</v>
      </c>
      <c r="C107" s="8"/>
      <c r="D107" s="9"/>
      <c r="E107" s="54">
        <f t="shared" ref="E107:W107" si="29">SUM(E100:E106)</f>
        <v>3</v>
      </c>
      <c r="F107" s="54">
        <f t="shared" si="29"/>
        <v>9</v>
      </c>
      <c r="G107" s="54">
        <f t="shared" si="29"/>
        <v>5</v>
      </c>
      <c r="H107" s="54">
        <f t="shared" si="29"/>
        <v>1</v>
      </c>
      <c r="I107" s="54">
        <f t="shared" si="29"/>
        <v>2</v>
      </c>
      <c r="J107" s="54">
        <f t="shared" si="29"/>
        <v>8</v>
      </c>
      <c r="K107" s="54">
        <f t="shared" si="29"/>
        <v>7</v>
      </c>
      <c r="L107" s="54">
        <f t="shared" si="29"/>
        <v>31</v>
      </c>
      <c r="M107" s="54">
        <f t="shared" si="29"/>
        <v>2</v>
      </c>
      <c r="N107" s="54">
        <f t="shared" si="29"/>
        <v>0</v>
      </c>
      <c r="O107" s="54">
        <f t="shared" si="29"/>
        <v>8</v>
      </c>
      <c r="P107" s="54">
        <f t="shared" si="29"/>
        <v>27</v>
      </c>
      <c r="Q107" s="54">
        <f t="shared" si="29"/>
        <v>0</v>
      </c>
      <c r="R107" s="54">
        <f t="shared" si="29"/>
        <v>0</v>
      </c>
      <c r="S107" s="54">
        <f t="shared" si="29"/>
        <v>15</v>
      </c>
      <c r="T107" s="54">
        <f t="shared" si="29"/>
        <v>1</v>
      </c>
      <c r="U107" s="54">
        <f t="shared" si="29"/>
        <v>10</v>
      </c>
      <c r="V107" s="54">
        <f t="shared" si="29"/>
        <v>0</v>
      </c>
      <c r="W107" s="54">
        <f t="shared" si="29"/>
        <v>0</v>
      </c>
      <c r="X107" s="6">
        <f t="shared" si="28"/>
        <v>129</v>
      </c>
    </row>
    <row r="108" ht="12.75" customHeight="1">
      <c r="A108" s="55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6"/>
    </row>
    <row r="109" ht="12.75" customHeight="1">
      <c r="A109" s="32" t="s">
        <v>36</v>
      </c>
      <c r="B109" s="49" t="s">
        <v>90</v>
      </c>
      <c r="C109" s="50" t="s">
        <v>91</v>
      </c>
      <c r="D109" s="9"/>
      <c r="E109" s="66">
        <v>0.0</v>
      </c>
      <c r="F109" s="66">
        <v>0.0</v>
      </c>
      <c r="G109" s="66">
        <v>0.0</v>
      </c>
      <c r="H109" s="66">
        <v>0.0</v>
      </c>
      <c r="I109" s="66">
        <v>0.0</v>
      </c>
      <c r="J109" s="66">
        <v>0.0</v>
      </c>
      <c r="K109" s="66">
        <v>0.0</v>
      </c>
      <c r="L109" s="66">
        <v>0.0</v>
      </c>
      <c r="M109" s="66">
        <v>0.0</v>
      </c>
      <c r="N109" s="66">
        <v>0.0</v>
      </c>
      <c r="O109" s="66">
        <v>0.0</v>
      </c>
      <c r="P109" s="66">
        <v>0.0</v>
      </c>
      <c r="Q109" s="66">
        <v>0.0</v>
      </c>
      <c r="R109" s="66">
        <v>0.0</v>
      </c>
      <c r="S109" s="66">
        <v>0.0</v>
      </c>
      <c r="T109" s="66">
        <v>0.0</v>
      </c>
      <c r="U109" s="66">
        <v>1.0</v>
      </c>
      <c r="V109" s="66">
        <v>0.0</v>
      </c>
      <c r="W109" s="66">
        <v>1.0</v>
      </c>
      <c r="X109" s="6">
        <f t="shared" ref="X109:X111" si="30">SUM(E109:W109)</f>
        <v>2</v>
      </c>
    </row>
    <row r="110" ht="12.75" customHeight="1">
      <c r="A110" s="32" t="s">
        <v>38</v>
      </c>
      <c r="B110" s="49"/>
      <c r="C110" s="52" t="s">
        <v>92</v>
      </c>
      <c r="D110" s="61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6">
        <f t="shared" si="30"/>
        <v>0</v>
      </c>
    </row>
    <row r="111" ht="12.75" customHeight="1">
      <c r="A111" s="13" t="s">
        <v>14</v>
      </c>
      <c r="B111" s="49" t="s">
        <v>45</v>
      </c>
      <c r="C111" s="8"/>
      <c r="D111" s="9"/>
      <c r="E111" s="54">
        <f t="shared" ref="E111:W111" si="31">SUM(E109:E110)</f>
        <v>0</v>
      </c>
      <c r="F111" s="54">
        <f t="shared" si="31"/>
        <v>0</v>
      </c>
      <c r="G111" s="54">
        <f t="shared" si="31"/>
        <v>0</v>
      </c>
      <c r="H111" s="54">
        <f t="shared" si="31"/>
        <v>0</v>
      </c>
      <c r="I111" s="54">
        <f t="shared" si="31"/>
        <v>0</v>
      </c>
      <c r="J111" s="54">
        <f t="shared" si="31"/>
        <v>0</v>
      </c>
      <c r="K111" s="54">
        <f t="shared" si="31"/>
        <v>0</v>
      </c>
      <c r="L111" s="54">
        <f t="shared" si="31"/>
        <v>0</v>
      </c>
      <c r="M111" s="54">
        <f t="shared" si="31"/>
        <v>0</v>
      </c>
      <c r="N111" s="54">
        <f t="shared" si="31"/>
        <v>0</v>
      </c>
      <c r="O111" s="54">
        <f t="shared" si="31"/>
        <v>0</v>
      </c>
      <c r="P111" s="54">
        <f t="shared" si="31"/>
        <v>0</v>
      </c>
      <c r="Q111" s="54">
        <f t="shared" si="31"/>
        <v>0</v>
      </c>
      <c r="R111" s="54">
        <f t="shared" si="31"/>
        <v>0</v>
      </c>
      <c r="S111" s="54">
        <f t="shared" si="31"/>
        <v>0</v>
      </c>
      <c r="T111" s="54">
        <f t="shared" si="31"/>
        <v>0</v>
      </c>
      <c r="U111" s="54">
        <f t="shared" si="31"/>
        <v>1</v>
      </c>
      <c r="V111" s="54">
        <f t="shared" si="31"/>
        <v>0</v>
      </c>
      <c r="W111" s="54">
        <f t="shared" si="31"/>
        <v>1</v>
      </c>
      <c r="X111" s="6">
        <f t="shared" si="30"/>
        <v>2</v>
      </c>
    </row>
    <row r="112" ht="12.75" customHeight="1">
      <c r="A112" s="55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6"/>
    </row>
    <row r="113" ht="12.75" customHeight="1">
      <c r="A113" s="32" t="s">
        <v>36</v>
      </c>
      <c r="B113" s="49" t="s">
        <v>93</v>
      </c>
      <c r="C113" s="50" t="s">
        <v>94</v>
      </c>
      <c r="D113" s="9"/>
      <c r="E113" s="66">
        <v>1.0</v>
      </c>
      <c r="F113" s="66">
        <v>0.0</v>
      </c>
      <c r="G113" s="66">
        <v>0.0</v>
      </c>
      <c r="H113" s="66">
        <v>0.0</v>
      </c>
      <c r="I113" s="66">
        <v>0.0</v>
      </c>
      <c r="J113" s="66">
        <v>0.0</v>
      </c>
      <c r="K113" s="66">
        <v>1.0</v>
      </c>
      <c r="L113" s="66">
        <v>0.0</v>
      </c>
      <c r="M113" s="66">
        <v>0.0</v>
      </c>
      <c r="N113" s="66">
        <v>0.0</v>
      </c>
      <c r="O113" s="66">
        <v>0.0</v>
      </c>
      <c r="P113" s="66">
        <v>0.0</v>
      </c>
      <c r="Q113" s="66">
        <v>0.0</v>
      </c>
      <c r="R113" s="66">
        <v>0.0</v>
      </c>
      <c r="S113" s="66">
        <v>0.0</v>
      </c>
      <c r="T113" s="66">
        <v>1.0</v>
      </c>
      <c r="U113" s="66">
        <v>0.0</v>
      </c>
      <c r="V113" s="66">
        <v>0.0</v>
      </c>
      <c r="W113" s="66">
        <v>0.0</v>
      </c>
      <c r="X113" s="6">
        <f t="shared" ref="X113:X120" si="32">SUM(E113:W113)</f>
        <v>3</v>
      </c>
    </row>
    <row r="114" ht="12.75" customHeight="1">
      <c r="A114" s="32" t="s">
        <v>38</v>
      </c>
      <c r="B114" s="51"/>
      <c r="C114" s="52" t="s">
        <v>95</v>
      </c>
      <c r="D114" s="53"/>
      <c r="E114" s="66">
        <v>0.0</v>
      </c>
      <c r="F114" s="66">
        <v>0.0</v>
      </c>
      <c r="G114" s="66">
        <v>0.0</v>
      </c>
      <c r="H114" s="66">
        <v>0.0</v>
      </c>
      <c r="I114" s="66">
        <v>0.0</v>
      </c>
      <c r="J114" s="66">
        <v>0.0</v>
      </c>
      <c r="K114" s="66">
        <v>0.0</v>
      </c>
      <c r="L114" s="66">
        <v>0.0</v>
      </c>
      <c r="M114" s="66">
        <v>0.0</v>
      </c>
      <c r="N114" s="66">
        <v>0.0</v>
      </c>
      <c r="O114" s="66">
        <v>0.0</v>
      </c>
      <c r="P114" s="66">
        <v>0.0</v>
      </c>
      <c r="Q114" s="66">
        <v>0.0</v>
      </c>
      <c r="R114" s="66">
        <v>0.0</v>
      </c>
      <c r="S114" s="66">
        <v>0.0</v>
      </c>
      <c r="T114" s="66">
        <v>0.0</v>
      </c>
      <c r="U114" s="66">
        <v>1.0</v>
      </c>
      <c r="V114" s="66">
        <v>0.0</v>
      </c>
      <c r="W114" s="66">
        <v>0.0</v>
      </c>
      <c r="X114" s="6">
        <f t="shared" si="32"/>
        <v>1</v>
      </c>
    </row>
    <row r="115" ht="12.75" customHeight="1">
      <c r="A115" s="18"/>
      <c r="B115" s="51"/>
      <c r="C115" s="52" t="s">
        <v>96</v>
      </c>
      <c r="D115" s="53"/>
      <c r="E115" s="66">
        <v>0.0</v>
      </c>
      <c r="F115" s="66">
        <v>0.0</v>
      </c>
      <c r="G115" s="66">
        <v>0.0</v>
      </c>
      <c r="H115" s="66">
        <v>0.0</v>
      </c>
      <c r="I115" s="66">
        <v>0.0</v>
      </c>
      <c r="J115" s="66">
        <v>0.0</v>
      </c>
      <c r="K115" s="66">
        <v>0.0</v>
      </c>
      <c r="L115" s="66">
        <v>0.0</v>
      </c>
      <c r="M115" s="66">
        <v>0.0</v>
      </c>
      <c r="N115" s="66">
        <v>0.0</v>
      </c>
      <c r="O115" s="66">
        <v>0.0</v>
      </c>
      <c r="P115" s="66">
        <v>0.0</v>
      </c>
      <c r="Q115" s="66">
        <v>0.0</v>
      </c>
      <c r="R115" s="66">
        <v>0.0</v>
      </c>
      <c r="S115" s="66">
        <v>0.0</v>
      </c>
      <c r="T115" s="66">
        <v>0.0</v>
      </c>
      <c r="U115" s="66">
        <v>0.0</v>
      </c>
      <c r="V115" s="66">
        <v>0.0</v>
      </c>
      <c r="W115" s="66">
        <v>0.0</v>
      </c>
      <c r="X115" s="6">
        <f t="shared" si="32"/>
        <v>0</v>
      </c>
    </row>
    <row r="116" ht="12.75" customHeight="1">
      <c r="A116" s="18"/>
      <c r="B116" s="51"/>
      <c r="C116" s="52" t="s">
        <v>97</v>
      </c>
      <c r="D116" s="53"/>
      <c r="E116" s="66">
        <v>0.0</v>
      </c>
      <c r="F116" s="66">
        <v>0.0</v>
      </c>
      <c r="G116" s="66">
        <v>0.0</v>
      </c>
      <c r="H116" s="66">
        <v>0.0</v>
      </c>
      <c r="I116" s="66">
        <v>0.0</v>
      </c>
      <c r="J116" s="66">
        <v>0.0</v>
      </c>
      <c r="K116" s="66">
        <v>0.0</v>
      </c>
      <c r="L116" s="66">
        <v>0.0</v>
      </c>
      <c r="M116" s="66">
        <v>0.0</v>
      </c>
      <c r="N116" s="66">
        <v>0.0</v>
      </c>
      <c r="O116" s="66">
        <v>0.0</v>
      </c>
      <c r="P116" s="66">
        <v>0.0</v>
      </c>
      <c r="Q116" s="66">
        <v>0.0</v>
      </c>
      <c r="R116" s="66">
        <v>0.0</v>
      </c>
      <c r="S116" s="66">
        <v>0.0</v>
      </c>
      <c r="T116" s="66">
        <v>1.0</v>
      </c>
      <c r="U116" s="66">
        <v>0.0</v>
      </c>
      <c r="V116" s="66">
        <v>0.0</v>
      </c>
      <c r="W116" s="66">
        <v>0.0</v>
      </c>
      <c r="X116" s="6">
        <f t="shared" si="32"/>
        <v>1</v>
      </c>
    </row>
    <row r="117" ht="12.75" customHeight="1">
      <c r="A117" s="18"/>
      <c r="B117" s="51"/>
      <c r="C117" s="52" t="s">
        <v>98</v>
      </c>
      <c r="D117" s="53"/>
      <c r="E117" s="66">
        <v>0.0</v>
      </c>
      <c r="F117" s="66">
        <v>0.0</v>
      </c>
      <c r="G117" s="66">
        <v>0.0</v>
      </c>
      <c r="H117" s="66">
        <v>0.0</v>
      </c>
      <c r="I117" s="66">
        <v>0.0</v>
      </c>
      <c r="J117" s="66">
        <v>0.0</v>
      </c>
      <c r="K117" s="66">
        <v>2.0</v>
      </c>
      <c r="L117" s="66">
        <v>0.0</v>
      </c>
      <c r="M117" s="66">
        <v>0.0</v>
      </c>
      <c r="N117" s="66">
        <v>0.0</v>
      </c>
      <c r="O117" s="66">
        <v>0.0</v>
      </c>
      <c r="P117" s="66">
        <v>0.0</v>
      </c>
      <c r="Q117" s="66">
        <v>0.0</v>
      </c>
      <c r="R117" s="66">
        <v>0.0</v>
      </c>
      <c r="S117" s="66">
        <v>0.0</v>
      </c>
      <c r="T117" s="66">
        <v>0.0</v>
      </c>
      <c r="U117" s="66">
        <v>0.0</v>
      </c>
      <c r="V117" s="66">
        <v>0.0</v>
      </c>
      <c r="W117" s="66">
        <v>0.0</v>
      </c>
      <c r="X117" s="6">
        <f t="shared" si="32"/>
        <v>2</v>
      </c>
    </row>
    <row r="118" ht="12.75" customHeight="1">
      <c r="A118" s="18"/>
      <c r="B118" s="51"/>
      <c r="C118" s="52" t="s">
        <v>99</v>
      </c>
      <c r="D118" s="53"/>
      <c r="E118" s="66">
        <v>0.0</v>
      </c>
      <c r="F118" s="66">
        <v>0.0</v>
      </c>
      <c r="G118" s="66">
        <v>0.0</v>
      </c>
      <c r="H118" s="66">
        <v>0.0</v>
      </c>
      <c r="I118" s="66">
        <v>0.0</v>
      </c>
      <c r="J118" s="66">
        <v>0.0</v>
      </c>
      <c r="K118" s="66">
        <v>0.0</v>
      </c>
      <c r="L118" s="66">
        <v>0.0</v>
      </c>
      <c r="M118" s="66">
        <v>0.0</v>
      </c>
      <c r="N118" s="66">
        <v>0.0</v>
      </c>
      <c r="O118" s="66">
        <v>0.0</v>
      </c>
      <c r="P118" s="66">
        <v>0.0</v>
      </c>
      <c r="Q118" s="66">
        <v>0.0</v>
      </c>
      <c r="R118" s="66">
        <v>0.0</v>
      </c>
      <c r="S118" s="66">
        <v>0.0</v>
      </c>
      <c r="T118" s="66">
        <v>0.0</v>
      </c>
      <c r="U118" s="66">
        <v>0.0</v>
      </c>
      <c r="V118" s="66">
        <v>0.0</v>
      </c>
      <c r="W118" s="66">
        <v>0.0</v>
      </c>
      <c r="X118" s="6">
        <f t="shared" si="32"/>
        <v>0</v>
      </c>
    </row>
    <row r="119" ht="12.75" customHeight="1">
      <c r="A119" s="18"/>
      <c r="B119" s="51"/>
      <c r="C119" s="52" t="s">
        <v>100</v>
      </c>
      <c r="D119" s="53"/>
      <c r="E119" s="66">
        <v>0.0</v>
      </c>
      <c r="F119" s="66">
        <v>0.0</v>
      </c>
      <c r="G119" s="66">
        <v>0.0</v>
      </c>
      <c r="H119" s="66">
        <v>0.0</v>
      </c>
      <c r="I119" s="66">
        <v>0.0</v>
      </c>
      <c r="J119" s="66">
        <v>0.0</v>
      </c>
      <c r="K119" s="66">
        <v>0.0</v>
      </c>
      <c r="L119" s="66">
        <v>0.0</v>
      </c>
      <c r="M119" s="66">
        <v>0.0</v>
      </c>
      <c r="N119" s="66">
        <v>0.0</v>
      </c>
      <c r="O119" s="66">
        <v>0.0</v>
      </c>
      <c r="P119" s="66">
        <v>0.0</v>
      </c>
      <c r="Q119" s="66">
        <v>0.0</v>
      </c>
      <c r="R119" s="66">
        <v>0.0</v>
      </c>
      <c r="S119" s="66">
        <v>0.0</v>
      </c>
      <c r="T119" s="66">
        <v>0.0</v>
      </c>
      <c r="U119" s="66">
        <v>0.0</v>
      </c>
      <c r="V119" s="66">
        <v>0.0</v>
      </c>
      <c r="W119" s="66">
        <v>0.0</v>
      </c>
      <c r="X119" s="6">
        <f t="shared" si="32"/>
        <v>0</v>
      </c>
    </row>
    <row r="120" ht="12.75" customHeight="1">
      <c r="A120" s="13" t="s">
        <v>14</v>
      </c>
      <c r="B120" s="49" t="s">
        <v>45</v>
      </c>
      <c r="C120" s="8"/>
      <c r="D120" s="9"/>
      <c r="E120" s="54">
        <f t="shared" ref="E120:W120" si="33">SUM(E113:E119)</f>
        <v>1</v>
      </c>
      <c r="F120" s="54">
        <f t="shared" si="33"/>
        <v>0</v>
      </c>
      <c r="G120" s="54">
        <f t="shared" si="33"/>
        <v>0</v>
      </c>
      <c r="H120" s="54">
        <f t="shared" si="33"/>
        <v>0</v>
      </c>
      <c r="I120" s="54">
        <f t="shared" si="33"/>
        <v>0</v>
      </c>
      <c r="J120" s="54">
        <f t="shared" si="33"/>
        <v>0</v>
      </c>
      <c r="K120" s="54">
        <f t="shared" si="33"/>
        <v>3</v>
      </c>
      <c r="L120" s="54">
        <f t="shared" si="33"/>
        <v>0</v>
      </c>
      <c r="M120" s="54">
        <f t="shared" si="33"/>
        <v>0</v>
      </c>
      <c r="N120" s="54">
        <f t="shared" si="33"/>
        <v>0</v>
      </c>
      <c r="O120" s="54">
        <f t="shared" si="33"/>
        <v>0</v>
      </c>
      <c r="P120" s="54">
        <f t="shared" si="33"/>
        <v>0</v>
      </c>
      <c r="Q120" s="54">
        <f t="shared" si="33"/>
        <v>0</v>
      </c>
      <c r="R120" s="54">
        <f t="shared" si="33"/>
        <v>0</v>
      </c>
      <c r="S120" s="54">
        <f t="shared" si="33"/>
        <v>0</v>
      </c>
      <c r="T120" s="54">
        <f t="shared" si="33"/>
        <v>2</v>
      </c>
      <c r="U120" s="54">
        <f t="shared" si="33"/>
        <v>1</v>
      </c>
      <c r="V120" s="54">
        <f t="shared" si="33"/>
        <v>0</v>
      </c>
      <c r="W120" s="54">
        <f t="shared" si="33"/>
        <v>0</v>
      </c>
      <c r="X120" s="6">
        <f t="shared" si="32"/>
        <v>7</v>
      </c>
    </row>
    <row r="121" ht="12.75" customHeight="1">
      <c r="A121" s="55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</row>
    <row r="122" ht="12.75" customHeight="1">
      <c r="A122" s="32" t="s">
        <v>36</v>
      </c>
      <c r="B122" s="49" t="s">
        <v>101</v>
      </c>
      <c r="C122" s="50" t="s">
        <v>102</v>
      </c>
      <c r="D122" s="9"/>
      <c r="E122" s="66">
        <v>0.0</v>
      </c>
      <c r="F122" s="66">
        <v>1.0</v>
      </c>
      <c r="G122" s="66">
        <v>0.0</v>
      </c>
      <c r="H122" s="66">
        <v>0.0</v>
      </c>
      <c r="I122" s="66">
        <v>0.0</v>
      </c>
      <c r="J122" s="66">
        <v>0.0</v>
      </c>
      <c r="K122" s="66">
        <v>1.0</v>
      </c>
      <c r="L122" s="66">
        <v>0.0</v>
      </c>
      <c r="M122" s="66">
        <v>0.0</v>
      </c>
      <c r="N122" s="66">
        <v>0.0</v>
      </c>
      <c r="O122" s="66">
        <v>0.0</v>
      </c>
      <c r="P122" s="66">
        <v>1.0</v>
      </c>
      <c r="Q122" s="66">
        <v>0.0</v>
      </c>
      <c r="R122" s="66">
        <v>0.0</v>
      </c>
      <c r="S122" s="66">
        <v>0.0</v>
      </c>
      <c r="T122" s="66">
        <v>0.0</v>
      </c>
      <c r="U122" s="66">
        <v>0.0</v>
      </c>
      <c r="V122" s="66">
        <v>0.0</v>
      </c>
      <c r="W122" s="66">
        <v>1.0</v>
      </c>
      <c r="X122" s="6">
        <f t="shared" ref="X122:X124" si="34">SUM(E122:W122)</f>
        <v>4</v>
      </c>
    </row>
    <row r="123" ht="12.75" customHeight="1">
      <c r="A123" s="32" t="s">
        <v>38</v>
      </c>
      <c r="B123" s="51"/>
      <c r="C123" s="52"/>
      <c r="D123" s="5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6">
        <f t="shared" si="34"/>
        <v>0</v>
      </c>
    </row>
    <row r="124" ht="12.75" customHeight="1">
      <c r="A124" s="13" t="s">
        <v>14</v>
      </c>
      <c r="B124" s="49" t="s">
        <v>45</v>
      </c>
      <c r="C124" s="8"/>
      <c r="D124" s="9"/>
      <c r="E124" s="54">
        <f t="shared" ref="E124:W124" si="35">SUM(E122:E123)</f>
        <v>0</v>
      </c>
      <c r="F124" s="54">
        <f t="shared" si="35"/>
        <v>1</v>
      </c>
      <c r="G124" s="54">
        <f t="shared" si="35"/>
        <v>0</v>
      </c>
      <c r="H124" s="54">
        <f t="shared" si="35"/>
        <v>0</v>
      </c>
      <c r="I124" s="54">
        <f t="shared" si="35"/>
        <v>0</v>
      </c>
      <c r="J124" s="54">
        <f t="shared" si="35"/>
        <v>0</v>
      </c>
      <c r="K124" s="54">
        <f t="shared" si="35"/>
        <v>1</v>
      </c>
      <c r="L124" s="54">
        <f t="shared" si="35"/>
        <v>0</v>
      </c>
      <c r="M124" s="54">
        <f t="shared" si="35"/>
        <v>0</v>
      </c>
      <c r="N124" s="54">
        <f t="shared" si="35"/>
        <v>0</v>
      </c>
      <c r="O124" s="54">
        <f t="shared" si="35"/>
        <v>0</v>
      </c>
      <c r="P124" s="54">
        <f t="shared" si="35"/>
        <v>1</v>
      </c>
      <c r="Q124" s="54">
        <f t="shared" si="35"/>
        <v>0</v>
      </c>
      <c r="R124" s="54">
        <f t="shared" si="35"/>
        <v>0</v>
      </c>
      <c r="S124" s="54">
        <f t="shared" si="35"/>
        <v>0</v>
      </c>
      <c r="T124" s="54">
        <f t="shared" si="35"/>
        <v>0</v>
      </c>
      <c r="U124" s="54">
        <f t="shared" si="35"/>
        <v>0</v>
      </c>
      <c r="V124" s="54">
        <f t="shared" si="35"/>
        <v>0</v>
      </c>
      <c r="W124" s="54">
        <f t="shared" si="35"/>
        <v>1</v>
      </c>
      <c r="X124" s="6">
        <f t="shared" si="34"/>
        <v>4</v>
      </c>
    </row>
    <row r="125" ht="12.75" customHeight="1">
      <c r="A125" s="55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6"/>
    </row>
    <row r="126" ht="12.75" customHeight="1">
      <c r="A126" s="32" t="s">
        <v>36</v>
      </c>
      <c r="B126" s="49" t="s">
        <v>103</v>
      </c>
      <c r="C126" s="50" t="s">
        <v>104</v>
      </c>
      <c r="D126" s="9"/>
      <c r="E126" s="66">
        <v>1.0</v>
      </c>
      <c r="F126" s="66">
        <v>0.0</v>
      </c>
      <c r="G126" s="66">
        <v>0.0</v>
      </c>
      <c r="H126" s="66">
        <v>1.0</v>
      </c>
      <c r="I126" s="66">
        <v>0.0</v>
      </c>
      <c r="J126" s="66">
        <v>0.0</v>
      </c>
      <c r="K126" s="66">
        <v>0.0</v>
      </c>
      <c r="L126" s="66">
        <v>0.0</v>
      </c>
      <c r="M126" s="66">
        <v>0.0</v>
      </c>
      <c r="N126" s="66">
        <v>0.0</v>
      </c>
      <c r="O126" s="66">
        <v>0.0</v>
      </c>
      <c r="P126" s="66">
        <v>0.0</v>
      </c>
      <c r="Q126" s="66">
        <v>0.0</v>
      </c>
      <c r="R126" s="66">
        <v>0.0</v>
      </c>
      <c r="S126" s="66">
        <v>0.0</v>
      </c>
      <c r="T126" s="66">
        <v>0.0</v>
      </c>
      <c r="U126" s="66">
        <v>1.0</v>
      </c>
      <c r="V126" s="66">
        <v>0.0</v>
      </c>
      <c r="W126" s="66">
        <v>0.0</v>
      </c>
      <c r="X126" s="6">
        <f t="shared" ref="X126:X131" si="36">SUM(E126:W126)</f>
        <v>3</v>
      </c>
    </row>
    <row r="127" ht="12.75" customHeight="1">
      <c r="A127" s="32" t="s">
        <v>38</v>
      </c>
      <c r="B127" s="51"/>
      <c r="C127" s="52" t="s">
        <v>105</v>
      </c>
      <c r="D127" s="53"/>
      <c r="E127" s="66">
        <v>0.0</v>
      </c>
      <c r="F127" s="66">
        <v>0.0</v>
      </c>
      <c r="G127" s="66">
        <v>0.0</v>
      </c>
      <c r="H127" s="66">
        <v>0.0</v>
      </c>
      <c r="I127" s="66">
        <v>1.0</v>
      </c>
      <c r="J127" s="66">
        <v>0.0</v>
      </c>
      <c r="K127" s="66">
        <v>0.0</v>
      </c>
      <c r="L127" s="66">
        <v>0.0</v>
      </c>
      <c r="M127" s="66">
        <v>0.0</v>
      </c>
      <c r="N127" s="66">
        <v>0.0</v>
      </c>
      <c r="O127" s="66">
        <v>0.0</v>
      </c>
      <c r="P127" s="66">
        <v>0.0</v>
      </c>
      <c r="Q127" s="66">
        <v>0.0</v>
      </c>
      <c r="R127" s="66">
        <v>0.0</v>
      </c>
      <c r="S127" s="66">
        <v>0.0</v>
      </c>
      <c r="T127" s="66">
        <v>0.0</v>
      </c>
      <c r="U127" s="66">
        <v>0.0</v>
      </c>
      <c r="V127" s="66">
        <v>0.0</v>
      </c>
      <c r="W127" s="66">
        <v>0.0</v>
      </c>
      <c r="X127" s="6">
        <f t="shared" si="36"/>
        <v>1</v>
      </c>
    </row>
    <row r="128" ht="12.75" customHeight="1">
      <c r="A128" s="18"/>
      <c r="B128" s="51"/>
      <c r="C128" s="52" t="s">
        <v>106</v>
      </c>
      <c r="D128" s="53"/>
      <c r="E128" s="66">
        <v>0.0</v>
      </c>
      <c r="F128" s="66">
        <v>0.0</v>
      </c>
      <c r="G128" s="66">
        <v>0.0</v>
      </c>
      <c r="H128" s="66">
        <v>0.0</v>
      </c>
      <c r="I128" s="66">
        <v>0.0</v>
      </c>
      <c r="J128" s="66">
        <v>0.0</v>
      </c>
      <c r="K128" s="66">
        <v>0.0</v>
      </c>
      <c r="L128" s="66">
        <v>0.0</v>
      </c>
      <c r="M128" s="66">
        <v>0.0</v>
      </c>
      <c r="N128" s="66">
        <v>0.0</v>
      </c>
      <c r="O128" s="66">
        <v>0.0</v>
      </c>
      <c r="P128" s="66">
        <v>0.0</v>
      </c>
      <c r="Q128" s="66">
        <v>0.0</v>
      </c>
      <c r="R128" s="66">
        <v>0.0</v>
      </c>
      <c r="S128" s="66">
        <v>0.0</v>
      </c>
      <c r="T128" s="66">
        <v>0.0</v>
      </c>
      <c r="U128" s="66">
        <v>0.0</v>
      </c>
      <c r="V128" s="66">
        <v>0.0</v>
      </c>
      <c r="W128" s="66">
        <v>0.0</v>
      </c>
      <c r="X128" s="6">
        <f t="shared" si="36"/>
        <v>0</v>
      </c>
    </row>
    <row r="129" ht="12.75" customHeight="1">
      <c r="A129" s="18"/>
      <c r="B129" s="51"/>
      <c r="C129" s="52" t="s">
        <v>107</v>
      </c>
      <c r="D129" s="53"/>
      <c r="E129" s="66">
        <v>0.0</v>
      </c>
      <c r="F129" s="66">
        <v>5.0</v>
      </c>
      <c r="G129" s="66">
        <v>0.0</v>
      </c>
      <c r="H129" s="66">
        <v>0.0</v>
      </c>
      <c r="I129" s="66">
        <v>0.0</v>
      </c>
      <c r="J129" s="66">
        <v>0.0</v>
      </c>
      <c r="K129" s="66">
        <v>0.0</v>
      </c>
      <c r="L129" s="66">
        <v>0.0</v>
      </c>
      <c r="M129" s="66">
        <v>0.0</v>
      </c>
      <c r="N129" s="66">
        <v>0.0</v>
      </c>
      <c r="O129" s="66">
        <v>0.0</v>
      </c>
      <c r="P129" s="66">
        <v>0.0</v>
      </c>
      <c r="Q129" s="66">
        <v>1.0</v>
      </c>
      <c r="R129" s="66">
        <v>0.0</v>
      </c>
      <c r="S129" s="66">
        <v>0.0</v>
      </c>
      <c r="T129" s="66">
        <v>0.0</v>
      </c>
      <c r="U129" s="66">
        <v>0.0</v>
      </c>
      <c r="V129" s="66">
        <v>0.0</v>
      </c>
      <c r="W129" s="66">
        <v>0.0</v>
      </c>
      <c r="X129" s="6">
        <f t="shared" si="36"/>
        <v>6</v>
      </c>
    </row>
    <row r="130" ht="12.75" customHeight="1">
      <c r="A130" s="18"/>
      <c r="B130" s="51"/>
      <c r="C130" s="52" t="s">
        <v>108</v>
      </c>
      <c r="D130" s="53"/>
      <c r="E130" s="66">
        <v>0.0</v>
      </c>
      <c r="F130" s="66">
        <v>0.0</v>
      </c>
      <c r="G130" s="66">
        <v>0.0</v>
      </c>
      <c r="H130" s="66">
        <v>0.0</v>
      </c>
      <c r="I130" s="66">
        <v>0.0</v>
      </c>
      <c r="J130" s="66">
        <v>0.0</v>
      </c>
      <c r="K130" s="66">
        <v>0.0</v>
      </c>
      <c r="L130" s="66">
        <v>0.0</v>
      </c>
      <c r="M130" s="66">
        <v>0.0</v>
      </c>
      <c r="N130" s="66">
        <v>0.0</v>
      </c>
      <c r="O130" s="66">
        <v>0.0</v>
      </c>
      <c r="P130" s="66">
        <v>0.0</v>
      </c>
      <c r="Q130" s="66">
        <v>0.0</v>
      </c>
      <c r="R130" s="66">
        <v>0.0</v>
      </c>
      <c r="S130" s="66">
        <v>0.0</v>
      </c>
      <c r="T130" s="66">
        <v>0.0</v>
      </c>
      <c r="U130" s="66">
        <v>0.0</v>
      </c>
      <c r="V130" s="66">
        <v>0.0</v>
      </c>
      <c r="W130" s="66">
        <v>0.0</v>
      </c>
      <c r="X130" s="6">
        <f t="shared" si="36"/>
        <v>0</v>
      </c>
    </row>
    <row r="131" ht="12.75" customHeight="1">
      <c r="A131" s="13" t="s">
        <v>14</v>
      </c>
      <c r="B131" s="49" t="s">
        <v>45</v>
      </c>
      <c r="C131" s="8"/>
      <c r="D131" s="9"/>
      <c r="E131" s="54">
        <f t="shared" ref="E131:W131" si="37">SUM(E126:E130)</f>
        <v>1</v>
      </c>
      <c r="F131" s="54">
        <f t="shared" si="37"/>
        <v>5</v>
      </c>
      <c r="G131" s="54">
        <f t="shared" si="37"/>
        <v>0</v>
      </c>
      <c r="H131" s="54">
        <f t="shared" si="37"/>
        <v>1</v>
      </c>
      <c r="I131" s="54">
        <f t="shared" si="37"/>
        <v>1</v>
      </c>
      <c r="J131" s="54">
        <f t="shared" si="37"/>
        <v>0</v>
      </c>
      <c r="K131" s="54">
        <f t="shared" si="37"/>
        <v>0</v>
      </c>
      <c r="L131" s="54">
        <f t="shared" si="37"/>
        <v>0</v>
      </c>
      <c r="M131" s="54">
        <f t="shared" si="37"/>
        <v>0</v>
      </c>
      <c r="N131" s="54">
        <f t="shared" si="37"/>
        <v>0</v>
      </c>
      <c r="O131" s="54">
        <f t="shared" si="37"/>
        <v>0</v>
      </c>
      <c r="P131" s="54">
        <f t="shared" si="37"/>
        <v>0</v>
      </c>
      <c r="Q131" s="54">
        <f t="shared" si="37"/>
        <v>1</v>
      </c>
      <c r="R131" s="54">
        <f t="shared" si="37"/>
        <v>0</v>
      </c>
      <c r="S131" s="54">
        <f t="shared" si="37"/>
        <v>0</v>
      </c>
      <c r="T131" s="54">
        <f t="shared" si="37"/>
        <v>0</v>
      </c>
      <c r="U131" s="54">
        <f t="shared" si="37"/>
        <v>1</v>
      </c>
      <c r="V131" s="54">
        <f t="shared" si="37"/>
        <v>0</v>
      </c>
      <c r="W131" s="54">
        <f t="shared" si="37"/>
        <v>0</v>
      </c>
      <c r="X131" s="6">
        <f t="shared" si="36"/>
        <v>10</v>
      </c>
    </row>
    <row r="132" ht="12.75" customHeight="1">
      <c r="A132" s="55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6"/>
    </row>
    <row r="133" ht="12.75" customHeight="1">
      <c r="A133" s="32" t="s">
        <v>36</v>
      </c>
      <c r="B133" s="49" t="s">
        <v>109</v>
      </c>
      <c r="C133" s="50" t="s">
        <v>110</v>
      </c>
      <c r="D133" s="9"/>
      <c r="E133" s="66">
        <v>0.0</v>
      </c>
      <c r="F133" s="66">
        <v>0.0</v>
      </c>
      <c r="G133" s="66">
        <v>0.0</v>
      </c>
      <c r="H133" s="66">
        <v>1.0</v>
      </c>
      <c r="I133" s="66">
        <v>0.0</v>
      </c>
      <c r="J133" s="66">
        <v>0.0</v>
      </c>
      <c r="K133" s="66">
        <v>0.0</v>
      </c>
      <c r="L133" s="66">
        <v>0.0</v>
      </c>
      <c r="M133" s="66">
        <v>0.0</v>
      </c>
      <c r="N133" s="66">
        <v>0.0</v>
      </c>
      <c r="O133" s="66">
        <v>0.0</v>
      </c>
      <c r="P133" s="66">
        <v>0.0</v>
      </c>
      <c r="Q133" s="66">
        <v>0.0</v>
      </c>
      <c r="R133" s="66">
        <v>0.0</v>
      </c>
      <c r="S133" s="66">
        <v>0.0</v>
      </c>
      <c r="T133" s="66">
        <v>0.0</v>
      </c>
      <c r="U133" s="66">
        <v>0.0</v>
      </c>
      <c r="V133" s="66">
        <v>0.0</v>
      </c>
      <c r="W133" s="66">
        <v>0.0</v>
      </c>
      <c r="X133" s="6">
        <f t="shared" ref="X133:X140" si="38">SUM(E133:W133)</f>
        <v>1</v>
      </c>
    </row>
    <row r="134" ht="12.75" customHeight="1">
      <c r="A134" s="32" t="s">
        <v>38</v>
      </c>
      <c r="B134" s="51"/>
      <c r="C134" s="52" t="s">
        <v>111</v>
      </c>
      <c r="D134" s="53"/>
      <c r="E134" s="66">
        <v>0.0</v>
      </c>
      <c r="F134" s="66">
        <v>0.0</v>
      </c>
      <c r="G134" s="66">
        <v>0.0</v>
      </c>
      <c r="H134" s="66">
        <v>0.0</v>
      </c>
      <c r="I134" s="66">
        <v>0.0</v>
      </c>
      <c r="J134" s="66">
        <v>0.0</v>
      </c>
      <c r="K134" s="66">
        <v>0.0</v>
      </c>
      <c r="L134" s="66">
        <v>0.0</v>
      </c>
      <c r="M134" s="66">
        <v>0.0</v>
      </c>
      <c r="N134" s="66">
        <v>0.0</v>
      </c>
      <c r="O134" s="66">
        <v>0.0</v>
      </c>
      <c r="P134" s="66">
        <v>0.0</v>
      </c>
      <c r="Q134" s="66">
        <v>0.0</v>
      </c>
      <c r="R134" s="66">
        <v>0.0</v>
      </c>
      <c r="S134" s="66">
        <v>0.0</v>
      </c>
      <c r="T134" s="66">
        <v>0.0</v>
      </c>
      <c r="U134" s="66">
        <v>0.0</v>
      </c>
      <c r="V134" s="66">
        <v>0.0</v>
      </c>
      <c r="W134" s="66">
        <v>0.0</v>
      </c>
      <c r="X134" s="6">
        <f t="shared" si="38"/>
        <v>0</v>
      </c>
    </row>
    <row r="135" ht="12.75" customHeight="1">
      <c r="A135" s="18"/>
      <c r="B135" s="51"/>
      <c r="C135" s="52" t="s">
        <v>112</v>
      </c>
      <c r="D135" s="53"/>
      <c r="E135" s="66">
        <v>0.0</v>
      </c>
      <c r="F135" s="66">
        <v>0.0</v>
      </c>
      <c r="G135" s="66">
        <v>0.0</v>
      </c>
      <c r="H135" s="66">
        <v>0.0</v>
      </c>
      <c r="I135" s="66">
        <v>0.0</v>
      </c>
      <c r="J135" s="66">
        <v>0.0</v>
      </c>
      <c r="K135" s="66">
        <v>0.0</v>
      </c>
      <c r="L135" s="66">
        <v>0.0</v>
      </c>
      <c r="M135" s="66">
        <v>0.0</v>
      </c>
      <c r="N135" s="66">
        <v>0.0</v>
      </c>
      <c r="O135" s="66">
        <v>0.0</v>
      </c>
      <c r="P135" s="66">
        <v>0.0</v>
      </c>
      <c r="Q135" s="66">
        <v>0.0</v>
      </c>
      <c r="R135" s="66">
        <v>0.0</v>
      </c>
      <c r="S135" s="66">
        <v>0.0</v>
      </c>
      <c r="T135" s="66">
        <v>0.0</v>
      </c>
      <c r="U135" s="66">
        <v>0.0</v>
      </c>
      <c r="V135" s="66">
        <v>0.0</v>
      </c>
      <c r="W135" s="66">
        <v>0.0</v>
      </c>
      <c r="X135" s="6">
        <f t="shared" si="38"/>
        <v>0</v>
      </c>
    </row>
    <row r="136" ht="12.75" customHeight="1">
      <c r="A136" s="18"/>
      <c r="B136" s="51"/>
      <c r="C136" s="52" t="s">
        <v>113</v>
      </c>
      <c r="D136" s="53"/>
      <c r="E136" s="66">
        <v>0.0</v>
      </c>
      <c r="F136" s="66">
        <v>0.0</v>
      </c>
      <c r="G136" s="66">
        <v>0.0</v>
      </c>
      <c r="H136" s="66">
        <v>0.0</v>
      </c>
      <c r="I136" s="66">
        <v>0.0</v>
      </c>
      <c r="J136" s="66">
        <v>0.0</v>
      </c>
      <c r="K136" s="66">
        <v>0.0</v>
      </c>
      <c r="L136" s="66">
        <v>0.0</v>
      </c>
      <c r="M136" s="66">
        <v>0.0</v>
      </c>
      <c r="N136" s="66">
        <v>0.0</v>
      </c>
      <c r="O136" s="66">
        <v>0.0</v>
      </c>
      <c r="P136" s="66">
        <v>0.0</v>
      </c>
      <c r="Q136" s="66">
        <v>0.0</v>
      </c>
      <c r="R136" s="66">
        <v>0.0</v>
      </c>
      <c r="S136" s="66">
        <v>0.0</v>
      </c>
      <c r="T136" s="66">
        <v>0.0</v>
      </c>
      <c r="U136" s="66">
        <v>0.0</v>
      </c>
      <c r="V136" s="66">
        <v>0.0</v>
      </c>
      <c r="W136" s="66">
        <v>0.0</v>
      </c>
      <c r="X136" s="6">
        <f t="shared" si="38"/>
        <v>0</v>
      </c>
    </row>
    <row r="137" ht="12.75" customHeight="1">
      <c r="A137" s="18"/>
      <c r="B137" s="51"/>
      <c r="C137" s="52" t="s">
        <v>114</v>
      </c>
      <c r="D137" s="53"/>
      <c r="E137" s="66">
        <v>0.0</v>
      </c>
      <c r="F137" s="66">
        <v>0.0</v>
      </c>
      <c r="G137" s="66">
        <v>0.0</v>
      </c>
      <c r="H137" s="66">
        <v>0.0</v>
      </c>
      <c r="I137" s="66">
        <v>0.0</v>
      </c>
      <c r="J137" s="66">
        <v>0.0</v>
      </c>
      <c r="K137" s="66">
        <v>0.0</v>
      </c>
      <c r="L137" s="66">
        <v>0.0</v>
      </c>
      <c r="M137" s="66">
        <v>1.0</v>
      </c>
      <c r="N137" s="66">
        <v>0.0</v>
      </c>
      <c r="O137" s="66">
        <v>0.0</v>
      </c>
      <c r="P137" s="66">
        <v>0.0</v>
      </c>
      <c r="Q137" s="66">
        <v>0.0</v>
      </c>
      <c r="R137" s="66">
        <v>0.0</v>
      </c>
      <c r="S137" s="66">
        <v>0.0</v>
      </c>
      <c r="T137" s="66">
        <v>0.0</v>
      </c>
      <c r="U137" s="66">
        <v>0.0</v>
      </c>
      <c r="V137" s="66">
        <v>0.0</v>
      </c>
      <c r="W137" s="66">
        <v>0.0</v>
      </c>
      <c r="X137" s="6">
        <f t="shared" si="38"/>
        <v>1</v>
      </c>
    </row>
    <row r="138" ht="12.75" customHeight="1">
      <c r="A138" s="18"/>
      <c r="B138" s="51"/>
      <c r="C138" s="52" t="s">
        <v>115</v>
      </c>
      <c r="D138" s="53"/>
      <c r="E138" s="66">
        <v>0.0</v>
      </c>
      <c r="F138" s="66">
        <v>0.0</v>
      </c>
      <c r="G138" s="66">
        <v>0.0</v>
      </c>
      <c r="H138" s="66">
        <v>0.0</v>
      </c>
      <c r="I138" s="66">
        <v>0.0</v>
      </c>
      <c r="J138" s="66">
        <v>0.0</v>
      </c>
      <c r="K138" s="66">
        <v>0.0</v>
      </c>
      <c r="L138" s="66">
        <v>0.0</v>
      </c>
      <c r="M138" s="66">
        <v>0.0</v>
      </c>
      <c r="N138" s="66">
        <v>0.0</v>
      </c>
      <c r="O138" s="66">
        <v>0.0</v>
      </c>
      <c r="P138" s="66">
        <v>0.0</v>
      </c>
      <c r="Q138" s="66">
        <v>0.0</v>
      </c>
      <c r="R138" s="66">
        <v>0.0</v>
      </c>
      <c r="S138" s="66">
        <v>0.0</v>
      </c>
      <c r="T138" s="66">
        <v>0.0</v>
      </c>
      <c r="U138" s="66">
        <v>0.0</v>
      </c>
      <c r="V138" s="66">
        <v>0.0</v>
      </c>
      <c r="W138" s="66">
        <v>0.0</v>
      </c>
      <c r="X138" s="6">
        <f t="shared" si="38"/>
        <v>0</v>
      </c>
    </row>
    <row r="139" ht="12.75" customHeight="1">
      <c r="A139" s="18"/>
      <c r="B139" s="51"/>
      <c r="C139" s="52" t="s">
        <v>116</v>
      </c>
      <c r="D139" s="53"/>
      <c r="E139" s="66">
        <v>0.0</v>
      </c>
      <c r="F139" s="66">
        <v>0.0</v>
      </c>
      <c r="G139" s="66">
        <v>0.0</v>
      </c>
      <c r="H139" s="66">
        <v>0.0</v>
      </c>
      <c r="I139" s="66">
        <v>0.0</v>
      </c>
      <c r="J139" s="66">
        <v>0.0</v>
      </c>
      <c r="K139" s="66">
        <v>0.0</v>
      </c>
      <c r="L139" s="66">
        <v>0.0</v>
      </c>
      <c r="M139" s="66">
        <v>0.0</v>
      </c>
      <c r="N139" s="66">
        <v>0.0</v>
      </c>
      <c r="O139" s="66">
        <v>0.0</v>
      </c>
      <c r="P139" s="66">
        <v>0.0</v>
      </c>
      <c r="Q139" s="66">
        <v>0.0</v>
      </c>
      <c r="R139" s="66">
        <v>0.0</v>
      </c>
      <c r="S139" s="66">
        <v>0.0</v>
      </c>
      <c r="T139" s="66">
        <v>0.0</v>
      </c>
      <c r="U139" s="66">
        <v>0.0</v>
      </c>
      <c r="V139" s="66">
        <v>0.0</v>
      </c>
      <c r="W139" s="66">
        <v>0.0</v>
      </c>
      <c r="X139" s="6">
        <f t="shared" si="38"/>
        <v>0</v>
      </c>
    </row>
    <row r="140" ht="12.75" customHeight="1">
      <c r="A140" s="13" t="s">
        <v>14</v>
      </c>
      <c r="B140" s="49" t="s">
        <v>45</v>
      </c>
      <c r="C140" s="8"/>
      <c r="D140" s="9"/>
      <c r="E140" s="54">
        <f t="shared" ref="E140:W140" si="39">SUM(E133:E139)</f>
        <v>0</v>
      </c>
      <c r="F140" s="54">
        <f t="shared" si="39"/>
        <v>0</v>
      </c>
      <c r="G140" s="54">
        <f t="shared" si="39"/>
        <v>0</v>
      </c>
      <c r="H140" s="54">
        <f t="shared" si="39"/>
        <v>1</v>
      </c>
      <c r="I140" s="54">
        <f t="shared" si="39"/>
        <v>0</v>
      </c>
      <c r="J140" s="54">
        <f t="shared" si="39"/>
        <v>0</v>
      </c>
      <c r="K140" s="54">
        <f t="shared" si="39"/>
        <v>0</v>
      </c>
      <c r="L140" s="54">
        <f t="shared" si="39"/>
        <v>0</v>
      </c>
      <c r="M140" s="54">
        <f t="shared" si="39"/>
        <v>1</v>
      </c>
      <c r="N140" s="54">
        <f t="shared" si="39"/>
        <v>0</v>
      </c>
      <c r="O140" s="54">
        <f t="shared" si="39"/>
        <v>0</v>
      </c>
      <c r="P140" s="54">
        <f t="shared" si="39"/>
        <v>0</v>
      </c>
      <c r="Q140" s="54">
        <f t="shared" si="39"/>
        <v>0</v>
      </c>
      <c r="R140" s="54">
        <f t="shared" si="39"/>
        <v>0</v>
      </c>
      <c r="S140" s="54">
        <f t="shared" si="39"/>
        <v>0</v>
      </c>
      <c r="T140" s="54">
        <f t="shared" si="39"/>
        <v>0</v>
      </c>
      <c r="U140" s="54">
        <f t="shared" si="39"/>
        <v>0</v>
      </c>
      <c r="V140" s="54">
        <f t="shared" si="39"/>
        <v>0</v>
      </c>
      <c r="W140" s="54">
        <f t="shared" si="39"/>
        <v>0</v>
      </c>
      <c r="X140" s="6">
        <f t="shared" si="38"/>
        <v>2</v>
      </c>
    </row>
    <row r="141" ht="12.75" customHeight="1">
      <c r="A141" s="55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6"/>
    </row>
    <row r="142" ht="12.75" customHeight="1">
      <c r="A142" s="32" t="s">
        <v>36</v>
      </c>
      <c r="B142" s="49" t="s">
        <v>117</v>
      </c>
      <c r="C142" s="50" t="s">
        <v>118</v>
      </c>
      <c r="D142" s="9"/>
      <c r="E142" s="66">
        <v>2.0</v>
      </c>
      <c r="F142" s="66">
        <v>2.0</v>
      </c>
      <c r="G142" s="66">
        <v>2.0</v>
      </c>
      <c r="H142" s="66">
        <v>8.0</v>
      </c>
      <c r="I142" s="66">
        <v>1.0</v>
      </c>
      <c r="J142" s="66">
        <v>2.0</v>
      </c>
      <c r="K142" s="66">
        <v>1.0</v>
      </c>
      <c r="L142" s="66">
        <v>1.0</v>
      </c>
      <c r="M142" s="66">
        <v>0.0</v>
      </c>
      <c r="N142" s="66">
        <v>1.0</v>
      </c>
      <c r="O142" s="66">
        <v>1.0</v>
      </c>
      <c r="P142" s="66">
        <v>0.0</v>
      </c>
      <c r="Q142" s="66">
        <v>1.0</v>
      </c>
      <c r="R142" s="66">
        <v>0.0</v>
      </c>
      <c r="S142" s="66">
        <v>3.0</v>
      </c>
      <c r="T142" s="66">
        <v>1.0</v>
      </c>
      <c r="U142" s="66">
        <v>2.0</v>
      </c>
      <c r="V142" s="66">
        <v>0.0</v>
      </c>
      <c r="W142" s="66">
        <v>1.0</v>
      </c>
      <c r="X142" s="6">
        <f t="shared" ref="X142:X149" si="40">SUM(E142:W142)</f>
        <v>29</v>
      </c>
    </row>
    <row r="143" ht="12.75" customHeight="1">
      <c r="A143" s="32" t="s">
        <v>38</v>
      </c>
      <c r="B143" s="51"/>
      <c r="C143" s="52" t="s">
        <v>119</v>
      </c>
      <c r="D143" s="53"/>
      <c r="E143" s="66">
        <v>20.0</v>
      </c>
      <c r="F143" s="66">
        <v>18.0</v>
      </c>
      <c r="G143" s="66">
        <v>12.0</v>
      </c>
      <c r="H143" s="66">
        <v>11.0</v>
      </c>
      <c r="I143" s="66">
        <v>11.0</v>
      </c>
      <c r="J143" s="66">
        <v>12.0</v>
      </c>
      <c r="K143" s="66">
        <v>11.0</v>
      </c>
      <c r="L143" s="66">
        <v>16.0</v>
      </c>
      <c r="M143" s="66">
        <v>15.0</v>
      </c>
      <c r="N143" s="66">
        <v>8.0</v>
      </c>
      <c r="O143" s="66">
        <v>19.0</v>
      </c>
      <c r="P143" s="66">
        <v>11.0</v>
      </c>
      <c r="Q143" s="66">
        <v>7.0</v>
      </c>
      <c r="R143" s="66">
        <v>6.0</v>
      </c>
      <c r="S143" s="66">
        <v>61.0</v>
      </c>
      <c r="T143" s="66">
        <v>8.0</v>
      </c>
      <c r="U143" s="66">
        <v>4.0</v>
      </c>
      <c r="V143" s="66">
        <v>12.0</v>
      </c>
      <c r="W143" s="66">
        <v>7.0</v>
      </c>
      <c r="X143" s="6">
        <f t="shared" si="40"/>
        <v>269</v>
      </c>
    </row>
    <row r="144" ht="12.75" customHeight="1">
      <c r="A144" s="18"/>
      <c r="B144" s="51"/>
      <c r="C144" s="52" t="s">
        <v>120</v>
      </c>
      <c r="D144" s="53"/>
      <c r="E144" s="66">
        <v>3.0</v>
      </c>
      <c r="F144" s="66">
        <v>16.0</v>
      </c>
      <c r="G144" s="66">
        <v>8.0</v>
      </c>
      <c r="H144" s="66">
        <v>22.0</v>
      </c>
      <c r="I144" s="66">
        <v>21.0</v>
      </c>
      <c r="J144" s="66">
        <v>17.0</v>
      </c>
      <c r="K144" s="66">
        <v>10.0</v>
      </c>
      <c r="L144" s="66">
        <v>7.0</v>
      </c>
      <c r="M144" s="66">
        <v>4.0</v>
      </c>
      <c r="N144" s="66">
        <v>5.0</v>
      </c>
      <c r="O144" s="66">
        <v>5.0</v>
      </c>
      <c r="P144" s="66">
        <v>6.0</v>
      </c>
      <c r="Q144" s="66">
        <v>5.0</v>
      </c>
      <c r="R144" s="66">
        <v>0.0</v>
      </c>
      <c r="S144" s="66">
        <v>3.0</v>
      </c>
      <c r="T144" s="66">
        <v>5.0</v>
      </c>
      <c r="U144" s="66">
        <v>0.0</v>
      </c>
      <c r="V144" s="66">
        <v>12.0</v>
      </c>
      <c r="W144" s="66">
        <v>5.0</v>
      </c>
      <c r="X144" s="6">
        <f t="shared" si="40"/>
        <v>154</v>
      </c>
    </row>
    <row r="145" ht="12.75" customHeight="1">
      <c r="A145" s="18"/>
      <c r="B145" s="51"/>
      <c r="C145" s="52" t="s">
        <v>121</v>
      </c>
      <c r="D145" s="53"/>
      <c r="E145" s="66">
        <v>0.0</v>
      </c>
      <c r="F145" s="66">
        <v>1.0</v>
      </c>
      <c r="G145" s="66">
        <v>0.0</v>
      </c>
      <c r="H145" s="66">
        <v>0.0</v>
      </c>
      <c r="I145" s="66">
        <v>1.0</v>
      </c>
      <c r="J145" s="66">
        <v>0.0</v>
      </c>
      <c r="K145" s="66">
        <v>0.0</v>
      </c>
      <c r="L145" s="66">
        <v>0.0</v>
      </c>
      <c r="M145" s="66">
        <v>0.0</v>
      </c>
      <c r="N145" s="66">
        <v>0.0</v>
      </c>
      <c r="O145" s="66">
        <v>0.0</v>
      </c>
      <c r="P145" s="66">
        <v>1.0</v>
      </c>
      <c r="Q145" s="66">
        <v>0.0</v>
      </c>
      <c r="R145" s="66">
        <v>0.0</v>
      </c>
      <c r="S145" s="66">
        <v>0.0</v>
      </c>
      <c r="T145" s="66">
        <v>1.0</v>
      </c>
      <c r="U145" s="66">
        <v>0.0</v>
      </c>
      <c r="V145" s="66">
        <v>0.0</v>
      </c>
      <c r="W145" s="66">
        <v>0.0</v>
      </c>
      <c r="X145" s="6">
        <f t="shared" si="40"/>
        <v>4</v>
      </c>
    </row>
    <row r="146" ht="12.75" customHeight="1">
      <c r="A146" s="18"/>
      <c r="B146" s="51"/>
      <c r="C146" s="52" t="s">
        <v>122</v>
      </c>
      <c r="D146" s="53"/>
      <c r="E146" s="66">
        <v>2.0</v>
      </c>
      <c r="F146" s="66">
        <v>0.0</v>
      </c>
      <c r="G146" s="66">
        <v>2.0</v>
      </c>
      <c r="H146" s="66">
        <v>0.0</v>
      </c>
      <c r="I146" s="66">
        <v>0.0</v>
      </c>
      <c r="J146" s="66">
        <v>1.0</v>
      </c>
      <c r="K146" s="66">
        <v>1.0</v>
      </c>
      <c r="L146" s="66">
        <v>0.0</v>
      </c>
      <c r="M146" s="66">
        <v>0.0</v>
      </c>
      <c r="N146" s="66">
        <v>0.0</v>
      </c>
      <c r="O146" s="66">
        <v>0.0</v>
      </c>
      <c r="P146" s="66">
        <v>1.0</v>
      </c>
      <c r="Q146" s="66">
        <v>0.0</v>
      </c>
      <c r="R146" s="66">
        <v>0.0</v>
      </c>
      <c r="S146" s="66">
        <v>1.0</v>
      </c>
      <c r="T146" s="66">
        <v>0.0</v>
      </c>
      <c r="U146" s="66">
        <v>1.0</v>
      </c>
      <c r="V146" s="66">
        <v>0.0</v>
      </c>
      <c r="W146" s="66">
        <v>0.0</v>
      </c>
      <c r="X146" s="6">
        <f t="shared" si="40"/>
        <v>9</v>
      </c>
    </row>
    <row r="147" ht="12.75" customHeight="1">
      <c r="A147" s="18"/>
      <c r="B147" s="51"/>
      <c r="C147" s="52" t="s">
        <v>123</v>
      </c>
      <c r="D147" s="53"/>
      <c r="E147" s="66">
        <v>0.0</v>
      </c>
      <c r="F147" s="66">
        <v>0.0</v>
      </c>
      <c r="G147" s="66">
        <v>0.0</v>
      </c>
      <c r="H147" s="66">
        <v>0.0</v>
      </c>
      <c r="I147" s="66">
        <v>0.0</v>
      </c>
      <c r="J147" s="66">
        <v>0.0</v>
      </c>
      <c r="K147" s="66">
        <v>0.0</v>
      </c>
      <c r="L147" s="66">
        <v>0.0</v>
      </c>
      <c r="M147" s="66">
        <v>0.0</v>
      </c>
      <c r="N147" s="66">
        <v>0.0</v>
      </c>
      <c r="O147" s="66">
        <v>0.0</v>
      </c>
      <c r="P147" s="66">
        <v>0.0</v>
      </c>
      <c r="Q147" s="66">
        <v>0.0</v>
      </c>
      <c r="R147" s="66">
        <v>0.0</v>
      </c>
      <c r="S147" s="66">
        <v>0.0</v>
      </c>
      <c r="T147" s="66">
        <v>0.0</v>
      </c>
      <c r="U147" s="66">
        <v>1.0</v>
      </c>
      <c r="V147" s="66">
        <v>0.0</v>
      </c>
      <c r="W147" s="66">
        <v>0.0</v>
      </c>
      <c r="X147" s="6">
        <f t="shared" si="40"/>
        <v>1</v>
      </c>
    </row>
    <row r="148" ht="12.75" customHeight="1">
      <c r="A148" s="18"/>
      <c r="B148" s="51"/>
      <c r="C148" s="52" t="s">
        <v>124</v>
      </c>
      <c r="D148" s="53"/>
      <c r="E148" s="66">
        <v>0.0</v>
      </c>
      <c r="F148" s="66">
        <v>0.0</v>
      </c>
      <c r="G148" s="66">
        <v>0.0</v>
      </c>
      <c r="H148" s="66">
        <v>1.0</v>
      </c>
      <c r="I148" s="66">
        <v>0.0</v>
      </c>
      <c r="J148" s="66">
        <v>0.0</v>
      </c>
      <c r="K148" s="66">
        <v>0.0</v>
      </c>
      <c r="L148" s="66">
        <v>0.0</v>
      </c>
      <c r="M148" s="66">
        <v>0.0</v>
      </c>
      <c r="N148" s="66">
        <v>0.0</v>
      </c>
      <c r="O148" s="66">
        <v>0.0</v>
      </c>
      <c r="P148" s="66">
        <v>0.0</v>
      </c>
      <c r="Q148" s="66">
        <v>0.0</v>
      </c>
      <c r="R148" s="66">
        <v>0.0</v>
      </c>
      <c r="S148" s="66">
        <v>0.0</v>
      </c>
      <c r="T148" s="66">
        <v>0.0</v>
      </c>
      <c r="U148" s="66">
        <v>0.0</v>
      </c>
      <c r="V148" s="66">
        <v>0.0</v>
      </c>
      <c r="W148" s="66">
        <v>0.0</v>
      </c>
      <c r="X148" s="6">
        <f t="shared" si="40"/>
        <v>1</v>
      </c>
    </row>
    <row r="149" ht="12.75" customHeight="1">
      <c r="A149" s="13" t="s">
        <v>14</v>
      </c>
      <c r="B149" s="49" t="s">
        <v>45</v>
      </c>
      <c r="C149" s="8"/>
      <c r="D149" s="9"/>
      <c r="E149" s="54">
        <f t="shared" ref="E149:W149" si="41">SUM(E142:E148)</f>
        <v>27</v>
      </c>
      <c r="F149" s="54">
        <f t="shared" si="41"/>
        <v>37</v>
      </c>
      <c r="G149" s="54">
        <f t="shared" si="41"/>
        <v>24</v>
      </c>
      <c r="H149" s="54">
        <f t="shared" si="41"/>
        <v>42</v>
      </c>
      <c r="I149" s="54">
        <f t="shared" si="41"/>
        <v>34</v>
      </c>
      <c r="J149" s="54">
        <f t="shared" si="41"/>
        <v>32</v>
      </c>
      <c r="K149" s="54">
        <f t="shared" si="41"/>
        <v>23</v>
      </c>
      <c r="L149" s="54">
        <f t="shared" si="41"/>
        <v>24</v>
      </c>
      <c r="M149" s="54">
        <f t="shared" si="41"/>
        <v>19</v>
      </c>
      <c r="N149" s="54">
        <f t="shared" si="41"/>
        <v>14</v>
      </c>
      <c r="O149" s="54">
        <f t="shared" si="41"/>
        <v>25</v>
      </c>
      <c r="P149" s="54">
        <f t="shared" si="41"/>
        <v>19</v>
      </c>
      <c r="Q149" s="54">
        <f t="shared" si="41"/>
        <v>13</v>
      </c>
      <c r="R149" s="54">
        <f t="shared" si="41"/>
        <v>6</v>
      </c>
      <c r="S149" s="54">
        <f t="shared" si="41"/>
        <v>68</v>
      </c>
      <c r="T149" s="54">
        <f t="shared" si="41"/>
        <v>15</v>
      </c>
      <c r="U149" s="54">
        <f t="shared" si="41"/>
        <v>8</v>
      </c>
      <c r="V149" s="54">
        <f t="shared" si="41"/>
        <v>24</v>
      </c>
      <c r="W149" s="54">
        <f t="shared" si="41"/>
        <v>13</v>
      </c>
      <c r="X149" s="6">
        <f t="shared" si="40"/>
        <v>467</v>
      </c>
    </row>
    <row r="150" ht="12.75" customHeight="1">
      <c r="A150" s="55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6"/>
    </row>
    <row r="151" ht="12.75" customHeight="1">
      <c r="A151" s="32" t="s">
        <v>36</v>
      </c>
      <c r="B151" s="49" t="s">
        <v>125</v>
      </c>
      <c r="C151" s="50" t="s">
        <v>126</v>
      </c>
      <c r="D151" s="9"/>
      <c r="E151" s="66">
        <v>0.0</v>
      </c>
      <c r="F151" s="66">
        <v>0.0</v>
      </c>
      <c r="G151" s="66">
        <v>0.0</v>
      </c>
      <c r="H151" s="66">
        <v>0.0</v>
      </c>
      <c r="I151" s="66">
        <v>1.0</v>
      </c>
      <c r="J151" s="66">
        <v>0.0</v>
      </c>
      <c r="K151" s="66">
        <v>1.0</v>
      </c>
      <c r="L151" s="66">
        <v>0.0</v>
      </c>
      <c r="M151" s="66">
        <v>0.0</v>
      </c>
      <c r="N151" s="66">
        <v>0.0</v>
      </c>
      <c r="O151" s="66">
        <v>1.0</v>
      </c>
      <c r="P151" s="66">
        <v>1.0</v>
      </c>
      <c r="Q151" s="66">
        <v>0.0</v>
      </c>
      <c r="R151" s="66">
        <v>0.0</v>
      </c>
      <c r="S151" s="66">
        <v>0.0</v>
      </c>
      <c r="T151" s="66">
        <v>0.0</v>
      </c>
      <c r="U151" s="66">
        <v>1.0</v>
      </c>
      <c r="V151" s="66">
        <v>0.0</v>
      </c>
      <c r="W151" s="66">
        <v>0.0</v>
      </c>
      <c r="X151" s="6">
        <f t="shared" ref="X151:X153" si="42">SUM(E151:W151)</f>
        <v>5</v>
      </c>
    </row>
    <row r="152" ht="12.75" customHeight="1">
      <c r="A152" s="32" t="s">
        <v>38</v>
      </c>
      <c r="B152" s="51"/>
      <c r="C152" s="52" t="s">
        <v>127</v>
      </c>
      <c r="D152" s="53"/>
      <c r="E152" s="66">
        <v>0.0</v>
      </c>
      <c r="F152" s="66">
        <v>0.0</v>
      </c>
      <c r="G152" s="66">
        <v>0.0</v>
      </c>
      <c r="H152" s="66">
        <v>1.0</v>
      </c>
      <c r="I152" s="66">
        <v>0.0</v>
      </c>
      <c r="J152" s="66">
        <v>0.0</v>
      </c>
      <c r="K152" s="66">
        <v>1.0</v>
      </c>
      <c r="L152" s="66">
        <v>2.0</v>
      </c>
      <c r="M152" s="66">
        <v>1.0</v>
      </c>
      <c r="N152" s="66">
        <v>0.0</v>
      </c>
      <c r="O152" s="66">
        <v>1.0</v>
      </c>
      <c r="P152" s="66">
        <v>1.0</v>
      </c>
      <c r="Q152" s="66">
        <v>0.0</v>
      </c>
      <c r="R152" s="66">
        <v>0.0</v>
      </c>
      <c r="S152" s="66">
        <v>0.0</v>
      </c>
      <c r="T152" s="66">
        <v>1.0</v>
      </c>
      <c r="U152" s="66">
        <v>1.0</v>
      </c>
      <c r="V152" s="66">
        <v>1.0</v>
      </c>
      <c r="W152" s="66">
        <v>1.0</v>
      </c>
      <c r="X152" s="6">
        <f t="shared" si="42"/>
        <v>11</v>
      </c>
    </row>
    <row r="153" ht="12.75" customHeight="1">
      <c r="A153" s="13" t="s">
        <v>14</v>
      </c>
      <c r="B153" s="49" t="s">
        <v>45</v>
      </c>
      <c r="C153" s="8"/>
      <c r="D153" s="9"/>
      <c r="E153" s="54">
        <f t="shared" ref="E153:W153" si="43">SUM(E151:E152)</f>
        <v>0</v>
      </c>
      <c r="F153" s="54">
        <f t="shared" si="43"/>
        <v>0</v>
      </c>
      <c r="G153" s="54">
        <f t="shared" si="43"/>
        <v>0</v>
      </c>
      <c r="H153" s="54">
        <f t="shared" si="43"/>
        <v>1</v>
      </c>
      <c r="I153" s="54">
        <f t="shared" si="43"/>
        <v>1</v>
      </c>
      <c r="J153" s="54">
        <f t="shared" si="43"/>
        <v>0</v>
      </c>
      <c r="K153" s="54">
        <f t="shared" si="43"/>
        <v>2</v>
      </c>
      <c r="L153" s="54">
        <f t="shared" si="43"/>
        <v>2</v>
      </c>
      <c r="M153" s="54">
        <f t="shared" si="43"/>
        <v>1</v>
      </c>
      <c r="N153" s="54">
        <f t="shared" si="43"/>
        <v>0</v>
      </c>
      <c r="O153" s="54">
        <f t="shared" si="43"/>
        <v>2</v>
      </c>
      <c r="P153" s="54">
        <f t="shared" si="43"/>
        <v>2</v>
      </c>
      <c r="Q153" s="54">
        <f t="shared" si="43"/>
        <v>0</v>
      </c>
      <c r="R153" s="54">
        <f t="shared" si="43"/>
        <v>0</v>
      </c>
      <c r="S153" s="54">
        <f t="shared" si="43"/>
        <v>0</v>
      </c>
      <c r="T153" s="54">
        <f t="shared" si="43"/>
        <v>1</v>
      </c>
      <c r="U153" s="54">
        <f t="shared" si="43"/>
        <v>2</v>
      </c>
      <c r="V153" s="54">
        <f t="shared" si="43"/>
        <v>1</v>
      </c>
      <c r="W153" s="54">
        <f t="shared" si="43"/>
        <v>1</v>
      </c>
      <c r="X153" s="6">
        <f t="shared" si="42"/>
        <v>16</v>
      </c>
    </row>
    <row r="154" ht="12.75" customHeight="1">
      <c r="A154" s="55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6"/>
    </row>
    <row r="155" ht="12.75" customHeight="1">
      <c r="A155" s="32" t="s">
        <v>36</v>
      </c>
      <c r="B155" s="49" t="s">
        <v>128</v>
      </c>
      <c r="C155" s="50" t="s">
        <v>129</v>
      </c>
      <c r="D155" s="9"/>
      <c r="E155" s="66">
        <v>0.0</v>
      </c>
      <c r="F155" s="66">
        <v>0.0</v>
      </c>
      <c r="G155" s="66">
        <v>0.0</v>
      </c>
      <c r="H155" s="66">
        <v>0.0</v>
      </c>
      <c r="I155" s="66">
        <v>0.0</v>
      </c>
      <c r="J155" s="66">
        <v>0.0</v>
      </c>
      <c r="K155" s="66">
        <v>0.0</v>
      </c>
      <c r="L155" s="66">
        <v>0.0</v>
      </c>
      <c r="M155" s="66">
        <v>0.0</v>
      </c>
      <c r="N155" s="66">
        <v>0.0</v>
      </c>
      <c r="O155" s="66">
        <v>0.0</v>
      </c>
      <c r="P155" s="66">
        <v>0.0</v>
      </c>
      <c r="Q155" s="66">
        <v>0.0</v>
      </c>
      <c r="R155" s="66">
        <v>0.0</v>
      </c>
      <c r="S155" s="66">
        <v>0.0</v>
      </c>
      <c r="T155" s="66">
        <v>0.0</v>
      </c>
      <c r="U155" s="66">
        <v>0.0</v>
      </c>
      <c r="V155" s="66">
        <v>0.0</v>
      </c>
      <c r="W155" s="66">
        <v>0.0</v>
      </c>
      <c r="X155" s="6">
        <f t="shared" ref="X155:X159" si="44">SUM(E155:W155)</f>
        <v>0</v>
      </c>
    </row>
    <row r="156" ht="12.75" customHeight="1">
      <c r="A156" s="32"/>
      <c r="B156" s="49"/>
      <c r="C156" s="52" t="s">
        <v>130</v>
      </c>
      <c r="D156" s="61"/>
      <c r="E156" s="66">
        <v>0.0</v>
      </c>
      <c r="F156" s="66">
        <v>0.0</v>
      </c>
      <c r="G156" s="66">
        <v>0.0</v>
      </c>
      <c r="H156" s="66">
        <v>0.0</v>
      </c>
      <c r="I156" s="66">
        <v>0.0</v>
      </c>
      <c r="J156" s="66">
        <v>0.0</v>
      </c>
      <c r="K156" s="66">
        <v>0.0</v>
      </c>
      <c r="L156" s="66">
        <v>0.0</v>
      </c>
      <c r="M156" s="66">
        <v>0.0</v>
      </c>
      <c r="N156" s="66">
        <v>0.0</v>
      </c>
      <c r="O156" s="66">
        <v>0.0</v>
      </c>
      <c r="P156" s="66">
        <v>0.0</v>
      </c>
      <c r="Q156" s="66">
        <v>0.0</v>
      </c>
      <c r="R156" s="66">
        <v>0.0</v>
      </c>
      <c r="S156" s="66">
        <v>0.0</v>
      </c>
      <c r="T156" s="66">
        <v>0.0</v>
      </c>
      <c r="U156" s="66">
        <v>0.0</v>
      </c>
      <c r="V156" s="66">
        <v>0.0</v>
      </c>
      <c r="W156" s="66">
        <v>0.0</v>
      </c>
      <c r="X156" s="6">
        <f t="shared" si="44"/>
        <v>0</v>
      </c>
    </row>
    <row r="157" ht="12.75" customHeight="1">
      <c r="A157" s="32"/>
      <c r="B157" s="49"/>
      <c r="C157" s="52" t="s">
        <v>131</v>
      </c>
      <c r="D157" s="61"/>
      <c r="E157" s="66">
        <v>0.0</v>
      </c>
      <c r="F157" s="66">
        <v>0.0</v>
      </c>
      <c r="G157" s="66">
        <v>0.0</v>
      </c>
      <c r="H157" s="66">
        <v>0.0</v>
      </c>
      <c r="I157" s="66">
        <v>0.0</v>
      </c>
      <c r="J157" s="66">
        <v>0.0</v>
      </c>
      <c r="K157" s="66">
        <v>0.0</v>
      </c>
      <c r="L157" s="66">
        <v>0.0</v>
      </c>
      <c r="M157" s="66">
        <v>0.0</v>
      </c>
      <c r="N157" s="66">
        <v>0.0</v>
      </c>
      <c r="O157" s="66">
        <v>0.0</v>
      </c>
      <c r="P157" s="66">
        <v>0.0</v>
      </c>
      <c r="Q157" s="66">
        <v>0.0</v>
      </c>
      <c r="R157" s="66">
        <v>0.0</v>
      </c>
      <c r="S157" s="66">
        <v>0.0</v>
      </c>
      <c r="T157" s="66">
        <v>0.0</v>
      </c>
      <c r="U157" s="66">
        <v>0.0</v>
      </c>
      <c r="V157" s="66">
        <v>0.0</v>
      </c>
      <c r="W157" s="66">
        <v>0.0</v>
      </c>
      <c r="X157" s="6">
        <f t="shared" si="44"/>
        <v>0</v>
      </c>
    </row>
    <row r="158" ht="12.75" customHeight="1">
      <c r="A158" s="32"/>
      <c r="B158" s="49"/>
      <c r="C158" s="52" t="s">
        <v>132</v>
      </c>
      <c r="D158" s="61"/>
      <c r="E158" s="66">
        <v>0.0</v>
      </c>
      <c r="F158" s="66">
        <v>0.0</v>
      </c>
      <c r="G158" s="66">
        <v>0.0</v>
      </c>
      <c r="H158" s="66">
        <v>0.0</v>
      </c>
      <c r="I158" s="66">
        <v>0.0</v>
      </c>
      <c r="J158" s="66">
        <v>0.0</v>
      </c>
      <c r="K158" s="66">
        <v>0.0</v>
      </c>
      <c r="L158" s="66">
        <v>0.0</v>
      </c>
      <c r="M158" s="66">
        <v>0.0</v>
      </c>
      <c r="N158" s="66">
        <v>0.0</v>
      </c>
      <c r="O158" s="66">
        <v>0.0</v>
      </c>
      <c r="P158" s="66">
        <v>0.0</v>
      </c>
      <c r="Q158" s="66">
        <v>0.0</v>
      </c>
      <c r="R158" s="66">
        <v>0.0</v>
      </c>
      <c r="S158" s="66">
        <v>0.0</v>
      </c>
      <c r="T158" s="66">
        <v>0.0</v>
      </c>
      <c r="U158" s="66">
        <v>0.0</v>
      </c>
      <c r="V158" s="66">
        <v>0.0</v>
      </c>
      <c r="W158" s="66">
        <v>0.0</v>
      </c>
      <c r="X158" s="6">
        <f t="shared" si="44"/>
        <v>0</v>
      </c>
    </row>
    <row r="159" ht="12.75" customHeight="1">
      <c r="A159" s="13" t="s">
        <v>14</v>
      </c>
      <c r="B159" s="49" t="s">
        <v>45</v>
      </c>
      <c r="C159" s="8"/>
      <c r="D159" s="9"/>
      <c r="E159" s="54">
        <f t="shared" ref="E159:W159" si="45">SUM(E155:E158)</f>
        <v>0</v>
      </c>
      <c r="F159" s="54">
        <f t="shared" si="45"/>
        <v>0</v>
      </c>
      <c r="G159" s="54">
        <f t="shared" si="45"/>
        <v>0</v>
      </c>
      <c r="H159" s="54">
        <f t="shared" si="45"/>
        <v>0</v>
      </c>
      <c r="I159" s="54">
        <f t="shared" si="45"/>
        <v>0</v>
      </c>
      <c r="J159" s="54">
        <f t="shared" si="45"/>
        <v>0</v>
      </c>
      <c r="K159" s="54">
        <f t="shared" si="45"/>
        <v>0</v>
      </c>
      <c r="L159" s="54">
        <f t="shared" si="45"/>
        <v>0</v>
      </c>
      <c r="M159" s="54">
        <f t="shared" si="45"/>
        <v>0</v>
      </c>
      <c r="N159" s="54">
        <f t="shared" si="45"/>
        <v>0</v>
      </c>
      <c r="O159" s="54">
        <f t="shared" si="45"/>
        <v>0</v>
      </c>
      <c r="P159" s="54">
        <f t="shared" si="45"/>
        <v>0</v>
      </c>
      <c r="Q159" s="54">
        <f t="shared" si="45"/>
        <v>0</v>
      </c>
      <c r="R159" s="54">
        <f t="shared" si="45"/>
        <v>0</v>
      </c>
      <c r="S159" s="54">
        <f t="shared" si="45"/>
        <v>0</v>
      </c>
      <c r="T159" s="54">
        <f t="shared" si="45"/>
        <v>0</v>
      </c>
      <c r="U159" s="54">
        <f t="shared" si="45"/>
        <v>0</v>
      </c>
      <c r="V159" s="54">
        <f t="shared" si="45"/>
        <v>0</v>
      </c>
      <c r="W159" s="54">
        <f t="shared" si="45"/>
        <v>0</v>
      </c>
      <c r="X159" s="6">
        <f t="shared" si="44"/>
        <v>0</v>
      </c>
    </row>
    <row r="160" ht="12.75" customHeight="1">
      <c r="A160" s="55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6"/>
    </row>
    <row r="161" ht="12.75" customHeight="1">
      <c r="A161" s="32" t="s">
        <v>36</v>
      </c>
      <c r="B161" s="49" t="s">
        <v>133</v>
      </c>
      <c r="C161" s="50" t="s">
        <v>134</v>
      </c>
      <c r="D161" s="9"/>
      <c r="E161" s="66">
        <v>0.0</v>
      </c>
      <c r="F161" s="66">
        <v>0.0</v>
      </c>
      <c r="G161" s="66">
        <v>0.0</v>
      </c>
      <c r="H161" s="66">
        <v>0.0</v>
      </c>
      <c r="I161" s="66">
        <v>0.0</v>
      </c>
      <c r="J161" s="66">
        <v>0.0</v>
      </c>
      <c r="K161" s="66">
        <v>0.0</v>
      </c>
      <c r="L161" s="66">
        <v>0.0</v>
      </c>
      <c r="M161" s="66">
        <v>1.0</v>
      </c>
      <c r="N161" s="66">
        <v>3.0</v>
      </c>
      <c r="O161" s="66">
        <v>2.0</v>
      </c>
      <c r="P161" s="66">
        <v>0.0</v>
      </c>
      <c r="Q161" s="66">
        <v>0.0</v>
      </c>
      <c r="R161" s="66">
        <v>0.0</v>
      </c>
      <c r="S161" s="66">
        <v>0.0</v>
      </c>
      <c r="T161" s="66">
        <v>0.0</v>
      </c>
      <c r="U161" s="66">
        <v>0.0</v>
      </c>
      <c r="V161" s="66">
        <v>0.0</v>
      </c>
      <c r="W161" s="66">
        <v>0.0</v>
      </c>
      <c r="X161" s="6">
        <f t="shared" ref="X161:X168" si="46">SUM(E161:W161)</f>
        <v>6</v>
      </c>
    </row>
    <row r="162" ht="12.75" customHeight="1">
      <c r="A162" s="32" t="s">
        <v>38</v>
      </c>
      <c r="B162" s="51"/>
      <c r="C162" s="52" t="s">
        <v>135</v>
      </c>
      <c r="D162" s="53"/>
      <c r="E162" s="66">
        <v>0.0</v>
      </c>
      <c r="F162" s="66">
        <v>1.0</v>
      </c>
      <c r="G162" s="66">
        <v>0.0</v>
      </c>
      <c r="H162" s="66">
        <v>0.0</v>
      </c>
      <c r="I162" s="66">
        <v>1.0</v>
      </c>
      <c r="J162" s="66">
        <v>4.0</v>
      </c>
      <c r="K162" s="66">
        <v>0.0</v>
      </c>
      <c r="L162" s="66">
        <v>0.0</v>
      </c>
      <c r="M162" s="66">
        <v>1.0</v>
      </c>
      <c r="N162" s="66">
        <v>13.0</v>
      </c>
      <c r="O162" s="66">
        <v>0.0</v>
      </c>
      <c r="P162" s="66">
        <v>0.0</v>
      </c>
      <c r="Q162" s="66">
        <v>3.0</v>
      </c>
      <c r="R162" s="66">
        <v>0.0</v>
      </c>
      <c r="S162" s="66">
        <v>0.0</v>
      </c>
      <c r="T162" s="66">
        <v>1.0</v>
      </c>
      <c r="U162" s="66">
        <v>0.0</v>
      </c>
      <c r="V162" s="66">
        <v>0.0</v>
      </c>
      <c r="W162" s="66">
        <v>1.0</v>
      </c>
      <c r="X162" s="6">
        <f t="shared" si="46"/>
        <v>25</v>
      </c>
    </row>
    <row r="163" ht="12.75" customHeight="1">
      <c r="A163" s="18"/>
      <c r="B163" s="51"/>
      <c r="C163" s="52" t="s">
        <v>136</v>
      </c>
      <c r="D163" s="53"/>
      <c r="E163" s="66">
        <v>0.0</v>
      </c>
      <c r="F163" s="66">
        <v>0.0</v>
      </c>
      <c r="G163" s="66">
        <v>0.0</v>
      </c>
      <c r="H163" s="66">
        <v>0.0</v>
      </c>
      <c r="I163" s="66">
        <v>0.0</v>
      </c>
      <c r="J163" s="66">
        <v>0.0</v>
      </c>
      <c r="K163" s="66">
        <v>0.0</v>
      </c>
      <c r="L163" s="66">
        <v>2.0</v>
      </c>
      <c r="M163" s="66">
        <v>1.0</v>
      </c>
      <c r="N163" s="66">
        <v>0.0</v>
      </c>
      <c r="O163" s="66">
        <v>0.0</v>
      </c>
      <c r="P163" s="66">
        <v>0.0</v>
      </c>
      <c r="Q163" s="66">
        <v>1.0</v>
      </c>
      <c r="R163" s="66">
        <v>0.0</v>
      </c>
      <c r="S163" s="66">
        <v>0.0</v>
      </c>
      <c r="T163" s="66">
        <v>0.0</v>
      </c>
      <c r="U163" s="66">
        <v>0.0</v>
      </c>
      <c r="V163" s="66">
        <v>0.0</v>
      </c>
      <c r="W163" s="66">
        <v>0.0</v>
      </c>
      <c r="X163" s="6">
        <f t="shared" si="46"/>
        <v>4</v>
      </c>
    </row>
    <row r="164" ht="12.75" customHeight="1">
      <c r="A164" s="18"/>
      <c r="B164" s="51"/>
      <c r="C164" s="52" t="s">
        <v>137</v>
      </c>
      <c r="D164" s="53"/>
      <c r="E164" s="66">
        <v>0.0</v>
      </c>
      <c r="F164" s="66">
        <v>0.0</v>
      </c>
      <c r="G164" s="66">
        <v>0.0</v>
      </c>
      <c r="H164" s="66">
        <v>0.0</v>
      </c>
      <c r="I164" s="66">
        <v>0.0</v>
      </c>
      <c r="J164" s="66">
        <v>0.0</v>
      </c>
      <c r="K164" s="66">
        <v>0.0</v>
      </c>
      <c r="L164" s="66">
        <v>0.0</v>
      </c>
      <c r="M164" s="66">
        <v>0.0</v>
      </c>
      <c r="N164" s="66">
        <v>0.0</v>
      </c>
      <c r="O164" s="66">
        <v>0.0</v>
      </c>
      <c r="P164" s="66">
        <v>0.0</v>
      </c>
      <c r="Q164" s="66">
        <v>0.0</v>
      </c>
      <c r="R164" s="66">
        <v>0.0</v>
      </c>
      <c r="S164" s="66">
        <v>0.0</v>
      </c>
      <c r="T164" s="66">
        <v>0.0</v>
      </c>
      <c r="U164" s="66">
        <v>0.0</v>
      </c>
      <c r="V164" s="66">
        <v>0.0</v>
      </c>
      <c r="W164" s="66">
        <v>0.0</v>
      </c>
      <c r="X164" s="6">
        <f t="shared" si="46"/>
        <v>0</v>
      </c>
    </row>
    <row r="165" ht="12.75" customHeight="1">
      <c r="A165" s="18"/>
      <c r="B165" s="51"/>
      <c r="C165" s="52" t="s">
        <v>138</v>
      </c>
      <c r="D165" s="53"/>
      <c r="E165" s="66">
        <v>0.0</v>
      </c>
      <c r="F165" s="66">
        <v>0.0</v>
      </c>
      <c r="G165" s="66">
        <v>0.0</v>
      </c>
      <c r="H165" s="66">
        <v>0.0</v>
      </c>
      <c r="I165" s="66">
        <v>0.0</v>
      </c>
      <c r="J165" s="66">
        <v>0.0</v>
      </c>
      <c r="K165" s="66">
        <v>0.0</v>
      </c>
      <c r="L165" s="66">
        <v>0.0</v>
      </c>
      <c r="M165" s="66">
        <v>0.0</v>
      </c>
      <c r="N165" s="66">
        <v>0.0</v>
      </c>
      <c r="O165" s="66">
        <v>0.0</v>
      </c>
      <c r="P165" s="66">
        <v>0.0</v>
      </c>
      <c r="Q165" s="66">
        <v>0.0</v>
      </c>
      <c r="R165" s="66">
        <v>0.0</v>
      </c>
      <c r="S165" s="66">
        <v>0.0</v>
      </c>
      <c r="T165" s="66">
        <v>0.0</v>
      </c>
      <c r="U165" s="66">
        <v>0.0</v>
      </c>
      <c r="V165" s="66">
        <v>0.0</v>
      </c>
      <c r="W165" s="66">
        <v>0.0</v>
      </c>
      <c r="X165" s="6">
        <f t="shared" si="46"/>
        <v>0</v>
      </c>
    </row>
    <row r="166" ht="12.75" customHeight="1">
      <c r="A166" s="18"/>
      <c r="B166" s="51"/>
      <c r="C166" s="52" t="s">
        <v>139</v>
      </c>
      <c r="D166" s="53"/>
      <c r="E166" s="66">
        <v>0.0</v>
      </c>
      <c r="F166" s="66">
        <v>0.0</v>
      </c>
      <c r="G166" s="66">
        <v>0.0</v>
      </c>
      <c r="H166" s="66">
        <v>0.0</v>
      </c>
      <c r="I166" s="66">
        <v>0.0</v>
      </c>
      <c r="J166" s="66">
        <v>0.0</v>
      </c>
      <c r="K166" s="66">
        <v>0.0</v>
      </c>
      <c r="L166" s="66">
        <v>2.0</v>
      </c>
      <c r="M166" s="66">
        <v>0.0</v>
      </c>
      <c r="N166" s="66">
        <v>0.0</v>
      </c>
      <c r="O166" s="66">
        <v>0.0</v>
      </c>
      <c r="P166" s="66">
        <v>0.0</v>
      </c>
      <c r="Q166" s="66">
        <v>0.0</v>
      </c>
      <c r="R166" s="66">
        <v>0.0</v>
      </c>
      <c r="S166" s="66">
        <v>0.0</v>
      </c>
      <c r="T166" s="66">
        <v>0.0</v>
      </c>
      <c r="U166" s="66">
        <v>0.0</v>
      </c>
      <c r="V166" s="66">
        <v>0.0</v>
      </c>
      <c r="W166" s="66">
        <v>0.0</v>
      </c>
      <c r="X166" s="6">
        <f t="shared" si="46"/>
        <v>2</v>
      </c>
    </row>
    <row r="167" ht="12.75" customHeight="1">
      <c r="A167" s="18"/>
      <c r="B167" s="51"/>
      <c r="C167" s="52" t="s">
        <v>140</v>
      </c>
      <c r="D167" s="53"/>
      <c r="E167" s="66">
        <v>0.0</v>
      </c>
      <c r="F167" s="66">
        <v>0.0</v>
      </c>
      <c r="G167" s="66">
        <v>0.0</v>
      </c>
      <c r="H167" s="66">
        <v>0.0</v>
      </c>
      <c r="I167" s="66">
        <v>0.0</v>
      </c>
      <c r="J167" s="66">
        <v>0.0</v>
      </c>
      <c r="K167" s="66">
        <v>0.0</v>
      </c>
      <c r="L167" s="66">
        <v>0.0</v>
      </c>
      <c r="M167" s="66">
        <v>0.0</v>
      </c>
      <c r="N167" s="66">
        <v>1.0</v>
      </c>
      <c r="O167" s="66">
        <v>1.0</v>
      </c>
      <c r="P167" s="66">
        <v>0.0</v>
      </c>
      <c r="Q167" s="66">
        <v>0.0</v>
      </c>
      <c r="R167" s="66">
        <v>0.0</v>
      </c>
      <c r="S167" s="66">
        <v>0.0</v>
      </c>
      <c r="T167" s="66">
        <v>0.0</v>
      </c>
      <c r="U167" s="66">
        <v>0.0</v>
      </c>
      <c r="V167" s="66">
        <v>0.0</v>
      </c>
      <c r="W167" s="66">
        <v>0.0</v>
      </c>
      <c r="X167" s="6">
        <f t="shared" si="46"/>
        <v>2</v>
      </c>
    </row>
    <row r="168" ht="12.75" customHeight="1">
      <c r="A168" s="13" t="s">
        <v>14</v>
      </c>
      <c r="B168" s="49" t="s">
        <v>45</v>
      </c>
      <c r="C168" s="8"/>
      <c r="D168" s="9"/>
      <c r="E168" s="54">
        <f t="shared" ref="E168:W168" si="47">SUM(E161:E167)</f>
        <v>0</v>
      </c>
      <c r="F168" s="54">
        <f t="shared" si="47"/>
        <v>1</v>
      </c>
      <c r="G168" s="54">
        <f t="shared" si="47"/>
        <v>0</v>
      </c>
      <c r="H168" s="54">
        <f t="shared" si="47"/>
        <v>0</v>
      </c>
      <c r="I168" s="54">
        <f t="shared" si="47"/>
        <v>1</v>
      </c>
      <c r="J168" s="54">
        <f t="shared" si="47"/>
        <v>4</v>
      </c>
      <c r="K168" s="54">
        <f t="shared" si="47"/>
        <v>0</v>
      </c>
      <c r="L168" s="54">
        <f t="shared" si="47"/>
        <v>4</v>
      </c>
      <c r="M168" s="54">
        <f t="shared" si="47"/>
        <v>3</v>
      </c>
      <c r="N168" s="54">
        <f t="shared" si="47"/>
        <v>17</v>
      </c>
      <c r="O168" s="54">
        <f t="shared" si="47"/>
        <v>3</v>
      </c>
      <c r="P168" s="54">
        <f t="shared" si="47"/>
        <v>0</v>
      </c>
      <c r="Q168" s="54">
        <f t="shared" si="47"/>
        <v>4</v>
      </c>
      <c r="R168" s="54">
        <f t="shared" si="47"/>
        <v>0</v>
      </c>
      <c r="S168" s="54">
        <f t="shared" si="47"/>
        <v>0</v>
      </c>
      <c r="T168" s="54">
        <f t="shared" si="47"/>
        <v>1</v>
      </c>
      <c r="U168" s="54">
        <f t="shared" si="47"/>
        <v>0</v>
      </c>
      <c r="V168" s="54">
        <f t="shared" si="47"/>
        <v>0</v>
      </c>
      <c r="W168" s="54">
        <f t="shared" si="47"/>
        <v>1</v>
      </c>
      <c r="X168" s="6">
        <f t="shared" si="46"/>
        <v>39</v>
      </c>
    </row>
    <row r="169" ht="12.75" customHeight="1">
      <c r="A169" s="55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6"/>
    </row>
    <row r="170" ht="12.75" customHeight="1">
      <c r="A170" s="32" t="s">
        <v>36</v>
      </c>
      <c r="B170" s="49" t="s">
        <v>141</v>
      </c>
      <c r="C170" s="50" t="s">
        <v>142</v>
      </c>
      <c r="D170" s="9"/>
      <c r="E170" s="66">
        <v>0.0</v>
      </c>
      <c r="F170" s="66">
        <v>0.0</v>
      </c>
      <c r="G170" s="66">
        <v>0.0</v>
      </c>
      <c r="H170" s="66">
        <v>0.0</v>
      </c>
      <c r="I170" s="66">
        <v>0.0</v>
      </c>
      <c r="J170" s="66">
        <v>0.0</v>
      </c>
      <c r="K170" s="66">
        <v>0.0</v>
      </c>
      <c r="L170" s="66">
        <v>0.0</v>
      </c>
      <c r="M170" s="66">
        <v>0.0</v>
      </c>
      <c r="N170" s="66">
        <v>0.0</v>
      </c>
      <c r="O170" s="66">
        <v>0.0</v>
      </c>
      <c r="P170" s="66">
        <v>0.0</v>
      </c>
      <c r="Q170" s="66">
        <v>0.0</v>
      </c>
      <c r="R170" s="66">
        <v>0.0</v>
      </c>
      <c r="S170" s="66">
        <v>0.0</v>
      </c>
      <c r="T170" s="66">
        <v>0.0</v>
      </c>
      <c r="U170" s="66">
        <v>0.0</v>
      </c>
      <c r="V170" s="66">
        <v>0.0</v>
      </c>
      <c r="W170" s="66">
        <v>0.0</v>
      </c>
      <c r="X170" s="6">
        <f t="shared" ref="X170:X172" si="48">SUM(E170:W170)</f>
        <v>0</v>
      </c>
    </row>
    <row r="171" ht="12.75" customHeight="1">
      <c r="A171" s="32" t="s">
        <v>38</v>
      </c>
      <c r="B171" s="51"/>
      <c r="C171" s="52" t="s">
        <v>143</v>
      </c>
      <c r="D171" s="53"/>
      <c r="E171" s="66">
        <v>0.0</v>
      </c>
      <c r="F171" s="66">
        <v>2.0</v>
      </c>
      <c r="G171" s="66">
        <v>1.0</v>
      </c>
      <c r="H171" s="66">
        <v>0.0</v>
      </c>
      <c r="I171" s="66">
        <v>0.0</v>
      </c>
      <c r="J171" s="66">
        <v>0.0</v>
      </c>
      <c r="K171" s="66">
        <v>0.0</v>
      </c>
      <c r="L171" s="66">
        <v>0.0</v>
      </c>
      <c r="M171" s="66">
        <v>0.0</v>
      </c>
      <c r="N171" s="66">
        <v>0.0</v>
      </c>
      <c r="O171" s="66">
        <v>0.0</v>
      </c>
      <c r="P171" s="66">
        <v>0.0</v>
      </c>
      <c r="Q171" s="66">
        <v>0.0</v>
      </c>
      <c r="R171" s="66">
        <v>0.0</v>
      </c>
      <c r="S171" s="66">
        <v>0.0</v>
      </c>
      <c r="T171" s="66">
        <v>0.0</v>
      </c>
      <c r="U171" s="66">
        <v>0.0</v>
      </c>
      <c r="V171" s="66">
        <v>0.0</v>
      </c>
      <c r="W171" s="66">
        <v>0.0</v>
      </c>
      <c r="X171" s="6">
        <f t="shared" si="48"/>
        <v>3</v>
      </c>
    </row>
    <row r="172" ht="12.75" customHeight="1">
      <c r="A172" s="13" t="s">
        <v>14</v>
      </c>
      <c r="B172" s="49" t="s">
        <v>45</v>
      </c>
      <c r="C172" s="8"/>
      <c r="D172" s="9"/>
      <c r="E172" s="54">
        <f t="shared" ref="E172:W172" si="49">SUM(E170:E171)</f>
        <v>0</v>
      </c>
      <c r="F172" s="54">
        <f t="shared" si="49"/>
        <v>2</v>
      </c>
      <c r="G172" s="54">
        <f t="shared" si="49"/>
        <v>1</v>
      </c>
      <c r="H172" s="54">
        <f t="shared" si="49"/>
        <v>0</v>
      </c>
      <c r="I172" s="54">
        <f t="shared" si="49"/>
        <v>0</v>
      </c>
      <c r="J172" s="54">
        <f t="shared" si="49"/>
        <v>0</v>
      </c>
      <c r="K172" s="54">
        <f t="shared" si="49"/>
        <v>0</v>
      </c>
      <c r="L172" s="54">
        <f t="shared" si="49"/>
        <v>0</v>
      </c>
      <c r="M172" s="54">
        <f t="shared" si="49"/>
        <v>0</v>
      </c>
      <c r="N172" s="54">
        <f t="shared" si="49"/>
        <v>0</v>
      </c>
      <c r="O172" s="54">
        <f t="shared" si="49"/>
        <v>0</v>
      </c>
      <c r="P172" s="54">
        <f t="shared" si="49"/>
        <v>0</v>
      </c>
      <c r="Q172" s="54">
        <f t="shared" si="49"/>
        <v>0</v>
      </c>
      <c r="R172" s="54">
        <f t="shared" si="49"/>
        <v>0</v>
      </c>
      <c r="S172" s="54">
        <f t="shared" si="49"/>
        <v>0</v>
      </c>
      <c r="T172" s="54">
        <f t="shared" si="49"/>
        <v>0</v>
      </c>
      <c r="U172" s="54">
        <f t="shared" si="49"/>
        <v>0</v>
      </c>
      <c r="V172" s="54">
        <f t="shared" si="49"/>
        <v>0</v>
      </c>
      <c r="W172" s="54">
        <f t="shared" si="49"/>
        <v>0</v>
      </c>
      <c r="X172" s="6">
        <f t="shared" si="48"/>
        <v>3</v>
      </c>
    </row>
    <row r="173" ht="12.75" customHeight="1">
      <c r="A173" s="47"/>
      <c r="B173" s="46"/>
      <c r="C173" s="46"/>
      <c r="D173" s="27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6"/>
    </row>
    <row r="174" ht="12.75" customHeight="1">
      <c r="A174" s="44" t="s">
        <v>144</v>
      </c>
      <c r="B174" s="7" t="s">
        <v>145</v>
      </c>
      <c r="C174" s="8"/>
      <c r="D174" s="9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6"/>
    </row>
    <row r="175" ht="12.75" customHeight="1">
      <c r="A175" s="44"/>
      <c r="B175" s="62" t="s">
        <v>146</v>
      </c>
      <c r="C175" s="63" t="s">
        <v>147</v>
      </c>
      <c r="D175" s="9"/>
      <c r="E175" s="13">
        <f t="shared" ref="E175:W175" si="50">E52+E61+E70+E79+E88+E92+E98+E107+E111+E120+E124+E131+E140+E149+E153+E159+E168+E172</f>
        <v>214</v>
      </c>
      <c r="F175" s="13">
        <f t="shared" si="50"/>
        <v>222</v>
      </c>
      <c r="G175" s="13">
        <f t="shared" si="50"/>
        <v>212</v>
      </c>
      <c r="H175" s="13">
        <f t="shared" si="50"/>
        <v>209</v>
      </c>
      <c r="I175" s="13">
        <f t="shared" si="50"/>
        <v>227</v>
      </c>
      <c r="J175" s="13">
        <f t="shared" si="50"/>
        <v>210</v>
      </c>
      <c r="K175" s="13">
        <f t="shared" si="50"/>
        <v>191</v>
      </c>
      <c r="L175" s="13">
        <f t="shared" si="50"/>
        <v>233</v>
      </c>
      <c r="M175" s="13">
        <f t="shared" si="50"/>
        <v>214</v>
      </c>
      <c r="N175" s="13">
        <f t="shared" si="50"/>
        <v>181</v>
      </c>
      <c r="O175" s="13">
        <f t="shared" si="50"/>
        <v>120</v>
      </c>
      <c r="P175" s="13">
        <f t="shared" si="50"/>
        <v>141</v>
      </c>
      <c r="Q175" s="13">
        <f t="shared" si="50"/>
        <v>136</v>
      </c>
      <c r="R175" s="13">
        <f t="shared" si="50"/>
        <v>143</v>
      </c>
      <c r="S175" s="13">
        <f t="shared" si="50"/>
        <v>250</v>
      </c>
      <c r="T175" s="13">
        <f t="shared" si="50"/>
        <v>201</v>
      </c>
      <c r="U175" s="13">
        <f t="shared" si="50"/>
        <v>207</v>
      </c>
      <c r="V175" s="13">
        <f t="shared" si="50"/>
        <v>162</v>
      </c>
      <c r="W175" s="13">
        <f t="shared" si="50"/>
        <v>184</v>
      </c>
      <c r="X175" s="6">
        <f t="shared" ref="X175:X177" si="51">SUM(E175:W175)</f>
        <v>3657</v>
      </c>
    </row>
    <row r="176" ht="12.75" customHeight="1">
      <c r="A176" s="37"/>
      <c r="B176" s="62" t="s">
        <v>148</v>
      </c>
      <c r="C176" s="63" t="s">
        <v>149</v>
      </c>
      <c r="D176" s="9"/>
      <c r="E176" s="66">
        <v>10.0</v>
      </c>
      <c r="F176" s="66">
        <v>10.0</v>
      </c>
      <c r="G176" s="66">
        <v>17.0</v>
      </c>
      <c r="H176" s="66">
        <v>21.0</v>
      </c>
      <c r="I176" s="66">
        <v>7.0</v>
      </c>
      <c r="J176" s="66">
        <v>19.0</v>
      </c>
      <c r="K176" s="66">
        <v>14.0</v>
      </c>
      <c r="L176" s="66">
        <v>9.0</v>
      </c>
      <c r="M176" s="66">
        <v>19.0</v>
      </c>
      <c r="N176" s="66">
        <v>22.0</v>
      </c>
      <c r="O176" s="66">
        <v>16.0</v>
      </c>
      <c r="P176" s="66">
        <v>2.0</v>
      </c>
      <c r="Q176" s="66">
        <v>7.0</v>
      </c>
      <c r="R176" s="66">
        <v>7.0</v>
      </c>
      <c r="S176" s="66">
        <v>16.0</v>
      </c>
      <c r="T176" s="66">
        <v>25.0</v>
      </c>
      <c r="U176" s="66">
        <v>22.0</v>
      </c>
      <c r="V176" s="66">
        <v>5.0</v>
      </c>
      <c r="W176" s="66">
        <v>3.0</v>
      </c>
      <c r="X176" s="6">
        <f t="shared" si="51"/>
        <v>251</v>
      </c>
    </row>
    <row r="177" ht="12.75" customHeight="1">
      <c r="A177" s="42"/>
      <c r="B177" s="62" t="s">
        <v>150</v>
      </c>
      <c r="C177" s="63" t="s">
        <v>151</v>
      </c>
      <c r="D177" s="9"/>
      <c r="E177" s="28">
        <f t="shared" ref="E177:W177" si="52">SUM(E175:E176)</f>
        <v>224</v>
      </c>
      <c r="F177" s="28">
        <f t="shared" si="52"/>
        <v>232</v>
      </c>
      <c r="G177" s="28">
        <f t="shared" si="52"/>
        <v>229</v>
      </c>
      <c r="H177" s="28">
        <f t="shared" si="52"/>
        <v>230</v>
      </c>
      <c r="I177" s="28">
        <f t="shared" si="52"/>
        <v>234</v>
      </c>
      <c r="J177" s="28">
        <f t="shared" si="52"/>
        <v>229</v>
      </c>
      <c r="K177" s="28">
        <f t="shared" si="52"/>
        <v>205</v>
      </c>
      <c r="L177" s="28">
        <f t="shared" si="52"/>
        <v>242</v>
      </c>
      <c r="M177" s="28">
        <f t="shared" si="52"/>
        <v>233</v>
      </c>
      <c r="N177" s="28">
        <f t="shared" si="52"/>
        <v>203</v>
      </c>
      <c r="O177" s="28">
        <f t="shared" si="52"/>
        <v>136</v>
      </c>
      <c r="P177" s="28">
        <f t="shared" si="52"/>
        <v>143</v>
      </c>
      <c r="Q177" s="28">
        <f t="shared" si="52"/>
        <v>143</v>
      </c>
      <c r="R177" s="28">
        <f t="shared" si="52"/>
        <v>150</v>
      </c>
      <c r="S177" s="28">
        <f t="shared" si="52"/>
        <v>266</v>
      </c>
      <c r="T177" s="28">
        <f t="shared" si="52"/>
        <v>226</v>
      </c>
      <c r="U177" s="28">
        <f t="shared" si="52"/>
        <v>229</v>
      </c>
      <c r="V177" s="28">
        <f t="shared" si="52"/>
        <v>167</v>
      </c>
      <c r="W177" s="28">
        <f t="shared" si="52"/>
        <v>187</v>
      </c>
      <c r="X177" s="6">
        <f t="shared" si="51"/>
        <v>3908</v>
      </c>
    </row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1">
    <mergeCell ref="B39:C41"/>
    <mergeCell ref="A42:D42"/>
    <mergeCell ref="B38:D38"/>
    <mergeCell ref="C28:C30"/>
    <mergeCell ref="A31:D31"/>
    <mergeCell ref="B32:D32"/>
    <mergeCell ref="B33:D33"/>
    <mergeCell ref="B34:D34"/>
    <mergeCell ref="A37:D37"/>
    <mergeCell ref="C63:D63"/>
    <mergeCell ref="B70:D70"/>
    <mergeCell ref="C81:D81"/>
    <mergeCell ref="B79:D79"/>
    <mergeCell ref="B35:D35"/>
    <mergeCell ref="B36:D36"/>
    <mergeCell ref="B88:D88"/>
    <mergeCell ref="B52:D52"/>
    <mergeCell ref="C54:D54"/>
    <mergeCell ref="B61:D61"/>
    <mergeCell ref="C72:D72"/>
    <mergeCell ref="A44:D44"/>
    <mergeCell ref="B172:D172"/>
    <mergeCell ref="A173:D173"/>
    <mergeCell ref="B174:D174"/>
    <mergeCell ref="C175:D175"/>
    <mergeCell ref="C176:D176"/>
    <mergeCell ref="C177:D177"/>
    <mergeCell ref="B168:D168"/>
    <mergeCell ref="C126:D126"/>
    <mergeCell ref="B131:D131"/>
    <mergeCell ref="C109:D109"/>
    <mergeCell ref="B111:D111"/>
    <mergeCell ref="C113:D113"/>
    <mergeCell ref="B120:D120"/>
    <mergeCell ref="C122:D122"/>
    <mergeCell ref="B98:D98"/>
    <mergeCell ref="C151:D151"/>
    <mergeCell ref="B149:D149"/>
    <mergeCell ref="B12:D12"/>
    <mergeCell ref="A17:D17"/>
    <mergeCell ref="C133:D133"/>
    <mergeCell ref="C90:D90"/>
    <mergeCell ref="C91:D91"/>
    <mergeCell ref="C94:D94"/>
    <mergeCell ref="C100:D100"/>
    <mergeCell ref="B140:D140"/>
    <mergeCell ref="X12:X13"/>
    <mergeCell ref="B13:D13"/>
    <mergeCell ref="B14:C16"/>
    <mergeCell ref="B18:D18"/>
    <mergeCell ref="C45:D45"/>
    <mergeCell ref="E12:W12"/>
    <mergeCell ref="C170:D170"/>
    <mergeCell ref="B153:D153"/>
    <mergeCell ref="C155:D155"/>
    <mergeCell ref="B159:D159"/>
    <mergeCell ref="C161:D161"/>
    <mergeCell ref="B124:D124"/>
    <mergeCell ref="C142:D142"/>
    <mergeCell ref="B19:B21"/>
    <mergeCell ref="C19:C21"/>
    <mergeCell ref="B22:B24"/>
    <mergeCell ref="C22:C24"/>
    <mergeCell ref="B25:B27"/>
    <mergeCell ref="C25:C27"/>
    <mergeCell ref="B28:B30"/>
    <mergeCell ref="E37:I37"/>
    <mergeCell ref="E42:I42"/>
    <mergeCell ref="B43:D43"/>
    <mergeCell ref="B92:D92"/>
    <mergeCell ref="B107:D107"/>
  </mergeCells>
  <conditionalFormatting sqref="E30:T30">
    <cfRule type="expression" dxfId="0" priority="1">
      <formula>E30&lt;&gt;E62</formula>
    </cfRule>
  </conditionalFormatting>
  <conditionalFormatting sqref="E14:W15">
    <cfRule type="containsBlanks" dxfId="4" priority="2">
      <formula>LEN(TRIM(E14))=0</formula>
    </cfRule>
  </conditionalFormatting>
  <conditionalFormatting sqref="E19:W20">
    <cfRule type="containsBlanks" dxfId="4" priority="3">
      <formula>LEN(TRIM(E19))=0</formula>
    </cfRule>
  </conditionalFormatting>
  <conditionalFormatting sqref="E22:W23 E25:W26 E33:W33 E35:W35 E39:W40">
    <cfRule type="containsBlanks" dxfId="4" priority="4">
      <formula>LEN(TRIM(E22))=0</formula>
    </cfRule>
  </conditionalFormatting>
  <conditionalFormatting sqref="E30:W30">
    <cfRule type="expression" dxfId="0" priority="5">
      <formula>E30&lt;&gt;E34</formula>
    </cfRule>
  </conditionalFormatting>
  <conditionalFormatting sqref="E34:W34">
    <cfRule type="expression" dxfId="2" priority="6">
      <formula>E30&lt;&gt;E34</formula>
    </cfRule>
  </conditionalFormatting>
  <conditionalFormatting sqref="E34:W34">
    <cfRule type="expression" dxfId="5" priority="7">
      <formula>E30=E34</formula>
    </cfRule>
  </conditionalFormatting>
  <conditionalFormatting sqref="E34:W34">
    <cfRule type="expression" dxfId="0" priority="8">
      <formula>E34&lt;&gt;E30</formula>
    </cfRule>
  </conditionalFormatting>
  <conditionalFormatting sqref="U30:W30">
    <cfRule type="expression" dxfId="0" priority="9">
      <formula>U30&lt;&gt;U47</formula>
    </cfRule>
  </conditionalFormatting>
  <conditionalFormatting sqref="U34:W34">
    <cfRule type="expression" dxfId="0" priority="10">
      <formula>U34&lt;&gt;U47</formula>
    </cfRule>
  </conditionalFormatting>
  <conditionalFormatting sqref="E177:W177">
    <cfRule type="expression" dxfId="0" priority="11">
      <formula>E177&lt;&gt;E30</formula>
    </cfRule>
  </conditionalFormatting>
  <conditionalFormatting sqref="E177:W177">
    <cfRule type="expression" dxfId="0" priority="12">
      <formula>E177&lt;&gt;E34</formula>
    </cfRule>
  </conditionalFormatting>
  <conditionalFormatting sqref="E45:W51">
    <cfRule type="containsBlanks" dxfId="4" priority="13">
      <formula>LEN(TRIM(E45))=0</formula>
    </cfRule>
  </conditionalFormatting>
  <conditionalFormatting sqref="E54:W60">
    <cfRule type="containsBlanks" dxfId="4" priority="14">
      <formula>LEN(TRIM(E54))=0</formula>
    </cfRule>
  </conditionalFormatting>
  <conditionalFormatting sqref="E63:W69">
    <cfRule type="containsBlanks" dxfId="4" priority="15">
      <formula>LEN(TRIM(E63))=0</formula>
    </cfRule>
  </conditionalFormatting>
  <conditionalFormatting sqref="E72:W78">
    <cfRule type="containsBlanks" dxfId="4" priority="16">
      <formula>LEN(TRIM(E72))=0</formula>
    </cfRule>
  </conditionalFormatting>
  <conditionalFormatting sqref="E81:W87">
    <cfRule type="containsBlanks" dxfId="4" priority="17">
      <formula>LEN(TRIM(E81))=0</formula>
    </cfRule>
  </conditionalFormatting>
  <conditionalFormatting sqref="E100:W106">
    <cfRule type="containsBlanks" dxfId="4" priority="18">
      <formula>LEN(TRIM(E100))=0</formula>
    </cfRule>
  </conditionalFormatting>
  <conditionalFormatting sqref="E90:W91">
    <cfRule type="containsBlanks" dxfId="4" priority="19">
      <formula>LEN(TRIM(E90))=0</formula>
    </cfRule>
  </conditionalFormatting>
  <conditionalFormatting sqref="E94:W95">
    <cfRule type="containsBlanks" dxfId="4" priority="20">
      <formula>LEN(TRIM(E94))=0</formula>
    </cfRule>
  </conditionalFormatting>
  <conditionalFormatting sqref="E96:W97">
    <cfRule type="containsBlanks" dxfId="4" priority="21">
      <formula>LEN(TRIM(E96))=0</formula>
    </cfRule>
  </conditionalFormatting>
  <conditionalFormatting sqref="E109:W110">
    <cfRule type="containsBlanks" dxfId="4" priority="22">
      <formula>LEN(TRIM(E109))=0</formula>
    </cfRule>
  </conditionalFormatting>
  <conditionalFormatting sqref="E113:W119">
    <cfRule type="containsBlanks" dxfId="4" priority="23">
      <formula>LEN(TRIM(E113))=0</formula>
    </cfRule>
  </conditionalFormatting>
  <conditionalFormatting sqref="E133:W139">
    <cfRule type="containsBlanks" dxfId="4" priority="24">
      <formula>LEN(TRIM(E133))=0</formula>
    </cfRule>
  </conditionalFormatting>
  <conditionalFormatting sqref="E122:W123">
    <cfRule type="containsBlanks" dxfId="4" priority="25">
      <formula>LEN(TRIM(E122))=0</formula>
    </cfRule>
  </conditionalFormatting>
  <conditionalFormatting sqref="E126:W130">
    <cfRule type="containsBlanks" dxfId="4" priority="26">
      <formula>LEN(TRIM(E126))=0</formula>
    </cfRule>
  </conditionalFormatting>
  <conditionalFormatting sqref="E142:W148">
    <cfRule type="containsBlanks" dxfId="4" priority="27">
      <formula>LEN(TRIM(E142))=0</formula>
    </cfRule>
  </conditionalFormatting>
  <conditionalFormatting sqref="E152:W152">
    <cfRule type="containsBlanks" dxfId="4" priority="28">
      <formula>LEN(TRIM(E152))=0</formula>
    </cfRule>
  </conditionalFormatting>
  <conditionalFormatting sqref="E151:W151">
    <cfRule type="containsBlanks" dxfId="4" priority="29">
      <formula>LEN(TRIM(E151))=0</formula>
    </cfRule>
  </conditionalFormatting>
  <conditionalFormatting sqref="E155:W158">
    <cfRule type="containsBlanks" dxfId="4" priority="30">
      <formula>LEN(TRIM(E155))=0</formula>
    </cfRule>
  </conditionalFormatting>
  <conditionalFormatting sqref="E161:W163">
    <cfRule type="containsBlanks" dxfId="4" priority="31">
      <formula>LEN(TRIM(E161))=0</formula>
    </cfRule>
  </conditionalFormatting>
  <conditionalFormatting sqref="E164:W167">
    <cfRule type="containsBlanks" dxfId="4" priority="32">
      <formula>LEN(TRIM(E164))=0</formula>
    </cfRule>
  </conditionalFormatting>
  <conditionalFormatting sqref="E170:W170">
    <cfRule type="containsBlanks" dxfId="4" priority="33">
      <formula>LEN(TRIM(E170))=0</formula>
    </cfRule>
  </conditionalFormatting>
  <conditionalFormatting sqref="E171:W171">
    <cfRule type="containsBlanks" dxfId="4" priority="34">
      <formula>LEN(TRIM(E171))=0</formula>
    </cfRule>
  </conditionalFormatting>
  <conditionalFormatting sqref="E175:W175">
    <cfRule type="containsBlanks" dxfId="4" priority="35">
      <formula>LEN(TRIM(E175))=0</formula>
    </cfRule>
  </conditionalFormatting>
  <conditionalFormatting sqref="E176:W176">
    <cfRule type="containsBlanks" dxfId="4" priority="36">
      <formula>LEN(TRIM(E176))=0</formula>
    </cfRule>
  </conditionalFormatting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6" width="8.71"/>
    <col customWidth="1" min="17" max="17" width="11.0"/>
  </cols>
  <sheetData>
    <row r="1" ht="12.75" customHeight="1"/>
    <row r="2" ht="12.75" customHeight="1">
      <c r="C2" s="1" t="s">
        <v>0</v>
      </c>
      <c r="D2" s="1"/>
    </row>
    <row r="3" ht="12.75" customHeight="1">
      <c r="C3" s="1" t="s">
        <v>1</v>
      </c>
      <c r="D3" s="1" t="s">
        <v>2</v>
      </c>
    </row>
    <row r="4" ht="12.75" customHeight="1">
      <c r="C4" s="1" t="s">
        <v>3</v>
      </c>
      <c r="D4" s="1" t="s">
        <v>4</v>
      </c>
    </row>
    <row r="5" ht="12.75" customHeight="1">
      <c r="C5" s="1"/>
      <c r="D5" s="1"/>
    </row>
    <row r="6" ht="12.75" customHeight="1">
      <c r="C6" s="1"/>
      <c r="D6" s="1"/>
    </row>
    <row r="7" ht="12.75" customHeight="1">
      <c r="C7" s="1"/>
      <c r="D7" s="1"/>
    </row>
    <row r="8" ht="12.75" customHeight="1">
      <c r="C8" s="1"/>
      <c r="D8" s="1"/>
    </row>
    <row r="9" ht="12.75" customHeight="1">
      <c r="C9" s="1" t="s">
        <v>152</v>
      </c>
      <c r="D9" s="1"/>
    </row>
    <row r="10" ht="12.75" customHeight="1"/>
    <row r="11" ht="12.75" customHeight="1"/>
    <row r="12" ht="12.75" customHeight="1">
      <c r="A12" s="6" t="s">
        <v>5</v>
      </c>
      <c r="B12" s="7" t="s">
        <v>6</v>
      </c>
      <c r="C12" s="8"/>
      <c r="D12" s="8"/>
      <c r="E12" s="28"/>
      <c r="F12" s="8"/>
      <c r="G12" s="8"/>
      <c r="H12" s="8"/>
      <c r="I12" s="8"/>
      <c r="J12" s="8"/>
      <c r="K12" s="8"/>
      <c r="L12" s="8"/>
      <c r="M12" s="8"/>
      <c r="N12" s="8"/>
      <c r="O12" s="8"/>
      <c r="P12" s="9"/>
      <c r="Q12" s="39" t="s">
        <v>7</v>
      </c>
    </row>
    <row r="13" ht="12.75" customHeight="1">
      <c r="A13" s="13" t="s">
        <v>8</v>
      </c>
      <c r="B13" s="14" t="s">
        <v>9</v>
      </c>
      <c r="C13" s="8"/>
      <c r="D13" s="9"/>
      <c r="E13" s="42" t="s">
        <v>153</v>
      </c>
      <c r="F13" s="42" t="s">
        <v>154</v>
      </c>
      <c r="G13" s="42" t="s">
        <v>155</v>
      </c>
      <c r="H13" s="42" t="s">
        <v>156</v>
      </c>
      <c r="I13" s="42" t="s">
        <v>157</v>
      </c>
      <c r="J13" s="42" t="s">
        <v>158</v>
      </c>
      <c r="K13" s="42" t="s">
        <v>159</v>
      </c>
      <c r="L13" s="42" t="s">
        <v>160</v>
      </c>
      <c r="M13" s="42" t="s">
        <v>161</v>
      </c>
      <c r="N13" s="42" t="s">
        <v>162</v>
      </c>
      <c r="O13" s="42" t="s">
        <v>163</v>
      </c>
      <c r="P13" s="42" t="s">
        <v>164</v>
      </c>
      <c r="Q13" s="27"/>
    </row>
    <row r="14" ht="12.75" customHeight="1">
      <c r="A14" s="18"/>
      <c r="B14" s="19" t="s">
        <v>10</v>
      </c>
      <c r="C14" s="20"/>
      <c r="D14" s="13" t="s">
        <v>11</v>
      </c>
      <c r="E14" s="66">
        <v>147.0</v>
      </c>
      <c r="F14" s="66">
        <v>118.0</v>
      </c>
      <c r="G14" s="66">
        <v>145.0</v>
      </c>
      <c r="H14" s="66">
        <v>140.0</v>
      </c>
      <c r="I14" s="66">
        <v>140.0</v>
      </c>
      <c r="J14" s="66">
        <v>140.0</v>
      </c>
      <c r="K14" s="66">
        <v>140.0</v>
      </c>
      <c r="L14" s="66">
        <v>140.0</v>
      </c>
      <c r="M14" s="66">
        <v>125.0</v>
      </c>
      <c r="N14" s="66">
        <v>147.0</v>
      </c>
      <c r="O14" s="66">
        <v>127.0</v>
      </c>
      <c r="P14" s="66">
        <v>138.0</v>
      </c>
      <c r="Q14" s="6">
        <f t="shared" ref="Q14:Q16" si="1">SUM(E14:P14)</f>
        <v>1647</v>
      </c>
    </row>
    <row r="15" ht="12.75" customHeight="1">
      <c r="A15" s="18"/>
      <c r="B15" s="25"/>
      <c r="C15" s="26"/>
      <c r="D15" s="13" t="s">
        <v>12</v>
      </c>
      <c r="E15" s="66">
        <v>138.0</v>
      </c>
      <c r="F15" s="66">
        <v>136.0</v>
      </c>
      <c r="G15" s="66">
        <v>147.0</v>
      </c>
      <c r="H15" s="66">
        <v>147.0</v>
      </c>
      <c r="I15" s="66">
        <v>148.0</v>
      </c>
      <c r="J15" s="66">
        <v>142.0</v>
      </c>
      <c r="K15" s="66">
        <v>141.0</v>
      </c>
      <c r="L15" s="66">
        <v>133.0</v>
      </c>
      <c r="M15" s="66">
        <v>123.0</v>
      </c>
      <c r="N15" s="66">
        <v>138.0</v>
      </c>
      <c r="O15" s="66">
        <v>122.0</v>
      </c>
      <c r="P15" s="66">
        <v>130.0</v>
      </c>
      <c r="Q15" s="6">
        <f t="shared" si="1"/>
        <v>1645</v>
      </c>
    </row>
    <row r="16" ht="12.75" customHeight="1">
      <c r="A16" s="16"/>
      <c r="B16" s="15"/>
      <c r="C16" s="27"/>
      <c r="D16" s="6" t="s">
        <v>13</v>
      </c>
      <c r="E16" s="6">
        <f t="shared" ref="E16:P16" si="2">SUM(E14:E15)</f>
        <v>285</v>
      </c>
      <c r="F16" s="6">
        <f t="shared" si="2"/>
        <v>254</v>
      </c>
      <c r="G16" s="6">
        <f t="shared" si="2"/>
        <v>292</v>
      </c>
      <c r="H16" s="6">
        <f t="shared" si="2"/>
        <v>287</v>
      </c>
      <c r="I16" s="6">
        <f t="shared" si="2"/>
        <v>288</v>
      </c>
      <c r="J16" s="6">
        <f t="shared" si="2"/>
        <v>282</v>
      </c>
      <c r="K16" s="6">
        <f t="shared" si="2"/>
        <v>281</v>
      </c>
      <c r="L16" s="6">
        <f t="shared" si="2"/>
        <v>273</v>
      </c>
      <c r="M16" s="6">
        <f t="shared" si="2"/>
        <v>248</v>
      </c>
      <c r="N16" s="6">
        <f t="shared" si="2"/>
        <v>285</v>
      </c>
      <c r="O16" s="6">
        <f t="shared" si="2"/>
        <v>249</v>
      </c>
      <c r="P16" s="6">
        <f t="shared" si="2"/>
        <v>268</v>
      </c>
      <c r="Q16" s="6">
        <f t="shared" si="1"/>
        <v>3292</v>
      </c>
    </row>
    <row r="17" ht="12.75" customHeight="1">
      <c r="A17" s="21"/>
      <c r="B17" s="8"/>
      <c r="C17" s="8"/>
      <c r="D17" s="9"/>
      <c r="E17" s="13"/>
      <c r="F17" s="13"/>
      <c r="G17" s="13"/>
      <c r="H17" s="13"/>
      <c r="I17" s="13"/>
      <c r="J17" s="13"/>
      <c r="K17" s="13"/>
      <c r="L17" s="13"/>
      <c r="M17" s="13"/>
      <c r="N17" s="67"/>
      <c r="O17" s="67"/>
      <c r="P17" s="67"/>
      <c r="Q17" s="6"/>
    </row>
    <row r="18" ht="12.75" customHeight="1">
      <c r="A18" s="32" t="s">
        <v>14</v>
      </c>
      <c r="B18" s="14" t="s">
        <v>15</v>
      </c>
      <c r="C18" s="8"/>
      <c r="D18" s="9"/>
      <c r="E18" s="13"/>
      <c r="F18" s="13"/>
      <c r="G18" s="13"/>
      <c r="H18" s="13"/>
      <c r="I18" s="13"/>
      <c r="J18" s="13"/>
      <c r="K18" s="13"/>
      <c r="L18" s="13"/>
      <c r="M18" s="13"/>
      <c r="N18" s="67"/>
      <c r="O18" s="67"/>
      <c r="P18" s="67"/>
      <c r="Q18" s="6"/>
    </row>
    <row r="19" ht="12.75" customHeight="1">
      <c r="A19" s="32"/>
      <c r="B19" s="33" t="s">
        <v>16</v>
      </c>
      <c r="C19" s="34" t="s">
        <v>17</v>
      </c>
      <c r="D19" s="13" t="s">
        <v>11</v>
      </c>
      <c r="E19" s="66">
        <v>114.0</v>
      </c>
      <c r="F19" s="66">
        <v>93.0</v>
      </c>
      <c r="G19" s="66">
        <v>106.0</v>
      </c>
      <c r="H19" s="66">
        <v>107.0</v>
      </c>
      <c r="I19" s="66">
        <v>109.0</v>
      </c>
      <c r="J19" s="66">
        <v>108.0</v>
      </c>
      <c r="K19" s="66">
        <v>100.0</v>
      </c>
      <c r="L19" s="66">
        <v>105.0</v>
      </c>
      <c r="M19" s="66">
        <v>94.0</v>
      </c>
      <c r="N19" s="66">
        <v>102.0</v>
      </c>
      <c r="O19" s="66">
        <v>93.0</v>
      </c>
      <c r="P19" s="66">
        <v>101.0</v>
      </c>
      <c r="Q19" s="6">
        <f t="shared" ref="Q19:Q30" si="3">SUM(E19:P19)</f>
        <v>1232</v>
      </c>
    </row>
    <row r="20" ht="12.75" customHeight="1">
      <c r="A20" s="35"/>
      <c r="B20" s="26"/>
      <c r="C20" s="36"/>
      <c r="D20" s="13" t="s">
        <v>12</v>
      </c>
      <c r="E20" s="66">
        <v>112.0</v>
      </c>
      <c r="F20" s="66">
        <v>109.0</v>
      </c>
      <c r="G20" s="66">
        <v>115.0</v>
      </c>
      <c r="H20" s="66">
        <v>113.0</v>
      </c>
      <c r="I20" s="66">
        <v>108.0</v>
      </c>
      <c r="J20" s="66">
        <v>115.0</v>
      </c>
      <c r="K20" s="66">
        <v>105.0</v>
      </c>
      <c r="L20" s="66">
        <v>108.0</v>
      </c>
      <c r="M20" s="66">
        <v>86.0</v>
      </c>
      <c r="N20" s="66">
        <v>104.0</v>
      </c>
      <c r="O20" s="66">
        <v>92.0</v>
      </c>
      <c r="P20" s="66">
        <v>102.0</v>
      </c>
      <c r="Q20" s="6">
        <f t="shared" si="3"/>
        <v>1269</v>
      </c>
    </row>
    <row r="21" ht="12.75" customHeight="1">
      <c r="A21" s="37"/>
      <c r="B21" s="27"/>
      <c r="C21" s="38"/>
      <c r="D21" s="6" t="s">
        <v>13</v>
      </c>
      <c r="E21" s="6">
        <f t="shared" ref="E21:P21" si="4">SUM(E19:E20)</f>
        <v>226</v>
      </c>
      <c r="F21" s="6">
        <f t="shared" si="4"/>
        <v>202</v>
      </c>
      <c r="G21" s="6">
        <f t="shared" si="4"/>
        <v>221</v>
      </c>
      <c r="H21" s="6">
        <f t="shared" si="4"/>
        <v>220</v>
      </c>
      <c r="I21" s="6">
        <f t="shared" si="4"/>
        <v>217</v>
      </c>
      <c r="J21" s="6">
        <f t="shared" si="4"/>
        <v>223</v>
      </c>
      <c r="K21" s="6">
        <f t="shared" si="4"/>
        <v>205</v>
      </c>
      <c r="L21" s="6">
        <f t="shared" si="4"/>
        <v>213</v>
      </c>
      <c r="M21" s="6">
        <f t="shared" si="4"/>
        <v>180</v>
      </c>
      <c r="N21" s="6">
        <f t="shared" si="4"/>
        <v>206</v>
      </c>
      <c r="O21" s="6">
        <f t="shared" si="4"/>
        <v>185</v>
      </c>
      <c r="P21" s="6">
        <f t="shared" si="4"/>
        <v>203</v>
      </c>
      <c r="Q21" s="6">
        <f t="shared" si="3"/>
        <v>2501</v>
      </c>
    </row>
    <row r="22" ht="12.75" customHeight="1">
      <c r="A22" s="35"/>
      <c r="B22" s="33" t="s">
        <v>18</v>
      </c>
      <c r="C22" s="34" t="s">
        <v>19</v>
      </c>
      <c r="D22" s="13" t="s">
        <v>11</v>
      </c>
      <c r="E22" s="66">
        <v>0.0</v>
      </c>
      <c r="F22" s="66">
        <v>0.0</v>
      </c>
      <c r="G22" s="66">
        <v>0.0</v>
      </c>
      <c r="H22" s="66">
        <v>0.0</v>
      </c>
      <c r="I22" s="66">
        <v>0.0</v>
      </c>
      <c r="J22" s="66">
        <v>0.0</v>
      </c>
      <c r="K22" s="66">
        <v>0.0</v>
      </c>
      <c r="L22" s="66">
        <v>0.0</v>
      </c>
      <c r="M22" s="66">
        <v>0.0</v>
      </c>
      <c r="N22" s="66">
        <v>1.0</v>
      </c>
      <c r="O22" s="66">
        <v>0.0</v>
      </c>
      <c r="P22" s="66">
        <v>0.0</v>
      </c>
      <c r="Q22" s="6">
        <f t="shared" si="3"/>
        <v>1</v>
      </c>
    </row>
    <row r="23" ht="12.75" customHeight="1">
      <c r="A23" s="35"/>
      <c r="B23" s="26"/>
      <c r="C23" s="36"/>
      <c r="D23" s="13" t="s">
        <v>12</v>
      </c>
      <c r="E23" s="66">
        <v>0.0</v>
      </c>
      <c r="F23" s="66">
        <v>0.0</v>
      </c>
      <c r="G23" s="66">
        <v>0.0</v>
      </c>
      <c r="H23" s="66">
        <v>0.0</v>
      </c>
      <c r="I23" s="66">
        <v>0.0</v>
      </c>
      <c r="J23" s="66">
        <v>0.0</v>
      </c>
      <c r="K23" s="66">
        <v>0.0</v>
      </c>
      <c r="L23" s="66">
        <v>0.0</v>
      </c>
      <c r="M23" s="66">
        <v>0.0</v>
      </c>
      <c r="N23" s="66">
        <v>0.0</v>
      </c>
      <c r="O23" s="66">
        <v>0.0</v>
      </c>
      <c r="P23" s="66">
        <v>0.0</v>
      </c>
      <c r="Q23" s="6">
        <f t="shared" si="3"/>
        <v>0</v>
      </c>
    </row>
    <row r="24" ht="12.75" customHeight="1">
      <c r="A24" s="37"/>
      <c r="B24" s="27"/>
      <c r="C24" s="38"/>
      <c r="D24" s="6" t="s">
        <v>13</v>
      </c>
      <c r="E24" s="6">
        <f t="shared" ref="E24:P24" si="5">SUM(E22:E23)</f>
        <v>0</v>
      </c>
      <c r="F24" s="6">
        <f t="shared" si="5"/>
        <v>0</v>
      </c>
      <c r="G24" s="6">
        <f t="shared" si="5"/>
        <v>0</v>
      </c>
      <c r="H24" s="6">
        <f t="shared" si="5"/>
        <v>0</v>
      </c>
      <c r="I24" s="6">
        <f t="shared" si="5"/>
        <v>0</v>
      </c>
      <c r="J24" s="6">
        <f t="shared" si="5"/>
        <v>0</v>
      </c>
      <c r="K24" s="6">
        <f t="shared" si="5"/>
        <v>0</v>
      </c>
      <c r="L24" s="6">
        <f t="shared" si="5"/>
        <v>0</v>
      </c>
      <c r="M24" s="6">
        <f t="shared" si="5"/>
        <v>0</v>
      </c>
      <c r="N24" s="6">
        <f t="shared" si="5"/>
        <v>1</v>
      </c>
      <c r="O24" s="6">
        <f t="shared" si="5"/>
        <v>0</v>
      </c>
      <c r="P24" s="6">
        <f t="shared" si="5"/>
        <v>0</v>
      </c>
      <c r="Q24" s="6">
        <f t="shared" si="3"/>
        <v>1</v>
      </c>
    </row>
    <row r="25" ht="12.75" customHeight="1">
      <c r="A25" s="35"/>
      <c r="B25" s="33" t="s">
        <v>20</v>
      </c>
      <c r="C25" s="34" t="s">
        <v>21</v>
      </c>
      <c r="D25" s="13" t="s">
        <v>11</v>
      </c>
      <c r="E25" s="66">
        <v>0.0</v>
      </c>
      <c r="F25" s="66">
        <v>0.0</v>
      </c>
      <c r="G25" s="66">
        <v>1.0</v>
      </c>
      <c r="H25" s="66">
        <v>1.0</v>
      </c>
      <c r="I25" s="66">
        <v>2.0</v>
      </c>
      <c r="J25" s="66">
        <v>2.0</v>
      </c>
      <c r="K25" s="66">
        <v>1.0</v>
      </c>
      <c r="L25" s="66">
        <v>0.0</v>
      </c>
      <c r="M25" s="66">
        <v>0.0</v>
      </c>
      <c r="N25" s="66">
        <v>0.0</v>
      </c>
      <c r="O25" s="66">
        <v>0.0</v>
      </c>
      <c r="P25" s="66">
        <v>1.0</v>
      </c>
      <c r="Q25" s="6">
        <f t="shared" si="3"/>
        <v>8</v>
      </c>
    </row>
    <row r="26" ht="12.75" customHeight="1">
      <c r="A26" s="35"/>
      <c r="B26" s="26"/>
      <c r="C26" s="36"/>
      <c r="D26" s="13" t="s">
        <v>12</v>
      </c>
      <c r="E26" s="66">
        <v>0.0</v>
      </c>
      <c r="F26" s="66">
        <v>3.0</v>
      </c>
      <c r="G26" s="66">
        <v>1.0</v>
      </c>
      <c r="H26" s="66">
        <v>1.0</v>
      </c>
      <c r="I26" s="66">
        <v>2.0</v>
      </c>
      <c r="J26" s="66">
        <v>2.0</v>
      </c>
      <c r="K26" s="66">
        <v>0.0</v>
      </c>
      <c r="L26" s="66">
        <v>0.0</v>
      </c>
      <c r="M26" s="66">
        <v>0.0</v>
      </c>
      <c r="N26" s="66">
        <v>2.0</v>
      </c>
      <c r="O26" s="66">
        <v>1.0</v>
      </c>
      <c r="P26" s="66">
        <v>0.0</v>
      </c>
      <c r="Q26" s="6">
        <f t="shared" si="3"/>
        <v>12</v>
      </c>
    </row>
    <row r="27" ht="12.75" customHeight="1">
      <c r="A27" s="37"/>
      <c r="B27" s="27"/>
      <c r="C27" s="38"/>
      <c r="D27" s="6" t="s">
        <v>13</v>
      </c>
      <c r="E27" s="6">
        <f t="shared" ref="E27:P27" si="6">SUM(E25:E26)</f>
        <v>0</v>
      </c>
      <c r="F27" s="6">
        <f t="shared" si="6"/>
        <v>3</v>
      </c>
      <c r="G27" s="6">
        <f t="shared" si="6"/>
        <v>2</v>
      </c>
      <c r="H27" s="6">
        <f t="shared" si="6"/>
        <v>2</v>
      </c>
      <c r="I27" s="6">
        <f t="shared" si="6"/>
        <v>4</v>
      </c>
      <c r="J27" s="6">
        <f t="shared" si="6"/>
        <v>4</v>
      </c>
      <c r="K27" s="6">
        <f t="shared" si="6"/>
        <v>1</v>
      </c>
      <c r="L27" s="6">
        <f t="shared" si="6"/>
        <v>0</v>
      </c>
      <c r="M27" s="6">
        <f t="shared" si="6"/>
        <v>0</v>
      </c>
      <c r="N27" s="6">
        <f t="shared" si="6"/>
        <v>2</v>
      </c>
      <c r="O27" s="6">
        <f t="shared" si="6"/>
        <v>1</v>
      </c>
      <c r="P27" s="6">
        <f t="shared" si="6"/>
        <v>1</v>
      </c>
      <c r="Q27" s="6">
        <f t="shared" si="3"/>
        <v>20</v>
      </c>
    </row>
    <row r="28" ht="12.75" customHeight="1">
      <c r="A28" s="37"/>
      <c r="B28" s="39" t="s">
        <v>22</v>
      </c>
      <c r="C28" s="40" t="s">
        <v>23</v>
      </c>
      <c r="D28" s="6" t="s">
        <v>11</v>
      </c>
      <c r="E28" s="6">
        <f t="shared" ref="E28:P28" si="7">SUM(E19,E22,E25)</f>
        <v>114</v>
      </c>
      <c r="F28" s="6">
        <f t="shared" si="7"/>
        <v>93</v>
      </c>
      <c r="G28" s="6">
        <f t="shared" si="7"/>
        <v>107</v>
      </c>
      <c r="H28" s="6">
        <f t="shared" si="7"/>
        <v>108</v>
      </c>
      <c r="I28" s="6">
        <f t="shared" si="7"/>
        <v>111</v>
      </c>
      <c r="J28" s="6">
        <f t="shared" si="7"/>
        <v>110</v>
      </c>
      <c r="K28" s="6">
        <f t="shared" si="7"/>
        <v>101</v>
      </c>
      <c r="L28" s="6">
        <f t="shared" si="7"/>
        <v>105</v>
      </c>
      <c r="M28" s="6">
        <f t="shared" si="7"/>
        <v>94</v>
      </c>
      <c r="N28" s="6">
        <f t="shared" si="7"/>
        <v>103</v>
      </c>
      <c r="O28" s="6">
        <f t="shared" si="7"/>
        <v>93</v>
      </c>
      <c r="P28" s="6">
        <f t="shared" si="7"/>
        <v>102</v>
      </c>
      <c r="Q28" s="6">
        <f t="shared" si="3"/>
        <v>1241</v>
      </c>
    </row>
    <row r="29" ht="12.75" customHeight="1">
      <c r="A29" s="37"/>
      <c r="B29" s="26"/>
      <c r="C29" s="36"/>
      <c r="D29" s="6" t="s">
        <v>12</v>
      </c>
      <c r="E29" s="6">
        <f t="shared" ref="E29:P29" si="8">SUM(E20,E23,E26)</f>
        <v>112</v>
      </c>
      <c r="F29" s="6">
        <f t="shared" si="8"/>
        <v>112</v>
      </c>
      <c r="G29" s="6">
        <f t="shared" si="8"/>
        <v>116</v>
      </c>
      <c r="H29" s="6">
        <f t="shared" si="8"/>
        <v>114</v>
      </c>
      <c r="I29" s="6">
        <f t="shared" si="8"/>
        <v>110</v>
      </c>
      <c r="J29" s="6">
        <f t="shared" si="8"/>
        <v>117</v>
      </c>
      <c r="K29" s="6">
        <f t="shared" si="8"/>
        <v>105</v>
      </c>
      <c r="L29" s="6">
        <f t="shared" si="8"/>
        <v>108</v>
      </c>
      <c r="M29" s="6">
        <f t="shared" si="8"/>
        <v>86</v>
      </c>
      <c r="N29" s="6">
        <f t="shared" si="8"/>
        <v>106</v>
      </c>
      <c r="O29" s="6">
        <f t="shared" si="8"/>
        <v>93</v>
      </c>
      <c r="P29" s="6">
        <f t="shared" si="8"/>
        <v>102</v>
      </c>
      <c r="Q29" s="6">
        <f t="shared" si="3"/>
        <v>1281</v>
      </c>
    </row>
    <row r="30" ht="12.75" customHeight="1">
      <c r="A30" s="37"/>
      <c r="B30" s="27"/>
      <c r="C30" s="38"/>
      <c r="D30" s="6" t="s">
        <v>13</v>
      </c>
      <c r="E30" s="6">
        <f t="shared" ref="E30:P30" si="9">SUM(E28:E29)</f>
        <v>226</v>
      </c>
      <c r="F30" s="6">
        <f t="shared" si="9"/>
        <v>205</v>
      </c>
      <c r="G30" s="6">
        <f t="shared" si="9"/>
        <v>223</v>
      </c>
      <c r="H30" s="6">
        <f t="shared" si="9"/>
        <v>222</v>
      </c>
      <c r="I30" s="6">
        <f t="shared" si="9"/>
        <v>221</v>
      </c>
      <c r="J30" s="6">
        <f t="shared" si="9"/>
        <v>227</v>
      </c>
      <c r="K30" s="6">
        <f t="shared" si="9"/>
        <v>206</v>
      </c>
      <c r="L30" s="6">
        <f t="shared" si="9"/>
        <v>213</v>
      </c>
      <c r="M30" s="6">
        <f t="shared" si="9"/>
        <v>180</v>
      </c>
      <c r="N30" s="6">
        <f t="shared" si="9"/>
        <v>209</v>
      </c>
      <c r="O30" s="6">
        <f t="shared" si="9"/>
        <v>186</v>
      </c>
      <c r="P30" s="6">
        <f t="shared" si="9"/>
        <v>204</v>
      </c>
      <c r="Q30" s="6">
        <f t="shared" si="3"/>
        <v>2522</v>
      </c>
    </row>
    <row r="31" ht="12.75" customHeight="1">
      <c r="A31" s="21"/>
      <c r="B31" s="8"/>
      <c r="C31" s="8"/>
      <c r="D31" s="9"/>
      <c r="E31" s="13"/>
      <c r="F31" s="13"/>
      <c r="G31" s="13"/>
      <c r="H31" s="13"/>
      <c r="I31" s="13"/>
      <c r="J31" s="13"/>
      <c r="K31" s="13"/>
      <c r="L31" s="13"/>
      <c r="M31" s="13"/>
      <c r="N31" s="67"/>
      <c r="O31" s="67"/>
      <c r="P31" s="67"/>
      <c r="Q31" s="6"/>
    </row>
    <row r="32" ht="12.75" customHeight="1">
      <c r="A32" s="42" t="s">
        <v>24</v>
      </c>
      <c r="B32" s="7" t="s">
        <v>25</v>
      </c>
      <c r="C32" s="8"/>
      <c r="D32" s="9"/>
      <c r="E32" s="6"/>
      <c r="F32" s="6"/>
      <c r="G32" s="6"/>
      <c r="H32" s="6"/>
      <c r="I32" s="6"/>
      <c r="J32" s="6"/>
      <c r="K32" s="6"/>
      <c r="L32" s="6"/>
      <c r="M32" s="6"/>
      <c r="N32" s="69"/>
      <c r="O32" s="69"/>
      <c r="P32" s="69"/>
      <c r="Q32" s="6"/>
    </row>
    <row r="33" ht="12.75" customHeight="1">
      <c r="A33" s="13">
        <v>1.0</v>
      </c>
      <c r="B33" s="14" t="s">
        <v>26</v>
      </c>
      <c r="C33" s="8"/>
      <c r="D33" s="9"/>
      <c r="E33" s="66">
        <v>271.0</v>
      </c>
      <c r="F33" s="66">
        <v>259.0</v>
      </c>
      <c r="G33" s="66">
        <v>288.0</v>
      </c>
      <c r="H33" s="66">
        <v>293.0</v>
      </c>
      <c r="I33" s="66">
        <v>294.0</v>
      </c>
      <c r="J33" s="66">
        <v>288.0</v>
      </c>
      <c r="K33" s="66">
        <v>287.0</v>
      </c>
      <c r="L33" s="66">
        <v>279.0</v>
      </c>
      <c r="M33" s="66">
        <v>253.0</v>
      </c>
      <c r="N33" s="66">
        <v>291.0</v>
      </c>
      <c r="O33" s="66">
        <v>253.0</v>
      </c>
      <c r="P33" s="66">
        <v>274.0</v>
      </c>
      <c r="Q33" s="6">
        <f t="shared" ref="Q33:Q36" si="10">SUM(E33:P33)</f>
        <v>3330</v>
      </c>
    </row>
    <row r="34" ht="12.75" customHeight="1">
      <c r="A34" s="13">
        <v>2.0</v>
      </c>
      <c r="B34" s="14" t="s">
        <v>27</v>
      </c>
      <c r="C34" s="8"/>
      <c r="D34" s="9"/>
      <c r="E34" s="72">
        <v>226.0</v>
      </c>
      <c r="F34" s="72">
        <v>205.0</v>
      </c>
      <c r="G34" s="72">
        <v>223.0</v>
      </c>
      <c r="H34" s="72">
        <v>222.0</v>
      </c>
      <c r="I34" s="72">
        <v>221.0</v>
      </c>
      <c r="J34" s="72">
        <v>227.0</v>
      </c>
      <c r="K34" s="72">
        <v>206.0</v>
      </c>
      <c r="L34" s="72">
        <v>213.0</v>
      </c>
      <c r="M34" s="72">
        <v>180.0</v>
      </c>
      <c r="N34" s="72">
        <v>209.0</v>
      </c>
      <c r="O34" s="72">
        <v>186.0</v>
      </c>
      <c r="P34" s="72">
        <v>204.0</v>
      </c>
      <c r="Q34" s="6">
        <f t="shared" si="10"/>
        <v>2522</v>
      </c>
    </row>
    <row r="35" ht="12.75" customHeight="1">
      <c r="A35" s="13">
        <v>3.0</v>
      </c>
      <c r="B35" s="14" t="s">
        <v>28</v>
      </c>
      <c r="C35" s="8"/>
      <c r="D35" s="9"/>
      <c r="E35" s="66">
        <v>0.0</v>
      </c>
      <c r="F35" s="66">
        <v>0.0</v>
      </c>
      <c r="G35" s="66">
        <v>0.0</v>
      </c>
      <c r="H35" s="66">
        <v>0.0</v>
      </c>
      <c r="I35" s="66">
        <v>0.0</v>
      </c>
      <c r="J35" s="66">
        <v>1.0</v>
      </c>
      <c r="K35" s="66">
        <v>0.0</v>
      </c>
      <c r="L35" s="66">
        <v>0.0</v>
      </c>
      <c r="M35" s="66">
        <v>0.0</v>
      </c>
      <c r="N35" s="66">
        <v>0.0</v>
      </c>
      <c r="O35" s="66">
        <v>0.0</v>
      </c>
      <c r="P35" s="66">
        <v>2.0</v>
      </c>
      <c r="Q35" s="6">
        <f t="shared" si="10"/>
        <v>3</v>
      </c>
    </row>
    <row r="36" ht="12.75" customHeight="1">
      <c r="A36" s="13">
        <v>4.0</v>
      </c>
      <c r="B36" s="14" t="s">
        <v>29</v>
      </c>
      <c r="C36" s="8"/>
      <c r="D36" s="9"/>
      <c r="E36" s="6">
        <f t="shared" ref="E36:P36" si="11">E33-(E34+E35)</f>
        <v>45</v>
      </c>
      <c r="F36" s="6">
        <f t="shared" si="11"/>
        <v>54</v>
      </c>
      <c r="G36" s="6">
        <f t="shared" si="11"/>
        <v>65</v>
      </c>
      <c r="H36" s="6">
        <f t="shared" si="11"/>
        <v>71</v>
      </c>
      <c r="I36" s="6">
        <f t="shared" si="11"/>
        <v>73</v>
      </c>
      <c r="J36" s="6">
        <f t="shared" si="11"/>
        <v>60</v>
      </c>
      <c r="K36" s="6">
        <f t="shared" si="11"/>
        <v>81</v>
      </c>
      <c r="L36" s="6">
        <f t="shared" si="11"/>
        <v>66</v>
      </c>
      <c r="M36" s="6">
        <f t="shared" si="11"/>
        <v>73</v>
      </c>
      <c r="N36" s="6">
        <f t="shared" si="11"/>
        <v>82</v>
      </c>
      <c r="O36" s="6">
        <f t="shared" si="11"/>
        <v>67</v>
      </c>
      <c r="P36" s="6">
        <f t="shared" si="11"/>
        <v>68</v>
      </c>
      <c r="Q36" s="6">
        <f t="shared" si="10"/>
        <v>805</v>
      </c>
    </row>
    <row r="37" ht="12.75" customHeight="1">
      <c r="A37" s="21"/>
      <c r="B37" s="8"/>
      <c r="C37" s="8"/>
      <c r="D37" s="8"/>
      <c r="E37" s="21"/>
      <c r="F37" s="8"/>
      <c r="G37" s="8"/>
      <c r="H37" s="8"/>
      <c r="I37" s="9"/>
      <c r="J37" s="13"/>
      <c r="K37" s="13"/>
      <c r="L37" s="13"/>
      <c r="M37" s="13"/>
      <c r="N37" s="67"/>
      <c r="O37" s="71"/>
      <c r="P37" s="71"/>
      <c r="Q37" s="6"/>
    </row>
    <row r="38" ht="12.75" customHeight="1">
      <c r="A38" s="44" t="s">
        <v>30</v>
      </c>
      <c r="B38" s="7" t="s">
        <v>31</v>
      </c>
      <c r="C38" s="8"/>
      <c r="D38" s="9"/>
      <c r="E38" s="6"/>
      <c r="F38" s="6"/>
      <c r="G38" s="6"/>
      <c r="H38" s="6"/>
      <c r="I38" s="6"/>
      <c r="J38" s="6"/>
      <c r="K38" s="6"/>
      <c r="L38" s="6"/>
      <c r="M38" s="6"/>
      <c r="N38" s="69"/>
      <c r="O38" s="69"/>
      <c r="P38" s="69"/>
      <c r="Q38" s="6"/>
    </row>
    <row r="39" ht="12.75" customHeight="1">
      <c r="A39" s="32"/>
      <c r="B39" s="45" t="s">
        <v>32</v>
      </c>
      <c r="C39" s="20"/>
      <c r="D39" s="13" t="s">
        <v>11</v>
      </c>
      <c r="E39" s="66">
        <v>0.0</v>
      </c>
      <c r="F39" s="66">
        <v>0.0</v>
      </c>
      <c r="G39" s="66">
        <v>1.0</v>
      </c>
      <c r="H39" s="66">
        <v>0.0</v>
      </c>
      <c r="I39" s="66">
        <v>0.0</v>
      </c>
      <c r="J39" s="66">
        <v>0.0</v>
      </c>
      <c r="K39" s="66">
        <v>0.0</v>
      </c>
      <c r="L39" s="66">
        <v>0.0</v>
      </c>
      <c r="M39" s="66">
        <v>0.0</v>
      </c>
      <c r="N39" s="66">
        <v>1.0</v>
      </c>
      <c r="O39" s="66">
        <v>0.0</v>
      </c>
      <c r="P39" s="66">
        <v>0.0</v>
      </c>
      <c r="Q39" s="6">
        <f t="shared" ref="Q39:Q41" si="12">SUM(E39:P39)</f>
        <v>2</v>
      </c>
    </row>
    <row r="40" ht="12.75" customHeight="1">
      <c r="A40" s="35"/>
      <c r="C40" s="26"/>
      <c r="D40" s="13" t="s">
        <v>12</v>
      </c>
      <c r="E40" s="66">
        <v>0.0</v>
      </c>
      <c r="F40" s="66">
        <v>3.0</v>
      </c>
      <c r="G40" s="66">
        <v>0.0</v>
      </c>
      <c r="H40" s="66">
        <v>0.0</v>
      </c>
      <c r="I40" s="66">
        <v>0.0</v>
      </c>
      <c r="J40" s="66">
        <v>0.0</v>
      </c>
      <c r="K40" s="66">
        <v>2.0</v>
      </c>
      <c r="L40" s="66">
        <v>0.0</v>
      </c>
      <c r="M40" s="66">
        <v>0.0</v>
      </c>
      <c r="N40" s="66">
        <v>0.0</v>
      </c>
      <c r="O40" s="66">
        <v>0.0</v>
      </c>
      <c r="P40" s="66">
        <v>0.0</v>
      </c>
      <c r="Q40" s="6">
        <f t="shared" si="12"/>
        <v>5</v>
      </c>
    </row>
    <row r="41" ht="12.75" customHeight="1">
      <c r="A41" s="42"/>
      <c r="B41" s="46"/>
      <c r="C41" s="27"/>
      <c r="D41" s="6" t="s">
        <v>13</v>
      </c>
      <c r="E41" s="6">
        <f t="shared" ref="E41:P41" si="13">SUM(E39:E40)</f>
        <v>0</v>
      </c>
      <c r="F41" s="6">
        <f t="shared" si="13"/>
        <v>3</v>
      </c>
      <c r="G41" s="6">
        <f t="shared" si="13"/>
        <v>1</v>
      </c>
      <c r="H41" s="6">
        <f t="shared" si="13"/>
        <v>0</v>
      </c>
      <c r="I41" s="6">
        <f t="shared" si="13"/>
        <v>0</v>
      </c>
      <c r="J41" s="6">
        <f t="shared" si="13"/>
        <v>0</v>
      </c>
      <c r="K41" s="6">
        <f t="shared" si="13"/>
        <v>2</v>
      </c>
      <c r="L41" s="6">
        <f t="shared" si="13"/>
        <v>0</v>
      </c>
      <c r="M41" s="6">
        <f t="shared" si="13"/>
        <v>0</v>
      </c>
      <c r="N41" s="6">
        <f t="shared" si="13"/>
        <v>1</v>
      </c>
      <c r="O41" s="6">
        <f t="shared" si="13"/>
        <v>0</v>
      </c>
      <c r="P41" s="6">
        <f t="shared" si="13"/>
        <v>0</v>
      </c>
      <c r="Q41" s="6">
        <f t="shared" si="12"/>
        <v>7</v>
      </c>
    </row>
    <row r="42" ht="12.75" customHeight="1">
      <c r="A42" s="47"/>
      <c r="B42" s="46"/>
      <c r="C42" s="46"/>
      <c r="D42" s="27"/>
      <c r="E42" s="21"/>
      <c r="F42" s="8"/>
      <c r="G42" s="8"/>
      <c r="H42" s="8"/>
      <c r="I42" s="9"/>
      <c r="J42" s="13"/>
      <c r="K42" s="13"/>
      <c r="L42" s="13"/>
      <c r="M42" s="13"/>
      <c r="N42" s="67"/>
      <c r="Q42" s="6"/>
    </row>
    <row r="43" ht="12.75" customHeight="1">
      <c r="A43" s="44" t="s">
        <v>33</v>
      </c>
      <c r="B43" s="7" t="s">
        <v>34</v>
      </c>
      <c r="C43" s="8"/>
      <c r="D43" s="9"/>
      <c r="E43" s="28"/>
      <c r="F43" s="6"/>
      <c r="G43" s="6"/>
      <c r="H43" s="6"/>
      <c r="I43" s="6"/>
      <c r="J43" s="6"/>
      <c r="K43" s="6"/>
      <c r="L43" s="6"/>
      <c r="M43" s="6"/>
      <c r="N43" s="69"/>
      <c r="Q43" s="6"/>
    </row>
    <row r="44" ht="12.75" customHeight="1">
      <c r="A44" s="45" t="s">
        <v>35</v>
      </c>
      <c r="B44" s="48"/>
      <c r="C44" s="48"/>
      <c r="D44" s="20"/>
      <c r="E44" s="21"/>
      <c r="F44" s="13"/>
      <c r="G44" s="13"/>
      <c r="H44" s="13"/>
      <c r="I44" s="13"/>
      <c r="J44" s="13"/>
      <c r="K44" s="13"/>
      <c r="L44" s="13"/>
      <c r="M44" s="13"/>
      <c r="N44" s="67"/>
      <c r="Q44" s="6"/>
    </row>
    <row r="45" ht="12.75" customHeight="1">
      <c r="A45" s="32" t="s">
        <v>36</v>
      </c>
      <c r="B45" s="49" t="s">
        <v>16</v>
      </c>
      <c r="C45" s="50" t="s">
        <v>37</v>
      </c>
      <c r="D45" s="9"/>
      <c r="E45" s="66">
        <v>14.0</v>
      </c>
      <c r="F45" s="66">
        <v>15.0</v>
      </c>
      <c r="G45" s="66">
        <v>11.0</v>
      </c>
      <c r="H45" s="66">
        <v>9.0</v>
      </c>
      <c r="I45" s="66">
        <v>16.0</v>
      </c>
      <c r="J45" s="66">
        <v>8.0</v>
      </c>
      <c r="K45" s="66">
        <v>6.0</v>
      </c>
      <c r="L45" s="66">
        <v>13.0</v>
      </c>
      <c r="M45" s="66">
        <v>6.0</v>
      </c>
      <c r="N45" s="66">
        <v>9.0</v>
      </c>
      <c r="O45" s="66">
        <v>8.0</v>
      </c>
      <c r="P45" s="66">
        <v>7.0</v>
      </c>
      <c r="Q45" s="6">
        <f t="shared" ref="Q45:Q52" si="14">SUM(E45:P45)</f>
        <v>122</v>
      </c>
    </row>
    <row r="46" ht="12.75" customHeight="1">
      <c r="A46" s="32" t="s">
        <v>38</v>
      </c>
      <c r="B46" s="51"/>
      <c r="C46" s="52" t="s">
        <v>39</v>
      </c>
      <c r="D46" s="53"/>
      <c r="E46" s="66">
        <v>30.0</v>
      </c>
      <c r="F46" s="66">
        <v>25.0</v>
      </c>
      <c r="G46" s="66">
        <v>56.0</v>
      </c>
      <c r="H46" s="66">
        <v>16.0</v>
      </c>
      <c r="I46" s="66">
        <v>11.0</v>
      </c>
      <c r="J46" s="66">
        <v>32.0</v>
      </c>
      <c r="K46" s="66">
        <v>7.0</v>
      </c>
      <c r="L46" s="66">
        <v>65.0</v>
      </c>
      <c r="M46" s="66">
        <v>14.0</v>
      </c>
      <c r="N46" s="66">
        <v>60.0</v>
      </c>
      <c r="O46" s="66">
        <v>49.0</v>
      </c>
      <c r="P46" s="66">
        <v>22.0</v>
      </c>
      <c r="Q46" s="6">
        <f t="shared" si="14"/>
        <v>387</v>
      </c>
    </row>
    <row r="47" ht="12.75" customHeight="1">
      <c r="A47" s="18"/>
      <c r="B47" s="51"/>
      <c r="C47" s="52" t="s">
        <v>40</v>
      </c>
      <c r="D47" s="53"/>
      <c r="E47" s="66">
        <v>13.0</v>
      </c>
      <c r="F47" s="66">
        <v>2.0</v>
      </c>
      <c r="G47" s="66">
        <v>0.0</v>
      </c>
      <c r="H47" s="66">
        <v>36.0</v>
      </c>
      <c r="I47" s="66">
        <v>27.0</v>
      </c>
      <c r="J47" s="66">
        <v>12.0</v>
      </c>
      <c r="K47" s="66">
        <v>42.0</v>
      </c>
      <c r="L47" s="66">
        <v>12.0</v>
      </c>
      <c r="M47" s="66">
        <v>2.0</v>
      </c>
      <c r="N47" s="66">
        <v>4.0</v>
      </c>
      <c r="O47" s="66">
        <v>6.0</v>
      </c>
      <c r="P47" s="66">
        <v>6.0</v>
      </c>
      <c r="Q47" s="6">
        <f t="shared" si="14"/>
        <v>162</v>
      </c>
    </row>
    <row r="48" ht="12.75" customHeight="1">
      <c r="A48" s="18"/>
      <c r="B48" s="51"/>
      <c r="C48" s="52" t="s">
        <v>41</v>
      </c>
      <c r="D48" s="53"/>
      <c r="E48" s="66">
        <v>3.0</v>
      </c>
      <c r="F48" s="66">
        <v>1.0</v>
      </c>
      <c r="G48" s="66">
        <v>2.0</v>
      </c>
      <c r="H48" s="66">
        <v>0.0</v>
      </c>
      <c r="I48" s="66">
        <v>1.0</v>
      </c>
      <c r="J48" s="66">
        <v>0.0</v>
      </c>
      <c r="K48" s="66">
        <v>1.0</v>
      </c>
      <c r="L48" s="66">
        <v>4.0</v>
      </c>
      <c r="M48" s="66">
        <v>1.0</v>
      </c>
      <c r="N48" s="66">
        <v>0.0</v>
      </c>
      <c r="O48" s="66">
        <v>0.0</v>
      </c>
      <c r="P48" s="66">
        <v>1.0</v>
      </c>
      <c r="Q48" s="6">
        <f t="shared" si="14"/>
        <v>14</v>
      </c>
    </row>
    <row r="49" ht="12.75" customHeight="1">
      <c r="A49" s="18"/>
      <c r="B49" s="51"/>
      <c r="C49" s="52" t="s">
        <v>42</v>
      </c>
      <c r="D49" s="53"/>
      <c r="E49" s="66">
        <v>0.0</v>
      </c>
      <c r="F49" s="66">
        <v>0.0</v>
      </c>
      <c r="G49" s="66">
        <v>0.0</v>
      </c>
      <c r="H49" s="66">
        <v>1.0</v>
      </c>
      <c r="I49" s="66">
        <v>0.0</v>
      </c>
      <c r="J49" s="66">
        <v>0.0</v>
      </c>
      <c r="K49" s="66">
        <v>2.0</v>
      </c>
      <c r="L49" s="66">
        <v>0.0</v>
      </c>
      <c r="M49" s="66">
        <v>0.0</v>
      </c>
      <c r="N49" s="66">
        <v>0.0</v>
      </c>
      <c r="O49" s="66">
        <v>0.0</v>
      </c>
      <c r="P49" s="66">
        <v>1.0</v>
      </c>
      <c r="Q49" s="6">
        <f t="shared" si="14"/>
        <v>4</v>
      </c>
    </row>
    <row r="50" ht="12.75" customHeight="1">
      <c r="A50" s="18"/>
      <c r="B50" s="51"/>
      <c r="C50" s="52" t="s">
        <v>43</v>
      </c>
      <c r="D50" s="53"/>
      <c r="E50" s="66">
        <v>0.0</v>
      </c>
      <c r="F50" s="66">
        <v>0.0</v>
      </c>
      <c r="G50" s="66">
        <v>0.0</v>
      </c>
      <c r="H50" s="66">
        <v>0.0</v>
      </c>
      <c r="I50" s="66">
        <v>0.0</v>
      </c>
      <c r="J50" s="66">
        <v>0.0</v>
      </c>
      <c r="K50" s="66">
        <v>0.0</v>
      </c>
      <c r="L50" s="66">
        <v>0.0</v>
      </c>
      <c r="M50" s="66">
        <v>0.0</v>
      </c>
      <c r="N50" s="66">
        <v>0.0</v>
      </c>
      <c r="O50" s="66">
        <v>0.0</v>
      </c>
      <c r="P50" s="66">
        <v>0.0</v>
      </c>
      <c r="Q50" s="6">
        <f t="shared" si="14"/>
        <v>0</v>
      </c>
    </row>
    <row r="51" ht="12.75" customHeight="1">
      <c r="A51" s="18"/>
      <c r="B51" s="51"/>
      <c r="C51" s="52" t="s">
        <v>44</v>
      </c>
      <c r="D51" s="53"/>
      <c r="E51" s="66">
        <v>8.0</v>
      </c>
      <c r="F51" s="66">
        <v>0.0</v>
      </c>
      <c r="G51" s="66">
        <v>0.0</v>
      </c>
      <c r="H51" s="66">
        <v>0.0</v>
      </c>
      <c r="I51" s="66">
        <v>0.0</v>
      </c>
      <c r="J51" s="66">
        <v>0.0</v>
      </c>
      <c r="K51" s="66">
        <v>0.0</v>
      </c>
      <c r="L51" s="66">
        <v>0.0</v>
      </c>
      <c r="M51" s="66">
        <v>0.0</v>
      </c>
      <c r="N51" s="66">
        <v>0.0</v>
      </c>
      <c r="O51" s="66">
        <v>2.0</v>
      </c>
      <c r="P51" s="66">
        <v>2.0</v>
      </c>
      <c r="Q51" s="6">
        <f t="shared" si="14"/>
        <v>12</v>
      </c>
    </row>
    <row r="52" ht="12.75" customHeight="1">
      <c r="A52" s="13" t="s">
        <v>14</v>
      </c>
      <c r="B52" s="49" t="s">
        <v>45</v>
      </c>
      <c r="C52" s="8"/>
      <c r="D52" s="9"/>
      <c r="E52" s="54">
        <f t="shared" ref="E52:P52" si="15">SUM(E45:E51)</f>
        <v>68</v>
      </c>
      <c r="F52" s="54">
        <f t="shared" si="15"/>
        <v>43</v>
      </c>
      <c r="G52" s="54">
        <f t="shared" si="15"/>
        <v>69</v>
      </c>
      <c r="H52" s="54">
        <f t="shared" si="15"/>
        <v>62</v>
      </c>
      <c r="I52" s="54">
        <f t="shared" si="15"/>
        <v>55</v>
      </c>
      <c r="J52" s="54">
        <f t="shared" si="15"/>
        <v>52</v>
      </c>
      <c r="K52" s="54">
        <f t="shared" si="15"/>
        <v>58</v>
      </c>
      <c r="L52" s="54">
        <f t="shared" si="15"/>
        <v>94</v>
      </c>
      <c r="M52" s="54">
        <f t="shared" si="15"/>
        <v>23</v>
      </c>
      <c r="N52" s="54">
        <f t="shared" si="15"/>
        <v>73</v>
      </c>
      <c r="O52" s="54">
        <f t="shared" si="15"/>
        <v>65</v>
      </c>
      <c r="P52" s="54">
        <f t="shared" si="15"/>
        <v>39</v>
      </c>
      <c r="Q52" s="6">
        <f t="shared" si="14"/>
        <v>701</v>
      </c>
    </row>
    <row r="53" ht="12.75" customHeight="1">
      <c r="A53" s="55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6"/>
    </row>
    <row r="54" ht="12.75" customHeight="1">
      <c r="A54" s="32" t="s">
        <v>36</v>
      </c>
      <c r="B54" s="49" t="s">
        <v>18</v>
      </c>
      <c r="C54" s="50" t="s">
        <v>46</v>
      </c>
      <c r="D54" s="9"/>
      <c r="E54" s="66">
        <v>6.0</v>
      </c>
      <c r="F54" s="66">
        <v>10.0</v>
      </c>
      <c r="G54" s="66">
        <v>7.0</v>
      </c>
      <c r="H54" s="66">
        <v>10.0</v>
      </c>
      <c r="I54" s="66">
        <v>16.0</v>
      </c>
      <c r="J54" s="66">
        <v>5.0</v>
      </c>
      <c r="K54" s="66">
        <v>3.0</v>
      </c>
      <c r="L54" s="66">
        <v>11.0</v>
      </c>
      <c r="M54" s="66">
        <v>15.0</v>
      </c>
      <c r="N54" s="66">
        <v>9.0</v>
      </c>
      <c r="O54" s="66">
        <v>4.0</v>
      </c>
      <c r="P54" s="66">
        <v>13.0</v>
      </c>
      <c r="Q54" s="6">
        <f t="shared" ref="Q54:Q61" si="16">SUM(E54:P54)</f>
        <v>109</v>
      </c>
    </row>
    <row r="55" ht="12.75" customHeight="1">
      <c r="A55" s="32" t="s">
        <v>38</v>
      </c>
      <c r="B55" s="51"/>
      <c r="C55" s="52" t="s">
        <v>47</v>
      </c>
      <c r="D55" s="53"/>
      <c r="E55" s="66">
        <v>7.0</v>
      </c>
      <c r="F55" s="66">
        <v>19.0</v>
      </c>
      <c r="G55" s="66">
        <v>6.0</v>
      </c>
      <c r="H55" s="66">
        <v>25.0</v>
      </c>
      <c r="I55" s="66">
        <v>12.0</v>
      </c>
      <c r="J55" s="66">
        <v>22.0</v>
      </c>
      <c r="K55" s="66">
        <v>34.0</v>
      </c>
      <c r="L55" s="66">
        <v>19.0</v>
      </c>
      <c r="M55" s="66">
        <v>54.0</v>
      </c>
      <c r="N55" s="66">
        <v>8.0</v>
      </c>
      <c r="O55" s="66">
        <v>14.0</v>
      </c>
      <c r="P55" s="66">
        <v>8.0</v>
      </c>
      <c r="Q55" s="6">
        <f t="shared" si="16"/>
        <v>228</v>
      </c>
    </row>
    <row r="56" ht="12.75" customHeight="1">
      <c r="A56" s="18"/>
      <c r="B56" s="51"/>
      <c r="C56" s="52" t="s">
        <v>48</v>
      </c>
      <c r="D56" s="53"/>
      <c r="E56" s="66">
        <v>2.0</v>
      </c>
      <c r="F56" s="66">
        <v>3.0</v>
      </c>
      <c r="G56" s="66">
        <v>6.0</v>
      </c>
      <c r="H56" s="66">
        <v>8.0</v>
      </c>
      <c r="I56" s="66">
        <v>3.0</v>
      </c>
      <c r="J56" s="66">
        <v>4.0</v>
      </c>
      <c r="K56" s="66">
        <v>0.0</v>
      </c>
      <c r="L56" s="66">
        <v>2.0</v>
      </c>
      <c r="M56" s="66">
        <v>1.0</v>
      </c>
      <c r="N56" s="66">
        <v>1.0</v>
      </c>
      <c r="O56" s="66">
        <v>0.0</v>
      </c>
      <c r="P56" s="66">
        <v>6.0</v>
      </c>
      <c r="Q56" s="6">
        <f t="shared" si="16"/>
        <v>36</v>
      </c>
    </row>
    <row r="57" ht="12.75" customHeight="1">
      <c r="A57" s="18"/>
      <c r="B57" s="51"/>
      <c r="C57" s="52" t="s">
        <v>49</v>
      </c>
      <c r="D57" s="53"/>
      <c r="E57" s="66">
        <v>0.0</v>
      </c>
      <c r="F57" s="66">
        <v>2.0</v>
      </c>
      <c r="G57" s="66">
        <v>0.0</v>
      </c>
      <c r="H57" s="66">
        <v>0.0</v>
      </c>
      <c r="I57" s="66">
        <v>0.0</v>
      </c>
      <c r="J57" s="66">
        <v>3.0</v>
      </c>
      <c r="K57" s="66">
        <v>1.0</v>
      </c>
      <c r="L57" s="66">
        <v>0.0</v>
      </c>
      <c r="M57" s="66">
        <v>0.0</v>
      </c>
      <c r="N57" s="66">
        <v>0.0</v>
      </c>
      <c r="O57" s="66">
        <v>0.0</v>
      </c>
      <c r="P57" s="66">
        <v>1.0</v>
      </c>
      <c r="Q57" s="6">
        <f t="shared" si="16"/>
        <v>7</v>
      </c>
    </row>
    <row r="58" ht="12.75" customHeight="1">
      <c r="A58" s="18"/>
      <c r="B58" s="51"/>
      <c r="C58" s="52" t="s">
        <v>50</v>
      </c>
      <c r="D58" s="53"/>
      <c r="E58" s="66">
        <v>2.0</v>
      </c>
      <c r="F58" s="66">
        <v>1.0</v>
      </c>
      <c r="G58" s="66">
        <v>0.0</v>
      </c>
      <c r="H58" s="66">
        <v>2.0</v>
      </c>
      <c r="I58" s="66">
        <v>0.0</v>
      </c>
      <c r="J58" s="66">
        <v>4.0</v>
      </c>
      <c r="K58" s="66">
        <v>1.0</v>
      </c>
      <c r="L58" s="66">
        <v>1.0</v>
      </c>
      <c r="M58" s="66">
        <v>3.0</v>
      </c>
      <c r="N58" s="66">
        <v>2.0</v>
      </c>
      <c r="O58" s="66">
        <v>2.0</v>
      </c>
      <c r="P58" s="66">
        <v>11.0</v>
      </c>
      <c r="Q58" s="6">
        <f t="shared" si="16"/>
        <v>29</v>
      </c>
    </row>
    <row r="59" ht="12.75" customHeight="1">
      <c r="A59" s="18"/>
      <c r="B59" s="51"/>
      <c r="C59" s="52" t="s">
        <v>51</v>
      </c>
      <c r="D59" s="53"/>
      <c r="E59" s="66">
        <v>0.0</v>
      </c>
      <c r="F59" s="66">
        <v>0.0</v>
      </c>
      <c r="G59" s="66">
        <v>0.0</v>
      </c>
      <c r="H59" s="66">
        <v>0.0</v>
      </c>
      <c r="I59" s="66">
        <v>0.0</v>
      </c>
      <c r="J59" s="66">
        <v>1.0</v>
      </c>
      <c r="K59" s="66">
        <v>0.0</v>
      </c>
      <c r="L59" s="66">
        <v>0.0</v>
      </c>
      <c r="M59" s="66">
        <v>0.0</v>
      </c>
      <c r="N59" s="66">
        <v>0.0</v>
      </c>
      <c r="O59" s="66">
        <v>0.0</v>
      </c>
      <c r="P59" s="66">
        <v>0.0</v>
      </c>
      <c r="Q59" s="6">
        <f t="shared" si="16"/>
        <v>1</v>
      </c>
    </row>
    <row r="60" ht="12.75" customHeight="1">
      <c r="A60" s="18"/>
      <c r="B60" s="51"/>
      <c r="C60" s="52" t="s">
        <v>52</v>
      </c>
      <c r="D60" s="53"/>
      <c r="E60" s="66">
        <v>0.0</v>
      </c>
      <c r="F60" s="66">
        <v>0.0</v>
      </c>
      <c r="G60" s="66">
        <v>0.0</v>
      </c>
      <c r="H60" s="66">
        <v>0.0</v>
      </c>
      <c r="I60" s="66">
        <v>0.0</v>
      </c>
      <c r="J60" s="66">
        <v>0.0</v>
      </c>
      <c r="K60" s="66">
        <v>0.0</v>
      </c>
      <c r="L60" s="66">
        <v>0.0</v>
      </c>
      <c r="M60" s="66">
        <v>0.0</v>
      </c>
      <c r="N60" s="66">
        <v>0.0</v>
      </c>
      <c r="O60" s="66">
        <v>0.0</v>
      </c>
      <c r="P60" s="66">
        <v>0.0</v>
      </c>
      <c r="Q60" s="6">
        <f t="shared" si="16"/>
        <v>0</v>
      </c>
    </row>
    <row r="61" ht="12.75" customHeight="1">
      <c r="A61" s="13" t="s">
        <v>14</v>
      </c>
      <c r="B61" s="49" t="s">
        <v>45</v>
      </c>
      <c r="C61" s="8"/>
      <c r="D61" s="9"/>
      <c r="E61" s="54">
        <f t="shared" ref="E61:P61" si="17">SUM(E54:E60)</f>
        <v>17</v>
      </c>
      <c r="F61" s="54">
        <f t="shared" si="17"/>
        <v>35</v>
      </c>
      <c r="G61" s="54">
        <f t="shared" si="17"/>
        <v>19</v>
      </c>
      <c r="H61" s="54">
        <f t="shared" si="17"/>
        <v>45</v>
      </c>
      <c r="I61" s="54">
        <f t="shared" si="17"/>
        <v>31</v>
      </c>
      <c r="J61" s="54">
        <f t="shared" si="17"/>
        <v>39</v>
      </c>
      <c r="K61" s="54">
        <f t="shared" si="17"/>
        <v>39</v>
      </c>
      <c r="L61" s="54">
        <f t="shared" si="17"/>
        <v>33</v>
      </c>
      <c r="M61" s="54">
        <f t="shared" si="17"/>
        <v>73</v>
      </c>
      <c r="N61" s="54">
        <f t="shared" si="17"/>
        <v>20</v>
      </c>
      <c r="O61" s="54">
        <f t="shared" si="17"/>
        <v>20</v>
      </c>
      <c r="P61" s="54">
        <f t="shared" si="17"/>
        <v>39</v>
      </c>
      <c r="Q61" s="6">
        <f t="shared" si="16"/>
        <v>410</v>
      </c>
    </row>
    <row r="62" ht="12.75" customHeight="1">
      <c r="A62" s="55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6"/>
    </row>
    <row r="63" ht="12.75" customHeight="1">
      <c r="A63" s="32" t="s">
        <v>36</v>
      </c>
      <c r="B63" s="49" t="s">
        <v>20</v>
      </c>
      <c r="C63" s="50" t="s">
        <v>53</v>
      </c>
      <c r="D63" s="9"/>
      <c r="E63" s="66">
        <v>8.0</v>
      </c>
      <c r="F63" s="66">
        <v>12.0</v>
      </c>
      <c r="G63" s="66">
        <v>6.0</v>
      </c>
      <c r="H63" s="66">
        <v>5.0</v>
      </c>
      <c r="I63" s="66">
        <v>13.0</v>
      </c>
      <c r="J63" s="66">
        <v>5.0</v>
      </c>
      <c r="K63" s="66">
        <v>6.0</v>
      </c>
      <c r="L63" s="66">
        <v>5.0</v>
      </c>
      <c r="M63" s="66">
        <v>9.0</v>
      </c>
      <c r="N63" s="66">
        <v>11.0</v>
      </c>
      <c r="O63" s="66">
        <v>8.0</v>
      </c>
      <c r="P63" s="66">
        <v>10.0</v>
      </c>
      <c r="Q63" s="6">
        <f t="shared" ref="Q63:Q70" si="18">SUM(E63:P63)</f>
        <v>98</v>
      </c>
    </row>
    <row r="64" ht="12.75" customHeight="1">
      <c r="A64" s="32" t="s">
        <v>38</v>
      </c>
      <c r="B64" s="51"/>
      <c r="C64" s="52" t="s">
        <v>54</v>
      </c>
      <c r="D64" s="53"/>
      <c r="E64" s="66">
        <v>27.0</v>
      </c>
      <c r="F64" s="66">
        <v>11.0</v>
      </c>
      <c r="G64" s="66">
        <v>4.0</v>
      </c>
      <c r="H64" s="66">
        <v>4.0</v>
      </c>
      <c r="I64" s="66">
        <v>7.0</v>
      </c>
      <c r="J64" s="66">
        <v>5.0</v>
      </c>
      <c r="K64" s="66">
        <v>1.0</v>
      </c>
      <c r="L64" s="66">
        <v>4.0</v>
      </c>
      <c r="M64" s="66">
        <v>8.0</v>
      </c>
      <c r="N64" s="66">
        <v>8.0</v>
      </c>
      <c r="O64" s="66">
        <v>3.0</v>
      </c>
      <c r="P64" s="66">
        <v>11.0</v>
      </c>
      <c r="Q64" s="6">
        <f t="shared" si="18"/>
        <v>93</v>
      </c>
    </row>
    <row r="65" ht="12.75" customHeight="1">
      <c r="A65" s="18"/>
      <c r="B65" s="51"/>
      <c r="C65" s="52" t="s">
        <v>55</v>
      </c>
      <c r="D65" s="53"/>
      <c r="E65" s="66">
        <v>4.0</v>
      </c>
      <c r="F65" s="66">
        <v>1.0</v>
      </c>
      <c r="G65" s="66">
        <v>2.0</v>
      </c>
      <c r="H65" s="66">
        <v>2.0</v>
      </c>
      <c r="I65" s="66">
        <v>2.0</v>
      </c>
      <c r="J65" s="66">
        <v>1.0</v>
      </c>
      <c r="K65" s="66">
        <v>1.0</v>
      </c>
      <c r="L65" s="66">
        <v>4.0</v>
      </c>
      <c r="M65" s="66">
        <v>3.0</v>
      </c>
      <c r="N65" s="66">
        <v>5.0</v>
      </c>
      <c r="O65" s="66">
        <v>1.0</v>
      </c>
      <c r="P65" s="66">
        <v>0.0</v>
      </c>
      <c r="Q65" s="6">
        <f t="shared" si="18"/>
        <v>26</v>
      </c>
    </row>
    <row r="66" ht="12.75" customHeight="1">
      <c r="A66" s="18"/>
      <c r="B66" s="51"/>
      <c r="C66" s="52" t="s">
        <v>56</v>
      </c>
      <c r="D66" s="53"/>
      <c r="E66" s="66">
        <v>2.0</v>
      </c>
      <c r="F66" s="66">
        <v>0.0</v>
      </c>
      <c r="G66" s="66">
        <v>4.0</v>
      </c>
      <c r="H66" s="66">
        <v>2.0</v>
      </c>
      <c r="I66" s="66">
        <v>2.0</v>
      </c>
      <c r="J66" s="66">
        <v>0.0</v>
      </c>
      <c r="K66" s="66">
        <v>0.0</v>
      </c>
      <c r="L66" s="66">
        <v>0.0</v>
      </c>
      <c r="M66" s="66">
        <v>0.0</v>
      </c>
      <c r="N66" s="66">
        <v>11.0</v>
      </c>
      <c r="O66" s="66">
        <v>2.0</v>
      </c>
      <c r="P66" s="66">
        <v>0.0</v>
      </c>
      <c r="Q66" s="6">
        <f t="shared" si="18"/>
        <v>23</v>
      </c>
    </row>
    <row r="67" ht="12.75" customHeight="1">
      <c r="A67" s="18"/>
      <c r="B67" s="51"/>
      <c r="C67" s="52" t="s">
        <v>57</v>
      </c>
      <c r="D67" s="53"/>
      <c r="E67" s="66">
        <v>30.0</v>
      </c>
      <c r="F67" s="66">
        <v>20.0</v>
      </c>
      <c r="G67" s="66">
        <v>38.0</v>
      </c>
      <c r="H67" s="66">
        <v>39.0</v>
      </c>
      <c r="I67" s="66">
        <v>29.0</v>
      </c>
      <c r="J67" s="66">
        <v>19.0</v>
      </c>
      <c r="K67" s="66">
        <v>13.0</v>
      </c>
      <c r="L67" s="66">
        <v>19.0</v>
      </c>
      <c r="M67" s="66">
        <v>12.0</v>
      </c>
      <c r="N67" s="66">
        <v>10.0</v>
      </c>
      <c r="O67" s="66">
        <v>12.0</v>
      </c>
      <c r="P67" s="66">
        <v>19.0</v>
      </c>
      <c r="Q67" s="6">
        <f t="shared" si="18"/>
        <v>260</v>
      </c>
    </row>
    <row r="68" ht="12.75" customHeight="1">
      <c r="A68" s="18"/>
      <c r="B68" s="51"/>
      <c r="C68" s="52" t="s">
        <v>58</v>
      </c>
      <c r="D68" s="53"/>
      <c r="E68" s="66">
        <v>5.0</v>
      </c>
      <c r="F68" s="66">
        <v>5.0</v>
      </c>
      <c r="G68" s="66">
        <v>1.0</v>
      </c>
      <c r="H68" s="66">
        <v>1.0</v>
      </c>
      <c r="I68" s="66">
        <v>8.0</v>
      </c>
      <c r="J68" s="66">
        <v>0.0</v>
      </c>
      <c r="K68" s="66">
        <v>0.0</v>
      </c>
      <c r="L68" s="66">
        <v>0.0</v>
      </c>
      <c r="M68" s="66">
        <v>2.0</v>
      </c>
      <c r="N68" s="66">
        <v>1.0</v>
      </c>
      <c r="O68" s="66">
        <v>1.0</v>
      </c>
      <c r="P68" s="66">
        <v>0.0</v>
      </c>
      <c r="Q68" s="6">
        <f t="shared" si="18"/>
        <v>24</v>
      </c>
    </row>
    <row r="69" ht="12.75" customHeight="1">
      <c r="A69" s="18"/>
      <c r="B69" s="51"/>
      <c r="C69" s="52" t="s">
        <v>59</v>
      </c>
      <c r="D69" s="53"/>
      <c r="E69" s="66">
        <v>1.0</v>
      </c>
      <c r="F69" s="66">
        <v>3.0</v>
      </c>
      <c r="G69" s="66">
        <v>3.0</v>
      </c>
      <c r="H69" s="66">
        <v>2.0</v>
      </c>
      <c r="I69" s="66">
        <v>1.0</v>
      </c>
      <c r="J69" s="66">
        <v>0.0</v>
      </c>
      <c r="K69" s="66">
        <v>2.0</v>
      </c>
      <c r="L69" s="66">
        <v>1.0</v>
      </c>
      <c r="M69" s="66">
        <v>0.0</v>
      </c>
      <c r="N69" s="66">
        <v>5.0</v>
      </c>
      <c r="O69" s="66">
        <v>0.0</v>
      </c>
      <c r="P69" s="66">
        <v>0.0</v>
      </c>
      <c r="Q69" s="6">
        <f t="shared" si="18"/>
        <v>18</v>
      </c>
    </row>
    <row r="70" ht="12.75" customHeight="1">
      <c r="A70" s="13" t="s">
        <v>14</v>
      </c>
      <c r="B70" s="49" t="s">
        <v>45</v>
      </c>
      <c r="C70" s="8"/>
      <c r="D70" s="9"/>
      <c r="E70" s="54">
        <f t="shared" ref="E70:P70" si="19">SUM(E63:E69)</f>
        <v>77</v>
      </c>
      <c r="F70" s="54">
        <f t="shared" si="19"/>
        <v>52</v>
      </c>
      <c r="G70" s="54">
        <f t="shared" si="19"/>
        <v>58</v>
      </c>
      <c r="H70" s="54">
        <f t="shared" si="19"/>
        <v>55</v>
      </c>
      <c r="I70" s="54">
        <f t="shared" si="19"/>
        <v>62</v>
      </c>
      <c r="J70" s="54">
        <f t="shared" si="19"/>
        <v>30</v>
      </c>
      <c r="K70" s="54">
        <f t="shared" si="19"/>
        <v>23</v>
      </c>
      <c r="L70" s="54">
        <f t="shared" si="19"/>
        <v>33</v>
      </c>
      <c r="M70" s="54">
        <f t="shared" si="19"/>
        <v>34</v>
      </c>
      <c r="N70" s="54">
        <f t="shared" si="19"/>
        <v>51</v>
      </c>
      <c r="O70" s="54">
        <f t="shared" si="19"/>
        <v>27</v>
      </c>
      <c r="P70" s="54">
        <f t="shared" si="19"/>
        <v>40</v>
      </c>
      <c r="Q70" s="6">
        <f t="shared" si="18"/>
        <v>542</v>
      </c>
    </row>
    <row r="71" ht="12.75" customHeight="1">
      <c r="A71" s="55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6"/>
    </row>
    <row r="72" ht="12.75" customHeight="1">
      <c r="A72" s="32" t="s">
        <v>36</v>
      </c>
      <c r="B72" s="49" t="s">
        <v>22</v>
      </c>
      <c r="C72" s="50" t="s">
        <v>60</v>
      </c>
      <c r="D72" s="9"/>
      <c r="E72" s="66">
        <v>2.0</v>
      </c>
      <c r="F72" s="66">
        <v>4.0</v>
      </c>
      <c r="G72" s="66">
        <v>0.0</v>
      </c>
      <c r="H72" s="66">
        <v>0.0</v>
      </c>
      <c r="I72" s="66">
        <v>4.0</v>
      </c>
      <c r="J72" s="66">
        <v>0.0</v>
      </c>
      <c r="K72" s="66">
        <v>3.0</v>
      </c>
      <c r="L72" s="66">
        <v>2.0</v>
      </c>
      <c r="M72" s="66">
        <v>1.0</v>
      </c>
      <c r="N72" s="66">
        <v>4.0</v>
      </c>
      <c r="O72" s="66">
        <v>4.0</v>
      </c>
      <c r="P72" s="66">
        <v>11.0</v>
      </c>
      <c r="Q72" s="6">
        <f t="shared" ref="Q72:Q79" si="20">SUM(E72:P72)</f>
        <v>35</v>
      </c>
    </row>
    <row r="73" ht="12.75" customHeight="1">
      <c r="A73" s="32" t="s">
        <v>38</v>
      </c>
      <c r="B73" s="51"/>
      <c r="C73" s="52" t="s">
        <v>61</v>
      </c>
      <c r="D73" s="53"/>
      <c r="E73" s="66">
        <v>3.0</v>
      </c>
      <c r="F73" s="66">
        <v>2.0</v>
      </c>
      <c r="G73" s="66">
        <v>2.0</v>
      </c>
      <c r="H73" s="66">
        <v>3.0</v>
      </c>
      <c r="I73" s="66">
        <v>0.0</v>
      </c>
      <c r="J73" s="66">
        <v>2.0</v>
      </c>
      <c r="K73" s="66">
        <v>6.0</v>
      </c>
      <c r="L73" s="66">
        <v>7.0</v>
      </c>
      <c r="M73" s="66">
        <v>2.0</v>
      </c>
      <c r="N73" s="66">
        <v>7.0</v>
      </c>
      <c r="O73" s="66">
        <v>25.0</v>
      </c>
      <c r="P73" s="66">
        <v>7.0</v>
      </c>
      <c r="Q73" s="6">
        <f t="shared" si="20"/>
        <v>66</v>
      </c>
    </row>
    <row r="74" ht="12.75" customHeight="1">
      <c r="A74" s="18"/>
      <c r="B74" s="51"/>
      <c r="C74" s="52" t="s">
        <v>62</v>
      </c>
      <c r="D74" s="53"/>
      <c r="E74" s="66">
        <v>0.0</v>
      </c>
      <c r="F74" s="66">
        <v>0.0</v>
      </c>
      <c r="G74" s="66">
        <v>1.0</v>
      </c>
      <c r="H74" s="66">
        <v>0.0</v>
      </c>
      <c r="I74" s="66">
        <v>1.0</v>
      </c>
      <c r="J74" s="66">
        <v>0.0</v>
      </c>
      <c r="K74" s="66">
        <v>1.0</v>
      </c>
      <c r="L74" s="66">
        <v>1.0</v>
      </c>
      <c r="M74" s="66">
        <v>1.0</v>
      </c>
      <c r="N74" s="66">
        <v>1.0</v>
      </c>
      <c r="O74" s="66">
        <v>0.0</v>
      </c>
      <c r="P74" s="66">
        <v>0.0</v>
      </c>
      <c r="Q74" s="6">
        <f t="shared" si="20"/>
        <v>6</v>
      </c>
    </row>
    <row r="75" ht="12.75" customHeight="1">
      <c r="A75" s="18"/>
      <c r="B75" s="51"/>
      <c r="C75" s="52" t="s">
        <v>63</v>
      </c>
      <c r="D75" s="53"/>
      <c r="E75" s="66">
        <v>2.0</v>
      </c>
      <c r="F75" s="66">
        <v>2.0</v>
      </c>
      <c r="G75" s="66">
        <v>0.0</v>
      </c>
      <c r="H75" s="66">
        <v>0.0</v>
      </c>
      <c r="I75" s="66">
        <v>4.0</v>
      </c>
      <c r="J75" s="66">
        <v>1.0</v>
      </c>
      <c r="K75" s="66">
        <v>0.0</v>
      </c>
      <c r="L75" s="66">
        <v>0.0</v>
      </c>
      <c r="M75" s="66">
        <v>1.0</v>
      </c>
      <c r="N75" s="66">
        <v>3.0</v>
      </c>
      <c r="O75" s="66">
        <v>2.0</v>
      </c>
      <c r="P75" s="66">
        <v>1.0</v>
      </c>
      <c r="Q75" s="6">
        <f t="shared" si="20"/>
        <v>16</v>
      </c>
    </row>
    <row r="76" ht="12.75" customHeight="1">
      <c r="A76" s="18"/>
      <c r="B76" s="51"/>
      <c r="C76" s="52" t="s">
        <v>64</v>
      </c>
      <c r="D76" s="53"/>
      <c r="E76" s="66">
        <v>0.0</v>
      </c>
      <c r="F76" s="66">
        <v>0.0</v>
      </c>
      <c r="G76" s="66">
        <v>0.0</v>
      </c>
      <c r="H76" s="66">
        <v>0.0</v>
      </c>
      <c r="I76" s="66">
        <v>0.0</v>
      </c>
      <c r="J76" s="66">
        <v>0.0</v>
      </c>
      <c r="K76" s="66">
        <v>0.0</v>
      </c>
      <c r="L76" s="66">
        <v>0.0</v>
      </c>
      <c r="M76" s="66">
        <v>0.0</v>
      </c>
      <c r="N76" s="66">
        <v>0.0</v>
      </c>
      <c r="O76" s="66">
        <v>0.0</v>
      </c>
      <c r="P76" s="66">
        <v>0.0</v>
      </c>
      <c r="Q76" s="6">
        <f t="shared" si="20"/>
        <v>0</v>
      </c>
    </row>
    <row r="77" ht="12.75" customHeight="1">
      <c r="A77" s="18"/>
      <c r="B77" s="51"/>
      <c r="C77" s="52" t="s">
        <v>65</v>
      </c>
      <c r="D77" s="53"/>
      <c r="E77" s="66">
        <v>1.0</v>
      </c>
      <c r="F77" s="66">
        <v>1.0</v>
      </c>
      <c r="G77" s="66">
        <v>0.0</v>
      </c>
      <c r="H77" s="66">
        <v>2.0</v>
      </c>
      <c r="I77" s="66">
        <v>2.0</v>
      </c>
      <c r="J77" s="66">
        <v>9.0</v>
      </c>
      <c r="K77" s="66">
        <v>4.0</v>
      </c>
      <c r="L77" s="66">
        <v>19.0</v>
      </c>
      <c r="M77" s="66">
        <v>0.0</v>
      </c>
      <c r="N77" s="66">
        <v>1.0</v>
      </c>
      <c r="O77" s="66">
        <v>0.0</v>
      </c>
      <c r="P77" s="66">
        <v>1.0</v>
      </c>
      <c r="Q77" s="6">
        <f t="shared" si="20"/>
        <v>40</v>
      </c>
    </row>
    <row r="78" ht="12.75" customHeight="1">
      <c r="A78" s="18"/>
      <c r="B78" s="51"/>
      <c r="C78" s="52" t="s">
        <v>66</v>
      </c>
      <c r="D78" s="53"/>
      <c r="E78" s="66">
        <v>0.0</v>
      </c>
      <c r="F78" s="66">
        <v>0.0</v>
      </c>
      <c r="G78" s="66">
        <v>0.0</v>
      </c>
      <c r="H78" s="66">
        <v>0.0</v>
      </c>
      <c r="I78" s="66">
        <v>0.0</v>
      </c>
      <c r="J78" s="66">
        <v>0.0</v>
      </c>
      <c r="K78" s="66">
        <v>0.0</v>
      </c>
      <c r="L78" s="66">
        <v>0.0</v>
      </c>
      <c r="M78" s="66">
        <v>0.0</v>
      </c>
      <c r="N78" s="66">
        <v>0.0</v>
      </c>
      <c r="O78" s="66">
        <v>0.0</v>
      </c>
      <c r="P78" s="66">
        <v>0.0</v>
      </c>
      <c r="Q78" s="6">
        <f t="shared" si="20"/>
        <v>0</v>
      </c>
    </row>
    <row r="79" ht="12.75" customHeight="1">
      <c r="A79" s="13" t="s">
        <v>14</v>
      </c>
      <c r="B79" s="49" t="s">
        <v>45</v>
      </c>
      <c r="C79" s="8"/>
      <c r="D79" s="9"/>
      <c r="E79" s="54">
        <f t="shared" ref="E79:P79" si="21">SUM(E72:E78)</f>
        <v>8</v>
      </c>
      <c r="F79" s="54">
        <f t="shared" si="21"/>
        <v>9</v>
      </c>
      <c r="G79" s="54">
        <f t="shared" si="21"/>
        <v>3</v>
      </c>
      <c r="H79" s="54">
        <f t="shared" si="21"/>
        <v>5</v>
      </c>
      <c r="I79" s="54">
        <f t="shared" si="21"/>
        <v>11</v>
      </c>
      <c r="J79" s="54">
        <f t="shared" si="21"/>
        <v>12</v>
      </c>
      <c r="K79" s="54">
        <f t="shared" si="21"/>
        <v>14</v>
      </c>
      <c r="L79" s="54">
        <f t="shared" si="21"/>
        <v>29</v>
      </c>
      <c r="M79" s="54">
        <f t="shared" si="21"/>
        <v>5</v>
      </c>
      <c r="N79" s="54">
        <f t="shared" si="21"/>
        <v>16</v>
      </c>
      <c r="O79" s="54">
        <f t="shared" si="21"/>
        <v>31</v>
      </c>
      <c r="P79" s="54">
        <f t="shared" si="21"/>
        <v>20</v>
      </c>
      <c r="Q79" s="6">
        <f t="shared" si="20"/>
        <v>163</v>
      </c>
    </row>
    <row r="80" ht="12.75" customHeight="1">
      <c r="A80" s="55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6"/>
    </row>
    <row r="81" ht="12.75" customHeight="1">
      <c r="A81" s="32" t="s">
        <v>36</v>
      </c>
      <c r="B81" s="49" t="s">
        <v>67</v>
      </c>
      <c r="C81" s="50" t="s">
        <v>68</v>
      </c>
      <c r="D81" s="9"/>
      <c r="E81" s="66">
        <v>1.0</v>
      </c>
      <c r="F81" s="66">
        <v>1.0</v>
      </c>
      <c r="G81" s="66">
        <v>0.0</v>
      </c>
      <c r="H81" s="66">
        <v>1.0</v>
      </c>
      <c r="I81" s="66">
        <v>1.0</v>
      </c>
      <c r="J81" s="66">
        <v>0.0</v>
      </c>
      <c r="K81" s="66">
        <v>4.0</v>
      </c>
      <c r="L81" s="66">
        <v>0.0</v>
      </c>
      <c r="M81" s="66">
        <v>0.0</v>
      </c>
      <c r="N81" s="66">
        <v>2.0</v>
      </c>
      <c r="O81" s="66">
        <v>0.0</v>
      </c>
      <c r="P81" s="66">
        <v>2.0</v>
      </c>
      <c r="Q81" s="6">
        <f t="shared" ref="Q81:Q88" si="22">SUM(E81:P81)</f>
        <v>12</v>
      </c>
    </row>
    <row r="82" ht="12.75" customHeight="1">
      <c r="A82" s="32" t="s">
        <v>38</v>
      </c>
      <c r="B82" s="51"/>
      <c r="C82" s="52" t="s">
        <v>69</v>
      </c>
      <c r="D82" s="53"/>
      <c r="E82" s="66">
        <v>1.0</v>
      </c>
      <c r="F82" s="66">
        <v>1.0</v>
      </c>
      <c r="G82" s="66">
        <v>0.0</v>
      </c>
      <c r="H82" s="66">
        <v>0.0</v>
      </c>
      <c r="I82" s="66">
        <v>1.0</v>
      </c>
      <c r="J82" s="66">
        <v>2.0</v>
      </c>
      <c r="K82" s="66">
        <v>2.0</v>
      </c>
      <c r="L82" s="66">
        <v>1.0</v>
      </c>
      <c r="M82" s="66">
        <v>0.0</v>
      </c>
      <c r="N82" s="66">
        <v>6.0</v>
      </c>
      <c r="O82" s="66">
        <v>2.0</v>
      </c>
      <c r="P82" s="66">
        <v>40.0</v>
      </c>
      <c r="Q82" s="6">
        <f t="shared" si="22"/>
        <v>56</v>
      </c>
    </row>
    <row r="83" ht="12.75" customHeight="1">
      <c r="A83" s="18"/>
      <c r="B83" s="51"/>
      <c r="C83" s="52" t="s">
        <v>70</v>
      </c>
      <c r="D83" s="53"/>
      <c r="E83" s="66">
        <v>1.0</v>
      </c>
      <c r="F83" s="66">
        <v>0.0</v>
      </c>
      <c r="G83" s="66">
        <v>2.0</v>
      </c>
      <c r="H83" s="66">
        <v>0.0</v>
      </c>
      <c r="I83" s="66">
        <v>1.0</v>
      </c>
      <c r="J83" s="66">
        <v>1.0</v>
      </c>
      <c r="K83" s="66">
        <v>2.0</v>
      </c>
      <c r="L83" s="66">
        <v>0.0</v>
      </c>
      <c r="M83" s="66">
        <v>1.0</v>
      </c>
      <c r="N83" s="66">
        <v>0.0</v>
      </c>
      <c r="O83" s="66">
        <v>0.0</v>
      </c>
      <c r="P83" s="66">
        <v>0.0</v>
      </c>
      <c r="Q83" s="6">
        <f t="shared" si="22"/>
        <v>8</v>
      </c>
    </row>
    <row r="84" ht="12.75" customHeight="1">
      <c r="A84" s="18"/>
      <c r="B84" s="51"/>
      <c r="C84" s="52" t="s">
        <v>71</v>
      </c>
      <c r="D84" s="53"/>
      <c r="E84" s="66">
        <v>0.0</v>
      </c>
      <c r="F84" s="66">
        <v>0.0</v>
      </c>
      <c r="G84" s="66">
        <v>0.0</v>
      </c>
      <c r="H84" s="66">
        <v>0.0</v>
      </c>
      <c r="I84" s="66">
        <v>0.0</v>
      </c>
      <c r="J84" s="66">
        <v>0.0</v>
      </c>
      <c r="K84" s="66">
        <v>1.0</v>
      </c>
      <c r="L84" s="66">
        <v>0.0</v>
      </c>
      <c r="M84" s="66">
        <v>0.0</v>
      </c>
      <c r="N84" s="66">
        <v>0.0</v>
      </c>
      <c r="O84" s="66">
        <v>0.0</v>
      </c>
      <c r="P84" s="66">
        <v>0.0</v>
      </c>
      <c r="Q84" s="6">
        <f t="shared" si="22"/>
        <v>1</v>
      </c>
    </row>
    <row r="85" ht="12.75" customHeight="1">
      <c r="A85" s="18"/>
      <c r="B85" s="51"/>
      <c r="C85" s="52" t="s">
        <v>72</v>
      </c>
      <c r="D85" s="53"/>
      <c r="E85" s="66">
        <v>0.0</v>
      </c>
      <c r="F85" s="66">
        <v>4.0</v>
      </c>
      <c r="G85" s="66">
        <v>10.0</v>
      </c>
      <c r="H85" s="66">
        <v>2.0</v>
      </c>
      <c r="I85" s="66">
        <v>4.0</v>
      </c>
      <c r="J85" s="66">
        <v>0.0</v>
      </c>
      <c r="K85" s="66">
        <v>0.0</v>
      </c>
      <c r="L85" s="66">
        <v>0.0</v>
      </c>
      <c r="M85" s="66">
        <v>0.0</v>
      </c>
      <c r="N85" s="66">
        <v>1.0</v>
      </c>
      <c r="O85" s="66">
        <v>0.0</v>
      </c>
      <c r="P85" s="66">
        <v>1.0</v>
      </c>
      <c r="Q85" s="6">
        <f t="shared" si="22"/>
        <v>22</v>
      </c>
    </row>
    <row r="86" ht="12.75" customHeight="1">
      <c r="A86" s="18"/>
      <c r="B86" s="51"/>
      <c r="C86" s="52" t="s">
        <v>73</v>
      </c>
      <c r="D86" s="53"/>
      <c r="E86" s="66">
        <v>0.0</v>
      </c>
      <c r="F86" s="66">
        <v>0.0</v>
      </c>
      <c r="G86" s="66">
        <v>0.0</v>
      </c>
      <c r="H86" s="66">
        <v>0.0</v>
      </c>
      <c r="I86" s="66">
        <v>0.0</v>
      </c>
      <c r="J86" s="66">
        <v>0.0</v>
      </c>
      <c r="K86" s="66">
        <v>0.0</v>
      </c>
      <c r="L86" s="66">
        <v>0.0</v>
      </c>
      <c r="M86" s="66">
        <v>0.0</v>
      </c>
      <c r="N86" s="66">
        <v>0.0</v>
      </c>
      <c r="O86" s="66">
        <v>0.0</v>
      </c>
      <c r="P86" s="66">
        <v>0.0</v>
      </c>
      <c r="Q86" s="6">
        <f t="shared" si="22"/>
        <v>0</v>
      </c>
    </row>
    <row r="87" ht="12.75" customHeight="1">
      <c r="A87" s="18"/>
      <c r="B87" s="51"/>
      <c r="C87" s="52" t="s">
        <v>74</v>
      </c>
      <c r="D87" s="53"/>
      <c r="E87" s="66">
        <v>3.0</v>
      </c>
      <c r="F87" s="66">
        <v>0.0</v>
      </c>
      <c r="G87" s="66">
        <v>0.0</v>
      </c>
      <c r="H87" s="66">
        <v>0.0</v>
      </c>
      <c r="I87" s="66">
        <v>0.0</v>
      </c>
      <c r="J87" s="66">
        <v>0.0</v>
      </c>
      <c r="K87" s="66">
        <v>0.0</v>
      </c>
      <c r="L87" s="66">
        <v>0.0</v>
      </c>
      <c r="M87" s="66">
        <v>0.0</v>
      </c>
      <c r="N87" s="66">
        <v>0.0</v>
      </c>
      <c r="O87" s="66">
        <v>0.0</v>
      </c>
      <c r="P87" s="66">
        <v>0.0</v>
      </c>
      <c r="Q87" s="6">
        <f t="shared" si="22"/>
        <v>3</v>
      </c>
    </row>
    <row r="88" ht="12.75" customHeight="1">
      <c r="A88" s="13" t="s">
        <v>14</v>
      </c>
      <c r="B88" s="49" t="s">
        <v>45</v>
      </c>
      <c r="C88" s="8"/>
      <c r="D88" s="9"/>
      <c r="E88" s="54">
        <f t="shared" ref="E88:P88" si="23">SUM(E81:E87)</f>
        <v>6</v>
      </c>
      <c r="F88" s="54">
        <f t="shared" si="23"/>
        <v>6</v>
      </c>
      <c r="G88" s="54">
        <f t="shared" si="23"/>
        <v>12</v>
      </c>
      <c r="H88" s="54">
        <f t="shared" si="23"/>
        <v>3</v>
      </c>
      <c r="I88" s="54">
        <f t="shared" si="23"/>
        <v>7</v>
      </c>
      <c r="J88" s="54">
        <f t="shared" si="23"/>
        <v>3</v>
      </c>
      <c r="K88" s="54">
        <f t="shared" si="23"/>
        <v>9</v>
      </c>
      <c r="L88" s="54">
        <f t="shared" si="23"/>
        <v>1</v>
      </c>
      <c r="M88" s="54">
        <f t="shared" si="23"/>
        <v>1</v>
      </c>
      <c r="N88" s="54">
        <f t="shared" si="23"/>
        <v>9</v>
      </c>
      <c r="O88" s="54">
        <f t="shared" si="23"/>
        <v>2</v>
      </c>
      <c r="P88" s="54">
        <f t="shared" si="23"/>
        <v>43</v>
      </c>
      <c r="Q88" s="6">
        <f t="shared" si="22"/>
        <v>102</v>
      </c>
    </row>
    <row r="89" ht="12.75" customHeight="1">
      <c r="A89" s="55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6"/>
    </row>
    <row r="90" ht="12.75" customHeight="1">
      <c r="A90" s="32" t="s">
        <v>36</v>
      </c>
      <c r="B90" s="49" t="s">
        <v>75</v>
      </c>
      <c r="C90" s="50" t="s">
        <v>76</v>
      </c>
      <c r="D90" s="9"/>
      <c r="E90" s="66">
        <v>2.0</v>
      </c>
      <c r="F90" s="66">
        <v>1.0</v>
      </c>
      <c r="G90" s="66">
        <v>1.0</v>
      </c>
      <c r="H90" s="66">
        <v>0.0</v>
      </c>
      <c r="I90" s="66">
        <v>1.0</v>
      </c>
      <c r="J90" s="66">
        <v>0.0</v>
      </c>
      <c r="K90" s="66">
        <v>0.0</v>
      </c>
      <c r="L90" s="66">
        <v>0.0</v>
      </c>
      <c r="M90" s="66">
        <v>0.0</v>
      </c>
      <c r="N90" s="66">
        <v>1.0</v>
      </c>
      <c r="O90" s="66">
        <v>0.0</v>
      </c>
      <c r="P90" s="66">
        <v>1.0</v>
      </c>
      <c r="Q90" s="6">
        <f t="shared" ref="Q90:Q92" si="24">SUM(E90:P90)</f>
        <v>7</v>
      </c>
    </row>
    <row r="91" ht="12.75" customHeight="1">
      <c r="A91" s="32" t="s">
        <v>38</v>
      </c>
      <c r="B91" s="51"/>
      <c r="C91" s="52"/>
      <c r="D91" s="9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6">
        <f t="shared" si="24"/>
        <v>0</v>
      </c>
    </row>
    <row r="92" ht="12.75" customHeight="1">
      <c r="A92" s="13" t="s">
        <v>14</v>
      </c>
      <c r="B92" s="49" t="s">
        <v>45</v>
      </c>
      <c r="C92" s="8"/>
      <c r="D92" s="9"/>
      <c r="E92" s="54">
        <f t="shared" ref="E92:P92" si="25">SUM(E90:E91)</f>
        <v>2</v>
      </c>
      <c r="F92" s="54">
        <f t="shared" si="25"/>
        <v>1</v>
      </c>
      <c r="G92" s="54">
        <f t="shared" si="25"/>
        <v>1</v>
      </c>
      <c r="H92" s="54">
        <f t="shared" si="25"/>
        <v>0</v>
      </c>
      <c r="I92" s="54">
        <f t="shared" si="25"/>
        <v>1</v>
      </c>
      <c r="J92" s="54">
        <f t="shared" si="25"/>
        <v>0</v>
      </c>
      <c r="K92" s="54">
        <f t="shared" si="25"/>
        <v>0</v>
      </c>
      <c r="L92" s="54">
        <f t="shared" si="25"/>
        <v>0</v>
      </c>
      <c r="M92" s="54">
        <f t="shared" si="25"/>
        <v>0</v>
      </c>
      <c r="N92" s="54">
        <f t="shared" si="25"/>
        <v>1</v>
      </c>
      <c r="O92" s="54">
        <f t="shared" si="25"/>
        <v>0</v>
      </c>
      <c r="P92" s="54">
        <f t="shared" si="25"/>
        <v>1</v>
      </c>
      <c r="Q92" s="6">
        <f t="shared" si="24"/>
        <v>7</v>
      </c>
    </row>
    <row r="93" ht="12.75" customHeight="1">
      <c r="A93" s="55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6"/>
    </row>
    <row r="94" ht="12.75" customHeight="1">
      <c r="A94" s="32" t="s">
        <v>36</v>
      </c>
      <c r="B94" s="49" t="s">
        <v>77</v>
      </c>
      <c r="C94" s="50" t="s">
        <v>78</v>
      </c>
      <c r="D94" s="9"/>
      <c r="E94" s="13"/>
      <c r="F94" s="66">
        <v>1.0</v>
      </c>
      <c r="G94" s="66">
        <v>0.0</v>
      </c>
      <c r="H94" s="66">
        <v>0.0</v>
      </c>
      <c r="I94" s="66">
        <v>2.0</v>
      </c>
      <c r="J94" s="66">
        <v>3.0</v>
      </c>
      <c r="K94" s="66">
        <v>0.0</v>
      </c>
      <c r="L94" s="66">
        <v>0.0</v>
      </c>
      <c r="M94" s="66">
        <v>1.0</v>
      </c>
      <c r="N94" s="66">
        <v>0.0</v>
      </c>
      <c r="O94" s="66">
        <v>0.0</v>
      </c>
      <c r="P94" s="66">
        <v>0.0</v>
      </c>
      <c r="Q94" s="6">
        <f t="shared" ref="Q94:Q98" si="26">SUM(E94:P94)</f>
        <v>7</v>
      </c>
    </row>
    <row r="95" ht="12.75" customHeight="1">
      <c r="A95" s="32" t="s">
        <v>38</v>
      </c>
      <c r="B95" s="51"/>
      <c r="C95" s="52" t="s">
        <v>79</v>
      </c>
      <c r="D95" s="53"/>
      <c r="E95" s="13"/>
      <c r="F95" s="66">
        <v>0.0</v>
      </c>
      <c r="G95" s="66">
        <v>0.0</v>
      </c>
      <c r="H95" s="66">
        <v>0.0</v>
      </c>
      <c r="I95" s="66">
        <v>0.0</v>
      </c>
      <c r="J95" s="66">
        <v>1.0</v>
      </c>
      <c r="K95" s="66">
        <v>0.0</v>
      </c>
      <c r="L95" s="66">
        <v>0.0</v>
      </c>
      <c r="M95" s="66">
        <v>0.0</v>
      </c>
      <c r="N95" s="66">
        <v>0.0</v>
      </c>
      <c r="O95" s="66">
        <v>0.0</v>
      </c>
      <c r="P95" s="66">
        <v>0.0</v>
      </c>
      <c r="Q95" s="6">
        <f t="shared" si="26"/>
        <v>1</v>
      </c>
    </row>
    <row r="96" ht="12.75" customHeight="1">
      <c r="A96" s="32"/>
      <c r="B96" s="51"/>
      <c r="C96" s="52" t="s">
        <v>80</v>
      </c>
      <c r="D96" s="53"/>
      <c r="E96" s="13"/>
      <c r="F96" s="66">
        <v>0.0</v>
      </c>
      <c r="G96" s="66">
        <v>0.0</v>
      </c>
      <c r="H96" s="66">
        <v>0.0</v>
      </c>
      <c r="I96" s="66">
        <v>0.0</v>
      </c>
      <c r="J96" s="66">
        <v>0.0</v>
      </c>
      <c r="K96" s="66">
        <v>0.0</v>
      </c>
      <c r="L96" s="66">
        <v>0.0</v>
      </c>
      <c r="M96" s="66">
        <v>0.0</v>
      </c>
      <c r="N96" s="66">
        <v>0.0</v>
      </c>
      <c r="O96" s="66">
        <v>0.0</v>
      </c>
      <c r="P96" s="66">
        <v>0.0</v>
      </c>
      <c r="Q96" s="6">
        <f t="shared" si="26"/>
        <v>0</v>
      </c>
    </row>
    <row r="97" ht="12.75" customHeight="1">
      <c r="A97" s="32"/>
      <c r="B97" s="51"/>
      <c r="C97" s="52" t="s">
        <v>81</v>
      </c>
      <c r="D97" s="53"/>
      <c r="E97" s="13"/>
      <c r="F97" s="66">
        <v>0.0</v>
      </c>
      <c r="G97" s="66">
        <v>0.0</v>
      </c>
      <c r="H97" s="66">
        <v>0.0</v>
      </c>
      <c r="I97" s="66">
        <v>0.0</v>
      </c>
      <c r="J97" s="66">
        <v>0.0</v>
      </c>
      <c r="K97" s="66">
        <v>0.0</v>
      </c>
      <c r="L97" s="66">
        <v>0.0</v>
      </c>
      <c r="M97" s="66">
        <v>0.0</v>
      </c>
      <c r="N97" s="66">
        <v>0.0</v>
      </c>
      <c r="O97" s="66">
        <v>0.0</v>
      </c>
      <c r="P97" s="66">
        <v>0.0</v>
      </c>
      <c r="Q97" s="6">
        <f t="shared" si="26"/>
        <v>0</v>
      </c>
    </row>
    <row r="98" ht="12.75" customHeight="1">
      <c r="A98" s="13" t="s">
        <v>14</v>
      </c>
      <c r="B98" s="49" t="s">
        <v>45</v>
      </c>
      <c r="C98" s="8"/>
      <c r="D98" s="9"/>
      <c r="E98" s="54">
        <f t="shared" ref="E98:P98" si="27">SUM(E94:E97)</f>
        <v>0</v>
      </c>
      <c r="F98" s="54">
        <f t="shared" si="27"/>
        <v>1</v>
      </c>
      <c r="G98" s="54">
        <f t="shared" si="27"/>
        <v>0</v>
      </c>
      <c r="H98" s="54">
        <f t="shared" si="27"/>
        <v>0</v>
      </c>
      <c r="I98" s="54">
        <f t="shared" si="27"/>
        <v>2</v>
      </c>
      <c r="J98" s="54">
        <f t="shared" si="27"/>
        <v>4</v>
      </c>
      <c r="K98" s="54">
        <f t="shared" si="27"/>
        <v>0</v>
      </c>
      <c r="L98" s="54">
        <f t="shared" si="27"/>
        <v>0</v>
      </c>
      <c r="M98" s="54">
        <f t="shared" si="27"/>
        <v>1</v>
      </c>
      <c r="N98" s="54">
        <f t="shared" si="27"/>
        <v>0</v>
      </c>
      <c r="O98" s="54">
        <f t="shared" si="27"/>
        <v>0</v>
      </c>
      <c r="P98" s="54">
        <f t="shared" si="27"/>
        <v>0</v>
      </c>
      <c r="Q98" s="6">
        <f t="shared" si="26"/>
        <v>8</v>
      </c>
    </row>
    <row r="99" ht="12.75" customHeight="1">
      <c r="A99" s="55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6"/>
    </row>
    <row r="100" ht="12.75" customHeight="1">
      <c r="A100" s="32" t="s">
        <v>36</v>
      </c>
      <c r="B100" s="49" t="s">
        <v>82</v>
      </c>
      <c r="C100" s="50" t="s">
        <v>83</v>
      </c>
      <c r="D100" s="9"/>
      <c r="E100" s="66">
        <v>0.0</v>
      </c>
      <c r="F100" s="66">
        <v>2.0</v>
      </c>
      <c r="G100" s="66">
        <v>5.0</v>
      </c>
      <c r="H100" s="66">
        <v>3.0</v>
      </c>
      <c r="I100" s="66">
        <v>3.0</v>
      </c>
      <c r="J100" s="66">
        <v>2.0</v>
      </c>
      <c r="K100" s="66">
        <v>2.0</v>
      </c>
      <c r="L100" s="66">
        <v>3.0</v>
      </c>
      <c r="M100" s="66">
        <v>0.0</v>
      </c>
      <c r="N100" s="66">
        <v>0.0</v>
      </c>
      <c r="O100" s="66">
        <v>0.0</v>
      </c>
      <c r="P100" s="66">
        <v>1.0</v>
      </c>
      <c r="Q100" s="6">
        <f t="shared" ref="Q100:Q107" si="28">SUM(E100:P100)</f>
        <v>21</v>
      </c>
    </row>
    <row r="101" ht="12.75" customHeight="1">
      <c r="A101" s="32" t="s">
        <v>38</v>
      </c>
      <c r="B101" s="51"/>
      <c r="C101" s="52" t="s">
        <v>84</v>
      </c>
      <c r="D101" s="53"/>
      <c r="E101" s="66">
        <v>6.0</v>
      </c>
      <c r="F101" s="66">
        <v>6.0</v>
      </c>
      <c r="G101" s="66">
        <v>14.0</v>
      </c>
      <c r="H101" s="66">
        <v>18.0</v>
      </c>
      <c r="I101" s="66">
        <v>16.0</v>
      </c>
      <c r="J101" s="66">
        <v>29.0</v>
      </c>
      <c r="K101" s="66">
        <v>29.0</v>
      </c>
      <c r="L101" s="66">
        <v>7.0</v>
      </c>
      <c r="M101" s="66">
        <v>4.0</v>
      </c>
      <c r="N101" s="66">
        <v>4.0</v>
      </c>
      <c r="O101" s="66">
        <v>2.0</v>
      </c>
      <c r="P101" s="66">
        <v>1.0</v>
      </c>
      <c r="Q101" s="6">
        <f t="shared" si="28"/>
        <v>136</v>
      </c>
    </row>
    <row r="102" ht="12.75" customHeight="1">
      <c r="A102" s="18"/>
      <c r="B102" s="51"/>
      <c r="C102" s="52" t="s">
        <v>85</v>
      </c>
      <c r="D102" s="53"/>
      <c r="E102" s="66">
        <v>0.0</v>
      </c>
      <c r="F102" s="66">
        <v>0.0</v>
      </c>
      <c r="G102" s="66">
        <v>0.0</v>
      </c>
      <c r="H102" s="66">
        <v>0.0</v>
      </c>
      <c r="I102" s="66">
        <v>0.0</v>
      </c>
      <c r="J102" s="66">
        <v>1.0</v>
      </c>
      <c r="K102" s="66">
        <v>1.0</v>
      </c>
      <c r="L102" s="66">
        <v>0.0</v>
      </c>
      <c r="M102" s="66">
        <v>0.0</v>
      </c>
      <c r="N102" s="66">
        <v>0.0</v>
      </c>
      <c r="O102" s="66">
        <v>0.0</v>
      </c>
      <c r="P102" s="66">
        <v>0.0</v>
      </c>
      <c r="Q102" s="6">
        <f t="shared" si="28"/>
        <v>2</v>
      </c>
    </row>
    <row r="103" ht="12.75" customHeight="1">
      <c r="A103" s="18"/>
      <c r="B103" s="51"/>
      <c r="C103" s="52" t="s">
        <v>86</v>
      </c>
      <c r="D103" s="53"/>
      <c r="E103" s="66">
        <v>3.0</v>
      </c>
      <c r="F103" s="66">
        <v>2.0</v>
      </c>
      <c r="G103" s="66">
        <v>2.0</v>
      </c>
      <c r="H103" s="66">
        <v>0.0</v>
      </c>
      <c r="I103" s="66">
        <v>0.0</v>
      </c>
      <c r="J103" s="66">
        <v>1.0</v>
      </c>
      <c r="K103" s="66">
        <v>0.0</v>
      </c>
      <c r="L103" s="66">
        <v>0.0</v>
      </c>
      <c r="M103" s="66">
        <v>0.0</v>
      </c>
      <c r="N103" s="66">
        <v>0.0</v>
      </c>
      <c r="O103" s="66">
        <v>0.0</v>
      </c>
      <c r="P103" s="66">
        <v>0.0</v>
      </c>
      <c r="Q103" s="6">
        <f t="shared" si="28"/>
        <v>8</v>
      </c>
    </row>
    <row r="104" ht="12.75" customHeight="1">
      <c r="A104" s="18"/>
      <c r="B104" s="51"/>
      <c r="C104" s="52" t="s">
        <v>87</v>
      </c>
      <c r="D104" s="53"/>
      <c r="E104" s="66">
        <v>0.0</v>
      </c>
      <c r="F104" s="66">
        <v>0.0</v>
      </c>
      <c r="G104" s="66">
        <v>0.0</v>
      </c>
      <c r="H104" s="66">
        <v>3.0</v>
      </c>
      <c r="I104" s="66">
        <v>2.0</v>
      </c>
      <c r="J104" s="66">
        <v>0.0</v>
      </c>
      <c r="K104" s="66">
        <v>0.0</v>
      </c>
      <c r="L104" s="66">
        <v>0.0</v>
      </c>
      <c r="M104" s="66">
        <v>0.0</v>
      </c>
      <c r="N104" s="66">
        <v>1.0</v>
      </c>
      <c r="O104" s="66">
        <v>0.0</v>
      </c>
      <c r="P104" s="66">
        <v>0.0</v>
      </c>
      <c r="Q104" s="6">
        <f t="shared" si="28"/>
        <v>6</v>
      </c>
    </row>
    <row r="105" ht="12.75" customHeight="1">
      <c r="A105" s="18"/>
      <c r="B105" s="51"/>
      <c r="C105" s="52" t="s">
        <v>88</v>
      </c>
      <c r="D105" s="53"/>
      <c r="E105" s="66">
        <v>0.0</v>
      </c>
      <c r="F105" s="66">
        <v>0.0</v>
      </c>
      <c r="G105" s="66">
        <v>0.0</v>
      </c>
      <c r="H105" s="66">
        <v>0.0</v>
      </c>
      <c r="I105" s="66">
        <v>0.0</v>
      </c>
      <c r="J105" s="66">
        <v>0.0</v>
      </c>
      <c r="K105" s="66">
        <v>0.0</v>
      </c>
      <c r="L105" s="66">
        <v>0.0</v>
      </c>
      <c r="M105" s="66">
        <v>0.0</v>
      </c>
      <c r="N105" s="66">
        <v>0.0</v>
      </c>
      <c r="O105" s="66">
        <v>0.0</v>
      </c>
      <c r="P105" s="66">
        <v>0.0</v>
      </c>
      <c r="Q105" s="6">
        <f t="shared" si="28"/>
        <v>0</v>
      </c>
    </row>
    <row r="106" ht="12.75" customHeight="1">
      <c r="A106" s="18"/>
      <c r="B106" s="51"/>
      <c r="C106" s="52" t="s">
        <v>89</v>
      </c>
      <c r="D106" s="53"/>
      <c r="E106" s="66">
        <v>0.0</v>
      </c>
      <c r="F106" s="66">
        <v>0.0</v>
      </c>
      <c r="G106" s="66">
        <v>0.0</v>
      </c>
      <c r="H106" s="66">
        <v>0.0</v>
      </c>
      <c r="I106" s="66">
        <v>1.0</v>
      </c>
      <c r="J106" s="66">
        <v>0.0</v>
      </c>
      <c r="K106" s="66">
        <v>0.0</v>
      </c>
      <c r="L106" s="66">
        <v>0.0</v>
      </c>
      <c r="M106" s="66">
        <v>0.0</v>
      </c>
      <c r="N106" s="66">
        <v>4.0</v>
      </c>
      <c r="O106" s="66">
        <v>1.0</v>
      </c>
      <c r="P106" s="66">
        <v>0.0</v>
      </c>
      <c r="Q106" s="6">
        <f t="shared" si="28"/>
        <v>6</v>
      </c>
    </row>
    <row r="107" ht="12.75" customHeight="1">
      <c r="A107" s="13" t="s">
        <v>14</v>
      </c>
      <c r="B107" s="49" t="s">
        <v>45</v>
      </c>
      <c r="C107" s="8"/>
      <c r="D107" s="9"/>
      <c r="E107" s="54">
        <f t="shared" ref="E107:P107" si="29">SUM(E100:E106)</f>
        <v>9</v>
      </c>
      <c r="F107" s="54">
        <f t="shared" si="29"/>
        <v>10</v>
      </c>
      <c r="G107" s="54">
        <f t="shared" si="29"/>
        <v>21</v>
      </c>
      <c r="H107" s="54">
        <f t="shared" si="29"/>
        <v>24</v>
      </c>
      <c r="I107" s="54">
        <f t="shared" si="29"/>
        <v>22</v>
      </c>
      <c r="J107" s="54">
        <f t="shared" si="29"/>
        <v>33</v>
      </c>
      <c r="K107" s="54">
        <f t="shared" si="29"/>
        <v>32</v>
      </c>
      <c r="L107" s="54">
        <f t="shared" si="29"/>
        <v>10</v>
      </c>
      <c r="M107" s="54">
        <f t="shared" si="29"/>
        <v>4</v>
      </c>
      <c r="N107" s="54">
        <f t="shared" si="29"/>
        <v>9</v>
      </c>
      <c r="O107" s="54">
        <f t="shared" si="29"/>
        <v>3</v>
      </c>
      <c r="P107" s="54">
        <f t="shared" si="29"/>
        <v>2</v>
      </c>
      <c r="Q107" s="6">
        <f t="shared" si="28"/>
        <v>179</v>
      </c>
    </row>
    <row r="108" ht="12.75" customHeight="1">
      <c r="A108" s="55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6"/>
    </row>
    <row r="109" ht="12.75" customHeight="1">
      <c r="A109" s="32" t="s">
        <v>36</v>
      </c>
      <c r="B109" s="49" t="s">
        <v>90</v>
      </c>
      <c r="C109" s="50" t="s">
        <v>91</v>
      </c>
      <c r="D109" s="9"/>
      <c r="E109" s="66">
        <v>0.0</v>
      </c>
      <c r="F109" s="66">
        <v>0.0</v>
      </c>
      <c r="G109" s="66">
        <v>0.0</v>
      </c>
      <c r="H109" s="66">
        <v>0.0</v>
      </c>
      <c r="I109" s="66">
        <v>0.0</v>
      </c>
      <c r="J109" s="66">
        <v>0.0</v>
      </c>
      <c r="K109" s="66">
        <v>0.0</v>
      </c>
      <c r="L109" s="66">
        <v>0.0</v>
      </c>
      <c r="M109" s="66">
        <v>0.0</v>
      </c>
      <c r="N109" s="66">
        <v>0.0</v>
      </c>
      <c r="O109" s="66">
        <v>0.0</v>
      </c>
      <c r="P109" s="66">
        <v>0.0</v>
      </c>
      <c r="Q109" s="6">
        <f t="shared" ref="Q109:Q111" si="30">SUM(E109:P109)</f>
        <v>0</v>
      </c>
    </row>
    <row r="110" ht="12.75" customHeight="1">
      <c r="A110" s="32" t="s">
        <v>38</v>
      </c>
      <c r="B110" s="49"/>
      <c r="C110" s="52" t="s">
        <v>92</v>
      </c>
      <c r="D110" s="61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6">
        <f t="shared" si="30"/>
        <v>0</v>
      </c>
    </row>
    <row r="111" ht="12.75" customHeight="1">
      <c r="A111" s="13" t="s">
        <v>14</v>
      </c>
      <c r="B111" s="49" t="s">
        <v>45</v>
      </c>
      <c r="C111" s="8"/>
      <c r="D111" s="9"/>
      <c r="E111" s="54">
        <f t="shared" ref="E111:P111" si="31">SUM(E109:E110)</f>
        <v>0</v>
      </c>
      <c r="F111" s="54">
        <f t="shared" si="31"/>
        <v>0</v>
      </c>
      <c r="G111" s="54">
        <f t="shared" si="31"/>
        <v>0</v>
      </c>
      <c r="H111" s="54">
        <f t="shared" si="31"/>
        <v>0</v>
      </c>
      <c r="I111" s="54">
        <f t="shared" si="31"/>
        <v>0</v>
      </c>
      <c r="J111" s="54">
        <f t="shared" si="31"/>
        <v>0</v>
      </c>
      <c r="K111" s="54">
        <f t="shared" si="31"/>
        <v>0</v>
      </c>
      <c r="L111" s="54">
        <f t="shared" si="31"/>
        <v>0</v>
      </c>
      <c r="M111" s="54">
        <f t="shared" si="31"/>
        <v>0</v>
      </c>
      <c r="N111" s="54">
        <f t="shared" si="31"/>
        <v>0</v>
      </c>
      <c r="O111" s="54">
        <f t="shared" si="31"/>
        <v>0</v>
      </c>
      <c r="P111" s="54">
        <f t="shared" si="31"/>
        <v>0</v>
      </c>
      <c r="Q111" s="6">
        <f t="shared" si="30"/>
        <v>0</v>
      </c>
    </row>
    <row r="112" ht="12.75" customHeight="1">
      <c r="A112" s="55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6"/>
    </row>
    <row r="113" ht="12.75" customHeight="1">
      <c r="A113" s="32" t="s">
        <v>36</v>
      </c>
      <c r="B113" s="49" t="s">
        <v>93</v>
      </c>
      <c r="C113" s="50" t="s">
        <v>94</v>
      </c>
      <c r="D113" s="9"/>
      <c r="E113" s="66">
        <v>0.0</v>
      </c>
      <c r="F113" s="66">
        <v>0.0</v>
      </c>
      <c r="G113" s="66">
        <v>0.0</v>
      </c>
      <c r="H113" s="66">
        <v>0.0</v>
      </c>
      <c r="I113" s="66">
        <v>0.0</v>
      </c>
      <c r="J113" s="66">
        <v>0.0</v>
      </c>
      <c r="K113" s="66">
        <v>0.0</v>
      </c>
      <c r="L113" s="66">
        <v>0.0</v>
      </c>
      <c r="M113" s="66">
        <v>1.0</v>
      </c>
      <c r="N113" s="66">
        <v>0.0</v>
      </c>
      <c r="O113" s="66">
        <v>0.0</v>
      </c>
      <c r="P113" s="66">
        <v>0.0</v>
      </c>
      <c r="Q113" s="6">
        <f t="shared" ref="Q113:Q120" si="32">SUM(E113:P113)</f>
        <v>1</v>
      </c>
    </row>
    <row r="114" ht="12.75" customHeight="1">
      <c r="A114" s="32" t="s">
        <v>38</v>
      </c>
      <c r="B114" s="51"/>
      <c r="C114" s="52" t="s">
        <v>95</v>
      </c>
      <c r="D114" s="53"/>
      <c r="E114" s="66">
        <v>0.0</v>
      </c>
      <c r="F114" s="66">
        <v>1.0</v>
      </c>
      <c r="G114" s="66">
        <v>0.0</v>
      </c>
      <c r="H114" s="66">
        <v>0.0</v>
      </c>
      <c r="I114" s="66">
        <v>0.0</v>
      </c>
      <c r="J114" s="66">
        <v>0.0</v>
      </c>
      <c r="K114" s="66">
        <v>0.0</v>
      </c>
      <c r="L114" s="66">
        <v>0.0</v>
      </c>
      <c r="M114" s="66">
        <v>0.0</v>
      </c>
      <c r="N114" s="66">
        <v>1.0</v>
      </c>
      <c r="O114" s="66">
        <v>0.0</v>
      </c>
      <c r="P114" s="66">
        <v>0.0</v>
      </c>
      <c r="Q114" s="6">
        <f t="shared" si="32"/>
        <v>2</v>
      </c>
    </row>
    <row r="115" ht="12.75" customHeight="1">
      <c r="A115" s="18"/>
      <c r="B115" s="51"/>
      <c r="C115" s="52" t="s">
        <v>96</v>
      </c>
      <c r="D115" s="53"/>
      <c r="E115" s="66">
        <v>1.0</v>
      </c>
      <c r="F115" s="66">
        <v>3.0</v>
      </c>
      <c r="G115" s="66">
        <v>0.0</v>
      </c>
      <c r="H115" s="66">
        <v>0.0</v>
      </c>
      <c r="I115" s="66">
        <v>0.0</v>
      </c>
      <c r="J115" s="66">
        <v>0.0</v>
      </c>
      <c r="K115" s="66">
        <v>0.0</v>
      </c>
      <c r="L115" s="66">
        <v>0.0</v>
      </c>
      <c r="M115" s="66">
        <v>0.0</v>
      </c>
      <c r="N115" s="66">
        <v>0.0</v>
      </c>
      <c r="O115" s="66">
        <v>0.0</v>
      </c>
      <c r="P115" s="66">
        <v>0.0</v>
      </c>
      <c r="Q115" s="6">
        <f t="shared" si="32"/>
        <v>4</v>
      </c>
    </row>
    <row r="116" ht="12.75" customHeight="1">
      <c r="A116" s="18"/>
      <c r="B116" s="51"/>
      <c r="C116" s="52" t="s">
        <v>97</v>
      </c>
      <c r="D116" s="53"/>
      <c r="E116" s="66">
        <v>0.0</v>
      </c>
      <c r="F116" s="66">
        <v>0.0</v>
      </c>
      <c r="G116" s="66">
        <v>0.0</v>
      </c>
      <c r="H116" s="66">
        <v>1.0</v>
      </c>
      <c r="I116" s="66">
        <v>0.0</v>
      </c>
      <c r="J116" s="66">
        <v>0.0</v>
      </c>
      <c r="K116" s="66">
        <v>4.0</v>
      </c>
      <c r="L116" s="66">
        <v>0.0</v>
      </c>
      <c r="M116" s="66">
        <v>5.0</v>
      </c>
      <c r="N116" s="66">
        <v>1.0</v>
      </c>
      <c r="O116" s="66">
        <v>0.0</v>
      </c>
      <c r="P116" s="66">
        <v>0.0</v>
      </c>
      <c r="Q116" s="6">
        <f t="shared" si="32"/>
        <v>11</v>
      </c>
    </row>
    <row r="117" ht="12.75" customHeight="1">
      <c r="A117" s="18"/>
      <c r="B117" s="51"/>
      <c r="C117" s="52" t="s">
        <v>98</v>
      </c>
      <c r="D117" s="53"/>
      <c r="E117" s="66">
        <v>0.0</v>
      </c>
      <c r="F117" s="66">
        <v>0.0</v>
      </c>
      <c r="G117" s="66">
        <v>0.0</v>
      </c>
      <c r="H117" s="66">
        <v>0.0</v>
      </c>
      <c r="I117" s="66">
        <v>0.0</v>
      </c>
      <c r="J117" s="66">
        <v>0.0</v>
      </c>
      <c r="K117" s="66">
        <v>0.0</v>
      </c>
      <c r="L117" s="66">
        <v>0.0</v>
      </c>
      <c r="M117" s="66">
        <v>0.0</v>
      </c>
      <c r="N117" s="66">
        <v>0.0</v>
      </c>
      <c r="O117" s="66">
        <v>2.0</v>
      </c>
      <c r="P117" s="66">
        <v>0.0</v>
      </c>
      <c r="Q117" s="6">
        <f t="shared" si="32"/>
        <v>2</v>
      </c>
    </row>
    <row r="118" ht="12.75" customHeight="1">
      <c r="A118" s="18"/>
      <c r="B118" s="51"/>
      <c r="C118" s="52" t="s">
        <v>99</v>
      </c>
      <c r="D118" s="53"/>
      <c r="E118" s="66">
        <v>0.0</v>
      </c>
      <c r="F118" s="66">
        <v>0.0</v>
      </c>
      <c r="G118" s="66">
        <v>0.0</v>
      </c>
      <c r="H118" s="66">
        <v>0.0</v>
      </c>
      <c r="I118" s="66">
        <v>0.0</v>
      </c>
      <c r="J118" s="66">
        <v>0.0</v>
      </c>
      <c r="K118" s="66">
        <v>0.0</v>
      </c>
      <c r="L118" s="66">
        <v>0.0</v>
      </c>
      <c r="M118" s="66">
        <v>0.0</v>
      </c>
      <c r="N118" s="66">
        <v>0.0</v>
      </c>
      <c r="O118" s="66">
        <v>0.0</v>
      </c>
      <c r="P118" s="66">
        <v>0.0</v>
      </c>
      <c r="Q118" s="6">
        <f t="shared" si="32"/>
        <v>0</v>
      </c>
    </row>
    <row r="119" ht="12.75" customHeight="1">
      <c r="A119" s="18"/>
      <c r="B119" s="51"/>
      <c r="C119" s="52" t="s">
        <v>100</v>
      </c>
      <c r="D119" s="53"/>
      <c r="E119" s="66">
        <v>0.0</v>
      </c>
      <c r="F119" s="66">
        <v>0.0</v>
      </c>
      <c r="G119" s="66">
        <v>0.0</v>
      </c>
      <c r="H119" s="66">
        <v>0.0</v>
      </c>
      <c r="I119" s="66">
        <v>0.0</v>
      </c>
      <c r="J119" s="66">
        <v>0.0</v>
      </c>
      <c r="K119" s="66">
        <v>0.0</v>
      </c>
      <c r="L119" s="66">
        <v>0.0</v>
      </c>
      <c r="M119" s="66">
        <v>0.0</v>
      </c>
      <c r="N119" s="66">
        <v>0.0</v>
      </c>
      <c r="O119" s="66">
        <v>0.0</v>
      </c>
      <c r="P119" s="66">
        <v>0.0</v>
      </c>
      <c r="Q119" s="6">
        <f t="shared" si="32"/>
        <v>0</v>
      </c>
    </row>
    <row r="120" ht="12.75" customHeight="1">
      <c r="A120" s="13" t="s">
        <v>14</v>
      </c>
      <c r="B120" s="49" t="s">
        <v>45</v>
      </c>
      <c r="C120" s="8"/>
      <c r="D120" s="9"/>
      <c r="E120" s="54">
        <f t="shared" ref="E120:P120" si="33">SUM(E113:E119)</f>
        <v>1</v>
      </c>
      <c r="F120" s="54">
        <f t="shared" si="33"/>
        <v>4</v>
      </c>
      <c r="G120" s="54">
        <f t="shared" si="33"/>
        <v>0</v>
      </c>
      <c r="H120" s="54">
        <f t="shared" si="33"/>
        <v>1</v>
      </c>
      <c r="I120" s="54">
        <f t="shared" si="33"/>
        <v>0</v>
      </c>
      <c r="J120" s="54">
        <f t="shared" si="33"/>
        <v>0</v>
      </c>
      <c r="K120" s="54">
        <f t="shared" si="33"/>
        <v>4</v>
      </c>
      <c r="L120" s="54">
        <f t="shared" si="33"/>
        <v>0</v>
      </c>
      <c r="M120" s="54">
        <f t="shared" si="33"/>
        <v>6</v>
      </c>
      <c r="N120" s="54">
        <f t="shared" si="33"/>
        <v>2</v>
      </c>
      <c r="O120" s="54">
        <f t="shared" si="33"/>
        <v>2</v>
      </c>
      <c r="P120" s="54">
        <f t="shared" si="33"/>
        <v>0</v>
      </c>
      <c r="Q120" s="6">
        <f t="shared" si="32"/>
        <v>20</v>
      </c>
    </row>
    <row r="121" ht="12.75" customHeight="1">
      <c r="A121" s="55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</row>
    <row r="122" ht="12.75" customHeight="1">
      <c r="A122" s="32" t="s">
        <v>36</v>
      </c>
      <c r="B122" s="49" t="s">
        <v>101</v>
      </c>
      <c r="C122" s="50" t="s">
        <v>102</v>
      </c>
      <c r="D122" s="9"/>
      <c r="E122" s="66">
        <v>1.0</v>
      </c>
      <c r="F122" s="66">
        <v>0.0</v>
      </c>
      <c r="G122" s="66">
        <v>1.0</v>
      </c>
      <c r="H122" s="66">
        <v>0.0</v>
      </c>
      <c r="I122" s="66">
        <v>0.0</v>
      </c>
      <c r="J122" s="66">
        <v>0.0</v>
      </c>
      <c r="K122" s="66">
        <v>1.0</v>
      </c>
      <c r="L122" s="66">
        <v>0.0</v>
      </c>
      <c r="M122" s="66">
        <v>0.0</v>
      </c>
      <c r="N122" s="66">
        <v>0.0</v>
      </c>
      <c r="O122" s="66">
        <v>0.0</v>
      </c>
      <c r="P122" s="66">
        <v>0.0</v>
      </c>
      <c r="Q122" s="6">
        <f t="shared" ref="Q122:Q124" si="34">SUM(E122:P122)</f>
        <v>3</v>
      </c>
    </row>
    <row r="123" ht="12.75" customHeight="1">
      <c r="A123" s="32" t="s">
        <v>38</v>
      </c>
      <c r="B123" s="51"/>
      <c r="C123" s="52"/>
      <c r="D123" s="5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6">
        <f t="shared" si="34"/>
        <v>0</v>
      </c>
    </row>
    <row r="124" ht="12.75" customHeight="1">
      <c r="A124" s="13" t="s">
        <v>14</v>
      </c>
      <c r="B124" s="49" t="s">
        <v>45</v>
      </c>
      <c r="C124" s="8"/>
      <c r="D124" s="9"/>
      <c r="E124" s="54">
        <f t="shared" ref="E124:P124" si="35">SUM(E122:E123)</f>
        <v>1</v>
      </c>
      <c r="F124" s="54">
        <f t="shared" si="35"/>
        <v>0</v>
      </c>
      <c r="G124" s="54">
        <f t="shared" si="35"/>
        <v>1</v>
      </c>
      <c r="H124" s="54">
        <f t="shared" si="35"/>
        <v>0</v>
      </c>
      <c r="I124" s="54">
        <f t="shared" si="35"/>
        <v>0</v>
      </c>
      <c r="J124" s="54">
        <f t="shared" si="35"/>
        <v>0</v>
      </c>
      <c r="K124" s="54">
        <f t="shared" si="35"/>
        <v>1</v>
      </c>
      <c r="L124" s="54">
        <f t="shared" si="35"/>
        <v>0</v>
      </c>
      <c r="M124" s="54">
        <f t="shared" si="35"/>
        <v>0</v>
      </c>
      <c r="N124" s="54">
        <f t="shared" si="35"/>
        <v>0</v>
      </c>
      <c r="O124" s="54">
        <f t="shared" si="35"/>
        <v>0</v>
      </c>
      <c r="P124" s="54">
        <f t="shared" si="35"/>
        <v>0</v>
      </c>
      <c r="Q124" s="6">
        <f t="shared" si="34"/>
        <v>3</v>
      </c>
    </row>
    <row r="125" ht="12.75" customHeight="1">
      <c r="A125" s="55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6"/>
    </row>
    <row r="126" ht="12.75" customHeight="1">
      <c r="A126" s="32" t="s">
        <v>36</v>
      </c>
      <c r="B126" s="49" t="s">
        <v>103</v>
      </c>
      <c r="C126" s="50" t="s">
        <v>104</v>
      </c>
      <c r="D126" s="9"/>
      <c r="E126" s="66">
        <v>1.0</v>
      </c>
      <c r="F126" s="66">
        <v>0.0</v>
      </c>
      <c r="G126" s="66">
        <v>1.0</v>
      </c>
      <c r="H126" s="66">
        <v>0.0</v>
      </c>
      <c r="I126" s="66">
        <v>1.0</v>
      </c>
      <c r="J126" s="66">
        <v>1.0</v>
      </c>
      <c r="K126" s="66">
        <v>0.0</v>
      </c>
      <c r="L126" s="66">
        <v>0.0</v>
      </c>
      <c r="M126" s="66">
        <v>1.0</v>
      </c>
      <c r="N126" s="66">
        <v>0.0</v>
      </c>
      <c r="O126" s="66">
        <v>0.0</v>
      </c>
      <c r="P126" s="66">
        <v>0.0</v>
      </c>
      <c r="Q126" s="6">
        <f t="shared" ref="Q126:Q131" si="36">SUM(E126:P126)</f>
        <v>5</v>
      </c>
    </row>
    <row r="127" ht="12.75" customHeight="1">
      <c r="A127" s="32" t="s">
        <v>38</v>
      </c>
      <c r="B127" s="51"/>
      <c r="C127" s="52" t="s">
        <v>105</v>
      </c>
      <c r="D127" s="53"/>
      <c r="E127" s="66">
        <v>0.0</v>
      </c>
      <c r="F127" s="66">
        <v>0.0</v>
      </c>
      <c r="G127" s="66">
        <v>0.0</v>
      </c>
      <c r="H127" s="66">
        <v>0.0</v>
      </c>
      <c r="I127" s="66">
        <v>0.0</v>
      </c>
      <c r="J127" s="66">
        <v>1.0</v>
      </c>
      <c r="K127" s="66">
        <v>0.0</v>
      </c>
      <c r="L127" s="66">
        <v>0.0</v>
      </c>
      <c r="M127" s="66">
        <v>0.0</v>
      </c>
      <c r="N127" s="66">
        <v>0.0</v>
      </c>
      <c r="O127" s="66">
        <v>1.0</v>
      </c>
      <c r="P127" s="66">
        <v>0.0</v>
      </c>
      <c r="Q127" s="6">
        <f t="shared" si="36"/>
        <v>2</v>
      </c>
    </row>
    <row r="128" ht="12.75" customHeight="1">
      <c r="A128" s="18"/>
      <c r="B128" s="51"/>
      <c r="C128" s="52" t="s">
        <v>106</v>
      </c>
      <c r="D128" s="53"/>
      <c r="E128" s="66">
        <v>0.0</v>
      </c>
      <c r="F128" s="66">
        <v>0.0</v>
      </c>
      <c r="G128" s="66">
        <v>0.0</v>
      </c>
      <c r="H128" s="66">
        <v>0.0</v>
      </c>
      <c r="I128" s="66">
        <v>0.0</v>
      </c>
      <c r="J128" s="66">
        <v>0.0</v>
      </c>
      <c r="K128" s="66">
        <v>0.0</v>
      </c>
      <c r="L128" s="66">
        <v>0.0</v>
      </c>
      <c r="M128" s="66">
        <v>0.0</v>
      </c>
      <c r="N128" s="66">
        <v>0.0</v>
      </c>
      <c r="O128" s="66">
        <v>0.0</v>
      </c>
      <c r="P128" s="66">
        <v>1.0</v>
      </c>
      <c r="Q128" s="6">
        <f t="shared" si="36"/>
        <v>1</v>
      </c>
    </row>
    <row r="129" ht="12.75" customHeight="1">
      <c r="A129" s="18"/>
      <c r="B129" s="51"/>
      <c r="C129" s="52" t="s">
        <v>107</v>
      </c>
      <c r="D129" s="53"/>
      <c r="E129" s="66">
        <v>0.0</v>
      </c>
      <c r="F129" s="66">
        <v>1.0</v>
      </c>
      <c r="G129" s="66">
        <v>0.0</v>
      </c>
      <c r="H129" s="66">
        <v>0.0</v>
      </c>
      <c r="I129" s="66">
        <v>0.0</v>
      </c>
      <c r="J129" s="66">
        <v>0.0</v>
      </c>
      <c r="K129" s="66">
        <v>0.0</v>
      </c>
      <c r="L129" s="66">
        <v>0.0</v>
      </c>
      <c r="M129" s="66">
        <v>0.0</v>
      </c>
      <c r="N129" s="66">
        <v>0.0</v>
      </c>
      <c r="O129" s="66">
        <v>0.0</v>
      </c>
      <c r="P129" s="66">
        <v>0.0</v>
      </c>
      <c r="Q129" s="6">
        <f t="shared" si="36"/>
        <v>1</v>
      </c>
    </row>
    <row r="130" ht="12.75" customHeight="1">
      <c r="A130" s="18"/>
      <c r="B130" s="51"/>
      <c r="C130" s="52" t="s">
        <v>108</v>
      </c>
      <c r="D130" s="53"/>
      <c r="E130" s="66">
        <v>0.0</v>
      </c>
      <c r="F130" s="66">
        <v>0.0</v>
      </c>
      <c r="G130" s="66">
        <v>0.0</v>
      </c>
      <c r="H130" s="66">
        <v>0.0</v>
      </c>
      <c r="I130" s="66">
        <v>0.0</v>
      </c>
      <c r="J130" s="66">
        <v>0.0</v>
      </c>
      <c r="K130" s="66">
        <v>0.0</v>
      </c>
      <c r="L130" s="66">
        <v>0.0</v>
      </c>
      <c r="M130" s="66">
        <v>0.0</v>
      </c>
      <c r="N130" s="66">
        <v>0.0</v>
      </c>
      <c r="O130" s="66">
        <v>0.0</v>
      </c>
      <c r="P130" s="66">
        <v>0.0</v>
      </c>
      <c r="Q130" s="6">
        <f t="shared" si="36"/>
        <v>0</v>
      </c>
    </row>
    <row r="131" ht="12.75" customHeight="1">
      <c r="A131" s="13" t="s">
        <v>14</v>
      </c>
      <c r="B131" s="49" t="s">
        <v>45</v>
      </c>
      <c r="C131" s="8"/>
      <c r="D131" s="9"/>
      <c r="E131" s="54">
        <f t="shared" ref="E131:P131" si="37">SUM(E126:E130)</f>
        <v>1</v>
      </c>
      <c r="F131" s="54">
        <f t="shared" si="37"/>
        <v>1</v>
      </c>
      <c r="G131" s="54">
        <f t="shared" si="37"/>
        <v>1</v>
      </c>
      <c r="H131" s="54">
        <f t="shared" si="37"/>
        <v>0</v>
      </c>
      <c r="I131" s="54">
        <f t="shared" si="37"/>
        <v>1</v>
      </c>
      <c r="J131" s="54">
        <f t="shared" si="37"/>
        <v>2</v>
      </c>
      <c r="K131" s="54">
        <f t="shared" si="37"/>
        <v>0</v>
      </c>
      <c r="L131" s="54">
        <f t="shared" si="37"/>
        <v>0</v>
      </c>
      <c r="M131" s="54">
        <f t="shared" si="37"/>
        <v>1</v>
      </c>
      <c r="N131" s="54">
        <f t="shared" si="37"/>
        <v>0</v>
      </c>
      <c r="O131" s="54">
        <f t="shared" si="37"/>
        <v>1</v>
      </c>
      <c r="P131" s="54">
        <f t="shared" si="37"/>
        <v>1</v>
      </c>
      <c r="Q131" s="6">
        <f t="shared" si="36"/>
        <v>9</v>
      </c>
    </row>
    <row r="132" ht="12.75" customHeight="1">
      <c r="A132" s="55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6"/>
    </row>
    <row r="133" ht="12.75" customHeight="1">
      <c r="A133" s="32" t="s">
        <v>36</v>
      </c>
      <c r="B133" s="49" t="s">
        <v>109</v>
      </c>
      <c r="C133" s="50" t="s">
        <v>110</v>
      </c>
      <c r="D133" s="9"/>
      <c r="E133" s="66">
        <v>1.0</v>
      </c>
      <c r="F133" s="66">
        <v>0.0</v>
      </c>
      <c r="G133" s="66">
        <v>0.0</v>
      </c>
      <c r="H133" s="66">
        <v>0.0</v>
      </c>
      <c r="I133" s="66">
        <v>0.0</v>
      </c>
      <c r="J133" s="66">
        <v>0.0</v>
      </c>
      <c r="K133" s="66">
        <v>0.0</v>
      </c>
      <c r="L133" s="66">
        <v>0.0</v>
      </c>
      <c r="M133" s="66">
        <v>0.0</v>
      </c>
      <c r="N133" s="66">
        <v>0.0</v>
      </c>
      <c r="O133" s="66">
        <v>0.0</v>
      </c>
      <c r="P133" s="66">
        <v>0.0</v>
      </c>
      <c r="Q133" s="6">
        <f t="shared" ref="Q133:Q140" si="38">SUM(E133:P133)</f>
        <v>1</v>
      </c>
    </row>
    <row r="134" ht="12.75" customHeight="1">
      <c r="A134" s="32" t="s">
        <v>38</v>
      </c>
      <c r="B134" s="51"/>
      <c r="C134" s="52" t="s">
        <v>111</v>
      </c>
      <c r="D134" s="53"/>
      <c r="E134" s="66">
        <v>0.0</v>
      </c>
      <c r="F134" s="66">
        <v>0.0</v>
      </c>
      <c r="G134" s="66">
        <v>0.0</v>
      </c>
      <c r="H134" s="66">
        <v>0.0</v>
      </c>
      <c r="I134" s="66">
        <v>0.0</v>
      </c>
      <c r="J134" s="66">
        <v>0.0</v>
      </c>
      <c r="K134" s="66">
        <v>0.0</v>
      </c>
      <c r="L134" s="66">
        <v>0.0</v>
      </c>
      <c r="M134" s="66">
        <v>0.0</v>
      </c>
      <c r="N134" s="66">
        <v>0.0</v>
      </c>
      <c r="O134" s="66">
        <v>0.0</v>
      </c>
      <c r="P134" s="66">
        <v>0.0</v>
      </c>
      <c r="Q134" s="6">
        <f t="shared" si="38"/>
        <v>0</v>
      </c>
    </row>
    <row r="135" ht="12.75" customHeight="1">
      <c r="A135" s="18"/>
      <c r="B135" s="51"/>
      <c r="C135" s="52" t="s">
        <v>112</v>
      </c>
      <c r="D135" s="53"/>
      <c r="E135" s="66">
        <v>0.0</v>
      </c>
      <c r="F135" s="66">
        <v>0.0</v>
      </c>
      <c r="G135" s="66">
        <v>0.0</v>
      </c>
      <c r="H135" s="66">
        <v>0.0</v>
      </c>
      <c r="I135" s="66">
        <v>0.0</v>
      </c>
      <c r="J135" s="66">
        <v>0.0</v>
      </c>
      <c r="K135" s="66">
        <v>0.0</v>
      </c>
      <c r="L135" s="66">
        <v>0.0</v>
      </c>
      <c r="M135" s="66">
        <v>0.0</v>
      </c>
      <c r="N135" s="66">
        <v>0.0</v>
      </c>
      <c r="O135" s="66">
        <v>0.0</v>
      </c>
      <c r="P135" s="66">
        <v>0.0</v>
      </c>
      <c r="Q135" s="6">
        <f t="shared" si="38"/>
        <v>0</v>
      </c>
    </row>
    <row r="136" ht="12.75" customHeight="1">
      <c r="A136" s="18"/>
      <c r="B136" s="51"/>
      <c r="C136" s="52" t="s">
        <v>113</v>
      </c>
      <c r="D136" s="53"/>
      <c r="E136" s="66">
        <v>0.0</v>
      </c>
      <c r="F136" s="66">
        <v>0.0</v>
      </c>
      <c r="G136" s="66">
        <v>0.0</v>
      </c>
      <c r="H136" s="66">
        <v>0.0</v>
      </c>
      <c r="I136" s="66">
        <v>0.0</v>
      </c>
      <c r="J136" s="66">
        <v>0.0</v>
      </c>
      <c r="K136" s="66">
        <v>0.0</v>
      </c>
      <c r="L136" s="66">
        <v>0.0</v>
      </c>
      <c r="M136" s="66">
        <v>0.0</v>
      </c>
      <c r="N136" s="66">
        <v>0.0</v>
      </c>
      <c r="O136" s="66">
        <v>0.0</v>
      </c>
      <c r="P136" s="66">
        <v>0.0</v>
      </c>
      <c r="Q136" s="6">
        <f t="shared" si="38"/>
        <v>0</v>
      </c>
    </row>
    <row r="137" ht="12.75" customHeight="1">
      <c r="A137" s="18"/>
      <c r="B137" s="51"/>
      <c r="C137" s="52" t="s">
        <v>114</v>
      </c>
      <c r="D137" s="53"/>
      <c r="E137" s="66">
        <v>0.0</v>
      </c>
      <c r="F137" s="66">
        <v>0.0</v>
      </c>
      <c r="G137" s="66">
        <v>0.0</v>
      </c>
      <c r="H137" s="66">
        <v>0.0</v>
      </c>
      <c r="I137" s="66">
        <v>0.0</v>
      </c>
      <c r="J137" s="66">
        <v>0.0</v>
      </c>
      <c r="K137" s="66">
        <v>0.0</v>
      </c>
      <c r="L137" s="66">
        <v>0.0</v>
      </c>
      <c r="M137" s="66">
        <v>0.0</v>
      </c>
      <c r="N137" s="66">
        <v>0.0</v>
      </c>
      <c r="O137" s="66">
        <v>0.0</v>
      </c>
      <c r="P137" s="66">
        <v>0.0</v>
      </c>
      <c r="Q137" s="6">
        <f t="shared" si="38"/>
        <v>0</v>
      </c>
    </row>
    <row r="138" ht="12.75" customHeight="1">
      <c r="A138" s="18"/>
      <c r="B138" s="51"/>
      <c r="C138" s="52" t="s">
        <v>115</v>
      </c>
      <c r="D138" s="53"/>
      <c r="E138" s="66">
        <v>0.0</v>
      </c>
      <c r="F138" s="66">
        <v>0.0</v>
      </c>
      <c r="G138" s="66">
        <v>0.0</v>
      </c>
      <c r="H138" s="66">
        <v>0.0</v>
      </c>
      <c r="I138" s="66">
        <v>0.0</v>
      </c>
      <c r="J138" s="66">
        <v>0.0</v>
      </c>
      <c r="K138" s="66">
        <v>0.0</v>
      </c>
      <c r="L138" s="66">
        <v>0.0</v>
      </c>
      <c r="M138" s="66">
        <v>0.0</v>
      </c>
      <c r="N138" s="66">
        <v>0.0</v>
      </c>
      <c r="O138" s="66">
        <v>0.0</v>
      </c>
      <c r="P138" s="66">
        <v>0.0</v>
      </c>
      <c r="Q138" s="6">
        <f t="shared" si="38"/>
        <v>0</v>
      </c>
    </row>
    <row r="139" ht="12.75" customHeight="1">
      <c r="A139" s="18"/>
      <c r="B139" s="51"/>
      <c r="C139" s="52" t="s">
        <v>116</v>
      </c>
      <c r="D139" s="53"/>
      <c r="E139" s="66">
        <v>0.0</v>
      </c>
      <c r="F139" s="66">
        <v>0.0</v>
      </c>
      <c r="G139" s="66">
        <v>0.0</v>
      </c>
      <c r="H139" s="66">
        <v>0.0</v>
      </c>
      <c r="I139" s="66">
        <v>0.0</v>
      </c>
      <c r="J139" s="66">
        <v>0.0</v>
      </c>
      <c r="K139" s="66">
        <v>0.0</v>
      </c>
      <c r="L139" s="66">
        <v>0.0</v>
      </c>
      <c r="M139" s="66">
        <v>0.0</v>
      </c>
      <c r="N139" s="66">
        <v>0.0</v>
      </c>
      <c r="O139" s="66">
        <v>0.0</v>
      </c>
      <c r="P139" s="66">
        <v>0.0</v>
      </c>
      <c r="Q139" s="6">
        <f t="shared" si="38"/>
        <v>0</v>
      </c>
    </row>
    <row r="140" ht="12.75" customHeight="1">
      <c r="A140" s="13" t="s">
        <v>14</v>
      </c>
      <c r="B140" s="49" t="s">
        <v>45</v>
      </c>
      <c r="C140" s="8"/>
      <c r="D140" s="9"/>
      <c r="E140" s="54">
        <f t="shared" ref="E140:P140" si="39">SUM(E133:E139)</f>
        <v>1</v>
      </c>
      <c r="F140" s="54">
        <f t="shared" si="39"/>
        <v>0</v>
      </c>
      <c r="G140" s="54">
        <f t="shared" si="39"/>
        <v>0</v>
      </c>
      <c r="H140" s="54">
        <f t="shared" si="39"/>
        <v>0</v>
      </c>
      <c r="I140" s="54">
        <f t="shared" si="39"/>
        <v>0</v>
      </c>
      <c r="J140" s="54">
        <f t="shared" si="39"/>
        <v>0</v>
      </c>
      <c r="K140" s="54">
        <f t="shared" si="39"/>
        <v>0</v>
      </c>
      <c r="L140" s="54">
        <f t="shared" si="39"/>
        <v>0</v>
      </c>
      <c r="M140" s="54">
        <f t="shared" si="39"/>
        <v>0</v>
      </c>
      <c r="N140" s="54">
        <f t="shared" si="39"/>
        <v>0</v>
      </c>
      <c r="O140" s="54">
        <f t="shared" si="39"/>
        <v>0</v>
      </c>
      <c r="P140" s="54">
        <f t="shared" si="39"/>
        <v>0</v>
      </c>
      <c r="Q140" s="6">
        <f t="shared" si="38"/>
        <v>1</v>
      </c>
    </row>
    <row r="141" ht="12.75" customHeight="1">
      <c r="A141" s="55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6"/>
    </row>
    <row r="142" ht="12.75" customHeight="1">
      <c r="A142" s="32" t="s">
        <v>36</v>
      </c>
      <c r="B142" s="49" t="s">
        <v>117</v>
      </c>
      <c r="C142" s="50" t="s">
        <v>118</v>
      </c>
      <c r="D142" s="9"/>
      <c r="E142" s="66">
        <v>5.0</v>
      </c>
      <c r="F142" s="66">
        <v>5.0</v>
      </c>
      <c r="G142" s="66">
        <v>0.0</v>
      </c>
      <c r="H142" s="66">
        <v>1.0</v>
      </c>
      <c r="I142" s="66">
        <v>4.0</v>
      </c>
      <c r="J142" s="66">
        <v>2.0</v>
      </c>
      <c r="K142" s="66">
        <v>5.0</v>
      </c>
      <c r="L142" s="66">
        <v>0.0</v>
      </c>
      <c r="M142" s="66">
        <v>2.0</v>
      </c>
      <c r="N142" s="66">
        <v>0.0</v>
      </c>
      <c r="O142" s="66">
        <v>4.0</v>
      </c>
      <c r="P142" s="66">
        <v>5.0</v>
      </c>
      <c r="Q142" s="6">
        <f t="shared" ref="Q142:Q149" si="40">SUM(E142:P142)</f>
        <v>33</v>
      </c>
    </row>
    <row r="143" ht="12.75" customHeight="1">
      <c r="A143" s="32" t="s">
        <v>38</v>
      </c>
      <c r="B143" s="51"/>
      <c r="C143" s="52" t="s">
        <v>119</v>
      </c>
      <c r="D143" s="53"/>
      <c r="E143" s="66">
        <v>19.0</v>
      </c>
      <c r="F143" s="66">
        <v>17.0</v>
      </c>
      <c r="G143" s="66">
        <v>5.0</v>
      </c>
      <c r="H143" s="66">
        <v>1.0</v>
      </c>
      <c r="I143" s="66">
        <v>8.0</v>
      </c>
      <c r="J143" s="66">
        <v>23.0</v>
      </c>
      <c r="K143" s="66">
        <v>9.0</v>
      </c>
      <c r="L143" s="66">
        <v>0.0</v>
      </c>
      <c r="M143" s="66">
        <v>8.0</v>
      </c>
      <c r="N143" s="66">
        <v>3.0</v>
      </c>
      <c r="O143" s="66">
        <v>4.0</v>
      </c>
      <c r="P143" s="66">
        <v>1.0</v>
      </c>
      <c r="Q143" s="6">
        <f t="shared" si="40"/>
        <v>98</v>
      </c>
    </row>
    <row r="144" ht="12.75" customHeight="1">
      <c r="A144" s="18"/>
      <c r="B144" s="51"/>
      <c r="C144" s="52" t="s">
        <v>120</v>
      </c>
      <c r="D144" s="53"/>
      <c r="E144" s="66">
        <v>1.0</v>
      </c>
      <c r="F144" s="66">
        <v>2.0</v>
      </c>
      <c r="G144" s="66">
        <v>0.0</v>
      </c>
      <c r="H144" s="66">
        <v>1.0</v>
      </c>
      <c r="I144" s="66">
        <v>1.0</v>
      </c>
      <c r="J144" s="66">
        <v>5.0</v>
      </c>
      <c r="K144" s="66">
        <v>1.0</v>
      </c>
      <c r="L144" s="66">
        <v>4.0</v>
      </c>
      <c r="M144" s="66">
        <v>3.0</v>
      </c>
      <c r="N144" s="66">
        <v>8.0</v>
      </c>
      <c r="O144" s="66">
        <v>2.0</v>
      </c>
      <c r="P144" s="66">
        <v>0.0</v>
      </c>
      <c r="Q144" s="6">
        <f t="shared" si="40"/>
        <v>28</v>
      </c>
    </row>
    <row r="145" ht="12.75" customHeight="1">
      <c r="A145" s="18"/>
      <c r="B145" s="51"/>
      <c r="C145" s="52" t="s">
        <v>121</v>
      </c>
      <c r="D145" s="53"/>
      <c r="E145" s="66">
        <v>0.0</v>
      </c>
      <c r="F145" s="66">
        <v>0.0</v>
      </c>
      <c r="G145" s="66">
        <v>0.0</v>
      </c>
      <c r="H145" s="66">
        <v>0.0</v>
      </c>
      <c r="I145" s="66">
        <v>1.0</v>
      </c>
      <c r="J145" s="66">
        <v>1.0</v>
      </c>
      <c r="K145" s="66">
        <v>0.0</v>
      </c>
      <c r="L145" s="66">
        <v>0.0</v>
      </c>
      <c r="M145" s="66">
        <v>0.0</v>
      </c>
      <c r="N145" s="66">
        <v>0.0</v>
      </c>
      <c r="O145" s="66">
        <v>1.0</v>
      </c>
      <c r="P145" s="66">
        <v>1.0</v>
      </c>
      <c r="Q145" s="6">
        <f t="shared" si="40"/>
        <v>4</v>
      </c>
    </row>
    <row r="146" ht="12.75" customHeight="1">
      <c r="A146" s="18"/>
      <c r="B146" s="51"/>
      <c r="C146" s="52" t="s">
        <v>122</v>
      </c>
      <c r="D146" s="53"/>
      <c r="E146" s="66">
        <v>0.0</v>
      </c>
      <c r="F146" s="66">
        <v>0.0</v>
      </c>
      <c r="G146" s="66">
        <v>0.0</v>
      </c>
      <c r="H146" s="66">
        <v>0.0</v>
      </c>
      <c r="I146" s="66">
        <v>0.0</v>
      </c>
      <c r="J146" s="66">
        <v>0.0</v>
      </c>
      <c r="K146" s="66">
        <v>0.0</v>
      </c>
      <c r="L146" s="66">
        <v>0.0</v>
      </c>
      <c r="M146" s="66">
        <v>0.0</v>
      </c>
      <c r="N146" s="66">
        <v>1.0</v>
      </c>
      <c r="O146" s="66">
        <v>0.0</v>
      </c>
      <c r="P146" s="66">
        <v>0.0</v>
      </c>
      <c r="Q146" s="6">
        <f t="shared" si="40"/>
        <v>1</v>
      </c>
    </row>
    <row r="147" ht="12.75" customHeight="1">
      <c r="A147" s="18"/>
      <c r="B147" s="51"/>
      <c r="C147" s="52" t="s">
        <v>123</v>
      </c>
      <c r="D147" s="53"/>
      <c r="E147" s="66">
        <v>0.0</v>
      </c>
      <c r="F147" s="66">
        <v>0.0</v>
      </c>
      <c r="G147" s="66">
        <v>0.0</v>
      </c>
      <c r="H147" s="66">
        <v>0.0</v>
      </c>
      <c r="I147" s="66">
        <v>0.0</v>
      </c>
      <c r="J147" s="66">
        <v>0.0</v>
      </c>
      <c r="K147" s="66">
        <v>0.0</v>
      </c>
      <c r="L147" s="66">
        <v>0.0</v>
      </c>
      <c r="M147" s="66">
        <v>0.0</v>
      </c>
      <c r="N147" s="66">
        <v>0.0</v>
      </c>
      <c r="O147" s="66">
        <v>0.0</v>
      </c>
      <c r="P147" s="66">
        <v>0.0</v>
      </c>
      <c r="Q147" s="6">
        <f t="shared" si="40"/>
        <v>0</v>
      </c>
    </row>
    <row r="148" ht="12.75" customHeight="1">
      <c r="A148" s="18"/>
      <c r="B148" s="51"/>
      <c r="C148" s="52" t="s">
        <v>124</v>
      </c>
      <c r="D148" s="53"/>
      <c r="E148" s="66">
        <v>0.0</v>
      </c>
      <c r="F148" s="66">
        <v>1.0</v>
      </c>
      <c r="G148" s="66">
        <v>0.0</v>
      </c>
      <c r="H148" s="66">
        <v>0.0</v>
      </c>
      <c r="I148" s="66">
        <v>0.0</v>
      </c>
      <c r="J148" s="66">
        <v>0.0</v>
      </c>
      <c r="K148" s="66">
        <v>0.0</v>
      </c>
      <c r="L148" s="66">
        <v>0.0</v>
      </c>
      <c r="M148" s="66">
        <v>0.0</v>
      </c>
      <c r="N148" s="66">
        <v>0.0</v>
      </c>
      <c r="O148" s="66">
        <v>0.0</v>
      </c>
      <c r="P148" s="66">
        <v>0.0</v>
      </c>
      <c r="Q148" s="6">
        <f t="shared" si="40"/>
        <v>1</v>
      </c>
    </row>
    <row r="149" ht="12.75" customHeight="1">
      <c r="A149" s="13" t="s">
        <v>14</v>
      </c>
      <c r="B149" s="49" t="s">
        <v>45</v>
      </c>
      <c r="C149" s="8"/>
      <c r="D149" s="9"/>
      <c r="E149" s="54">
        <f t="shared" ref="E149:P149" si="41">SUM(E142:E148)</f>
        <v>25</v>
      </c>
      <c r="F149" s="54">
        <f t="shared" si="41"/>
        <v>25</v>
      </c>
      <c r="G149" s="54">
        <f t="shared" si="41"/>
        <v>5</v>
      </c>
      <c r="H149" s="54">
        <f t="shared" si="41"/>
        <v>3</v>
      </c>
      <c r="I149" s="54">
        <f t="shared" si="41"/>
        <v>14</v>
      </c>
      <c r="J149" s="54">
        <f t="shared" si="41"/>
        <v>31</v>
      </c>
      <c r="K149" s="54">
        <f t="shared" si="41"/>
        <v>15</v>
      </c>
      <c r="L149" s="54">
        <f t="shared" si="41"/>
        <v>4</v>
      </c>
      <c r="M149" s="54">
        <f t="shared" si="41"/>
        <v>13</v>
      </c>
      <c r="N149" s="54">
        <f t="shared" si="41"/>
        <v>12</v>
      </c>
      <c r="O149" s="54">
        <f t="shared" si="41"/>
        <v>11</v>
      </c>
      <c r="P149" s="54">
        <f t="shared" si="41"/>
        <v>7</v>
      </c>
      <c r="Q149" s="6">
        <f t="shared" si="40"/>
        <v>165</v>
      </c>
    </row>
    <row r="150" ht="12.75" customHeight="1">
      <c r="A150" s="55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6"/>
    </row>
    <row r="151" ht="12.75" customHeight="1">
      <c r="A151" s="32" t="s">
        <v>36</v>
      </c>
      <c r="B151" s="49" t="s">
        <v>125</v>
      </c>
      <c r="C151" s="50" t="s">
        <v>126</v>
      </c>
      <c r="D151" s="9"/>
      <c r="E151" s="66">
        <v>0.0</v>
      </c>
      <c r="F151" s="66">
        <v>0.0</v>
      </c>
      <c r="G151" s="66">
        <v>3.0</v>
      </c>
      <c r="H151" s="66">
        <v>0.0</v>
      </c>
      <c r="I151" s="66">
        <v>0.0</v>
      </c>
      <c r="J151" s="66">
        <v>3.0</v>
      </c>
      <c r="K151" s="66">
        <v>0.0</v>
      </c>
      <c r="L151" s="66">
        <v>0.0</v>
      </c>
      <c r="M151" s="66">
        <v>0.0</v>
      </c>
      <c r="N151" s="66">
        <v>0.0</v>
      </c>
      <c r="O151" s="66">
        <v>3.0</v>
      </c>
      <c r="P151" s="66">
        <v>0.0</v>
      </c>
      <c r="Q151" s="6">
        <f t="shared" ref="Q151:Q153" si="42">SUM(E151:P151)</f>
        <v>9</v>
      </c>
    </row>
    <row r="152" ht="12.75" customHeight="1">
      <c r="A152" s="32" t="s">
        <v>38</v>
      </c>
      <c r="B152" s="51"/>
      <c r="C152" s="52" t="s">
        <v>127</v>
      </c>
      <c r="D152" s="53"/>
      <c r="E152" s="66">
        <v>0.0</v>
      </c>
      <c r="F152" s="66">
        <v>1.0</v>
      </c>
      <c r="G152" s="66">
        <v>0.0</v>
      </c>
      <c r="H152" s="66">
        <v>0.0</v>
      </c>
      <c r="I152" s="66">
        <v>1.0</v>
      </c>
      <c r="J152" s="66">
        <v>0.0</v>
      </c>
      <c r="K152" s="66">
        <v>0.0</v>
      </c>
      <c r="L152" s="66">
        <v>0.0</v>
      </c>
      <c r="M152" s="66">
        <v>0.0</v>
      </c>
      <c r="N152" s="66">
        <v>0.0</v>
      </c>
      <c r="O152" s="66">
        <v>0.0</v>
      </c>
      <c r="P152" s="66">
        <v>0.0</v>
      </c>
      <c r="Q152" s="6">
        <f t="shared" si="42"/>
        <v>2</v>
      </c>
    </row>
    <row r="153" ht="12.75" customHeight="1">
      <c r="A153" s="13" t="s">
        <v>14</v>
      </c>
      <c r="B153" s="49" t="s">
        <v>45</v>
      </c>
      <c r="C153" s="8"/>
      <c r="D153" s="9"/>
      <c r="E153" s="54">
        <f t="shared" ref="E153:P153" si="43">SUM(E151:E152)</f>
        <v>0</v>
      </c>
      <c r="F153" s="54">
        <f t="shared" si="43"/>
        <v>1</v>
      </c>
      <c r="G153" s="54">
        <f t="shared" si="43"/>
        <v>3</v>
      </c>
      <c r="H153" s="54">
        <f t="shared" si="43"/>
        <v>0</v>
      </c>
      <c r="I153" s="54">
        <f t="shared" si="43"/>
        <v>1</v>
      </c>
      <c r="J153" s="54">
        <f t="shared" si="43"/>
        <v>3</v>
      </c>
      <c r="K153" s="54">
        <f t="shared" si="43"/>
        <v>0</v>
      </c>
      <c r="L153" s="54">
        <f t="shared" si="43"/>
        <v>0</v>
      </c>
      <c r="M153" s="54">
        <f t="shared" si="43"/>
        <v>0</v>
      </c>
      <c r="N153" s="54">
        <f t="shared" si="43"/>
        <v>0</v>
      </c>
      <c r="O153" s="54">
        <f t="shared" si="43"/>
        <v>3</v>
      </c>
      <c r="P153" s="54">
        <f t="shared" si="43"/>
        <v>0</v>
      </c>
      <c r="Q153" s="6">
        <f t="shared" si="42"/>
        <v>11</v>
      </c>
    </row>
    <row r="154" ht="12.75" customHeight="1">
      <c r="A154" s="55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6"/>
    </row>
    <row r="155" ht="12.75" customHeight="1">
      <c r="A155" s="32" t="s">
        <v>36</v>
      </c>
      <c r="B155" s="49" t="s">
        <v>128</v>
      </c>
      <c r="C155" s="50" t="s">
        <v>129</v>
      </c>
      <c r="D155" s="9"/>
      <c r="E155" s="66">
        <v>0.0</v>
      </c>
      <c r="F155" s="66">
        <v>0.0</v>
      </c>
      <c r="G155" s="66">
        <v>0.0</v>
      </c>
      <c r="H155" s="66">
        <v>0.0</v>
      </c>
      <c r="I155" s="66">
        <v>0.0</v>
      </c>
      <c r="J155" s="66">
        <v>0.0</v>
      </c>
      <c r="K155" s="66">
        <v>0.0</v>
      </c>
      <c r="L155" s="66">
        <v>0.0</v>
      </c>
      <c r="M155" s="66">
        <v>0.0</v>
      </c>
      <c r="N155" s="66">
        <v>0.0</v>
      </c>
      <c r="O155" s="66">
        <v>0.0</v>
      </c>
      <c r="P155" s="66">
        <v>1.0</v>
      </c>
      <c r="Q155" s="6">
        <f t="shared" ref="Q155:Q159" si="44">SUM(E155:P155)</f>
        <v>1</v>
      </c>
    </row>
    <row r="156" ht="12.75" customHeight="1">
      <c r="A156" s="32"/>
      <c r="B156" s="49"/>
      <c r="C156" s="52" t="s">
        <v>130</v>
      </c>
      <c r="D156" s="61"/>
      <c r="E156" s="66">
        <v>0.0</v>
      </c>
      <c r="F156" s="66">
        <v>0.0</v>
      </c>
      <c r="G156" s="66">
        <v>0.0</v>
      </c>
      <c r="H156" s="66">
        <v>0.0</v>
      </c>
      <c r="I156" s="66">
        <v>0.0</v>
      </c>
      <c r="J156" s="66">
        <v>0.0</v>
      </c>
      <c r="K156" s="66">
        <v>0.0</v>
      </c>
      <c r="L156" s="66">
        <v>0.0</v>
      </c>
      <c r="M156" s="66">
        <v>0.0</v>
      </c>
      <c r="N156" s="66">
        <v>0.0</v>
      </c>
      <c r="O156" s="66">
        <v>0.0</v>
      </c>
      <c r="P156" s="66">
        <v>0.0</v>
      </c>
      <c r="Q156" s="6">
        <f t="shared" si="44"/>
        <v>0</v>
      </c>
    </row>
    <row r="157" ht="12.75" customHeight="1">
      <c r="A157" s="32"/>
      <c r="B157" s="49"/>
      <c r="C157" s="52" t="s">
        <v>131</v>
      </c>
      <c r="D157" s="61"/>
      <c r="E157" s="66">
        <v>1.0</v>
      </c>
      <c r="F157" s="66">
        <v>0.0</v>
      </c>
      <c r="G157" s="66">
        <v>0.0</v>
      </c>
      <c r="H157" s="66">
        <v>0.0</v>
      </c>
      <c r="I157" s="66">
        <v>0.0</v>
      </c>
      <c r="J157" s="66">
        <v>0.0</v>
      </c>
      <c r="K157" s="66">
        <v>0.0</v>
      </c>
      <c r="L157" s="66">
        <v>0.0</v>
      </c>
      <c r="M157" s="66">
        <v>0.0</v>
      </c>
      <c r="N157" s="66">
        <v>0.0</v>
      </c>
      <c r="O157" s="66">
        <v>0.0</v>
      </c>
      <c r="P157" s="66">
        <v>0.0</v>
      </c>
      <c r="Q157" s="6">
        <f t="shared" si="44"/>
        <v>1</v>
      </c>
    </row>
    <row r="158" ht="12.75" customHeight="1">
      <c r="A158" s="32"/>
      <c r="B158" s="49"/>
      <c r="C158" s="52" t="s">
        <v>132</v>
      </c>
      <c r="D158" s="61"/>
      <c r="E158" s="66">
        <v>0.0</v>
      </c>
      <c r="F158" s="66">
        <v>0.0</v>
      </c>
      <c r="G158" s="66">
        <v>0.0</v>
      </c>
      <c r="H158" s="66">
        <v>0.0</v>
      </c>
      <c r="I158" s="66">
        <v>0.0</v>
      </c>
      <c r="J158" s="66">
        <v>0.0</v>
      </c>
      <c r="K158" s="66">
        <v>0.0</v>
      </c>
      <c r="L158" s="66">
        <v>0.0</v>
      </c>
      <c r="M158" s="66">
        <v>0.0</v>
      </c>
      <c r="N158" s="66">
        <v>0.0</v>
      </c>
      <c r="O158" s="66">
        <v>0.0</v>
      </c>
      <c r="P158" s="66">
        <v>0.0</v>
      </c>
      <c r="Q158" s="6">
        <f t="shared" si="44"/>
        <v>0</v>
      </c>
    </row>
    <row r="159" ht="12.75" customHeight="1">
      <c r="A159" s="13" t="s">
        <v>14</v>
      </c>
      <c r="B159" s="49" t="s">
        <v>45</v>
      </c>
      <c r="C159" s="8"/>
      <c r="D159" s="9"/>
      <c r="E159" s="54">
        <f t="shared" ref="E159:P159" si="45">SUM(E155:E158)</f>
        <v>1</v>
      </c>
      <c r="F159" s="54">
        <f t="shared" si="45"/>
        <v>0</v>
      </c>
      <c r="G159" s="54">
        <f t="shared" si="45"/>
        <v>0</v>
      </c>
      <c r="H159" s="54">
        <f t="shared" si="45"/>
        <v>0</v>
      </c>
      <c r="I159" s="54">
        <f t="shared" si="45"/>
        <v>0</v>
      </c>
      <c r="J159" s="54">
        <f t="shared" si="45"/>
        <v>0</v>
      </c>
      <c r="K159" s="54">
        <f t="shared" si="45"/>
        <v>0</v>
      </c>
      <c r="L159" s="54">
        <f t="shared" si="45"/>
        <v>0</v>
      </c>
      <c r="M159" s="54">
        <f t="shared" si="45"/>
        <v>0</v>
      </c>
      <c r="N159" s="54">
        <f t="shared" si="45"/>
        <v>0</v>
      </c>
      <c r="O159" s="54">
        <f t="shared" si="45"/>
        <v>0</v>
      </c>
      <c r="P159" s="54">
        <f t="shared" si="45"/>
        <v>1</v>
      </c>
      <c r="Q159" s="6">
        <f t="shared" si="44"/>
        <v>2</v>
      </c>
    </row>
    <row r="160" ht="12.75" customHeight="1">
      <c r="A160" s="55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6"/>
    </row>
    <row r="161" ht="12.75" customHeight="1">
      <c r="A161" s="32" t="s">
        <v>36</v>
      </c>
      <c r="B161" s="49" t="s">
        <v>133</v>
      </c>
      <c r="C161" s="50" t="s">
        <v>134</v>
      </c>
      <c r="D161" s="9"/>
      <c r="E161" s="66">
        <v>0.0</v>
      </c>
      <c r="F161" s="66">
        <v>0.0</v>
      </c>
      <c r="G161" s="66">
        <v>1.0</v>
      </c>
      <c r="H161" s="66">
        <v>0.0</v>
      </c>
      <c r="I161" s="66">
        <v>0.0</v>
      </c>
      <c r="J161" s="66">
        <v>0.0</v>
      </c>
      <c r="K161" s="66">
        <v>0.0</v>
      </c>
      <c r="L161" s="66">
        <v>0.0</v>
      </c>
      <c r="M161" s="66">
        <v>0.0</v>
      </c>
      <c r="N161" s="66">
        <v>1.0</v>
      </c>
      <c r="O161" s="66">
        <v>1.0</v>
      </c>
      <c r="P161" s="66">
        <v>0.0</v>
      </c>
      <c r="Q161" s="6">
        <f t="shared" ref="Q161:Q168" si="46">SUM(E161:P161)</f>
        <v>3</v>
      </c>
    </row>
    <row r="162" ht="12.75" customHeight="1">
      <c r="A162" s="32" t="s">
        <v>38</v>
      </c>
      <c r="B162" s="51"/>
      <c r="C162" s="52" t="s">
        <v>135</v>
      </c>
      <c r="D162" s="53"/>
      <c r="E162" s="66">
        <v>0.0</v>
      </c>
      <c r="F162" s="66">
        <v>0.0</v>
      </c>
      <c r="G162" s="66">
        <v>0.0</v>
      </c>
      <c r="H162" s="66">
        <v>1.0</v>
      </c>
      <c r="I162" s="66">
        <v>0.0</v>
      </c>
      <c r="J162" s="66">
        <v>3.0</v>
      </c>
      <c r="K162" s="66">
        <v>0.0</v>
      </c>
      <c r="L162" s="66">
        <v>0.0</v>
      </c>
      <c r="M162" s="66">
        <v>0.0</v>
      </c>
      <c r="N162" s="66">
        <v>0.0</v>
      </c>
      <c r="O162" s="66">
        <v>0.0</v>
      </c>
      <c r="P162" s="66">
        <v>0.0</v>
      </c>
      <c r="Q162" s="6">
        <f t="shared" si="46"/>
        <v>4</v>
      </c>
    </row>
    <row r="163" ht="12.75" customHeight="1">
      <c r="A163" s="18"/>
      <c r="B163" s="51"/>
      <c r="C163" s="52" t="s">
        <v>136</v>
      </c>
      <c r="D163" s="53"/>
      <c r="E163" s="66">
        <v>0.0</v>
      </c>
      <c r="F163" s="66">
        <v>1.0</v>
      </c>
      <c r="G163" s="66">
        <v>0.0</v>
      </c>
      <c r="H163" s="66">
        <v>0.0</v>
      </c>
      <c r="I163" s="66">
        <v>2.0</v>
      </c>
      <c r="J163" s="66">
        <v>0.0</v>
      </c>
      <c r="K163" s="66">
        <v>0.0</v>
      </c>
      <c r="L163" s="66">
        <v>0.0</v>
      </c>
      <c r="M163" s="66">
        <v>0.0</v>
      </c>
      <c r="N163" s="66">
        <v>0.0</v>
      </c>
      <c r="O163" s="66">
        <v>0.0</v>
      </c>
      <c r="P163" s="66">
        <v>0.0</v>
      </c>
      <c r="Q163" s="6">
        <f t="shared" si="46"/>
        <v>3</v>
      </c>
    </row>
    <row r="164" ht="12.75" customHeight="1">
      <c r="A164" s="18"/>
      <c r="B164" s="51"/>
      <c r="C164" s="52" t="s">
        <v>137</v>
      </c>
      <c r="D164" s="53"/>
      <c r="E164" s="66">
        <v>2.0</v>
      </c>
      <c r="F164" s="66">
        <v>0.0</v>
      </c>
      <c r="G164" s="66">
        <v>0.0</v>
      </c>
      <c r="H164" s="66">
        <v>0.0</v>
      </c>
      <c r="I164" s="66">
        <v>0.0</v>
      </c>
      <c r="J164" s="66">
        <v>0.0</v>
      </c>
      <c r="K164" s="66">
        <v>0.0</v>
      </c>
      <c r="L164" s="66">
        <v>0.0</v>
      </c>
      <c r="M164" s="66">
        <v>0.0</v>
      </c>
      <c r="N164" s="66">
        <v>0.0</v>
      </c>
      <c r="O164" s="66">
        <v>0.0</v>
      </c>
      <c r="P164" s="66">
        <v>0.0</v>
      </c>
      <c r="Q164" s="6">
        <f t="shared" si="46"/>
        <v>2</v>
      </c>
    </row>
    <row r="165" ht="12.75" customHeight="1">
      <c r="A165" s="18"/>
      <c r="B165" s="51"/>
      <c r="C165" s="52" t="s">
        <v>138</v>
      </c>
      <c r="D165" s="53"/>
      <c r="E165" s="66">
        <v>0.0</v>
      </c>
      <c r="F165" s="66">
        <v>0.0</v>
      </c>
      <c r="G165" s="66">
        <v>0.0</v>
      </c>
      <c r="H165" s="66">
        <v>0.0</v>
      </c>
      <c r="I165" s="66">
        <v>0.0</v>
      </c>
      <c r="J165" s="66">
        <v>0.0</v>
      </c>
      <c r="K165" s="66">
        <v>0.0</v>
      </c>
      <c r="L165" s="66">
        <v>0.0</v>
      </c>
      <c r="M165" s="66">
        <v>0.0</v>
      </c>
      <c r="N165" s="66">
        <v>0.0</v>
      </c>
      <c r="O165" s="66">
        <v>0.0</v>
      </c>
      <c r="P165" s="66">
        <v>0.0</v>
      </c>
      <c r="Q165" s="6">
        <f t="shared" si="46"/>
        <v>0</v>
      </c>
    </row>
    <row r="166" ht="12.75" customHeight="1">
      <c r="A166" s="18"/>
      <c r="B166" s="51"/>
      <c r="C166" s="52" t="s">
        <v>139</v>
      </c>
      <c r="D166" s="53"/>
      <c r="E166" s="66">
        <v>0.0</v>
      </c>
      <c r="F166" s="66">
        <v>2.0</v>
      </c>
      <c r="G166" s="66">
        <v>2.0</v>
      </c>
      <c r="H166" s="66">
        <v>0.0</v>
      </c>
      <c r="I166" s="66">
        <v>0.0</v>
      </c>
      <c r="J166" s="66">
        <v>1.0</v>
      </c>
      <c r="K166" s="66">
        <v>0.0</v>
      </c>
      <c r="L166" s="66">
        <v>0.0</v>
      </c>
      <c r="M166" s="66">
        <v>0.0</v>
      </c>
      <c r="N166" s="66">
        <v>0.0</v>
      </c>
      <c r="O166" s="66">
        <v>0.0</v>
      </c>
      <c r="P166" s="66">
        <v>0.0</v>
      </c>
      <c r="Q166" s="6">
        <f t="shared" si="46"/>
        <v>5</v>
      </c>
    </row>
    <row r="167" ht="12.75" customHeight="1">
      <c r="A167" s="18"/>
      <c r="B167" s="51"/>
      <c r="C167" s="52" t="s">
        <v>140</v>
      </c>
      <c r="D167" s="53"/>
      <c r="E167" s="66">
        <v>0.0</v>
      </c>
      <c r="F167" s="66">
        <v>0.0</v>
      </c>
      <c r="G167" s="66">
        <v>0.0</v>
      </c>
      <c r="H167" s="66">
        <v>0.0</v>
      </c>
      <c r="I167" s="66">
        <v>0.0</v>
      </c>
      <c r="J167" s="66">
        <v>0.0</v>
      </c>
      <c r="K167" s="66">
        <v>0.0</v>
      </c>
      <c r="L167" s="66">
        <v>0.0</v>
      </c>
      <c r="M167" s="66">
        <v>0.0</v>
      </c>
      <c r="N167" s="66">
        <v>0.0</v>
      </c>
      <c r="O167" s="66">
        <v>0.0</v>
      </c>
      <c r="P167" s="66">
        <v>0.0</v>
      </c>
      <c r="Q167" s="6">
        <f t="shared" si="46"/>
        <v>0</v>
      </c>
    </row>
    <row r="168" ht="12.75" customHeight="1">
      <c r="A168" s="13" t="s">
        <v>14</v>
      </c>
      <c r="B168" s="49" t="s">
        <v>45</v>
      </c>
      <c r="C168" s="8"/>
      <c r="D168" s="9"/>
      <c r="E168" s="54">
        <f t="shared" ref="E168:P168" si="47">SUM(E161:E167)</f>
        <v>2</v>
      </c>
      <c r="F168" s="54">
        <f t="shared" si="47"/>
        <v>3</v>
      </c>
      <c r="G168" s="54">
        <f t="shared" si="47"/>
        <v>3</v>
      </c>
      <c r="H168" s="54">
        <f t="shared" si="47"/>
        <v>1</v>
      </c>
      <c r="I168" s="54">
        <f t="shared" si="47"/>
        <v>2</v>
      </c>
      <c r="J168" s="54">
        <f t="shared" si="47"/>
        <v>4</v>
      </c>
      <c r="K168" s="54">
        <f t="shared" si="47"/>
        <v>0</v>
      </c>
      <c r="L168" s="54">
        <f t="shared" si="47"/>
        <v>0</v>
      </c>
      <c r="M168" s="54">
        <f t="shared" si="47"/>
        <v>0</v>
      </c>
      <c r="N168" s="54">
        <f t="shared" si="47"/>
        <v>1</v>
      </c>
      <c r="O168" s="54">
        <f t="shared" si="47"/>
        <v>1</v>
      </c>
      <c r="P168" s="54">
        <f t="shared" si="47"/>
        <v>0</v>
      </c>
      <c r="Q168" s="6">
        <f t="shared" si="46"/>
        <v>17</v>
      </c>
    </row>
    <row r="169" ht="12.75" customHeight="1">
      <c r="A169" s="55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6"/>
    </row>
    <row r="170" ht="12.75" customHeight="1">
      <c r="A170" s="32" t="s">
        <v>36</v>
      </c>
      <c r="B170" s="49" t="s">
        <v>141</v>
      </c>
      <c r="C170" s="50" t="s">
        <v>142</v>
      </c>
      <c r="D170" s="9"/>
      <c r="E170" s="66">
        <v>0.0</v>
      </c>
      <c r="F170" s="66">
        <v>0.0</v>
      </c>
      <c r="G170" s="66">
        <v>0.0</v>
      </c>
      <c r="H170" s="66">
        <v>0.0</v>
      </c>
      <c r="I170" s="66">
        <v>0.0</v>
      </c>
      <c r="J170" s="66">
        <v>0.0</v>
      </c>
      <c r="K170" s="66">
        <v>0.0</v>
      </c>
      <c r="L170" s="66">
        <v>1.0</v>
      </c>
      <c r="M170" s="66">
        <v>0.0</v>
      </c>
      <c r="N170" s="66">
        <v>0.0</v>
      </c>
      <c r="O170" s="66">
        <v>0.0</v>
      </c>
      <c r="P170" s="66">
        <v>0.0</v>
      </c>
      <c r="Q170" s="6">
        <f t="shared" ref="Q170:Q172" si="48">SUM(E170:P170)</f>
        <v>1</v>
      </c>
    </row>
    <row r="171" ht="12.75" customHeight="1">
      <c r="A171" s="32" t="s">
        <v>38</v>
      </c>
      <c r="B171" s="51"/>
      <c r="C171" s="52" t="s">
        <v>143</v>
      </c>
      <c r="D171" s="53"/>
      <c r="E171" s="66">
        <v>1.0</v>
      </c>
      <c r="F171" s="66">
        <v>0.0</v>
      </c>
      <c r="G171" s="66">
        <v>0.0</v>
      </c>
      <c r="H171" s="66">
        <v>0.0</v>
      </c>
      <c r="I171" s="66">
        <v>0.0</v>
      </c>
      <c r="J171" s="66">
        <v>0.0</v>
      </c>
      <c r="K171" s="66">
        <v>0.0</v>
      </c>
      <c r="L171" s="66">
        <v>0.0</v>
      </c>
      <c r="M171" s="66">
        <v>0.0</v>
      </c>
      <c r="N171" s="66">
        <v>1.0</v>
      </c>
      <c r="O171" s="66">
        <v>0.0</v>
      </c>
      <c r="P171" s="66">
        <v>0.0</v>
      </c>
      <c r="Q171" s="6">
        <f t="shared" si="48"/>
        <v>2</v>
      </c>
    </row>
    <row r="172" ht="12.75" customHeight="1">
      <c r="A172" s="13" t="s">
        <v>14</v>
      </c>
      <c r="B172" s="49" t="s">
        <v>45</v>
      </c>
      <c r="C172" s="8"/>
      <c r="D172" s="9"/>
      <c r="E172" s="54">
        <f t="shared" ref="E172:P172" si="49">SUM(E170:E171)</f>
        <v>1</v>
      </c>
      <c r="F172" s="54">
        <f t="shared" si="49"/>
        <v>0</v>
      </c>
      <c r="G172" s="54">
        <f t="shared" si="49"/>
        <v>0</v>
      </c>
      <c r="H172" s="54">
        <f t="shared" si="49"/>
        <v>0</v>
      </c>
      <c r="I172" s="54">
        <f t="shared" si="49"/>
        <v>0</v>
      </c>
      <c r="J172" s="54">
        <f t="shared" si="49"/>
        <v>0</v>
      </c>
      <c r="K172" s="54">
        <f t="shared" si="49"/>
        <v>0</v>
      </c>
      <c r="L172" s="54">
        <f t="shared" si="49"/>
        <v>1</v>
      </c>
      <c r="M172" s="54">
        <f t="shared" si="49"/>
        <v>0</v>
      </c>
      <c r="N172" s="54">
        <f t="shared" si="49"/>
        <v>1</v>
      </c>
      <c r="O172" s="54">
        <f t="shared" si="49"/>
        <v>0</v>
      </c>
      <c r="P172" s="54">
        <f t="shared" si="49"/>
        <v>0</v>
      </c>
      <c r="Q172" s="6">
        <f t="shared" si="48"/>
        <v>3</v>
      </c>
    </row>
    <row r="173" ht="12.75" customHeight="1">
      <c r="A173" s="47"/>
      <c r="B173" s="46"/>
      <c r="C173" s="46"/>
      <c r="D173" s="27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6"/>
    </row>
    <row r="174" ht="12.75" customHeight="1">
      <c r="A174" s="44" t="s">
        <v>144</v>
      </c>
      <c r="B174" s="7" t="s">
        <v>145</v>
      </c>
      <c r="C174" s="8"/>
      <c r="D174" s="9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6"/>
    </row>
    <row r="175" ht="12.75" customHeight="1">
      <c r="A175" s="44"/>
      <c r="B175" s="62" t="s">
        <v>146</v>
      </c>
      <c r="C175" s="63" t="s">
        <v>147</v>
      </c>
      <c r="D175" s="9"/>
      <c r="E175" s="13">
        <f t="shared" ref="E175:P175" si="50">E52+E61+E70+E79+E88+E92+E98+E107+E111+E120+E124+E131+E140+E149+E153+E159+E168+E172</f>
        <v>220</v>
      </c>
      <c r="F175" s="13">
        <f t="shared" si="50"/>
        <v>191</v>
      </c>
      <c r="G175" s="13">
        <f t="shared" si="50"/>
        <v>196</v>
      </c>
      <c r="H175" s="13">
        <f t="shared" si="50"/>
        <v>199</v>
      </c>
      <c r="I175" s="13">
        <f t="shared" si="50"/>
        <v>209</v>
      </c>
      <c r="J175" s="13">
        <f t="shared" si="50"/>
        <v>213</v>
      </c>
      <c r="K175" s="13">
        <f t="shared" si="50"/>
        <v>195</v>
      </c>
      <c r="L175" s="13">
        <f t="shared" si="50"/>
        <v>205</v>
      </c>
      <c r="M175" s="13">
        <f t="shared" si="50"/>
        <v>161</v>
      </c>
      <c r="N175" s="13">
        <f t="shared" si="50"/>
        <v>195</v>
      </c>
      <c r="O175" s="13">
        <f t="shared" si="50"/>
        <v>166</v>
      </c>
      <c r="P175" s="13">
        <f t="shared" si="50"/>
        <v>193</v>
      </c>
      <c r="Q175" s="6">
        <f t="shared" ref="Q175:Q177" si="51">SUM(E175:P175)</f>
        <v>2343</v>
      </c>
    </row>
    <row r="176" ht="12.75" customHeight="1">
      <c r="A176" s="37"/>
      <c r="B176" s="62" t="s">
        <v>148</v>
      </c>
      <c r="C176" s="63" t="s">
        <v>149</v>
      </c>
      <c r="D176" s="9"/>
      <c r="E176" s="66">
        <v>6.0</v>
      </c>
      <c r="F176" s="66">
        <v>14.0</v>
      </c>
      <c r="G176" s="66">
        <v>27.0</v>
      </c>
      <c r="H176" s="66">
        <v>23.0</v>
      </c>
      <c r="I176" s="66">
        <v>12.0</v>
      </c>
      <c r="J176" s="66">
        <v>14.0</v>
      </c>
      <c r="K176" s="66">
        <v>11.0</v>
      </c>
      <c r="L176" s="66">
        <v>8.0</v>
      </c>
      <c r="M176" s="66">
        <v>19.0</v>
      </c>
      <c r="N176" s="66">
        <v>14.0</v>
      </c>
      <c r="O176" s="66">
        <v>20.0</v>
      </c>
      <c r="P176" s="66">
        <v>11.0</v>
      </c>
      <c r="Q176" s="6">
        <f t="shared" si="51"/>
        <v>179</v>
      </c>
    </row>
    <row r="177" ht="12.75" customHeight="1">
      <c r="A177" s="42"/>
      <c r="B177" s="62" t="s">
        <v>150</v>
      </c>
      <c r="C177" s="63" t="s">
        <v>151</v>
      </c>
      <c r="D177" s="9"/>
      <c r="E177" s="28">
        <f t="shared" ref="E177:P177" si="52">SUM(E175:E176)</f>
        <v>226</v>
      </c>
      <c r="F177" s="28">
        <f t="shared" si="52"/>
        <v>205</v>
      </c>
      <c r="G177" s="28">
        <f t="shared" si="52"/>
        <v>223</v>
      </c>
      <c r="H177" s="28">
        <f t="shared" si="52"/>
        <v>222</v>
      </c>
      <c r="I177" s="28">
        <f t="shared" si="52"/>
        <v>221</v>
      </c>
      <c r="J177" s="28">
        <f t="shared" si="52"/>
        <v>227</v>
      </c>
      <c r="K177" s="28">
        <f t="shared" si="52"/>
        <v>206</v>
      </c>
      <c r="L177" s="28">
        <f t="shared" si="52"/>
        <v>213</v>
      </c>
      <c r="M177" s="28">
        <f t="shared" si="52"/>
        <v>180</v>
      </c>
      <c r="N177" s="28">
        <f t="shared" si="52"/>
        <v>209</v>
      </c>
      <c r="O177" s="28">
        <f t="shared" si="52"/>
        <v>186</v>
      </c>
      <c r="P177" s="28">
        <f t="shared" si="52"/>
        <v>204</v>
      </c>
      <c r="Q177" s="6">
        <f t="shared" si="51"/>
        <v>2522</v>
      </c>
    </row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1">
    <mergeCell ref="B39:C41"/>
    <mergeCell ref="A42:D42"/>
    <mergeCell ref="B38:D38"/>
    <mergeCell ref="C28:C30"/>
    <mergeCell ref="A31:D31"/>
    <mergeCell ref="B32:D32"/>
    <mergeCell ref="B33:D33"/>
    <mergeCell ref="B34:D34"/>
    <mergeCell ref="A37:D37"/>
    <mergeCell ref="C63:D63"/>
    <mergeCell ref="B70:D70"/>
    <mergeCell ref="C81:D81"/>
    <mergeCell ref="B79:D79"/>
    <mergeCell ref="B35:D35"/>
    <mergeCell ref="B36:D36"/>
    <mergeCell ref="B88:D88"/>
    <mergeCell ref="B52:D52"/>
    <mergeCell ref="C54:D54"/>
    <mergeCell ref="B61:D61"/>
    <mergeCell ref="C72:D72"/>
    <mergeCell ref="A44:D44"/>
    <mergeCell ref="B172:D172"/>
    <mergeCell ref="A173:D173"/>
    <mergeCell ref="B174:D174"/>
    <mergeCell ref="C175:D175"/>
    <mergeCell ref="C176:D176"/>
    <mergeCell ref="C177:D177"/>
    <mergeCell ref="B168:D168"/>
    <mergeCell ref="C126:D126"/>
    <mergeCell ref="B131:D131"/>
    <mergeCell ref="C109:D109"/>
    <mergeCell ref="B111:D111"/>
    <mergeCell ref="C113:D113"/>
    <mergeCell ref="B120:D120"/>
    <mergeCell ref="C122:D122"/>
    <mergeCell ref="B98:D98"/>
    <mergeCell ref="C151:D151"/>
    <mergeCell ref="B149:D149"/>
    <mergeCell ref="B12:D12"/>
    <mergeCell ref="A17:D17"/>
    <mergeCell ref="C133:D133"/>
    <mergeCell ref="C90:D90"/>
    <mergeCell ref="C91:D91"/>
    <mergeCell ref="C94:D94"/>
    <mergeCell ref="C100:D100"/>
    <mergeCell ref="B140:D140"/>
    <mergeCell ref="Q12:Q13"/>
    <mergeCell ref="B13:D13"/>
    <mergeCell ref="B14:C16"/>
    <mergeCell ref="B18:D18"/>
    <mergeCell ref="C45:D45"/>
    <mergeCell ref="E12:P12"/>
    <mergeCell ref="C170:D170"/>
    <mergeCell ref="B153:D153"/>
    <mergeCell ref="C155:D155"/>
    <mergeCell ref="B159:D159"/>
    <mergeCell ref="C161:D161"/>
    <mergeCell ref="B124:D124"/>
    <mergeCell ref="C142:D142"/>
    <mergeCell ref="B19:B21"/>
    <mergeCell ref="C19:C21"/>
    <mergeCell ref="B22:B24"/>
    <mergeCell ref="C22:C24"/>
    <mergeCell ref="B25:B27"/>
    <mergeCell ref="C25:C27"/>
    <mergeCell ref="B28:B30"/>
    <mergeCell ref="E37:I37"/>
    <mergeCell ref="E42:I42"/>
    <mergeCell ref="B43:D43"/>
    <mergeCell ref="B92:D92"/>
    <mergeCell ref="B107:D107"/>
  </mergeCells>
  <conditionalFormatting sqref="E30:P30">
    <cfRule type="expression" dxfId="0" priority="1">
      <formula>E30&lt;&gt;E62</formula>
    </cfRule>
  </conditionalFormatting>
  <conditionalFormatting sqref="E14:P15">
    <cfRule type="containsBlanks" dxfId="4" priority="2">
      <formula>LEN(TRIM(E14))=0</formula>
    </cfRule>
  </conditionalFormatting>
  <conditionalFormatting sqref="E19:P20">
    <cfRule type="containsBlanks" dxfId="4" priority="3">
      <formula>LEN(TRIM(E19))=0</formula>
    </cfRule>
  </conditionalFormatting>
  <conditionalFormatting sqref="E22:P23 E25:P26 E33:P33 E35:P35 E39:P40">
    <cfRule type="containsBlanks" dxfId="4" priority="4">
      <formula>LEN(TRIM(E22))=0</formula>
    </cfRule>
  </conditionalFormatting>
  <conditionalFormatting sqref="E30:P30">
    <cfRule type="expression" dxfId="0" priority="5">
      <formula>E30&lt;&gt;E34</formula>
    </cfRule>
  </conditionalFormatting>
  <conditionalFormatting sqref="E34:P34">
    <cfRule type="expression" dxfId="2" priority="6">
      <formula>E30&lt;&gt;E34</formula>
    </cfRule>
  </conditionalFormatting>
  <conditionalFormatting sqref="E34:P34">
    <cfRule type="expression" dxfId="5" priority="7">
      <formula>E30=E34</formula>
    </cfRule>
  </conditionalFormatting>
  <conditionalFormatting sqref="E34:P34">
    <cfRule type="expression" dxfId="0" priority="8">
      <formula>E34&lt;&gt;E30</formula>
    </cfRule>
  </conditionalFormatting>
  <conditionalFormatting sqref="E177:P177">
    <cfRule type="expression" dxfId="0" priority="9">
      <formula>E177&lt;&gt;E30</formula>
    </cfRule>
  </conditionalFormatting>
  <conditionalFormatting sqref="E177:P177">
    <cfRule type="expression" dxfId="0" priority="10">
      <formula>E177&lt;&gt;E34</formula>
    </cfRule>
  </conditionalFormatting>
  <conditionalFormatting sqref="E45:P51">
    <cfRule type="containsBlanks" dxfId="4" priority="11">
      <formula>LEN(TRIM(E45))=0</formula>
    </cfRule>
  </conditionalFormatting>
  <conditionalFormatting sqref="E54:P60">
    <cfRule type="containsBlanks" dxfId="4" priority="12">
      <formula>LEN(TRIM(E54))=0</formula>
    </cfRule>
  </conditionalFormatting>
  <conditionalFormatting sqref="E63:P69">
    <cfRule type="containsBlanks" dxfId="4" priority="13">
      <formula>LEN(TRIM(E63))=0</formula>
    </cfRule>
  </conditionalFormatting>
  <conditionalFormatting sqref="E72:P78">
    <cfRule type="containsBlanks" dxfId="4" priority="14">
      <formula>LEN(TRIM(E72))=0</formula>
    </cfRule>
  </conditionalFormatting>
  <conditionalFormatting sqref="E81:P87">
    <cfRule type="containsBlanks" dxfId="4" priority="15">
      <formula>LEN(TRIM(E81))=0</formula>
    </cfRule>
  </conditionalFormatting>
  <conditionalFormatting sqref="E100:P106">
    <cfRule type="containsBlanks" dxfId="4" priority="16">
      <formula>LEN(TRIM(E100))=0</formula>
    </cfRule>
  </conditionalFormatting>
  <conditionalFormatting sqref="E90:P91">
    <cfRule type="containsBlanks" dxfId="4" priority="17">
      <formula>LEN(TRIM(E90))=0</formula>
    </cfRule>
  </conditionalFormatting>
  <conditionalFormatting sqref="E94:P95">
    <cfRule type="containsBlanks" dxfId="4" priority="18">
      <formula>LEN(TRIM(E94))=0</formula>
    </cfRule>
  </conditionalFormatting>
  <conditionalFormatting sqref="E96:P97">
    <cfRule type="containsBlanks" dxfId="4" priority="19">
      <formula>LEN(TRIM(E96))=0</formula>
    </cfRule>
  </conditionalFormatting>
  <conditionalFormatting sqref="E109:P110">
    <cfRule type="containsBlanks" dxfId="4" priority="20">
      <formula>LEN(TRIM(E109))=0</formula>
    </cfRule>
  </conditionalFormatting>
  <conditionalFormatting sqref="E113:P119">
    <cfRule type="containsBlanks" dxfId="4" priority="21">
      <formula>LEN(TRIM(E113))=0</formula>
    </cfRule>
  </conditionalFormatting>
  <conditionalFormatting sqref="E133:P139">
    <cfRule type="containsBlanks" dxfId="4" priority="22">
      <formula>LEN(TRIM(E133))=0</formula>
    </cfRule>
  </conditionalFormatting>
  <conditionalFormatting sqref="E122:P123">
    <cfRule type="containsBlanks" dxfId="4" priority="23">
      <formula>LEN(TRIM(E122))=0</formula>
    </cfRule>
  </conditionalFormatting>
  <conditionalFormatting sqref="E126:P130">
    <cfRule type="containsBlanks" dxfId="4" priority="24">
      <formula>LEN(TRIM(E126))=0</formula>
    </cfRule>
  </conditionalFormatting>
  <conditionalFormatting sqref="E142:P148">
    <cfRule type="containsBlanks" dxfId="4" priority="25">
      <formula>LEN(TRIM(E142))=0</formula>
    </cfRule>
  </conditionalFormatting>
  <conditionalFormatting sqref="E152:P152">
    <cfRule type="containsBlanks" dxfId="4" priority="26">
      <formula>LEN(TRIM(E152))=0</formula>
    </cfRule>
  </conditionalFormatting>
  <conditionalFormatting sqref="E151:P151">
    <cfRule type="containsBlanks" dxfId="4" priority="27">
      <formula>LEN(TRIM(E151))=0</formula>
    </cfRule>
  </conditionalFormatting>
  <conditionalFormatting sqref="E155:P158">
    <cfRule type="containsBlanks" dxfId="4" priority="28">
      <formula>LEN(TRIM(E155))=0</formula>
    </cfRule>
  </conditionalFormatting>
  <conditionalFormatting sqref="E161:P163">
    <cfRule type="containsBlanks" dxfId="4" priority="29">
      <formula>LEN(TRIM(E161))=0</formula>
    </cfRule>
  </conditionalFormatting>
  <conditionalFormatting sqref="E164:P167">
    <cfRule type="containsBlanks" dxfId="4" priority="30">
      <formula>LEN(TRIM(E164))=0</formula>
    </cfRule>
  </conditionalFormatting>
  <conditionalFormatting sqref="E170:P170">
    <cfRule type="containsBlanks" dxfId="4" priority="31">
      <formula>LEN(TRIM(E170))=0</formula>
    </cfRule>
  </conditionalFormatting>
  <conditionalFormatting sqref="E171:P171">
    <cfRule type="containsBlanks" dxfId="4" priority="32">
      <formula>LEN(TRIM(E171))=0</formula>
    </cfRule>
  </conditionalFormatting>
  <conditionalFormatting sqref="E175:P175">
    <cfRule type="containsBlanks" dxfId="4" priority="33">
      <formula>LEN(TRIM(E175))=0</formula>
    </cfRule>
  </conditionalFormatting>
  <conditionalFormatting sqref="E176:P176">
    <cfRule type="containsBlanks" dxfId="4" priority="34">
      <formula>LEN(TRIM(E176))=0</formula>
    </cfRule>
  </conditionalFormatting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4" width="8.71"/>
    <col customWidth="1" min="15" max="15" width="13.43"/>
  </cols>
  <sheetData>
    <row r="1" ht="12.75" customHeight="1"/>
    <row r="2" ht="12.75" customHeight="1">
      <c r="C2" s="1" t="s">
        <v>0</v>
      </c>
      <c r="D2" s="1"/>
    </row>
    <row r="3" ht="12.75" customHeight="1">
      <c r="C3" s="1" t="s">
        <v>1</v>
      </c>
      <c r="D3" s="1" t="s">
        <v>2</v>
      </c>
    </row>
    <row r="4" ht="12.75" customHeight="1">
      <c r="C4" s="1" t="s">
        <v>3</v>
      </c>
      <c r="D4" s="1" t="s">
        <v>4</v>
      </c>
    </row>
    <row r="5" ht="12.75" customHeight="1">
      <c r="C5" s="1"/>
      <c r="D5" s="1"/>
    </row>
    <row r="6" ht="12.75" customHeight="1">
      <c r="C6" s="1"/>
      <c r="D6" s="1"/>
    </row>
    <row r="7" ht="12.75" customHeight="1">
      <c r="C7" s="1"/>
      <c r="D7" s="1"/>
    </row>
    <row r="8" ht="12.75" customHeight="1">
      <c r="C8" s="1"/>
      <c r="D8" s="1"/>
    </row>
    <row r="9" ht="12.75" customHeight="1">
      <c r="C9" s="1" t="s">
        <v>152</v>
      </c>
      <c r="D9" s="1"/>
    </row>
    <row r="10" ht="12.75" customHeight="1"/>
    <row r="11" ht="12.75" customHeight="1"/>
    <row r="12" ht="12.75" customHeight="1">
      <c r="A12" s="6" t="s">
        <v>5</v>
      </c>
      <c r="B12" s="7" t="s">
        <v>6</v>
      </c>
      <c r="C12" s="8"/>
      <c r="D12" s="8"/>
      <c r="E12" s="28"/>
      <c r="F12" s="8"/>
      <c r="G12" s="8"/>
      <c r="H12" s="8"/>
      <c r="I12" s="8"/>
      <c r="J12" s="8"/>
      <c r="K12" s="8"/>
      <c r="L12" s="8"/>
      <c r="M12" s="8"/>
      <c r="N12" s="9"/>
      <c r="O12" s="39" t="s">
        <v>7</v>
      </c>
    </row>
    <row r="13" ht="12.75" customHeight="1">
      <c r="A13" s="13" t="s">
        <v>8</v>
      </c>
      <c r="B13" s="14" t="s">
        <v>9</v>
      </c>
      <c r="C13" s="8"/>
      <c r="D13" s="9"/>
      <c r="E13" s="42" t="s">
        <v>153</v>
      </c>
      <c r="F13" s="42" t="s">
        <v>154</v>
      </c>
      <c r="G13" s="42" t="s">
        <v>155</v>
      </c>
      <c r="H13" s="42" t="s">
        <v>156</v>
      </c>
      <c r="I13" s="42" t="s">
        <v>157</v>
      </c>
      <c r="J13" s="42" t="s">
        <v>158</v>
      </c>
      <c r="K13" s="42" t="s">
        <v>159</v>
      </c>
      <c r="L13" s="42" t="s">
        <v>160</v>
      </c>
      <c r="M13" s="42" t="s">
        <v>161</v>
      </c>
      <c r="N13" s="42" t="s">
        <v>162</v>
      </c>
      <c r="O13" s="27"/>
    </row>
    <row r="14" ht="12.75" customHeight="1">
      <c r="A14" s="18"/>
      <c r="B14" s="19" t="s">
        <v>10</v>
      </c>
      <c r="C14" s="20"/>
      <c r="D14" s="13" t="s">
        <v>11</v>
      </c>
      <c r="E14" s="66">
        <v>135.0</v>
      </c>
      <c r="F14" s="66">
        <v>147.0</v>
      </c>
      <c r="G14" s="66">
        <v>136.0</v>
      </c>
      <c r="H14" s="66">
        <v>128.0</v>
      </c>
      <c r="I14" s="66">
        <v>133.0</v>
      </c>
      <c r="J14" s="66">
        <v>133.0</v>
      </c>
      <c r="K14" s="66">
        <v>150.0</v>
      </c>
      <c r="L14" s="66">
        <v>144.0</v>
      </c>
      <c r="M14" s="66">
        <v>152.0</v>
      </c>
      <c r="N14" s="66">
        <v>140.0</v>
      </c>
      <c r="O14" s="6">
        <f t="shared" ref="O14:O16" si="1">SUM(E14:N14)</f>
        <v>1398</v>
      </c>
    </row>
    <row r="15" ht="12.75" customHeight="1">
      <c r="A15" s="18"/>
      <c r="B15" s="25"/>
      <c r="C15" s="26"/>
      <c r="D15" s="13" t="s">
        <v>12</v>
      </c>
      <c r="E15" s="66">
        <v>143.0</v>
      </c>
      <c r="F15" s="66">
        <v>138.0</v>
      </c>
      <c r="G15" s="66">
        <v>141.0</v>
      </c>
      <c r="H15" s="66">
        <v>127.0</v>
      </c>
      <c r="I15" s="66">
        <v>138.0</v>
      </c>
      <c r="J15" s="66">
        <v>150.0</v>
      </c>
      <c r="K15" s="66">
        <v>135.0</v>
      </c>
      <c r="L15" s="66">
        <v>138.0</v>
      </c>
      <c r="M15" s="66">
        <v>145.0</v>
      </c>
      <c r="N15" s="66">
        <v>126.0</v>
      </c>
      <c r="O15" s="6">
        <f t="shared" si="1"/>
        <v>1381</v>
      </c>
    </row>
    <row r="16" ht="12.75" customHeight="1">
      <c r="A16" s="16"/>
      <c r="B16" s="15"/>
      <c r="C16" s="27"/>
      <c r="D16" s="6" t="s">
        <v>13</v>
      </c>
      <c r="E16" s="6">
        <f t="shared" ref="E16:N16" si="2">SUM(E14:E15)</f>
        <v>278</v>
      </c>
      <c r="F16" s="6">
        <f t="shared" si="2"/>
        <v>285</v>
      </c>
      <c r="G16" s="6">
        <f t="shared" si="2"/>
        <v>277</v>
      </c>
      <c r="H16" s="6">
        <f t="shared" si="2"/>
        <v>255</v>
      </c>
      <c r="I16" s="6">
        <f t="shared" si="2"/>
        <v>271</v>
      </c>
      <c r="J16" s="6">
        <f t="shared" si="2"/>
        <v>283</v>
      </c>
      <c r="K16" s="6">
        <f t="shared" si="2"/>
        <v>285</v>
      </c>
      <c r="L16" s="6">
        <f t="shared" si="2"/>
        <v>282</v>
      </c>
      <c r="M16" s="6">
        <f t="shared" si="2"/>
        <v>297</v>
      </c>
      <c r="N16" s="6">
        <f t="shared" si="2"/>
        <v>266</v>
      </c>
      <c r="O16" s="6">
        <f t="shared" si="1"/>
        <v>2779</v>
      </c>
    </row>
    <row r="17" ht="12.75" customHeight="1">
      <c r="A17" s="21"/>
      <c r="B17" s="8"/>
      <c r="C17" s="8"/>
      <c r="D17" s="9"/>
      <c r="E17" s="13"/>
      <c r="F17" s="13"/>
      <c r="G17" s="13"/>
      <c r="H17" s="13"/>
      <c r="I17" s="13"/>
      <c r="J17" s="13"/>
      <c r="K17" s="13"/>
      <c r="L17" s="13"/>
      <c r="M17" s="13"/>
      <c r="N17" s="67"/>
      <c r="O17" s="6"/>
    </row>
    <row r="18" ht="12.75" customHeight="1">
      <c r="A18" s="32" t="s">
        <v>14</v>
      </c>
      <c r="B18" s="14" t="s">
        <v>15</v>
      </c>
      <c r="C18" s="8"/>
      <c r="D18" s="9"/>
      <c r="E18" s="13"/>
      <c r="F18" s="13"/>
      <c r="G18" s="13"/>
      <c r="H18" s="13"/>
      <c r="I18" s="13"/>
      <c r="J18" s="13"/>
      <c r="K18" s="13"/>
      <c r="L18" s="13"/>
      <c r="M18" s="13"/>
      <c r="N18" s="67"/>
      <c r="O18" s="6"/>
    </row>
    <row r="19" ht="12.75" customHeight="1">
      <c r="A19" s="32"/>
      <c r="B19" s="33" t="s">
        <v>16</v>
      </c>
      <c r="C19" s="34" t="s">
        <v>17</v>
      </c>
      <c r="D19" s="13" t="s">
        <v>11</v>
      </c>
      <c r="E19" s="66">
        <v>97.0</v>
      </c>
      <c r="F19" s="66">
        <v>103.0</v>
      </c>
      <c r="G19" s="66">
        <v>85.0</v>
      </c>
      <c r="H19" s="66">
        <v>93.0</v>
      </c>
      <c r="I19" s="66">
        <v>101.0</v>
      </c>
      <c r="J19" s="66">
        <v>99.0</v>
      </c>
      <c r="K19" s="66">
        <v>109.0</v>
      </c>
      <c r="L19" s="66">
        <v>93.0</v>
      </c>
      <c r="M19" s="66">
        <v>115.0</v>
      </c>
      <c r="N19" s="66">
        <v>91.0</v>
      </c>
      <c r="O19" s="6">
        <f t="shared" ref="O19:O30" si="3">SUM(E19:N19)</f>
        <v>986</v>
      </c>
    </row>
    <row r="20" ht="12.75" customHeight="1">
      <c r="A20" s="35"/>
      <c r="B20" s="26"/>
      <c r="C20" s="36"/>
      <c r="D20" s="13" t="s">
        <v>12</v>
      </c>
      <c r="E20" s="66">
        <v>105.0</v>
      </c>
      <c r="F20" s="66">
        <v>103.0</v>
      </c>
      <c r="G20" s="66">
        <v>104.0</v>
      </c>
      <c r="H20" s="66">
        <v>98.0</v>
      </c>
      <c r="I20" s="66">
        <v>104.0</v>
      </c>
      <c r="J20" s="66">
        <v>113.0</v>
      </c>
      <c r="K20" s="66">
        <v>108.0</v>
      </c>
      <c r="L20" s="66">
        <v>106.0</v>
      </c>
      <c r="M20" s="66">
        <v>120.0</v>
      </c>
      <c r="N20" s="66">
        <v>108.0</v>
      </c>
      <c r="O20" s="6">
        <f t="shared" si="3"/>
        <v>1069</v>
      </c>
    </row>
    <row r="21" ht="12.75" customHeight="1">
      <c r="A21" s="37"/>
      <c r="B21" s="27"/>
      <c r="C21" s="38"/>
      <c r="D21" s="6" t="s">
        <v>13</v>
      </c>
      <c r="E21" s="6">
        <f t="shared" ref="E21:N21" si="4">SUM(E19:E20)</f>
        <v>202</v>
      </c>
      <c r="F21" s="6">
        <f t="shared" si="4"/>
        <v>206</v>
      </c>
      <c r="G21" s="6">
        <f t="shared" si="4"/>
        <v>189</v>
      </c>
      <c r="H21" s="6">
        <f t="shared" si="4"/>
        <v>191</v>
      </c>
      <c r="I21" s="6">
        <f t="shared" si="4"/>
        <v>205</v>
      </c>
      <c r="J21" s="6">
        <f t="shared" si="4"/>
        <v>212</v>
      </c>
      <c r="K21" s="6">
        <f t="shared" si="4"/>
        <v>217</v>
      </c>
      <c r="L21" s="6">
        <f t="shared" si="4"/>
        <v>199</v>
      </c>
      <c r="M21" s="6">
        <f t="shared" si="4"/>
        <v>235</v>
      </c>
      <c r="N21" s="6">
        <f t="shared" si="4"/>
        <v>199</v>
      </c>
      <c r="O21" s="6">
        <f t="shared" si="3"/>
        <v>2055</v>
      </c>
    </row>
    <row r="22" ht="12.75" customHeight="1">
      <c r="A22" s="35"/>
      <c r="B22" s="33" t="s">
        <v>18</v>
      </c>
      <c r="C22" s="34" t="s">
        <v>19</v>
      </c>
      <c r="D22" s="13" t="s">
        <v>11</v>
      </c>
      <c r="E22" s="66">
        <v>0.0</v>
      </c>
      <c r="F22" s="66">
        <v>0.0</v>
      </c>
      <c r="G22" s="66">
        <v>0.0</v>
      </c>
      <c r="H22" s="66">
        <v>0.0</v>
      </c>
      <c r="I22" s="66">
        <v>1.0</v>
      </c>
      <c r="J22" s="66">
        <v>0.0</v>
      </c>
      <c r="K22" s="66">
        <v>0.0</v>
      </c>
      <c r="L22" s="66">
        <v>0.0</v>
      </c>
      <c r="M22" s="66">
        <v>0.0</v>
      </c>
      <c r="N22" s="66">
        <v>0.0</v>
      </c>
      <c r="O22" s="6">
        <f t="shared" si="3"/>
        <v>1</v>
      </c>
    </row>
    <row r="23" ht="12.75" customHeight="1">
      <c r="A23" s="35"/>
      <c r="B23" s="26"/>
      <c r="C23" s="36"/>
      <c r="D23" s="13" t="s">
        <v>12</v>
      </c>
      <c r="E23" s="66">
        <v>0.0</v>
      </c>
      <c r="F23" s="66">
        <v>0.0</v>
      </c>
      <c r="G23" s="66">
        <v>0.0</v>
      </c>
      <c r="H23" s="66">
        <v>0.0</v>
      </c>
      <c r="I23" s="66">
        <v>0.0</v>
      </c>
      <c r="J23" s="66">
        <v>0.0</v>
      </c>
      <c r="K23" s="66">
        <v>0.0</v>
      </c>
      <c r="L23" s="66">
        <v>0.0</v>
      </c>
      <c r="M23" s="66">
        <v>0.0</v>
      </c>
      <c r="N23" s="66">
        <v>0.0</v>
      </c>
      <c r="O23" s="6">
        <f t="shared" si="3"/>
        <v>0</v>
      </c>
    </row>
    <row r="24" ht="12.75" customHeight="1">
      <c r="A24" s="37"/>
      <c r="B24" s="27"/>
      <c r="C24" s="38"/>
      <c r="D24" s="6" t="s">
        <v>13</v>
      </c>
      <c r="E24" s="6">
        <f t="shared" ref="E24:N24" si="5">SUM(E22:E23)</f>
        <v>0</v>
      </c>
      <c r="F24" s="6">
        <f t="shared" si="5"/>
        <v>0</v>
      </c>
      <c r="G24" s="6">
        <f t="shared" si="5"/>
        <v>0</v>
      </c>
      <c r="H24" s="6">
        <f t="shared" si="5"/>
        <v>0</v>
      </c>
      <c r="I24" s="6">
        <f t="shared" si="5"/>
        <v>1</v>
      </c>
      <c r="J24" s="6">
        <f t="shared" si="5"/>
        <v>0</v>
      </c>
      <c r="K24" s="6">
        <f t="shared" si="5"/>
        <v>0</v>
      </c>
      <c r="L24" s="6">
        <f t="shared" si="5"/>
        <v>0</v>
      </c>
      <c r="M24" s="6">
        <f t="shared" si="5"/>
        <v>0</v>
      </c>
      <c r="N24" s="6">
        <f t="shared" si="5"/>
        <v>0</v>
      </c>
      <c r="O24" s="6">
        <f t="shared" si="3"/>
        <v>1</v>
      </c>
    </row>
    <row r="25" ht="12.75" customHeight="1">
      <c r="A25" s="35"/>
      <c r="B25" s="33" t="s">
        <v>20</v>
      </c>
      <c r="C25" s="34" t="s">
        <v>21</v>
      </c>
      <c r="D25" s="13" t="s">
        <v>11</v>
      </c>
      <c r="E25" s="66">
        <v>0.0</v>
      </c>
      <c r="F25" s="66">
        <v>2.0</v>
      </c>
      <c r="G25" s="66">
        <v>0.0</v>
      </c>
      <c r="H25" s="66">
        <v>1.0</v>
      </c>
      <c r="I25" s="66">
        <v>0.0</v>
      </c>
      <c r="J25" s="66">
        <v>0.0</v>
      </c>
      <c r="K25" s="66">
        <v>0.0</v>
      </c>
      <c r="L25" s="66">
        <v>0.0</v>
      </c>
      <c r="M25" s="66">
        <v>1.0</v>
      </c>
      <c r="N25" s="66">
        <v>1.0</v>
      </c>
      <c r="O25" s="6">
        <f t="shared" si="3"/>
        <v>5</v>
      </c>
    </row>
    <row r="26" ht="12.75" customHeight="1">
      <c r="A26" s="35"/>
      <c r="B26" s="26"/>
      <c r="C26" s="36"/>
      <c r="D26" s="13" t="s">
        <v>12</v>
      </c>
      <c r="E26" s="66">
        <v>1.0</v>
      </c>
      <c r="F26" s="66">
        <v>1.0</v>
      </c>
      <c r="G26" s="66">
        <v>0.0</v>
      </c>
      <c r="H26" s="66">
        <v>2.0</v>
      </c>
      <c r="I26" s="66">
        <v>0.0</v>
      </c>
      <c r="J26" s="66">
        <v>0.0</v>
      </c>
      <c r="K26" s="66">
        <v>1.0</v>
      </c>
      <c r="L26" s="66">
        <v>0.0</v>
      </c>
      <c r="M26" s="66">
        <v>1.0</v>
      </c>
      <c r="N26" s="66">
        <v>1.0</v>
      </c>
      <c r="O26" s="6">
        <f t="shared" si="3"/>
        <v>7</v>
      </c>
    </row>
    <row r="27" ht="12.75" customHeight="1">
      <c r="A27" s="37"/>
      <c r="B27" s="27"/>
      <c r="C27" s="38"/>
      <c r="D27" s="6" t="s">
        <v>13</v>
      </c>
      <c r="E27" s="6">
        <f t="shared" ref="E27:N27" si="6">SUM(E25:E26)</f>
        <v>1</v>
      </c>
      <c r="F27" s="6">
        <f t="shared" si="6"/>
        <v>3</v>
      </c>
      <c r="G27" s="6">
        <f t="shared" si="6"/>
        <v>0</v>
      </c>
      <c r="H27" s="6">
        <f t="shared" si="6"/>
        <v>3</v>
      </c>
      <c r="I27" s="6">
        <f t="shared" si="6"/>
        <v>0</v>
      </c>
      <c r="J27" s="6">
        <f t="shared" si="6"/>
        <v>0</v>
      </c>
      <c r="K27" s="6">
        <f t="shared" si="6"/>
        <v>1</v>
      </c>
      <c r="L27" s="6">
        <f t="shared" si="6"/>
        <v>0</v>
      </c>
      <c r="M27" s="6">
        <f t="shared" si="6"/>
        <v>2</v>
      </c>
      <c r="N27" s="6">
        <f t="shared" si="6"/>
        <v>2</v>
      </c>
      <c r="O27" s="6">
        <f t="shared" si="3"/>
        <v>12</v>
      </c>
    </row>
    <row r="28" ht="12.75" customHeight="1">
      <c r="A28" s="37"/>
      <c r="B28" s="39" t="s">
        <v>22</v>
      </c>
      <c r="C28" s="40" t="s">
        <v>23</v>
      </c>
      <c r="D28" s="6" t="s">
        <v>11</v>
      </c>
      <c r="E28" s="6">
        <f t="shared" ref="E28:N28" si="7">SUM(E19,E22,E25)</f>
        <v>97</v>
      </c>
      <c r="F28" s="6">
        <f t="shared" si="7"/>
        <v>105</v>
      </c>
      <c r="G28" s="6">
        <f t="shared" si="7"/>
        <v>85</v>
      </c>
      <c r="H28" s="6">
        <f t="shared" si="7"/>
        <v>94</v>
      </c>
      <c r="I28" s="6">
        <f t="shared" si="7"/>
        <v>102</v>
      </c>
      <c r="J28" s="6">
        <f t="shared" si="7"/>
        <v>99</v>
      </c>
      <c r="K28" s="6">
        <f t="shared" si="7"/>
        <v>109</v>
      </c>
      <c r="L28" s="6">
        <f t="shared" si="7"/>
        <v>93</v>
      </c>
      <c r="M28" s="6">
        <f t="shared" si="7"/>
        <v>116</v>
      </c>
      <c r="N28" s="6">
        <f t="shared" si="7"/>
        <v>92</v>
      </c>
      <c r="O28" s="6">
        <f t="shared" si="3"/>
        <v>992</v>
      </c>
    </row>
    <row r="29" ht="12.75" customHeight="1">
      <c r="A29" s="37"/>
      <c r="B29" s="26"/>
      <c r="C29" s="36"/>
      <c r="D29" s="6" t="s">
        <v>12</v>
      </c>
      <c r="E29" s="6">
        <f t="shared" ref="E29:N29" si="8">SUM(E20,E23,E26)</f>
        <v>106</v>
      </c>
      <c r="F29" s="6">
        <f t="shared" si="8"/>
        <v>104</v>
      </c>
      <c r="G29" s="6">
        <f t="shared" si="8"/>
        <v>104</v>
      </c>
      <c r="H29" s="6">
        <f t="shared" si="8"/>
        <v>100</v>
      </c>
      <c r="I29" s="6">
        <f t="shared" si="8"/>
        <v>104</v>
      </c>
      <c r="J29" s="6">
        <f t="shared" si="8"/>
        <v>113</v>
      </c>
      <c r="K29" s="6">
        <f t="shared" si="8"/>
        <v>109</v>
      </c>
      <c r="L29" s="6">
        <f t="shared" si="8"/>
        <v>106</v>
      </c>
      <c r="M29" s="6">
        <f t="shared" si="8"/>
        <v>121</v>
      </c>
      <c r="N29" s="6">
        <f t="shared" si="8"/>
        <v>109</v>
      </c>
      <c r="O29" s="6">
        <f t="shared" si="3"/>
        <v>1076</v>
      </c>
    </row>
    <row r="30" ht="12.75" customHeight="1">
      <c r="A30" s="37"/>
      <c r="B30" s="27"/>
      <c r="C30" s="38"/>
      <c r="D30" s="6" t="s">
        <v>13</v>
      </c>
      <c r="E30" s="6">
        <f t="shared" ref="E30:N30" si="9">SUM(E28:E29)</f>
        <v>203</v>
      </c>
      <c r="F30" s="6">
        <f t="shared" si="9"/>
        <v>209</v>
      </c>
      <c r="G30" s="6">
        <f t="shared" si="9"/>
        <v>189</v>
      </c>
      <c r="H30" s="6">
        <f t="shared" si="9"/>
        <v>194</v>
      </c>
      <c r="I30" s="6">
        <f t="shared" si="9"/>
        <v>206</v>
      </c>
      <c r="J30" s="6">
        <f t="shared" si="9"/>
        <v>212</v>
      </c>
      <c r="K30" s="6">
        <f t="shared" si="9"/>
        <v>218</v>
      </c>
      <c r="L30" s="6">
        <f t="shared" si="9"/>
        <v>199</v>
      </c>
      <c r="M30" s="6">
        <f t="shared" si="9"/>
        <v>237</v>
      </c>
      <c r="N30" s="6">
        <f t="shared" si="9"/>
        <v>201</v>
      </c>
      <c r="O30" s="6">
        <f t="shared" si="3"/>
        <v>2068</v>
      </c>
    </row>
    <row r="31" ht="12.75" customHeight="1">
      <c r="A31" s="21"/>
      <c r="B31" s="8"/>
      <c r="C31" s="8"/>
      <c r="D31" s="9"/>
      <c r="E31" s="13"/>
      <c r="F31" s="13"/>
      <c r="G31" s="13"/>
      <c r="H31" s="13"/>
      <c r="I31" s="13"/>
      <c r="J31" s="13"/>
      <c r="K31" s="13"/>
      <c r="L31" s="13"/>
      <c r="M31" s="13"/>
      <c r="N31" s="67"/>
      <c r="O31" s="6"/>
    </row>
    <row r="32" ht="12.75" customHeight="1">
      <c r="A32" s="42" t="s">
        <v>24</v>
      </c>
      <c r="B32" s="7" t="s">
        <v>25</v>
      </c>
      <c r="C32" s="8"/>
      <c r="D32" s="9"/>
      <c r="E32" s="6"/>
      <c r="F32" s="6"/>
      <c r="G32" s="6"/>
      <c r="H32" s="6"/>
      <c r="I32" s="6"/>
      <c r="J32" s="6"/>
      <c r="K32" s="6"/>
      <c r="L32" s="6"/>
      <c r="M32" s="6"/>
      <c r="N32" s="69"/>
      <c r="O32" s="6"/>
    </row>
    <row r="33" ht="12.75" customHeight="1">
      <c r="A33" s="13">
        <v>1.0</v>
      </c>
      <c r="B33" s="14" t="s">
        <v>26</v>
      </c>
      <c r="C33" s="8"/>
      <c r="D33" s="9"/>
      <c r="E33" s="66">
        <v>284.0</v>
      </c>
      <c r="F33" s="66">
        <v>301.0</v>
      </c>
      <c r="G33" s="66">
        <v>291.0</v>
      </c>
      <c r="H33" s="66">
        <v>261.0</v>
      </c>
      <c r="I33" s="66">
        <v>277.0</v>
      </c>
      <c r="J33" s="66">
        <v>289.0</v>
      </c>
      <c r="K33" s="66">
        <v>291.0</v>
      </c>
      <c r="L33" s="66">
        <v>288.0</v>
      </c>
      <c r="M33" s="66">
        <v>303.0</v>
      </c>
      <c r="N33" s="66">
        <v>272.0</v>
      </c>
      <c r="O33" s="6">
        <f t="shared" ref="O33:O36" si="10">SUM(E33:N33)</f>
        <v>2857</v>
      </c>
    </row>
    <row r="34" ht="12.75" customHeight="1">
      <c r="A34" s="13">
        <v>2.0</v>
      </c>
      <c r="B34" s="14" t="s">
        <v>27</v>
      </c>
      <c r="C34" s="8"/>
      <c r="D34" s="9"/>
      <c r="E34" s="72">
        <v>203.0</v>
      </c>
      <c r="F34" s="72">
        <v>209.0</v>
      </c>
      <c r="G34" s="72">
        <v>189.0</v>
      </c>
      <c r="H34" s="72">
        <v>194.0</v>
      </c>
      <c r="I34" s="72">
        <v>206.0</v>
      </c>
      <c r="J34" s="72">
        <v>212.0</v>
      </c>
      <c r="K34" s="72">
        <v>218.0</v>
      </c>
      <c r="L34" s="72">
        <v>199.0</v>
      </c>
      <c r="M34" s="72">
        <v>237.0</v>
      </c>
      <c r="N34" s="72">
        <v>201.0</v>
      </c>
      <c r="O34" s="6">
        <f t="shared" si="10"/>
        <v>2068</v>
      </c>
    </row>
    <row r="35" ht="12.75" customHeight="1">
      <c r="A35" s="13">
        <v>3.0</v>
      </c>
      <c r="B35" s="14" t="s">
        <v>28</v>
      </c>
      <c r="C35" s="8"/>
      <c r="D35" s="9"/>
      <c r="E35" s="66">
        <v>0.0</v>
      </c>
      <c r="F35" s="66">
        <v>0.0</v>
      </c>
      <c r="G35" s="66">
        <v>0.0</v>
      </c>
      <c r="H35" s="66">
        <v>1.0</v>
      </c>
      <c r="I35" s="66">
        <v>1.0</v>
      </c>
      <c r="J35" s="66">
        <v>1.0</v>
      </c>
      <c r="K35" s="66">
        <v>0.0</v>
      </c>
      <c r="L35" s="66">
        <v>0.0</v>
      </c>
      <c r="M35" s="66">
        <v>1.0</v>
      </c>
      <c r="N35" s="66">
        <v>0.0</v>
      </c>
      <c r="O35" s="6">
        <f t="shared" si="10"/>
        <v>4</v>
      </c>
    </row>
    <row r="36" ht="12.75" customHeight="1">
      <c r="A36" s="13">
        <v>4.0</v>
      </c>
      <c r="B36" s="14" t="s">
        <v>29</v>
      </c>
      <c r="C36" s="8"/>
      <c r="D36" s="9"/>
      <c r="E36" s="6">
        <f t="shared" ref="E36:N36" si="11">E33-(E34+E35)</f>
        <v>81</v>
      </c>
      <c r="F36" s="6">
        <f t="shared" si="11"/>
        <v>92</v>
      </c>
      <c r="G36" s="6">
        <f t="shared" si="11"/>
        <v>102</v>
      </c>
      <c r="H36" s="6">
        <f t="shared" si="11"/>
        <v>66</v>
      </c>
      <c r="I36" s="6">
        <f t="shared" si="11"/>
        <v>70</v>
      </c>
      <c r="J36" s="6">
        <f t="shared" si="11"/>
        <v>76</v>
      </c>
      <c r="K36" s="6">
        <f t="shared" si="11"/>
        <v>73</v>
      </c>
      <c r="L36" s="6">
        <f t="shared" si="11"/>
        <v>89</v>
      </c>
      <c r="M36" s="6">
        <f t="shared" si="11"/>
        <v>65</v>
      </c>
      <c r="N36" s="6">
        <f t="shared" si="11"/>
        <v>71</v>
      </c>
      <c r="O36" s="6">
        <f t="shared" si="10"/>
        <v>785</v>
      </c>
    </row>
    <row r="37" ht="12.75" customHeight="1">
      <c r="A37" s="21"/>
      <c r="B37" s="8"/>
      <c r="C37" s="8"/>
      <c r="D37" s="8"/>
      <c r="E37" s="21"/>
      <c r="F37" s="8"/>
      <c r="G37" s="8"/>
      <c r="H37" s="8"/>
      <c r="I37" s="9"/>
      <c r="J37" s="13"/>
      <c r="K37" s="13"/>
      <c r="L37" s="13"/>
      <c r="M37" s="13"/>
      <c r="N37" s="67"/>
      <c r="O37" s="6"/>
    </row>
    <row r="38" ht="12.75" customHeight="1">
      <c r="A38" s="44" t="s">
        <v>30</v>
      </c>
      <c r="B38" s="7" t="s">
        <v>31</v>
      </c>
      <c r="C38" s="8"/>
      <c r="D38" s="9"/>
      <c r="E38" s="6"/>
      <c r="F38" s="6"/>
      <c r="G38" s="6"/>
      <c r="H38" s="6"/>
      <c r="I38" s="6"/>
      <c r="J38" s="6"/>
      <c r="K38" s="6"/>
      <c r="L38" s="6"/>
      <c r="M38" s="6"/>
      <c r="N38" s="69"/>
      <c r="O38" s="6"/>
    </row>
    <row r="39" ht="12.75" customHeight="1">
      <c r="A39" s="32"/>
      <c r="B39" s="45" t="s">
        <v>32</v>
      </c>
      <c r="C39" s="20"/>
      <c r="D39" s="13" t="s">
        <v>11</v>
      </c>
      <c r="E39" s="66">
        <v>0.0</v>
      </c>
      <c r="F39" s="66">
        <v>0.0</v>
      </c>
      <c r="G39" s="66">
        <v>0.0</v>
      </c>
      <c r="H39" s="66">
        <v>1.0</v>
      </c>
      <c r="I39" s="66">
        <v>0.0</v>
      </c>
      <c r="J39" s="66">
        <v>0.0</v>
      </c>
      <c r="K39" s="66">
        <v>0.0</v>
      </c>
      <c r="L39" s="66">
        <v>0.0</v>
      </c>
      <c r="M39" s="66">
        <v>0.0</v>
      </c>
      <c r="N39" s="66">
        <v>0.0</v>
      </c>
      <c r="O39" s="6">
        <f t="shared" ref="O39:O41" si="12">SUM(E39:N39)</f>
        <v>1</v>
      </c>
    </row>
    <row r="40" ht="12.75" customHeight="1">
      <c r="A40" s="35"/>
      <c r="C40" s="26"/>
      <c r="D40" s="13" t="s">
        <v>12</v>
      </c>
      <c r="E40" s="66">
        <v>0.0</v>
      </c>
      <c r="F40" s="66">
        <v>1.0</v>
      </c>
      <c r="G40" s="66">
        <v>0.0</v>
      </c>
      <c r="H40" s="66">
        <v>0.0</v>
      </c>
      <c r="I40" s="66">
        <v>0.0</v>
      </c>
      <c r="J40" s="66">
        <v>0.0</v>
      </c>
      <c r="K40" s="66">
        <v>0.0</v>
      </c>
      <c r="L40" s="66">
        <v>0.0</v>
      </c>
      <c r="M40" s="66">
        <v>0.0</v>
      </c>
      <c r="N40" s="66">
        <v>1.0</v>
      </c>
      <c r="O40" s="6">
        <f t="shared" si="12"/>
        <v>2</v>
      </c>
    </row>
    <row r="41" ht="12.75" customHeight="1">
      <c r="A41" s="42"/>
      <c r="B41" s="46"/>
      <c r="C41" s="27"/>
      <c r="D41" s="6" t="s">
        <v>13</v>
      </c>
      <c r="E41" s="6">
        <f t="shared" ref="E41:N41" si="13">SUM(E39:E40)</f>
        <v>0</v>
      </c>
      <c r="F41" s="6">
        <f t="shared" si="13"/>
        <v>1</v>
      </c>
      <c r="G41" s="6">
        <f t="shared" si="13"/>
        <v>0</v>
      </c>
      <c r="H41" s="6">
        <f t="shared" si="13"/>
        <v>1</v>
      </c>
      <c r="I41" s="6">
        <f t="shared" si="13"/>
        <v>0</v>
      </c>
      <c r="J41" s="6">
        <f t="shared" si="13"/>
        <v>0</v>
      </c>
      <c r="K41" s="6">
        <f t="shared" si="13"/>
        <v>0</v>
      </c>
      <c r="L41" s="6">
        <f t="shared" si="13"/>
        <v>0</v>
      </c>
      <c r="M41" s="6">
        <f t="shared" si="13"/>
        <v>0</v>
      </c>
      <c r="N41" s="6">
        <f t="shared" si="13"/>
        <v>1</v>
      </c>
      <c r="O41" s="6">
        <f t="shared" si="12"/>
        <v>3</v>
      </c>
    </row>
    <row r="42" ht="12.75" customHeight="1">
      <c r="A42" s="47"/>
      <c r="B42" s="46"/>
      <c r="C42" s="46"/>
      <c r="D42" s="27"/>
      <c r="E42" s="21"/>
      <c r="F42" s="8"/>
      <c r="G42" s="8"/>
      <c r="H42" s="8"/>
      <c r="I42" s="9"/>
      <c r="J42" s="13"/>
      <c r="K42" s="13"/>
      <c r="L42" s="13"/>
      <c r="M42" s="13"/>
      <c r="N42" s="67"/>
      <c r="O42" s="6"/>
    </row>
    <row r="43" ht="12.75" customHeight="1">
      <c r="A43" s="44" t="s">
        <v>33</v>
      </c>
      <c r="B43" s="7" t="s">
        <v>34</v>
      </c>
      <c r="C43" s="8"/>
      <c r="D43" s="9"/>
      <c r="E43" s="28"/>
      <c r="F43" s="6"/>
      <c r="G43" s="6"/>
      <c r="H43" s="6"/>
      <c r="I43" s="6"/>
      <c r="J43" s="6"/>
      <c r="K43" s="6"/>
      <c r="L43" s="6"/>
      <c r="M43" s="6"/>
      <c r="N43" s="69"/>
      <c r="O43" s="6"/>
    </row>
    <row r="44" ht="12.75" customHeight="1">
      <c r="A44" s="45" t="s">
        <v>35</v>
      </c>
      <c r="B44" s="48"/>
      <c r="C44" s="48"/>
      <c r="D44" s="20"/>
      <c r="E44" s="21"/>
      <c r="F44" s="13"/>
      <c r="G44" s="13"/>
      <c r="H44" s="13"/>
      <c r="I44" s="13"/>
      <c r="J44" s="13"/>
      <c r="K44" s="13"/>
      <c r="L44" s="13"/>
      <c r="M44" s="13"/>
      <c r="N44" s="67"/>
      <c r="O44" s="6"/>
    </row>
    <row r="45" ht="12.75" customHeight="1">
      <c r="A45" s="32" t="s">
        <v>36</v>
      </c>
      <c r="B45" s="49" t="s">
        <v>16</v>
      </c>
      <c r="C45" s="50" t="s">
        <v>37</v>
      </c>
      <c r="D45" s="9"/>
      <c r="E45" s="66">
        <v>10.0</v>
      </c>
      <c r="F45" s="66">
        <v>10.0</v>
      </c>
      <c r="G45" s="66">
        <v>10.0</v>
      </c>
      <c r="H45" s="66">
        <v>5.0</v>
      </c>
      <c r="I45" s="66">
        <v>9.0</v>
      </c>
      <c r="J45" s="66">
        <v>1.0</v>
      </c>
      <c r="K45" s="66">
        <v>2.0</v>
      </c>
      <c r="L45" s="66">
        <v>6.0</v>
      </c>
      <c r="M45" s="66">
        <v>17.0</v>
      </c>
      <c r="N45" s="66">
        <v>16.0</v>
      </c>
      <c r="O45" s="6">
        <f t="shared" ref="O45:O52" si="14">SUM(E45:N45)</f>
        <v>86</v>
      </c>
    </row>
    <row r="46" ht="12.75" customHeight="1">
      <c r="A46" s="32" t="s">
        <v>38</v>
      </c>
      <c r="B46" s="51"/>
      <c r="C46" s="52" t="s">
        <v>39</v>
      </c>
      <c r="D46" s="53"/>
      <c r="E46" s="66">
        <v>11.0</v>
      </c>
      <c r="F46" s="66">
        <v>31.0</v>
      </c>
      <c r="G46" s="66">
        <v>19.0</v>
      </c>
      <c r="H46" s="66">
        <v>27.0</v>
      </c>
      <c r="I46" s="66">
        <v>46.0</v>
      </c>
      <c r="J46" s="66">
        <v>6.0</v>
      </c>
      <c r="K46" s="66">
        <v>8.0</v>
      </c>
      <c r="L46" s="66">
        <v>21.0</v>
      </c>
      <c r="M46" s="66">
        <v>59.0</v>
      </c>
      <c r="N46" s="66">
        <v>47.0</v>
      </c>
      <c r="O46" s="6">
        <f t="shared" si="14"/>
        <v>275</v>
      </c>
    </row>
    <row r="47" ht="12.75" customHeight="1">
      <c r="A47" s="18"/>
      <c r="B47" s="51"/>
      <c r="C47" s="52" t="s">
        <v>40</v>
      </c>
      <c r="D47" s="53"/>
      <c r="E47" s="66">
        <v>11.0</v>
      </c>
      <c r="F47" s="66">
        <v>2.0</v>
      </c>
      <c r="G47" s="66">
        <v>2.0</v>
      </c>
      <c r="H47" s="66">
        <v>1.0</v>
      </c>
      <c r="I47" s="66">
        <v>1.0</v>
      </c>
      <c r="J47" s="66">
        <v>0.0</v>
      </c>
      <c r="K47" s="66">
        <v>1.0</v>
      </c>
      <c r="L47" s="66">
        <v>0.0</v>
      </c>
      <c r="M47" s="66">
        <v>1.0</v>
      </c>
      <c r="N47" s="66">
        <v>4.0</v>
      </c>
      <c r="O47" s="6">
        <f t="shared" si="14"/>
        <v>23</v>
      </c>
    </row>
    <row r="48" ht="12.75" customHeight="1">
      <c r="A48" s="18"/>
      <c r="B48" s="51"/>
      <c r="C48" s="52" t="s">
        <v>41</v>
      </c>
      <c r="D48" s="53"/>
      <c r="E48" s="66">
        <v>0.0</v>
      </c>
      <c r="F48" s="66">
        <v>2.0</v>
      </c>
      <c r="G48" s="66">
        <v>0.0</v>
      </c>
      <c r="H48" s="66">
        <v>0.0</v>
      </c>
      <c r="I48" s="66">
        <v>1.0</v>
      </c>
      <c r="J48" s="66">
        <v>0.0</v>
      </c>
      <c r="K48" s="66">
        <v>0.0</v>
      </c>
      <c r="L48" s="66">
        <v>0.0</v>
      </c>
      <c r="M48" s="66">
        <v>0.0</v>
      </c>
      <c r="N48" s="66">
        <v>1.0</v>
      </c>
      <c r="O48" s="6">
        <f t="shared" si="14"/>
        <v>4</v>
      </c>
    </row>
    <row r="49" ht="12.75" customHeight="1">
      <c r="A49" s="18"/>
      <c r="B49" s="51"/>
      <c r="C49" s="52" t="s">
        <v>42</v>
      </c>
      <c r="D49" s="53"/>
      <c r="E49" s="66">
        <v>0.0</v>
      </c>
      <c r="F49" s="66">
        <v>0.0</v>
      </c>
      <c r="G49" s="66">
        <v>0.0</v>
      </c>
      <c r="H49" s="66">
        <v>0.0</v>
      </c>
      <c r="I49" s="66">
        <v>0.0</v>
      </c>
      <c r="J49" s="66">
        <v>0.0</v>
      </c>
      <c r="K49" s="66">
        <v>0.0</v>
      </c>
      <c r="L49" s="66">
        <v>0.0</v>
      </c>
      <c r="M49" s="66">
        <v>0.0</v>
      </c>
      <c r="N49" s="66">
        <v>0.0</v>
      </c>
      <c r="O49" s="6">
        <f t="shared" si="14"/>
        <v>0</v>
      </c>
    </row>
    <row r="50" ht="12.75" customHeight="1">
      <c r="A50" s="18"/>
      <c r="B50" s="51"/>
      <c r="C50" s="52" t="s">
        <v>43</v>
      </c>
      <c r="D50" s="53"/>
      <c r="E50" s="66">
        <v>0.0</v>
      </c>
      <c r="F50" s="66">
        <v>0.0</v>
      </c>
      <c r="G50" s="66">
        <v>0.0</v>
      </c>
      <c r="H50" s="66">
        <v>0.0</v>
      </c>
      <c r="I50" s="66">
        <v>0.0</v>
      </c>
      <c r="J50" s="66">
        <v>0.0</v>
      </c>
      <c r="K50" s="66">
        <v>1.0</v>
      </c>
      <c r="L50" s="66">
        <v>0.0</v>
      </c>
      <c r="M50" s="66">
        <v>0.0</v>
      </c>
      <c r="N50" s="66">
        <v>0.0</v>
      </c>
      <c r="O50" s="6">
        <f t="shared" si="14"/>
        <v>1</v>
      </c>
    </row>
    <row r="51" ht="12.75" customHeight="1">
      <c r="A51" s="18"/>
      <c r="B51" s="51"/>
      <c r="C51" s="52" t="s">
        <v>44</v>
      </c>
      <c r="D51" s="53"/>
      <c r="E51" s="66">
        <v>0.0</v>
      </c>
      <c r="F51" s="66">
        <v>0.0</v>
      </c>
      <c r="G51" s="66">
        <v>0.0</v>
      </c>
      <c r="H51" s="66">
        <v>1.0</v>
      </c>
      <c r="I51" s="66">
        <v>0.0</v>
      </c>
      <c r="J51" s="66">
        <v>0.0</v>
      </c>
      <c r="K51" s="66">
        <v>0.0</v>
      </c>
      <c r="L51" s="66">
        <v>0.0</v>
      </c>
      <c r="M51" s="66">
        <v>0.0</v>
      </c>
      <c r="N51" s="66">
        <v>0.0</v>
      </c>
      <c r="O51" s="6">
        <f t="shared" si="14"/>
        <v>1</v>
      </c>
    </row>
    <row r="52" ht="12.75" customHeight="1">
      <c r="A52" s="13" t="s">
        <v>14</v>
      </c>
      <c r="B52" s="49" t="s">
        <v>45</v>
      </c>
      <c r="C52" s="8"/>
      <c r="D52" s="9"/>
      <c r="E52" s="54">
        <f t="shared" ref="E52:N52" si="15">SUM(E45:E51)</f>
        <v>32</v>
      </c>
      <c r="F52" s="54">
        <f t="shared" si="15"/>
        <v>45</v>
      </c>
      <c r="G52" s="54">
        <f t="shared" si="15"/>
        <v>31</v>
      </c>
      <c r="H52" s="54">
        <f t="shared" si="15"/>
        <v>34</v>
      </c>
      <c r="I52" s="54">
        <f t="shared" si="15"/>
        <v>57</v>
      </c>
      <c r="J52" s="54">
        <f t="shared" si="15"/>
        <v>7</v>
      </c>
      <c r="K52" s="54">
        <f t="shared" si="15"/>
        <v>12</v>
      </c>
      <c r="L52" s="54">
        <f t="shared" si="15"/>
        <v>27</v>
      </c>
      <c r="M52" s="54">
        <f t="shared" si="15"/>
        <v>77</v>
      </c>
      <c r="N52" s="54">
        <f t="shared" si="15"/>
        <v>68</v>
      </c>
      <c r="O52" s="6">
        <f t="shared" si="14"/>
        <v>390</v>
      </c>
    </row>
    <row r="53" ht="12.75" customHeight="1">
      <c r="A53" s="55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6"/>
    </row>
    <row r="54" ht="12.75" customHeight="1">
      <c r="A54" s="32" t="s">
        <v>36</v>
      </c>
      <c r="B54" s="49" t="s">
        <v>18</v>
      </c>
      <c r="C54" s="50" t="s">
        <v>46</v>
      </c>
      <c r="D54" s="9"/>
      <c r="E54" s="66">
        <v>6.0</v>
      </c>
      <c r="F54" s="66">
        <v>8.0</v>
      </c>
      <c r="G54" s="66">
        <v>8.0</v>
      </c>
      <c r="H54" s="66">
        <v>8.0</v>
      </c>
      <c r="I54" s="66">
        <v>3.0</v>
      </c>
      <c r="J54" s="66">
        <v>8.0</v>
      </c>
      <c r="K54" s="66">
        <v>1.0</v>
      </c>
      <c r="L54" s="66">
        <v>6.0</v>
      </c>
      <c r="M54" s="66">
        <v>11.0</v>
      </c>
      <c r="N54" s="66">
        <v>9.0</v>
      </c>
      <c r="O54" s="6">
        <f t="shared" ref="O54:O61" si="16">SUM(E54:N54)</f>
        <v>68</v>
      </c>
    </row>
    <row r="55" ht="12.75" customHeight="1">
      <c r="A55" s="32" t="s">
        <v>38</v>
      </c>
      <c r="B55" s="51"/>
      <c r="C55" s="52" t="s">
        <v>47</v>
      </c>
      <c r="D55" s="53"/>
      <c r="E55" s="66">
        <v>2.0</v>
      </c>
      <c r="F55" s="66">
        <v>8.0</v>
      </c>
      <c r="G55" s="66">
        <v>4.0</v>
      </c>
      <c r="H55" s="66">
        <v>29.0</v>
      </c>
      <c r="I55" s="66">
        <v>5.0</v>
      </c>
      <c r="J55" s="66">
        <v>4.0</v>
      </c>
      <c r="K55" s="66">
        <v>4.0</v>
      </c>
      <c r="L55" s="66">
        <v>3.0</v>
      </c>
      <c r="M55" s="66">
        <v>8.0</v>
      </c>
      <c r="N55" s="66">
        <v>4.0</v>
      </c>
      <c r="O55" s="6">
        <f t="shared" si="16"/>
        <v>71</v>
      </c>
    </row>
    <row r="56" ht="12.75" customHeight="1">
      <c r="A56" s="18"/>
      <c r="B56" s="51"/>
      <c r="C56" s="52" t="s">
        <v>48</v>
      </c>
      <c r="D56" s="53"/>
      <c r="E56" s="66">
        <v>3.0</v>
      </c>
      <c r="F56" s="66">
        <v>5.0</v>
      </c>
      <c r="G56" s="66">
        <v>7.0</v>
      </c>
      <c r="H56" s="66">
        <v>6.0</v>
      </c>
      <c r="I56" s="66">
        <v>6.0</v>
      </c>
      <c r="J56" s="66">
        <v>55.0</v>
      </c>
      <c r="K56" s="66">
        <v>14.0</v>
      </c>
      <c r="L56" s="66">
        <v>14.0</v>
      </c>
      <c r="M56" s="66">
        <v>8.0</v>
      </c>
      <c r="N56" s="66">
        <v>20.0</v>
      </c>
      <c r="O56" s="6">
        <f t="shared" si="16"/>
        <v>138</v>
      </c>
    </row>
    <row r="57" ht="12.75" customHeight="1">
      <c r="A57" s="18"/>
      <c r="B57" s="51"/>
      <c r="C57" s="52" t="s">
        <v>49</v>
      </c>
      <c r="D57" s="53"/>
      <c r="E57" s="66">
        <v>1.0</v>
      </c>
      <c r="F57" s="66">
        <v>0.0</v>
      </c>
      <c r="G57" s="66">
        <v>1.0</v>
      </c>
      <c r="H57" s="66">
        <v>0.0</v>
      </c>
      <c r="I57" s="66">
        <v>0.0</v>
      </c>
      <c r="J57" s="66">
        <v>0.0</v>
      </c>
      <c r="K57" s="66">
        <v>0.0</v>
      </c>
      <c r="L57" s="66">
        <v>1.0</v>
      </c>
      <c r="M57" s="66">
        <v>1.0</v>
      </c>
      <c r="N57" s="66">
        <v>2.0</v>
      </c>
      <c r="O57" s="6">
        <f t="shared" si="16"/>
        <v>6</v>
      </c>
    </row>
    <row r="58" ht="12.75" customHeight="1">
      <c r="A58" s="18"/>
      <c r="B58" s="51"/>
      <c r="C58" s="52" t="s">
        <v>50</v>
      </c>
      <c r="D58" s="53"/>
      <c r="E58" s="66">
        <v>0.0</v>
      </c>
      <c r="F58" s="66">
        <v>0.0</v>
      </c>
      <c r="G58" s="66">
        <v>0.0</v>
      </c>
      <c r="H58" s="66">
        <v>0.0</v>
      </c>
      <c r="I58" s="66">
        <v>0.0</v>
      </c>
      <c r="J58" s="66">
        <v>0.0</v>
      </c>
      <c r="K58" s="66">
        <v>0.0</v>
      </c>
      <c r="L58" s="66">
        <v>0.0</v>
      </c>
      <c r="M58" s="66">
        <v>1.0</v>
      </c>
      <c r="N58" s="66">
        <v>2.0</v>
      </c>
      <c r="O58" s="6">
        <f t="shared" si="16"/>
        <v>3</v>
      </c>
    </row>
    <row r="59" ht="12.75" customHeight="1">
      <c r="A59" s="18"/>
      <c r="B59" s="51"/>
      <c r="C59" s="52" t="s">
        <v>51</v>
      </c>
      <c r="D59" s="53"/>
      <c r="E59" s="66">
        <v>0.0</v>
      </c>
      <c r="F59" s="66">
        <v>0.0</v>
      </c>
      <c r="G59" s="66">
        <v>0.0</v>
      </c>
      <c r="H59" s="66">
        <v>0.0</v>
      </c>
      <c r="I59" s="66">
        <v>0.0</v>
      </c>
      <c r="J59" s="66">
        <v>1.0</v>
      </c>
      <c r="K59" s="66">
        <v>0.0</v>
      </c>
      <c r="L59" s="66">
        <v>0.0</v>
      </c>
      <c r="M59" s="66">
        <v>0.0</v>
      </c>
      <c r="N59" s="66">
        <v>1.0</v>
      </c>
      <c r="O59" s="6">
        <f t="shared" si="16"/>
        <v>2</v>
      </c>
    </row>
    <row r="60" ht="12.75" customHeight="1">
      <c r="A60" s="18"/>
      <c r="B60" s="51"/>
      <c r="C60" s="52" t="s">
        <v>52</v>
      </c>
      <c r="D60" s="53"/>
      <c r="E60" s="66">
        <v>0.0</v>
      </c>
      <c r="F60" s="66">
        <v>0.0</v>
      </c>
      <c r="G60" s="66">
        <v>0.0</v>
      </c>
      <c r="H60" s="66">
        <v>0.0</v>
      </c>
      <c r="I60" s="66">
        <v>0.0</v>
      </c>
      <c r="J60" s="66">
        <v>0.0</v>
      </c>
      <c r="K60" s="66">
        <v>0.0</v>
      </c>
      <c r="L60" s="66">
        <v>0.0</v>
      </c>
      <c r="M60" s="66">
        <v>4.0</v>
      </c>
      <c r="N60" s="66">
        <v>0.0</v>
      </c>
      <c r="O60" s="6">
        <f t="shared" si="16"/>
        <v>4</v>
      </c>
    </row>
    <row r="61" ht="12.75" customHeight="1">
      <c r="A61" s="13" t="s">
        <v>14</v>
      </c>
      <c r="B61" s="49" t="s">
        <v>45</v>
      </c>
      <c r="C61" s="8"/>
      <c r="D61" s="9"/>
      <c r="E61" s="54">
        <f t="shared" ref="E61:N61" si="17">SUM(E54:E60)</f>
        <v>12</v>
      </c>
      <c r="F61" s="54">
        <f t="shared" si="17"/>
        <v>21</v>
      </c>
      <c r="G61" s="54">
        <f t="shared" si="17"/>
        <v>20</v>
      </c>
      <c r="H61" s="54">
        <f t="shared" si="17"/>
        <v>43</v>
      </c>
      <c r="I61" s="54">
        <f t="shared" si="17"/>
        <v>14</v>
      </c>
      <c r="J61" s="54">
        <f t="shared" si="17"/>
        <v>68</v>
      </c>
      <c r="K61" s="54">
        <f t="shared" si="17"/>
        <v>19</v>
      </c>
      <c r="L61" s="54">
        <f t="shared" si="17"/>
        <v>24</v>
      </c>
      <c r="M61" s="54">
        <f t="shared" si="17"/>
        <v>33</v>
      </c>
      <c r="N61" s="54">
        <f t="shared" si="17"/>
        <v>38</v>
      </c>
      <c r="O61" s="6">
        <f t="shared" si="16"/>
        <v>292</v>
      </c>
    </row>
    <row r="62" ht="12.75" customHeight="1">
      <c r="A62" s="55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6"/>
    </row>
    <row r="63" ht="12.75" customHeight="1">
      <c r="A63" s="32" t="s">
        <v>36</v>
      </c>
      <c r="B63" s="49" t="s">
        <v>20</v>
      </c>
      <c r="C63" s="50" t="s">
        <v>53</v>
      </c>
      <c r="D63" s="9"/>
      <c r="E63" s="66">
        <v>17.0</v>
      </c>
      <c r="F63" s="66">
        <v>11.0</v>
      </c>
      <c r="G63" s="66">
        <v>12.0</v>
      </c>
      <c r="H63" s="66">
        <v>10.0</v>
      </c>
      <c r="I63" s="66">
        <v>6.0</v>
      </c>
      <c r="J63" s="66">
        <v>8.0</v>
      </c>
      <c r="K63" s="66">
        <v>7.0</v>
      </c>
      <c r="L63" s="66">
        <v>9.0</v>
      </c>
      <c r="M63" s="66">
        <v>4.0</v>
      </c>
      <c r="N63" s="66">
        <v>6.0</v>
      </c>
      <c r="O63" s="6">
        <f t="shared" ref="O63:O70" si="18">SUM(E63:N63)</f>
        <v>90</v>
      </c>
    </row>
    <row r="64" ht="12.75" customHeight="1">
      <c r="A64" s="32" t="s">
        <v>38</v>
      </c>
      <c r="B64" s="51"/>
      <c r="C64" s="52" t="s">
        <v>54</v>
      </c>
      <c r="D64" s="53"/>
      <c r="E64" s="66">
        <v>17.0</v>
      </c>
      <c r="F64" s="66">
        <v>5.0</v>
      </c>
      <c r="G64" s="66">
        <v>1.0</v>
      </c>
      <c r="H64" s="66">
        <v>7.0</v>
      </c>
      <c r="I64" s="66">
        <v>9.0</v>
      </c>
      <c r="J64" s="66">
        <v>0.0</v>
      </c>
      <c r="K64" s="66">
        <v>5.0</v>
      </c>
      <c r="L64" s="66">
        <v>15.0</v>
      </c>
      <c r="M64" s="66">
        <v>2.0</v>
      </c>
      <c r="N64" s="66">
        <v>4.0</v>
      </c>
      <c r="O64" s="6">
        <f t="shared" si="18"/>
        <v>65</v>
      </c>
    </row>
    <row r="65" ht="12.75" customHeight="1">
      <c r="A65" s="18"/>
      <c r="B65" s="51"/>
      <c r="C65" s="52" t="s">
        <v>55</v>
      </c>
      <c r="D65" s="53"/>
      <c r="E65" s="66">
        <v>29.0</v>
      </c>
      <c r="F65" s="66">
        <v>23.0</v>
      </c>
      <c r="G65" s="66">
        <v>21.0</v>
      </c>
      <c r="H65" s="66">
        <v>10.0</v>
      </c>
      <c r="I65" s="66">
        <v>16.0</v>
      </c>
      <c r="J65" s="66">
        <v>12.0</v>
      </c>
      <c r="K65" s="66">
        <v>2.0</v>
      </c>
      <c r="L65" s="66">
        <v>15.0</v>
      </c>
      <c r="M65" s="66">
        <v>6.0</v>
      </c>
      <c r="N65" s="66">
        <v>15.0</v>
      </c>
      <c r="O65" s="6">
        <f t="shared" si="18"/>
        <v>149</v>
      </c>
    </row>
    <row r="66" ht="12.75" customHeight="1">
      <c r="A66" s="18"/>
      <c r="B66" s="51"/>
      <c r="C66" s="52" t="s">
        <v>56</v>
      </c>
      <c r="D66" s="53"/>
      <c r="E66" s="66">
        <v>5.0</v>
      </c>
      <c r="F66" s="66">
        <v>8.0</v>
      </c>
      <c r="G66" s="66">
        <v>6.0</v>
      </c>
      <c r="H66" s="66">
        <v>1.0</v>
      </c>
      <c r="I66" s="66">
        <v>13.0</v>
      </c>
      <c r="J66" s="66">
        <v>6.0</v>
      </c>
      <c r="K66" s="66">
        <v>7.0</v>
      </c>
      <c r="L66" s="66">
        <v>30.0</v>
      </c>
      <c r="M66" s="66">
        <v>9.0</v>
      </c>
      <c r="N66" s="66">
        <v>1.0</v>
      </c>
      <c r="O66" s="6">
        <f t="shared" si="18"/>
        <v>86</v>
      </c>
    </row>
    <row r="67" ht="12.75" customHeight="1">
      <c r="A67" s="18"/>
      <c r="B67" s="51"/>
      <c r="C67" s="52" t="s">
        <v>57</v>
      </c>
      <c r="D67" s="53"/>
      <c r="E67" s="66">
        <v>7.0</v>
      </c>
      <c r="F67" s="66">
        <v>4.0</v>
      </c>
      <c r="G67" s="66">
        <v>6.0</v>
      </c>
      <c r="H67" s="66">
        <v>18.0</v>
      </c>
      <c r="I67" s="66">
        <v>11.0</v>
      </c>
      <c r="J67" s="66">
        <v>12.0</v>
      </c>
      <c r="K67" s="66">
        <v>32.0</v>
      </c>
      <c r="L67" s="66">
        <v>6.0</v>
      </c>
      <c r="M67" s="66">
        <v>20.0</v>
      </c>
      <c r="N67" s="66">
        <v>18.0</v>
      </c>
      <c r="O67" s="6">
        <f t="shared" si="18"/>
        <v>134</v>
      </c>
    </row>
    <row r="68" ht="12.75" customHeight="1">
      <c r="A68" s="18"/>
      <c r="B68" s="51"/>
      <c r="C68" s="52" t="s">
        <v>58</v>
      </c>
      <c r="D68" s="53"/>
      <c r="E68" s="66">
        <v>2.0</v>
      </c>
      <c r="F68" s="66">
        <v>0.0</v>
      </c>
      <c r="G68" s="66">
        <v>2.0</v>
      </c>
      <c r="H68" s="66">
        <v>1.0</v>
      </c>
      <c r="I68" s="66">
        <v>1.0</v>
      </c>
      <c r="J68" s="66">
        <v>1.0</v>
      </c>
      <c r="K68" s="66">
        <v>5.0</v>
      </c>
      <c r="L68" s="66">
        <v>12.0</v>
      </c>
      <c r="M68" s="66">
        <v>1.0</v>
      </c>
      <c r="N68" s="66">
        <v>0.0</v>
      </c>
      <c r="O68" s="6">
        <f t="shared" si="18"/>
        <v>25</v>
      </c>
    </row>
    <row r="69" ht="12.75" customHeight="1">
      <c r="A69" s="18"/>
      <c r="B69" s="51"/>
      <c r="C69" s="52" t="s">
        <v>59</v>
      </c>
      <c r="D69" s="53"/>
      <c r="E69" s="66">
        <v>0.0</v>
      </c>
      <c r="F69" s="66">
        <v>1.0</v>
      </c>
      <c r="G69" s="66">
        <v>1.0</v>
      </c>
      <c r="H69" s="66">
        <v>2.0</v>
      </c>
      <c r="I69" s="66">
        <v>18.0</v>
      </c>
      <c r="J69" s="66">
        <v>5.0</v>
      </c>
      <c r="K69" s="66">
        <v>0.0</v>
      </c>
      <c r="L69" s="66">
        <v>0.0</v>
      </c>
      <c r="M69" s="66">
        <v>0.0</v>
      </c>
      <c r="N69" s="66">
        <v>0.0</v>
      </c>
      <c r="O69" s="6">
        <f t="shared" si="18"/>
        <v>27</v>
      </c>
    </row>
    <row r="70" ht="12.75" customHeight="1">
      <c r="A70" s="13" t="s">
        <v>14</v>
      </c>
      <c r="B70" s="49" t="s">
        <v>45</v>
      </c>
      <c r="C70" s="8"/>
      <c r="D70" s="9"/>
      <c r="E70" s="54">
        <f t="shared" ref="E70:N70" si="19">SUM(E63:E69)</f>
        <v>77</v>
      </c>
      <c r="F70" s="54">
        <f t="shared" si="19"/>
        <v>52</v>
      </c>
      <c r="G70" s="54">
        <f t="shared" si="19"/>
        <v>49</v>
      </c>
      <c r="H70" s="54">
        <f t="shared" si="19"/>
        <v>49</v>
      </c>
      <c r="I70" s="54">
        <f t="shared" si="19"/>
        <v>74</v>
      </c>
      <c r="J70" s="54">
        <f t="shared" si="19"/>
        <v>44</v>
      </c>
      <c r="K70" s="54">
        <f t="shared" si="19"/>
        <v>58</v>
      </c>
      <c r="L70" s="54">
        <f t="shared" si="19"/>
        <v>87</v>
      </c>
      <c r="M70" s="54">
        <f t="shared" si="19"/>
        <v>42</v>
      </c>
      <c r="N70" s="54">
        <f t="shared" si="19"/>
        <v>44</v>
      </c>
      <c r="O70" s="6">
        <f t="shared" si="18"/>
        <v>576</v>
      </c>
    </row>
    <row r="71" ht="12.75" customHeight="1">
      <c r="A71" s="55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6"/>
    </row>
    <row r="72" ht="12.75" customHeight="1">
      <c r="A72" s="32" t="s">
        <v>36</v>
      </c>
      <c r="B72" s="49" t="s">
        <v>22</v>
      </c>
      <c r="C72" s="50" t="s">
        <v>60</v>
      </c>
      <c r="D72" s="9"/>
      <c r="E72" s="66">
        <v>1.0</v>
      </c>
      <c r="F72" s="66">
        <v>1.0</v>
      </c>
      <c r="G72" s="66">
        <v>3.0</v>
      </c>
      <c r="H72" s="66">
        <v>1.0</v>
      </c>
      <c r="I72" s="66">
        <v>3.0</v>
      </c>
      <c r="J72" s="66">
        <v>1.0</v>
      </c>
      <c r="K72" s="66">
        <v>1.0</v>
      </c>
      <c r="L72" s="66">
        <v>1.0</v>
      </c>
      <c r="M72" s="66">
        <v>6.0</v>
      </c>
      <c r="N72" s="66">
        <v>3.0</v>
      </c>
      <c r="O72" s="6">
        <f t="shared" ref="O72:O79" si="20">SUM(E72:N72)</f>
        <v>21</v>
      </c>
    </row>
    <row r="73" ht="12.75" customHeight="1">
      <c r="A73" s="32" t="s">
        <v>38</v>
      </c>
      <c r="B73" s="51"/>
      <c r="C73" s="52" t="s">
        <v>61</v>
      </c>
      <c r="D73" s="53"/>
      <c r="E73" s="66">
        <v>7.0</v>
      </c>
      <c r="F73" s="66">
        <v>1.0</v>
      </c>
      <c r="G73" s="66">
        <v>4.0</v>
      </c>
      <c r="H73" s="66">
        <v>4.0</v>
      </c>
      <c r="I73" s="66">
        <v>5.0</v>
      </c>
      <c r="J73" s="66">
        <v>3.0</v>
      </c>
      <c r="K73" s="66">
        <v>3.0</v>
      </c>
      <c r="L73" s="66">
        <v>4.0</v>
      </c>
      <c r="M73" s="66">
        <v>2.0</v>
      </c>
      <c r="N73" s="66">
        <v>2.0</v>
      </c>
      <c r="O73" s="6">
        <f t="shared" si="20"/>
        <v>35</v>
      </c>
    </row>
    <row r="74" ht="12.75" customHeight="1">
      <c r="A74" s="18"/>
      <c r="B74" s="51"/>
      <c r="C74" s="52" t="s">
        <v>62</v>
      </c>
      <c r="D74" s="53"/>
      <c r="E74" s="66">
        <v>0.0</v>
      </c>
      <c r="F74" s="66">
        <v>0.0</v>
      </c>
      <c r="G74" s="66">
        <v>0.0</v>
      </c>
      <c r="H74" s="66">
        <v>0.0</v>
      </c>
      <c r="I74" s="66">
        <v>0.0</v>
      </c>
      <c r="J74" s="66">
        <v>0.0</v>
      </c>
      <c r="K74" s="66">
        <v>0.0</v>
      </c>
      <c r="L74" s="66">
        <v>0.0</v>
      </c>
      <c r="M74" s="66">
        <v>2.0</v>
      </c>
      <c r="N74" s="66">
        <v>1.0</v>
      </c>
      <c r="O74" s="6">
        <f t="shared" si="20"/>
        <v>3</v>
      </c>
    </row>
    <row r="75" ht="12.75" customHeight="1">
      <c r="A75" s="18"/>
      <c r="B75" s="51"/>
      <c r="C75" s="52" t="s">
        <v>63</v>
      </c>
      <c r="D75" s="53"/>
      <c r="E75" s="66">
        <v>0.0</v>
      </c>
      <c r="F75" s="66">
        <v>0.0</v>
      </c>
      <c r="G75" s="66">
        <v>0.0</v>
      </c>
      <c r="H75" s="66">
        <v>0.0</v>
      </c>
      <c r="I75" s="66">
        <v>0.0</v>
      </c>
      <c r="J75" s="66">
        <v>0.0</v>
      </c>
      <c r="K75" s="66">
        <v>1.0</v>
      </c>
      <c r="L75" s="66">
        <v>0.0</v>
      </c>
      <c r="M75" s="66">
        <v>1.0</v>
      </c>
      <c r="N75" s="66">
        <v>0.0</v>
      </c>
      <c r="O75" s="6">
        <f t="shared" si="20"/>
        <v>2</v>
      </c>
    </row>
    <row r="76" ht="12.75" customHeight="1">
      <c r="A76" s="18"/>
      <c r="B76" s="51"/>
      <c r="C76" s="52" t="s">
        <v>64</v>
      </c>
      <c r="D76" s="53"/>
      <c r="E76" s="66">
        <v>0.0</v>
      </c>
      <c r="F76" s="66">
        <v>0.0</v>
      </c>
      <c r="G76" s="66">
        <v>0.0</v>
      </c>
      <c r="H76" s="66">
        <v>0.0</v>
      </c>
      <c r="I76" s="66">
        <v>1.0</v>
      </c>
      <c r="J76" s="66">
        <v>0.0</v>
      </c>
      <c r="K76" s="66">
        <v>0.0</v>
      </c>
      <c r="L76" s="66">
        <v>0.0</v>
      </c>
      <c r="M76" s="66">
        <v>0.0</v>
      </c>
      <c r="N76" s="66">
        <v>0.0</v>
      </c>
      <c r="O76" s="6">
        <f t="shared" si="20"/>
        <v>1</v>
      </c>
    </row>
    <row r="77" ht="12.75" customHeight="1">
      <c r="A77" s="18"/>
      <c r="B77" s="51"/>
      <c r="C77" s="52" t="s">
        <v>65</v>
      </c>
      <c r="D77" s="53"/>
      <c r="E77" s="66">
        <v>0.0</v>
      </c>
      <c r="F77" s="66">
        <v>0.0</v>
      </c>
      <c r="G77" s="66">
        <v>1.0</v>
      </c>
      <c r="H77" s="66">
        <v>0.0</v>
      </c>
      <c r="I77" s="66">
        <v>2.0</v>
      </c>
      <c r="J77" s="66">
        <v>0.0</v>
      </c>
      <c r="K77" s="66">
        <v>1.0</v>
      </c>
      <c r="L77" s="66">
        <v>0.0</v>
      </c>
      <c r="M77" s="66">
        <v>1.0</v>
      </c>
      <c r="N77" s="66">
        <v>0.0</v>
      </c>
      <c r="O77" s="6">
        <f t="shared" si="20"/>
        <v>5</v>
      </c>
    </row>
    <row r="78" ht="12.75" customHeight="1">
      <c r="A78" s="18"/>
      <c r="B78" s="51"/>
      <c r="C78" s="52" t="s">
        <v>66</v>
      </c>
      <c r="D78" s="53"/>
      <c r="E78" s="66">
        <v>0.0</v>
      </c>
      <c r="F78" s="66">
        <v>0.0</v>
      </c>
      <c r="G78" s="66">
        <v>0.0</v>
      </c>
      <c r="H78" s="66">
        <v>0.0</v>
      </c>
      <c r="I78" s="66">
        <v>0.0</v>
      </c>
      <c r="J78" s="66">
        <v>0.0</v>
      </c>
      <c r="K78" s="66">
        <v>0.0</v>
      </c>
      <c r="L78" s="66">
        <v>0.0</v>
      </c>
      <c r="M78" s="66">
        <v>0.0</v>
      </c>
      <c r="N78" s="66">
        <v>0.0</v>
      </c>
      <c r="O78" s="6">
        <f t="shared" si="20"/>
        <v>0</v>
      </c>
    </row>
    <row r="79" ht="12.75" customHeight="1">
      <c r="A79" s="13" t="s">
        <v>14</v>
      </c>
      <c r="B79" s="49" t="s">
        <v>45</v>
      </c>
      <c r="C79" s="8"/>
      <c r="D79" s="9"/>
      <c r="E79" s="54">
        <f t="shared" ref="E79:N79" si="21">SUM(E72:E78)</f>
        <v>8</v>
      </c>
      <c r="F79" s="54">
        <f t="shared" si="21"/>
        <v>2</v>
      </c>
      <c r="G79" s="54">
        <f t="shared" si="21"/>
        <v>8</v>
      </c>
      <c r="H79" s="54">
        <f t="shared" si="21"/>
        <v>5</v>
      </c>
      <c r="I79" s="54">
        <f t="shared" si="21"/>
        <v>11</v>
      </c>
      <c r="J79" s="54">
        <f t="shared" si="21"/>
        <v>4</v>
      </c>
      <c r="K79" s="54">
        <f t="shared" si="21"/>
        <v>6</v>
      </c>
      <c r="L79" s="54">
        <f t="shared" si="21"/>
        <v>5</v>
      </c>
      <c r="M79" s="54">
        <f t="shared" si="21"/>
        <v>12</v>
      </c>
      <c r="N79" s="54">
        <f t="shared" si="21"/>
        <v>6</v>
      </c>
      <c r="O79" s="6">
        <f t="shared" si="20"/>
        <v>67</v>
      </c>
    </row>
    <row r="80" ht="12.75" customHeight="1">
      <c r="A80" s="55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6"/>
    </row>
    <row r="81" ht="12.75" customHeight="1">
      <c r="A81" s="32" t="s">
        <v>36</v>
      </c>
      <c r="B81" s="49" t="s">
        <v>67</v>
      </c>
      <c r="C81" s="50" t="s">
        <v>68</v>
      </c>
      <c r="D81" s="9"/>
      <c r="E81" s="66">
        <v>2.0</v>
      </c>
      <c r="F81" s="66">
        <v>0.0</v>
      </c>
      <c r="G81" s="66">
        <v>0.0</v>
      </c>
      <c r="H81" s="66">
        <v>0.0</v>
      </c>
      <c r="I81" s="66">
        <v>0.0</v>
      </c>
      <c r="J81" s="66">
        <v>3.0</v>
      </c>
      <c r="K81" s="66">
        <v>0.0</v>
      </c>
      <c r="L81" s="66">
        <v>4.0</v>
      </c>
      <c r="M81" s="66">
        <v>0.0</v>
      </c>
      <c r="N81" s="66">
        <v>2.0</v>
      </c>
      <c r="O81" s="6">
        <f t="shared" ref="O81:O88" si="22">SUM(E81:N81)</f>
        <v>11</v>
      </c>
    </row>
    <row r="82" ht="12.75" customHeight="1">
      <c r="A82" s="32" t="s">
        <v>38</v>
      </c>
      <c r="B82" s="51"/>
      <c r="C82" s="52" t="s">
        <v>69</v>
      </c>
      <c r="D82" s="53"/>
      <c r="E82" s="66">
        <v>10.0</v>
      </c>
      <c r="F82" s="66">
        <v>7.0</v>
      </c>
      <c r="G82" s="66">
        <v>18.0</v>
      </c>
      <c r="H82" s="66">
        <v>1.0</v>
      </c>
      <c r="I82" s="66">
        <v>1.0</v>
      </c>
      <c r="J82" s="66">
        <v>41.0</v>
      </c>
      <c r="K82" s="66">
        <v>70.0</v>
      </c>
      <c r="L82" s="66">
        <v>25.0</v>
      </c>
      <c r="M82" s="66">
        <v>37.0</v>
      </c>
      <c r="N82" s="66">
        <v>15.0</v>
      </c>
      <c r="O82" s="6">
        <f t="shared" si="22"/>
        <v>225</v>
      </c>
    </row>
    <row r="83" ht="12.75" customHeight="1">
      <c r="A83" s="18"/>
      <c r="B83" s="51"/>
      <c r="C83" s="52" t="s">
        <v>70</v>
      </c>
      <c r="D83" s="53"/>
      <c r="E83" s="66">
        <v>0.0</v>
      </c>
      <c r="F83" s="66">
        <v>1.0</v>
      </c>
      <c r="G83" s="66">
        <v>0.0</v>
      </c>
      <c r="H83" s="66">
        <v>1.0</v>
      </c>
      <c r="I83" s="66">
        <v>0.0</v>
      </c>
      <c r="J83" s="66">
        <v>0.0</v>
      </c>
      <c r="K83" s="66">
        <v>0.0</v>
      </c>
      <c r="L83" s="66">
        <v>1.0</v>
      </c>
      <c r="M83" s="66">
        <v>1.0</v>
      </c>
      <c r="N83" s="66">
        <v>0.0</v>
      </c>
      <c r="O83" s="6">
        <f t="shared" si="22"/>
        <v>4</v>
      </c>
    </row>
    <row r="84" ht="12.75" customHeight="1">
      <c r="A84" s="18"/>
      <c r="B84" s="51"/>
      <c r="C84" s="52" t="s">
        <v>71</v>
      </c>
      <c r="D84" s="53"/>
      <c r="E84" s="66">
        <v>0.0</v>
      </c>
      <c r="F84" s="66">
        <v>0.0</v>
      </c>
      <c r="G84" s="66">
        <v>0.0</v>
      </c>
      <c r="H84" s="66">
        <v>0.0</v>
      </c>
      <c r="I84" s="66">
        <v>0.0</v>
      </c>
      <c r="J84" s="66">
        <v>0.0</v>
      </c>
      <c r="K84" s="66">
        <v>0.0</v>
      </c>
      <c r="L84" s="66">
        <v>0.0</v>
      </c>
      <c r="M84" s="66">
        <v>0.0</v>
      </c>
      <c r="N84" s="66">
        <v>1.0</v>
      </c>
      <c r="O84" s="6">
        <f t="shared" si="22"/>
        <v>1</v>
      </c>
    </row>
    <row r="85" ht="12.75" customHeight="1">
      <c r="A85" s="18"/>
      <c r="B85" s="51"/>
      <c r="C85" s="52" t="s">
        <v>72</v>
      </c>
      <c r="D85" s="53"/>
      <c r="E85" s="66">
        <v>0.0</v>
      </c>
      <c r="F85" s="66">
        <v>1.0</v>
      </c>
      <c r="G85" s="66">
        <v>0.0</v>
      </c>
      <c r="H85" s="66">
        <v>0.0</v>
      </c>
      <c r="I85" s="66">
        <v>0.0</v>
      </c>
      <c r="J85" s="66">
        <v>0.0</v>
      </c>
      <c r="K85" s="66">
        <v>0.0</v>
      </c>
      <c r="L85" s="66">
        <v>0.0</v>
      </c>
      <c r="M85" s="66">
        <v>1.0</v>
      </c>
      <c r="N85" s="66">
        <v>0.0</v>
      </c>
      <c r="O85" s="6">
        <f t="shared" si="22"/>
        <v>2</v>
      </c>
    </row>
    <row r="86" ht="12.75" customHeight="1">
      <c r="A86" s="18"/>
      <c r="B86" s="51"/>
      <c r="C86" s="52" t="s">
        <v>73</v>
      </c>
      <c r="D86" s="53"/>
      <c r="E86" s="66">
        <v>0.0</v>
      </c>
      <c r="F86" s="66">
        <v>0.0</v>
      </c>
      <c r="G86" s="66">
        <v>0.0</v>
      </c>
      <c r="H86" s="66">
        <v>0.0</v>
      </c>
      <c r="I86" s="66">
        <v>0.0</v>
      </c>
      <c r="J86" s="66">
        <v>0.0</v>
      </c>
      <c r="K86" s="66">
        <v>0.0</v>
      </c>
      <c r="L86" s="66">
        <v>0.0</v>
      </c>
      <c r="M86" s="66">
        <v>0.0</v>
      </c>
      <c r="N86" s="66">
        <v>0.0</v>
      </c>
      <c r="O86" s="6">
        <f t="shared" si="22"/>
        <v>0</v>
      </c>
    </row>
    <row r="87" ht="12.75" customHeight="1">
      <c r="A87" s="18"/>
      <c r="B87" s="51"/>
      <c r="C87" s="52" t="s">
        <v>74</v>
      </c>
      <c r="D87" s="53"/>
      <c r="E87" s="66">
        <v>0.0</v>
      </c>
      <c r="F87" s="66">
        <v>0.0</v>
      </c>
      <c r="G87" s="66">
        <v>0.0</v>
      </c>
      <c r="H87" s="66">
        <v>0.0</v>
      </c>
      <c r="I87" s="66">
        <v>0.0</v>
      </c>
      <c r="J87" s="66">
        <v>0.0</v>
      </c>
      <c r="K87" s="66">
        <v>0.0</v>
      </c>
      <c r="L87" s="66">
        <v>0.0</v>
      </c>
      <c r="M87" s="66">
        <v>0.0</v>
      </c>
      <c r="N87" s="66">
        <v>0.0</v>
      </c>
      <c r="O87" s="6">
        <f t="shared" si="22"/>
        <v>0</v>
      </c>
    </row>
    <row r="88" ht="12.75" customHeight="1">
      <c r="A88" s="13" t="s">
        <v>14</v>
      </c>
      <c r="B88" s="49" t="s">
        <v>45</v>
      </c>
      <c r="C88" s="8"/>
      <c r="D88" s="9"/>
      <c r="E88" s="54">
        <f t="shared" ref="E88:N88" si="23">SUM(E81:E87)</f>
        <v>12</v>
      </c>
      <c r="F88" s="54">
        <f t="shared" si="23"/>
        <v>9</v>
      </c>
      <c r="G88" s="54">
        <f t="shared" si="23"/>
        <v>18</v>
      </c>
      <c r="H88" s="54">
        <f t="shared" si="23"/>
        <v>2</v>
      </c>
      <c r="I88" s="54">
        <f t="shared" si="23"/>
        <v>1</v>
      </c>
      <c r="J88" s="54">
        <f t="shared" si="23"/>
        <v>44</v>
      </c>
      <c r="K88" s="54">
        <f t="shared" si="23"/>
        <v>70</v>
      </c>
      <c r="L88" s="54">
        <f t="shared" si="23"/>
        <v>30</v>
      </c>
      <c r="M88" s="54">
        <f t="shared" si="23"/>
        <v>39</v>
      </c>
      <c r="N88" s="54">
        <f t="shared" si="23"/>
        <v>18</v>
      </c>
      <c r="O88" s="6">
        <f t="shared" si="22"/>
        <v>243</v>
      </c>
    </row>
    <row r="89" ht="12.75" customHeight="1">
      <c r="A89" s="55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6"/>
    </row>
    <row r="90" ht="12.75" customHeight="1">
      <c r="A90" s="32" t="s">
        <v>36</v>
      </c>
      <c r="B90" s="49" t="s">
        <v>75</v>
      </c>
      <c r="C90" s="50" t="s">
        <v>76</v>
      </c>
      <c r="D90" s="9"/>
      <c r="E90" s="66">
        <v>0.0</v>
      </c>
      <c r="F90" s="66">
        <v>0.0</v>
      </c>
      <c r="G90" s="66">
        <v>0.0</v>
      </c>
      <c r="H90" s="66">
        <v>0.0</v>
      </c>
      <c r="I90" s="66">
        <v>2.0</v>
      </c>
      <c r="J90" s="66">
        <v>0.0</v>
      </c>
      <c r="K90" s="66">
        <v>0.0</v>
      </c>
      <c r="L90" s="66">
        <v>0.0</v>
      </c>
      <c r="M90" s="66">
        <v>1.0</v>
      </c>
      <c r="N90" s="66">
        <v>1.0</v>
      </c>
      <c r="O90" s="6">
        <f t="shared" ref="O90:O92" si="24">SUM(E90:N90)</f>
        <v>4</v>
      </c>
    </row>
    <row r="91" ht="12.75" customHeight="1">
      <c r="A91" s="32" t="s">
        <v>38</v>
      </c>
      <c r="B91" s="51"/>
      <c r="C91" s="52"/>
      <c r="D91" s="9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6">
        <f t="shared" si="24"/>
        <v>0</v>
      </c>
    </row>
    <row r="92" ht="12.75" customHeight="1">
      <c r="A92" s="13" t="s">
        <v>14</v>
      </c>
      <c r="B92" s="49" t="s">
        <v>45</v>
      </c>
      <c r="C92" s="8"/>
      <c r="D92" s="9"/>
      <c r="E92" s="54">
        <f t="shared" ref="E92:N92" si="25">SUM(E90:E91)</f>
        <v>0</v>
      </c>
      <c r="F92" s="54">
        <f t="shared" si="25"/>
        <v>0</v>
      </c>
      <c r="G92" s="54">
        <f t="shared" si="25"/>
        <v>0</v>
      </c>
      <c r="H92" s="54">
        <f t="shared" si="25"/>
        <v>0</v>
      </c>
      <c r="I92" s="54">
        <f t="shared" si="25"/>
        <v>2</v>
      </c>
      <c r="J92" s="54">
        <f t="shared" si="25"/>
        <v>0</v>
      </c>
      <c r="K92" s="54">
        <f t="shared" si="25"/>
        <v>0</v>
      </c>
      <c r="L92" s="54">
        <f t="shared" si="25"/>
        <v>0</v>
      </c>
      <c r="M92" s="54">
        <f t="shared" si="25"/>
        <v>1</v>
      </c>
      <c r="N92" s="54">
        <f t="shared" si="25"/>
        <v>1</v>
      </c>
      <c r="O92" s="6">
        <f t="shared" si="24"/>
        <v>4</v>
      </c>
    </row>
    <row r="93" ht="12.75" customHeight="1">
      <c r="A93" s="55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6"/>
    </row>
    <row r="94" ht="12.75" customHeight="1">
      <c r="A94" s="32" t="s">
        <v>36</v>
      </c>
      <c r="B94" s="49" t="s">
        <v>77</v>
      </c>
      <c r="C94" s="50" t="s">
        <v>78</v>
      </c>
      <c r="D94" s="9"/>
      <c r="E94" s="66">
        <v>1.0</v>
      </c>
      <c r="F94" s="66">
        <v>0.0</v>
      </c>
      <c r="G94" s="66">
        <v>0.0</v>
      </c>
      <c r="H94" s="66">
        <v>1.0</v>
      </c>
      <c r="I94" s="66">
        <v>1.0</v>
      </c>
      <c r="J94" s="66">
        <v>0.0</v>
      </c>
      <c r="K94" s="66">
        <v>0.0</v>
      </c>
      <c r="L94" s="66">
        <v>0.0</v>
      </c>
      <c r="M94" s="66">
        <v>0.0</v>
      </c>
      <c r="N94" s="66">
        <v>0.0</v>
      </c>
      <c r="O94" s="6">
        <f t="shared" ref="O94:O98" si="26">SUM(E94:N94)</f>
        <v>3</v>
      </c>
    </row>
    <row r="95" ht="12.75" customHeight="1">
      <c r="A95" s="32" t="s">
        <v>38</v>
      </c>
      <c r="B95" s="51"/>
      <c r="C95" s="52" t="s">
        <v>79</v>
      </c>
      <c r="D95" s="53"/>
      <c r="E95" s="66">
        <v>0.0</v>
      </c>
      <c r="F95" s="66">
        <v>0.0</v>
      </c>
      <c r="G95" s="66">
        <v>1.0</v>
      </c>
      <c r="H95" s="66">
        <v>0.0</v>
      </c>
      <c r="I95" s="66">
        <v>0.0</v>
      </c>
      <c r="J95" s="66">
        <v>1.0</v>
      </c>
      <c r="K95" s="66">
        <v>0.0</v>
      </c>
      <c r="L95" s="66">
        <v>0.0</v>
      </c>
      <c r="M95" s="66">
        <v>1.0</v>
      </c>
      <c r="N95" s="66">
        <v>1.0</v>
      </c>
      <c r="O95" s="6">
        <f t="shared" si="26"/>
        <v>4</v>
      </c>
    </row>
    <row r="96" ht="12.75" customHeight="1">
      <c r="A96" s="32"/>
      <c r="B96" s="51"/>
      <c r="C96" s="52" t="s">
        <v>80</v>
      </c>
      <c r="D96" s="53"/>
      <c r="E96" s="66">
        <v>0.0</v>
      </c>
      <c r="F96" s="66">
        <v>0.0</v>
      </c>
      <c r="G96" s="66">
        <v>0.0</v>
      </c>
      <c r="H96" s="66">
        <v>0.0</v>
      </c>
      <c r="I96" s="66">
        <v>0.0</v>
      </c>
      <c r="J96" s="66">
        <v>0.0</v>
      </c>
      <c r="K96" s="66">
        <v>0.0</v>
      </c>
      <c r="L96" s="66">
        <v>1.0</v>
      </c>
      <c r="M96" s="66">
        <v>0.0</v>
      </c>
      <c r="N96" s="66">
        <v>0.0</v>
      </c>
      <c r="O96" s="6">
        <f t="shared" si="26"/>
        <v>1</v>
      </c>
    </row>
    <row r="97" ht="12.75" customHeight="1">
      <c r="A97" s="32"/>
      <c r="B97" s="51"/>
      <c r="C97" s="52" t="s">
        <v>81</v>
      </c>
      <c r="D97" s="53"/>
      <c r="E97" s="66">
        <v>0.0</v>
      </c>
      <c r="F97" s="66">
        <v>0.0</v>
      </c>
      <c r="G97" s="66">
        <v>1.0</v>
      </c>
      <c r="H97" s="66">
        <v>0.0</v>
      </c>
      <c r="I97" s="66">
        <v>0.0</v>
      </c>
      <c r="J97" s="66">
        <v>0.0</v>
      </c>
      <c r="K97" s="66">
        <v>0.0</v>
      </c>
      <c r="L97" s="66">
        <v>0.0</v>
      </c>
      <c r="M97" s="66">
        <v>0.0</v>
      </c>
      <c r="N97" s="66">
        <v>1.0</v>
      </c>
      <c r="O97" s="6">
        <f t="shared" si="26"/>
        <v>2</v>
      </c>
    </row>
    <row r="98" ht="12.75" customHeight="1">
      <c r="A98" s="13" t="s">
        <v>14</v>
      </c>
      <c r="B98" s="49" t="s">
        <v>45</v>
      </c>
      <c r="C98" s="8"/>
      <c r="D98" s="9"/>
      <c r="E98" s="54">
        <f t="shared" ref="E98:N98" si="27">SUM(E94:E97)</f>
        <v>1</v>
      </c>
      <c r="F98" s="54">
        <f t="shared" si="27"/>
        <v>0</v>
      </c>
      <c r="G98" s="54">
        <f t="shared" si="27"/>
        <v>2</v>
      </c>
      <c r="H98" s="54">
        <f t="shared" si="27"/>
        <v>1</v>
      </c>
      <c r="I98" s="54">
        <f t="shared" si="27"/>
        <v>1</v>
      </c>
      <c r="J98" s="54">
        <f t="shared" si="27"/>
        <v>1</v>
      </c>
      <c r="K98" s="54">
        <f t="shared" si="27"/>
        <v>0</v>
      </c>
      <c r="L98" s="54">
        <f t="shared" si="27"/>
        <v>1</v>
      </c>
      <c r="M98" s="54">
        <f t="shared" si="27"/>
        <v>1</v>
      </c>
      <c r="N98" s="54">
        <f t="shared" si="27"/>
        <v>2</v>
      </c>
      <c r="O98" s="6">
        <f t="shared" si="26"/>
        <v>10</v>
      </c>
    </row>
    <row r="99" ht="12.75" customHeight="1">
      <c r="A99" s="55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6"/>
    </row>
    <row r="100" ht="12.75" customHeight="1">
      <c r="A100" s="32" t="s">
        <v>36</v>
      </c>
      <c r="B100" s="49" t="s">
        <v>82</v>
      </c>
      <c r="C100" s="50" t="s">
        <v>83</v>
      </c>
      <c r="D100" s="9"/>
      <c r="E100" s="66">
        <v>4.0</v>
      </c>
      <c r="F100" s="66">
        <v>0.0</v>
      </c>
      <c r="G100" s="66">
        <v>3.0</v>
      </c>
      <c r="H100" s="66">
        <v>2.0</v>
      </c>
      <c r="I100" s="66">
        <v>0.0</v>
      </c>
      <c r="J100" s="66">
        <v>1.0</v>
      </c>
      <c r="K100" s="66">
        <v>2.0</v>
      </c>
      <c r="L100" s="66">
        <v>2.0</v>
      </c>
      <c r="M100" s="66">
        <v>0.0</v>
      </c>
      <c r="N100" s="66">
        <v>0.0</v>
      </c>
      <c r="O100" s="6">
        <f t="shared" ref="O100:O107" si="28">SUM(E100:N100)</f>
        <v>14</v>
      </c>
    </row>
    <row r="101" ht="12.75" customHeight="1">
      <c r="A101" s="32" t="s">
        <v>38</v>
      </c>
      <c r="B101" s="51"/>
      <c r="C101" s="52" t="s">
        <v>84</v>
      </c>
      <c r="D101" s="53"/>
      <c r="E101" s="66">
        <v>10.0</v>
      </c>
      <c r="F101" s="66">
        <v>17.0</v>
      </c>
      <c r="G101" s="66">
        <v>34.0</v>
      </c>
      <c r="H101" s="66">
        <v>35.0</v>
      </c>
      <c r="I101" s="66">
        <v>11.0</v>
      </c>
      <c r="J101" s="66">
        <v>18.0</v>
      </c>
      <c r="K101" s="66">
        <v>27.0</v>
      </c>
      <c r="L101" s="66">
        <v>11.0</v>
      </c>
      <c r="M101" s="66">
        <v>7.0</v>
      </c>
      <c r="N101" s="66">
        <v>7.0</v>
      </c>
      <c r="O101" s="6">
        <f t="shared" si="28"/>
        <v>177</v>
      </c>
    </row>
    <row r="102" ht="12.75" customHeight="1">
      <c r="A102" s="18"/>
      <c r="B102" s="51"/>
      <c r="C102" s="52" t="s">
        <v>85</v>
      </c>
      <c r="D102" s="53"/>
      <c r="E102" s="66">
        <v>0.0</v>
      </c>
      <c r="F102" s="66">
        <v>0.0</v>
      </c>
      <c r="G102" s="66">
        <v>0.0</v>
      </c>
      <c r="H102" s="66">
        <v>0.0</v>
      </c>
      <c r="I102" s="66">
        <v>0.0</v>
      </c>
      <c r="J102" s="66">
        <v>0.0</v>
      </c>
      <c r="K102" s="66">
        <v>0.0</v>
      </c>
      <c r="L102" s="66">
        <v>0.0</v>
      </c>
      <c r="M102" s="66">
        <v>1.0</v>
      </c>
      <c r="N102" s="66">
        <v>0.0</v>
      </c>
      <c r="O102" s="6">
        <f t="shared" si="28"/>
        <v>1</v>
      </c>
    </row>
    <row r="103" ht="12.75" customHeight="1">
      <c r="A103" s="18"/>
      <c r="B103" s="51"/>
      <c r="C103" s="52" t="s">
        <v>86</v>
      </c>
      <c r="D103" s="53"/>
      <c r="E103" s="66">
        <v>0.0</v>
      </c>
      <c r="F103" s="66">
        <v>0.0</v>
      </c>
      <c r="G103" s="66">
        <v>0.0</v>
      </c>
      <c r="H103" s="66">
        <v>0.0</v>
      </c>
      <c r="I103" s="66">
        <v>0.0</v>
      </c>
      <c r="J103" s="66">
        <v>0.0</v>
      </c>
      <c r="K103" s="66">
        <v>0.0</v>
      </c>
      <c r="L103" s="66">
        <v>0.0</v>
      </c>
      <c r="M103" s="66">
        <v>0.0</v>
      </c>
      <c r="N103" s="66">
        <v>0.0</v>
      </c>
      <c r="O103" s="6">
        <f t="shared" si="28"/>
        <v>0</v>
      </c>
    </row>
    <row r="104" ht="12.75" customHeight="1">
      <c r="A104" s="18"/>
      <c r="B104" s="51"/>
      <c r="C104" s="52" t="s">
        <v>87</v>
      </c>
      <c r="D104" s="53"/>
      <c r="E104" s="66">
        <v>0.0</v>
      </c>
      <c r="F104" s="66">
        <v>0.0</v>
      </c>
      <c r="G104" s="66">
        <v>0.0</v>
      </c>
      <c r="H104" s="66">
        <v>0.0</v>
      </c>
      <c r="I104" s="66">
        <v>0.0</v>
      </c>
      <c r="J104" s="66">
        <v>0.0</v>
      </c>
      <c r="K104" s="66">
        <v>0.0</v>
      </c>
      <c r="L104" s="66">
        <v>0.0</v>
      </c>
      <c r="M104" s="66">
        <v>0.0</v>
      </c>
      <c r="N104" s="66">
        <v>0.0</v>
      </c>
      <c r="O104" s="6">
        <f t="shared" si="28"/>
        <v>0</v>
      </c>
    </row>
    <row r="105" ht="12.75" customHeight="1">
      <c r="A105" s="18"/>
      <c r="B105" s="51"/>
      <c r="C105" s="52" t="s">
        <v>88</v>
      </c>
      <c r="D105" s="53"/>
      <c r="E105" s="66">
        <v>0.0</v>
      </c>
      <c r="F105" s="66">
        <v>0.0</v>
      </c>
      <c r="G105" s="66">
        <v>0.0</v>
      </c>
      <c r="H105" s="66">
        <v>0.0</v>
      </c>
      <c r="I105" s="66">
        <v>0.0</v>
      </c>
      <c r="J105" s="66">
        <v>0.0</v>
      </c>
      <c r="K105" s="66">
        <v>0.0</v>
      </c>
      <c r="L105" s="66">
        <v>0.0</v>
      </c>
      <c r="M105" s="66">
        <v>0.0</v>
      </c>
      <c r="N105" s="66">
        <v>0.0</v>
      </c>
      <c r="O105" s="6">
        <f t="shared" si="28"/>
        <v>0</v>
      </c>
    </row>
    <row r="106" ht="12.75" customHeight="1">
      <c r="A106" s="18"/>
      <c r="B106" s="51"/>
      <c r="C106" s="52" t="s">
        <v>89</v>
      </c>
      <c r="D106" s="53"/>
      <c r="E106" s="66">
        <v>0.0</v>
      </c>
      <c r="F106" s="66">
        <v>0.0</v>
      </c>
      <c r="G106" s="66">
        <v>0.0</v>
      </c>
      <c r="H106" s="66">
        <v>0.0</v>
      </c>
      <c r="I106" s="66">
        <v>0.0</v>
      </c>
      <c r="J106" s="66">
        <v>0.0</v>
      </c>
      <c r="K106" s="66">
        <v>0.0</v>
      </c>
      <c r="L106" s="66">
        <v>0.0</v>
      </c>
      <c r="M106" s="66">
        <v>0.0</v>
      </c>
      <c r="N106" s="66">
        <v>0.0</v>
      </c>
      <c r="O106" s="6">
        <f t="shared" si="28"/>
        <v>0</v>
      </c>
    </row>
    <row r="107" ht="12.75" customHeight="1">
      <c r="A107" s="13" t="s">
        <v>14</v>
      </c>
      <c r="B107" s="49" t="s">
        <v>45</v>
      </c>
      <c r="C107" s="8"/>
      <c r="D107" s="9"/>
      <c r="E107" s="54">
        <f t="shared" ref="E107:N107" si="29">SUM(E100:E106)</f>
        <v>14</v>
      </c>
      <c r="F107" s="54">
        <f t="shared" si="29"/>
        <v>17</v>
      </c>
      <c r="G107" s="54">
        <f t="shared" si="29"/>
        <v>37</v>
      </c>
      <c r="H107" s="54">
        <f t="shared" si="29"/>
        <v>37</v>
      </c>
      <c r="I107" s="54">
        <f t="shared" si="29"/>
        <v>11</v>
      </c>
      <c r="J107" s="54">
        <f t="shared" si="29"/>
        <v>19</v>
      </c>
      <c r="K107" s="54">
        <f t="shared" si="29"/>
        <v>29</v>
      </c>
      <c r="L107" s="54">
        <f t="shared" si="29"/>
        <v>13</v>
      </c>
      <c r="M107" s="54">
        <f t="shared" si="29"/>
        <v>8</v>
      </c>
      <c r="N107" s="54">
        <f t="shared" si="29"/>
        <v>7</v>
      </c>
      <c r="O107" s="6">
        <f t="shared" si="28"/>
        <v>192</v>
      </c>
    </row>
    <row r="108" ht="12.75" customHeight="1">
      <c r="A108" s="55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6"/>
    </row>
    <row r="109" ht="12.75" customHeight="1">
      <c r="A109" s="32" t="s">
        <v>36</v>
      </c>
      <c r="B109" s="49" t="s">
        <v>90</v>
      </c>
      <c r="C109" s="50" t="s">
        <v>91</v>
      </c>
      <c r="D109" s="9"/>
      <c r="E109" s="66">
        <v>0.0</v>
      </c>
      <c r="F109" s="66">
        <v>0.0</v>
      </c>
      <c r="G109" s="66">
        <v>0.0</v>
      </c>
      <c r="H109" s="66">
        <v>0.0</v>
      </c>
      <c r="I109" s="66">
        <v>0.0</v>
      </c>
      <c r="J109" s="66">
        <v>0.0</v>
      </c>
      <c r="K109" s="66">
        <v>0.0</v>
      </c>
      <c r="L109" s="66">
        <v>0.0</v>
      </c>
      <c r="M109" s="66">
        <v>0.0</v>
      </c>
      <c r="N109" s="66">
        <v>0.0</v>
      </c>
      <c r="O109" s="6">
        <f t="shared" ref="O109:O111" si="30">SUM(E109:N109)</f>
        <v>0</v>
      </c>
    </row>
    <row r="110" ht="12.75" customHeight="1">
      <c r="A110" s="32" t="s">
        <v>38</v>
      </c>
      <c r="B110" s="49"/>
      <c r="C110" s="52" t="s">
        <v>92</v>
      </c>
      <c r="D110" s="61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6">
        <f t="shared" si="30"/>
        <v>0</v>
      </c>
    </row>
    <row r="111" ht="12.75" customHeight="1">
      <c r="A111" s="13" t="s">
        <v>14</v>
      </c>
      <c r="B111" s="49" t="s">
        <v>45</v>
      </c>
      <c r="C111" s="8"/>
      <c r="D111" s="9"/>
      <c r="E111" s="54">
        <f t="shared" ref="E111:N111" si="31">SUM(E109:E110)</f>
        <v>0</v>
      </c>
      <c r="F111" s="54">
        <f t="shared" si="31"/>
        <v>0</v>
      </c>
      <c r="G111" s="54">
        <f t="shared" si="31"/>
        <v>0</v>
      </c>
      <c r="H111" s="54">
        <f t="shared" si="31"/>
        <v>0</v>
      </c>
      <c r="I111" s="54">
        <f t="shared" si="31"/>
        <v>0</v>
      </c>
      <c r="J111" s="54">
        <f t="shared" si="31"/>
        <v>0</v>
      </c>
      <c r="K111" s="54">
        <f t="shared" si="31"/>
        <v>0</v>
      </c>
      <c r="L111" s="54">
        <f t="shared" si="31"/>
        <v>0</v>
      </c>
      <c r="M111" s="54">
        <f t="shared" si="31"/>
        <v>0</v>
      </c>
      <c r="N111" s="54">
        <f t="shared" si="31"/>
        <v>0</v>
      </c>
      <c r="O111" s="6">
        <f t="shared" si="30"/>
        <v>0</v>
      </c>
    </row>
    <row r="112" ht="12.75" customHeight="1">
      <c r="A112" s="55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6"/>
    </row>
    <row r="113" ht="12.75" customHeight="1">
      <c r="A113" s="32" t="s">
        <v>36</v>
      </c>
      <c r="B113" s="49" t="s">
        <v>93</v>
      </c>
      <c r="C113" s="50" t="s">
        <v>94</v>
      </c>
      <c r="D113" s="9"/>
      <c r="E113" s="66">
        <v>0.0</v>
      </c>
      <c r="F113" s="66">
        <v>0.0</v>
      </c>
      <c r="G113" s="66">
        <v>1.0</v>
      </c>
      <c r="H113" s="66">
        <v>0.0</v>
      </c>
      <c r="I113" s="66">
        <v>0.0</v>
      </c>
      <c r="J113" s="66">
        <v>0.0</v>
      </c>
      <c r="K113" s="66">
        <v>0.0</v>
      </c>
      <c r="L113" s="66">
        <v>0.0</v>
      </c>
      <c r="M113" s="66">
        <v>1.0</v>
      </c>
      <c r="N113" s="66">
        <v>0.0</v>
      </c>
      <c r="O113" s="6">
        <f t="shared" ref="O113:O120" si="32">SUM(E113:N113)</f>
        <v>2</v>
      </c>
    </row>
    <row r="114" ht="12.75" customHeight="1">
      <c r="A114" s="32" t="s">
        <v>38</v>
      </c>
      <c r="B114" s="51"/>
      <c r="C114" s="52" t="s">
        <v>95</v>
      </c>
      <c r="D114" s="53"/>
      <c r="E114" s="66">
        <v>0.0</v>
      </c>
      <c r="F114" s="66">
        <v>0.0</v>
      </c>
      <c r="G114" s="66">
        <v>0.0</v>
      </c>
      <c r="H114" s="66">
        <v>1.0</v>
      </c>
      <c r="I114" s="66">
        <v>0.0</v>
      </c>
      <c r="J114" s="66">
        <v>0.0</v>
      </c>
      <c r="K114" s="66">
        <v>0.0</v>
      </c>
      <c r="L114" s="66">
        <v>0.0</v>
      </c>
      <c r="M114" s="66">
        <v>0.0</v>
      </c>
      <c r="N114" s="66">
        <v>0.0</v>
      </c>
      <c r="O114" s="6">
        <f t="shared" si="32"/>
        <v>1</v>
      </c>
    </row>
    <row r="115" ht="12.75" customHeight="1">
      <c r="A115" s="18"/>
      <c r="B115" s="51"/>
      <c r="C115" s="52" t="s">
        <v>96</v>
      </c>
      <c r="D115" s="53"/>
      <c r="E115" s="66">
        <v>0.0</v>
      </c>
      <c r="F115" s="66">
        <v>0.0</v>
      </c>
      <c r="G115" s="66">
        <v>0.0</v>
      </c>
      <c r="H115" s="66">
        <v>0.0</v>
      </c>
      <c r="I115" s="66">
        <v>0.0</v>
      </c>
      <c r="J115" s="66">
        <v>0.0</v>
      </c>
      <c r="K115" s="66">
        <v>0.0</v>
      </c>
      <c r="L115" s="66">
        <v>0.0</v>
      </c>
      <c r="M115" s="66">
        <v>0.0</v>
      </c>
      <c r="N115" s="66">
        <v>0.0</v>
      </c>
      <c r="O115" s="6">
        <f t="shared" si="32"/>
        <v>0</v>
      </c>
    </row>
    <row r="116" ht="12.75" customHeight="1">
      <c r="A116" s="18"/>
      <c r="B116" s="51"/>
      <c r="C116" s="52" t="s">
        <v>97</v>
      </c>
      <c r="D116" s="53"/>
      <c r="E116" s="66">
        <v>0.0</v>
      </c>
      <c r="F116" s="66">
        <v>0.0</v>
      </c>
      <c r="G116" s="66">
        <v>0.0</v>
      </c>
      <c r="H116" s="66">
        <v>0.0</v>
      </c>
      <c r="I116" s="66">
        <v>0.0</v>
      </c>
      <c r="J116" s="66">
        <v>0.0</v>
      </c>
      <c r="K116" s="66">
        <v>0.0</v>
      </c>
      <c r="L116" s="66">
        <v>0.0</v>
      </c>
      <c r="M116" s="66">
        <v>0.0</v>
      </c>
      <c r="N116" s="66">
        <v>0.0</v>
      </c>
      <c r="O116" s="6">
        <f t="shared" si="32"/>
        <v>0</v>
      </c>
    </row>
    <row r="117" ht="12.75" customHeight="1">
      <c r="A117" s="18"/>
      <c r="B117" s="51"/>
      <c r="C117" s="52" t="s">
        <v>98</v>
      </c>
      <c r="D117" s="53"/>
      <c r="E117" s="66">
        <v>0.0</v>
      </c>
      <c r="F117" s="66">
        <v>0.0</v>
      </c>
      <c r="G117" s="66">
        <v>0.0</v>
      </c>
      <c r="H117" s="66">
        <v>0.0</v>
      </c>
      <c r="I117" s="66">
        <v>0.0</v>
      </c>
      <c r="J117" s="66">
        <v>0.0</v>
      </c>
      <c r="K117" s="66">
        <v>0.0</v>
      </c>
      <c r="L117" s="66">
        <v>0.0</v>
      </c>
      <c r="M117" s="66">
        <v>0.0</v>
      </c>
      <c r="N117" s="66">
        <v>0.0</v>
      </c>
      <c r="O117" s="6">
        <f t="shared" si="32"/>
        <v>0</v>
      </c>
    </row>
    <row r="118" ht="12.75" customHeight="1">
      <c r="A118" s="18"/>
      <c r="B118" s="51"/>
      <c r="C118" s="52" t="s">
        <v>99</v>
      </c>
      <c r="D118" s="53"/>
      <c r="E118" s="66">
        <v>0.0</v>
      </c>
      <c r="F118" s="66">
        <v>0.0</v>
      </c>
      <c r="G118" s="66">
        <v>0.0</v>
      </c>
      <c r="H118" s="66">
        <v>0.0</v>
      </c>
      <c r="I118" s="66">
        <v>0.0</v>
      </c>
      <c r="J118" s="66">
        <v>0.0</v>
      </c>
      <c r="K118" s="66">
        <v>0.0</v>
      </c>
      <c r="L118" s="66">
        <v>0.0</v>
      </c>
      <c r="M118" s="66">
        <v>0.0</v>
      </c>
      <c r="N118" s="66">
        <v>0.0</v>
      </c>
      <c r="O118" s="6">
        <f t="shared" si="32"/>
        <v>0</v>
      </c>
    </row>
    <row r="119" ht="12.75" customHeight="1">
      <c r="A119" s="18"/>
      <c r="B119" s="51"/>
      <c r="C119" s="52" t="s">
        <v>100</v>
      </c>
      <c r="D119" s="53"/>
      <c r="E119" s="66">
        <v>0.0</v>
      </c>
      <c r="F119" s="66">
        <v>0.0</v>
      </c>
      <c r="G119" s="66">
        <v>0.0</v>
      </c>
      <c r="H119" s="66">
        <v>0.0</v>
      </c>
      <c r="I119" s="66">
        <v>0.0</v>
      </c>
      <c r="J119" s="66">
        <v>0.0</v>
      </c>
      <c r="K119" s="66">
        <v>0.0</v>
      </c>
      <c r="L119" s="66">
        <v>0.0</v>
      </c>
      <c r="M119" s="66">
        <v>0.0</v>
      </c>
      <c r="N119" s="66">
        <v>0.0</v>
      </c>
      <c r="O119" s="6">
        <f t="shared" si="32"/>
        <v>0</v>
      </c>
    </row>
    <row r="120" ht="12.75" customHeight="1">
      <c r="A120" s="13" t="s">
        <v>14</v>
      </c>
      <c r="B120" s="49" t="s">
        <v>45</v>
      </c>
      <c r="C120" s="8"/>
      <c r="D120" s="9"/>
      <c r="E120" s="54">
        <f t="shared" ref="E120:N120" si="33">SUM(E113:E119)</f>
        <v>0</v>
      </c>
      <c r="F120" s="54">
        <f t="shared" si="33"/>
        <v>0</v>
      </c>
      <c r="G120" s="54">
        <f t="shared" si="33"/>
        <v>1</v>
      </c>
      <c r="H120" s="54">
        <f t="shared" si="33"/>
        <v>1</v>
      </c>
      <c r="I120" s="54">
        <f t="shared" si="33"/>
        <v>0</v>
      </c>
      <c r="J120" s="54">
        <f t="shared" si="33"/>
        <v>0</v>
      </c>
      <c r="K120" s="54">
        <f t="shared" si="33"/>
        <v>0</v>
      </c>
      <c r="L120" s="54">
        <f t="shared" si="33"/>
        <v>0</v>
      </c>
      <c r="M120" s="54">
        <f t="shared" si="33"/>
        <v>1</v>
      </c>
      <c r="N120" s="54">
        <f t="shared" si="33"/>
        <v>0</v>
      </c>
      <c r="O120" s="6">
        <f t="shared" si="32"/>
        <v>3</v>
      </c>
    </row>
    <row r="121" ht="12.75" customHeight="1">
      <c r="A121" s="55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</row>
    <row r="122" ht="12.75" customHeight="1">
      <c r="A122" s="32" t="s">
        <v>36</v>
      </c>
      <c r="B122" s="49" t="s">
        <v>101</v>
      </c>
      <c r="C122" s="50" t="s">
        <v>102</v>
      </c>
      <c r="D122" s="9"/>
      <c r="E122" s="66">
        <v>0.0</v>
      </c>
      <c r="F122" s="66">
        <v>0.0</v>
      </c>
      <c r="G122" s="66">
        <v>1.0</v>
      </c>
      <c r="H122" s="66">
        <v>0.0</v>
      </c>
      <c r="I122" s="66">
        <v>0.0</v>
      </c>
      <c r="J122" s="66">
        <v>0.0</v>
      </c>
      <c r="K122" s="66">
        <v>0.0</v>
      </c>
      <c r="L122" s="66">
        <v>0.0</v>
      </c>
      <c r="M122" s="66">
        <v>1.0</v>
      </c>
      <c r="N122" s="66">
        <v>0.0</v>
      </c>
      <c r="O122" s="6">
        <f t="shared" ref="O122:O124" si="34">SUM(E122:N122)</f>
        <v>2</v>
      </c>
    </row>
    <row r="123" ht="12.75" customHeight="1">
      <c r="A123" s="32" t="s">
        <v>38</v>
      </c>
      <c r="B123" s="51"/>
      <c r="C123" s="52"/>
      <c r="D123" s="5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6">
        <f t="shared" si="34"/>
        <v>0</v>
      </c>
    </row>
    <row r="124" ht="12.75" customHeight="1">
      <c r="A124" s="13" t="s">
        <v>14</v>
      </c>
      <c r="B124" s="49" t="s">
        <v>45</v>
      </c>
      <c r="C124" s="8"/>
      <c r="D124" s="9"/>
      <c r="E124" s="54">
        <f t="shared" ref="E124:N124" si="35">SUM(E122:E123)</f>
        <v>0</v>
      </c>
      <c r="F124" s="54">
        <f t="shared" si="35"/>
        <v>0</v>
      </c>
      <c r="G124" s="54">
        <f t="shared" si="35"/>
        <v>1</v>
      </c>
      <c r="H124" s="54">
        <f t="shared" si="35"/>
        <v>0</v>
      </c>
      <c r="I124" s="54">
        <f t="shared" si="35"/>
        <v>0</v>
      </c>
      <c r="J124" s="54">
        <f t="shared" si="35"/>
        <v>0</v>
      </c>
      <c r="K124" s="54">
        <f t="shared" si="35"/>
        <v>0</v>
      </c>
      <c r="L124" s="54">
        <f t="shared" si="35"/>
        <v>0</v>
      </c>
      <c r="M124" s="54">
        <f t="shared" si="35"/>
        <v>1</v>
      </c>
      <c r="N124" s="54">
        <f t="shared" si="35"/>
        <v>0</v>
      </c>
      <c r="O124" s="6">
        <f t="shared" si="34"/>
        <v>2</v>
      </c>
    </row>
    <row r="125" ht="12.75" customHeight="1">
      <c r="A125" s="55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6"/>
    </row>
    <row r="126" ht="12.75" customHeight="1">
      <c r="A126" s="32" t="s">
        <v>36</v>
      </c>
      <c r="B126" s="49" t="s">
        <v>103</v>
      </c>
      <c r="C126" s="50" t="s">
        <v>104</v>
      </c>
      <c r="D126" s="9"/>
      <c r="E126" s="66">
        <v>0.0</v>
      </c>
      <c r="F126" s="66">
        <v>0.0</v>
      </c>
      <c r="G126" s="66">
        <v>0.0</v>
      </c>
      <c r="H126" s="66">
        <v>0.0</v>
      </c>
      <c r="I126" s="66">
        <v>0.0</v>
      </c>
      <c r="J126" s="66">
        <v>1.0</v>
      </c>
      <c r="K126" s="66">
        <v>1.0</v>
      </c>
      <c r="L126" s="66">
        <v>0.0</v>
      </c>
      <c r="M126" s="66">
        <v>0.0</v>
      </c>
      <c r="N126" s="66">
        <v>0.0</v>
      </c>
      <c r="O126" s="6">
        <f t="shared" ref="O126:O131" si="36">SUM(E126:N126)</f>
        <v>2</v>
      </c>
    </row>
    <row r="127" ht="12.75" customHeight="1">
      <c r="A127" s="32" t="s">
        <v>38</v>
      </c>
      <c r="B127" s="51"/>
      <c r="C127" s="52" t="s">
        <v>105</v>
      </c>
      <c r="D127" s="53"/>
      <c r="E127" s="66">
        <v>0.0</v>
      </c>
      <c r="F127" s="66">
        <v>0.0</v>
      </c>
      <c r="G127" s="66">
        <v>0.0</v>
      </c>
      <c r="H127" s="66">
        <v>0.0</v>
      </c>
      <c r="I127" s="66">
        <v>0.0</v>
      </c>
      <c r="J127" s="66">
        <v>0.0</v>
      </c>
      <c r="K127" s="66">
        <v>0.0</v>
      </c>
      <c r="L127" s="66">
        <v>0.0</v>
      </c>
      <c r="M127" s="66">
        <v>0.0</v>
      </c>
      <c r="N127" s="66">
        <v>0.0</v>
      </c>
      <c r="O127" s="6">
        <f t="shared" si="36"/>
        <v>0</v>
      </c>
    </row>
    <row r="128" ht="12.75" customHeight="1">
      <c r="A128" s="18"/>
      <c r="B128" s="51"/>
      <c r="C128" s="52" t="s">
        <v>106</v>
      </c>
      <c r="D128" s="53"/>
      <c r="E128" s="66">
        <v>0.0</v>
      </c>
      <c r="F128" s="66">
        <v>1.0</v>
      </c>
      <c r="G128" s="66">
        <v>0.0</v>
      </c>
      <c r="H128" s="66">
        <v>0.0</v>
      </c>
      <c r="I128" s="66">
        <v>0.0</v>
      </c>
      <c r="J128" s="66">
        <v>0.0</v>
      </c>
      <c r="K128" s="66">
        <v>0.0</v>
      </c>
      <c r="L128" s="66">
        <v>0.0</v>
      </c>
      <c r="M128" s="66">
        <v>0.0</v>
      </c>
      <c r="N128" s="66">
        <v>0.0</v>
      </c>
      <c r="O128" s="6">
        <f t="shared" si="36"/>
        <v>1</v>
      </c>
    </row>
    <row r="129" ht="12.75" customHeight="1">
      <c r="A129" s="18"/>
      <c r="B129" s="51"/>
      <c r="C129" s="52" t="s">
        <v>107</v>
      </c>
      <c r="D129" s="53"/>
      <c r="E129" s="66">
        <v>0.0</v>
      </c>
      <c r="F129" s="66">
        <v>0.0</v>
      </c>
      <c r="G129" s="66">
        <v>0.0</v>
      </c>
      <c r="H129" s="66">
        <v>0.0</v>
      </c>
      <c r="I129" s="66">
        <v>0.0</v>
      </c>
      <c r="J129" s="66">
        <v>3.0</v>
      </c>
      <c r="K129" s="66">
        <v>0.0</v>
      </c>
      <c r="L129" s="66">
        <v>0.0</v>
      </c>
      <c r="M129" s="66">
        <v>0.0</v>
      </c>
      <c r="N129" s="66">
        <v>0.0</v>
      </c>
      <c r="O129" s="6">
        <f t="shared" si="36"/>
        <v>3</v>
      </c>
    </row>
    <row r="130" ht="12.75" customHeight="1">
      <c r="A130" s="18"/>
      <c r="B130" s="51"/>
      <c r="C130" s="52" t="s">
        <v>108</v>
      </c>
      <c r="D130" s="53"/>
      <c r="E130" s="66">
        <v>0.0</v>
      </c>
      <c r="F130" s="66">
        <v>0.0</v>
      </c>
      <c r="G130" s="66">
        <v>0.0</v>
      </c>
      <c r="H130" s="66">
        <v>0.0</v>
      </c>
      <c r="I130" s="66">
        <v>0.0</v>
      </c>
      <c r="J130" s="66">
        <v>0.0</v>
      </c>
      <c r="K130" s="66">
        <v>0.0</v>
      </c>
      <c r="L130" s="66">
        <v>0.0</v>
      </c>
      <c r="M130" s="66">
        <v>0.0</v>
      </c>
      <c r="N130" s="66">
        <v>0.0</v>
      </c>
      <c r="O130" s="6">
        <f t="shared" si="36"/>
        <v>0</v>
      </c>
    </row>
    <row r="131" ht="12.75" customHeight="1">
      <c r="A131" s="13" t="s">
        <v>14</v>
      </c>
      <c r="B131" s="49" t="s">
        <v>45</v>
      </c>
      <c r="C131" s="8"/>
      <c r="D131" s="9"/>
      <c r="E131" s="54">
        <f t="shared" ref="E131:N131" si="37">SUM(E126:E130)</f>
        <v>0</v>
      </c>
      <c r="F131" s="54">
        <f t="shared" si="37"/>
        <v>1</v>
      </c>
      <c r="G131" s="54">
        <f t="shared" si="37"/>
        <v>0</v>
      </c>
      <c r="H131" s="54">
        <f t="shared" si="37"/>
        <v>0</v>
      </c>
      <c r="I131" s="54">
        <f t="shared" si="37"/>
        <v>0</v>
      </c>
      <c r="J131" s="54">
        <f t="shared" si="37"/>
        <v>4</v>
      </c>
      <c r="K131" s="54">
        <f t="shared" si="37"/>
        <v>1</v>
      </c>
      <c r="L131" s="54">
        <f t="shared" si="37"/>
        <v>0</v>
      </c>
      <c r="M131" s="54">
        <f t="shared" si="37"/>
        <v>0</v>
      </c>
      <c r="N131" s="54">
        <f t="shared" si="37"/>
        <v>0</v>
      </c>
      <c r="O131" s="6">
        <f t="shared" si="36"/>
        <v>6</v>
      </c>
    </row>
    <row r="132" ht="12.75" customHeight="1">
      <c r="A132" s="55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6"/>
    </row>
    <row r="133" ht="12.75" customHeight="1">
      <c r="A133" s="32" t="s">
        <v>36</v>
      </c>
      <c r="B133" s="49" t="s">
        <v>109</v>
      </c>
      <c r="C133" s="50" t="s">
        <v>110</v>
      </c>
      <c r="D133" s="9"/>
      <c r="E133" s="66">
        <v>1.0</v>
      </c>
      <c r="F133" s="66">
        <v>0.0</v>
      </c>
      <c r="G133" s="66">
        <v>0.0</v>
      </c>
      <c r="H133" s="66">
        <v>0.0</v>
      </c>
      <c r="I133" s="66">
        <v>0.0</v>
      </c>
      <c r="J133" s="66">
        <v>0.0</v>
      </c>
      <c r="K133" s="66">
        <v>0.0</v>
      </c>
      <c r="L133" s="66">
        <v>1.0</v>
      </c>
      <c r="M133" s="66">
        <v>1.0</v>
      </c>
      <c r="N133" s="66">
        <v>0.0</v>
      </c>
      <c r="O133" s="6">
        <f t="shared" ref="O133:O140" si="38">SUM(E133:N133)</f>
        <v>3</v>
      </c>
    </row>
    <row r="134" ht="12.75" customHeight="1">
      <c r="A134" s="32" t="s">
        <v>38</v>
      </c>
      <c r="B134" s="51"/>
      <c r="C134" s="52" t="s">
        <v>111</v>
      </c>
      <c r="D134" s="53"/>
      <c r="E134" s="66">
        <v>0.0</v>
      </c>
      <c r="F134" s="66">
        <v>1.0</v>
      </c>
      <c r="G134" s="66">
        <v>0.0</v>
      </c>
      <c r="H134" s="66">
        <v>0.0</v>
      </c>
      <c r="I134" s="66">
        <v>0.0</v>
      </c>
      <c r="J134" s="66">
        <v>0.0</v>
      </c>
      <c r="K134" s="66">
        <v>0.0</v>
      </c>
      <c r="L134" s="66">
        <v>0.0</v>
      </c>
      <c r="M134" s="66">
        <v>0.0</v>
      </c>
      <c r="N134" s="66">
        <v>0.0</v>
      </c>
      <c r="O134" s="6">
        <f t="shared" si="38"/>
        <v>1</v>
      </c>
    </row>
    <row r="135" ht="12.75" customHeight="1">
      <c r="A135" s="18"/>
      <c r="B135" s="51"/>
      <c r="C135" s="52" t="s">
        <v>112</v>
      </c>
      <c r="D135" s="53"/>
      <c r="E135" s="66">
        <v>0.0</v>
      </c>
      <c r="F135" s="66">
        <v>0.0</v>
      </c>
      <c r="G135" s="66">
        <v>0.0</v>
      </c>
      <c r="H135" s="66">
        <v>0.0</v>
      </c>
      <c r="I135" s="66">
        <v>0.0</v>
      </c>
      <c r="J135" s="66">
        <v>0.0</v>
      </c>
      <c r="K135" s="66">
        <v>0.0</v>
      </c>
      <c r="L135" s="66">
        <v>0.0</v>
      </c>
      <c r="M135" s="66">
        <v>0.0</v>
      </c>
      <c r="N135" s="66">
        <v>0.0</v>
      </c>
      <c r="O135" s="6">
        <f t="shared" si="38"/>
        <v>0</v>
      </c>
    </row>
    <row r="136" ht="12.75" customHeight="1">
      <c r="A136" s="18"/>
      <c r="B136" s="51"/>
      <c r="C136" s="52" t="s">
        <v>113</v>
      </c>
      <c r="D136" s="53"/>
      <c r="E136" s="66">
        <v>0.0</v>
      </c>
      <c r="F136" s="66">
        <v>0.0</v>
      </c>
      <c r="G136" s="66">
        <v>0.0</v>
      </c>
      <c r="H136" s="66">
        <v>0.0</v>
      </c>
      <c r="I136" s="66">
        <v>0.0</v>
      </c>
      <c r="J136" s="66">
        <v>0.0</v>
      </c>
      <c r="K136" s="66">
        <v>0.0</v>
      </c>
      <c r="L136" s="66">
        <v>0.0</v>
      </c>
      <c r="M136" s="66">
        <v>0.0</v>
      </c>
      <c r="N136" s="66">
        <v>0.0</v>
      </c>
      <c r="O136" s="6">
        <f t="shared" si="38"/>
        <v>0</v>
      </c>
    </row>
    <row r="137" ht="12.75" customHeight="1">
      <c r="A137" s="18"/>
      <c r="B137" s="51"/>
      <c r="C137" s="52" t="s">
        <v>114</v>
      </c>
      <c r="D137" s="53"/>
      <c r="E137" s="66">
        <v>0.0</v>
      </c>
      <c r="F137" s="66">
        <v>0.0</v>
      </c>
      <c r="G137" s="66">
        <v>0.0</v>
      </c>
      <c r="H137" s="66">
        <v>0.0</v>
      </c>
      <c r="I137" s="66">
        <v>0.0</v>
      </c>
      <c r="J137" s="66">
        <v>0.0</v>
      </c>
      <c r="K137" s="66">
        <v>0.0</v>
      </c>
      <c r="L137" s="66">
        <v>0.0</v>
      </c>
      <c r="M137" s="66">
        <v>0.0</v>
      </c>
      <c r="N137" s="66">
        <v>0.0</v>
      </c>
      <c r="O137" s="6">
        <f t="shared" si="38"/>
        <v>0</v>
      </c>
    </row>
    <row r="138" ht="12.75" customHeight="1">
      <c r="A138" s="18"/>
      <c r="B138" s="51"/>
      <c r="C138" s="52" t="s">
        <v>115</v>
      </c>
      <c r="D138" s="53"/>
      <c r="E138" s="66">
        <v>0.0</v>
      </c>
      <c r="F138" s="66">
        <v>0.0</v>
      </c>
      <c r="G138" s="66">
        <v>0.0</v>
      </c>
      <c r="H138" s="66">
        <v>0.0</v>
      </c>
      <c r="I138" s="66">
        <v>0.0</v>
      </c>
      <c r="J138" s="66">
        <v>0.0</v>
      </c>
      <c r="K138" s="66">
        <v>0.0</v>
      </c>
      <c r="L138" s="66">
        <v>0.0</v>
      </c>
      <c r="M138" s="66">
        <v>0.0</v>
      </c>
      <c r="N138" s="66">
        <v>0.0</v>
      </c>
      <c r="O138" s="6">
        <f t="shared" si="38"/>
        <v>0</v>
      </c>
    </row>
    <row r="139" ht="12.75" customHeight="1">
      <c r="A139" s="18"/>
      <c r="B139" s="51"/>
      <c r="C139" s="52" t="s">
        <v>116</v>
      </c>
      <c r="D139" s="53"/>
      <c r="E139" s="66">
        <v>0.0</v>
      </c>
      <c r="F139" s="66">
        <v>0.0</v>
      </c>
      <c r="G139" s="66">
        <v>0.0</v>
      </c>
      <c r="H139" s="66">
        <v>0.0</v>
      </c>
      <c r="I139" s="66">
        <v>0.0</v>
      </c>
      <c r="J139" s="66">
        <v>0.0</v>
      </c>
      <c r="K139" s="66">
        <v>0.0</v>
      </c>
      <c r="L139" s="66">
        <v>0.0</v>
      </c>
      <c r="M139" s="66">
        <v>1.0</v>
      </c>
      <c r="N139" s="66">
        <v>0.0</v>
      </c>
      <c r="O139" s="6">
        <f t="shared" si="38"/>
        <v>1</v>
      </c>
    </row>
    <row r="140" ht="12.75" customHeight="1">
      <c r="A140" s="13" t="s">
        <v>14</v>
      </c>
      <c r="B140" s="49" t="s">
        <v>45</v>
      </c>
      <c r="C140" s="8"/>
      <c r="D140" s="9"/>
      <c r="E140" s="54">
        <f t="shared" ref="E140:N140" si="39">SUM(E133:E139)</f>
        <v>1</v>
      </c>
      <c r="F140" s="54">
        <f t="shared" si="39"/>
        <v>1</v>
      </c>
      <c r="G140" s="54">
        <f t="shared" si="39"/>
        <v>0</v>
      </c>
      <c r="H140" s="54">
        <f t="shared" si="39"/>
        <v>0</v>
      </c>
      <c r="I140" s="54">
        <f t="shared" si="39"/>
        <v>0</v>
      </c>
      <c r="J140" s="54">
        <f t="shared" si="39"/>
        <v>0</v>
      </c>
      <c r="K140" s="54">
        <f t="shared" si="39"/>
        <v>0</v>
      </c>
      <c r="L140" s="54">
        <f t="shared" si="39"/>
        <v>1</v>
      </c>
      <c r="M140" s="54">
        <f t="shared" si="39"/>
        <v>2</v>
      </c>
      <c r="N140" s="54">
        <f t="shared" si="39"/>
        <v>0</v>
      </c>
      <c r="O140" s="6">
        <f t="shared" si="38"/>
        <v>5</v>
      </c>
    </row>
    <row r="141" ht="12.75" customHeight="1">
      <c r="A141" s="55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6"/>
    </row>
    <row r="142" ht="12.75" customHeight="1">
      <c r="A142" s="32" t="s">
        <v>36</v>
      </c>
      <c r="B142" s="49" t="s">
        <v>117</v>
      </c>
      <c r="C142" s="50" t="s">
        <v>118</v>
      </c>
      <c r="D142" s="9"/>
      <c r="E142" s="66">
        <v>7.0</v>
      </c>
      <c r="F142" s="66">
        <v>5.0</v>
      </c>
      <c r="G142" s="66">
        <v>2.0</v>
      </c>
      <c r="H142" s="66">
        <v>0.0</v>
      </c>
      <c r="I142" s="66">
        <v>2.0</v>
      </c>
      <c r="J142" s="66">
        <v>0.0</v>
      </c>
      <c r="K142" s="66">
        <v>0.0</v>
      </c>
      <c r="L142" s="66">
        <v>0.0</v>
      </c>
      <c r="M142" s="66">
        <v>2.0</v>
      </c>
      <c r="N142" s="66">
        <v>0.0</v>
      </c>
      <c r="O142" s="6">
        <f t="shared" ref="O142:O149" si="40">SUM(E142:N142)</f>
        <v>18</v>
      </c>
    </row>
    <row r="143" ht="12.75" customHeight="1">
      <c r="A143" s="32" t="s">
        <v>38</v>
      </c>
      <c r="B143" s="51"/>
      <c r="C143" s="52" t="s">
        <v>119</v>
      </c>
      <c r="D143" s="53"/>
      <c r="E143" s="66">
        <v>22.0</v>
      </c>
      <c r="F143" s="66">
        <v>43.0</v>
      </c>
      <c r="G143" s="66">
        <v>9.0</v>
      </c>
      <c r="H143" s="66">
        <v>9.0</v>
      </c>
      <c r="I143" s="66">
        <v>11.0</v>
      </c>
      <c r="J143" s="66">
        <v>6.0</v>
      </c>
      <c r="K143" s="66">
        <v>12.0</v>
      </c>
      <c r="L143" s="66">
        <v>4.0</v>
      </c>
      <c r="M143" s="66">
        <v>6.0</v>
      </c>
      <c r="N143" s="66">
        <v>4.0</v>
      </c>
      <c r="O143" s="6">
        <f t="shared" si="40"/>
        <v>126</v>
      </c>
    </row>
    <row r="144" ht="12.75" customHeight="1">
      <c r="A144" s="18"/>
      <c r="B144" s="51"/>
      <c r="C144" s="52" t="s">
        <v>120</v>
      </c>
      <c r="D144" s="53"/>
      <c r="E144" s="66">
        <v>0.0</v>
      </c>
      <c r="F144" s="66">
        <v>0.0</v>
      </c>
      <c r="G144" s="66">
        <v>0.0</v>
      </c>
      <c r="H144" s="66">
        <v>0.0</v>
      </c>
      <c r="I144" s="66">
        <v>5.0</v>
      </c>
      <c r="J144" s="66">
        <v>2.0</v>
      </c>
      <c r="K144" s="66">
        <v>0.0</v>
      </c>
      <c r="L144" s="66">
        <v>0.0</v>
      </c>
      <c r="M144" s="66">
        <v>1.0</v>
      </c>
      <c r="N144" s="66">
        <v>3.0</v>
      </c>
      <c r="O144" s="6">
        <f t="shared" si="40"/>
        <v>11</v>
      </c>
    </row>
    <row r="145" ht="12.75" customHeight="1">
      <c r="A145" s="18"/>
      <c r="B145" s="51"/>
      <c r="C145" s="52" t="s">
        <v>121</v>
      </c>
      <c r="D145" s="53"/>
      <c r="E145" s="66">
        <v>0.0</v>
      </c>
      <c r="F145" s="66">
        <v>0.0</v>
      </c>
      <c r="G145" s="66">
        <v>0.0</v>
      </c>
      <c r="H145" s="66">
        <v>0.0</v>
      </c>
      <c r="I145" s="66">
        <v>0.0</v>
      </c>
      <c r="J145" s="66">
        <v>0.0</v>
      </c>
      <c r="K145" s="66">
        <v>0.0</v>
      </c>
      <c r="L145" s="66">
        <v>0.0</v>
      </c>
      <c r="M145" s="66">
        <v>0.0</v>
      </c>
      <c r="N145" s="66">
        <v>0.0</v>
      </c>
      <c r="O145" s="6">
        <f t="shared" si="40"/>
        <v>0</v>
      </c>
    </row>
    <row r="146" ht="12.75" customHeight="1">
      <c r="A146" s="18"/>
      <c r="B146" s="51"/>
      <c r="C146" s="52" t="s">
        <v>122</v>
      </c>
      <c r="D146" s="53"/>
      <c r="E146" s="66">
        <v>0.0</v>
      </c>
      <c r="F146" s="66">
        <v>1.0</v>
      </c>
      <c r="G146" s="66">
        <v>0.0</v>
      </c>
      <c r="H146" s="66">
        <v>0.0</v>
      </c>
      <c r="I146" s="66">
        <v>0.0</v>
      </c>
      <c r="J146" s="66">
        <v>0.0</v>
      </c>
      <c r="K146" s="66">
        <v>0.0</v>
      </c>
      <c r="L146" s="66">
        <v>0.0</v>
      </c>
      <c r="M146" s="66">
        <v>0.0</v>
      </c>
      <c r="N146" s="66">
        <v>0.0</v>
      </c>
      <c r="O146" s="6">
        <f t="shared" si="40"/>
        <v>1</v>
      </c>
    </row>
    <row r="147" ht="12.75" customHeight="1">
      <c r="A147" s="18"/>
      <c r="B147" s="51"/>
      <c r="C147" s="52" t="s">
        <v>123</v>
      </c>
      <c r="D147" s="53"/>
      <c r="E147" s="66">
        <v>0.0</v>
      </c>
      <c r="F147" s="66">
        <v>0.0</v>
      </c>
      <c r="G147" s="66">
        <v>0.0</v>
      </c>
      <c r="H147" s="66">
        <v>0.0</v>
      </c>
      <c r="I147" s="66">
        <v>0.0</v>
      </c>
      <c r="J147" s="66">
        <v>0.0</v>
      </c>
      <c r="K147" s="66">
        <v>0.0</v>
      </c>
      <c r="L147" s="66">
        <v>0.0</v>
      </c>
      <c r="M147" s="66">
        <v>0.0</v>
      </c>
      <c r="N147" s="66">
        <v>0.0</v>
      </c>
      <c r="O147" s="6">
        <f t="shared" si="40"/>
        <v>0</v>
      </c>
    </row>
    <row r="148" ht="12.75" customHeight="1">
      <c r="A148" s="18"/>
      <c r="B148" s="51"/>
      <c r="C148" s="52" t="s">
        <v>124</v>
      </c>
      <c r="D148" s="53"/>
      <c r="E148" s="66">
        <v>0.0</v>
      </c>
      <c r="F148" s="66">
        <v>0.0</v>
      </c>
      <c r="G148" s="66">
        <v>0.0</v>
      </c>
      <c r="H148" s="66">
        <v>0.0</v>
      </c>
      <c r="I148" s="66">
        <v>0.0</v>
      </c>
      <c r="J148" s="66">
        <v>0.0</v>
      </c>
      <c r="K148" s="66">
        <v>0.0</v>
      </c>
      <c r="L148" s="66">
        <v>0.0</v>
      </c>
      <c r="M148" s="66">
        <v>0.0</v>
      </c>
      <c r="N148" s="66">
        <v>0.0</v>
      </c>
      <c r="O148" s="6">
        <f t="shared" si="40"/>
        <v>0</v>
      </c>
    </row>
    <row r="149" ht="12.75" customHeight="1">
      <c r="A149" s="13" t="s">
        <v>14</v>
      </c>
      <c r="B149" s="49" t="s">
        <v>45</v>
      </c>
      <c r="C149" s="8"/>
      <c r="D149" s="9"/>
      <c r="E149" s="54">
        <f t="shared" ref="E149:N149" si="41">SUM(E142:E148)</f>
        <v>29</v>
      </c>
      <c r="F149" s="54">
        <f t="shared" si="41"/>
        <v>49</v>
      </c>
      <c r="G149" s="54">
        <f t="shared" si="41"/>
        <v>11</v>
      </c>
      <c r="H149" s="54">
        <f t="shared" si="41"/>
        <v>9</v>
      </c>
      <c r="I149" s="54">
        <f t="shared" si="41"/>
        <v>18</v>
      </c>
      <c r="J149" s="54">
        <f t="shared" si="41"/>
        <v>8</v>
      </c>
      <c r="K149" s="54">
        <f t="shared" si="41"/>
        <v>12</v>
      </c>
      <c r="L149" s="54">
        <f t="shared" si="41"/>
        <v>4</v>
      </c>
      <c r="M149" s="54">
        <f t="shared" si="41"/>
        <v>9</v>
      </c>
      <c r="N149" s="54">
        <f t="shared" si="41"/>
        <v>7</v>
      </c>
      <c r="O149" s="6">
        <f t="shared" si="40"/>
        <v>156</v>
      </c>
    </row>
    <row r="150" ht="12.75" customHeight="1">
      <c r="A150" s="55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6"/>
    </row>
    <row r="151" ht="12.75" customHeight="1">
      <c r="A151" s="32" t="s">
        <v>36</v>
      </c>
      <c r="B151" s="49" t="s">
        <v>125</v>
      </c>
      <c r="C151" s="50" t="s">
        <v>126</v>
      </c>
      <c r="D151" s="9"/>
      <c r="E151" s="66">
        <v>0.0</v>
      </c>
      <c r="F151" s="66">
        <v>2.0</v>
      </c>
      <c r="G151" s="66">
        <v>1.0</v>
      </c>
      <c r="H151" s="66">
        <v>1.0</v>
      </c>
      <c r="I151" s="66">
        <v>2.0</v>
      </c>
      <c r="J151" s="66">
        <v>2.0</v>
      </c>
      <c r="K151" s="66">
        <v>1.0</v>
      </c>
      <c r="L151" s="66">
        <v>1.0</v>
      </c>
      <c r="M151" s="66">
        <v>0.0</v>
      </c>
      <c r="N151" s="66">
        <v>1.0</v>
      </c>
      <c r="O151" s="6">
        <f t="shared" ref="O151:O153" si="42">SUM(E151:N151)</f>
        <v>11</v>
      </c>
    </row>
    <row r="152" ht="12.75" customHeight="1">
      <c r="A152" s="32" t="s">
        <v>38</v>
      </c>
      <c r="B152" s="51"/>
      <c r="C152" s="52" t="s">
        <v>127</v>
      </c>
      <c r="D152" s="53"/>
      <c r="E152" s="66">
        <v>0.0</v>
      </c>
      <c r="F152" s="66">
        <v>1.0</v>
      </c>
      <c r="G152" s="66">
        <v>1.0</v>
      </c>
      <c r="H152" s="66">
        <v>2.0</v>
      </c>
      <c r="I152" s="66">
        <v>3.0</v>
      </c>
      <c r="J152" s="66">
        <v>2.0</v>
      </c>
      <c r="K152" s="66">
        <v>0.0</v>
      </c>
      <c r="L152" s="66">
        <v>1.0</v>
      </c>
      <c r="M152" s="66">
        <v>0.0</v>
      </c>
      <c r="N152" s="66">
        <v>0.0</v>
      </c>
      <c r="O152" s="6">
        <f t="shared" si="42"/>
        <v>10</v>
      </c>
    </row>
    <row r="153" ht="12.75" customHeight="1">
      <c r="A153" s="13" t="s">
        <v>14</v>
      </c>
      <c r="B153" s="49" t="s">
        <v>45</v>
      </c>
      <c r="C153" s="8"/>
      <c r="D153" s="9"/>
      <c r="E153" s="54">
        <f t="shared" ref="E153:N153" si="43">SUM(E151:E152)</f>
        <v>0</v>
      </c>
      <c r="F153" s="54">
        <f t="shared" si="43"/>
        <v>3</v>
      </c>
      <c r="G153" s="54">
        <f t="shared" si="43"/>
        <v>2</v>
      </c>
      <c r="H153" s="54">
        <f t="shared" si="43"/>
        <v>3</v>
      </c>
      <c r="I153" s="54">
        <f t="shared" si="43"/>
        <v>5</v>
      </c>
      <c r="J153" s="54">
        <f t="shared" si="43"/>
        <v>4</v>
      </c>
      <c r="K153" s="54">
        <f t="shared" si="43"/>
        <v>1</v>
      </c>
      <c r="L153" s="54">
        <f t="shared" si="43"/>
        <v>2</v>
      </c>
      <c r="M153" s="54">
        <f t="shared" si="43"/>
        <v>0</v>
      </c>
      <c r="N153" s="54">
        <f t="shared" si="43"/>
        <v>1</v>
      </c>
      <c r="O153" s="6">
        <f t="shared" si="42"/>
        <v>21</v>
      </c>
    </row>
    <row r="154" ht="12.75" customHeight="1">
      <c r="A154" s="55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6"/>
    </row>
    <row r="155" ht="12.75" customHeight="1">
      <c r="A155" s="32" t="s">
        <v>36</v>
      </c>
      <c r="B155" s="49" t="s">
        <v>128</v>
      </c>
      <c r="C155" s="50" t="s">
        <v>129</v>
      </c>
      <c r="D155" s="9"/>
      <c r="E155" s="66">
        <v>0.0</v>
      </c>
      <c r="F155" s="66">
        <v>0.0</v>
      </c>
      <c r="G155" s="66">
        <v>0.0</v>
      </c>
      <c r="H155" s="66">
        <v>0.0</v>
      </c>
      <c r="I155" s="66">
        <v>0.0</v>
      </c>
      <c r="J155" s="66">
        <v>0.0</v>
      </c>
      <c r="K155" s="66">
        <v>0.0</v>
      </c>
      <c r="L155" s="66">
        <v>1.0</v>
      </c>
      <c r="M155" s="66">
        <v>0.0</v>
      </c>
      <c r="N155" s="66">
        <v>0.0</v>
      </c>
      <c r="O155" s="6">
        <f t="shared" ref="O155:O159" si="44">SUM(E155:N155)</f>
        <v>1</v>
      </c>
    </row>
    <row r="156" ht="12.75" customHeight="1">
      <c r="A156" s="32"/>
      <c r="B156" s="49"/>
      <c r="C156" s="52" t="s">
        <v>130</v>
      </c>
      <c r="D156" s="61"/>
      <c r="E156" s="66">
        <v>0.0</v>
      </c>
      <c r="F156" s="66">
        <v>0.0</v>
      </c>
      <c r="G156" s="66">
        <v>0.0</v>
      </c>
      <c r="H156" s="66">
        <v>0.0</v>
      </c>
      <c r="I156" s="66">
        <v>0.0</v>
      </c>
      <c r="J156" s="66">
        <v>0.0</v>
      </c>
      <c r="K156" s="66">
        <v>0.0</v>
      </c>
      <c r="L156" s="66">
        <v>0.0</v>
      </c>
      <c r="M156" s="66">
        <v>0.0</v>
      </c>
      <c r="N156" s="66">
        <v>0.0</v>
      </c>
      <c r="O156" s="6">
        <f t="shared" si="44"/>
        <v>0</v>
      </c>
    </row>
    <row r="157" ht="12.75" customHeight="1">
      <c r="A157" s="32"/>
      <c r="B157" s="49"/>
      <c r="C157" s="52" t="s">
        <v>131</v>
      </c>
      <c r="D157" s="61"/>
      <c r="E157" s="66">
        <v>0.0</v>
      </c>
      <c r="F157" s="66">
        <v>0.0</v>
      </c>
      <c r="G157" s="66">
        <v>0.0</v>
      </c>
      <c r="H157" s="66">
        <v>0.0</v>
      </c>
      <c r="I157" s="66">
        <v>0.0</v>
      </c>
      <c r="J157" s="66">
        <v>0.0</v>
      </c>
      <c r="K157" s="66">
        <v>0.0</v>
      </c>
      <c r="L157" s="66">
        <v>0.0</v>
      </c>
      <c r="M157" s="66">
        <v>0.0</v>
      </c>
      <c r="N157" s="66">
        <v>0.0</v>
      </c>
      <c r="O157" s="6">
        <f t="shared" si="44"/>
        <v>0</v>
      </c>
    </row>
    <row r="158" ht="12.75" customHeight="1">
      <c r="A158" s="32"/>
      <c r="B158" s="49"/>
      <c r="C158" s="52" t="s">
        <v>132</v>
      </c>
      <c r="D158" s="61"/>
      <c r="E158" s="66">
        <v>0.0</v>
      </c>
      <c r="F158" s="66">
        <v>0.0</v>
      </c>
      <c r="G158" s="66">
        <v>0.0</v>
      </c>
      <c r="H158" s="66">
        <v>0.0</v>
      </c>
      <c r="I158" s="66">
        <v>0.0</v>
      </c>
      <c r="J158" s="66">
        <v>0.0</v>
      </c>
      <c r="K158" s="66">
        <v>0.0</v>
      </c>
      <c r="L158" s="66">
        <v>0.0</v>
      </c>
      <c r="M158" s="66">
        <v>0.0</v>
      </c>
      <c r="N158" s="66">
        <v>0.0</v>
      </c>
      <c r="O158" s="6">
        <f t="shared" si="44"/>
        <v>0</v>
      </c>
    </row>
    <row r="159" ht="12.75" customHeight="1">
      <c r="A159" s="13" t="s">
        <v>14</v>
      </c>
      <c r="B159" s="49" t="s">
        <v>45</v>
      </c>
      <c r="C159" s="8"/>
      <c r="D159" s="9"/>
      <c r="E159" s="54">
        <f t="shared" ref="E159:N159" si="45">SUM(E155:E158)</f>
        <v>0</v>
      </c>
      <c r="F159" s="54">
        <f t="shared" si="45"/>
        <v>0</v>
      </c>
      <c r="G159" s="54">
        <f t="shared" si="45"/>
        <v>0</v>
      </c>
      <c r="H159" s="54">
        <f t="shared" si="45"/>
        <v>0</v>
      </c>
      <c r="I159" s="54">
        <f t="shared" si="45"/>
        <v>0</v>
      </c>
      <c r="J159" s="54">
        <f t="shared" si="45"/>
        <v>0</v>
      </c>
      <c r="K159" s="54">
        <f t="shared" si="45"/>
        <v>0</v>
      </c>
      <c r="L159" s="54">
        <f t="shared" si="45"/>
        <v>1</v>
      </c>
      <c r="M159" s="54">
        <f t="shared" si="45"/>
        <v>0</v>
      </c>
      <c r="N159" s="54">
        <f t="shared" si="45"/>
        <v>0</v>
      </c>
      <c r="O159" s="6">
        <f t="shared" si="44"/>
        <v>1</v>
      </c>
    </row>
    <row r="160" ht="12.75" customHeight="1">
      <c r="A160" s="55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6"/>
    </row>
    <row r="161" ht="12.75" customHeight="1">
      <c r="A161" s="32" t="s">
        <v>36</v>
      </c>
      <c r="B161" s="49" t="s">
        <v>133</v>
      </c>
      <c r="C161" s="50" t="s">
        <v>134</v>
      </c>
      <c r="D161" s="9"/>
      <c r="E161" s="66">
        <v>2.0</v>
      </c>
      <c r="F161" s="66">
        <v>0.0</v>
      </c>
      <c r="G161" s="66">
        <v>0.0</v>
      </c>
      <c r="H161" s="66">
        <v>0.0</v>
      </c>
      <c r="I161" s="66">
        <v>0.0</v>
      </c>
      <c r="J161" s="66">
        <v>0.0</v>
      </c>
      <c r="K161" s="66">
        <v>0.0</v>
      </c>
      <c r="L161" s="66">
        <v>0.0</v>
      </c>
      <c r="M161" s="66">
        <v>0.0</v>
      </c>
      <c r="N161" s="66">
        <v>0.0</v>
      </c>
      <c r="O161" s="6">
        <f t="shared" ref="O161:O168" si="46">SUM(E161:N161)</f>
        <v>2</v>
      </c>
    </row>
    <row r="162" ht="12.75" customHeight="1">
      <c r="A162" s="32" t="s">
        <v>38</v>
      </c>
      <c r="B162" s="51"/>
      <c r="C162" s="52" t="s">
        <v>135</v>
      </c>
      <c r="D162" s="53"/>
      <c r="E162" s="66">
        <v>5.0</v>
      </c>
      <c r="F162" s="66">
        <v>2.0</v>
      </c>
      <c r="G162" s="66">
        <v>1.0</v>
      </c>
      <c r="H162" s="66">
        <v>0.0</v>
      </c>
      <c r="I162" s="66">
        <v>0.0</v>
      </c>
      <c r="J162" s="66">
        <v>0.0</v>
      </c>
      <c r="K162" s="66">
        <v>0.0</v>
      </c>
      <c r="L162" s="66">
        <v>0.0</v>
      </c>
      <c r="M162" s="66">
        <v>0.0</v>
      </c>
      <c r="N162" s="66">
        <v>0.0</v>
      </c>
      <c r="O162" s="6">
        <f t="shared" si="46"/>
        <v>8</v>
      </c>
    </row>
    <row r="163" ht="12.75" customHeight="1">
      <c r="A163" s="18"/>
      <c r="B163" s="51"/>
      <c r="C163" s="52" t="s">
        <v>136</v>
      </c>
      <c r="D163" s="53"/>
      <c r="E163" s="66">
        <v>0.0</v>
      </c>
      <c r="F163" s="66">
        <v>0.0</v>
      </c>
      <c r="G163" s="66">
        <v>0.0</v>
      </c>
      <c r="H163" s="66">
        <v>0.0</v>
      </c>
      <c r="I163" s="66">
        <v>0.0</v>
      </c>
      <c r="J163" s="66">
        <v>0.0</v>
      </c>
      <c r="K163" s="66">
        <v>0.0</v>
      </c>
      <c r="L163" s="66">
        <v>1.0</v>
      </c>
      <c r="M163" s="66">
        <v>0.0</v>
      </c>
      <c r="N163" s="66">
        <v>0.0</v>
      </c>
      <c r="O163" s="6">
        <f t="shared" si="46"/>
        <v>1</v>
      </c>
    </row>
    <row r="164" ht="12.75" customHeight="1">
      <c r="A164" s="18"/>
      <c r="B164" s="51"/>
      <c r="C164" s="52" t="s">
        <v>137</v>
      </c>
      <c r="D164" s="53"/>
      <c r="E164" s="66">
        <v>0.0</v>
      </c>
      <c r="F164" s="66">
        <v>0.0</v>
      </c>
      <c r="G164" s="66">
        <v>0.0</v>
      </c>
      <c r="H164" s="66">
        <v>0.0</v>
      </c>
      <c r="I164" s="66">
        <v>0.0</v>
      </c>
      <c r="J164" s="66">
        <v>0.0</v>
      </c>
      <c r="K164" s="66">
        <v>0.0</v>
      </c>
      <c r="L164" s="66">
        <v>0.0</v>
      </c>
      <c r="M164" s="66">
        <v>0.0</v>
      </c>
      <c r="N164" s="66">
        <v>0.0</v>
      </c>
      <c r="O164" s="6">
        <f t="shared" si="46"/>
        <v>0</v>
      </c>
    </row>
    <row r="165" ht="12.75" customHeight="1">
      <c r="A165" s="18"/>
      <c r="B165" s="51"/>
      <c r="C165" s="52" t="s">
        <v>138</v>
      </c>
      <c r="D165" s="53"/>
      <c r="E165" s="66">
        <v>0.0</v>
      </c>
      <c r="F165" s="66">
        <v>0.0</v>
      </c>
      <c r="G165" s="66">
        <v>0.0</v>
      </c>
      <c r="H165" s="66">
        <v>0.0</v>
      </c>
      <c r="I165" s="66">
        <v>0.0</v>
      </c>
      <c r="J165" s="66">
        <v>0.0</v>
      </c>
      <c r="K165" s="66">
        <v>0.0</v>
      </c>
      <c r="L165" s="66">
        <v>0.0</v>
      </c>
      <c r="M165" s="66">
        <v>0.0</v>
      </c>
      <c r="N165" s="66">
        <v>0.0</v>
      </c>
      <c r="O165" s="6">
        <f t="shared" si="46"/>
        <v>0</v>
      </c>
    </row>
    <row r="166" ht="12.75" customHeight="1">
      <c r="A166" s="18"/>
      <c r="B166" s="51"/>
      <c r="C166" s="52" t="s">
        <v>139</v>
      </c>
      <c r="D166" s="53"/>
      <c r="E166" s="66">
        <v>0.0</v>
      </c>
      <c r="F166" s="66">
        <v>0.0</v>
      </c>
      <c r="G166" s="66">
        <v>0.0</v>
      </c>
      <c r="H166" s="66">
        <v>0.0</v>
      </c>
      <c r="I166" s="66">
        <v>0.0</v>
      </c>
      <c r="J166" s="66">
        <v>0.0</v>
      </c>
      <c r="K166" s="66">
        <v>0.0</v>
      </c>
      <c r="L166" s="66">
        <v>1.0</v>
      </c>
      <c r="M166" s="66">
        <v>0.0</v>
      </c>
      <c r="N166" s="66">
        <v>0.0</v>
      </c>
      <c r="O166" s="6">
        <f t="shared" si="46"/>
        <v>1</v>
      </c>
    </row>
    <row r="167" ht="12.75" customHeight="1">
      <c r="A167" s="18"/>
      <c r="B167" s="51"/>
      <c r="C167" s="52" t="s">
        <v>140</v>
      </c>
      <c r="D167" s="53"/>
      <c r="E167" s="66">
        <v>0.0</v>
      </c>
      <c r="F167" s="66">
        <v>0.0</v>
      </c>
      <c r="G167" s="66">
        <v>0.0</v>
      </c>
      <c r="H167" s="66">
        <v>0.0</v>
      </c>
      <c r="I167" s="66">
        <v>0.0</v>
      </c>
      <c r="J167" s="66">
        <v>0.0</v>
      </c>
      <c r="K167" s="66">
        <v>0.0</v>
      </c>
      <c r="L167" s="66">
        <v>0.0</v>
      </c>
      <c r="M167" s="66">
        <v>0.0</v>
      </c>
      <c r="N167" s="66">
        <v>0.0</v>
      </c>
      <c r="O167" s="6">
        <f t="shared" si="46"/>
        <v>0</v>
      </c>
    </row>
    <row r="168" ht="12.75" customHeight="1">
      <c r="A168" s="13" t="s">
        <v>14</v>
      </c>
      <c r="B168" s="49" t="s">
        <v>45</v>
      </c>
      <c r="C168" s="8"/>
      <c r="D168" s="9"/>
      <c r="E168" s="54">
        <f t="shared" ref="E168:N168" si="47">SUM(E161:E167)</f>
        <v>7</v>
      </c>
      <c r="F168" s="54">
        <f t="shared" si="47"/>
        <v>2</v>
      </c>
      <c r="G168" s="54">
        <f t="shared" si="47"/>
        <v>1</v>
      </c>
      <c r="H168" s="54">
        <f t="shared" si="47"/>
        <v>0</v>
      </c>
      <c r="I168" s="54">
        <f t="shared" si="47"/>
        <v>0</v>
      </c>
      <c r="J168" s="54">
        <f t="shared" si="47"/>
        <v>0</v>
      </c>
      <c r="K168" s="54">
        <f t="shared" si="47"/>
        <v>0</v>
      </c>
      <c r="L168" s="54">
        <f t="shared" si="47"/>
        <v>2</v>
      </c>
      <c r="M168" s="54">
        <f t="shared" si="47"/>
        <v>0</v>
      </c>
      <c r="N168" s="54">
        <f t="shared" si="47"/>
        <v>0</v>
      </c>
      <c r="O168" s="6">
        <f t="shared" si="46"/>
        <v>12</v>
      </c>
    </row>
    <row r="169" ht="12.75" customHeight="1">
      <c r="A169" s="55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6"/>
    </row>
    <row r="170" ht="12.75" customHeight="1">
      <c r="A170" s="32" t="s">
        <v>36</v>
      </c>
      <c r="B170" s="49" t="s">
        <v>141</v>
      </c>
      <c r="C170" s="50" t="s">
        <v>142</v>
      </c>
      <c r="D170" s="9"/>
      <c r="E170" s="66">
        <v>0.0</v>
      </c>
      <c r="F170" s="66">
        <v>0.0</v>
      </c>
      <c r="G170" s="66">
        <v>0.0</v>
      </c>
      <c r="H170" s="66">
        <v>0.0</v>
      </c>
      <c r="I170" s="66">
        <v>0.0</v>
      </c>
      <c r="J170" s="66">
        <v>0.0</v>
      </c>
      <c r="K170" s="66">
        <v>2.0</v>
      </c>
      <c r="L170" s="66">
        <v>0.0</v>
      </c>
      <c r="M170" s="66">
        <v>0.0</v>
      </c>
      <c r="N170" s="66">
        <v>1.0</v>
      </c>
      <c r="O170" s="6">
        <f t="shared" ref="O170:O172" si="48">SUM(E170:N170)</f>
        <v>3</v>
      </c>
    </row>
    <row r="171" ht="12.75" customHeight="1">
      <c r="A171" s="32" t="s">
        <v>38</v>
      </c>
      <c r="B171" s="51"/>
      <c r="C171" s="52" t="s">
        <v>143</v>
      </c>
      <c r="D171" s="53"/>
      <c r="E171" s="66">
        <v>0.0</v>
      </c>
      <c r="F171" s="66">
        <v>0.0</v>
      </c>
      <c r="G171" s="66">
        <v>0.0</v>
      </c>
      <c r="H171" s="66">
        <v>0.0</v>
      </c>
      <c r="I171" s="66">
        <v>0.0</v>
      </c>
      <c r="J171" s="66">
        <v>0.0</v>
      </c>
      <c r="K171" s="66">
        <v>0.0</v>
      </c>
      <c r="L171" s="66">
        <v>0.0</v>
      </c>
      <c r="M171" s="66">
        <v>0.0</v>
      </c>
      <c r="N171" s="66">
        <v>0.0</v>
      </c>
      <c r="O171" s="6">
        <f t="shared" si="48"/>
        <v>0</v>
      </c>
    </row>
    <row r="172" ht="12.75" customHeight="1">
      <c r="A172" s="13" t="s">
        <v>14</v>
      </c>
      <c r="B172" s="49" t="s">
        <v>45</v>
      </c>
      <c r="C172" s="8"/>
      <c r="D172" s="9"/>
      <c r="E172" s="54">
        <f t="shared" ref="E172:N172" si="49">SUM(E170:E171)</f>
        <v>0</v>
      </c>
      <c r="F172" s="54">
        <f t="shared" si="49"/>
        <v>0</v>
      </c>
      <c r="G172" s="54">
        <f t="shared" si="49"/>
        <v>0</v>
      </c>
      <c r="H172" s="54">
        <f t="shared" si="49"/>
        <v>0</v>
      </c>
      <c r="I172" s="54">
        <f t="shared" si="49"/>
        <v>0</v>
      </c>
      <c r="J172" s="54">
        <f t="shared" si="49"/>
        <v>0</v>
      </c>
      <c r="K172" s="54">
        <f t="shared" si="49"/>
        <v>2</v>
      </c>
      <c r="L172" s="54">
        <f t="shared" si="49"/>
        <v>0</v>
      </c>
      <c r="M172" s="54">
        <f t="shared" si="49"/>
        <v>0</v>
      </c>
      <c r="N172" s="54">
        <f t="shared" si="49"/>
        <v>1</v>
      </c>
      <c r="O172" s="6">
        <f t="shared" si="48"/>
        <v>3</v>
      </c>
    </row>
    <row r="173" ht="12.75" customHeight="1">
      <c r="A173" s="47"/>
      <c r="B173" s="46"/>
      <c r="C173" s="46"/>
      <c r="D173" s="27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6"/>
    </row>
    <row r="174" ht="12.75" customHeight="1">
      <c r="A174" s="44" t="s">
        <v>144</v>
      </c>
      <c r="B174" s="7" t="s">
        <v>145</v>
      </c>
      <c r="C174" s="8"/>
      <c r="D174" s="9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6"/>
    </row>
    <row r="175" ht="12.75" customHeight="1">
      <c r="A175" s="44"/>
      <c r="B175" s="62" t="s">
        <v>146</v>
      </c>
      <c r="C175" s="63" t="s">
        <v>147</v>
      </c>
      <c r="D175" s="9"/>
      <c r="E175" s="13">
        <f t="shared" ref="E175:N175" si="50">E52+E61+E70+E79+E88+E92+E98+E107+E111+E120+E124+E131+E140+E149+E153+E159+E168+E172</f>
        <v>193</v>
      </c>
      <c r="F175" s="13">
        <f t="shared" si="50"/>
        <v>202</v>
      </c>
      <c r="G175" s="13">
        <f t="shared" si="50"/>
        <v>181</v>
      </c>
      <c r="H175" s="13">
        <f t="shared" si="50"/>
        <v>184</v>
      </c>
      <c r="I175" s="13">
        <f t="shared" si="50"/>
        <v>194</v>
      </c>
      <c r="J175" s="13">
        <f t="shared" si="50"/>
        <v>203</v>
      </c>
      <c r="K175" s="13">
        <f t="shared" si="50"/>
        <v>210</v>
      </c>
      <c r="L175" s="13">
        <f t="shared" si="50"/>
        <v>197</v>
      </c>
      <c r="M175" s="13">
        <f t="shared" si="50"/>
        <v>226</v>
      </c>
      <c r="N175" s="13">
        <f t="shared" si="50"/>
        <v>193</v>
      </c>
      <c r="O175" s="6">
        <f t="shared" ref="O175:O177" si="51">SUM(E175:N175)</f>
        <v>1983</v>
      </c>
    </row>
    <row r="176" ht="12.75" customHeight="1">
      <c r="A176" s="37"/>
      <c r="B176" s="62" t="s">
        <v>148</v>
      </c>
      <c r="C176" s="63" t="s">
        <v>149</v>
      </c>
      <c r="D176" s="9"/>
      <c r="E176" s="66">
        <v>10.0</v>
      </c>
      <c r="F176" s="66">
        <v>7.0</v>
      </c>
      <c r="G176" s="66">
        <v>8.0</v>
      </c>
      <c r="H176" s="66">
        <v>10.0</v>
      </c>
      <c r="I176" s="66">
        <v>12.0</v>
      </c>
      <c r="J176" s="66">
        <v>9.0</v>
      </c>
      <c r="K176" s="66">
        <v>8.0</v>
      </c>
      <c r="L176" s="66">
        <v>2.0</v>
      </c>
      <c r="M176" s="66">
        <v>11.0</v>
      </c>
      <c r="N176" s="66">
        <v>8.0</v>
      </c>
      <c r="O176" s="6">
        <f t="shared" si="51"/>
        <v>85</v>
      </c>
    </row>
    <row r="177" ht="12.75" customHeight="1">
      <c r="A177" s="42"/>
      <c r="B177" s="62" t="s">
        <v>150</v>
      </c>
      <c r="C177" s="63" t="s">
        <v>151</v>
      </c>
      <c r="D177" s="9"/>
      <c r="E177" s="28">
        <f t="shared" ref="E177:N177" si="52">SUM(E175:E176)</f>
        <v>203</v>
      </c>
      <c r="F177" s="28">
        <f t="shared" si="52"/>
        <v>209</v>
      </c>
      <c r="G177" s="28">
        <f t="shared" si="52"/>
        <v>189</v>
      </c>
      <c r="H177" s="28">
        <f t="shared" si="52"/>
        <v>194</v>
      </c>
      <c r="I177" s="28">
        <f t="shared" si="52"/>
        <v>206</v>
      </c>
      <c r="J177" s="28">
        <f t="shared" si="52"/>
        <v>212</v>
      </c>
      <c r="K177" s="28">
        <f t="shared" si="52"/>
        <v>218</v>
      </c>
      <c r="L177" s="28">
        <f t="shared" si="52"/>
        <v>199</v>
      </c>
      <c r="M177" s="28">
        <f t="shared" si="52"/>
        <v>237</v>
      </c>
      <c r="N177" s="28">
        <f t="shared" si="52"/>
        <v>201</v>
      </c>
      <c r="O177" s="6">
        <f t="shared" si="51"/>
        <v>2068</v>
      </c>
    </row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1">
    <mergeCell ref="B39:C41"/>
    <mergeCell ref="A42:D42"/>
    <mergeCell ref="B38:D38"/>
    <mergeCell ref="C28:C30"/>
    <mergeCell ref="A31:D31"/>
    <mergeCell ref="B32:D32"/>
    <mergeCell ref="B33:D33"/>
    <mergeCell ref="B34:D34"/>
    <mergeCell ref="A37:D37"/>
    <mergeCell ref="C63:D63"/>
    <mergeCell ref="B70:D70"/>
    <mergeCell ref="C81:D81"/>
    <mergeCell ref="B79:D79"/>
    <mergeCell ref="B35:D35"/>
    <mergeCell ref="B36:D36"/>
    <mergeCell ref="B88:D88"/>
    <mergeCell ref="B52:D52"/>
    <mergeCell ref="C54:D54"/>
    <mergeCell ref="B61:D61"/>
    <mergeCell ref="C72:D72"/>
    <mergeCell ref="A44:D44"/>
    <mergeCell ref="B172:D172"/>
    <mergeCell ref="A173:D173"/>
    <mergeCell ref="B174:D174"/>
    <mergeCell ref="C175:D175"/>
    <mergeCell ref="C176:D176"/>
    <mergeCell ref="C177:D177"/>
    <mergeCell ref="B168:D168"/>
    <mergeCell ref="C126:D126"/>
    <mergeCell ref="B131:D131"/>
    <mergeCell ref="C109:D109"/>
    <mergeCell ref="B111:D111"/>
    <mergeCell ref="C113:D113"/>
    <mergeCell ref="B120:D120"/>
    <mergeCell ref="C122:D122"/>
    <mergeCell ref="B98:D98"/>
    <mergeCell ref="C151:D151"/>
    <mergeCell ref="B149:D149"/>
    <mergeCell ref="B12:D12"/>
    <mergeCell ref="A17:D17"/>
    <mergeCell ref="C133:D133"/>
    <mergeCell ref="C90:D90"/>
    <mergeCell ref="C91:D91"/>
    <mergeCell ref="C94:D94"/>
    <mergeCell ref="C100:D100"/>
    <mergeCell ref="B140:D140"/>
    <mergeCell ref="O12:O13"/>
    <mergeCell ref="B13:D13"/>
    <mergeCell ref="B14:C16"/>
    <mergeCell ref="B18:D18"/>
    <mergeCell ref="C45:D45"/>
    <mergeCell ref="E12:N12"/>
    <mergeCell ref="C170:D170"/>
    <mergeCell ref="B153:D153"/>
    <mergeCell ref="C155:D155"/>
    <mergeCell ref="B159:D159"/>
    <mergeCell ref="C161:D161"/>
    <mergeCell ref="B124:D124"/>
    <mergeCell ref="C142:D142"/>
    <mergeCell ref="B19:B21"/>
    <mergeCell ref="C19:C21"/>
    <mergeCell ref="B22:B24"/>
    <mergeCell ref="C22:C24"/>
    <mergeCell ref="B25:B27"/>
    <mergeCell ref="C25:C27"/>
    <mergeCell ref="B28:B30"/>
    <mergeCell ref="E37:I37"/>
    <mergeCell ref="E42:I42"/>
    <mergeCell ref="B43:D43"/>
    <mergeCell ref="B92:D92"/>
    <mergeCell ref="B107:D107"/>
  </mergeCells>
  <conditionalFormatting sqref="E30:N30">
    <cfRule type="expression" dxfId="0" priority="1">
      <formula>E30&lt;&gt;E62</formula>
    </cfRule>
  </conditionalFormatting>
  <conditionalFormatting sqref="E14:N15">
    <cfRule type="containsBlanks" dxfId="4" priority="2">
      <formula>LEN(TRIM(E14))=0</formula>
    </cfRule>
  </conditionalFormatting>
  <conditionalFormatting sqref="E19:N20">
    <cfRule type="containsBlanks" dxfId="4" priority="3">
      <formula>LEN(TRIM(E19))=0</formula>
    </cfRule>
  </conditionalFormatting>
  <conditionalFormatting sqref="E22:N23 E25:N26 E33:N33 E35:N35 E39:N40">
    <cfRule type="containsBlanks" dxfId="4" priority="4">
      <formula>LEN(TRIM(E22))=0</formula>
    </cfRule>
  </conditionalFormatting>
  <conditionalFormatting sqref="E30:N30">
    <cfRule type="expression" dxfId="0" priority="5">
      <formula>E30&lt;&gt;E34</formula>
    </cfRule>
  </conditionalFormatting>
  <conditionalFormatting sqref="E34:N34">
    <cfRule type="expression" dxfId="2" priority="6">
      <formula>E30&lt;&gt;E34</formula>
    </cfRule>
  </conditionalFormatting>
  <conditionalFormatting sqref="E34:N34">
    <cfRule type="expression" dxfId="5" priority="7">
      <formula>E30=E34</formula>
    </cfRule>
  </conditionalFormatting>
  <conditionalFormatting sqref="E34:N34">
    <cfRule type="expression" dxfId="0" priority="8">
      <formula>E34&lt;&gt;E30</formula>
    </cfRule>
  </conditionalFormatting>
  <conditionalFormatting sqref="E177:N177">
    <cfRule type="expression" dxfId="0" priority="9">
      <formula>E177&lt;&gt;E30</formula>
    </cfRule>
  </conditionalFormatting>
  <conditionalFormatting sqref="E177:N177">
    <cfRule type="expression" dxfId="0" priority="10">
      <formula>E177&lt;&gt;E34</formula>
    </cfRule>
  </conditionalFormatting>
  <conditionalFormatting sqref="E45:N51">
    <cfRule type="containsBlanks" dxfId="4" priority="11">
      <formula>LEN(TRIM(E45))=0</formula>
    </cfRule>
  </conditionalFormatting>
  <conditionalFormatting sqref="E54:N60">
    <cfRule type="containsBlanks" dxfId="4" priority="12">
      <formula>LEN(TRIM(E54))=0</formula>
    </cfRule>
  </conditionalFormatting>
  <conditionalFormatting sqref="E63:N69">
    <cfRule type="containsBlanks" dxfId="4" priority="13">
      <formula>LEN(TRIM(E63))=0</formula>
    </cfRule>
  </conditionalFormatting>
  <conditionalFormatting sqref="E72:N78">
    <cfRule type="containsBlanks" dxfId="4" priority="14">
      <formula>LEN(TRIM(E72))=0</formula>
    </cfRule>
  </conditionalFormatting>
  <conditionalFormatting sqref="E81:N87">
    <cfRule type="containsBlanks" dxfId="4" priority="15">
      <formula>LEN(TRIM(E81))=0</formula>
    </cfRule>
  </conditionalFormatting>
  <conditionalFormatting sqref="E100:N106">
    <cfRule type="containsBlanks" dxfId="4" priority="16">
      <formula>LEN(TRIM(E100))=0</formula>
    </cfRule>
  </conditionalFormatting>
  <conditionalFormatting sqref="E90:N91">
    <cfRule type="containsBlanks" dxfId="4" priority="17">
      <formula>LEN(TRIM(E90))=0</formula>
    </cfRule>
  </conditionalFormatting>
  <conditionalFormatting sqref="E94:N95">
    <cfRule type="containsBlanks" dxfId="4" priority="18">
      <formula>LEN(TRIM(E94))=0</formula>
    </cfRule>
  </conditionalFormatting>
  <conditionalFormatting sqref="E96:N97">
    <cfRule type="containsBlanks" dxfId="4" priority="19">
      <formula>LEN(TRIM(E96))=0</formula>
    </cfRule>
  </conditionalFormatting>
  <conditionalFormatting sqref="E109:N110">
    <cfRule type="containsBlanks" dxfId="4" priority="20">
      <formula>LEN(TRIM(E109))=0</formula>
    </cfRule>
  </conditionalFormatting>
  <conditionalFormatting sqref="E113:N119">
    <cfRule type="containsBlanks" dxfId="4" priority="21">
      <formula>LEN(TRIM(E113))=0</formula>
    </cfRule>
  </conditionalFormatting>
  <conditionalFormatting sqref="E133:N139">
    <cfRule type="containsBlanks" dxfId="4" priority="22">
      <formula>LEN(TRIM(E133))=0</formula>
    </cfRule>
  </conditionalFormatting>
  <conditionalFormatting sqref="E122:N123">
    <cfRule type="containsBlanks" dxfId="4" priority="23">
      <formula>LEN(TRIM(E122))=0</formula>
    </cfRule>
  </conditionalFormatting>
  <conditionalFormatting sqref="E126:N130">
    <cfRule type="containsBlanks" dxfId="4" priority="24">
      <formula>LEN(TRIM(E126))=0</formula>
    </cfRule>
  </conditionalFormatting>
  <conditionalFormatting sqref="E142:N148">
    <cfRule type="containsBlanks" dxfId="4" priority="25">
      <formula>LEN(TRIM(E142))=0</formula>
    </cfRule>
  </conditionalFormatting>
  <conditionalFormatting sqref="E152:N152">
    <cfRule type="containsBlanks" dxfId="4" priority="26">
      <formula>LEN(TRIM(E152))=0</formula>
    </cfRule>
  </conditionalFormatting>
  <conditionalFormatting sqref="E151:N151">
    <cfRule type="containsBlanks" dxfId="4" priority="27">
      <formula>LEN(TRIM(E151))=0</formula>
    </cfRule>
  </conditionalFormatting>
  <conditionalFormatting sqref="E155:N158">
    <cfRule type="containsBlanks" dxfId="4" priority="28">
      <formula>LEN(TRIM(E155))=0</formula>
    </cfRule>
  </conditionalFormatting>
  <conditionalFormatting sqref="E161:N163">
    <cfRule type="containsBlanks" dxfId="4" priority="29">
      <formula>LEN(TRIM(E161))=0</formula>
    </cfRule>
  </conditionalFormatting>
  <conditionalFormatting sqref="E164:N167">
    <cfRule type="containsBlanks" dxfId="4" priority="30">
      <formula>LEN(TRIM(E164))=0</formula>
    </cfRule>
  </conditionalFormatting>
  <conditionalFormatting sqref="E170:N170">
    <cfRule type="containsBlanks" dxfId="4" priority="31">
      <formula>LEN(TRIM(E170))=0</formula>
    </cfRule>
  </conditionalFormatting>
  <conditionalFormatting sqref="E171:N171">
    <cfRule type="containsBlanks" dxfId="4" priority="32">
      <formula>LEN(TRIM(E171))=0</formula>
    </cfRule>
  </conditionalFormatting>
  <conditionalFormatting sqref="E175:N175">
    <cfRule type="containsBlanks" dxfId="4" priority="33">
      <formula>LEN(TRIM(E175))=0</formula>
    </cfRule>
  </conditionalFormatting>
  <conditionalFormatting sqref="E176:N176">
    <cfRule type="containsBlanks" dxfId="4" priority="34">
      <formula>LEN(TRIM(E176))=0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2026-01-14T02:26:54Z</dcterms:created>
  <dc:creator>TEKHUM KPU BWI</dc:creator>
</cp:coreProperties>
</file>