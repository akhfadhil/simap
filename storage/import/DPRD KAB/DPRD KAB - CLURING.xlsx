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D KAB" sheetId="1" r:id="rId4"/>
    <sheet state="visible" name="BENCULUK" sheetId="2" r:id="rId5"/>
    <sheet state="visible" name="CLURING" sheetId="3" r:id="rId6"/>
    <sheet state="visible" name="KALIPLOSO" sheetId="4" r:id="rId7"/>
    <sheet state="visible" name="PLAMPANGREJO" sheetId="5" r:id="rId8"/>
    <sheet state="visible" name="SARIMULYO" sheetId="6" r:id="rId9"/>
    <sheet state="visible" name="SEMBULUNG" sheetId="7" r:id="rId10"/>
    <sheet state="visible" name="SRATEN" sheetId="8" r:id="rId11"/>
    <sheet state="visible" name="TAMANAGUNG" sheetId="9" r:id="rId12"/>
    <sheet state="visible" name="TAMPO" sheetId="10" r:id="rId13"/>
  </sheets>
  <definedNames/>
  <calcPr/>
  <extLst>
    <ext uri="GoogleSheetsCustomDataVersion2">
      <go:sheetsCustomData xmlns:go="http://customooxmlschemas.google.com/" r:id="rId14" roundtripDataChecksum="4gpB1tNmBNhkPBkN4HDrQd5Q7kyq2oMsNBmC85CGqDo="/>
    </ext>
  </extLst>
</workbook>
</file>

<file path=xl/sharedStrings.xml><?xml version="1.0" encoding="utf-8"?>
<sst xmlns="http://schemas.openxmlformats.org/spreadsheetml/2006/main" count="2720" uniqueCount="208">
  <si>
    <t>Kecamatan</t>
  </si>
  <si>
    <t>CLURING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</si>
  <si>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</si>
  <si>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</si>
  <si>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</si>
  <si>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</si>
  <si>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</si>
  <si>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</si>
  <si>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</si>
  <si>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</si>
  <si>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</si>
  <si>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</si>
  <si>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</si>
  <si>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</si>
  <si>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</si>
  <si>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</si>
  <si>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</si>
  <si>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</si>
  <si>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</si>
  <si>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</si>
  <si>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</si>
  <si>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</si>
  <si>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</si>
  <si>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</si>
  <si>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</si>
  <si>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</si>
  <si>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</si>
  <si>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</si>
  <si>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</si>
  <si>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</si>
  <si>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</si>
  <si>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</si>
  <si>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</si>
  <si>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</si>
  <si>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</si>
  <si>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</si>
  <si>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</si>
  <si>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</si>
  <si>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</si>
  <si>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</si>
  <si>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KH. MUHAMMAD RIZA AZIZY, M.IEB.</t>
  </si>
  <si>
    <t>INAYANTI KUSUMASARI, S.E.</t>
  </si>
  <si>
    <t>TOPAN HADI SUCIPTO, S.H.</t>
  </si>
  <si>
    <t>HAULA KARIMA AKBAR, S.PD.</t>
  </si>
  <si>
    <t>SUGENG HARYONO</t>
  </si>
  <si>
    <t>MOH. RIYADUS SHOLIHIN, A.MD.</t>
  </si>
  <si>
    <t>JUMLAH SUARA SAH PARTAI POLITIK DAN CALON (A1 + A2)</t>
  </si>
  <si>
    <t>Partai Gerakan Indonesia Raya</t>
  </si>
  <si>
    <t>AGUNG SUBASTIAN</t>
  </si>
  <si>
    <t>ABDUL HAMID</t>
  </si>
  <si>
    <t>NUR ALVI NAZIMAH</t>
  </si>
  <si>
    <t>EMI WIJAYANTI</t>
  </si>
  <si>
    <t>MUHAMAD ALFAN SAIFUDIN</t>
  </si>
  <si>
    <t>BAYU PUTRA PAMUNGKAS</t>
  </si>
  <si>
    <t>Partai Demokrasi Indonesia Perjuangan</t>
  </si>
  <si>
    <t>IR. YAYUK BANAR SRI PANGAYOM</t>
  </si>
  <si>
    <t>DR. ANA ANIATI</t>
  </si>
  <si>
    <t>HADI WIDODO, S.P.</t>
  </si>
  <si>
    <t>ANDIKO PUTRA MAHATTA</t>
  </si>
  <si>
    <t>YUNI APRILIA</t>
  </si>
  <si>
    <t>IKE PREDITA FIKTARYANA</t>
  </si>
  <si>
    <t>Partai Golongan Karya</t>
  </si>
  <si>
    <t>SOFIANDI SUSIADI, A.MD.</t>
  </si>
  <si>
    <t>SUHAERI, S.PD.</t>
  </si>
  <si>
    <t>SITI MAHMUDAH, S.SOS.</t>
  </si>
  <si>
    <t>HENI KOMISATUN</t>
  </si>
  <si>
    <t>KUSYONO</t>
  </si>
  <si>
    <t>SUROSO</t>
  </si>
  <si>
    <t>5.</t>
  </si>
  <si>
    <t>Partai NasDem</t>
  </si>
  <si>
    <t>ABU SUFYAN, S.E., S.T., M.SI., M.ARS.</t>
  </si>
  <si>
    <t>LUKMAN HAKIM</t>
  </si>
  <si>
    <t>DEWI WULANDARI</t>
  </si>
  <si>
    <t>JAENURI</t>
  </si>
  <si>
    <t>TRI DINDA LESTARI</t>
  </si>
  <si>
    <t>AGUS SETIAWAN, A.MD.</t>
  </si>
  <si>
    <t>6.</t>
  </si>
  <si>
    <t>Partai Buruh</t>
  </si>
  <si>
    <t>AHMAD MIKKO SYAHRIAL</t>
  </si>
  <si>
    <t>SITI NURJANNAH</t>
  </si>
  <si>
    <t>RUDI CHRISTIAWAN</t>
  </si>
  <si>
    <t>7.</t>
  </si>
  <si>
    <t>Partai Gelombang Rakyat Indonesia</t>
  </si>
  <si>
    <t>LUTFIYAH</t>
  </si>
  <si>
    <t>NURMANSYAH</t>
  </si>
  <si>
    <t>8.</t>
  </si>
  <si>
    <t>Partai Keadilan Sejahtera</t>
  </si>
  <si>
    <t>ANHARUDIN, S.PD.I.</t>
  </si>
  <si>
    <t>NASUKI SYAMSUL, S.H.</t>
  </si>
  <si>
    <t>LAILATUR ROSYIDAH</t>
  </si>
  <si>
    <t>ALI MANSUR, S.T.</t>
  </si>
  <si>
    <t>ALFIRA ROSALIANA</t>
  </si>
  <si>
    <t>WILDA GUSFIYANTI AZIZ, S.A.</t>
  </si>
  <si>
    <t>9.</t>
  </si>
  <si>
    <t>Partai Kebangkitan Nusantara</t>
  </si>
  <si>
    <t>NANANG HENDIK ROBBY A.S.</t>
  </si>
  <si>
    <t>ANY SUSWATI, S.PD.</t>
  </si>
  <si>
    <t>UNTUNG SUPRIYADI</t>
  </si>
  <si>
    <t>RETNO JUMLIAH</t>
  </si>
  <si>
    <t>10.</t>
  </si>
  <si>
    <t>Partai Hati Nurani Rakyat</t>
  </si>
  <si>
    <t>SRI UTAMI FAKTUNINGSIH</t>
  </si>
  <si>
    <t>MOH. ARBI SAFITRA</t>
  </si>
  <si>
    <t>ANDY WITONO, S.T.</t>
  </si>
  <si>
    <t>H. MUSTOFA HS</t>
  </si>
  <si>
    <t>SURATIN</t>
  </si>
  <si>
    <t>SUYITNO</t>
  </si>
  <si>
    <t>11.</t>
  </si>
  <si>
    <t>Partai Garda Republik Indonesia</t>
  </si>
  <si>
    <t>12.</t>
  </si>
  <si>
    <t>Partai Amanat Nasional</t>
  </si>
  <si>
    <t>HERY WIJATMOKO</t>
  </si>
  <si>
    <t>M. RYAN HAMDANI</t>
  </si>
  <si>
    <t>HESTI DEWANTI PURI, S.PD.</t>
  </si>
  <si>
    <t>ABDITIYA YURI ANDIKA</t>
  </si>
  <si>
    <t>13.</t>
  </si>
  <si>
    <t>Partai Bulan Bintang</t>
  </si>
  <si>
    <t>YUDI WIYANTO</t>
  </si>
  <si>
    <t>DRS. H. AGUS ISKANDAR ZULKARNAIN</t>
  </si>
  <si>
    <t>NORISA RATH WIDYANINGRUM</t>
  </si>
  <si>
    <t>ACHMAD JUNIARTO</t>
  </si>
  <si>
    <t>SUPRIHATIN</t>
  </si>
  <si>
    <t>AGAM FATMALADIKA</t>
  </si>
  <si>
    <t>14.</t>
  </si>
  <si>
    <t>Partai Demokrat</t>
  </si>
  <si>
    <t>EMY WAHYUNI DWI LESTARI</t>
  </si>
  <si>
    <t>HARI PRASETYO, S.PD.</t>
  </si>
  <si>
    <t>NUR KOLILAH</t>
  </si>
  <si>
    <t>WAHAB ROHMATULLAH, S.H.</t>
  </si>
  <si>
    <t>IKE IRIANY MARGARETA</t>
  </si>
  <si>
    <t>SUNARKO</t>
  </si>
  <si>
    <t>15.</t>
  </si>
  <si>
    <t>Partai Solidaritas Indonesia</t>
  </si>
  <si>
    <t>-</t>
  </si>
  <si>
    <t>16.</t>
  </si>
  <si>
    <t>PARTAI PERINDO</t>
  </si>
  <si>
    <t>WILLY HAICKAL AHDA</t>
  </si>
  <si>
    <t>MOHAMAD YUSRION HABIBI</t>
  </si>
  <si>
    <t>DELIA RIZKI SAFITRI</t>
  </si>
  <si>
    <t>17.</t>
  </si>
  <si>
    <t>Partai Persatuan Pembangunan</t>
  </si>
  <si>
    <t>MUHTAR BASYIR, S.E.</t>
  </si>
  <si>
    <t>DRA. HJ. NUNUK SRI RAHAYU, M.M.</t>
  </si>
  <si>
    <t>ABDURROKHIM UMAR</t>
  </si>
  <si>
    <t>SITI ROBANA</t>
  </si>
  <si>
    <t>ROHIMATULLOH FADLILAH, S.PD.I., M.SI.</t>
  </si>
  <si>
    <t>ACHMAD HAFID NURHABIBI</t>
  </si>
  <si>
    <t>18.</t>
  </si>
  <si>
    <t>Partai Ummat</t>
  </si>
  <si>
    <t>MAR’ATUL SYAMSIYAH</t>
  </si>
  <si>
    <t>ARIEFTA PRIBADI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</si>
  <si>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</si>
  <si>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</si>
  <si>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</si>
  <si>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</si>
  <si>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</si>
  <si>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</si>
  <si>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</si>
  <si>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</si>
  <si>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</si>
  <si>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BENCULUK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</si>
  <si>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</si>
  <si>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</si>
  <si>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</si>
  <si>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</si>
  <si>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</si>
  <si>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</si>
  <si>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</si>
  <si>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</si>
  <si>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</si>
  <si>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</si>
  <si>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</si>
  <si>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</si>
  <si>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</si>
  <si>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</si>
  <si>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</si>
  <si>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</si>
  <si>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</si>
  <si>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</si>
  <si>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</si>
  <si>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</si>
  <si>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</si>
  <si>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</si>
  <si>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</si>
  <si>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</si>
  <si>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</si>
  <si>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</si>
  <si>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</si>
  <si>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</si>
  <si>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</si>
  <si>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</si>
  <si>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</si>
  <si>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</si>
  <si>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</si>
  <si>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</si>
  <si>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</si>
  <si>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</si>
  <si>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</si>
  <si>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</si>
  <si>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</si>
  <si>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</si>
  <si>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KALIPLOSO</t>
  </si>
  <si>
    <t>PLAMPANGREJO</t>
  </si>
  <si>
    <t>SARIMULYO</t>
  </si>
  <si>
    <t>SEMBULUNG</t>
  </si>
  <si>
    <t>SRATEN</t>
  </si>
  <si>
    <t>TAMANAGUNG</t>
  </si>
  <si>
    <t>TAMPO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</si>
</sst>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  <font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7C3"/>
        <bgColor rgb="FFF4C7C3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3" fillId="0" fontId="1" numFmtId="0" xfId="0" applyAlignment="1" applyBorder="1" applyFont="1">
      <alignment horizontal="center" vertical="center"/>
    </xf>
    <xf borderId="7" fillId="0" fontId="3" numFmtId="0" xfId="0" applyAlignment="1" applyBorder="1" applyFont="1">
      <alignment vertical="center"/>
    </xf>
    <xf borderId="15" fillId="0" fontId="2" numFmtId="0" xfId="0" applyBorder="1" applyFont="1"/>
    <xf borderId="4" fillId="0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1" fillId="0" fontId="3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8" numFmtId="0" xfId="0" applyBorder="1" applyFont="1"/>
    <xf borderId="1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  <xf borderId="2" fillId="0" fontId="8" numFmtId="0" xfId="0" applyBorder="1" applyFont="1"/>
    <xf borderId="1" fillId="5" fontId="1" numFmtId="0" xfId="0" applyAlignment="1" applyBorder="1" applyFill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BENCULUK!AS14+CLURING!AL14+KALIPLOSO!Q14+PLAMPANGREJO!AE14+SARIMULYO!AA14+SEMBULUNG!AC14+SRATEN!AB14+TAMANAGUNG!AH14+TAMPO!AB14</f>
        <v>30609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BENCULUK!AS15+CLURING!AL15+KALIPLOSO!Q15+PLAMPANGREJO!AE15+SARIMULYO!AA15+SEMBULUNG!AC15+SRATEN!AB15+TAMANAGUNG!AH15+TAMPO!AB15</f>
        <v>30796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61405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BENCULUK!AS19+CLURING!AL19+KALIPLOSO!Q19+PLAMPANGREJO!AE19+SARIMULYO!AA19+SEMBULUNG!AC19+SRATEN!AB19+TAMANAGUNG!AH19+TAMPO!AB19</f>
        <v>22884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BENCULUK!AS20+CLURING!AL20+KALIPLOSO!Q20+PLAMPANGREJO!AE20+SARIMULYO!AA20+SEMBULUNG!AC20+SRATEN!AB20+TAMANAGUNG!AH20+TAMPO!AB20</f>
        <v>24364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47248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BENCULUK!AS22+CLURING!AL22+KALIPLOSO!Q22+PLAMPANGREJO!AE22+SARIMULYO!AA22+SEMBULUNG!AC22+SRATEN!AB22+TAMANAGUNG!AH22+TAMPO!AB22</f>
        <v>23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BENCULUK!AS23+CLURING!AL23+KALIPLOSO!Q23+PLAMPANGREJO!AE23+SARIMULYO!AA23+SEMBULUNG!AC23+SRATEN!AB23+TAMANAGUNG!AH23+TAMPO!AB23</f>
        <v>23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46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BENCULUK!AS25+CLURING!AL25+KALIPLOSO!Q25+PLAMPANGREJO!AE25+SARIMULYO!AA25+SEMBULUNG!AC25+SRATEN!AB25+TAMANAGUNG!AH25+TAMPO!AB25</f>
        <v>220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BENCULUK!AS26+CLURING!AL26+KALIPLOSO!Q26+PLAMPANGREJO!AE26+SARIMULYO!AA26+SEMBULUNG!AC26+SRATEN!AB26+TAMANAGUNG!AH26+TAMPO!AB26</f>
        <v>282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502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23127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24669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47796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BENCULUK!AS33+CLURING!AL33+KALIPLOSO!Q33+PLAMPANGREJO!AE33+SARIMULYO!AA33+SEMBULUNG!AC33+SRATEN!AB33+TAMANAGUNG!AH33+TAMPO!AB33</f>
        <v>62653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BENCULUK!AS34+CLURING!AL34+KALIPLOSO!Q34+PLAMPANGREJO!AE34+SARIMULYO!AA34+SEMBULUNG!AC34+SRATEN!AB34+TAMANAGUNG!AH34+TAMPO!AB34</f>
        <v>47796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BENCULUK!AS35+CLURING!AL35+KALIPLOSO!Q35+PLAMPANGREJO!AE35+SARIMULYO!AA35+SEMBULUNG!AC35+SRATEN!AB35+TAMANAGUNG!AH35+TAMPO!AB35</f>
        <v>156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14701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BENCULUK!AS39+CLURING!AL39+KALIPLOSO!Q39+PLAMPANGREJO!AE39+SARIMULYO!AA39+SEMBULUNG!AC39+SRATEN!AB39+TAMANAGUNG!AH39+TAMPO!AB39</f>
        <v>34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BENCULUK!AS40+CLURING!AL40+KALIPLOSO!Q40+PLAMPANGREJO!AE40+SARIMULYO!AA40+SEMBULUNG!AC40+SRATEN!AB40+TAMANAGUNG!AH40+TAMPO!AB40</f>
        <v>48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82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BENCULUK!AS45+CLURING!AL45+KALIPLOSO!Q45+PLAMPANGREJO!AE45+SARIMULYO!AA45+SEMBULUNG!AC45+SRATEN!AB45+TAMANAGUNG!AH45+TAMPO!AB45</f>
        <v>1207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>
        <v>1.0</v>
      </c>
      <c r="C46" s="50" t="s">
        <v>40</v>
      </c>
      <c r="D46" s="51"/>
      <c r="E46" s="24">
        <f>BENCULUK!AS46+CLURING!AL46+KALIPLOSO!Q46+PLAMPANGREJO!AE46+SARIMULYO!AA46+SEMBULUNG!AC46+SRATEN!AB46+TAMANAGUNG!AH46+TAMPO!AB46</f>
        <v>1047</v>
      </c>
      <c r="F46" s="52"/>
      <c r="G46" s="53"/>
      <c r="H46" s="53"/>
      <c r="I46" s="53"/>
      <c r="J46" s="53"/>
      <c r="K46" s="53"/>
      <c r="L46" s="53"/>
      <c r="M46" s="53"/>
      <c r="N46" s="53"/>
      <c r="O46" s="53"/>
      <c r="P46" s="54"/>
      <c r="Q46" s="3"/>
      <c r="R46" s="3"/>
      <c r="S46" s="3"/>
      <c r="T46" s="3"/>
      <c r="U46" s="3"/>
      <c r="V46" s="3"/>
      <c r="W46" s="55"/>
      <c r="X46" s="3"/>
      <c r="Y46" s="3"/>
      <c r="Z46" s="3"/>
    </row>
    <row r="47" ht="15.75" customHeight="1">
      <c r="A47" s="18"/>
      <c r="B47" s="49">
        <v>2.0</v>
      </c>
      <c r="C47" s="50" t="s">
        <v>41</v>
      </c>
      <c r="D47" s="51"/>
      <c r="E47" s="24">
        <f>BENCULUK!AS47+CLURING!AL47+KALIPLOSO!Q47+PLAMPANGREJO!AE47+SARIMULYO!AA47+SEMBULUNG!AC47+SRATEN!AB47+TAMANAGUNG!AH47+TAMPO!AB47</f>
        <v>6700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9">
        <v>3.0</v>
      </c>
      <c r="C48" s="50" t="s">
        <v>42</v>
      </c>
      <c r="D48" s="51"/>
      <c r="E48" s="24">
        <f>BENCULUK!AS48+CLURING!AL48+KALIPLOSO!Q48+PLAMPANGREJO!AE48+SARIMULYO!AA48+SEMBULUNG!AC48+SRATEN!AB48+TAMANAGUNG!AH48+TAMPO!AB48</f>
        <v>253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9">
        <v>4.0</v>
      </c>
      <c r="C49" s="50" t="s">
        <v>43</v>
      </c>
      <c r="D49" s="51"/>
      <c r="E49" s="24">
        <f>BENCULUK!AS49+CLURING!AL49+KALIPLOSO!Q49+PLAMPANGREJO!AE49+SARIMULYO!AA49+SEMBULUNG!AC49+SRATEN!AB49+TAMANAGUNG!AH49+TAMPO!AB49</f>
        <v>23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9">
        <v>5.0</v>
      </c>
      <c r="C50" s="50" t="s">
        <v>44</v>
      </c>
      <c r="D50" s="51"/>
      <c r="E50" s="24">
        <f>BENCULUK!AS50+CLURING!AL50+KALIPLOSO!Q50+PLAMPANGREJO!AE50+SARIMULYO!AA50+SEMBULUNG!AC50+SRATEN!AB50+TAMANAGUNG!AH50+TAMPO!AB50</f>
        <v>23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9">
        <v>6.0</v>
      </c>
      <c r="C51" s="50" t="s">
        <v>45</v>
      </c>
      <c r="D51" s="51"/>
      <c r="E51" s="24">
        <f>BENCULUK!AS51+CLURING!AL51+KALIPLOSO!Q51+PLAMPANGREJO!AE51+SARIMULYO!AA51+SEMBULUNG!AC51+SRATEN!AB51+TAMANAGUNG!AH51+TAMPO!AB51</f>
        <v>1095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9" t="s">
        <v>15</v>
      </c>
      <c r="B52" s="47" t="s">
        <v>46</v>
      </c>
      <c r="C52" s="15"/>
      <c r="D52" s="16"/>
      <c r="E52" s="56">
        <f>SUM(E45:E51)</f>
        <v>10348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7"/>
      <c r="B53" s="58"/>
      <c r="C53" s="58"/>
      <c r="D53" s="58"/>
      <c r="E53" s="58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30" t="s">
        <v>37</v>
      </c>
      <c r="B54" s="47" t="s">
        <v>19</v>
      </c>
      <c r="C54" s="48" t="s">
        <v>47</v>
      </c>
      <c r="D54" s="16"/>
      <c r="E54" s="24">
        <f>BENCULUK!AS54+CLURING!AL54+KALIPLOSO!Q54+PLAMPANGREJO!AE54+SARIMULYO!AA54+SEMBULUNG!AC54+SRATEN!AB54+TAMANAGUNG!AH54+TAMPO!AB54</f>
        <v>1558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30" t="s">
        <v>39</v>
      </c>
      <c r="B55" s="49">
        <v>1.0</v>
      </c>
      <c r="C55" s="50" t="s">
        <v>48</v>
      </c>
      <c r="D55" s="51"/>
      <c r="E55" s="24">
        <f>BENCULUK!AS55+CLURING!AL55+KALIPLOSO!Q55+PLAMPANGREJO!AE55+SARIMULYO!AA55+SEMBULUNG!AC55+SRATEN!AB55+TAMANAGUNG!AH55+TAMPO!AB55</f>
        <v>2225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8"/>
      <c r="B56" s="49">
        <v>2.0</v>
      </c>
      <c r="C56" s="50" t="s">
        <v>49</v>
      </c>
      <c r="D56" s="51"/>
      <c r="E56" s="24">
        <f>BENCULUK!AS56+CLURING!AL56+KALIPLOSO!Q56+PLAMPANGREJO!AE56+SARIMULYO!AA56+SEMBULUNG!AC56+SRATEN!AB56+TAMANAGUNG!AH56+TAMPO!AB56</f>
        <v>437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49">
        <v>3.0</v>
      </c>
      <c r="C57" s="50" t="s">
        <v>50</v>
      </c>
      <c r="D57" s="51"/>
      <c r="E57" s="24">
        <f>BENCULUK!AS57+CLURING!AL57+KALIPLOSO!Q57+PLAMPANGREJO!AE57+SARIMULYO!AA57+SEMBULUNG!AC57+SRATEN!AB57+TAMANAGUNG!AH57+TAMPO!AB57</f>
        <v>147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8"/>
      <c r="B58" s="49">
        <v>4.0</v>
      </c>
      <c r="C58" s="50" t="s">
        <v>51</v>
      </c>
      <c r="D58" s="51"/>
      <c r="E58" s="24">
        <f>BENCULUK!AS58+CLURING!AL58+KALIPLOSO!Q58+PLAMPANGREJO!AE58+SARIMULYO!AA58+SEMBULUNG!AC58+SRATEN!AB58+TAMANAGUNG!AH58+TAMPO!AB58</f>
        <v>112</v>
      </c>
      <c r="F58" s="52"/>
      <c r="G58" s="53"/>
      <c r="H58" s="53"/>
      <c r="I58" s="53"/>
      <c r="J58" s="53"/>
      <c r="K58" s="53"/>
      <c r="L58" s="53"/>
      <c r="M58" s="53"/>
      <c r="N58" s="53"/>
      <c r="O58" s="53"/>
      <c r="P58" s="54"/>
      <c r="Q58" s="3"/>
      <c r="R58" s="3"/>
      <c r="S58" s="3"/>
      <c r="T58" s="3"/>
      <c r="U58" s="3"/>
      <c r="V58" s="3"/>
      <c r="W58" s="55"/>
      <c r="X58" s="3"/>
      <c r="Y58" s="3"/>
      <c r="Z58" s="3"/>
    </row>
    <row r="59" ht="15.75" customHeight="1">
      <c r="A59" s="18"/>
      <c r="B59" s="49">
        <v>5.0</v>
      </c>
      <c r="C59" s="50" t="s">
        <v>52</v>
      </c>
      <c r="D59" s="51"/>
      <c r="E59" s="24">
        <f>BENCULUK!AS59+CLURING!AL59+KALIPLOSO!Q59+PLAMPANGREJO!AE59+SARIMULYO!AA59+SEMBULUNG!AC59+SRATEN!AB59+TAMANAGUNG!AH59+TAMPO!AB59</f>
        <v>67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49">
        <v>6.0</v>
      </c>
      <c r="C60" s="50" t="s">
        <v>53</v>
      </c>
      <c r="D60" s="51"/>
      <c r="E60" s="24">
        <f>BENCULUK!AS60+CLURING!AL60+KALIPLOSO!Q60+PLAMPANGREJO!AE60+SARIMULYO!AA60+SEMBULUNG!AC60+SRATEN!AB60+TAMANAGUNG!AH60+TAMPO!AB60</f>
        <v>70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9" t="s">
        <v>15</v>
      </c>
      <c r="B61" s="47" t="s">
        <v>46</v>
      </c>
      <c r="C61" s="15"/>
      <c r="D61" s="16"/>
      <c r="E61" s="56">
        <f>SUM(E54:E60)</f>
        <v>4616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7"/>
      <c r="B62" s="58"/>
      <c r="C62" s="58"/>
      <c r="D62" s="58"/>
      <c r="E62" s="58"/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30" t="s">
        <v>37</v>
      </c>
      <c r="B63" s="47" t="s">
        <v>21</v>
      </c>
      <c r="C63" s="48" t="s">
        <v>54</v>
      </c>
      <c r="D63" s="16"/>
      <c r="E63" s="24">
        <f>BENCULUK!AS63+CLURING!AL63+KALIPLOSO!Q63+PLAMPANGREJO!AE63+SARIMULYO!AA63+SEMBULUNG!AC63+SRATEN!AB63+TAMANAGUNG!AH63+TAMPO!AB63</f>
        <v>1511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30" t="s">
        <v>39</v>
      </c>
      <c r="B64" s="49">
        <v>1.0</v>
      </c>
      <c r="C64" s="50" t="s">
        <v>55</v>
      </c>
      <c r="D64" s="51"/>
      <c r="E64" s="24">
        <f>BENCULUK!AS64+CLURING!AL64+KALIPLOSO!Q64+PLAMPANGREJO!AE64+SARIMULYO!AA64+SEMBULUNG!AC64+SRATEN!AB64+TAMANAGUNG!AH64+TAMPO!AB64</f>
        <v>1185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49">
        <v>2.0</v>
      </c>
      <c r="C65" s="50" t="s">
        <v>56</v>
      </c>
      <c r="D65" s="51"/>
      <c r="E65" s="24">
        <f>BENCULUK!AS65+CLURING!AL65+KALIPLOSO!Q65+PLAMPANGREJO!AE65+SARIMULYO!AA65+SEMBULUNG!AC65+SRATEN!AB65+TAMANAGUNG!AH65+TAMPO!AB65</f>
        <v>3313</v>
      </c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49">
        <v>3.0</v>
      </c>
      <c r="C66" s="50" t="s">
        <v>57</v>
      </c>
      <c r="D66" s="51"/>
      <c r="E66" s="24">
        <f>BENCULUK!AS66+CLURING!AL66+KALIPLOSO!Q66+PLAMPANGREJO!AE66+SARIMULYO!AA66+SEMBULUNG!AC66+SRATEN!AB66+TAMANAGUNG!AH66+TAMPO!AB66</f>
        <v>4277</v>
      </c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8"/>
      <c r="B67" s="49">
        <v>4.0</v>
      </c>
      <c r="C67" s="50" t="s">
        <v>58</v>
      </c>
      <c r="D67" s="51"/>
      <c r="E67" s="24">
        <f>BENCULUK!AS67+CLURING!AL67+KALIPLOSO!Q67+PLAMPANGREJO!AE67+SARIMULYO!AA67+SEMBULUNG!AC67+SRATEN!AB67+TAMANAGUNG!AH67+TAMPO!AB67</f>
        <v>224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18"/>
      <c r="B68" s="49">
        <v>5.0</v>
      </c>
      <c r="C68" s="50" t="s">
        <v>59</v>
      </c>
      <c r="D68" s="51"/>
      <c r="E68" s="24">
        <f>BENCULUK!AS68+CLURING!AL68+KALIPLOSO!Q68+PLAMPANGREJO!AE68+SARIMULYO!AA68+SEMBULUNG!AC68+SRATEN!AB68+TAMANAGUNG!AH68+TAMPO!AB68</f>
        <v>58</v>
      </c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18"/>
      <c r="B69" s="49">
        <v>6.0</v>
      </c>
      <c r="C69" s="50" t="s">
        <v>60</v>
      </c>
      <c r="D69" s="51"/>
      <c r="E69" s="24">
        <f>BENCULUK!AS69+CLURING!AL69+KALIPLOSO!Q69+PLAMPANGREJO!AE69+SARIMULYO!AA69+SEMBULUNG!AC69+SRATEN!AB69+TAMANAGUNG!AH69+TAMPO!AB69</f>
        <v>42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9" t="s">
        <v>15</v>
      </c>
      <c r="B70" s="47" t="s">
        <v>46</v>
      </c>
      <c r="C70" s="15"/>
      <c r="D70" s="16"/>
      <c r="E70" s="56">
        <f>SUM(E63:E69)</f>
        <v>10610</v>
      </c>
      <c r="F70" s="52"/>
      <c r="G70" s="53"/>
      <c r="H70" s="53"/>
      <c r="I70" s="53"/>
      <c r="J70" s="53"/>
      <c r="K70" s="53"/>
      <c r="L70" s="53"/>
      <c r="M70" s="53"/>
      <c r="N70" s="53"/>
      <c r="O70" s="53"/>
      <c r="P70" s="54"/>
      <c r="Q70" s="3"/>
      <c r="R70" s="3"/>
      <c r="S70" s="3"/>
      <c r="T70" s="3"/>
      <c r="U70" s="3"/>
      <c r="V70" s="3"/>
      <c r="W70" s="55"/>
      <c r="X70" s="3"/>
      <c r="Y70" s="3"/>
      <c r="Z70" s="3"/>
    </row>
    <row r="71" ht="15.75" customHeight="1">
      <c r="A71" s="57"/>
      <c r="B71" s="58"/>
      <c r="C71" s="58"/>
      <c r="D71" s="58"/>
      <c r="E71" s="58"/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30" t="s">
        <v>37</v>
      </c>
      <c r="B72" s="47" t="s">
        <v>23</v>
      </c>
      <c r="C72" s="48" t="s">
        <v>61</v>
      </c>
      <c r="D72" s="16"/>
      <c r="E72" s="24">
        <f>BENCULUK!AS72+CLURING!AL72+KALIPLOSO!Q72+PLAMPANGREJO!AE72+SARIMULYO!AA72+SEMBULUNG!AC72+SRATEN!AB72+TAMANAGUNG!AH72+TAMPO!AB72</f>
        <v>854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30" t="s">
        <v>39</v>
      </c>
      <c r="B73" s="49">
        <v>1.0</v>
      </c>
      <c r="C73" s="50" t="s">
        <v>62</v>
      </c>
      <c r="D73" s="51"/>
      <c r="E73" s="24">
        <f>BENCULUK!AS73+CLURING!AL73+KALIPLOSO!Q73+PLAMPANGREJO!AE73+SARIMULYO!AA73+SEMBULUNG!AC73+SRATEN!AB73+TAMANAGUNG!AH73+TAMPO!AB73</f>
        <v>5904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49">
        <v>2.0</v>
      </c>
      <c r="C74" s="50" t="s">
        <v>63</v>
      </c>
      <c r="D74" s="51"/>
      <c r="E74" s="24">
        <f>BENCULUK!AS74+CLURING!AL74+KALIPLOSO!Q74+PLAMPANGREJO!AE74+SARIMULYO!AA74+SEMBULUNG!AC74+SRATEN!AB74+TAMANAGUNG!AH74+TAMPO!AB74</f>
        <v>164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49">
        <v>3.0</v>
      </c>
      <c r="C75" s="50" t="s">
        <v>64</v>
      </c>
      <c r="D75" s="51"/>
      <c r="E75" s="24">
        <f>BENCULUK!AS75+CLURING!AL75+KALIPLOSO!Q75+PLAMPANGREJO!AE75+SARIMULYO!AA75+SEMBULUNG!AC75+SRATEN!AB75+TAMANAGUNG!AH75+TAMPO!AB75</f>
        <v>64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49">
        <v>4.0</v>
      </c>
      <c r="C76" s="50" t="s">
        <v>65</v>
      </c>
      <c r="D76" s="51"/>
      <c r="E76" s="24">
        <f>BENCULUK!AS76+CLURING!AL76+KALIPLOSO!Q76+PLAMPANGREJO!AE76+SARIMULYO!AA76+SEMBULUNG!AC76+SRATEN!AB76+TAMANAGUNG!AH76+TAMPO!AB76</f>
        <v>69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49">
        <v>5.0</v>
      </c>
      <c r="C77" s="50" t="s">
        <v>66</v>
      </c>
      <c r="D77" s="51"/>
      <c r="E77" s="24">
        <f>BENCULUK!AS77+CLURING!AL77+KALIPLOSO!Q77+PLAMPANGREJO!AE77+SARIMULYO!AA77+SEMBULUNG!AC77+SRATEN!AB77+TAMANAGUNG!AH77+TAMPO!AB77</f>
        <v>18</v>
      </c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49">
        <v>6.0</v>
      </c>
      <c r="C78" s="50" t="s">
        <v>67</v>
      </c>
      <c r="D78" s="51"/>
      <c r="E78" s="24">
        <f>BENCULUK!AS78+CLURING!AL78+KALIPLOSO!Q78+PLAMPANGREJO!AE78+SARIMULYO!AA78+SEMBULUNG!AC78+SRATEN!AB78+TAMANAGUNG!AH78+TAMPO!AB78</f>
        <v>10</v>
      </c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46</v>
      </c>
      <c r="C79" s="15"/>
      <c r="D79" s="16"/>
      <c r="E79" s="56">
        <f>SUM(E72:E78)</f>
        <v>7083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57"/>
      <c r="B80" s="58"/>
      <c r="C80" s="58"/>
      <c r="D80" s="58"/>
      <c r="E80" s="58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68</v>
      </c>
      <c r="C81" s="48" t="s">
        <v>69</v>
      </c>
      <c r="D81" s="16"/>
      <c r="E81" s="24">
        <f>BENCULUK!AS81+CLURING!AL81+KALIPLOSO!Q81+PLAMPANGREJO!AE81+SARIMULYO!AA81+SEMBULUNG!AC81+SRATEN!AB81+TAMANAGUNG!AH81+TAMPO!AB81</f>
        <v>131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49">
        <v>1.0</v>
      </c>
      <c r="C82" s="50" t="s">
        <v>70</v>
      </c>
      <c r="D82" s="51"/>
      <c r="E82" s="24">
        <f>BENCULUK!AS82+CLURING!AL82+KALIPLOSO!Q82+PLAMPANGREJO!AE82+SARIMULYO!AA82+SEMBULUNG!AC82+SRATEN!AB82+TAMANAGUNG!AH82+TAMPO!AB82</f>
        <v>568</v>
      </c>
      <c r="F82" s="52"/>
      <c r="G82" s="53"/>
      <c r="H82" s="53"/>
      <c r="I82" s="53"/>
      <c r="J82" s="53"/>
      <c r="K82" s="53"/>
      <c r="L82" s="53"/>
      <c r="M82" s="53"/>
      <c r="N82" s="53"/>
      <c r="O82" s="53"/>
      <c r="P82" s="54"/>
      <c r="Q82" s="3"/>
      <c r="R82" s="3"/>
      <c r="S82" s="3"/>
      <c r="T82" s="3"/>
      <c r="U82" s="3"/>
      <c r="V82" s="3"/>
      <c r="W82" s="55"/>
      <c r="X82" s="3"/>
      <c r="Y82" s="3"/>
      <c r="Z82" s="3"/>
    </row>
    <row r="83" ht="15.75" customHeight="1">
      <c r="A83" s="18"/>
      <c r="B83" s="49">
        <v>2.0</v>
      </c>
      <c r="C83" s="50" t="s">
        <v>71</v>
      </c>
      <c r="D83" s="51"/>
      <c r="E83" s="24">
        <f>BENCULUK!AS83+CLURING!AL83+KALIPLOSO!Q83+PLAMPANGREJO!AE83+SARIMULYO!AA83+SEMBULUNG!AC83+SRATEN!AB83+TAMANAGUNG!AH83+TAMPO!AB83</f>
        <v>31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49">
        <v>3.0</v>
      </c>
      <c r="C84" s="50" t="s">
        <v>72</v>
      </c>
      <c r="D84" s="51"/>
      <c r="E84" s="24">
        <f>BENCULUK!AS84+CLURING!AL84+KALIPLOSO!Q84+PLAMPANGREJO!AE84+SARIMULYO!AA84+SEMBULUNG!AC84+SRATEN!AB84+TAMANAGUNG!AH84+TAMPO!AB84</f>
        <v>16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49">
        <v>4.0</v>
      </c>
      <c r="C85" s="50" t="s">
        <v>73</v>
      </c>
      <c r="D85" s="51"/>
      <c r="E85" s="24">
        <f>BENCULUK!AS85+CLURING!AL85+KALIPLOSO!Q85+PLAMPANGREJO!AE85+SARIMULYO!AA85+SEMBULUNG!AC85+SRATEN!AB85+TAMANAGUNG!AH85+TAMPO!AB85</f>
        <v>12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49">
        <v>5.0</v>
      </c>
      <c r="C86" s="50" t="s">
        <v>74</v>
      </c>
      <c r="D86" s="51"/>
      <c r="E86" s="24">
        <f>BENCULUK!AS86+CLURING!AL86+KALIPLOSO!Q86+PLAMPANGREJO!AE86+SARIMULYO!AA86+SEMBULUNG!AC86+SRATEN!AB86+TAMANAGUNG!AH86+TAMPO!AB86</f>
        <v>82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49">
        <v>6.0</v>
      </c>
      <c r="C87" s="50" t="s">
        <v>75</v>
      </c>
      <c r="D87" s="51"/>
      <c r="E87" s="24">
        <f>BENCULUK!AS87+CLURING!AL87+KALIPLOSO!Q87+PLAMPANGREJO!AE87+SARIMULYO!AA87+SEMBULUNG!AC87+SRATEN!AB87+TAMANAGUNG!AH87+TAMPO!AB87</f>
        <v>22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9" t="s">
        <v>15</v>
      </c>
      <c r="B88" s="47" t="s">
        <v>46</v>
      </c>
      <c r="C88" s="15"/>
      <c r="D88" s="16"/>
      <c r="E88" s="56">
        <f>SUM(E81:E87)</f>
        <v>862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57"/>
      <c r="B89" s="58"/>
      <c r="C89" s="58"/>
      <c r="D89" s="58"/>
      <c r="E89" s="58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30" t="s">
        <v>37</v>
      </c>
      <c r="B90" s="47" t="s">
        <v>76</v>
      </c>
      <c r="C90" s="48" t="s">
        <v>77</v>
      </c>
      <c r="D90" s="16"/>
      <c r="E90" s="24">
        <f>BENCULUK!AS90+CLURING!AL90+KALIPLOSO!Q90+PLAMPANGREJO!AE90+SARIMULYO!AA90+SEMBULUNG!AC90+SRATEN!AB90+TAMANAGUNG!AH90+TAMPO!AB90</f>
        <v>66</v>
      </c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30"/>
      <c r="B91" s="49">
        <v>1.0</v>
      </c>
      <c r="C91" s="50" t="s">
        <v>78</v>
      </c>
      <c r="D91" s="59"/>
      <c r="E91" s="24">
        <f>BENCULUK!AS91+CLURING!AL91+KALIPLOSO!Q91+PLAMPANGREJO!AE91+SARIMULYO!AA91+SEMBULUNG!AC91+SRATEN!AB91+TAMANAGUNG!AH91+TAMPO!AB91</f>
        <v>40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30"/>
      <c r="B92" s="49">
        <v>2.0</v>
      </c>
      <c r="C92" s="50" t="s">
        <v>79</v>
      </c>
      <c r="D92" s="59"/>
      <c r="E92" s="24">
        <f>BENCULUK!AS92+CLURING!AL92+KALIPLOSO!Q92+PLAMPANGREJO!AE92+SARIMULYO!AA92+SEMBULUNG!AC92+SRATEN!AB92+TAMANAGUNG!AH92+TAMPO!AB92</f>
        <v>18</v>
      </c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39</v>
      </c>
      <c r="B93" s="49">
        <v>3.0</v>
      </c>
      <c r="C93" s="50" t="s">
        <v>80</v>
      </c>
      <c r="D93" s="59"/>
      <c r="E93" s="24">
        <f>BENCULUK!AS93+CLURING!AL93+KALIPLOSO!Q93+PLAMPANGREJO!AE93+SARIMULYO!AA93+SEMBULUNG!AC93+SRATEN!AB93+TAMANAGUNG!AH93+TAMPO!AB93</f>
        <v>24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9" t="s">
        <v>15</v>
      </c>
      <c r="B94" s="47" t="s">
        <v>46</v>
      </c>
      <c r="C94" s="15"/>
      <c r="D94" s="16"/>
      <c r="E94" s="56">
        <f>SUM(E90:E93)</f>
        <v>148</v>
      </c>
      <c r="F94" s="52"/>
      <c r="G94" s="53"/>
      <c r="H94" s="53"/>
      <c r="I94" s="53"/>
      <c r="J94" s="53"/>
      <c r="K94" s="53"/>
      <c r="L94" s="53"/>
      <c r="M94" s="53"/>
      <c r="N94" s="53"/>
      <c r="O94" s="53"/>
      <c r="P94" s="54"/>
      <c r="Q94" s="3"/>
      <c r="R94" s="3"/>
      <c r="S94" s="3"/>
      <c r="T94" s="3"/>
      <c r="U94" s="3"/>
      <c r="V94" s="3"/>
      <c r="W94" s="55"/>
      <c r="X94" s="3"/>
      <c r="Y94" s="3"/>
      <c r="Z94" s="3"/>
    </row>
    <row r="95" ht="15.75" customHeight="1">
      <c r="A95" s="57"/>
      <c r="B95" s="58"/>
      <c r="C95" s="58"/>
      <c r="D95" s="58"/>
      <c r="E95" s="58"/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30" t="s">
        <v>37</v>
      </c>
      <c r="B96" s="47" t="s">
        <v>81</v>
      </c>
      <c r="C96" s="48" t="s">
        <v>82</v>
      </c>
      <c r="D96" s="16"/>
      <c r="E96" s="24">
        <f>BENCULUK!AS96+CLURING!AL96+KALIPLOSO!Q96+PLAMPANGREJO!AE96+SARIMULYO!AA96+SEMBULUNG!AC96+SRATEN!AB96+TAMANAGUNG!AH96+TAMPO!AB96</f>
        <v>46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30" t="s">
        <v>39</v>
      </c>
      <c r="B97" s="49">
        <v>1.0</v>
      </c>
      <c r="C97" s="50" t="s">
        <v>83</v>
      </c>
      <c r="D97" s="51"/>
      <c r="E97" s="24">
        <f>BENCULUK!AS97+CLURING!AL97+KALIPLOSO!Q97+PLAMPANGREJO!AE97+SARIMULYO!AA97+SEMBULUNG!AC97+SRATEN!AB97+TAMANAGUNG!AH97+TAMPO!AB97</f>
        <v>16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30"/>
      <c r="B98" s="49">
        <v>2.0</v>
      </c>
      <c r="C98" s="50" t="s">
        <v>84</v>
      </c>
      <c r="D98" s="51"/>
      <c r="E98" s="24">
        <f>BENCULUK!AS98+CLURING!AL98+KALIPLOSO!Q98+PLAMPANGREJO!AE98+SARIMULYO!AA98+SEMBULUNG!AC98+SRATEN!AB98+TAMANAGUNG!AH98+TAMPO!AB98</f>
        <v>10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9" t="s">
        <v>15</v>
      </c>
      <c r="B99" s="47" t="s">
        <v>46</v>
      </c>
      <c r="C99" s="15"/>
      <c r="D99" s="16"/>
      <c r="E99" s="56">
        <f>SUM(E96:E98)</f>
        <v>72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57"/>
      <c r="B100" s="58"/>
      <c r="C100" s="58"/>
      <c r="D100" s="58"/>
      <c r="E100" s="58"/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30" t="s">
        <v>37</v>
      </c>
      <c r="B101" s="47" t="s">
        <v>85</v>
      </c>
      <c r="C101" s="48" t="s">
        <v>86</v>
      </c>
      <c r="D101" s="16"/>
      <c r="E101" s="24">
        <f>BENCULUK!AS101+CLURING!AL101+KALIPLOSO!Q101+PLAMPANGREJO!AE101+SARIMULYO!AA101+SEMBULUNG!AC101+SRATEN!AB101+TAMANAGUNG!AH101+TAMPO!AB101</f>
        <v>98</v>
      </c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30" t="s">
        <v>39</v>
      </c>
      <c r="B102" s="49">
        <v>1.0</v>
      </c>
      <c r="C102" s="50" t="s">
        <v>87</v>
      </c>
      <c r="D102" s="51"/>
      <c r="E102" s="24">
        <f>BENCULUK!AS102+CLURING!AL102+KALIPLOSO!Q102+PLAMPANGREJO!AE102+SARIMULYO!AA102+SEMBULUNG!AC102+SRATEN!AB102+TAMANAGUNG!AH102+TAMPO!AB102</f>
        <v>215</v>
      </c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8"/>
      <c r="B103" s="49">
        <v>2.0</v>
      </c>
      <c r="C103" s="50" t="s">
        <v>88</v>
      </c>
      <c r="D103" s="51"/>
      <c r="E103" s="24">
        <f>BENCULUK!AS103+CLURING!AL103+KALIPLOSO!Q103+PLAMPANGREJO!AE103+SARIMULYO!AA103+SEMBULUNG!AC103+SRATEN!AB103+TAMANAGUNG!AH103+TAMPO!AB103</f>
        <v>31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18"/>
      <c r="B104" s="49">
        <v>3.0</v>
      </c>
      <c r="C104" s="50" t="s">
        <v>89</v>
      </c>
      <c r="D104" s="51"/>
      <c r="E104" s="24">
        <f>BENCULUK!AS104+CLURING!AL104+KALIPLOSO!Q104+PLAMPANGREJO!AE104+SARIMULYO!AA104+SEMBULUNG!AC104+SRATEN!AB104+TAMANAGUNG!AH104+TAMPO!AB104</f>
        <v>24</v>
      </c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18"/>
      <c r="B105" s="49">
        <v>4.0</v>
      </c>
      <c r="C105" s="50" t="s">
        <v>90</v>
      </c>
      <c r="D105" s="51"/>
      <c r="E105" s="24">
        <f>BENCULUK!AS105+CLURING!AL105+KALIPLOSO!Q105+PLAMPANGREJO!AE105+SARIMULYO!AA105+SEMBULUNG!AC105+SRATEN!AB105+TAMANAGUNG!AH105+TAMPO!AB105</f>
        <v>10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8"/>
      <c r="B106" s="49">
        <v>5.0</v>
      </c>
      <c r="C106" s="50" t="s">
        <v>91</v>
      </c>
      <c r="D106" s="51"/>
      <c r="E106" s="24">
        <f>BENCULUK!AS106+CLURING!AL106+KALIPLOSO!Q106+PLAMPANGREJO!AE106+SARIMULYO!AA106+SEMBULUNG!AC106+SRATEN!AB106+TAMANAGUNG!AH106+TAMPO!AB106</f>
        <v>2</v>
      </c>
      <c r="F106" s="52"/>
      <c r="G106" s="53"/>
      <c r="H106" s="53"/>
      <c r="I106" s="53"/>
      <c r="J106" s="53"/>
      <c r="K106" s="53"/>
      <c r="L106" s="53"/>
      <c r="M106" s="53"/>
      <c r="N106" s="53"/>
      <c r="O106" s="53"/>
      <c r="P106" s="54"/>
      <c r="Q106" s="3"/>
      <c r="R106" s="3"/>
      <c r="S106" s="3"/>
      <c r="T106" s="3"/>
      <c r="U106" s="3"/>
      <c r="V106" s="3"/>
      <c r="W106" s="55"/>
      <c r="X106" s="3"/>
      <c r="Y106" s="3"/>
      <c r="Z106" s="3"/>
    </row>
    <row r="107" ht="15.75" customHeight="1">
      <c r="A107" s="18"/>
      <c r="B107" s="49">
        <v>6.0</v>
      </c>
      <c r="C107" s="50" t="s">
        <v>92</v>
      </c>
      <c r="D107" s="51"/>
      <c r="E107" s="24">
        <f>BENCULUK!AS107+CLURING!AL107+KALIPLOSO!Q107+PLAMPANGREJO!AE107+SARIMULYO!AA107+SEMBULUNG!AC107+SRATEN!AB107+TAMANAGUNG!AH107+TAMPO!AB107</f>
        <v>4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9" t="s">
        <v>15</v>
      </c>
      <c r="B108" s="47" t="s">
        <v>46</v>
      </c>
      <c r="C108" s="15"/>
      <c r="D108" s="16"/>
      <c r="E108" s="56">
        <f>SUM(E101:E107)</f>
        <v>384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57"/>
      <c r="B109" s="58"/>
      <c r="C109" s="58"/>
      <c r="D109" s="58"/>
      <c r="E109" s="58"/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30" t="s">
        <v>37</v>
      </c>
      <c r="B110" s="47" t="s">
        <v>93</v>
      </c>
      <c r="C110" s="48" t="s">
        <v>94</v>
      </c>
      <c r="D110" s="16"/>
      <c r="E110" s="24">
        <f>BENCULUK!AS110+CLURING!AL110+KALIPLOSO!Q110+PLAMPANGREJO!AE110+SARIMULYO!AA110+SEMBULUNG!AC110+SRATEN!AB110+TAMANAGUNG!AH110+TAMPO!AB110</f>
        <v>10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30"/>
      <c r="B111" s="47">
        <v>1.0</v>
      </c>
      <c r="C111" s="50" t="s">
        <v>95</v>
      </c>
      <c r="D111" s="59"/>
      <c r="E111" s="24">
        <f>BENCULUK!AS111+CLURING!AL111+KALIPLOSO!Q111+PLAMPANGREJO!AE111+SARIMULYO!AA111+SEMBULUNG!AC111+SRATEN!AB111+TAMANAGUNG!AH111+TAMPO!AB111</f>
        <v>5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30"/>
      <c r="B112" s="47">
        <v>2.0</v>
      </c>
      <c r="C112" s="50" t="s">
        <v>96</v>
      </c>
      <c r="D112" s="59"/>
      <c r="E112" s="24">
        <f>BENCULUK!AS112+CLURING!AL112+KALIPLOSO!Q112+PLAMPANGREJO!AE112+SARIMULYO!AA112+SEMBULUNG!AC112+SRATEN!AB112+TAMANAGUNG!AH112+TAMPO!AB112</f>
        <v>4</v>
      </c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0"/>
      <c r="B113" s="47">
        <v>3.0</v>
      </c>
      <c r="C113" s="50" t="s">
        <v>97</v>
      </c>
      <c r="D113" s="59"/>
      <c r="E113" s="24">
        <f>BENCULUK!AS113+CLURING!AL113+KALIPLOSO!Q113+PLAMPANGREJO!AE113+SARIMULYO!AA113+SEMBULUNG!AC113+SRATEN!AB113+TAMANAGUNG!AH113+TAMPO!AB113</f>
        <v>2</v>
      </c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0" t="s">
        <v>39</v>
      </c>
      <c r="B114" s="49">
        <v>4.0</v>
      </c>
      <c r="C114" s="50" t="s">
        <v>98</v>
      </c>
      <c r="D114" s="51"/>
      <c r="E114" s="24">
        <f>BENCULUK!AS114+CLURING!AL114+KALIPLOSO!Q114+PLAMPANGREJO!AE114+SARIMULYO!AA114+SEMBULUNG!AC114+SRATEN!AB114+TAMANAGUNG!AH114+TAMPO!AB114</f>
        <v>1</v>
      </c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46</v>
      </c>
      <c r="C115" s="15"/>
      <c r="D115" s="16"/>
      <c r="E115" s="56">
        <f>SUM(E110:E114)</f>
        <v>22</v>
      </c>
      <c r="F115" s="52"/>
      <c r="G115" s="53"/>
      <c r="H115" s="53"/>
      <c r="I115" s="53"/>
      <c r="J115" s="53"/>
      <c r="K115" s="53"/>
      <c r="L115" s="53"/>
      <c r="M115" s="53"/>
      <c r="N115" s="53"/>
      <c r="O115" s="53"/>
      <c r="P115" s="54"/>
      <c r="Q115" s="3"/>
      <c r="R115" s="3"/>
      <c r="S115" s="3"/>
      <c r="T115" s="3"/>
      <c r="U115" s="3"/>
      <c r="V115" s="3"/>
      <c r="W115" s="55"/>
      <c r="X115" s="3"/>
      <c r="Y115" s="3"/>
      <c r="Z115" s="3"/>
    </row>
    <row r="116" ht="15.75" customHeight="1">
      <c r="A116" s="57"/>
      <c r="B116" s="58"/>
      <c r="C116" s="58"/>
      <c r="D116" s="58"/>
      <c r="E116" s="58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99</v>
      </c>
      <c r="C117" s="48" t="s">
        <v>100</v>
      </c>
      <c r="D117" s="16"/>
      <c r="E117" s="24">
        <f>BENCULUK!AS117+CLURING!AL117+KALIPLOSO!Q117+PLAMPANGREJO!AE117+SARIMULYO!AA117+SEMBULUNG!AC117+SRATEN!AB117+TAMANAGUNG!AH117+TAMPO!AB117</f>
        <v>23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49">
        <v>1.0</v>
      </c>
      <c r="C118" s="50" t="s">
        <v>101</v>
      </c>
      <c r="D118" s="51"/>
      <c r="E118" s="24">
        <f>BENCULUK!AS118+CLURING!AL118+KALIPLOSO!Q118+PLAMPANGREJO!AE118+SARIMULYO!AA118+SEMBULUNG!AC118+SRATEN!AB118+TAMANAGUNG!AH118+TAMPO!AB118</f>
        <v>18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49">
        <v>2.0</v>
      </c>
      <c r="C119" s="50" t="s">
        <v>102</v>
      </c>
      <c r="D119" s="51"/>
      <c r="E119" s="24">
        <f>BENCULUK!AS119+CLURING!AL119+KALIPLOSO!Q119+PLAMPANGREJO!AE119+SARIMULYO!AA119+SEMBULUNG!AC119+SRATEN!AB119+TAMANAGUNG!AH119+TAMPO!AB119</f>
        <v>19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49">
        <v>3.0</v>
      </c>
      <c r="C120" s="50" t="s">
        <v>103</v>
      </c>
      <c r="D120" s="51"/>
      <c r="E120" s="24">
        <f>BENCULUK!AS120+CLURING!AL120+KALIPLOSO!Q120+PLAMPANGREJO!AE120+SARIMULYO!AA120+SEMBULUNG!AC120+SRATEN!AB120+TAMANAGUNG!AH120+TAMPO!AB120</f>
        <v>4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49">
        <v>4.0</v>
      </c>
      <c r="C121" s="50" t="s">
        <v>104</v>
      </c>
      <c r="D121" s="51"/>
      <c r="E121" s="24">
        <f>BENCULUK!AS121+CLURING!AL121+KALIPLOSO!Q121+PLAMPANGREJO!AE121+SARIMULYO!AA121+SEMBULUNG!AC121+SRATEN!AB121+TAMANAGUNG!AH121+TAMPO!AB121</f>
        <v>4</v>
      </c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49">
        <v>5.0</v>
      </c>
      <c r="C122" s="50" t="s">
        <v>105</v>
      </c>
      <c r="D122" s="51"/>
      <c r="E122" s="24">
        <f>BENCULUK!AS122+CLURING!AL122+KALIPLOSO!Q122+PLAMPANGREJO!AE122+SARIMULYO!AA122+SEMBULUNG!AC122+SRATEN!AB122+TAMANAGUNG!AH122+TAMPO!AB122</f>
        <v>7</v>
      </c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49">
        <v>6.0</v>
      </c>
      <c r="C123" s="50" t="s">
        <v>106</v>
      </c>
      <c r="D123" s="51"/>
      <c r="E123" s="24">
        <f>BENCULUK!AS123+CLURING!AL123+KALIPLOSO!Q123+PLAMPANGREJO!AE123+SARIMULYO!AA123+SEMBULUNG!AC123+SRATEN!AB123+TAMANAGUNG!AH123+TAMPO!AB123</f>
        <v>43</v>
      </c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9" t="s">
        <v>15</v>
      </c>
      <c r="B124" s="47" t="s">
        <v>46</v>
      </c>
      <c r="C124" s="15"/>
      <c r="D124" s="16"/>
      <c r="E124" s="56">
        <f>SUM(E117:E123)</f>
        <v>118</v>
      </c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57"/>
      <c r="B125" s="58"/>
      <c r="C125" s="58"/>
      <c r="D125" s="58"/>
      <c r="E125" s="58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30" t="s">
        <v>37</v>
      </c>
      <c r="B126" s="47" t="s">
        <v>107</v>
      </c>
      <c r="C126" s="48" t="s">
        <v>108</v>
      </c>
      <c r="D126" s="16"/>
      <c r="E126" s="24">
        <f>BENCULUK!AS126+CLURING!AL126+KALIPLOSO!Q126+PLAMPANGREJO!AE126+SARIMULYO!AA126+SEMBULUNG!AC126+SRATEN!AB126+TAMANAGUNG!AH126+TAMPO!AB126</f>
        <v>36</v>
      </c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30" t="s">
        <v>39</v>
      </c>
      <c r="B127" s="49"/>
      <c r="C127" s="50"/>
      <c r="D127" s="51"/>
      <c r="E127" s="40"/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19" t="s">
        <v>15</v>
      </c>
      <c r="B128" s="47" t="s">
        <v>46</v>
      </c>
      <c r="C128" s="15"/>
      <c r="D128" s="16"/>
      <c r="E128" s="56">
        <f>SUM(E126:E127)</f>
        <v>36</v>
      </c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57"/>
      <c r="B129" s="58"/>
      <c r="C129" s="58"/>
      <c r="D129" s="58"/>
      <c r="E129" s="58"/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37</v>
      </c>
      <c r="B130" s="47" t="s">
        <v>109</v>
      </c>
      <c r="C130" s="48" t="s">
        <v>110</v>
      </c>
      <c r="D130" s="16"/>
      <c r="E130" s="24">
        <f>BENCULUK!AS130+CLURING!AL130+KALIPLOSO!Q130+PLAMPANGREJO!AE130+SARIMULYO!AA130+SEMBULUNG!AC130+SRATEN!AB130+TAMANAGUNG!AH130+TAMPO!AB130</f>
        <v>96</v>
      </c>
      <c r="F130" s="52"/>
      <c r="G130" s="53"/>
      <c r="H130" s="53"/>
      <c r="I130" s="53"/>
      <c r="J130" s="53"/>
      <c r="K130" s="53"/>
      <c r="L130" s="53"/>
      <c r="M130" s="53"/>
      <c r="N130" s="53"/>
      <c r="O130" s="53"/>
      <c r="P130" s="54"/>
      <c r="Q130" s="3"/>
      <c r="R130" s="3"/>
      <c r="S130" s="3"/>
      <c r="T130" s="3"/>
      <c r="U130" s="3"/>
      <c r="V130" s="3"/>
      <c r="W130" s="55"/>
      <c r="X130" s="3"/>
      <c r="Y130" s="3"/>
      <c r="Z130" s="3"/>
    </row>
    <row r="131" ht="15.75" customHeight="1">
      <c r="A131" s="30" t="s">
        <v>39</v>
      </c>
      <c r="B131" s="49">
        <v>1.0</v>
      </c>
      <c r="C131" s="50" t="s">
        <v>111</v>
      </c>
      <c r="D131" s="51"/>
      <c r="E131" s="24">
        <f>BENCULUK!AS131+CLURING!AL131+KALIPLOSO!Q131+PLAMPANGREJO!AE131+SARIMULYO!AA131+SEMBULUNG!AC131+SRATEN!AB131+TAMANAGUNG!AH131+TAMPO!AB131</f>
        <v>145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49">
        <v>2.0</v>
      </c>
      <c r="C132" s="50" t="s">
        <v>112</v>
      </c>
      <c r="D132" s="51"/>
      <c r="E132" s="24">
        <f>BENCULUK!AS132+CLURING!AL132+KALIPLOSO!Q132+PLAMPANGREJO!AE132+SARIMULYO!AA132+SEMBULUNG!AC132+SRATEN!AB132+TAMANAGUNG!AH132+TAMPO!AB132</f>
        <v>40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49">
        <v>3.0</v>
      </c>
      <c r="C133" s="50" t="s">
        <v>113</v>
      </c>
      <c r="D133" s="51"/>
      <c r="E133" s="24">
        <f>BENCULUK!AS133+CLURING!AL133+KALIPLOSO!Q133+PLAMPANGREJO!AE133+SARIMULYO!AA133+SEMBULUNG!AC133+SRATEN!AB133+TAMANAGUNG!AH133+TAMPO!AB133</f>
        <v>29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49">
        <v>4.0</v>
      </c>
      <c r="C134" s="50" t="s">
        <v>114</v>
      </c>
      <c r="D134" s="51"/>
      <c r="E134" s="24">
        <f>BENCULUK!AS134+CLURING!AL134+KALIPLOSO!Q134+PLAMPANGREJO!AE134+SARIMULYO!AA134+SEMBULUNG!AC134+SRATEN!AB134+TAMANAGUNG!AH134+TAMPO!AB134</f>
        <v>9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9" t="s">
        <v>15</v>
      </c>
      <c r="B135" s="47" t="s">
        <v>46</v>
      </c>
      <c r="C135" s="15"/>
      <c r="D135" s="16"/>
      <c r="E135" s="56">
        <f>SUM(E130:E134)</f>
        <v>319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57"/>
      <c r="B136" s="58"/>
      <c r="C136" s="58"/>
      <c r="D136" s="58"/>
      <c r="E136" s="58"/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30" t="s">
        <v>37</v>
      </c>
      <c r="B137" s="47" t="s">
        <v>115</v>
      </c>
      <c r="C137" s="48" t="s">
        <v>116</v>
      </c>
      <c r="D137" s="16"/>
      <c r="E137" s="24">
        <f>BENCULUK!AS137+CLURING!AL137+KALIPLOSO!Q137+PLAMPANGREJO!AE137+SARIMULYO!AA137+SEMBULUNG!AC137+SRATEN!AB137+TAMANAGUNG!AH137+TAMPO!AB137</f>
        <v>16</v>
      </c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30" t="s">
        <v>39</v>
      </c>
      <c r="B138" s="49">
        <v>1.0</v>
      </c>
      <c r="C138" s="50" t="s">
        <v>117</v>
      </c>
      <c r="D138" s="51"/>
      <c r="E138" s="24">
        <f>BENCULUK!AS138+CLURING!AL138+KALIPLOSO!Q138+PLAMPANGREJO!AE138+SARIMULYO!AA138+SEMBULUNG!AC138+SRATEN!AB138+TAMANAGUNG!AH138+TAMPO!AB138</f>
        <v>11</v>
      </c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8"/>
      <c r="B139" s="49">
        <v>2.0</v>
      </c>
      <c r="C139" s="50" t="s">
        <v>118</v>
      </c>
      <c r="D139" s="51"/>
      <c r="E139" s="24">
        <f>BENCULUK!AS139+CLURING!AL139+KALIPLOSO!Q139+PLAMPANGREJO!AE139+SARIMULYO!AA139+SEMBULUNG!AC139+SRATEN!AB139+TAMANAGUNG!AH139+TAMPO!AB139</f>
        <v>22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18"/>
      <c r="B140" s="49">
        <v>3.0</v>
      </c>
      <c r="C140" s="50" t="s">
        <v>119</v>
      </c>
      <c r="D140" s="51"/>
      <c r="E140" s="24">
        <f>BENCULUK!AS140+CLURING!AL140+KALIPLOSO!Q140+PLAMPANGREJO!AE140+SARIMULYO!AA140+SEMBULUNG!AC140+SRATEN!AB140+TAMANAGUNG!AH140+TAMPO!AB140</f>
        <v>3</v>
      </c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18"/>
      <c r="B141" s="49">
        <v>4.0</v>
      </c>
      <c r="C141" s="50" t="s">
        <v>120</v>
      </c>
      <c r="D141" s="51"/>
      <c r="E141" s="24">
        <f>BENCULUK!AS141+CLURING!AL141+KALIPLOSO!Q141+PLAMPANGREJO!AE141+SARIMULYO!AA141+SEMBULUNG!AC141+SRATEN!AB141+TAMANAGUNG!AH141+TAMPO!AB141</f>
        <v>3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8"/>
      <c r="B142" s="49">
        <v>5.0</v>
      </c>
      <c r="C142" s="50" t="s">
        <v>121</v>
      </c>
      <c r="D142" s="51"/>
      <c r="E142" s="24">
        <f>BENCULUK!AS142+CLURING!AL142+KALIPLOSO!Q142+PLAMPANGREJO!AE142+SARIMULYO!AA142+SEMBULUNG!AC142+SRATEN!AB142+TAMANAGUNG!AH142+TAMPO!AB142</f>
        <v>1</v>
      </c>
      <c r="F142" s="52"/>
      <c r="G142" s="53"/>
      <c r="H142" s="53"/>
      <c r="I142" s="53"/>
      <c r="J142" s="53"/>
      <c r="K142" s="53"/>
      <c r="L142" s="53"/>
      <c r="M142" s="53"/>
      <c r="N142" s="53"/>
      <c r="O142" s="53"/>
      <c r="P142" s="54"/>
      <c r="Q142" s="3"/>
      <c r="R142" s="3"/>
      <c r="S142" s="3"/>
      <c r="T142" s="3"/>
      <c r="U142" s="3"/>
      <c r="V142" s="3"/>
      <c r="W142" s="55"/>
      <c r="X142" s="3"/>
      <c r="Y142" s="3"/>
      <c r="Z142" s="3"/>
    </row>
    <row r="143" ht="15.75" customHeight="1">
      <c r="A143" s="18"/>
      <c r="B143" s="49">
        <v>6.0</v>
      </c>
      <c r="C143" s="50" t="s">
        <v>122</v>
      </c>
      <c r="D143" s="51"/>
      <c r="E143" s="24">
        <f>BENCULUK!AS143+CLURING!AL143+KALIPLOSO!Q143+PLAMPANGREJO!AE143+SARIMULYO!AA143+SEMBULUNG!AC143+SRATEN!AB143+TAMANAGUNG!AH143+TAMPO!AB143</f>
        <v>3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9" t="s">
        <v>15</v>
      </c>
      <c r="B144" s="47" t="s">
        <v>46</v>
      </c>
      <c r="C144" s="15"/>
      <c r="D144" s="16"/>
      <c r="E144" s="56">
        <f>SUM(E137:E143)</f>
        <v>59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57"/>
      <c r="B145" s="58"/>
      <c r="C145" s="58"/>
      <c r="D145" s="58"/>
      <c r="E145" s="58"/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30" t="s">
        <v>37</v>
      </c>
      <c r="B146" s="47" t="s">
        <v>123</v>
      </c>
      <c r="C146" s="48" t="s">
        <v>124</v>
      </c>
      <c r="D146" s="16"/>
      <c r="E146" s="24">
        <f>BENCULUK!AS146+CLURING!AL146+KALIPLOSO!Q146+PLAMPANGREJO!AE146+SARIMULYO!AA146+SEMBULUNG!AC146+SRATEN!AB146+TAMANAGUNG!AH146+TAMPO!AB146</f>
        <v>483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30" t="s">
        <v>39</v>
      </c>
      <c r="B147" s="49">
        <v>1.0</v>
      </c>
      <c r="C147" s="50" t="s">
        <v>125</v>
      </c>
      <c r="D147" s="51"/>
      <c r="E147" s="24">
        <f>BENCULUK!AS147+CLURING!AL147+KALIPLOSO!Q147+PLAMPANGREJO!AE147+SARIMULYO!AA147+SEMBULUNG!AC147+SRATEN!AB147+TAMANAGUNG!AH147+TAMPO!AB147</f>
        <v>1689</v>
      </c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49">
        <v>2.0</v>
      </c>
      <c r="C148" s="50" t="s">
        <v>126</v>
      </c>
      <c r="D148" s="51"/>
      <c r="E148" s="24">
        <f>BENCULUK!AS148+CLURING!AL148+KALIPLOSO!Q148+PLAMPANGREJO!AE148+SARIMULYO!AA148+SEMBULUNG!AC148+SRATEN!AB148+TAMANAGUNG!AH148+TAMPO!AB148</f>
        <v>214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49">
        <v>3.0</v>
      </c>
      <c r="C149" s="50" t="s">
        <v>127</v>
      </c>
      <c r="D149" s="51"/>
      <c r="E149" s="24">
        <f>BENCULUK!AS149+CLURING!AL149+KALIPLOSO!Q149+PLAMPANGREJO!AE149+SARIMULYO!AA149+SEMBULUNG!AC149+SRATEN!AB149+TAMANAGUNG!AH149+TAMPO!AB149</f>
        <v>1138</v>
      </c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49">
        <v>4.0</v>
      </c>
      <c r="C150" s="50" t="s">
        <v>128</v>
      </c>
      <c r="D150" s="51"/>
      <c r="E150" s="24">
        <f>BENCULUK!AS150+CLURING!AL150+KALIPLOSO!Q150+PLAMPANGREJO!AE150+SARIMULYO!AA150+SEMBULUNG!AC150+SRATEN!AB150+TAMANAGUNG!AH150+TAMPO!AB150</f>
        <v>37</v>
      </c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8"/>
      <c r="B151" s="49">
        <v>5.0</v>
      </c>
      <c r="C151" s="50" t="s">
        <v>129</v>
      </c>
      <c r="D151" s="51"/>
      <c r="E151" s="24">
        <f>BENCULUK!AS151+CLURING!AL151+KALIPLOSO!Q151+PLAMPANGREJO!AE151+SARIMULYO!AA151+SEMBULUNG!AC151+SRATEN!AB151+TAMANAGUNG!AH151+TAMPO!AB151</f>
        <v>16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18"/>
      <c r="B152" s="49">
        <v>6.0</v>
      </c>
      <c r="C152" s="50" t="s">
        <v>130</v>
      </c>
      <c r="D152" s="51"/>
      <c r="E152" s="24">
        <f>BENCULUK!AS152+CLURING!AL152+KALIPLOSO!Q152+PLAMPANGREJO!AE152+SARIMULYO!AA152+SEMBULUNG!AC152+SRATEN!AB152+TAMANAGUNG!AH152+TAMPO!AB152</f>
        <v>575</v>
      </c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9" t="s">
        <v>15</v>
      </c>
      <c r="B153" s="47" t="s">
        <v>46</v>
      </c>
      <c r="C153" s="15"/>
      <c r="D153" s="16"/>
      <c r="E153" s="56">
        <f>SUM(E146:E152)</f>
        <v>4152</v>
      </c>
      <c r="F153" s="52"/>
      <c r="G153" s="53"/>
      <c r="H153" s="53"/>
      <c r="I153" s="53"/>
      <c r="J153" s="53"/>
      <c r="K153" s="53"/>
      <c r="L153" s="53"/>
      <c r="M153" s="53"/>
      <c r="N153" s="53"/>
      <c r="O153" s="53"/>
      <c r="P153" s="54"/>
      <c r="Q153" s="3"/>
      <c r="R153" s="3"/>
      <c r="S153" s="3"/>
      <c r="T153" s="3"/>
      <c r="U153" s="3"/>
      <c r="V153" s="3"/>
      <c r="W153" s="55"/>
      <c r="X153" s="3"/>
      <c r="Y153" s="3"/>
      <c r="Z153" s="3"/>
    </row>
    <row r="154" ht="15.75" customHeight="1">
      <c r="A154" s="57"/>
      <c r="B154" s="58"/>
      <c r="C154" s="58"/>
      <c r="D154" s="58"/>
      <c r="E154" s="58"/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30" t="s">
        <v>37</v>
      </c>
      <c r="B155" s="47" t="s">
        <v>131</v>
      </c>
      <c r="C155" s="48" t="s">
        <v>132</v>
      </c>
      <c r="D155" s="16"/>
      <c r="E155" s="24">
        <f>BENCULUK!AS155+CLURING!AL155+KALIPLOSO!Q155+PLAMPANGREJO!AE155+SARIMULYO!AA155+SEMBULUNG!AC155+SRATEN!AB155+TAMANAGUNG!AH155+TAMPO!AB155</f>
        <v>158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30" t="s">
        <v>39</v>
      </c>
      <c r="B156" s="49"/>
      <c r="C156" s="50" t="s">
        <v>133</v>
      </c>
      <c r="D156" s="51"/>
      <c r="E156" s="40"/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9" t="s">
        <v>15</v>
      </c>
      <c r="B157" s="47" t="s">
        <v>46</v>
      </c>
      <c r="C157" s="15"/>
      <c r="D157" s="16"/>
      <c r="E157" s="56">
        <f>SUM(E155:E156)</f>
        <v>158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57"/>
      <c r="B158" s="58"/>
      <c r="C158" s="58"/>
      <c r="D158" s="58"/>
      <c r="E158" s="58"/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30" t="s">
        <v>37</v>
      </c>
      <c r="B159" s="47" t="s">
        <v>134</v>
      </c>
      <c r="C159" s="48" t="s">
        <v>135</v>
      </c>
      <c r="D159" s="16"/>
      <c r="E159" s="24">
        <f>BENCULUK!AS159+CLURING!AL159+KALIPLOSO!Q159+PLAMPANGREJO!AE159+SARIMULYO!AA159+SEMBULUNG!AC159+SRATEN!AB159+TAMANAGUNG!AH159+TAMPO!AB159</f>
        <v>31</v>
      </c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30"/>
      <c r="B160" s="49">
        <v>1.0</v>
      </c>
      <c r="C160" s="50" t="s">
        <v>136</v>
      </c>
      <c r="D160" s="59"/>
      <c r="E160" s="24">
        <f>BENCULUK!AS160+CLURING!AL160+KALIPLOSO!Q160+PLAMPANGREJO!AE160+SARIMULYO!AA160+SEMBULUNG!AC160+SRATEN!AB160+TAMANAGUNG!AH160+TAMPO!AB160</f>
        <v>22</v>
      </c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30"/>
      <c r="B161" s="49">
        <v>2.0</v>
      </c>
      <c r="C161" s="50" t="s">
        <v>137</v>
      </c>
      <c r="D161" s="59"/>
      <c r="E161" s="24">
        <f>BENCULUK!AS161+CLURING!AL161+KALIPLOSO!Q161+PLAMPANGREJO!AE161+SARIMULYO!AA161+SEMBULUNG!AC161+SRATEN!AB161+TAMANAGUNG!AH161+TAMPO!AB161</f>
        <v>106</v>
      </c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30" t="s">
        <v>39</v>
      </c>
      <c r="B162" s="49">
        <v>3.0</v>
      </c>
      <c r="C162" s="50" t="s">
        <v>138</v>
      </c>
      <c r="D162" s="59"/>
      <c r="E162" s="24">
        <f>BENCULUK!AS162+CLURING!AL162+KALIPLOSO!Q162+PLAMPANGREJO!AE162+SARIMULYO!AA162+SEMBULUNG!AC162+SRATEN!AB162+TAMANAGUNG!AH162+TAMPO!AB162</f>
        <v>12</v>
      </c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47" t="s">
        <v>46</v>
      </c>
      <c r="C163" s="15"/>
      <c r="D163" s="16"/>
      <c r="E163" s="56">
        <f>SUM(E159:E162)</f>
        <v>171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57"/>
      <c r="B164" s="58"/>
      <c r="C164" s="58"/>
      <c r="D164" s="58"/>
      <c r="E164" s="58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139</v>
      </c>
      <c r="C165" s="48" t="s">
        <v>140</v>
      </c>
      <c r="D165" s="16"/>
      <c r="E165" s="24">
        <f>BENCULUK!AS165+CLURING!AL165+KALIPLOSO!Q165+PLAMPANGREJO!AE165+SARIMULYO!AA165+SEMBULUNG!AC165+SRATEN!AB165+TAMANAGUNG!AH165+TAMPO!AB165</f>
        <v>384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49">
        <v>1.0</v>
      </c>
      <c r="C166" s="50" t="s">
        <v>141</v>
      </c>
      <c r="D166" s="51"/>
      <c r="E166" s="24">
        <f>BENCULUK!AS166+CLURING!AL166+KALIPLOSO!Q166+PLAMPANGREJO!AE166+SARIMULYO!AA166+SEMBULUNG!AC166+SRATEN!AB166+TAMANAGUNG!AH166+TAMPO!AB166</f>
        <v>1220</v>
      </c>
      <c r="F166" s="52"/>
      <c r="G166" s="53"/>
      <c r="H166" s="53"/>
      <c r="I166" s="53"/>
      <c r="J166" s="53"/>
      <c r="K166" s="53"/>
      <c r="L166" s="53"/>
      <c r="M166" s="53"/>
      <c r="N166" s="53"/>
      <c r="O166" s="53"/>
      <c r="P166" s="54"/>
      <c r="Q166" s="3"/>
      <c r="R166" s="3"/>
      <c r="S166" s="3"/>
      <c r="T166" s="3"/>
      <c r="U166" s="3"/>
      <c r="V166" s="3"/>
      <c r="W166" s="55"/>
      <c r="X166" s="3"/>
      <c r="Y166" s="3"/>
      <c r="Z166" s="3"/>
    </row>
    <row r="167" ht="15.75" customHeight="1">
      <c r="A167" s="18"/>
      <c r="B167" s="49">
        <v>2.0</v>
      </c>
      <c r="C167" s="50" t="s">
        <v>142</v>
      </c>
      <c r="D167" s="51"/>
      <c r="E167" s="24">
        <f>BENCULUK!AS167+CLURING!AL167+KALIPLOSO!Q167+PLAMPANGREJO!AE167+SARIMULYO!AA167+SEMBULUNG!AC167+SRATEN!AB167+TAMANAGUNG!AH167+TAMPO!AB167</f>
        <v>4058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49">
        <v>3.0</v>
      </c>
      <c r="C168" s="50" t="s">
        <v>143</v>
      </c>
      <c r="D168" s="51"/>
      <c r="E168" s="24">
        <f>BENCULUK!AS168+CLURING!AL168+KALIPLOSO!Q168+PLAMPANGREJO!AE168+SARIMULYO!AA168+SEMBULUNG!AC168+SRATEN!AB168+TAMANAGUNG!AH168+TAMPO!AB168</f>
        <v>41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49">
        <v>4.0</v>
      </c>
      <c r="C169" s="50" t="s">
        <v>144</v>
      </c>
      <c r="D169" s="51"/>
      <c r="E169" s="24">
        <f>BENCULUK!AS169+CLURING!AL169+KALIPLOSO!Q169+PLAMPANGREJO!AE169+SARIMULYO!AA169+SEMBULUNG!AC169+SRATEN!AB169+TAMANAGUNG!AH169+TAMPO!AB169</f>
        <v>13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49">
        <v>5.0</v>
      </c>
      <c r="C170" s="50" t="s">
        <v>145</v>
      </c>
      <c r="D170" s="51"/>
      <c r="E170" s="24">
        <f>BENCULUK!AS170+CLURING!AL170+KALIPLOSO!Q170+PLAMPANGREJO!AE170+SARIMULYO!AA170+SEMBULUNG!AC170+SRATEN!AB170+TAMANAGUNG!AH170+TAMPO!AB170</f>
        <v>46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49">
        <v>6.0</v>
      </c>
      <c r="C171" s="50" t="s">
        <v>146</v>
      </c>
      <c r="D171" s="51"/>
      <c r="E171" s="24">
        <f>BENCULUK!AS171+CLURING!AL171+KALIPLOSO!Q171+PLAMPANGREJO!AE171+SARIMULYO!AA171+SEMBULUNG!AC171+SRATEN!AB171+TAMANAGUNG!AH171+TAMPO!AB171</f>
        <v>43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9" t="s">
        <v>15</v>
      </c>
      <c r="B172" s="47" t="s">
        <v>46</v>
      </c>
      <c r="C172" s="15"/>
      <c r="D172" s="16"/>
      <c r="E172" s="56">
        <f>SUM(E165:E171)</f>
        <v>5805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57"/>
      <c r="B173" s="58"/>
      <c r="C173" s="58"/>
      <c r="D173" s="58"/>
      <c r="E173" s="58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30" t="s">
        <v>37</v>
      </c>
      <c r="B174" s="47" t="s">
        <v>147</v>
      </c>
      <c r="C174" s="48" t="s">
        <v>148</v>
      </c>
      <c r="D174" s="16"/>
      <c r="E174" s="24">
        <f>BENCULUK!AS174+CLURING!AL174+KALIPLOSO!Q174+PLAMPANGREJO!AE174+SARIMULYO!AA174+SEMBULUNG!AC174+SRATEN!AB174+TAMANAGUNG!AH174+TAMPO!AB174</f>
        <v>43</v>
      </c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30"/>
      <c r="B175" s="49">
        <v>1.0</v>
      </c>
      <c r="C175" s="50" t="s">
        <v>149</v>
      </c>
      <c r="D175" s="59"/>
      <c r="E175" s="24">
        <f>BENCULUK!AS175+CLURING!AL175+KALIPLOSO!Q175+PLAMPANGREJO!AE175+SARIMULYO!AA175+SEMBULUNG!AC175+SRATEN!AB175+TAMANAGUNG!AH175+TAMPO!AB175</f>
        <v>125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30" t="s">
        <v>39</v>
      </c>
      <c r="B176" s="49">
        <v>2.0</v>
      </c>
      <c r="C176" s="50" t="s">
        <v>150</v>
      </c>
      <c r="D176" s="51"/>
      <c r="E176" s="24">
        <f>BENCULUK!AS176+CLURING!AL176+KALIPLOSO!Q176+PLAMPANGREJO!AE176+SARIMULYO!AA176+SEMBULUNG!AC176+SRATEN!AB176+TAMANAGUNG!AH176+TAMPO!AB176</f>
        <v>9</v>
      </c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19" t="s">
        <v>15</v>
      </c>
      <c r="B177" s="47" t="s">
        <v>46</v>
      </c>
      <c r="C177" s="15"/>
      <c r="D177" s="16"/>
      <c r="E177" s="56">
        <f>SUM(E174:E176)</f>
        <v>177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5"/>
      <c r="B178" s="44"/>
      <c r="C178" s="44"/>
      <c r="D178" s="28"/>
      <c r="E178" s="24"/>
      <c r="F178" s="52"/>
      <c r="G178" s="53"/>
      <c r="H178" s="53"/>
      <c r="I178" s="53"/>
      <c r="J178" s="53"/>
      <c r="K178" s="53"/>
      <c r="L178" s="53"/>
      <c r="M178" s="53"/>
      <c r="N178" s="53"/>
      <c r="O178" s="53"/>
      <c r="P178" s="54"/>
      <c r="Q178" s="3"/>
      <c r="R178" s="3"/>
      <c r="S178" s="3"/>
      <c r="T178" s="3"/>
      <c r="U178" s="3"/>
      <c r="V178" s="3"/>
      <c r="W178" s="55"/>
      <c r="X178" s="3"/>
      <c r="Y178" s="3"/>
      <c r="Z178" s="3"/>
    </row>
    <row r="179" ht="15.75" customHeight="1">
      <c r="A179" s="42" t="s">
        <v>151</v>
      </c>
      <c r="B179" s="14" t="s">
        <v>152</v>
      </c>
      <c r="C179" s="15"/>
      <c r="D179" s="16"/>
      <c r="E179" s="29"/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42"/>
      <c r="B180" s="60" t="s">
        <v>153</v>
      </c>
      <c r="C180" s="61" t="s">
        <v>154</v>
      </c>
      <c r="D180" s="16"/>
      <c r="E180" s="24">
        <f>BENCULUK!AS180+CLURING!AL180+KALIPLOSO!Q180+PLAMPANGREJO!AE180+SARIMULYO!AA180+SEMBULUNG!AC180+SRATEN!AB180+TAMANAGUNG!AH180+TAMPO!AB180</f>
        <v>45142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35"/>
      <c r="B181" s="60" t="s">
        <v>155</v>
      </c>
      <c r="C181" s="61" t="s">
        <v>156</v>
      </c>
      <c r="D181" s="16"/>
      <c r="E181" s="24">
        <f>BENCULUK!AS181+CLURING!AL181+KALIPLOSO!Q181+PLAMPANGREJO!AE181+SARIMULYO!AA181+SEMBULUNG!AC181+SRATEN!AB181+TAMANAGUNG!AH181+TAMPO!AB181</f>
        <v>2606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41"/>
      <c r="B182" s="60" t="s">
        <v>157</v>
      </c>
      <c r="C182" s="61" t="s">
        <v>158</v>
      </c>
      <c r="D182" s="16"/>
      <c r="E182" s="29">
        <f>SUM(E180:E181)</f>
        <v>47748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5"/>
      <c r="B183" s="62"/>
      <c r="C183" s="63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5"/>
      <c r="B184" s="62"/>
      <c r="C184" s="63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5"/>
      <c r="B185" s="62"/>
      <c r="C185" s="63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62"/>
      <c r="C186" s="63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62"/>
      <c r="C187" s="63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62"/>
      <c r="C188" s="63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62"/>
      <c r="C189" s="63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62"/>
      <c r="C190" s="63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62"/>
      <c r="C191" s="63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62"/>
      <c r="C192" s="63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62"/>
      <c r="C193" s="63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62"/>
      <c r="C194" s="63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62"/>
      <c r="C195" s="63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62"/>
      <c r="C196" s="63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62"/>
      <c r="C197" s="63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62"/>
      <c r="C198" s="63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62"/>
      <c r="C199" s="63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62"/>
      <c r="C200" s="63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62"/>
      <c r="C201" s="63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62"/>
      <c r="C202" s="63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62"/>
      <c r="C203" s="63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62"/>
      <c r="C204" s="63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62"/>
      <c r="C205" s="63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62"/>
      <c r="C206" s="63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62"/>
      <c r="C207" s="63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62"/>
      <c r="C208" s="63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62"/>
      <c r="C209" s="63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62"/>
      <c r="C210" s="63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62"/>
      <c r="C211" s="63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62"/>
      <c r="C212" s="63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62"/>
      <c r="C213" s="63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62"/>
      <c r="C214" s="63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62"/>
      <c r="C215" s="63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62"/>
      <c r="C216" s="63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62"/>
      <c r="C217" s="63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62"/>
      <c r="C218" s="63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62"/>
      <c r="C219" s="63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62"/>
      <c r="C220" s="63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62"/>
      <c r="C221" s="63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62"/>
      <c r="C222" s="63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62"/>
      <c r="C223" s="63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62"/>
      <c r="C224" s="63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62"/>
      <c r="C225" s="63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62"/>
      <c r="C226" s="63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62"/>
      <c r="C227" s="63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62"/>
      <c r="C228" s="63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62"/>
      <c r="C229" s="63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62"/>
      <c r="C230" s="63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62"/>
      <c r="C231" s="63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62"/>
      <c r="C232" s="63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62"/>
      <c r="C233" s="63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62"/>
      <c r="C234" s="63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62"/>
      <c r="C235" s="63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62"/>
      <c r="C236" s="63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62"/>
      <c r="C237" s="63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62"/>
      <c r="C238" s="63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62"/>
      <c r="C239" s="63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62"/>
      <c r="C240" s="63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62"/>
      <c r="C241" s="63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62"/>
      <c r="C242" s="63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62"/>
      <c r="C243" s="63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62"/>
      <c r="C244" s="63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62"/>
      <c r="C245" s="63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62"/>
      <c r="C246" s="63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62"/>
      <c r="C247" s="63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62"/>
      <c r="C248" s="63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62"/>
      <c r="C249" s="63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62"/>
      <c r="C250" s="63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62"/>
      <c r="C251" s="63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62"/>
      <c r="C252" s="63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62"/>
      <c r="C253" s="63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62"/>
      <c r="C254" s="63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62"/>
      <c r="C255" s="63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62"/>
      <c r="C256" s="63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62"/>
      <c r="C257" s="63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62"/>
      <c r="C258" s="63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62"/>
      <c r="C259" s="63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62"/>
      <c r="C260" s="63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10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62"/>
      <c r="C261" s="63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10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62"/>
      <c r="C262" s="63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hidden="1" customHeight="1">
      <c r="A263" s="5"/>
      <c r="B263" s="62"/>
      <c r="C263" s="63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hidden="1" customHeight="1">
      <c r="A264" s="5"/>
      <c r="B264" s="62"/>
      <c r="C264" s="63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hidden="1" customHeight="1">
      <c r="A265" s="5"/>
      <c r="B265" s="62"/>
      <c r="C265" s="63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hidden="1" customHeight="1">
      <c r="A266" s="5"/>
      <c r="B266" s="62"/>
      <c r="C266" s="63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hidden="1" customHeight="1">
      <c r="A267" s="5"/>
      <c r="B267" s="62"/>
      <c r="C267" s="63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62"/>
      <c r="C268" s="63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62"/>
      <c r="C269" s="63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62"/>
      <c r="C270" s="63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62"/>
      <c r="C271" s="63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62"/>
      <c r="C272" s="63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62"/>
      <c r="C273" s="63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62"/>
      <c r="C274" s="63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62"/>
      <c r="C275" s="63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62"/>
      <c r="C276" s="63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62"/>
      <c r="C277" s="63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62"/>
      <c r="C278" s="63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62"/>
      <c r="C279" s="63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62"/>
      <c r="C280" s="63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62"/>
      <c r="C281" s="63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62"/>
      <c r="C282" s="63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62"/>
      <c r="C283" s="63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62"/>
      <c r="C284" s="63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62"/>
      <c r="C285" s="63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62"/>
      <c r="C286" s="63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62"/>
      <c r="C287" s="63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62"/>
      <c r="C288" s="63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62"/>
      <c r="C289" s="63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62"/>
      <c r="C290" s="63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62"/>
      <c r="C291" s="63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62"/>
      <c r="C292" s="63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62"/>
      <c r="C293" s="63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62"/>
      <c r="C294" s="63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62"/>
      <c r="C295" s="63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62"/>
      <c r="C296" s="63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62"/>
      <c r="C297" s="63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62"/>
      <c r="C298" s="63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62"/>
      <c r="C299" s="63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62"/>
      <c r="C300" s="6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62"/>
      <c r="C301" s="6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62"/>
      <c r="C302" s="6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62"/>
      <c r="C303" s="63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62"/>
      <c r="C304" s="63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62"/>
      <c r="C305" s="63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62"/>
      <c r="C306" s="63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62"/>
      <c r="C307" s="63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62"/>
      <c r="C308" s="63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62"/>
      <c r="C309" s="63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62"/>
      <c r="C310" s="63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62"/>
      <c r="C311" s="63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62"/>
      <c r="C312" s="63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62"/>
      <c r="C313" s="63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62"/>
      <c r="C314" s="63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62"/>
      <c r="C315" s="63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62"/>
      <c r="C316" s="63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62"/>
      <c r="C317" s="63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62"/>
      <c r="C318" s="63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62"/>
      <c r="C319" s="63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62"/>
      <c r="C320" s="63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62"/>
      <c r="C321" s="63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62"/>
      <c r="C322" s="63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62"/>
      <c r="C323" s="63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62"/>
      <c r="C324" s="63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62"/>
      <c r="C325" s="63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62"/>
      <c r="C326" s="63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62"/>
      <c r="C327" s="63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62"/>
      <c r="C328" s="63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62"/>
      <c r="C329" s="63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62"/>
      <c r="C330" s="63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62"/>
      <c r="C331" s="63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62"/>
      <c r="C332" s="63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62"/>
      <c r="C333" s="63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62"/>
      <c r="C334" s="63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62"/>
      <c r="C335" s="63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62"/>
      <c r="C336" s="63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62"/>
      <c r="C337" s="63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62"/>
      <c r="C338" s="63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62"/>
      <c r="C339" s="63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62"/>
      <c r="C340" s="63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62"/>
      <c r="C341" s="63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62"/>
      <c r="C342" s="63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62"/>
      <c r="C343" s="63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62"/>
      <c r="C344" s="63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62"/>
      <c r="C345" s="63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62"/>
      <c r="C346" s="63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62"/>
      <c r="C347" s="63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62"/>
      <c r="C348" s="63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62"/>
      <c r="C349" s="63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62"/>
      <c r="C350" s="63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62"/>
      <c r="C351" s="63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62"/>
      <c r="C352" s="63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62"/>
      <c r="C353" s="63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62"/>
      <c r="C354" s="63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62"/>
      <c r="C355" s="63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62"/>
      <c r="C356" s="63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62"/>
      <c r="C357" s="63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62"/>
      <c r="C358" s="63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62"/>
      <c r="C359" s="63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62"/>
      <c r="C360" s="63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62"/>
      <c r="C361" s="63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62"/>
      <c r="C362" s="63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62"/>
      <c r="C363" s="63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62"/>
      <c r="C364" s="63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62"/>
      <c r="C365" s="63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62"/>
      <c r="C366" s="63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62"/>
      <c r="C367" s="63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62"/>
      <c r="C368" s="63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62"/>
      <c r="C369" s="63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62"/>
      <c r="C370" s="63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62"/>
      <c r="C371" s="63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62"/>
      <c r="C372" s="63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62"/>
      <c r="C373" s="63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62"/>
      <c r="C374" s="63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62"/>
      <c r="C375" s="63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62"/>
      <c r="C376" s="63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62"/>
      <c r="C377" s="63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62"/>
      <c r="C378" s="63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62"/>
      <c r="C379" s="63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62"/>
      <c r="C380" s="63"/>
      <c r="D380" s="5"/>
      <c r="E380" s="5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62"/>
      <c r="C381" s="63"/>
      <c r="D381" s="5"/>
      <c r="E381" s="5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62"/>
      <c r="C382" s="63"/>
      <c r="D382" s="5"/>
      <c r="E382" s="5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7">
    <mergeCell ref="B135:D135"/>
    <mergeCell ref="C137:D137"/>
    <mergeCell ref="B144:D144"/>
    <mergeCell ref="C146:D146"/>
    <mergeCell ref="B153:D153"/>
    <mergeCell ref="C155:D155"/>
    <mergeCell ref="B157:D157"/>
    <mergeCell ref="B179:D179"/>
    <mergeCell ref="C180:D180"/>
    <mergeCell ref="C181:D181"/>
    <mergeCell ref="C182:D182"/>
    <mergeCell ref="C159:D159"/>
    <mergeCell ref="B163:D163"/>
    <mergeCell ref="C165:D165"/>
    <mergeCell ref="B172:D172"/>
    <mergeCell ref="C174:D174"/>
    <mergeCell ref="B177:D177"/>
    <mergeCell ref="A178:D178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4:D94"/>
    <mergeCell ref="C96:D96"/>
    <mergeCell ref="B99:D99"/>
    <mergeCell ref="C101:D101"/>
    <mergeCell ref="B108:D108"/>
    <mergeCell ref="C110:D110"/>
    <mergeCell ref="B115:D115"/>
    <mergeCell ref="C117:D117"/>
    <mergeCell ref="B124:D124"/>
    <mergeCell ref="C126:D126"/>
    <mergeCell ref="B128:D128"/>
    <mergeCell ref="C130:D130"/>
  </mergeCells>
  <conditionalFormatting sqref="E30">
    <cfRule type="expression" dxfId="0" priority="1">
      <formula>E30&lt;&gt;#REF!</formula>
    </cfRule>
  </conditionalFormatting>
  <conditionalFormatting sqref="E30">
    <cfRule type="expression" dxfId="0" priority="2">
      <formula>E30&lt;&gt;E34</formula>
    </cfRule>
  </conditionalFormatting>
  <conditionalFormatting sqref="E182">
    <cfRule type="expression" dxfId="0" priority="3">
      <formula>E182&lt;&gt;E30</formula>
    </cfRule>
  </conditionalFormatting>
  <conditionalFormatting sqref="E182">
    <cfRule type="expression" dxfId="0" priority="4">
      <formula>E182&lt;&gt;E34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4" width="8.71"/>
    <col customWidth="1" min="45" max="45" width="13.29"/>
    <col customWidth="1" min="46" max="47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159</v>
      </c>
      <c r="D9" s="8" t="s">
        <v>160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6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161</v>
      </c>
      <c r="F13" s="13" t="s">
        <v>162</v>
      </c>
      <c r="G13" s="13" t="s">
        <v>163</v>
      </c>
      <c r="H13" s="13" t="s">
        <v>164</v>
      </c>
      <c r="I13" s="13" t="s">
        <v>165</v>
      </c>
      <c r="J13" s="13" t="s">
        <v>166</v>
      </c>
      <c r="K13" s="13" t="s">
        <v>167</v>
      </c>
      <c r="L13" s="13" t="s">
        <v>168</v>
      </c>
      <c r="M13" s="13" t="s">
        <v>169</v>
      </c>
      <c r="N13" s="13" t="s">
        <v>170</v>
      </c>
      <c r="O13" s="13" t="s">
        <v>171</v>
      </c>
      <c r="P13" s="13" t="s">
        <v>172</v>
      </c>
      <c r="Q13" s="13" t="s">
        <v>173</v>
      </c>
      <c r="R13" s="13" t="s">
        <v>174</v>
      </c>
      <c r="S13" s="13" t="s">
        <v>175</v>
      </c>
      <c r="T13" s="13" t="s">
        <v>176</v>
      </c>
      <c r="U13" s="13" t="s">
        <v>177</v>
      </c>
      <c r="V13" s="13" t="s">
        <v>178</v>
      </c>
      <c r="W13" s="13" t="s">
        <v>179</v>
      </c>
      <c r="X13" s="13" t="s">
        <v>180</v>
      </c>
      <c r="Y13" s="13" t="s">
        <v>181</v>
      </c>
      <c r="Z13" s="13" t="s">
        <v>182</v>
      </c>
      <c r="AA13" s="13" t="s">
        <v>183</v>
      </c>
      <c r="AB13" s="13" t="s">
        <v>184</v>
      </c>
      <c r="AC13" s="13" t="s">
        <v>185</v>
      </c>
      <c r="AD13" s="13" t="s">
        <v>186</v>
      </c>
      <c r="AE13" s="13" t="s">
        <v>187</v>
      </c>
      <c r="AF13" s="13" t="s">
        <v>188</v>
      </c>
      <c r="AG13" s="13" t="s">
        <v>189</v>
      </c>
      <c r="AH13" s="13" t="s">
        <v>190</v>
      </c>
      <c r="AI13" s="13" t="s">
        <v>191</v>
      </c>
      <c r="AJ13" s="13" t="s">
        <v>192</v>
      </c>
      <c r="AK13" s="13" t="s">
        <v>193</v>
      </c>
      <c r="AL13" s="13" t="s">
        <v>194</v>
      </c>
      <c r="AM13" s="13" t="s">
        <v>195</v>
      </c>
      <c r="AN13" s="13" t="s">
        <v>196</v>
      </c>
      <c r="AO13" s="13" t="s">
        <v>197</v>
      </c>
      <c r="AP13" s="13" t="s">
        <v>198</v>
      </c>
      <c r="AQ13" s="13" t="s">
        <v>199</v>
      </c>
      <c r="AR13" s="13" t="s">
        <v>200</v>
      </c>
      <c r="AS13" s="36"/>
    </row>
    <row r="14" ht="12.75" customHeight="1">
      <c r="A14" s="18"/>
      <c r="B14" s="22" t="s">
        <v>11</v>
      </c>
      <c r="C14" s="23"/>
      <c r="D14" s="19" t="s">
        <v>12</v>
      </c>
      <c r="E14" s="19">
        <v>136.0</v>
      </c>
      <c r="F14" s="19">
        <v>122.0</v>
      </c>
      <c r="G14" s="19">
        <v>131.0</v>
      </c>
      <c r="H14" s="19">
        <v>114.0</v>
      </c>
      <c r="I14" s="19">
        <v>125.0</v>
      </c>
      <c r="J14" s="19">
        <v>123.0</v>
      </c>
      <c r="K14" s="19">
        <v>119.0</v>
      </c>
      <c r="L14" s="19">
        <v>115.0</v>
      </c>
      <c r="M14" s="19">
        <v>138.0</v>
      </c>
      <c r="N14" s="19">
        <v>121.0</v>
      </c>
      <c r="O14" s="19">
        <v>126.0</v>
      </c>
      <c r="P14" s="19">
        <v>124.0</v>
      </c>
      <c r="Q14" s="19">
        <v>141.0</v>
      </c>
      <c r="R14" s="19">
        <v>144.0</v>
      </c>
      <c r="S14" s="19">
        <v>139.0</v>
      </c>
      <c r="T14" s="19">
        <v>124.0</v>
      </c>
      <c r="U14" s="19">
        <v>123.0</v>
      </c>
      <c r="V14" s="19">
        <v>119.0</v>
      </c>
      <c r="W14" s="19">
        <v>123.0</v>
      </c>
      <c r="X14" s="19">
        <v>134.0</v>
      </c>
      <c r="Y14" s="19">
        <v>129.0</v>
      </c>
      <c r="Z14" s="19">
        <v>139.0</v>
      </c>
      <c r="AA14" s="19">
        <v>138.0</v>
      </c>
      <c r="AB14" s="19">
        <v>118.0</v>
      </c>
      <c r="AC14" s="19">
        <v>140.0</v>
      </c>
      <c r="AD14" s="19">
        <v>136.0</v>
      </c>
      <c r="AE14" s="19">
        <v>153.0</v>
      </c>
      <c r="AF14" s="19">
        <v>141.0</v>
      </c>
      <c r="AG14" s="19">
        <v>133.0</v>
      </c>
      <c r="AH14" s="19">
        <v>131.0</v>
      </c>
      <c r="AI14" s="19">
        <v>135.0</v>
      </c>
      <c r="AJ14" s="19">
        <v>127.0</v>
      </c>
      <c r="AK14" s="19">
        <v>141.0</v>
      </c>
      <c r="AL14" s="19">
        <v>127.0</v>
      </c>
      <c r="AM14" s="19">
        <v>130.0</v>
      </c>
      <c r="AN14" s="19">
        <v>132.0</v>
      </c>
      <c r="AO14" s="19">
        <v>125.0</v>
      </c>
      <c r="AP14" s="19">
        <v>143.0</v>
      </c>
      <c r="AQ14" s="19">
        <v>146.0</v>
      </c>
      <c r="AR14" s="19">
        <v>130.0</v>
      </c>
      <c r="AS14" s="13">
        <f t="shared" ref="AS14:AS16" si="1">SUM(E14:AR14)</f>
        <v>5235</v>
      </c>
    </row>
    <row r="15" ht="12.75" customHeight="1">
      <c r="A15" s="18"/>
      <c r="B15" s="26"/>
      <c r="C15" s="27"/>
      <c r="D15" s="19" t="s">
        <v>13</v>
      </c>
      <c r="E15" s="19">
        <v>123.0</v>
      </c>
      <c r="F15" s="19">
        <v>131.0</v>
      </c>
      <c r="G15" s="19">
        <v>122.0</v>
      </c>
      <c r="H15" s="19">
        <v>141.0</v>
      </c>
      <c r="I15" s="19">
        <v>121.0</v>
      </c>
      <c r="J15" s="19">
        <v>120.0</v>
      </c>
      <c r="K15" s="19">
        <v>126.0</v>
      </c>
      <c r="L15" s="19">
        <v>120.0</v>
      </c>
      <c r="M15" s="19">
        <v>134.0</v>
      </c>
      <c r="N15" s="19">
        <v>138.0</v>
      </c>
      <c r="O15" s="19">
        <v>125.0</v>
      </c>
      <c r="P15" s="19">
        <v>144.0</v>
      </c>
      <c r="Q15" s="19">
        <v>142.0</v>
      </c>
      <c r="R15" s="19">
        <v>133.0</v>
      </c>
      <c r="S15" s="19">
        <v>141.0</v>
      </c>
      <c r="T15" s="19">
        <v>137.0</v>
      </c>
      <c r="U15" s="19">
        <v>129.0</v>
      </c>
      <c r="V15" s="19">
        <v>113.0</v>
      </c>
      <c r="W15" s="19">
        <v>146.0</v>
      </c>
      <c r="X15" s="19">
        <v>131.0</v>
      </c>
      <c r="Y15" s="19">
        <v>146.0</v>
      </c>
      <c r="Z15" s="19">
        <v>145.0</v>
      </c>
      <c r="AA15" s="19">
        <v>142.0</v>
      </c>
      <c r="AB15" s="19">
        <v>132.0</v>
      </c>
      <c r="AC15" s="19">
        <v>123.0</v>
      </c>
      <c r="AD15" s="19">
        <v>136.0</v>
      </c>
      <c r="AE15" s="19">
        <v>136.0</v>
      </c>
      <c r="AF15" s="19">
        <v>143.0</v>
      </c>
      <c r="AG15" s="19">
        <v>137.0</v>
      </c>
      <c r="AH15" s="19">
        <v>122.0</v>
      </c>
      <c r="AI15" s="19">
        <v>131.0</v>
      </c>
      <c r="AJ15" s="19">
        <v>123.0</v>
      </c>
      <c r="AK15" s="19">
        <v>125.0</v>
      </c>
      <c r="AL15" s="19">
        <v>130.0</v>
      </c>
      <c r="AM15" s="19">
        <v>135.0</v>
      </c>
      <c r="AN15" s="19">
        <v>133.0</v>
      </c>
      <c r="AO15" s="19">
        <v>132.0</v>
      </c>
      <c r="AP15" s="19">
        <v>147.0</v>
      </c>
      <c r="AQ15" s="19">
        <v>126.0</v>
      </c>
      <c r="AR15" s="19">
        <v>140.0</v>
      </c>
      <c r="AS15" s="13">
        <f t="shared" si="1"/>
        <v>5301</v>
      </c>
    </row>
    <row r="16" ht="12.75" customHeight="1">
      <c r="A16" s="25"/>
      <c r="B16" s="21"/>
      <c r="C16" s="28"/>
      <c r="D16" s="13" t="s">
        <v>14</v>
      </c>
      <c r="E16" s="13">
        <f t="shared" ref="E16:AR16" si="2">SUM(E14:E15)</f>
        <v>259</v>
      </c>
      <c r="F16" s="13">
        <f t="shared" si="2"/>
        <v>253</v>
      </c>
      <c r="G16" s="13">
        <f t="shared" si="2"/>
        <v>253</v>
      </c>
      <c r="H16" s="13">
        <f t="shared" si="2"/>
        <v>255</v>
      </c>
      <c r="I16" s="13">
        <f t="shared" si="2"/>
        <v>246</v>
      </c>
      <c r="J16" s="13">
        <f t="shared" si="2"/>
        <v>243</v>
      </c>
      <c r="K16" s="13">
        <f t="shared" si="2"/>
        <v>245</v>
      </c>
      <c r="L16" s="13">
        <f t="shared" si="2"/>
        <v>235</v>
      </c>
      <c r="M16" s="13">
        <f t="shared" si="2"/>
        <v>272</v>
      </c>
      <c r="N16" s="13">
        <f t="shared" si="2"/>
        <v>259</v>
      </c>
      <c r="O16" s="13">
        <f t="shared" si="2"/>
        <v>251</v>
      </c>
      <c r="P16" s="13">
        <f t="shared" si="2"/>
        <v>268</v>
      </c>
      <c r="Q16" s="13">
        <f t="shared" si="2"/>
        <v>283</v>
      </c>
      <c r="R16" s="13">
        <f t="shared" si="2"/>
        <v>277</v>
      </c>
      <c r="S16" s="13">
        <f t="shared" si="2"/>
        <v>280</v>
      </c>
      <c r="T16" s="13">
        <f t="shared" si="2"/>
        <v>261</v>
      </c>
      <c r="U16" s="13">
        <f t="shared" si="2"/>
        <v>252</v>
      </c>
      <c r="V16" s="13">
        <f t="shared" si="2"/>
        <v>232</v>
      </c>
      <c r="W16" s="13">
        <f t="shared" si="2"/>
        <v>269</v>
      </c>
      <c r="X16" s="13">
        <f t="shared" si="2"/>
        <v>265</v>
      </c>
      <c r="Y16" s="13">
        <f t="shared" si="2"/>
        <v>275</v>
      </c>
      <c r="Z16" s="13">
        <f t="shared" si="2"/>
        <v>284</v>
      </c>
      <c r="AA16" s="13">
        <f t="shared" si="2"/>
        <v>280</v>
      </c>
      <c r="AB16" s="13">
        <f t="shared" si="2"/>
        <v>250</v>
      </c>
      <c r="AC16" s="13">
        <f t="shared" si="2"/>
        <v>263</v>
      </c>
      <c r="AD16" s="13">
        <f t="shared" si="2"/>
        <v>272</v>
      </c>
      <c r="AE16" s="13">
        <f t="shared" si="2"/>
        <v>289</v>
      </c>
      <c r="AF16" s="13">
        <f t="shared" si="2"/>
        <v>284</v>
      </c>
      <c r="AG16" s="13">
        <f t="shared" si="2"/>
        <v>270</v>
      </c>
      <c r="AH16" s="13">
        <f t="shared" si="2"/>
        <v>253</v>
      </c>
      <c r="AI16" s="13">
        <f t="shared" si="2"/>
        <v>266</v>
      </c>
      <c r="AJ16" s="13">
        <f t="shared" si="2"/>
        <v>250</v>
      </c>
      <c r="AK16" s="13">
        <f t="shared" si="2"/>
        <v>266</v>
      </c>
      <c r="AL16" s="13">
        <f t="shared" si="2"/>
        <v>257</v>
      </c>
      <c r="AM16" s="13">
        <f t="shared" si="2"/>
        <v>265</v>
      </c>
      <c r="AN16" s="13">
        <f t="shared" si="2"/>
        <v>265</v>
      </c>
      <c r="AO16" s="13">
        <f t="shared" si="2"/>
        <v>257</v>
      </c>
      <c r="AP16" s="13">
        <f t="shared" si="2"/>
        <v>290</v>
      </c>
      <c r="AQ16" s="13">
        <f t="shared" si="2"/>
        <v>272</v>
      </c>
      <c r="AR16" s="13">
        <f t="shared" si="2"/>
        <v>270</v>
      </c>
      <c r="AS16" s="13">
        <f t="shared" si="1"/>
        <v>10536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106.0</v>
      </c>
      <c r="F19" s="19">
        <v>98.0</v>
      </c>
      <c r="G19" s="19">
        <v>88.0</v>
      </c>
      <c r="H19" s="19">
        <v>84.0</v>
      </c>
      <c r="I19" s="19">
        <v>89.0</v>
      </c>
      <c r="J19" s="19">
        <v>83.0</v>
      </c>
      <c r="K19" s="19">
        <v>79.0</v>
      </c>
      <c r="L19" s="19">
        <v>92.0</v>
      </c>
      <c r="M19" s="19">
        <v>94.0</v>
      </c>
      <c r="N19" s="19">
        <v>87.0</v>
      </c>
      <c r="O19" s="19">
        <v>92.0</v>
      </c>
      <c r="P19" s="19">
        <v>81.0</v>
      </c>
      <c r="Q19" s="19">
        <v>98.0</v>
      </c>
      <c r="R19" s="19">
        <v>92.0</v>
      </c>
      <c r="S19" s="19">
        <v>102.0</v>
      </c>
      <c r="T19" s="19">
        <v>99.0</v>
      </c>
      <c r="U19" s="19">
        <v>85.0</v>
      </c>
      <c r="V19" s="19">
        <v>77.0</v>
      </c>
      <c r="W19" s="19">
        <v>97.0</v>
      </c>
      <c r="X19" s="19">
        <v>100.0</v>
      </c>
      <c r="Y19" s="19">
        <v>86.0</v>
      </c>
      <c r="Z19" s="19">
        <v>106.0</v>
      </c>
      <c r="AA19" s="19">
        <v>104.0</v>
      </c>
      <c r="AB19" s="19">
        <v>89.0</v>
      </c>
      <c r="AC19" s="19">
        <v>103.0</v>
      </c>
      <c r="AD19" s="19">
        <v>120.0</v>
      </c>
      <c r="AE19" s="19">
        <v>118.0</v>
      </c>
      <c r="AF19" s="19">
        <v>112.0</v>
      </c>
      <c r="AG19" s="19">
        <v>110.0</v>
      </c>
      <c r="AH19" s="19">
        <v>92.0</v>
      </c>
      <c r="AI19" s="19">
        <v>109.0</v>
      </c>
      <c r="AJ19" s="19">
        <v>92.0</v>
      </c>
      <c r="AK19" s="19">
        <v>108.0</v>
      </c>
      <c r="AL19" s="19">
        <v>99.0</v>
      </c>
      <c r="AM19" s="19">
        <v>93.0</v>
      </c>
      <c r="AN19" s="19">
        <v>113.0</v>
      </c>
      <c r="AO19" s="19">
        <v>96.0</v>
      </c>
      <c r="AP19" s="19">
        <v>111.0</v>
      </c>
      <c r="AQ19" s="19">
        <v>92.0</v>
      </c>
      <c r="AR19" s="19">
        <v>90.0</v>
      </c>
      <c r="AS19" s="13">
        <f t="shared" ref="AS19:AS30" si="3">SUM(E19:AR19)</f>
        <v>3866</v>
      </c>
    </row>
    <row r="20" ht="12.75" customHeight="1">
      <c r="A20" s="33"/>
      <c r="B20" s="27"/>
      <c r="C20" s="34"/>
      <c r="D20" s="19" t="s">
        <v>13</v>
      </c>
      <c r="E20" s="19">
        <v>92.0</v>
      </c>
      <c r="F20" s="19">
        <v>93.0</v>
      </c>
      <c r="G20" s="19">
        <v>89.0</v>
      </c>
      <c r="H20" s="19">
        <v>114.0</v>
      </c>
      <c r="I20" s="19">
        <v>98.0</v>
      </c>
      <c r="J20" s="19">
        <v>82.0</v>
      </c>
      <c r="K20" s="19">
        <v>86.0</v>
      </c>
      <c r="L20" s="19">
        <v>87.0</v>
      </c>
      <c r="M20" s="19">
        <v>104.0</v>
      </c>
      <c r="N20" s="19">
        <v>103.0</v>
      </c>
      <c r="O20" s="19">
        <v>97.0</v>
      </c>
      <c r="P20" s="19">
        <v>92.0</v>
      </c>
      <c r="Q20" s="19">
        <v>99.0</v>
      </c>
      <c r="R20" s="19">
        <v>85.0</v>
      </c>
      <c r="S20" s="19">
        <v>119.0</v>
      </c>
      <c r="T20" s="19">
        <v>108.0</v>
      </c>
      <c r="U20" s="19">
        <v>103.0</v>
      </c>
      <c r="V20" s="19">
        <v>79.0</v>
      </c>
      <c r="W20" s="19">
        <v>118.0</v>
      </c>
      <c r="X20" s="19">
        <v>108.0</v>
      </c>
      <c r="Y20" s="19">
        <v>115.0</v>
      </c>
      <c r="Z20" s="19">
        <v>116.0</v>
      </c>
      <c r="AA20" s="19">
        <v>124.0</v>
      </c>
      <c r="AB20" s="19">
        <v>101.0</v>
      </c>
      <c r="AC20" s="19">
        <v>94.0</v>
      </c>
      <c r="AD20" s="19">
        <v>118.0</v>
      </c>
      <c r="AE20" s="19">
        <v>113.0</v>
      </c>
      <c r="AF20" s="19">
        <v>117.0</v>
      </c>
      <c r="AG20" s="19">
        <v>112.0</v>
      </c>
      <c r="AH20" s="19">
        <v>91.0</v>
      </c>
      <c r="AI20" s="19">
        <v>111.0</v>
      </c>
      <c r="AJ20" s="19">
        <v>105.0</v>
      </c>
      <c r="AK20" s="19">
        <v>109.0</v>
      </c>
      <c r="AL20" s="19">
        <v>105.0</v>
      </c>
      <c r="AM20" s="19">
        <v>105.0</v>
      </c>
      <c r="AN20" s="19">
        <v>120.0</v>
      </c>
      <c r="AO20" s="19">
        <v>104.0</v>
      </c>
      <c r="AP20" s="19">
        <v>120.0</v>
      </c>
      <c r="AQ20" s="19">
        <v>101.0</v>
      </c>
      <c r="AR20" s="19">
        <v>106.0</v>
      </c>
      <c r="AS20" s="13">
        <f t="shared" si="3"/>
        <v>4143</v>
      </c>
    </row>
    <row r="21" ht="12.75" customHeight="1">
      <c r="A21" s="35"/>
      <c r="B21" s="28"/>
      <c r="C21" s="36"/>
      <c r="D21" s="13" t="s">
        <v>14</v>
      </c>
      <c r="E21" s="13">
        <v>198.0</v>
      </c>
      <c r="F21" s="13">
        <v>191.0</v>
      </c>
      <c r="G21" s="13">
        <v>177.0</v>
      </c>
      <c r="H21" s="13">
        <v>198.0</v>
      </c>
      <c r="I21" s="13">
        <v>187.0</v>
      </c>
      <c r="J21" s="13">
        <v>165.0</v>
      </c>
      <c r="K21" s="13">
        <v>165.0</v>
      </c>
      <c r="L21" s="13">
        <v>179.0</v>
      </c>
      <c r="M21" s="13">
        <v>198.0</v>
      </c>
      <c r="N21" s="13">
        <v>190.0</v>
      </c>
      <c r="O21" s="13">
        <v>189.0</v>
      </c>
      <c r="P21" s="13">
        <v>173.0</v>
      </c>
      <c r="Q21" s="13">
        <v>197.0</v>
      </c>
      <c r="R21" s="13">
        <v>177.0</v>
      </c>
      <c r="S21" s="13">
        <v>221.0</v>
      </c>
      <c r="T21" s="13">
        <v>207.0</v>
      </c>
      <c r="U21" s="13">
        <v>188.0</v>
      </c>
      <c r="V21" s="13">
        <v>156.0</v>
      </c>
      <c r="W21" s="13">
        <v>215.0</v>
      </c>
      <c r="X21" s="13">
        <v>208.0</v>
      </c>
      <c r="Y21" s="13">
        <v>201.0</v>
      </c>
      <c r="Z21" s="13">
        <v>222.0</v>
      </c>
      <c r="AA21" s="13">
        <v>228.0</v>
      </c>
      <c r="AB21" s="13">
        <v>190.0</v>
      </c>
      <c r="AC21" s="13">
        <v>197.0</v>
      </c>
      <c r="AD21" s="13">
        <v>238.0</v>
      </c>
      <c r="AE21" s="13">
        <v>231.0</v>
      </c>
      <c r="AF21" s="13">
        <v>229.0</v>
      </c>
      <c r="AG21" s="13">
        <v>222.0</v>
      </c>
      <c r="AH21" s="13">
        <v>183.0</v>
      </c>
      <c r="AI21" s="13">
        <v>220.0</v>
      </c>
      <c r="AJ21" s="13">
        <v>197.0</v>
      </c>
      <c r="AK21" s="13">
        <v>217.0</v>
      </c>
      <c r="AL21" s="13">
        <v>204.0</v>
      </c>
      <c r="AM21" s="13">
        <v>198.0</v>
      </c>
      <c r="AN21" s="13">
        <v>233.0</v>
      </c>
      <c r="AO21" s="13">
        <v>200.0</v>
      </c>
      <c r="AP21" s="13">
        <v>231.0</v>
      </c>
      <c r="AQ21" s="13">
        <v>193.0</v>
      </c>
      <c r="AR21" s="13">
        <v>196.0</v>
      </c>
      <c r="AS21" s="13">
        <f t="shared" si="3"/>
        <v>8009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1.0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v>0.0</v>
      </c>
      <c r="F24" s="13">
        <v>0.0</v>
      </c>
      <c r="G24" s="13">
        <v>1.0</v>
      </c>
      <c r="H24" s="13">
        <v>0.0</v>
      </c>
      <c r="I24" s="13">
        <v>0.0</v>
      </c>
      <c r="J24" s="13">
        <v>0.0</v>
      </c>
      <c r="K24" s="13">
        <v>0.0</v>
      </c>
      <c r="L24" s="13">
        <v>0.0</v>
      </c>
      <c r="M24" s="13">
        <v>0.0</v>
      </c>
      <c r="N24" s="13">
        <v>0.0</v>
      </c>
      <c r="O24" s="13">
        <v>0.0</v>
      </c>
      <c r="P24" s="13">
        <v>0.0</v>
      </c>
      <c r="Q24" s="13">
        <v>0.0</v>
      </c>
      <c r="R24" s="13">
        <v>0.0</v>
      </c>
      <c r="S24" s="13">
        <v>0.0</v>
      </c>
      <c r="T24" s="13">
        <v>0.0</v>
      </c>
      <c r="U24" s="13">
        <v>0.0</v>
      </c>
      <c r="V24" s="13">
        <v>0.0</v>
      </c>
      <c r="W24" s="13">
        <v>0.0</v>
      </c>
      <c r="X24" s="13">
        <v>1.0</v>
      </c>
      <c r="Y24" s="13">
        <v>0.0</v>
      </c>
      <c r="Z24" s="13">
        <v>0.0</v>
      </c>
      <c r="AA24" s="13">
        <v>0.0</v>
      </c>
      <c r="AB24" s="13">
        <v>0.0</v>
      </c>
      <c r="AC24" s="13">
        <v>0.0</v>
      </c>
      <c r="AD24" s="13">
        <v>0.0</v>
      </c>
      <c r="AE24" s="13">
        <v>0.0</v>
      </c>
      <c r="AF24" s="13">
        <v>0.0</v>
      </c>
      <c r="AG24" s="13">
        <v>0.0</v>
      </c>
      <c r="AH24" s="13">
        <v>0.0</v>
      </c>
      <c r="AI24" s="13">
        <v>0.0</v>
      </c>
      <c r="AJ24" s="13">
        <v>0.0</v>
      </c>
      <c r="AK24" s="13">
        <v>0.0</v>
      </c>
      <c r="AL24" s="13">
        <v>0.0</v>
      </c>
      <c r="AM24" s="13">
        <v>0.0</v>
      </c>
      <c r="AN24" s="13">
        <v>0.0</v>
      </c>
      <c r="AO24" s="13">
        <v>0.0</v>
      </c>
      <c r="AP24" s="13">
        <v>0.0</v>
      </c>
      <c r="AQ24" s="13">
        <v>0.0</v>
      </c>
      <c r="AR24" s="13">
        <v>0.0</v>
      </c>
      <c r="AS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0.0</v>
      </c>
      <c r="G25" s="19">
        <v>0.0</v>
      </c>
      <c r="H25" s="19">
        <v>1.0</v>
      </c>
      <c r="I25" s="19">
        <v>0.0</v>
      </c>
      <c r="J25" s="19">
        <v>1.0</v>
      </c>
      <c r="K25" s="19">
        <v>0.0</v>
      </c>
      <c r="L25" s="19">
        <v>0.0</v>
      </c>
      <c r="M25" s="19">
        <v>0.0</v>
      </c>
      <c r="N25" s="19">
        <v>0.0</v>
      </c>
      <c r="O25" s="19">
        <v>1.0</v>
      </c>
      <c r="P25" s="19">
        <v>0.0</v>
      </c>
      <c r="Q25" s="19">
        <v>2.0</v>
      </c>
      <c r="R25" s="19">
        <v>0.0</v>
      </c>
      <c r="S25" s="19">
        <v>0.0</v>
      </c>
      <c r="T25" s="19">
        <v>5.0</v>
      </c>
      <c r="U25" s="19">
        <v>0.0</v>
      </c>
      <c r="V25" s="19">
        <v>0.0</v>
      </c>
      <c r="W25" s="19">
        <v>0.0</v>
      </c>
      <c r="X25" s="19">
        <v>0.0</v>
      </c>
      <c r="Y25" s="19">
        <v>2.0</v>
      </c>
      <c r="Z25" s="19">
        <v>1.0</v>
      </c>
      <c r="AA25" s="19">
        <v>4.0</v>
      </c>
      <c r="AB25" s="19">
        <v>1.0</v>
      </c>
      <c r="AC25" s="19">
        <v>0.0</v>
      </c>
      <c r="AD25" s="19">
        <v>0.0</v>
      </c>
      <c r="AE25" s="19">
        <v>0.0</v>
      </c>
      <c r="AF25" s="19">
        <v>0.0</v>
      </c>
      <c r="AG25" s="19">
        <v>0.0</v>
      </c>
      <c r="AH25" s="19">
        <v>3.0</v>
      </c>
      <c r="AI25" s="19">
        <v>0.0</v>
      </c>
      <c r="AJ25" s="19">
        <v>0.0</v>
      </c>
      <c r="AK25" s="19">
        <v>0.0</v>
      </c>
      <c r="AL25" s="19">
        <v>1.0</v>
      </c>
      <c r="AM25" s="19">
        <v>1.0</v>
      </c>
      <c r="AN25" s="19">
        <v>1.0</v>
      </c>
      <c r="AO25" s="19">
        <v>0.0</v>
      </c>
      <c r="AP25" s="19">
        <v>1.0</v>
      </c>
      <c r="AQ25" s="19">
        <v>1.0</v>
      </c>
      <c r="AR25" s="19">
        <v>0.0</v>
      </c>
      <c r="AS25" s="13">
        <f t="shared" si="3"/>
        <v>29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0.0</v>
      </c>
      <c r="G26" s="19">
        <v>0.0</v>
      </c>
      <c r="H26" s="19">
        <v>1.0</v>
      </c>
      <c r="I26" s="19">
        <v>0.0</v>
      </c>
      <c r="J26" s="19">
        <v>0.0</v>
      </c>
      <c r="K26" s="19">
        <v>1.0</v>
      </c>
      <c r="L26" s="19">
        <v>0.0</v>
      </c>
      <c r="M26" s="19">
        <v>0.0</v>
      </c>
      <c r="N26" s="19">
        <v>0.0</v>
      </c>
      <c r="O26" s="19">
        <v>2.0</v>
      </c>
      <c r="P26" s="19">
        <v>1.0</v>
      </c>
      <c r="Q26" s="19">
        <v>3.0</v>
      </c>
      <c r="R26" s="19">
        <v>0.0</v>
      </c>
      <c r="S26" s="19">
        <v>0.0</v>
      </c>
      <c r="T26" s="19">
        <v>0.0</v>
      </c>
      <c r="U26" s="19">
        <v>0.0</v>
      </c>
      <c r="V26" s="19">
        <v>0.0</v>
      </c>
      <c r="W26" s="19">
        <v>0.0</v>
      </c>
      <c r="X26" s="19">
        <v>0.0</v>
      </c>
      <c r="Y26" s="19">
        <v>3.0</v>
      </c>
      <c r="Z26" s="19">
        <v>0.0</v>
      </c>
      <c r="AA26" s="19">
        <v>1.0</v>
      </c>
      <c r="AB26" s="19">
        <v>2.0</v>
      </c>
      <c r="AC26" s="19">
        <v>2.0</v>
      </c>
      <c r="AD26" s="19">
        <v>0.0</v>
      </c>
      <c r="AE26" s="19">
        <v>0.0</v>
      </c>
      <c r="AF26" s="19">
        <v>0.0</v>
      </c>
      <c r="AG26" s="19">
        <v>0.0</v>
      </c>
      <c r="AH26" s="19">
        <v>1.0</v>
      </c>
      <c r="AI26" s="19">
        <v>1.0</v>
      </c>
      <c r="AJ26" s="19">
        <v>0.0</v>
      </c>
      <c r="AK26" s="19">
        <v>0.0</v>
      </c>
      <c r="AL26" s="19">
        <v>0.0</v>
      </c>
      <c r="AM26" s="19">
        <v>1.0</v>
      </c>
      <c r="AN26" s="19">
        <v>1.0</v>
      </c>
      <c r="AO26" s="19">
        <v>0.0</v>
      </c>
      <c r="AP26" s="19">
        <v>1.0</v>
      </c>
      <c r="AQ26" s="19">
        <v>3.0</v>
      </c>
      <c r="AR26" s="19">
        <v>0.0</v>
      </c>
      <c r="AS26" s="13">
        <f t="shared" si="3"/>
        <v>27</v>
      </c>
    </row>
    <row r="27" ht="12.75" customHeight="1">
      <c r="A27" s="35"/>
      <c r="B27" s="28"/>
      <c r="C27" s="36"/>
      <c r="D27" s="13" t="s">
        <v>14</v>
      </c>
      <c r="E27" s="13">
        <v>6.0</v>
      </c>
      <c r="F27" s="13">
        <v>0.0</v>
      </c>
      <c r="G27" s="13">
        <v>0.0</v>
      </c>
      <c r="H27" s="13">
        <v>2.0</v>
      </c>
      <c r="I27" s="13">
        <v>0.0</v>
      </c>
      <c r="J27" s="13">
        <v>1.0</v>
      </c>
      <c r="K27" s="13">
        <v>1.0</v>
      </c>
      <c r="L27" s="13">
        <v>0.0</v>
      </c>
      <c r="M27" s="13">
        <v>0.0</v>
      </c>
      <c r="N27" s="13">
        <v>0.0</v>
      </c>
      <c r="O27" s="13">
        <v>3.0</v>
      </c>
      <c r="P27" s="13">
        <v>1.0</v>
      </c>
      <c r="Q27" s="13">
        <v>5.0</v>
      </c>
      <c r="R27" s="13">
        <v>0.0</v>
      </c>
      <c r="S27" s="13">
        <v>0.0</v>
      </c>
      <c r="T27" s="13">
        <v>5.0</v>
      </c>
      <c r="U27" s="13">
        <v>0.0</v>
      </c>
      <c r="V27" s="13">
        <v>0.0</v>
      </c>
      <c r="W27" s="13">
        <v>0.0</v>
      </c>
      <c r="X27" s="13">
        <v>0.0</v>
      </c>
      <c r="Y27" s="13">
        <v>5.0</v>
      </c>
      <c r="Z27" s="13">
        <v>1.0</v>
      </c>
      <c r="AA27" s="13">
        <v>5.0</v>
      </c>
      <c r="AB27" s="13">
        <v>3.0</v>
      </c>
      <c r="AC27" s="13">
        <v>2.0</v>
      </c>
      <c r="AD27" s="13">
        <v>0.0</v>
      </c>
      <c r="AE27" s="13">
        <v>0.0</v>
      </c>
      <c r="AF27" s="13">
        <v>0.0</v>
      </c>
      <c r="AG27" s="13">
        <v>0.0</v>
      </c>
      <c r="AH27" s="13">
        <v>4.0</v>
      </c>
      <c r="AI27" s="13">
        <v>1.0</v>
      </c>
      <c r="AJ27" s="13">
        <v>0.0</v>
      </c>
      <c r="AK27" s="13">
        <v>0.0</v>
      </c>
      <c r="AL27" s="13">
        <v>1.0</v>
      </c>
      <c r="AM27" s="13">
        <v>2.0</v>
      </c>
      <c r="AN27" s="13">
        <v>2.0</v>
      </c>
      <c r="AO27" s="13">
        <v>0.0</v>
      </c>
      <c r="AP27" s="13">
        <v>2.0</v>
      </c>
      <c r="AQ27" s="13">
        <v>4.0</v>
      </c>
      <c r="AR27" s="13">
        <v>0.0</v>
      </c>
      <c r="AS27" s="13">
        <f t="shared" si="3"/>
        <v>56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109.0</v>
      </c>
      <c r="F28" s="13">
        <v>98.0</v>
      </c>
      <c r="G28" s="13">
        <v>89.0</v>
      </c>
      <c r="H28" s="13">
        <v>85.0</v>
      </c>
      <c r="I28" s="13">
        <v>89.0</v>
      </c>
      <c r="J28" s="13">
        <v>84.0</v>
      </c>
      <c r="K28" s="13">
        <v>79.0</v>
      </c>
      <c r="L28" s="13">
        <v>92.0</v>
      </c>
      <c r="M28" s="13">
        <v>94.0</v>
      </c>
      <c r="N28" s="13">
        <v>87.0</v>
      </c>
      <c r="O28" s="13">
        <v>93.0</v>
      </c>
      <c r="P28" s="13">
        <v>81.0</v>
      </c>
      <c r="Q28" s="13">
        <v>100.0</v>
      </c>
      <c r="R28" s="13">
        <v>92.0</v>
      </c>
      <c r="S28" s="13">
        <v>102.0</v>
      </c>
      <c r="T28" s="13">
        <v>104.0</v>
      </c>
      <c r="U28" s="13">
        <v>85.0</v>
      </c>
      <c r="V28" s="13">
        <v>77.0</v>
      </c>
      <c r="W28" s="13">
        <v>97.0</v>
      </c>
      <c r="X28" s="13">
        <v>101.0</v>
      </c>
      <c r="Y28" s="13">
        <v>88.0</v>
      </c>
      <c r="Z28" s="13">
        <v>107.0</v>
      </c>
      <c r="AA28" s="13">
        <v>108.0</v>
      </c>
      <c r="AB28" s="13">
        <v>90.0</v>
      </c>
      <c r="AC28" s="13">
        <v>103.0</v>
      </c>
      <c r="AD28" s="13">
        <v>120.0</v>
      </c>
      <c r="AE28" s="13">
        <v>118.0</v>
      </c>
      <c r="AF28" s="13">
        <v>112.0</v>
      </c>
      <c r="AG28" s="13">
        <v>110.0</v>
      </c>
      <c r="AH28" s="13">
        <v>95.0</v>
      </c>
      <c r="AI28" s="13">
        <v>109.0</v>
      </c>
      <c r="AJ28" s="13">
        <v>92.0</v>
      </c>
      <c r="AK28" s="13">
        <v>108.0</v>
      </c>
      <c r="AL28" s="13">
        <v>100.0</v>
      </c>
      <c r="AM28" s="13">
        <v>94.0</v>
      </c>
      <c r="AN28" s="13">
        <v>114.0</v>
      </c>
      <c r="AO28" s="13">
        <v>96.0</v>
      </c>
      <c r="AP28" s="13">
        <v>112.0</v>
      </c>
      <c r="AQ28" s="13">
        <v>93.0</v>
      </c>
      <c r="AR28" s="13">
        <v>90.0</v>
      </c>
      <c r="AS28" s="13">
        <f t="shared" si="3"/>
        <v>3897</v>
      </c>
    </row>
    <row r="29" ht="12.75" customHeight="1">
      <c r="A29" s="35"/>
      <c r="B29" s="27"/>
      <c r="C29" s="34"/>
      <c r="D29" s="13" t="s">
        <v>13</v>
      </c>
      <c r="E29" s="13">
        <v>95.0</v>
      </c>
      <c r="F29" s="13">
        <v>93.0</v>
      </c>
      <c r="G29" s="13">
        <v>89.0</v>
      </c>
      <c r="H29" s="13">
        <v>115.0</v>
      </c>
      <c r="I29" s="13">
        <v>98.0</v>
      </c>
      <c r="J29" s="13">
        <v>82.0</v>
      </c>
      <c r="K29" s="13">
        <v>87.0</v>
      </c>
      <c r="L29" s="13">
        <v>87.0</v>
      </c>
      <c r="M29" s="13">
        <v>104.0</v>
      </c>
      <c r="N29" s="13">
        <v>103.0</v>
      </c>
      <c r="O29" s="13">
        <v>99.0</v>
      </c>
      <c r="P29" s="13">
        <v>93.0</v>
      </c>
      <c r="Q29" s="13">
        <v>102.0</v>
      </c>
      <c r="R29" s="13">
        <v>85.0</v>
      </c>
      <c r="S29" s="13">
        <v>119.0</v>
      </c>
      <c r="T29" s="13">
        <v>108.0</v>
      </c>
      <c r="U29" s="13">
        <v>103.0</v>
      </c>
      <c r="V29" s="13">
        <v>79.0</v>
      </c>
      <c r="W29" s="13">
        <v>118.0</v>
      </c>
      <c r="X29" s="13">
        <v>108.0</v>
      </c>
      <c r="Y29" s="13">
        <v>118.0</v>
      </c>
      <c r="Z29" s="13">
        <v>116.0</v>
      </c>
      <c r="AA29" s="13">
        <v>125.0</v>
      </c>
      <c r="AB29" s="13">
        <v>103.0</v>
      </c>
      <c r="AC29" s="13">
        <v>96.0</v>
      </c>
      <c r="AD29" s="13">
        <v>118.0</v>
      </c>
      <c r="AE29" s="13">
        <v>113.0</v>
      </c>
      <c r="AF29" s="13">
        <v>117.0</v>
      </c>
      <c r="AG29" s="13">
        <v>112.0</v>
      </c>
      <c r="AH29" s="13">
        <v>92.0</v>
      </c>
      <c r="AI29" s="13">
        <v>112.0</v>
      </c>
      <c r="AJ29" s="13">
        <v>105.0</v>
      </c>
      <c r="AK29" s="13">
        <v>109.0</v>
      </c>
      <c r="AL29" s="13">
        <v>105.0</v>
      </c>
      <c r="AM29" s="13">
        <v>106.0</v>
      </c>
      <c r="AN29" s="13">
        <v>121.0</v>
      </c>
      <c r="AO29" s="13">
        <v>104.0</v>
      </c>
      <c r="AP29" s="13">
        <v>121.0</v>
      </c>
      <c r="AQ29" s="13">
        <v>104.0</v>
      </c>
      <c r="AR29" s="13">
        <v>106.0</v>
      </c>
      <c r="AS29" s="13">
        <f t="shared" si="3"/>
        <v>4170</v>
      </c>
    </row>
    <row r="30" ht="12.75" customHeight="1">
      <c r="A30" s="35"/>
      <c r="B30" s="28"/>
      <c r="C30" s="36"/>
      <c r="D30" s="13" t="s">
        <v>14</v>
      </c>
      <c r="E30" s="13">
        <f t="shared" ref="E30:AR30" si="4">SUM(E28:E29)</f>
        <v>204</v>
      </c>
      <c r="F30" s="13">
        <f t="shared" si="4"/>
        <v>191</v>
      </c>
      <c r="G30" s="13">
        <f t="shared" si="4"/>
        <v>178</v>
      </c>
      <c r="H30" s="13">
        <f t="shared" si="4"/>
        <v>200</v>
      </c>
      <c r="I30" s="13">
        <f t="shared" si="4"/>
        <v>187</v>
      </c>
      <c r="J30" s="13">
        <f t="shared" si="4"/>
        <v>166</v>
      </c>
      <c r="K30" s="13">
        <f t="shared" si="4"/>
        <v>166</v>
      </c>
      <c r="L30" s="13">
        <f t="shared" si="4"/>
        <v>179</v>
      </c>
      <c r="M30" s="13">
        <f t="shared" si="4"/>
        <v>198</v>
      </c>
      <c r="N30" s="13">
        <f t="shared" si="4"/>
        <v>190</v>
      </c>
      <c r="O30" s="13">
        <f t="shared" si="4"/>
        <v>192</v>
      </c>
      <c r="P30" s="13">
        <f t="shared" si="4"/>
        <v>174</v>
      </c>
      <c r="Q30" s="13">
        <f t="shared" si="4"/>
        <v>202</v>
      </c>
      <c r="R30" s="13">
        <f t="shared" si="4"/>
        <v>177</v>
      </c>
      <c r="S30" s="13">
        <f t="shared" si="4"/>
        <v>221</v>
      </c>
      <c r="T30" s="13">
        <f t="shared" si="4"/>
        <v>212</v>
      </c>
      <c r="U30" s="13">
        <f t="shared" si="4"/>
        <v>188</v>
      </c>
      <c r="V30" s="13">
        <f t="shared" si="4"/>
        <v>156</v>
      </c>
      <c r="W30" s="13">
        <f t="shared" si="4"/>
        <v>215</v>
      </c>
      <c r="X30" s="13">
        <f t="shared" si="4"/>
        <v>209</v>
      </c>
      <c r="Y30" s="13">
        <f t="shared" si="4"/>
        <v>206</v>
      </c>
      <c r="Z30" s="13">
        <f t="shared" si="4"/>
        <v>223</v>
      </c>
      <c r="AA30" s="13">
        <f t="shared" si="4"/>
        <v>233</v>
      </c>
      <c r="AB30" s="13">
        <f t="shared" si="4"/>
        <v>193</v>
      </c>
      <c r="AC30" s="13">
        <f t="shared" si="4"/>
        <v>199</v>
      </c>
      <c r="AD30" s="13">
        <f t="shared" si="4"/>
        <v>238</v>
      </c>
      <c r="AE30" s="13">
        <f t="shared" si="4"/>
        <v>231</v>
      </c>
      <c r="AF30" s="13">
        <f t="shared" si="4"/>
        <v>229</v>
      </c>
      <c r="AG30" s="13">
        <f t="shared" si="4"/>
        <v>222</v>
      </c>
      <c r="AH30" s="13">
        <f t="shared" si="4"/>
        <v>187</v>
      </c>
      <c r="AI30" s="13">
        <f t="shared" si="4"/>
        <v>221</v>
      </c>
      <c r="AJ30" s="13">
        <f t="shared" si="4"/>
        <v>197</v>
      </c>
      <c r="AK30" s="13">
        <f t="shared" si="4"/>
        <v>217</v>
      </c>
      <c r="AL30" s="13">
        <f t="shared" si="4"/>
        <v>205</v>
      </c>
      <c r="AM30" s="13">
        <f t="shared" si="4"/>
        <v>200</v>
      </c>
      <c r="AN30" s="13">
        <f t="shared" si="4"/>
        <v>235</v>
      </c>
      <c r="AO30" s="13">
        <f t="shared" si="4"/>
        <v>200</v>
      </c>
      <c r="AP30" s="13">
        <f t="shared" si="4"/>
        <v>233</v>
      </c>
      <c r="AQ30" s="13">
        <f t="shared" si="4"/>
        <v>197</v>
      </c>
      <c r="AR30" s="13">
        <f t="shared" si="4"/>
        <v>196</v>
      </c>
      <c r="AS30" s="13">
        <f t="shared" si="3"/>
        <v>8067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6"/>
    </row>
    <row r="33" ht="12.75" customHeight="1">
      <c r="A33" s="19">
        <v>1.0</v>
      </c>
      <c r="B33" s="20" t="s">
        <v>27</v>
      </c>
      <c r="C33" s="15"/>
      <c r="D33" s="16"/>
      <c r="E33" s="19">
        <v>265.0</v>
      </c>
      <c r="F33" s="19">
        <v>260.0</v>
      </c>
      <c r="G33" s="19">
        <v>259.0</v>
      </c>
      <c r="H33" s="19">
        <v>261.0</v>
      </c>
      <c r="I33" s="19">
        <v>251.0</v>
      </c>
      <c r="J33" s="19">
        <v>248.0</v>
      </c>
      <c r="K33" s="19">
        <v>250.0</v>
      </c>
      <c r="L33" s="19">
        <v>240.0</v>
      </c>
      <c r="M33" s="19">
        <v>278.0</v>
      </c>
      <c r="N33" s="19">
        <v>265.0</v>
      </c>
      <c r="O33" s="19">
        <v>257.0</v>
      </c>
      <c r="P33" s="19">
        <v>274.0</v>
      </c>
      <c r="Q33" s="19">
        <v>289.0</v>
      </c>
      <c r="R33" s="19">
        <v>283.0</v>
      </c>
      <c r="S33" s="19">
        <v>286.0</v>
      </c>
      <c r="T33" s="19">
        <v>267.0</v>
      </c>
      <c r="U33" s="19">
        <v>258.0</v>
      </c>
      <c r="V33" s="19">
        <v>237.0</v>
      </c>
      <c r="W33" s="19">
        <v>275.0</v>
      </c>
      <c r="X33" s="19">
        <v>271.0</v>
      </c>
      <c r="Y33" s="19">
        <v>281.0</v>
      </c>
      <c r="Z33" s="19">
        <v>290.0</v>
      </c>
      <c r="AA33" s="19">
        <v>288.0</v>
      </c>
      <c r="AB33" s="19">
        <v>255.0</v>
      </c>
      <c r="AC33" s="19">
        <v>259.0</v>
      </c>
      <c r="AD33" s="19">
        <v>278.0</v>
      </c>
      <c r="AE33" s="19">
        <v>295.0</v>
      </c>
      <c r="AF33" s="19">
        <v>288.0</v>
      </c>
      <c r="AG33" s="19">
        <v>276.0</v>
      </c>
      <c r="AH33" s="19">
        <v>249.0</v>
      </c>
      <c r="AI33" s="19">
        <v>272.0</v>
      </c>
      <c r="AJ33" s="19">
        <v>254.0</v>
      </c>
      <c r="AK33" s="19">
        <v>272.0</v>
      </c>
      <c r="AL33" s="19">
        <v>263.0</v>
      </c>
      <c r="AM33" s="19">
        <v>271.0</v>
      </c>
      <c r="AN33" s="19">
        <v>270.0</v>
      </c>
      <c r="AO33" s="19">
        <v>263.0</v>
      </c>
      <c r="AP33" s="19">
        <v>296.0</v>
      </c>
      <c r="AQ33" s="19">
        <v>278.0</v>
      </c>
      <c r="AR33" s="19">
        <v>276.0</v>
      </c>
      <c r="AS33" s="13">
        <f t="shared" ref="AS33:AS36" si="5">SUM(E33:AR33)</f>
        <v>10748</v>
      </c>
    </row>
    <row r="34" ht="12.75" customHeight="1">
      <c r="A34" s="19">
        <v>2.0</v>
      </c>
      <c r="B34" s="20" t="s">
        <v>28</v>
      </c>
      <c r="C34" s="15"/>
      <c r="D34" s="16"/>
      <c r="E34" s="13">
        <v>204.0</v>
      </c>
      <c r="F34" s="13">
        <v>191.0</v>
      </c>
      <c r="G34" s="13">
        <v>178.0</v>
      </c>
      <c r="H34" s="13">
        <v>200.0</v>
      </c>
      <c r="I34" s="13">
        <v>187.0</v>
      </c>
      <c r="J34" s="13">
        <v>166.0</v>
      </c>
      <c r="K34" s="13">
        <v>166.0</v>
      </c>
      <c r="L34" s="13">
        <v>179.0</v>
      </c>
      <c r="M34" s="13">
        <v>198.0</v>
      </c>
      <c r="N34" s="13">
        <v>190.0</v>
      </c>
      <c r="O34" s="13">
        <v>192.0</v>
      </c>
      <c r="P34" s="13">
        <v>174.0</v>
      </c>
      <c r="Q34" s="13">
        <v>202.0</v>
      </c>
      <c r="R34" s="13">
        <v>177.0</v>
      </c>
      <c r="S34" s="13">
        <v>221.0</v>
      </c>
      <c r="T34" s="13">
        <v>212.0</v>
      </c>
      <c r="U34" s="13">
        <v>188.0</v>
      </c>
      <c r="V34" s="13">
        <v>156.0</v>
      </c>
      <c r="W34" s="13">
        <v>215.0</v>
      </c>
      <c r="X34" s="13">
        <v>209.0</v>
      </c>
      <c r="Y34" s="13">
        <v>206.0</v>
      </c>
      <c r="Z34" s="13">
        <v>223.0</v>
      </c>
      <c r="AA34" s="13">
        <v>233.0</v>
      </c>
      <c r="AB34" s="13">
        <v>193.0</v>
      </c>
      <c r="AC34" s="13">
        <v>199.0</v>
      </c>
      <c r="AD34" s="13">
        <v>238.0</v>
      </c>
      <c r="AE34" s="13">
        <v>231.0</v>
      </c>
      <c r="AF34" s="13">
        <v>229.0</v>
      </c>
      <c r="AG34" s="13">
        <v>222.0</v>
      </c>
      <c r="AH34" s="13">
        <v>187.0</v>
      </c>
      <c r="AI34" s="13">
        <v>221.0</v>
      </c>
      <c r="AJ34" s="13">
        <v>197.0</v>
      </c>
      <c r="AK34" s="13">
        <v>217.0</v>
      </c>
      <c r="AL34" s="13">
        <v>205.0</v>
      </c>
      <c r="AM34" s="13">
        <v>200.0</v>
      </c>
      <c r="AN34" s="13">
        <v>235.0</v>
      </c>
      <c r="AO34" s="13">
        <v>200.0</v>
      </c>
      <c r="AP34" s="13">
        <v>233.0</v>
      </c>
      <c r="AQ34" s="13">
        <v>197.0</v>
      </c>
      <c r="AR34" s="13">
        <v>196.0</v>
      </c>
      <c r="AS34" s="13">
        <f t="shared" si="5"/>
        <v>8067</v>
      </c>
    </row>
    <row r="35" ht="12.75" customHeight="1">
      <c r="A35" s="19">
        <v>3.0</v>
      </c>
      <c r="B35" s="20" t="s">
        <v>29</v>
      </c>
      <c r="C35" s="15"/>
      <c r="D35" s="16"/>
      <c r="E35" s="19">
        <v>3.0</v>
      </c>
      <c r="F35" s="19">
        <v>3.0</v>
      </c>
      <c r="G35" s="19">
        <v>0.0</v>
      </c>
      <c r="H35" s="19">
        <v>5.0</v>
      </c>
      <c r="I35" s="19">
        <v>0.0</v>
      </c>
      <c r="J35" s="19">
        <v>0.0</v>
      </c>
      <c r="K35" s="19">
        <v>0.0</v>
      </c>
      <c r="L35" s="19">
        <v>0.0</v>
      </c>
      <c r="M35" s="19">
        <v>2.0</v>
      </c>
      <c r="N35" s="19">
        <v>0.0</v>
      </c>
      <c r="O35" s="19">
        <v>1.0</v>
      </c>
      <c r="P35" s="19">
        <v>1.0</v>
      </c>
      <c r="Q35" s="19">
        <v>0.0</v>
      </c>
      <c r="R35" s="19">
        <v>0.0</v>
      </c>
      <c r="S35" s="19">
        <v>1.0</v>
      </c>
      <c r="T35" s="19">
        <v>3.0</v>
      </c>
      <c r="U35" s="19">
        <v>2.0</v>
      </c>
      <c r="V35" s="19">
        <v>0.0</v>
      </c>
      <c r="W35" s="19">
        <v>0.0</v>
      </c>
      <c r="X35" s="19">
        <v>2.0</v>
      </c>
      <c r="Y35" s="19">
        <v>0.0</v>
      </c>
      <c r="Z35" s="19">
        <v>1.0</v>
      </c>
      <c r="AA35" s="19">
        <v>0.0</v>
      </c>
      <c r="AB35" s="19">
        <v>0.0</v>
      </c>
      <c r="AC35" s="19">
        <v>0.0</v>
      </c>
      <c r="AD35" s="19">
        <v>4.0</v>
      </c>
      <c r="AE35" s="19">
        <v>2.0</v>
      </c>
      <c r="AF35" s="19">
        <v>0.0</v>
      </c>
      <c r="AG35" s="19">
        <v>2.0</v>
      </c>
      <c r="AH35" s="19">
        <v>1.0</v>
      </c>
      <c r="AI35" s="19">
        <v>2.0</v>
      </c>
      <c r="AJ35" s="19">
        <v>0.0</v>
      </c>
      <c r="AK35" s="19">
        <v>0.0</v>
      </c>
      <c r="AL35" s="19">
        <v>0.0</v>
      </c>
      <c r="AM35" s="19">
        <v>1.0</v>
      </c>
      <c r="AN35" s="19">
        <v>1.0</v>
      </c>
      <c r="AO35" s="19">
        <v>0.0</v>
      </c>
      <c r="AP35" s="19">
        <v>0.0</v>
      </c>
      <c r="AQ35" s="19">
        <v>3.0</v>
      </c>
      <c r="AR35" s="19">
        <v>1.0</v>
      </c>
      <c r="AS35" s="13">
        <f t="shared" si="5"/>
        <v>41</v>
      </c>
    </row>
    <row r="36" ht="12.75" customHeight="1">
      <c r="A36" s="19">
        <v>4.0</v>
      </c>
      <c r="B36" s="20" t="s">
        <v>30</v>
      </c>
      <c r="C36" s="15"/>
      <c r="D36" s="16"/>
      <c r="E36" s="13">
        <v>58.0</v>
      </c>
      <c r="F36" s="13">
        <v>66.0</v>
      </c>
      <c r="G36" s="13">
        <v>81.0</v>
      </c>
      <c r="H36" s="13">
        <v>56.0</v>
      </c>
      <c r="I36" s="13">
        <v>64.0</v>
      </c>
      <c r="J36" s="13">
        <v>82.0</v>
      </c>
      <c r="K36" s="13">
        <v>84.0</v>
      </c>
      <c r="L36" s="13">
        <v>61.0</v>
      </c>
      <c r="M36" s="13">
        <v>78.0</v>
      </c>
      <c r="N36" s="13">
        <v>75.0</v>
      </c>
      <c r="O36" s="13">
        <v>64.0</v>
      </c>
      <c r="P36" s="13">
        <v>99.0</v>
      </c>
      <c r="Q36" s="13">
        <v>87.0</v>
      </c>
      <c r="R36" s="13">
        <v>106.0</v>
      </c>
      <c r="S36" s="13">
        <v>64.0</v>
      </c>
      <c r="T36" s="13">
        <v>52.0</v>
      </c>
      <c r="U36" s="13">
        <v>68.0</v>
      </c>
      <c r="V36" s="13">
        <v>81.0</v>
      </c>
      <c r="W36" s="13">
        <v>60.0</v>
      </c>
      <c r="X36" s="13">
        <v>60.0</v>
      </c>
      <c r="Y36" s="13">
        <v>75.0</v>
      </c>
      <c r="Z36" s="13">
        <v>66.0</v>
      </c>
      <c r="AA36" s="13">
        <v>55.0</v>
      </c>
      <c r="AB36" s="13">
        <v>62.0</v>
      </c>
      <c r="AC36" s="13">
        <v>60.0</v>
      </c>
      <c r="AD36" s="13">
        <v>36.0</v>
      </c>
      <c r="AE36" s="13">
        <v>62.0</v>
      </c>
      <c r="AF36" s="13">
        <v>59.0</v>
      </c>
      <c r="AG36" s="13">
        <v>52.0</v>
      </c>
      <c r="AH36" s="13">
        <v>61.0</v>
      </c>
      <c r="AI36" s="13">
        <v>49.0</v>
      </c>
      <c r="AJ36" s="13">
        <v>57.0</v>
      </c>
      <c r="AK36" s="13">
        <v>55.0</v>
      </c>
      <c r="AL36" s="13">
        <v>58.0</v>
      </c>
      <c r="AM36" s="13">
        <v>70.0</v>
      </c>
      <c r="AN36" s="13">
        <v>34.0</v>
      </c>
      <c r="AO36" s="13">
        <v>63.0</v>
      </c>
      <c r="AP36" s="13">
        <v>63.0</v>
      </c>
      <c r="AQ36" s="13">
        <v>78.0</v>
      </c>
      <c r="AR36" s="13">
        <v>79.0</v>
      </c>
      <c r="AS36" s="13">
        <f t="shared" si="5"/>
        <v>2640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5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6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1.0</v>
      </c>
      <c r="Y39" s="19">
        <v>0.0</v>
      </c>
      <c r="Z39" s="19">
        <v>1.0</v>
      </c>
      <c r="AA39" s="19">
        <v>0.0</v>
      </c>
      <c r="AB39" s="19">
        <v>1.0</v>
      </c>
      <c r="AC39" s="19">
        <v>1.0</v>
      </c>
      <c r="AD39" s="19">
        <v>0.0</v>
      </c>
      <c r="AE39" s="19">
        <v>0.0</v>
      </c>
      <c r="AF39" s="19">
        <v>0.0</v>
      </c>
      <c r="AG39" s="19">
        <v>1.0</v>
      </c>
      <c r="AH39" s="19">
        <v>0.0</v>
      </c>
      <c r="AI39" s="19">
        <v>0.0</v>
      </c>
      <c r="AJ39" s="19">
        <v>0.0</v>
      </c>
      <c r="AK39" s="19">
        <v>0.0</v>
      </c>
      <c r="AL39" s="19">
        <v>1.0</v>
      </c>
      <c r="AM39" s="19">
        <v>0.0</v>
      </c>
      <c r="AN39" s="19">
        <v>3.0</v>
      </c>
      <c r="AO39" s="19">
        <v>0.0</v>
      </c>
      <c r="AP39" s="19">
        <v>0.0</v>
      </c>
      <c r="AQ39" s="19">
        <v>0.0</v>
      </c>
      <c r="AR39" s="19">
        <v>0.0</v>
      </c>
      <c r="AS39" s="13">
        <f t="shared" ref="AS39:AS41" si="6">SUM(E39:AR39)</f>
        <v>10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1.0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1.0</v>
      </c>
      <c r="Y40" s="19">
        <v>0.0</v>
      </c>
      <c r="Z40" s="19">
        <v>4.0</v>
      </c>
      <c r="AA40" s="19">
        <v>0.0</v>
      </c>
      <c r="AB40" s="19">
        <v>1.0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1.0</v>
      </c>
      <c r="AM40" s="19">
        <v>0.0</v>
      </c>
      <c r="AN40" s="19">
        <v>9.0</v>
      </c>
      <c r="AO40" s="19">
        <v>0.0</v>
      </c>
      <c r="AP40" s="19">
        <v>0.0</v>
      </c>
      <c r="AQ40" s="19">
        <v>0.0</v>
      </c>
      <c r="AR40" s="19">
        <v>0.0</v>
      </c>
      <c r="AS40" s="13">
        <f t="shared" si="6"/>
        <v>17</v>
      </c>
    </row>
    <row r="41" ht="12.75" customHeight="1">
      <c r="A41" s="41"/>
      <c r="B41" s="44"/>
      <c r="C41" s="28"/>
      <c r="D41" s="13" t="s">
        <v>14</v>
      </c>
      <c r="E41" s="13">
        <f t="shared" ref="E41:AR41" si="7">SUM(E39:E40)</f>
        <v>0</v>
      </c>
      <c r="F41" s="13">
        <f t="shared" si="7"/>
        <v>1</v>
      </c>
      <c r="G41" s="13">
        <f t="shared" si="7"/>
        <v>0</v>
      </c>
      <c r="H41" s="13">
        <f t="shared" si="7"/>
        <v>0</v>
      </c>
      <c r="I41" s="13">
        <f t="shared" si="7"/>
        <v>0</v>
      </c>
      <c r="J41" s="13">
        <f t="shared" si="7"/>
        <v>0</v>
      </c>
      <c r="K41" s="13">
        <f t="shared" si="7"/>
        <v>0</v>
      </c>
      <c r="L41" s="13">
        <f t="shared" si="7"/>
        <v>0</v>
      </c>
      <c r="M41" s="13">
        <f t="shared" si="7"/>
        <v>0</v>
      </c>
      <c r="N41" s="13">
        <f t="shared" si="7"/>
        <v>0</v>
      </c>
      <c r="O41" s="13">
        <f t="shared" si="7"/>
        <v>0</v>
      </c>
      <c r="P41" s="13">
        <f t="shared" si="7"/>
        <v>1</v>
      </c>
      <c r="Q41" s="13">
        <f t="shared" si="7"/>
        <v>0</v>
      </c>
      <c r="R41" s="13">
        <f t="shared" si="7"/>
        <v>0</v>
      </c>
      <c r="S41" s="13">
        <f t="shared" si="7"/>
        <v>0</v>
      </c>
      <c r="T41" s="13">
        <f t="shared" si="7"/>
        <v>0</v>
      </c>
      <c r="U41" s="13">
        <f t="shared" si="7"/>
        <v>0</v>
      </c>
      <c r="V41" s="13">
        <f t="shared" si="7"/>
        <v>0</v>
      </c>
      <c r="W41" s="13">
        <f t="shared" si="7"/>
        <v>0</v>
      </c>
      <c r="X41" s="13">
        <f t="shared" si="7"/>
        <v>2</v>
      </c>
      <c r="Y41" s="13">
        <f t="shared" si="7"/>
        <v>0</v>
      </c>
      <c r="Z41" s="13">
        <f t="shared" si="7"/>
        <v>5</v>
      </c>
      <c r="AA41" s="13">
        <f t="shared" si="7"/>
        <v>0</v>
      </c>
      <c r="AB41" s="13">
        <f t="shared" si="7"/>
        <v>2</v>
      </c>
      <c r="AC41" s="13">
        <f t="shared" si="7"/>
        <v>1</v>
      </c>
      <c r="AD41" s="13">
        <f t="shared" si="7"/>
        <v>0</v>
      </c>
      <c r="AE41" s="13">
        <f t="shared" si="7"/>
        <v>0</v>
      </c>
      <c r="AF41" s="13">
        <f t="shared" si="7"/>
        <v>0</v>
      </c>
      <c r="AG41" s="13">
        <f t="shared" si="7"/>
        <v>1</v>
      </c>
      <c r="AH41" s="13">
        <f t="shared" si="7"/>
        <v>0</v>
      </c>
      <c r="AI41" s="13">
        <f t="shared" si="7"/>
        <v>0</v>
      </c>
      <c r="AJ41" s="13">
        <f t="shared" si="7"/>
        <v>0</v>
      </c>
      <c r="AK41" s="13">
        <f t="shared" si="7"/>
        <v>0</v>
      </c>
      <c r="AL41" s="13">
        <f t="shared" si="7"/>
        <v>2</v>
      </c>
      <c r="AM41" s="13">
        <f t="shared" si="7"/>
        <v>0</v>
      </c>
      <c r="AN41" s="13">
        <f t="shared" si="7"/>
        <v>12</v>
      </c>
      <c r="AO41" s="13">
        <f t="shared" si="7"/>
        <v>0</v>
      </c>
      <c r="AP41" s="13">
        <f t="shared" si="7"/>
        <v>0</v>
      </c>
      <c r="AQ41" s="13">
        <f t="shared" si="7"/>
        <v>0</v>
      </c>
      <c r="AR41" s="13">
        <f t="shared" si="7"/>
        <v>0</v>
      </c>
      <c r="AS41" s="13">
        <f t="shared" si="6"/>
        <v>27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5"/>
      <c r="O42" s="19"/>
      <c r="P42" s="65"/>
      <c r="Q42" s="19"/>
      <c r="R42" s="65"/>
      <c r="S42" s="19"/>
      <c r="T42" s="65"/>
      <c r="U42" s="19"/>
      <c r="V42" s="65"/>
      <c r="W42" s="19"/>
      <c r="X42" s="65"/>
      <c r="Y42" s="19"/>
      <c r="Z42" s="65"/>
      <c r="AA42" s="19"/>
      <c r="AB42" s="65"/>
      <c r="AC42" s="19"/>
      <c r="AD42" s="65"/>
      <c r="AE42" s="19"/>
      <c r="AF42" s="65"/>
      <c r="AG42" s="19"/>
      <c r="AH42" s="65"/>
      <c r="AI42" s="19"/>
      <c r="AJ42" s="65"/>
      <c r="AK42" s="19"/>
      <c r="AL42" s="65"/>
      <c r="AM42" s="19"/>
      <c r="AN42" s="65"/>
      <c r="AO42" s="19"/>
      <c r="AP42" s="65"/>
      <c r="AQ42" s="19"/>
      <c r="AR42" s="65"/>
      <c r="A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7"/>
      <c r="O43" s="13"/>
      <c r="P43" s="67"/>
      <c r="Q43" s="13"/>
      <c r="R43" s="67"/>
      <c r="S43" s="13"/>
      <c r="T43" s="67"/>
      <c r="U43" s="13"/>
      <c r="V43" s="67"/>
      <c r="W43" s="13"/>
      <c r="X43" s="67"/>
      <c r="Y43" s="13"/>
      <c r="Z43" s="67"/>
      <c r="AA43" s="13"/>
      <c r="AB43" s="67"/>
      <c r="AC43" s="13"/>
      <c r="AD43" s="67"/>
      <c r="AE43" s="13"/>
      <c r="AF43" s="67"/>
      <c r="AG43" s="13"/>
      <c r="AH43" s="67"/>
      <c r="AI43" s="13"/>
      <c r="AJ43" s="67"/>
      <c r="AK43" s="13"/>
      <c r="AL43" s="67"/>
      <c r="AM43" s="13"/>
      <c r="AN43" s="67"/>
      <c r="AO43" s="13"/>
      <c r="AP43" s="67"/>
      <c r="AQ43" s="13"/>
      <c r="AR43" s="67"/>
      <c r="A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5"/>
      <c r="O44" s="19"/>
      <c r="P44" s="65"/>
      <c r="Q44" s="19"/>
      <c r="R44" s="65"/>
      <c r="S44" s="19"/>
      <c r="T44" s="65"/>
      <c r="U44" s="19"/>
      <c r="V44" s="65"/>
      <c r="W44" s="19"/>
      <c r="X44" s="65"/>
      <c r="Y44" s="19"/>
      <c r="Z44" s="65"/>
      <c r="AA44" s="19"/>
      <c r="AB44" s="65"/>
      <c r="AC44" s="19"/>
      <c r="AD44" s="65"/>
      <c r="AE44" s="19"/>
      <c r="AF44" s="65"/>
      <c r="AG44" s="19"/>
      <c r="AH44" s="65"/>
      <c r="AI44" s="19"/>
      <c r="AJ44" s="65"/>
      <c r="AK44" s="19"/>
      <c r="AL44" s="65"/>
      <c r="AM44" s="19"/>
      <c r="AN44" s="65"/>
      <c r="AO44" s="19"/>
      <c r="AP44" s="65"/>
      <c r="AQ44" s="19"/>
      <c r="AR44" s="65"/>
      <c r="AS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3.0</v>
      </c>
      <c r="F45" s="19">
        <v>1.0</v>
      </c>
      <c r="G45" s="19">
        <v>4.0</v>
      </c>
      <c r="H45" s="19">
        <v>7.0</v>
      </c>
      <c r="I45" s="19">
        <v>2.0</v>
      </c>
      <c r="J45" s="19">
        <v>3.0</v>
      </c>
      <c r="K45" s="19">
        <v>8.0</v>
      </c>
      <c r="L45" s="19">
        <v>4.0</v>
      </c>
      <c r="M45" s="19">
        <v>3.0</v>
      </c>
      <c r="N45" s="19">
        <v>0.0</v>
      </c>
      <c r="O45" s="19">
        <v>3.0</v>
      </c>
      <c r="P45" s="19">
        <v>4.0</v>
      </c>
      <c r="Q45" s="19">
        <v>5.0</v>
      </c>
      <c r="R45" s="19">
        <v>5.0</v>
      </c>
      <c r="S45" s="19">
        <v>3.0</v>
      </c>
      <c r="T45" s="19">
        <v>6.0</v>
      </c>
      <c r="U45" s="19">
        <v>6.0</v>
      </c>
      <c r="V45" s="19">
        <v>5.0</v>
      </c>
      <c r="W45" s="19">
        <v>5.0</v>
      </c>
      <c r="X45" s="19">
        <v>3.0</v>
      </c>
      <c r="Y45" s="19">
        <v>4.0</v>
      </c>
      <c r="Z45" s="19">
        <v>6.0</v>
      </c>
      <c r="AA45" s="19">
        <v>7.0</v>
      </c>
      <c r="AB45" s="19">
        <v>9.0</v>
      </c>
      <c r="AC45" s="19">
        <v>3.0</v>
      </c>
      <c r="AD45" s="19">
        <v>2.0</v>
      </c>
      <c r="AE45" s="19">
        <v>4.0</v>
      </c>
      <c r="AF45" s="19">
        <v>5.0</v>
      </c>
      <c r="AG45" s="19">
        <v>7.0</v>
      </c>
      <c r="AH45" s="19">
        <v>6.0</v>
      </c>
      <c r="AI45" s="19">
        <v>2.0</v>
      </c>
      <c r="AJ45" s="19">
        <v>3.0</v>
      </c>
      <c r="AK45" s="19">
        <v>7.0</v>
      </c>
      <c r="AL45" s="19">
        <v>1.0</v>
      </c>
      <c r="AM45" s="19">
        <v>2.0</v>
      </c>
      <c r="AN45" s="19">
        <v>2.0</v>
      </c>
      <c r="AO45" s="19">
        <v>10.0</v>
      </c>
      <c r="AP45" s="19">
        <v>6.0</v>
      </c>
      <c r="AQ45" s="19">
        <v>5.0</v>
      </c>
      <c r="AR45" s="19">
        <v>2.0</v>
      </c>
      <c r="AS45" s="13">
        <f t="shared" ref="AS45:AS182" si="8">SUM(E45:AR45)</f>
        <v>173</v>
      </c>
    </row>
    <row r="46" ht="12.75" customHeight="1">
      <c r="A46" s="30" t="s">
        <v>39</v>
      </c>
      <c r="B46" s="49">
        <v>1.0</v>
      </c>
      <c r="C46" s="50" t="s">
        <v>40</v>
      </c>
      <c r="D46" s="51"/>
      <c r="E46" s="19">
        <v>2.0</v>
      </c>
      <c r="F46" s="19">
        <v>1.0</v>
      </c>
      <c r="G46" s="19">
        <v>0.0</v>
      </c>
      <c r="H46" s="19">
        <v>5.0</v>
      </c>
      <c r="I46" s="19">
        <v>3.0</v>
      </c>
      <c r="J46" s="19">
        <v>3.0</v>
      </c>
      <c r="K46" s="19">
        <v>1.0</v>
      </c>
      <c r="L46" s="19">
        <v>0.0</v>
      </c>
      <c r="M46" s="19">
        <v>0.0</v>
      </c>
      <c r="N46" s="19">
        <v>2.0</v>
      </c>
      <c r="O46" s="19">
        <v>0.0</v>
      </c>
      <c r="P46" s="19">
        <v>0.0</v>
      </c>
      <c r="Q46" s="19">
        <v>2.0</v>
      </c>
      <c r="R46" s="19">
        <v>3.0</v>
      </c>
      <c r="S46" s="19">
        <v>17.0</v>
      </c>
      <c r="T46" s="19">
        <v>4.0</v>
      </c>
      <c r="U46" s="19">
        <v>4.0</v>
      </c>
      <c r="V46" s="19">
        <v>5.0</v>
      </c>
      <c r="W46" s="19">
        <v>2.0</v>
      </c>
      <c r="X46" s="19">
        <v>5.0</v>
      </c>
      <c r="Y46" s="19">
        <v>7.0</v>
      </c>
      <c r="Z46" s="19">
        <v>12.0</v>
      </c>
      <c r="AA46" s="19">
        <v>12.0</v>
      </c>
      <c r="AB46" s="19">
        <v>17.0</v>
      </c>
      <c r="AC46" s="19">
        <v>13.0</v>
      </c>
      <c r="AD46" s="19">
        <v>2.0</v>
      </c>
      <c r="AE46" s="19">
        <v>8.0</v>
      </c>
      <c r="AF46" s="19">
        <v>14.0</v>
      </c>
      <c r="AG46" s="19">
        <v>8.0</v>
      </c>
      <c r="AH46" s="19">
        <v>15.0</v>
      </c>
      <c r="AI46" s="19">
        <v>2.0</v>
      </c>
      <c r="AJ46" s="19">
        <v>13.0</v>
      </c>
      <c r="AK46" s="19">
        <v>5.0</v>
      </c>
      <c r="AL46" s="19">
        <v>11.0</v>
      </c>
      <c r="AM46" s="19">
        <v>10.0</v>
      </c>
      <c r="AN46" s="19">
        <v>7.0</v>
      </c>
      <c r="AO46" s="19">
        <v>2.0</v>
      </c>
      <c r="AP46" s="19">
        <v>0.0</v>
      </c>
      <c r="AQ46" s="19">
        <v>4.0</v>
      </c>
      <c r="AR46" s="19">
        <v>3.0</v>
      </c>
      <c r="AS46" s="13">
        <f t="shared" si="8"/>
        <v>224</v>
      </c>
    </row>
    <row r="47" ht="12.75" customHeight="1">
      <c r="A47" s="18"/>
      <c r="B47" s="49">
        <v>2.0</v>
      </c>
      <c r="C47" s="50" t="s">
        <v>41</v>
      </c>
      <c r="D47" s="51"/>
      <c r="E47" s="19">
        <v>4.0</v>
      </c>
      <c r="F47" s="19">
        <v>19.0</v>
      </c>
      <c r="G47" s="19">
        <v>27.0</v>
      </c>
      <c r="H47" s="19">
        <v>17.0</v>
      </c>
      <c r="I47" s="19">
        <v>29.0</v>
      </c>
      <c r="J47" s="19">
        <v>9.0</v>
      </c>
      <c r="K47" s="19">
        <v>11.0</v>
      </c>
      <c r="L47" s="19">
        <v>23.0</v>
      </c>
      <c r="M47" s="19">
        <v>11.0</v>
      </c>
      <c r="N47" s="19">
        <v>4.0</v>
      </c>
      <c r="O47" s="19">
        <v>0.0</v>
      </c>
      <c r="P47" s="19">
        <v>13.0</v>
      </c>
      <c r="Q47" s="19">
        <v>5.0</v>
      </c>
      <c r="R47" s="19">
        <v>4.0</v>
      </c>
      <c r="S47" s="19">
        <v>4.0</v>
      </c>
      <c r="T47" s="19">
        <v>4.0</v>
      </c>
      <c r="U47" s="19">
        <v>5.0</v>
      </c>
      <c r="V47" s="19">
        <v>6.0</v>
      </c>
      <c r="W47" s="19">
        <v>1.0</v>
      </c>
      <c r="X47" s="19">
        <v>6.0</v>
      </c>
      <c r="Y47" s="19">
        <v>23.0</v>
      </c>
      <c r="Z47" s="19">
        <v>10.0</v>
      </c>
      <c r="AA47" s="19">
        <v>6.0</v>
      </c>
      <c r="AB47" s="19">
        <v>5.0</v>
      </c>
      <c r="AC47" s="19">
        <v>14.0</v>
      </c>
      <c r="AD47" s="19">
        <v>6.0</v>
      </c>
      <c r="AE47" s="19">
        <v>9.0</v>
      </c>
      <c r="AF47" s="19">
        <v>9.0</v>
      </c>
      <c r="AG47" s="19">
        <v>12.0</v>
      </c>
      <c r="AH47" s="19">
        <v>15.0</v>
      </c>
      <c r="AI47" s="19">
        <v>9.0</v>
      </c>
      <c r="AJ47" s="19">
        <v>5.0</v>
      </c>
      <c r="AK47" s="19">
        <v>2.0</v>
      </c>
      <c r="AL47" s="19">
        <v>1.0</v>
      </c>
      <c r="AM47" s="19">
        <v>9.0</v>
      </c>
      <c r="AN47" s="19">
        <v>12.0</v>
      </c>
      <c r="AO47" s="19">
        <v>20.0</v>
      </c>
      <c r="AP47" s="19">
        <v>13.0</v>
      </c>
      <c r="AQ47" s="19">
        <v>6.0</v>
      </c>
      <c r="AR47" s="19">
        <v>9.0</v>
      </c>
      <c r="AS47" s="13">
        <f t="shared" si="8"/>
        <v>397</v>
      </c>
    </row>
    <row r="48" ht="12.75" customHeight="1">
      <c r="A48" s="18"/>
      <c r="B48" s="49">
        <v>3.0</v>
      </c>
      <c r="C48" s="50" t="s">
        <v>42</v>
      </c>
      <c r="D48" s="51"/>
      <c r="E48" s="19">
        <v>0.0</v>
      </c>
      <c r="F48" s="19">
        <v>0.0</v>
      </c>
      <c r="G48" s="19">
        <v>0.0</v>
      </c>
      <c r="H48" s="19">
        <v>0.0</v>
      </c>
      <c r="I48" s="19">
        <v>0.0</v>
      </c>
      <c r="J48" s="19">
        <v>1.0</v>
      </c>
      <c r="K48" s="19">
        <v>0.0</v>
      </c>
      <c r="L48" s="19">
        <v>0.0</v>
      </c>
      <c r="M48" s="19">
        <v>0.0</v>
      </c>
      <c r="N48" s="19">
        <v>0.0</v>
      </c>
      <c r="O48" s="19">
        <v>0.0</v>
      </c>
      <c r="P48" s="19">
        <v>0.0</v>
      </c>
      <c r="Q48" s="19">
        <v>0.0</v>
      </c>
      <c r="R48" s="19">
        <v>0.0</v>
      </c>
      <c r="S48" s="19">
        <v>0.0</v>
      </c>
      <c r="T48" s="19">
        <v>0.0</v>
      </c>
      <c r="U48" s="19">
        <v>0.0</v>
      </c>
      <c r="V48" s="19">
        <v>4.0</v>
      </c>
      <c r="W48" s="19">
        <v>1.0</v>
      </c>
      <c r="X48" s="19">
        <v>0.0</v>
      </c>
      <c r="Y48" s="19">
        <v>0.0</v>
      </c>
      <c r="Z48" s="19">
        <v>0.0</v>
      </c>
      <c r="AA48" s="19">
        <v>1.0</v>
      </c>
      <c r="AB48" s="19">
        <v>0.0</v>
      </c>
      <c r="AC48" s="19">
        <v>0.0</v>
      </c>
      <c r="AD48" s="19">
        <v>1.0</v>
      </c>
      <c r="AE48" s="19">
        <v>0.0</v>
      </c>
      <c r="AF48" s="19">
        <v>1.0</v>
      </c>
      <c r="AG48" s="19">
        <v>0.0</v>
      </c>
      <c r="AH48" s="19">
        <v>1.0</v>
      </c>
      <c r="AI48" s="19">
        <v>1.0</v>
      </c>
      <c r="AJ48" s="19">
        <v>0.0</v>
      </c>
      <c r="AK48" s="19">
        <v>0.0</v>
      </c>
      <c r="AL48" s="19">
        <v>0.0</v>
      </c>
      <c r="AM48" s="19">
        <v>0.0</v>
      </c>
      <c r="AN48" s="19">
        <v>0.0</v>
      </c>
      <c r="AO48" s="19">
        <v>0.0</v>
      </c>
      <c r="AP48" s="19">
        <v>1.0</v>
      </c>
      <c r="AQ48" s="19">
        <v>0.0</v>
      </c>
      <c r="AR48" s="19">
        <v>0.0</v>
      </c>
      <c r="AS48" s="13">
        <f t="shared" si="8"/>
        <v>12</v>
      </c>
    </row>
    <row r="49" ht="12.75" customHeight="1">
      <c r="A49" s="18"/>
      <c r="B49" s="49">
        <v>4.0</v>
      </c>
      <c r="C49" s="50" t="s">
        <v>43</v>
      </c>
      <c r="D49" s="51"/>
      <c r="E49" s="19">
        <v>0.0</v>
      </c>
      <c r="F49" s="19">
        <v>0.0</v>
      </c>
      <c r="G49" s="19">
        <v>0.0</v>
      </c>
      <c r="H49" s="19">
        <v>0.0</v>
      </c>
      <c r="I49" s="19">
        <v>1.0</v>
      </c>
      <c r="J49" s="19">
        <v>0.0</v>
      </c>
      <c r="K49" s="19">
        <v>0.0</v>
      </c>
      <c r="L49" s="19">
        <v>0.0</v>
      </c>
      <c r="M49" s="19">
        <v>0.0</v>
      </c>
      <c r="N49" s="19">
        <v>1.0</v>
      </c>
      <c r="O49" s="19">
        <v>0.0</v>
      </c>
      <c r="P49" s="19">
        <v>0.0</v>
      </c>
      <c r="Q49" s="19">
        <v>0.0</v>
      </c>
      <c r="R49" s="19">
        <v>0.0</v>
      </c>
      <c r="S49" s="19">
        <v>0.0</v>
      </c>
      <c r="T49" s="19">
        <v>0.0</v>
      </c>
      <c r="U49" s="19">
        <v>1.0</v>
      </c>
      <c r="V49" s="19">
        <v>0.0</v>
      </c>
      <c r="W49" s="19">
        <v>0.0</v>
      </c>
      <c r="X49" s="19">
        <v>0.0</v>
      </c>
      <c r="Y49" s="19">
        <v>0.0</v>
      </c>
      <c r="Z49" s="19">
        <v>0.0</v>
      </c>
      <c r="AA49" s="19">
        <v>0.0</v>
      </c>
      <c r="AB49" s="19">
        <v>0.0</v>
      </c>
      <c r="AC49" s="19">
        <v>0.0</v>
      </c>
      <c r="AD49" s="19">
        <v>0.0</v>
      </c>
      <c r="AE49" s="19">
        <v>0.0</v>
      </c>
      <c r="AF49" s="19">
        <v>0.0</v>
      </c>
      <c r="AG49" s="19">
        <v>1.0</v>
      </c>
      <c r="AH49" s="19">
        <v>0.0</v>
      </c>
      <c r="AI49" s="19">
        <v>0.0</v>
      </c>
      <c r="AJ49" s="19">
        <v>0.0</v>
      </c>
      <c r="AK49" s="19">
        <v>0.0</v>
      </c>
      <c r="AL49" s="19">
        <v>0.0</v>
      </c>
      <c r="AM49" s="19">
        <v>0.0</v>
      </c>
      <c r="AN49" s="19">
        <v>0.0</v>
      </c>
      <c r="AO49" s="19">
        <v>0.0</v>
      </c>
      <c r="AP49" s="19">
        <v>0.0</v>
      </c>
      <c r="AQ49" s="19">
        <v>0.0</v>
      </c>
      <c r="AR49" s="19">
        <v>0.0</v>
      </c>
      <c r="AS49" s="13">
        <f t="shared" si="8"/>
        <v>4</v>
      </c>
    </row>
    <row r="50" ht="12.75" customHeight="1">
      <c r="A50" s="18"/>
      <c r="B50" s="49">
        <v>5.0</v>
      </c>
      <c r="C50" s="50" t="s">
        <v>44</v>
      </c>
      <c r="D50" s="51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1.0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0.0</v>
      </c>
      <c r="V50" s="19">
        <v>0.0</v>
      </c>
      <c r="W50" s="19">
        <v>0.0</v>
      </c>
      <c r="X50" s="19">
        <v>0.0</v>
      </c>
      <c r="Y50" s="19">
        <v>0.0</v>
      </c>
      <c r="Z50" s="19">
        <v>0.0</v>
      </c>
      <c r="AA50" s="19">
        <v>0.0</v>
      </c>
      <c r="AB50" s="19">
        <v>0.0</v>
      </c>
      <c r="AC50" s="19">
        <v>0.0</v>
      </c>
      <c r="AD50" s="19">
        <v>0.0</v>
      </c>
      <c r="AE50" s="19">
        <v>0.0</v>
      </c>
      <c r="AF50" s="19">
        <v>0.0</v>
      </c>
      <c r="AG50" s="19">
        <v>0.0</v>
      </c>
      <c r="AH50" s="19">
        <v>0.0</v>
      </c>
      <c r="AI50" s="19">
        <v>0.0</v>
      </c>
      <c r="AJ50" s="19">
        <v>0.0</v>
      </c>
      <c r="AK50" s="19">
        <v>0.0</v>
      </c>
      <c r="AL50" s="19">
        <v>0.0</v>
      </c>
      <c r="AM50" s="19">
        <v>0.0</v>
      </c>
      <c r="AN50" s="19">
        <v>1.0</v>
      </c>
      <c r="AO50" s="19">
        <v>0.0</v>
      </c>
      <c r="AP50" s="19">
        <v>0.0</v>
      </c>
      <c r="AQ50" s="19">
        <v>0.0</v>
      </c>
      <c r="AR50" s="19">
        <v>0.0</v>
      </c>
      <c r="AS50" s="13">
        <f t="shared" si="8"/>
        <v>2</v>
      </c>
    </row>
    <row r="51" ht="12.75" customHeight="1">
      <c r="A51" s="18"/>
      <c r="B51" s="49">
        <v>6.0</v>
      </c>
      <c r="C51" s="50" t="s">
        <v>45</v>
      </c>
      <c r="D51" s="51"/>
      <c r="E51" s="19">
        <v>9.0</v>
      </c>
      <c r="F51" s="19">
        <v>8.0</v>
      </c>
      <c r="G51" s="19">
        <v>3.0</v>
      </c>
      <c r="H51" s="19">
        <v>0.0</v>
      </c>
      <c r="I51" s="19">
        <v>6.0</v>
      </c>
      <c r="J51" s="19">
        <v>1.0</v>
      </c>
      <c r="K51" s="19">
        <v>0.0</v>
      </c>
      <c r="L51" s="19">
        <v>5.0</v>
      </c>
      <c r="M51" s="19">
        <v>6.0</v>
      </c>
      <c r="N51" s="19">
        <v>8.0</v>
      </c>
      <c r="O51" s="19">
        <v>0.0</v>
      </c>
      <c r="P51" s="19">
        <v>5.0</v>
      </c>
      <c r="Q51" s="19">
        <v>12.0</v>
      </c>
      <c r="R51" s="19">
        <v>1.0</v>
      </c>
      <c r="S51" s="19">
        <v>1.0</v>
      </c>
      <c r="T51" s="19">
        <v>2.0</v>
      </c>
      <c r="U51" s="19">
        <v>1.0</v>
      </c>
      <c r="V51" s="19">
        <v>1.0</v>
      </c>
      <c r="W51" s="19">
        <v>2.0</v>
      </c>
      <c r="X51" s="19">
        <v>0.0</v>
      </c>
      <c r="Y51" s="19">
        <v>0.0</v>
      </c>
      <c r="Z51" s="19">
        <v>0.0</v>
      </c>
      <c r="AA51" s="19">
        <v>0.0</v>
      </c>
      <c r="AB51" s="19">
        <v>0.0</v>
      </c>
      <c r="AC51" s="19">
        <v>0.0</v>
      </c>
      <c r="AD51" s="19">
        <v>1.0</v>
      </c>
      <c r="AE51" s="19">
        <v>0.0</v>
      </c>
      <c r="AF51" s="19">
        <v>0.0</v>
      </c>
      <c r="AG51" s="19">
        <v>0.0</v>
      </c>
      <c r="AH51" s="19">
        <v>0.0</v>
      </c>
      <c r="AI51" s="19">
        <v>0.0</v>
      </c>
      <c r="AJ51" s="19">
        <v>0.0</v>
      </c>
      <c r="AK51" s="19">
        <v>1.0</v>
      </c>
      <c r="AL51" s="19">
        <v>0.0</v>
      </c>
      <c r="AM51" s="19">
        <v>0.0</v>
      </c>
      <c r="AN51" s="19">
        <v>1.0</v>
      </c>
      <c r="AO51" s="19">
        <v>7.0</v>
      </c>
      <c r="AP51" s="19">
        <v>0.0</v>
      </c>
      <c r="AQ51" s="19">
        <v>0.0</v>
      </c>
      <c r="AR51" s="19">
        <v>2.0</v>
      </c>
      <c r="AS51" s="13">
        <f t="shared" si="8"/>
        <v>83</v>
      </c>
    </row>
    <row r="52" ht="12.75" customHeight="1">
      <c r="A52" s="19" t="s">
        <v>15</v>
      </c>
      <c r="B52" s="47" t="s">
        <v>46</v>
      </c>
      <c r="C52" s="15"/>
      <c r="D52" s="16"/>
      <c r="E52" s="56">
        <f t="shared" ref="E52:AR52" si="9">SUM(E45:E51)</f>
        <v>18</v>
      </c>
      <c r="F52" s="56">
        <f t="shared" si="9"/>
        <v>29</v>
      </c>
      <c r="G52" s="56">
        <f t="shared" si="9"/>
        <v>34</v>
      </c>
      <c r="H52" s="56">
        <f t="shared" si="9"/>
        <v>29</v>
      </c>
      <c r="I52" s="56">
        <f t="shared" si="9"/>
        <v>41</v>
      </c>
      <c r="J52" s="56">
        <f t="shared" si="9"/>
        <v>17</v>
      </c>
      <c r="K52" s="56">
        <f t="shared" si="9"/>
        <v>20</v>
      </c>
      <c r="L52" s="56">
        <f t="shared" si="9"/>
        <v>32</v>
      </c>
      <c r="M52" s="56">
        <f t="shared" si="9"/>
        <v>21</v>
      </c>
      <c r="N52" s="56">
        <f t="shared" si="9"/>
        <v>15</v>
      </c>
      <c r="O52" s="56">
        <f t="shared" si="9"/>
        <v>3</v>
      </c>
      <c r="P52" s="56">
        <f t="shared" si="9"/>
        <v>22</v>
      </c>
      <c r="Q52" s="56">
        <f t="shared" si="9"/>
        <v>24</v>
      </c>
      <c r="R52" s="56">
        <f t="shared" si="9"/>
        <v>13</v>
      </c>
      <c r="S52" s="56">
        <f t="shared" si="9"/>
        <v>25</v>
      </c>
      <c r="T52" s="56">
        <f t="shared" si="9"/>
        <v>16</v>
      </c>
      <c r="U52" s="56">
        <f t="shared" si="9"/>
        <v>17</v>
      </c>
      <c r="V52" s="56">
        <f t="shared" si="9"/>
        <v>21</v>
      </c>
      <c r="W52" s="56">
        <f t="shared" si="9"/>
        <v>11</v>
      </c>
      <c r="X52" s="56">
        <f t="shared" si="9"/>
        <v>14</v>
      </c>
      <c r="Y52" s="56">
        <f t="shared" si="9"/>
        <v>34</v>
      </c>
      <c r="Z52" s="56">
        <f t="shared" si="9"/>
        <v>28</v>
      </c>
      <c r="AA52" s="56">
        <f t="shared" si="9"/>
        <v>26</v>
      </c>
      <c r="AB52" s="56">
        <f t="shared" si="9"/>
        <v>31</v>
      </c>
      <c r="AC52" s="56">
        <f t="shared" si="9"/>
        <v>30</v>
      </c>
      <c r="AD52" s="56">
        <f t="shared" si="9"/>
        <v>12</v>
      </c>
      <c r="AE52" s="56">
        <f t="shared" si="9"/>
        <v>21</v>
      </c>
      <c r="AF52" s="56">
        <f t="shared" si="9"/>
        <v>29</v>
      </c>
      <c r="AG52" s="56">
        <f t="shared" si="9"/>
        <v>28</v>
      </c>
      <c r="AH52" s="56">
        <f t="shared" si="9"/>
        <v>37</v>
      </c>
      <c r="AI52" s="56">
        <f t="shared" si="9"/>
        <v>14</v>
      </c>
      <c r="AJ52" s="56">
        <f t="shared" si="9"/>
        <v>21</v>
      </c>
      <c r="AK52" s="56">
        <f t="shared" si="9"/>
        <v>15</v>
      </c>
      <c r="AL52" s="56">
        <f t="shared" si="9"/>
        <v>13</v>
      </c>
      <c r="AM52" s="56">
        <f t="shared" si="9"/>
        <v>21</v>
      </c>
      <c r="AN52" s="56">
        <f t="shared" si="9"/>
        <v>23</v>
      </c>
      <c r="AO52" s="56">
        <f t="shared" si="9"/>
        <v>39</v>
      </c>
      <c r="AP52" s="56">
        <f t="shared" si="9"/>
        <v>20</v>
      </c>
      <c r="AQ52" s="56">
        <f t="shared" si="9"/>
        <v>15</v>
      </c>
      <c r="AR52" s="56">
        <f t="shared" si="9"/>
        <v>16</v>
      </c>
      <c r="AS52" s="13">
        <f t="shared" si="8"/>
        <v>895</v>
      </c>
    </row>
    <row r="53" ht="12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13">
        <f t="shared" si="8"/>
        <v>0</v>
      </c>
    </row>
    <row r="54" ht="12.75" customHeight="1">
      <c r="A54" s="30" t="s">
        <v>37</v>
      </c>
      <c r="B54" s="47" t="s">
        <v>19</v>
      </c>
      <c r="C54" s="48" t="s">
        <v>47</v>
      </c>
      <c r="D54" s="16"/>
      <c r="E54" s="19">
        <v>4.0</v>
      </c>
      <c r="F54" s="19">
        <v>5.0</v>
      </c>
      <c r="G54" s="19">
        <v>6.0</v>
      </c>
      <c r="H54" s="19">
        <v>4.0</v>
      </c>
      <c r="I54" s="19">
        <v>5.0</v>
      </c>
      <c r="J54" s="19">
        <v>6.0</v>
      </c>
      <c r="K54" s="19">
        <v>3.0</v>
      </c>
      <c r="L54" s="19">
        <v>2.0</v>
      </c>
      <c r="M54" s="19">
        <v>3.0</v>
      </c>
      <c r="N54" s="19">
        <v>10.0</v>
      </c>
      <c r="O54" s="19">
        <v>2.0</v>
      </c>
      <c r="P54" s="19">
        <v>3.0</v>
      </c>
      <c r="Q54" s="19">
        <v>8.0</v>
      </c>
      <c r="R54" s="19">
        <v>9.0</v>
      </c>
      <c r="S54" s="19">
        <v>5.0</v>
      </c>
      <c r="T54" s="19">
        <v>7.0</v>
      </c>
      <c r="U54" s="19">
        <v>12.0</v>
      </c>
      <c r="V54" s="19">
        <v>4.0</v>
      </c>
      <c r="W54" s="19">
        <v>10.0</v>
      </c>
      <c r="X54" s="19">
        <v>6.0</v>
      </c>
      <c r="Y54" s="19">
        <v>3.0</v>
      </c>
      <c r="Z54" s="19">
        <v>6.0</v>
      </c>
      <c r="AA54" s="19">
        <v>3.0</v>
      </c>
      <c r="AB54" s="19">
        <v>7.0</v>
      </c>
      <c r="AC54" s="19">
        <v>16.0</v>
      </c>
      <c r="AD54" s="19">
        <v>14.0</v>
      </c>
      <c r="AE54" s="19">
        <v>14.0</v>
      </c>
      <c r="AF54" s="19">
        <v>3.0</v>
      </c>
      <c r="AG54" s="19">
        <v>4.0</v>
      </c>
      <c r="AH54" s="19">
        <v>5.0</v>
      </c>
      <c r="AI54" s="19">
        <v>5.0</v>
      </c>
      <c r="AJ54" s="19">
        <v>3.0</v>
      </c>
      <c r="AK54" s="19">
        <v>11.0</v>
      </c>
      <c r="AL54" s="19">
        <v>3.0</v>
      </c>
      <c r="AM54" s="19">
        <v>4.0</v>
      </c>
      <c r="AN54" s="19">
        <v>4.0</v>
      </c>
      <c r="AO54" s="19">
        <v>5.0</v>
      </c>
      <c r="AP54" s="19">
        <v>4.0</v>
      </c>
      <c r="AQ54" s="19">
        <v>10.0</v>
      </c>
      <c r="AR54" s="19">
        <v>3.0</v>
      </c>
      <c r="AS54" s="13">
        <f t="shared" si="8"/>
        <v>241</v>
      </c>
    </row>
    <row r="55" ht="12.75" customHeight="1">
      <c r="A55" s="30" t="s">
        <v>39</v>
      </c>
      <c r="B55" s="49">
        <v>1.0</v>
      </c>
      <c r="C55" s="50" t="s">
        <v>48</v>
      </c>
      <c r="D55" s="51"/>
      <c r="E55" s="19">
        <v>12.0</v>
      </c>
      <c r="F55" s="19">
        <v>3.0</v>
      </c>
      <c r="G55" s="19">
        <v>6.0</v>
      </c>
      <c r="H55" s="19">
        <v>11.0</v>
      </c>
      <c r="I55" s="19">
        <v>1.0</v>
      </c>
      <c r="J55" s="19">
        <v>7.0</v>
      </c>
      <c r="K55" s="19">
        <v>11.0</v>
      </c>
      <c r="L55" s="19">
        <v>4.0</v>
      </c>
      <c r="M55" s="19">
        <v>9.0</v>
      </c>
      <c r="N55" s="19">
        <v>4.0</v>
      </c>
      <c r="O55" s="19">
        <v>10.0</v>
      </c>
      <c r="P55" s="19">
        <v>4.0</v>
      </c>
      <c r="Q55" s="19">
        <v>7.0</v>
      </c>
      <c r="R55" s="19">
        <v>4.0</v>
      </c>
      <c r="S55" s="19">
        <v>5.0</v>
      </c>
      <c r="T55" s="19">
        <v>16.0</v>
      </c>
      <c r="U55" s="19">
        <v>3.0</v>
      </c>
      <c r="V55" s="19">
        <v>2.0</v>
      </c>
      <c r="W55" s="19">
        <v>25.0</v>
      </c>
      <c r="X55" s="19">
        <v>22.0</v>
      </c>
      <c r="Y55" s="19">
        <v>15.0</v>
      </c>
      <c r="Z55" s="19">
        <v>7.0</v>
      </c>
      <c r="AA55" s="19">
        <v>28.0</v>
      </c>
      <c r="AB55" s="19">
        <v>43.0</v>
      </c>
      <c r="AC55" s="19">
        <v>107.0</v>
      </c>
      <c r="AD55" s="19">
        <v>186.0</v>
      </c>
      <c r="AE55" s="19">
        <v>162.0</v>
      </c>
      <c r="AF55" s="19">
        <v>61.0</v>
      </c>
      <c r="AG55" s="19">
        <v>43.0</v>
      </c>
      <c r="AH55" s="19">
        <v>15.0</v>
      </c>
      <c r="AI55" s="19">
        <v>35.0</v>
      </c>
      <c r="AJ55" s="19">
        <v>22.0</v>
      </c>
      <c r="AK55" s="19">
        <v>21.0</v>
      </c>
      <c r="AL55" s="19">
        <v>12.0</v>
      </c>
      <c r="AM55" s="19">
        <v>17.0</v>
      </c>
      <c r="AN55" s="19">
        <v>20.0</v>
      </c>
      <c r="AO55" s="19">
        <v>5.0</v>
      </c>
      <c r="AP55" s="19">
        <v>15.0</v>
      </c>
      <c r="AQ55" s="19">
        <v>21.0</v>
      </c>
      <c r="AR55" s="19">
        <v>9.0</v>
      </c>
      <c r="AS55" s="13">
        <f t="shared" si="8"/>
        <v>1010</v>
      </c>
    </row>
    <row r="56" ht="12.75" customHeight="1">
      <c r="A56" s="18"/>
      <c r="B56" s="49">
        <v>2.0</v>
      </c>
      <c r="C56" s="50" t="s">
        <v>49</v>
      </c>
      <c r="D56" s="51"/>
      <c r="E56" s="19">
        <v>1.0</v>
      </c>
      <c r="F56" s="19">
        <v>2.0</v>
      </c>
      <c r="G56" s="19">
        <v>2.0</v>
      </c>
      <c r="H56" s="19">
        <v>0.0</v>
      </c>
      <c r="I56" s="19">
        <v>4.0</v>
      </c>
      <c r="J56" s="19">
        <v>1.0</v>
      </c>
      <c r="K56" s="19">
        <v>0.0</v>
      </c>
      <c r="L56" s="19">
        <v>0.0</v>
      </c>
      <c r="M56" s="19">
        <v>0.0</v>
      </c>
      <c r="N56" s="19">
        <v>1.0</v>
      </c>
      <c r="O56" s="19">
        <v>2.0</v>
      </c>
      <c r="P56" s="19">
        <v>3.0</v>
      </c>
      <c r="Q56" s="19">
        <v>0.0</v>
      </c>
      <c r="R56" s="19">
        <v>2.0</v>
      </c>
      <c r="S56" s="19">
        <v>1.0</v>
      </c>
      <c r="T56" s="19">
        <v>2.0</v>
      </c>
      <c r="U56" s="19">
        <v>0.0</v>
      </c>
      <c r="V56" s="19">
        <v>0.0</v>
      </c>
      <c r="W56" s="19">
        <v>2.0</v>
      </c>
      <c r="X56" s="19">
        <v>0.0</v>
      </c>
      <c r="Y56" s="19">
        <v>2.0</v>
      </c>
      <c r="Z56" s="19">
        <v>2.0</v>
      </c>
      <c r="AA56" s="19">
        <v>5.0</v>
      </c>
      <c r="AB56" s="19">
        <v>1.0</v>
      </c>
      <c r="AC56" s="19">
        <v>2.0</v>
      </c>
      <c r="AD56" s="19">
        <v>2.0</v>
      </c>
      <c r="AE56" s="19">
        <v>0.0</v>
      </c>
      <c r="AF56" s="19">
        <v>1.0</v>
      </c>
      <c r="AG56" s="19">
        <v>2.0</v>
      </c>
      <c r="AH56" s="19">
        <v>1.0</v>
      </c>
      <c r="AI56" s="19">
        <v>1.0</v>
      </c>
      <c r="AJ56" s="19">
        <v>0.0</v>
      </c>
      <c r="AK56" s="19">
        <v>0.0</v>
      </c>
      <c r="AL56" s="19">
        <v>2.0</v>
      </c>
      <c r="AM56" s="19">
        <v>0.0</v>
      </c>
      <c r="AN56" s="19">
        <v>0.0</v>
      </c>
      <c r="AO56" s="19">
        <v>0.0</v>
      </c>
      <c r="AP56" s="19">
        <v>1.0</v>
      </c>
      <c r="AQ56" s="19">
        <v>2.0</v>
      </c>
      <c r="AR56" s="19">
        <v>1.0</v>
      </c>
      <c r="AS56" s="13">
        <f t="shared" si="8"/>
        <v>48</v>
      </c>
    </row>
    <row r="57" ht="12.75" customHeight="1">
      <c r="A57" s="18"/>
      <c r="B57" s="49">
        <v>3.0</v>
      </c>
      <c r="C57" s="50" t="s">
        <v>50</v>
      </c>
      <c r="D57" s="51"/>
      <c r="E57" s="19">
        <v>1.0</v>
      </c>
      <c r="F57" s="19">
        <v>0.0</v>
      </c>
      <c r="G57" s="19">
        <v>2.0</v>
      </c>
      <c r="H57" s="19">
        <v>2.0</v>
      </c>
      <c r="I57" s="19">
        <v>1.0</v>
      </c>
      <c r="J57" s="19">
        <v>1.0</v>
      </c>
      <c r="K57" s="19">
        <v>0.0</v>
      </c>
      <c r="L57" s="19">
        <v>0.0</v>
      </c>
      <c r="M57" s="19">
        <v>0.0</v>
      </c>
      <c r="N57" s="19">
        <v>1.0</v>
      </c>
      <c r="O57" s="19">
        <v>1.0</v>
      </c>
      <c r="P57" s="19">
        <v>1.0</v>
      </c>
      <c r="Q57" s="19">
        <v>2.0</v>
      </c>
      <c r="R57" s="19">
        <v>0.0</v>
      </c>
      <c r="S57" s="19">
        <v>0.0</v>
      </c>
      <c r="T57" s="19">
        <v>1.0</v>
      </c>
      <c r="U57" s="19">
        <v>2.0</v>
      </c>
      <c r="V57" s="19">
        <v>0.0</v>
      </c>
      <c r="W57" s="19">
        <v>0.0</v>
      </c>
      <c r="X57" s="19">
        <v>1.0</v>
      </c>
      <c r="Y57" s="19">
        <v>0.0</v>
      </c>
      <c r="Z57" s="19">
        <v>1.0</v>
      </c>
      <c r="AA57" s="19">
        <v>0.0</v>
      </c>
      <c r="AB57" s="19">
        <v>0.0</v>
      </c>
      <c r="AC57" s="19">
        <v>0.0</v>
      </c>
      <c r="AD57" s="19">
        <v>0.0</v>
      </c>
      <c r="AE57" s="19">
        <v>0.0</v>
      </c>
      <c r="AF57" s="19">
        <v>0.0</v>
      </c>
      <c r="AG57" s="19">
        <v>0.0</v>
      </c>
      <c r="AH57" s="19">
        <v>0.0</v>
      </c>
      <c r="AI57" s="19">
        <v>0.0</v>
      </c>
      <c r="AJ57" s="19">
        <v>0.0</v>
      </c>
      <c r="AK57" s="19">
        <v>1.0</v>
      </c>
      <c r="AL57" s="19">
        <v>0.0</v>
      </c>
      <c r="AM57" s="19">
        <v>0.0</v>
      </c>
      <c r="AN57" s="19">
        <v>0.0</v>
      </c>
      <c r="AO57" s="19">
        <v>0.0</v>
      </c>
      <c r="AP57" s="19">
        <v>0.0</v>
      </c>
      <c r="AQ57" s="19">
        <v>1.0</v>
      </c>
      <c r="AR57" s="19">
        <v>0.0</v>
      </c>
      <c r="AS57" s="13">
        <f t="shared" si="8"/>
        <v>19</v>
      </c>
    </row>
    <row r="58" ht="12.75" customHeight="1">
      <c r="A58" s="18"/>
      <c r="B58" s="49">
        <v>4.0</v>
      </c>
      <c r="C58" s="50" t="s">
        <v>51</v>
      </c>
      <c r="D58" s="51"/>
      <c r="E58" s="19">
        <v>0.0</v>
      </c>
      <c r="F58" s="19">
        <v>0.0</v>
      </c>
      <c r="G58" s="19">
        <v>0.0</v>
      </c>
      <c r="H58" s="19">
        <v>0.0</v>
      </c>
      <c r="I58" s="19">
        <v>0.0</v>
      </c>
      <c r="J58" s="19">
        <v>1.0</v>
      </c>
      <c r="K58" s="19">
        <v>0.0</v>
      </c>
      <c r="L58" s="19">
        <v>1.0</v>
      </c>
      <c r="M58" s="19">
        <v>0.0</v>
      </c>
      <c r="N58" s="19">
        <v>0.0</v>
      </c>
      <c r="O58" s="19">
        <v>0.0</v>
      </c>
      <c r="P58" s="19">
        <v>0.0</v>
      </c>
      <c r="Q58" s="19">
        <v>2.0</v>
      </c>
      <c r="R58" s="19">
        <v>0.0</v>
      </c>
      <c r="S58" s="19">
        <v>0.0</v>
      </c>
      <c r="T58" s="19">
        <v>0.0</v>
      </c>
      <c r="U58" s="19">
        <v>0.0</v>
      </c>
      <c r="V58" s="19">
        <v>2.0</v>
      </c>
      <c r="W58" s="19">
        <v>0.0</v>
      </c>
      <c r="X58" s="19">
        <v>0.0</v>
      </c>
      <c r="Y58" s="19">
        <v>0.0</v>
      </c>
      <c r="Z58" s="19">
        <v>0.0</v>
      </c>
      <c r="AA58" s="19">
        <v>0.0</v>
      </c>
      <c r="AB58" s="19">
        <v>0.0</v>
      </c>
      <c r="AC58" s="19">
        <v>0.0</v>
      </c>
      <c r="AD58" s="19">
        <v>0.0</v>
      </c>
      <c r="AE58" s="19">
        <v>0.0</v>
      </c>
      <c r="AF58" s="19">
        <v>5.0</v>
      </c>
      <c r="AG58" s="19">
        <v>0.0</v>
      </c>
      <c r="AH58" s="19">
        <v>1.0</v>
      </c>
      <c r="AI58" s="19">
        <v>0.0</v>
      </c>
      <c r="AJ58" s="19">
        <v>1.0</v>
      </c>
      <c r="AK58" s="19">
        <v>0.0</v>
      </c>
      <c r="AL58" s="19">
        <v>0.0</v>
      </c>
      <c r="AM58" s="19">
        <v>1.0</v>
      </c>
      <c r="AN58" s="19">
        <v>1.0</v>
      </c>
      <c r="AO58" s="19">
        <v>2.0</v>
      </c>
      <c r="AP58" s="19">
        <v>1.0</v>
      </c>
      <c r="AQ58" s="19">
        <v>1.0</v>
      </c>
      <c r="AR58" s="19">
        <v>0.0</v>
      </c>
      <c r="AS58" s="13">
        <f t="shared" si="8"/>
        <v>19</v>
      </c>
    </row>
    <row r="59" ht="12.75" customHeight="1">
      <c r="A59" s="18"/>
      <c r="B59" s="49">
        <v>5.0</v>
      </c>
      <c r="C59" s="50" t="s">
        <v>52</v>
      </c>
      <c r="D59" s="51"/>
      <c r="E59" s="19">
        <v>0.0</v>
      </c>
      <c r="F59" s="19">
        <v>0.0</v>
      </c>
      <c r="G59" s="19">
        <v>0.0</v>
      </c>
      <c r="H59" s="19">
        <v>0.0</v>
      </c>
      <c r="I59" s="19">
        <v>0.0</v>
      </c>
      <c r="J59" s="19">
        <v>0.0</v>
      </c>
      <c r="K59" s="19">
        <v>0.0</v>
      </c>
      <c r="L59" s="19">
        <v>0.0</v>
      </c>
      <c r="M59" s="19">
        <v>0.0</v>
      </c>
      <c r="N59" s="19">
        <v>0.0</v>
      </c>
      <c r="O59" s="19">
        <v>0.0</v>
      </c>
      <c r="P59" s="19">
        <v>1.0</v>
      </c>
      <c r="Q59" s="19">
        <v>0.0</v>
      </c>
      <c r="R59" s="19">
        <v>1.0</v>
      </c>
      <c r="S59" s="19">
        <v>0.0</v>
      </c>
      <c r="T59" s="19">
        <v>0.0</v>
      </c>
      <c r="U59" s="19">
        <v>0.0</v>
      </c>
      <c r="V59" s="19">
        <v>0.0</v>
      </c>
      <c r="W59" s="19">
        <v>1.0</v>
      </c>
      <c r="X59" s="19">
        <v>0.0</v>
      </c>
      <c r="Y59" s="19">
        <v>1.0</v>
      </c>
      <c r="Z59" s="19">
        <v>0.0</v>
      </c>
      <c r="AA59" s="19">
        <v>0.0</v>
      </c>
      <c r="AB59" s="19">
        <v>0.0</v>
      </c>
      <c r="AC59" s="19">
        <v>0.0</v>
      </c>
      <c r="AD59" s="19">
        <v>0.0</v>
      </c>
      <c r="AE59" s="19">
        <v>0.0</v>
      </c>
      <c r="AF59" s="19">
        <v>0.0</v>
      </c>
      <c r="AG59" s="19">
        <v>0.0</v>
      </c>
      <c r="AH59" s="19">
        <v>0.0</v>
      </c>
      <c r="AI59" s="19">
        <v>0.0</v>
      </c>
      <c r="AJ59" s="19">
        <v>1.0</v>
      </c>
      <c r="AK59" s="19">
        <v>0.0</v>
      </c>
      <c r="AL59" s="19">
        <v>1.0</v>
      </c>
      <c r="AM59" s="19">
        <v>0.0</v>
      </c>
      <c r="AN59" s="19">
        <v>0.0</v>
      </c>
      <c r="AO59" s="19">
        <v>0.0</v>
      </c>
      <c r="AP59" s="19">
        <v>0.0</v>
      </c>
      <c r="AQ59" s="19">
        <v>0.0</v>
      </c>
      <c r="AR59" s="19">
        <v>0.0</v>
      </c>
      <c r="AS59" s="13">
        <f t="shared" si="8"/>
        <v>6</v>
      </c>
    </row>
    <row r="60" ht="12.75" customHeight="1">
      <c r="A60" s="18"/>
      <c r="B60" s="49">
        <v>6.0</v>
      </c>
      <c r="C60" s="50" t="s">
        <v>53</v>
      </c>
      <c r="D60" s="51"/>
      <c r="E60" s="19">
        <v>1.0</v>
      </c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19">
        <v>1.0</v>
      </c>
      <c r="L60" s="19">
        <v>0.0</v>
      </c>
      <c r="M60" s="19">
        <v>0.0</v>
      </c>
      <c r="N60" s="19">
        <v>0.0</v>
      </c>
      <c r="O60" s="19">
        <v>1.0</v>
      </c>
      <c r="P60" s="19">
        <v>0.0</v>
      </c>
      <c r="Q60" s="19">
        <v>0.0</v>
      </c>
      <c r="R60" s="19">
        <v>0.0</v>
      </c>
      <c r="S60" s="19">
        <v>0.0</v>
      </c>
      <c r="T60" s="19">
        <v>0.0</v>
      </c>
      <c r="U60" s="19">
        <v>0.0</v>
      </c>
      <c r="V60" s="19">
        <v>1.0</v>
      </c>
      <c r="W60" s="19">
        <v>1.0</v>
      </c>
      <c r="X60" s="19">
        <v>0.0</v>
      </c>
      <c r="Y60" s="19">
        <v>0.0</v>
      </c>
      <c r="Z60" s="19">
        <v>0.0</v>
      </c>
      <c r="AA60" s="19">
        <v>0.0</v>
      </c>
      <c r="AB60" s="19">
        <v>0.0</v>
      </c>
      <c r="AC60" s="19">
        <v>0.0</v>
      </c>
      <c r="AD60" s="19">
        <v>0.0</v>
      </c>
      <c r="AE60" s="19">
        <v>0.0</v>
      </c>
      <c r="AF60" s="19">
        <v>0.0</v>
      </c>
      <c r="AG60" s="19">
        <v>1.0</v>
      </c>
      <c r="AH60" s="19">
        <v>0.0</v>
      </c>
      <c r="AI60" s="19">
        <v>0.0</v>
      </c>
      <c r="AJ60" s="19">
        <v>0.0</v>
      </c>
      <c r="AK60" s="19">
        <v>0.0</v>
      </c>
      <c r="AL60" s="19">
        <v>0.0</v>
      </c>
      <c r="AM60" s="19">
        <v>0.0</v>
      </c>
      <c r="AN60" s="19">
        <v>1.0</v>
      </c>
      <c r="AO60" s="19">
        <v>0.0</v>
      </c>
      <c r="AP60" s="19">
        <v>0.0</v>
      </c>
      <c r="AQ60" s="19">
        <v>0.0</v>
      </c>
      <c r="AR60" s="19">
        <v>0.0</v>
      </c>
      <c r="AS60" s="13">
        <f t="shared" si="8"/>
        <v>7</v>
      </c>
    </row>
    <row r="61" ht="12.75" customHeight="1">
      <c r="A61" s="19" t="s">
        <v>15</v>
      </c>
      <c r="B61" s="47" t="s">
        <v>46</v>
      </c>
      <c r="C61" s="15"/>
      <c r="D61" s="16"/>
      <c r="E61" s="56">
        <f t="shared" ref="E61:AR61" si="10">SUM(E54:E60)</f>
        <v>19</v>
      </c>
      <c r="F61" s="56">
        <f t="shared" si="10"/>
        <v>10</v>
      </c>
      <c r="G61" s="56">
        <f t="shared" si="10"/>
        <v>16</v>
      </c>
      <c r="H61" s="56">
        <f t="shared" si="10"/>
        <v>17</v>
      </c>
      <c r="I61" s="56">
        <f t="shared" si="10"/>
        <v>11</v>
      </c>
      <c r="J61" s="56">
        <f t="shared" si="10"/>
        <v>16</v>
      </c>
      <c r="K61" s="56">
        <f t="shared" si="10"/>
        <v>15</v>
      </c>
      <c r="L61" s="56">
        <f t="shared" si="10"/>
        <v>7</v>
      </c>
      <c r="M61" s="56">
        <f t="shared" si="10"/>
        <v>12</v>
      </c>
      <c r="N61" s="56">
        <f t="shared" si="10"/>
        <v>16</v>
      </c>
      <c r="O61" s="56">
        <f t="shared" si="10"/>
        <v>16</v>
      </c>
      <c r="P61" s="56">
        <f t="shared" si="10"/>
        <v>12</v>
      </c>
      <c r="Q61" s="56">
        <f t="shared" si="10"/>
        <v>19</v>
      </c>
      <c r="R61" s="56">
        <f t="shared" si="10"/>
        <v>16</v>
      </c>
      <c r="S61" s="56">
        <f t="shared" si="10"/>
        <v>11</v>
      </c>
      <c r="T61" s="56">
        <f t="shared" si="10"/>
        <v>26</v>
      </c>
      <c r="U61" s="56">
        <f t="shared" si="10"/>
        <v>17</v>
      </c>
      <c r="V61" s="56">
        <f t="shared" si="10"/>
        <v>9</v>
      </c>
      <c r="W61" s="56">
        <f t="shared" si="10"/>
        <v>39</v>
      </c>
      <c r="X61" s="56">
        <f t="shared" si="10"/>
        <v>29</v>
      </c>
      <c r="Y61" s="56">
        <f t="shared" si="10"/>
        <v>21</v>
      </c>
      <c r="Z61" s="56">
        <f t="shared" si="10"/>
        <v>16</v>
      </c>
      <c r="AA61" s="56">
        <f t="shared" si="10"/>
        <v>36</v>
      </c>
      <c r="AB61" s="56">
        <f t="shared" si="10"/>
        <v>51</v>
      </c>
      <c r="AC61" s="56">
        <f t="shared" si="10"/>
        <v>125</v>
      </c>
      <c r="AD61" s="56">
        <f t="shared" si="10"/>
        <v>202</v>
      </c>
      <c r="AE61" s="56">
        <f t="shared" si="10"/>
        <v>176</v>
      </c>
      <c r="AF61" s="56">
        <f t="shared" si="10"/>
        <v>70</v>
      </c>
      <c r="AG61" s="56">
        <f t="shared" si="10"/>
        <v>50</v>
      </c>
      <c r="AH61" s="56">
        <f t="shared" si="10"/>
        <v>22</v>
      </c>
      <c r="AI61" s="56">
        <f t="shared" si="10"/>
        <v>41</v>
      </c>
      <c r="AJ61" s="56">
        <f t="shared" si="10"/>
        <v>27</v>
      </c>
      <c r="AK61" s="56">
        <f t="shared" si="10"/>
        <v>33</v>
      </c>
      <c r="AL61" s="56">
        <f t="shared" si="10"/>
        <v>18</v>
      </c>
      <c r="AM61" s="56">
        <f t="shared" si="10"/>
        <v>22</v>
      </c>
      <c r="AN61" s="56">
        <f t="shared" si="10"/>
        <v>26</v>
      </c>
      <c r="AO61" s="56">
        <f t="shared" si="10"/>
        <v>12</v>
      </c>
      <c r="AP61" s="56">
        <f t="shared" si="10"/>
        <v>21</v>
      </c>
      <c r="AQ61" s="56">
        <f t="shared" si="10"/>
        <v>35</v>
      </c>
      <c r="AR61" s="56">
        <f t="shared" si="10"/>
        <v>13</v>
      </c>
      <c r="AS61" s="13">
        <f t="shared" si="8"/>
        <v>1350</v>
      </c>
    </row>
    <row r="62" ht="12.75" customHeight="1">
      <c r="A62" s="57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13">
        <f t="shared" si="8"/>
        <v>0</v>
      </c>
    </row>
    <row r="63" ht="12.75" customHeight="1">
      <c r="A63" s="30" t="s">
        <v>37</v>
      </c>
      <c r="B63" s="47" t="s">
        <v>21</v>
      </c>
      <c r="C63" s="48" t="s">
        <v>54</v>
      </c>
      <c r="D63" s="16"/>
      <c r="E63" s="19">
        <v>10.0</v>
      </c>
      <c r="F63" s="19">
        <v>5.0</v>
      </c>
      <c r="G63" s="19">
        <v>3.0</v>
      </c>
      <c r="H63" s="19">
        <v>5.0</v>
      </c>
      <c r="I63" s="19">
        <v>5.0</v>
      </c>
      <c r="J63" s="19">
        <v>3.0</v>
      </c>
      <c r="K63" s="19">
        <v>6.0</v>
      </c>
      <c r="L63" s="19">
        <v>2.0</v>
      </c>
      <c r="M63" s="19">
        <v>4.0</v>
      </c>
      <c r="N63" s="19">
        <v>6.0</v>
      </c>
      <c r="O63" s="19">
        <v>3.0</v>
      </c>
      <c r="P63" s="19">
        <v>13.0</v>
      </c>
      <c r="Q63" s="19">
        <v>12.0</v>
      </c>
      <c r="R63" s="19">
        <v>8.0</v>
      </c>
      <c r="S63" s="19">
        <v>5.0</v>
      </c>
      <c r="T63" s="19">
        <v>9.0</v>
      </c>
      <c r="U63" s="19">
        <v>15.0</v>
      </c>
      <c r="V63" s="19">
        <v>3.0</v>
      </c>
      <c r="W63" s="19">
        <v>3.0</v>
      </c>
      <c r="X63" s="19">
        <v>3.0</v>
      </c>
      <c r="Y63" s="19">
        <v>0.0</v>
      </c>
      <c r="Z63" s="19">
        <v>12.0</v>
      </c>
      <c r="AA63" s="19">
        <v>2.0</v>
      </c>
      <c r="AB63" s="19">
        <v>1.0</v>
      </c>
      <c r="AC63" s="19">
        <v>2.0</v>
      </c>
      <c r="AD63" s="19">
        <v>1.0</v>
      </c>
      <c r="AE63" s="19">
        <v>0.0</v>
      </c>
      <c r="AF63" s="19">
        <v>3.0</v>
      </c>
      <c r="AG63" s="19">
        <v>2.0</v>
      </c>
      <c r="AH63" s="19">
        <v>6.0</v>
      </c>
      <c r="AI63" s="19">
        <v>2.0</v>
      </c>
      <c r="AJ63" s="19">
        <v>5.0</v>
      </c>
      <c r="AK63" s="19">
        <v>12.0</v>
      </c>
      <c r="AL63" s="19">
        <v>11.0</v>
      </c>
      <c r="AM63" s="19">
        <v>9.0</v>
      </c>
      <c r="AN63" s="19">
        <v>4.0</v>
      </c>
      <c r="AO63" s="19">
        <v>4.0</v>
      </c>
      <c r="AP63" s="19">
        <v>3.0</v>
      </c>
      <c r="AQ63" s="19">
        <v>3.0</v>
      </c>
      <c r="AR63" s="19">
        <v>5.0</v>
      </c>
      <c r="AS63" s="13">
        <f t="shared" si="8"/>
        <v>210</v>
      </c>
    </row>
    <row r="64" ht="12.75" customHeight="1">
      <c r="A64" s="30" t="s">
        <v>39</v>
      </c>
      <c r="B64" s="49">
        <v>1.0</v>
      </c>
      <c r="C64" s="50" t="s">
        <v>55</v>
      </c>
      <c r="D64" s="51"/>
      <c r="E64" s="19">
        <v>6.0</v>
      </c>
      <c r="F64" s="19">
        <v>5.0</v>
      </c>
      <c r="G64" s="19">
        <v>2.0</v>
      </c>
      <c r="H64" s="19">
        <v>1.0</v>
      </c>
      <c r="I64" s="19">
        <v>2.0</v>
      </c>
      <c r="J64" s="19">
        <v>2.0</v>
      </c>
      <c r="K64" s="19">
        <v>1.0</v>
      </c>
      <c r="L64" s="19">
        <v>0.0</v>
      </c>
      <c r="M64" s="19">
        <v>3.0</v>
      </c>
      <c r="N64" s="19">
        <v>4.0</v>
      </c>
      <c r="O64" s="19">
        <v>12.0</v>
      </c>
      <c r="P64" s="19">
        <v>2.0</v>
      </c>
      <c r="Q64" s="19">
        <v>4.0</v>
      </c>
      <c r="R64" s="19">
        <v>2.0</v>
      </c>
      <c r="S64" s="19">
        <v>2.0</v>
      </c>
      <c r="T64" s="19">
        <v>7.0</v>
      </c>
      <c r="U64" s="19">
        <v>2.0</v>
      </c>
      <c r="V64" s="19">
        <v>2.0</v>
      </c>
      <c r="W64" s="19">
        <v>1.0</v>
      </c>
      <c r="X64" s="19">
        <v>2.0</v>
      </c>
      <c r="Y64" s="19">
        <v>6.0</v>
      </c>
      <c r="Z64" s="19">
        <v>2.0</v>
      </c>
      <c r="AA64" s="19">
        <v>0.0</v>
      </c>
      <c r="AB64" s="19">
        <v>0.0</v>
      </c>
      <c r="AC64" s="19">
        <v>1.0</v>
      </c>
      <c r="AD64" s="19">
        <v>1.0</v>
      </c>
      <c r="AE64" s="19">
        <v>0.0</v>
      </c>
      <c r="AF64" s="19">
        <v>0.0</v>
      </c>
      <c r="AG64" s="19">
        <v>1.0</v>
      </c>
      <c r="AH64" s="19">
        <v>0.0</v>
      </c>
      <c r="AI64" s="19">
        <v>1.0</v>
      </c>
      <c r="AJ64" s="19">
        <v>1.0</v>
      </c>
      <c r="AK64" s="19">
        <v>4.0</v>
      </c>
      <c r="AL64" s="19">
        <v>2.0</v>
      </c>
      <c r="AM64" s="19">
        <v>5.0</v>
      </c>
      <c r="AN64" s="19">
        <v>1.0</v>
      </c>
      <c r="AO64" s="19">
        <v>1.0</v>
      </c>
      <c r="AP64" s="19">
        <v>1.0</v>
      </c>
      <c r="AQ64" s="19">
        <v>1.0</v>
      </c>
      <c r="AR64" s="19">
        <v>1.0</v>
      </c>
      <c r="AS64" s="13">
        <f t="shared" si="8"/>
        <v>91</v>
      </c>
    </row>
    <row r="65" ht="12.75" customHeight="1">
      <c r="A65" s="18"/>
      <c r="B65" s="49">
        <v>2.0</v>
      </c>
      <c r="C65" s="50" t="s">
        <v>56</v>
      </c>
      <c r="D65" s="51"/>
      <c r="E65" s="19">
        <v>17.0</v>
      </c>
      <c r="F65" s="19">
        <v>16.0</v>
      </c>
      <c r="G65" s="19">
        <v>52.0</v>
      </c>
      <c r="H65" s="19">
        <v>43.0</v>
      </c>
      <c r="I65" s="19">
        <v>49.0</v>
      </c>
      <c r="J65" s="19">
        <v>8.0</v>
      </c>
      <c r="K65" s="19">
        <v>22.0</v>
      </c>
      <c r="L65" s="19">
        <v>21.0</v>
      </c>
      <c r="M65" s="19">
        <v>11.0</v>
      </c>
      <c r="N65" s="19">
        <v>29.0</v>
      </c>
      <c r="O65" s="19">
        <v>6.0</v>
      </c>
      <c r="P65" s="19">
        <v>10.0</v>
      </c>
      <c r="Q65" s="19">
        <v>11.0</v>
      </c>
      <c r="R65" s="19">
        <v>13.0</v>
      </c>
      <c r="S65" s="19">
        <v>39.0</v>
      </c>
      <c r="T65" s="19">
        <v>42.0</v>
      </c>
      <c r="U65" s="19">
        <v>14.0</v>
      </c>
      <c r="V65" s="19">
        <v>21.0</v>
      </c>
      <c r="W65" s="19">
        <v>29.0</v>
      </c>
      <c r="X65" s="19">
        <v>6.0</v>
      </c>
      <c r="Y65" s="19">
        <v>11.0</v>
      </c>
      <c r="Z65" s="19">
        <v>19.0</v>
      </c>
      <c r="AA65" s="19">
        <v>7.0</v>
      </c>
      <c r="AB65" s="19">
        <v>24.0</v>
      </c>
      <c r="AC65" s="19">
        <v>6.0</v>
      </c>
      <c r="AD65" s="19">
        <v>1.0</v>
      </c>
      <c r="AE65" s="19">
        <v>1.0</v>
      </c>
      <c r="AF65" s="19">
        <v>23.0</v>
      </c>
      <c r="AG65" s="19">
        <v>21.0</v>
      </c>
      <c r="AH65" s="19">
        <v>19.0</v>
      </c>
      <c r="AI65" s="19">
        <v>15.0</v>
      </c>
      <c r="AJ65" s="19">
        <v>17.0</v>
      </c>
      <c r="AK65" s="19">
        <v>5.0</v>
      </c>
      <c r="AL65" s="19">
        <v>8.0</v>
      </c>
      <c r="AM65" s="19">
        <v>7.0</v>
      </c>
      <c r="AN65" s="19">
        <v>9.0</v>
      </c>
      <c r="AO65" s="19">
        <v>11.0</v>
      </c>
      <c r="AP65" s="19">
        <v>1.0</v>
      </c>
      <c r="AQ65" s="19">
        <v>0.0</v>
      </c>
      <c r="AR65" s="19">
        <v>14.0</v>
      </c>
      <c r="AS65" s="13">
        <f t="shared" si="8"/>
        <v>678</v>
      </c>
    </row>
    <row r="66" ht="12.75" customHeight="1">
      <c r="A66" s="18"/>
      <c r="B66" s="49">
        <v>3.0</v>
      </c>
      <c r="C66" s="50" t="s">
        <v>57</v>
      </c>
      <c r="D66" s="51"/>
      <c r="E66" s="19">
        <v>6.0</v>
      </c>
      <c r="F66" s="19">
        <v>15.0</v>
      </c>
      <c r="G66" s="19">
        <v>2.0</v>
      </c>
      <c r="H66" s="19">
        <v>1.0</v>
      </c>
      <c r="I66" s="19">
        <v>5.0</v>
      </c>
      <c r="J66" s="19">
        <v>5.0</v>
      </c>
      <c r="K66" s="19">
        <v>3.0</v>
      </c>
      <c r="L66" s="19">
        <v>1.0</v>
      </c>
      <c r="M66" s="19">
        <v>2.0</v>
      </c>
      <c r="N66" s="19">
        <v>4.0</v>
      </c>
      <c r="O66" s="19">
        <v>7.0</v>
      </c>
      <c r="P66" s="19">
        <v>11.0</v>
      </c>
      <c r="Q66" s="19">
        <v>17.0</v>
      </c>
      <c r="R66" s="19">
        <v>5.0</v>
      </c>
      <c r="S66" s="19">
        <v>4.0</v>
      </c>
      <c r="T66" s="19">
        <v>14.0</v>
      </c>
      <c r="U66" s="19">
        <v>37.0</v>
      </c>
      <c r="V66" s="19">
        <v>13.0</v>
      </c>
      <c r="W66" s="19">
        <v>6.0</v>
      </c>
      <c r="X66" s="19">
        <v>3.0</v>
      </c>
      <c r="Y66" s="19">
        <v>11.0</v>
      </c>
      <c r="Z66" s="19">
        <v>16.0</v>
      </c>
      <c r="AA66" s="19">
        <v>5.0</v>
      </c>
      <c r="AB66" s="19">
        <v>1.0</v>
      </c>
      <c r="AC66" s="19">
        <v>5.0</v>
      </c>
      <c r="AD66" s="19">
        <v>0.0</v>
      </c>
      <c r="AE66" s="19">
        <v>0.0</v>
      </c>
      <c r="AF66" s="19">
        <v>2.0</v>
      </c>
      <c r="AG66" s="19">
        <v>6.0</v>
      </c>
      <c r="AH66" s="19">
        <v>2.0</v>
      </c>
      <c r="AI66" s="19">
        <v>50.0</v>
      </c>
      <c r="AJ66" s="19">
        <v>37.0</v>
      </c>
      <c r="AK66" s="19">
        <v>30.0</v>
      </c>
      <c r="AL66" s="19">
        <v>8.0</v>
      </c>
      <c r="AM66" s="19">
        <v>12.0</v>
      </c>
      <c r="AN66" s="19">
        <v>14.0</v>
      </c>
      <c r="AO66" s="19">
        <v>8.0</v>
      </c>
      <c r="AP66" s="19">
        <v>8.0</v>
      </c>
      <c r="AQ66" s="19">
        <v>16.0</v>
      </c>
      <c r="AR66" s="19">
        <v>16.0</v>
      </c>
      <c r="AS66" s="13">
        <f t="shared" si="8"/>
        <v>408</v>
      </c>
    </row>
    <row r="67" ht="12.75" customHeight="1">
      <c r="A67" s="18"/>
      <c r="B67" s="49">
        <v>4.0</v>
      </c>
      <c r="C67" s="50" t="s">
        <v>58</v>
      </c>
      <c r="D67" s="51"/>
      <c r="E67" s="19">
        <v>0.0</v>
      </c>
      <c r="F67" s="19">
        <v>0.0</v>
      </c>
      <c r="G67" s="19">
        <v>0.0</v>
      </c>
      <c r="H67" s="19">
        <v>0.0</v>
      </c>
      <c r="I67" s="19">
        <v>0.0</v>
      </c>
      <c r="J67" s="19">
        <v>0.0</v>
      </c>
      <c r="K67" s="19">
        <v>0.0</v>
      </c>
      <c r="L67" s="19">
        <v>0.0</v>
      </c>
      <c r="M67" s="19">
        <v>0.0</v>
      </c>
      <c r="N67" s="19">
        <v>0.0</v>
      </c>
      <c r="O67" s="19">
        <v>0.0</v>
      </c>
      <c r="P67" s="19">
        <v>2.0</v>
      </c>
      <c r="Q67" s="19">
        <v>0.0</v>
      </c>
      <c r="R67" s="19">
        <v>0.0</v>
      </c>
      <c r="S67" s="19">
        <v>0.0</v>
      </c>
      <c r="T67" s="19">
        <v>0.0</v>
      </c>
      <c r="U67" s="19">
        <v>0.0</v>
      </c>
      <c r="V67" s="19">
        <v>0.0</v>
      </c>
      <c r="W67" s="19">
        <v>1.0</v>
      </c>
      <c r="X67" s="19">
        <v>0.0</v>
      </c>
      <c r="Y67" s="19">
        <v>0.0</v>
      </c>
      <c r="Z67" s="19">
        <v>1.0</v>
      </c>
      <c r="AA67" s="19">
        <v>0.0</v>
      </c>
      <c r="AB67" s="19">
        <v>1.0</v>
      </c>
      <c r="AC67" s="19">
        <v>0.0</v>
      </c>
      <c r="AD67" s="19">
        <v>0.0</v>
      </c>
      <c r="AE67" s="19">
        <v>0.0</v>
      </c>
      <c r="AF67" s="19">
        <v>0.0</v>
      </c>
      <c r="AG67" s="19">
        <v>1.0</v>
      </c>
      <c r="AH67" s="19">
        <v>2.0</v>
      </c>
      <c r="AI67" s="19">
        <v>0.0</v>
      </c>
      <c r="AJ67" s="19">
        <v>0.0</v>
      </c>
      <c r="AK67" s="19">
        <v>8.0</v>
      </c>
      <c r="AL67" s="19">
        <v>1.0</v>
      </c>
      <c r="AM67" s="19">
        <v>1.0</v>
      </c>
      <c r="AN67" s="19">
        <v>3.0</v>
      </c>
      <c r="AO67" s="19">
        <v>1.0</v>
      </c>
      <c r="AP67" s="19">
        <v>1.0</v>
      </c>
      <c r="AQ67" s="19">
        <v>1.0</v>
      </c>
      <c r="AR67" s="19">
        <v>1.0</v>
      </c>
      <c r="AS67" s="13">
        <f t="shared" si="8"/>
        <v>25</v>
      </c>
    </row>
    <row r="68" ht="12.75" customHeight="1">
      <c r="A68" s="18"/>
      <c r="B68" s="49">
        <v>5.0</v>
      </c>
      <c r="C68" s="50" t="s">
        <v>59</v>
      </c>
      <c r="D68" s="51"/>
      <c r="E68" s="19">
        <v>0.0</v>
      </c>
      <c r="F68" s="19">
        <v>1.0</v>
      </c>
      <c r="G68" s="19">
        <v>0.0</v>
      </c>
      <c r="H68" s="19">
        <v>1.0</v>
      </c>
      <c r="I68" s="19">
        <v>0.0</v>
      </c>
      <c r="J68" s="19">
        <v>1.0</v>
      </c>
      <c r="K68" s="19">
        <v>0.0</v>
      </c>
      <c r="L68" s="19">
        <v>0.0</v>
      </c>
      <c r="M68" s="19">
        <v>0.0</v>
      </c>
      <c r="N68" s="19">
        <v>0.0</v>
      </c>
      <c r="O68" s="19">
        <v>0.0</v>
      </c>
      <c r="P68" s="19">
        <v>1.0</v>
      </c>
      <c r="Q68" s="19">
        <v>0.0</v>
      </c>
      <c r="R68" s="19">
        <v>0.0</v>
      </c>
      <c r="S68" s="19">
        <v>0.0</v>
      </c>
      <c r="T68" s="19">
        <v>0.0</v>
      </c>
      <c r="U68" s="19">
        <v>0.0</v>
      </c>
      <c r="V68" s="19">
        <v>0.0</v>
      </c>
      <c r="W68" s="19">
        <v>1.0</v>
      </c>
      <c r="X68" s="19">
        <v>0.0</v>
      </c>
      <c r="Y68" s="19">
        <v>0.0</v>
      </c>
      <c r="Z68" s="19">
        <v>0.0</v>
      </c>
      <c r="AA68" s="19">
        <v>0.0</v>
      </c>
      <c r="AB68" s="19">
        <v>0.0</v>
      </c>
      <c r="AC68" s="19">
        <v>0.0</v>
      </c>
      <c r="AD68" s="19">
        <v>0.0</v>
      </c>
      <c r="AE68" s="19">
        <v>0.0</v>
      </c>
      <c r="AF68" s="19">
        <v>0.0</v>
      </c>
      <c r="AG68" s="19">
        <v>0.0</v>
      </c>
      <c r="AH68" s="19">
        <v>0.0</v>
      </c>
      <c r="AI68" s="19">
        <v>0.0</v>
      </c>
      <c r="AJ68" s="19">
        <v>0.0</v>
      </c>
      <c r="AK68" s="19">
        <v>0.0</v>
      </c>
      <c r="AL68" s="19">
        <v>0.0</v>
      </c>
      <c r="AM68" s="19">
        <v>0.0</v>
      </c>
      <c r="AN68" s="19">
        <v>0.0</v>
      </c>
      <c r="AO68" s="19">
        <v>0.0</v>
      </c>
      <c r="AP68" s="19">
        <v>0.0</v>
      </c>
      <c r="AQ68" s="19">
        <v>0.0</v>
      </c>
      <c r="AR68" s="19">
        <v>0.0</v>
      </c>
      <c r="AS68" s="13">
        <f t="shared" si="8"/>
        <v>5</v>
      </c>
    </row>
    <row r="69" ht="12.75" customHeight="1">
      <c r="A69" s="18"/>
      <c r="B69" s="49">
        <v>6.0</v>
      </c>
      <c r="C69" s="50" t="s">
        <v>60</v>
      </c>
      <c r="D69" s="51"/>
      <c r="E69" s="19">
        <v>0.0</v>
      </c>
      <c r="F69" s="19">
        <v>0.0</v>
      </c>
      <c r="G69" s="19">
        <v>0.0</v>
      </c>
      <c r="H69" s="19">
        <v>0.0</v>
      </c>
      <c r="I69" s="19">
        <v>0.0</v>
      </c>
      <c r="J69" s="19">
        <v>0.0</v>
      </c>
      <c r="K69" s="19">
        <v>0.0</v>
      </c>
      <c r="L69" s="19">
        <v>0.0</v>
      </c>
      <c r="M69" s="19">
        <v>1.0</v>
      </c>
      <c r="N69" s="19">
        <v>0.0</v>
      </c>
      <c r="O69" s="19">
        <v>0.0</v>
      </c>
      <c r="P69" s="19">
        <v>2.0</v>
      </c>
      <c r="Q69" s="19">
        <v>0.0</v>
      </c>
      <c r="R69" s="19">
        <v>0.0</v>
      </c>
      <c r="S69" s="19">
        <v>0.0</v>
      </c>
      <c r="T69" s="19">
        <v>0.0</v>
      </c>
      <c r="U69" s="19">
        <v>1.0</v>
      </c>
      <c r="V69" s="19">
        <v>0.0</v>
      </c>
      <c r="W69" s="19">
        <v>0.0</v>
      </c>
      <c r="X69" s="19">
        <v>0.0</v>
      </c>
      <c r="Y69" s="19">
        <v>0.0</v>
      </c>
      <c r="Z69" s="19">
        <v>1.0</v>
      </c>
      <c r="AA69" s="19">
        <v>0.0</v>
      </c>
      <c r="AB69" s="19">
        <v>0.0</v>
      </c>
      <c r="AC69" s="19">
        <v>0.0</v>
      </c>
      <c r="AD69" s="19">
        <v>0.0</v>
      </c>
      <c r="AE69" s="19">
        <v>0.0</v>
      </c>
      <c r="AF69" s="19">
        <v>0.0</v>
      </c>
      <c r="AG69" s="19">
        <v>0.0</v>
      </c>
      <c r="AH69" s="19">
        <v>0.0</v>
      </c>
      <c r="AI69" s="19">
        <v>1.0</v>
      </c>
      <c r="AJ69" s="19">
        <v>0.0</v>
      </c>
      <c r="AK69" s="19">
        <v>0.0</v>
      </c>
      <c r="AL69" s="19">
        <v>0.0</v>
      </c>
      <c r="AM69" s="19">
        <v>0.0</v>
      </c>
      <c r="AN69" s="19">
        <v>0.0</v>
      </c>
      <c r="AO69" s="19">
        <v>0.0</v>
      </c>
      <c r="AP69" s="19">
        <v>0.0</v>
      </c>
      <c r="AQ69" s="19">
        <v>0.0</v>
      </c>
      <c r="AR69" s="19">
        <v>1.0</v>
      </c>
      <c r="AS69" s="13">
        <f t="shared" si="8"/>
        <v>7</v>
      </c>
    </row>
    <row r="70" ht="12.75" customHeight="1">
      <c r="A70" s="19" t="s">
        <v>15</v>
      </c>
      <c r="B70" s="47" t="s">
        <v>46</v>
      </c>
      <c r="C70" s="15"/>
      <c r="D70" s="16"/>
      <c r="E70" s="56">
        <f t="shared" ref="E70:AR70" si="11">SUM(E63:E69)</f>
        <v>39</v>
      </c>
      <c r="F70" s="56">
        <f t="shared" si="11"/>
        <v>42</v>
      </c>
      <c r="G70" s="56">
        <f t="shared" si="11"/>
        <v>59</v>
      </c>
      <c r="H70" s="56">
        <f t="shared" si="11"/>
        <v>51</v>
      </c>
      <c r="I70" s="56">
        <f t="shared" si="11"/>
        <v>61</v>
      </c>
      <c r="J70" s="56">
        <f t="shared" si="11"/>
        <v>19</v>
      </c>
      <c r="K70" s="56">
        <f t="shared" si="11"/>
        <v>32</v>
      </c>
      <c r="L70" s="56">
        <f t="shared" si="11"/>
        <v>24</v>
      </c>
      <c r="M70" s="56">
        <f t="shared" si="11"/>
        <v>21</v>
      </c>
      <c r="N70" s="56">
        <f t="shared" si="11"/>
        <v>43</v>
      </c>
      <c r="O70" s="56">
        <f t="shared" si="11"/>
        <v>28</v>
      </c>
      <c r="P70" s="56">
        <f t="shared" si="11"/>
        <v>41</v>
      </c>
      <c r="Q70" s="56">
        <f t="shared" si="11"/>
        <v>44</v>
      </c>
      <c r="R70" s="56">
        <f t="shared" si="11"/>
        <v>28</v>
      </c>
      <c r="S70" s="56">
        <f t="shared" si="11"/>
        <v>50</v>
      </c>
      <c r="T70" s="56">
        <f t="shared" si="11"/>
        <v>72</v>
      </c>
      <c r="U70" s="56">
        <f t="shared" si="11"/>
        <v>69</v>
      </c>
      <c r="V70" s="56">
        <f t="shared" si="11"/>
        <v>39</v>
      </c>
      <c r="W70" s="56">
        <f t="shared" si="11"/>
        <v>41</v>
      </c>
      <c r="X70" s="56">
        <f t="shared" si="11"/>
        <v>14</v>
      </c>
      <c r="Y70" s="56">
        <f t="shared" si="11"/>
        <v>28</v>
      </c>
      <c r="Z70" s="56">
        <f t="shared" si="11"/>
        <v>51</v>
      </c>
      <c r="AA70" s="56">
        <f t="shared" si="11"/>
        <v>14</v>
      </c>
      <c r="AB70" s="56">
        <f t="shared" si="11"/>
        <v>27</v>
      </c>
      <c r="AC70" s="56">
        <f t="shared" si="11"/>
        <v>14</v>
      </c>
      <c r="AD70" s="56">
        <f t="shared" si="11"/>
        <v>3</v>
      </c>
      <c r="AE70" s="56">
        <f t="shared" si="11"/>
        <v>1</v>
      </c>
      <c r="AF70" s="56">
        <f t="shared" si="11"/>
        <v>28</v>
      </c>
      <c r="AG70" s="56">
        <f t="shared" si="11"/>
        <v>31</v>
      </c>
      <c r="AH70" s="56">
        <f t="shared" si="11"/>
        <v>29</v>
      </c>
      <c r="AI70" s="56">
        <f t="shared" si="11"/>
        <v>69</v>
      </c>
      <c r="AJ70" s="56">
        <f t="shared" si="11"/>
        <v>60</v>
      </c>
      <c r="AK70" s="56">
        <f t="shared" si="11"/>
        <v>59</v>
      </c>
      <c r="AL70" s="56">
        <f t="shared" si="11"/>
        <v>30</v>
      </c>
      <c r="AM70" s="56">
        <f t="shared" si="11"/>
        <v>34</v>
      </c>
      <c r="AN70" s="56">
        <f t="shared" si="11"/>
        <v>31</v>
      </c>
      <c r="AO70" s="56">
        <f t="shared" si="11"/>
        <v>25</v>
      </c>
      <c r="AP70" s="56">
        <f t="shared" si="11"/>
        <v>14</v>
      </c>
      <c r="AQ70" s="56">
        <f t="shared" si="11"/>
        <v>21</v>
      </c>
      <c r="AR70" s="56">
        <f t="shared" si="11"/>
        <v>38</v>
      </c>
      <c r="AS70" s="13">
        <f t="shared" si="8"/>
        <v>1424</v>
      </c>
    </row>
    <row r="71" ht="12.75" customHeight="1">
      <c r="A71" s="57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13">
        <f t="shared" si="8"/>
        <v>0</v>
      </c>
    </row>
    <row r="72" ht="12.75" customHeight="1">
      <c r="A72" s="30" t="s">
        <v>37</v>
      </c>
      <c r="B72" s="47" t="s">
        <v>23</v>
      </c>
      <c r="C72" s="48" t="s">
        <v>61</v>
      </c>
      <c r="D72" s="16"/>
      <c r="E72" s="19">
        <v>4.0</v>
      </c>
      <c r="F72" s="19">
        <v>3.0</v>
      </c>
      <c r="G72" s="19">
        <v>1.0</v>
      </c>
      <c r="H72" s="19">
        <v>4.0</v>
      </c>
      <c r="I72" s="19">
        <v>2.0</v>
      </c>
      <c r="J72" s="19">
        <v>6.0</v>
      </c>
      <c r="K72" s="19">
        <v>4.0</v>
      </c>
      <c r="L72" s="19">
        <v>3.0</v>
      </c>
      <c r="M72" s="19">
        <v>7.0</v>
      </c>
      <c r="N72" s="19">
        <v>1.0</v>
      </c>
      <c r="O72" s="19">
        <v>5.0</v>
      </c>
      <c r="P72" s="19">
        <v>4.0</v>
      </c>
      <c r="Q72" s="19">
        <v>7.0</v>
      </c>
      <c r="R72" s="19">
        <v>3.0</v>
      </c>
      <c r="S72" s="19">
        <v>1.0</v>
      </c>
      <c r="T72" s="19">
        <v>3.0</v>
      </c>
      <c r="U72" s="19">
        <v>3.0</v>
      </c>
      <c r="V72" s="19">
        <v>1.0</v>
      </c>
      <c r="W72" s="19">
        <v>2.0</v>
      </c>
      <c r="X72" s="19">
        <v>2.0</v>
      </c>
      <c r="Y72" s="19">
        <v>0.0</v>
      </c>
      <c r="Z72" s="19">
        <v>1.0</v>
      </c>
      <c r="AA72" s="19">
        <v>0.0</v>
      </c>
      <c r="AB72" s="19">
        <v>1.0</v>
      </c>
      <c r="AC72" s="19">
        <v>1.0</v>
      </c>
      <c r="AD72" s="19">
        <v>0.0</v>
      </c>
      <c r="AE72" s="19">
        <v>0.0</v>
      </c>
      <c r="AF72" s="19">
        <v>1.0</v>
      </c>
      <c r="AG72" s="19">
        <v>3.0</v>
      </c>
      <c r="AH72" s="19">
        <v>7.0</v>
      </c>
      <c r="AI72" s="19">
        <v>2.0</v>
      </c>
      <c r="AJ72" s="19">
        <v>2.0</v>
      </c>
      <c r="AK72" s="19">
        <v>12.0</v>
      </c>
      <c r="AL72" s="19">
        <v>1.0</v>
      </c>
      <c r="AM72" s="19">
        <v>2.0</v>
      </c>
      <c r="AN72" s="19">
        <v>6.0</v>
      </c>
      <c r="AO72" s="19">
        <v>4.0</v>
      </c>
      <c r="AP72" s="19">
        <v>2.0</v>
      </c>
      <c r="AQ72" s="19">
        <v>4.0</v>
      </c>
      <c r="AR72" s="19">
        <v>5.0</v>
      </c>
      <c r="AS72" s="13">
        <f t="shared" si="8"/>
        <v>120</v>
      </c>
    </row>
    <row r="73" ht="12.75" customHeight="1">
      <c r="A73" s="30" t="s">
        <v>39</v>
      </c>
      <c r="B73" s="49">
        <v>1.0</v>
      </c>
      <c r="C73" s="50" t="s">
        <v>62</v>
      </c>
      <c r="D73" s="51"/>
      <c r="E73" s="19">
        <v>26.0</v>
      </c>
      <c r="F73" s="19">
        <v>38.0</v>
      </c>
      <c r="G73" s="19">
        <v>23.0</v>
      </c>
      <c r="H73" s="19">
        <v>17.0</v>
      </c>
      <c r="I73" s="19">
        <v>36.0</v>
      </c>
      <c r="J73" s="19">
        <v>29.0</v>
      </c>
      <c r="K73" s="19">
        <v>30.0</v>
      </c>
      <c r="L73" s="19">
        <v>85.0</v>
      </c>
      <c r="M73" s="19">
        <v>77.0</v>
      </c>
      <c r="N73" s="19">
        <v>37.0</v>
      </c>
      <c r="O73" s="19">
        <v>68.0</v>
      </c>
      <c r="P73" s="19">
        <v>22.0</v>
      </c>
      <c r="Q73" s="19">
        <v>38.0</v>
      </c>
      <c r="R73" s="19">
        <v>14.0</v>
      </c>
      <c r="S73" s="19">
        <v>20.0</v>
      </c>
      <c r="T73" s="19">
        <v>10.0</v>
      </c>
      <c r="U73" s="19">
        <v>9.0</v>
      </c>
      <c r="V73" s="19">
        <v>13.0</v>
      </c>
      <c r="W73" s="19">
        <v>17.0</v>
      </c>
      <c r="X73" s="19">
        <v>7.0</v>
      </c>
      <c r="Y73" s="19">
        <v>17.0</v>
      </c>
      <c r="Z73" s="19">
        <v>8.0</v>
      </c>
      <c r="AA73" s="19">
        <v>3.0</v>
      </c>
      <c r="AB73" s="19">
        <v>11.0</v>
      </c>
      <c r="AC73" s="19">
        <v>5.0</v>
      </c>
      <c r="AD73" s="19">
        <v>7.0</v>
      </c>
      <c r="AE73" s="19">
        <v>13.0</v>
      </c>
      <c r="AF73" s="19">
        <v>19.0</v>
      </c>
      <c r="AG73" s="19">
        <v>28.0</v>
      </c>
      <c r="AH73" s="19">
        <v>41.0</v>
      </c>
      <c r="AI73" s="19">
        <v>17.0</v>
      </c>
      <c r="AJ73" s="19">
        <v>15.0</v>
      </c>
      <c r="AK73" s="19">
        <v>53.0</v>
      </c>
      <c r="AL73" s="19">
        <v>11.0</v>
      </c>
      <c r="AM73" s="19">
        <v>17.0</v>
      </c>
      <c r="AN73" s="19">
        <v>49.0</v>
      </c>
      <c r="AO73" s="19">
        <v>24.0</v>
      </c>
      <c r="AP73" s="19">
        <v>43.0</v>
      </c>
      <c r="AQ73" s="19">
        <v>45.0</v>
      </c>
      <c r="AR73" s="19">
        <v>38.0</v>
      </c>
      <c r="AS73" s="13">
        <f t="shared" si="8"/>
        <v>1080</v>
      </c>
    </row>
    <row r="74" ht="12.75" customHeight="1">
      <c r="A74" s="18"/>
      <c r="B74" s="49">
        <v>2.0</v>
      </c>
      <c r="C74" s="50" t="s">
        <v>63</v>
      </c>
      <c r="D74" s="51"/>
      <c r="E74" s="19">
        <v>0.0</v>
      </c>
      <c r="F74" s="19">
        <v>0.0</v>
      </c>
      <c r="G74" s="19">
        <v>0.0</v>
      </c>
      <c r="H74" s="19">
        <v>0.0</v>
      </c>
      <c r="I74" s="19">
        <v>0.0</v>
      </c>
      <c r="J74" s="19">
        <v>1.0</v>
      </c>
      <c r="K74" s="19">
        <v>0.0</v>
      </c>
      <c r="L74" s="19">
        <v>1.0</v>
      </c>
      <c r="M74" s="19">
        <v>0.0</v>
      </c>
      <c r="N74" s="19">
        <v>0.0</v>
      </c>
      <c r="O74" s="19">
        <v>1.0</v>
      </c>
      <c r="P74" s="19">
        <v>0.0</v>
      </c>
      <c r="Q74" s="19">
        <v>0.0</v>
      </c>
      <c r="R74" s="19">
        <v>0.0</v>
      </c>
      <c r="S74" s="19">
        <v>0.0</v>
      </c>
      <c r="T74" s="19">
        <v>0.0</v>
      </c>
      <c r="U74" s="19">
        <v>0.0</v>
      </c>
      <c r="V74" s="19">
        <v>0.0</v>
      </c>
      <c r="W74" s="19">
        <v>0.0</v>
      </c>
      <c r="X74" s="19">
        <v>0.0</v>
      </c>
      <c r="Y74" s="19">
        <v>2.0</v>
      </c>
      <c r="Z74" s="19">
        <v>0.0</v>
      </c>
      <c r="AA74" s="19">
        <v>0.0</v>
      </c>
      <c r="AB74" s="19">
        <v>0.0</v>
      </c>
      <c r="AC74" s="19">
        <v>0.0</v>
      </c>
      <c r="AD74" s="19">
        <v>0.0</v>
      </c>
      <c r="AE74" s="19">
        <v>0.0</v>
      </c>
      <c r="AF74" s="19">
        <v>0.0</v>
      </c>
      <c r="AG74" s="19">
        <v>1.0</v>
      </c>
      <c r="AH74" s="19">
        <v>1.0</v>
      </c>
      <c r="AI74" s="19">
        <v>0.0</v>
      </c>
      <c r="AJ74" s="19">
        <v>0.0</v>
      </c>
      <c r="AK74" s="19">
        <v>1.0</v>
      </c>
      <c r="AL74" s="19">
        <v>1.0</v>
      </c>
      <c r="AM74" s="19">
        <v>0.0</v>
      </c>
      <c r="AN74" s="19">
        <v>1.0</v>
      </c>
      <c r="AO74" s="19">
        <v>0.0</v>
      </c>
      <c r="AP74" s="19">
        <v>1.0</v>
      </c>
      <c r="AQ74" s="19">
        <v>3.0</v>
      </c>
      <c r="AR74" s="19">
        <v>0.0</v>
      </c>
      <c r="AS74" s="13">
        <f t="shared" si="8"/>
        <v>14</v>
      </c>
    </row>
    <row r="75" ht="12.75" customHeight="1">
      <c r="A75" s="18"/>
      <c r="B75" s="49">
        <v>3.0</v>
      </c>
      <c r="C75" s="50" t="s">
        <v>64</v>
      </c>
      <c r="D75" s="51"/>
      <c r="E75" s="19">
        <v>0.0</v>
      </c>
      <c r="F75" s="19">
        <v>0.0</v>
      </c>
      <c r="G75" s="19">
        <v>0.0</v>
      </c>
      <c r="H75" s="19">
        <v>1.0</v>
      </c>
      <c r="I75" s="19">
        <v>0.0</v>
      </c>
      <c r="J75" s="19">
        <v>1.0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0.0</v>
      </c>
      <c r="R75" s="19">
        <v>0.0</v>
      </c>
      <c r="S75" s="19">
        <v>0.0</v>
      </c>
      <c r="T75" s="19">
        <v>1.0</v>
      </c>
      <c r="U75" s="19">
        <v>0.0</v>
      </c>
      <c r="V75" s="19">
        <v>0.0</v>
      </c>
      <c r="W75" s="19">
        <v>0.0</v>
      </c>
      <c r="X75" s="19">
        <v>0.0</v>
      </c>
      <c r="Y75" s="19">
        <v>0.0</v>
      </c>
      <c r="Z75" s="19">
        <v>0.0</v>
      </c>
      <c r="AA75" s="19">
        <v>0.0</v>
      </c>
      <c r="AB75" s="19">
        <v>0.0</v>
      </c>
      <c r="AC75" s="19">
        <v>1.0</v>
      </c>
      <c r="AD75" s="19">
        <v>0.0</v>
      </c>
      <c r="AE75" s="19">
        <v>0.0</v>
      </c>
      <c r="AF75" s="19">
        <v>0.0</v>
      </c>
      <c r="AG75" s="19">
        <v>0.0</v>
      </c>
      <c r="AH75" s="19">
        <v>1.0</v>
      </c>
      <c r="AI75" s="19">
        <v>0.0</v>
      </c>
      <c r="AJ75" s="19">
        <v>0.0</v>
      </c>
      <c r="AK75" s="19">
        <v>0.0</v>
      </c>
      <c r="AL75" s="19">
        <v>0.0</v>
      </c>
      <c r="AM75" s="19">
        <v>0.0</v>
      </c>
      <c r="AN75" s="19">
        <v>0.0</v>
      </c>
      <c r="AO75" s="19">
        <v>1.0</v>
      </c>
      <c r="AP75" s="19">
        <v>0.0</v>
      </c>
      <c r="AQ75" s="19">
        <v>1.0</v>
      </c>
      <c r="AR75" s="19">
        <v>0.0</v>
      </c>
      <c r="AS75" s="13">
        <f t="shared" si="8"/>
        <v>7</v>
      </c>
    </row>
    <row r="76" ht="12.75" customHeight="1">
      <c r="A76" s="18"/>
      <c r="B76" s="49">
        <v>4.0</v>
      </c>
      <c r="C76" s="50" t="s">
        <v>65</v>
      </c>
      <c r="D76" s="51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19">
        <v>0.0</v>
      </c>
      <c r="U76" s="19">
        <v>0.0</v>
      </c>
      <c r="V76" s="19">
        <v>0.0</v>
      </c>
      <c r="W76" s="19">
        <v>0.0</v>
      </c>
      <c r="X76" s="19">
        <v>0.0</v>
      </c>
      <c r="Y76" s="19">
        <v>0.0</v>
      </c>
      <c r="Z76" s="19">
        <v>0.0</v>
      </c>
      <c r="AA76" s="19">
        <v>0.0</v>
      </c>
      <c r="AB76" s="19">
        <v>0.0</v>
      </c>
      <c r="AC76" s="19">
        <v>0.0</v>
      </c>
      <c r="AD76" s="19">
        <v>0.0</v>
      </c>
      <c r="AE76" s="19">
        <v>0.0</v>
      </c>
      <c r="AF76" s="19">
        <v>0.0</v>
      </c>
      <c r="AG76" s="19">
        <v>0.0</v>
      </c>
      <c r="AH76" s="19">
        <v>0.0</v>
      </c>
      <c r="AI76" s="19">
        <v>0.0</v>
      </c>
      <c r="AJ76" s="19">
        <v>0.0</v>
      </c>
      <c r="AK76" s="19">
        <v>0.0</v>
      </c>
      <c r="AL76" s="19">
        <v>0.0</v>
      </c>
      <c r="AM76" s="19">
        <v>0.0</v>
      </c>
      <c r="AN76" s="19">
        <v>0.0</v>
      </c>
      <c r="AO76" s="19">
        <v>0.0</v>
      </c>
      <c r="AP76" s="19">
        <v>0.0</v>
      </c>
      <c r="AQ76" s="19">
        <v>0.0</v>
      </c>
      <c r="AR76" s="19">
        <v>0.0</v>
      </c>
      <c r="AS76" s="13">
        <f t="shared" si="8"/>
        <v>0</v>
      </c>
    </row>
    <row r="77" ht="12.75" customHeight="1">
      <c r="A77" s="18"/>
      <c r="B77" s="49">
        <v>5.0</v>
      </c>
      <c r="C77" s="50" t="s">
        <v>66</v>
      </c>
      <c r="D77" s="51"/>
      <c r="E77" s="19">
        <v>0.0</v>
      </c>
      <c r="F77" s="19">
        <v>0.0</v>
      </c>
      <c r="G77" s="19">
        <v>0.0</v>
      </c>
      <c r="H77" s="19">
        <v>0.0</v>
      </c>
      <c r="I77" s="19">
        <v>0.0</v>
      </c>
      <c r="J77" s="19">
        <v>0.0</v>
      </c>
      <c r="K77" s="19">
        <v>0.0</v>
      </c>
      <c r="L77" s="19">
        <v>0.0</v>
      </c>
      <c r="M77" s="19">
        <v>0.0</v>
      </c>
      <c r="N77" s="19">
        <v>0.0</v>
      </c>
      <c r="O77" s="19">
        <v>0.0</v>
      </c>
      <c r="P77" s="19">
        <v>0.0</v>
      </c>
      <c r="Q77" s="19">
        <v>0.0</v>
      </c>
      <c r="R77" s="19">
        <v>0.0</v>
      </c>
      <c r="S77" s="19">
        <v>0.0</v>
      </c>
      <c r="T77" s="19">
        <v>0.0</v>
      </c>
      <c r="U77" s="19">
        <v>0.0</v>
      </c>
      <c r="V77" s="19">
        <v>0.0</v>
      </c>
      <c r="W77" s="19">
        <v>0.0</v>
      </c>
      <c r="X77" s="19">
        <v>0.0</v>
      </c>
      <c r="Y77" s="19">
        <v>0.0</v>
      </c>
      <c r="Z77" s="19">
        <v>0.0</v>
      </c>
      <c r="AA77" s="19">
        <v>0.0</v>
      </c>
      <c r="AB77" s="19">
        <v>0.0</v>
      </c>
      <c r="AC77" s="19">
        <v>0.0</v>
      </c>
      <c r="AD77" s="19">
        <v>0.0</v>
      </c>
      <c r="AE77" s="19">
        <v>0.0</v>
      </c>
      <c r="AF77" s="19">
        <v>0.0</v>
      </c>
      <c r="AG77" s="19">
        <v>0.0</v>
      </c>
      <c r="AH77" s="19">
        <v>0.0</v>
      </c>
      <c r="AI77" s="19">
        <v>0.0</v>
      </c>
      <c r="AJ77" s="19">
        <v>0.0</v>
      </c>
      <c r="AK77" s="19">
        <v>0.0</v>
      </c>
      <c r="AL77" s="19">
        <v>0.0</v>
      </c>
      <c r="AM77" s="19">
        <v>0.0</v>
      </c>
      <c r="AN77" s="19">
        <v>0.0</v>
      </c>
      <c r="AO77" s="19">
        <v>0.0</v>
      </c>
      <c r="AP77" s="19">
        <v>0.0</v>
      </c>
      <c r="AQ77" s="19">
        <v>0.0</v>
      </c>
      <c r="AR77" s="19">
        <v>0.0</v>
      </c>
      <c r="AS77" s="13">
        <f t="shared" si="8"/>
        <v>0</v>
      </c>
    </row>
    <row r="78" ht="12.75" customHeight="1">
      <c r="A78" s="18"/>
      <c r="B78" s="49">
        <v>6.0</v>
      </c>
      <c r="C78" s="50" t="s">
        <v>67</v>
      </c>
      <c r="D78" s="51"/>
      <c r="E78" s="19">
        <v>0.0</v>
      </c>
      <c r="F78" s="19">
        <v>0.0</v>
      </c>
      <c r="G78" s="19">
        <v>0.0</v>
      </c>
      <c r="H78" s="19">
        <v>0.0</v>
      </c>
      <c r="I78" s="19">
        <v>0.0</v>
      </c>
      <c r="J78" s="19">
        <v>0.0</v>
      </c>
      <c r="K78" s="19">
        <v>1.0</v>
      </c>
      <c r="L78" s="19">
        <v>0.0</v>
      </c>
      <c r="M78" s="19">
        <v>0.0</v>
      </c>
      <c r="N78" s="19">
        <v>0.0</v>
      </c>
      <c r="O78" s="19">
        <v>0.0</v>
      </c>
      <c r="P78" s="19">
        <v>0.0</v>
      </c>
      <c r="Q78" s="19">
        <v>0.0</v>
      </c>
      <c r="R78" s="19">
        <v>0.0</v>
      </c>
      <c r="S78" s="19">
        <v>0.0</v>
      </c>
      <c r="T78" s="19">
        <v>0.0</v>
      </c>
      <c r="U78" s="19">
        <v>0.0</v>
      </c>
      <c r="V78" s="19">
        <v>0.0</v>
      </c>
      <c r="W78" s="19">
        <v>0.0</v>
      </c>
      <c r="X78" s="19">
        <v>0.0</v>
      </c>
      <c r="Y78" s="19">
        <v>0.0</v>
      </c>
      <c r="Z78" s="19">
        <v>0.0</v>
      </c>
      <c r="AA78" s="19">
        <v>0.0</v>
      </c>
      <c r="AB78" s="19">
        <v>0.0</v>
      </c>
      <c r="AC78" s="19">
        <v>0.0</v>
      </c>
      <c r="AD78" s="19">
        <v>0.0</v>
      </c>
      <c r="AE78" s="19">
        <v>0.0</v>
      </c>
      <c r="AF78" s="19">
        <v>0.0</v>
      </c>
      <c r="AG78" s="19">
        <v>0.0</v>
      </c>
      <c r="AH78" s="19">
        <v>0.0</v>
      </c>
      <c r="AI78" s="19">
        <v>0.0</v>
      </c>
      <c r="AJ78" s="19">
        <v>0.0</v>
      </c>
      <c r="AK78" s="19">
        <v>0.0</v>
      </c>
      <c r="AL78" s="19">
        <v>0.0</v>
      </c>
      <c r="AM78" s="19">
        <v>0.0</v>
      </c>
      <c r="AN78" s="19">
        <v>0.0</v>
      </c>
      <c r="AO78" s="19">
        <v>0.0</v>
      </c>
      <c r="AP78" s="19">
        <v>0.0</v>
      </c>
      <c r="AQ78" s="19">
        <v>0.0</v>
      </c>
      <c r="AR78" s="19">
        <v>0.0</v>
      </c>
      <c r="AS78" s="13">
        <f t="shared" si="8"/>
        <v>1</v>
      </c>
    </row>
    <row r="79" ht="12.75" customHeight="1">
      <c r="A79" s="19" t="s">
        <v>15</v>
      </c>
      <c r="B79" s="47" t="s">
        <v>46</v>
      </c>
      <c r="C79" s="15"/>
      <c r="D79" s="16"/>
      <c r="E79" s="56">
        <f t="shared" ref="E79:AR79" si="12">SUM(E72:E78)</f>
        <v>30</v>
      </c>
      <c r="F79" s="56">
        <f t="shared" si="12"/>
        <v>41</v>
      </c>
      <c r="G79" s="56">
        <f t="shared" si="12"/>
        <v>24</v>
      </c>
      <c r="H79" s="56">
        <f t="shared" si="12"/>
        <v>22</v>
      </c>
      <c r="I79" s="56">
        <f t="shared" si="12"/>
        <v>38</v>
      </c>
      <c r="J79" s="56">
        <f t="shared" si="12"/>
        <v>37</v>
      </c>
      <c r="K79" s="56">
        <f t="shared" si="12"/>
        <v>35</v>
      </c>
      <c r="L79" s="56">
        <f t="shared" si="12"/>
        <v>89</v>
      </c>
      <c r="M79" s="56">
        <f t="shared" si="12"/>
        <v>84</v>
      </c>
      <c r="N79" s="56">
        <f t="shared" si="12"/>
        <v>38</v>
      </c>
      <c r="O79" s="56">
        <f t="shared" si="12"/>
        <v>74</v>
      </c>
      <c r="P79" s="56">
        <f t="shared" si="12"/>
        <v>26</v>
      </c>
      <c r="Q79" s="56">
        <f t="shared" si="12"/>
        <v>45</v>
      </c>
      <c r="R79" s="56">
        <f t="shared" si="12"/>
        <v>17</v>
      </c>
      <c r="S79" s="56">
        <f t="shared" si="12"/>
        <v>21</v>
      </c>
      <c r="T79" s="56">
        <f t="shared" si="12"/>
        <v>14</v>
      </c>
      <c r="U79" s="56">
        <f t="shared" si="12"/>
        <v>12</v>
      </c>
      <c r="V79" s="56">
        <f t="shared" si="12"/>
        <v>14</v>
      </c>
      <c r="W79" s="56">
        <f t="shared" si="12"/>
        <v>19</v>
      </c>
      <c r="X79" s="56">
        <f t="shared" si="12"/>
        <v>9</v>
      </c>
      <c r="Y79" s="56">
        <f t="shared" si="12"/>
        <v>19</v>
      </c>
      <c r="Z79" s="56">
        <f t="shared" si="12"/>
        <v>9</v>
      </c>
      <c r="AA79" s="56">
        <f t="shared" si="12"/>
        <v>3</v>
      </c>
      <c r="AB79" s="56">
        <f t="shared" si="12"/>
        <v>12</v>
      </c>
      <c r="AC79" s="56">
        <f t="shared" si="12"/>
        <v>7</v>
      </c>
      <c r="AD79" s="56">
        <f t="shared" si="12"/>
        <v>7</v>
      </c>
      <c r="AE79" s="56">
        <f t="shared" si="12"/>
        <v>13</v>
      </c>
      <c r="AF79" s="56">
        <f t="shared" si="12"/>
        <v>20</v>
      </c>
      <c r="AG79" s="56">
        <f t="shared" si="12"/>
        <v>32</v>
      </c>
      <c r="AH79" s="56">
        <f t="shared" si="12"/>
        <v>50</v>
      </c>
      <c r="AI79" s="56">
        <f t="shared" si="12"/>
        <v>19</v>
      </c>
      <c r="AJ79" s="56">
        <f t="shared" si="12"/>
        <v>17</v>
      </c>
      <c r="AK79" s="56">
        <f t="shared" si="12"/>
        <v>66</v>
      </c>
      <c r="AL79" s="56">
        <f t="shared" si="12"/>
        <v>13</v>
      </c>
      <c r="AM79" s="56">
        <f t="shared" si="12"/>
        <v>19</v>
      </c>
      <c r="AN79" s="56">
        <f t="shared" si="12"/>
        <v>56</v>
      </c>
      <c r="AO79" s="56">
        <f t="shared" si="12"/>
        <v>29</v>
      </c>
      <c r="AP79" s="56">
        <f t="shared" si="12"/>
        <v>46</v>
      </c>
      <c r="AQ79" s="56">
        <f t="shared" si="12"/>
        <v>53</v>
      </c>
      <c r="AR79" s="56">
        <f t="shared" si="12"/>
        <v>43</v>
      </c>
      <c r="AS79" s="13">
        <f t="shared" si="8"/>
        <v>1222</v>
      </c>
    </row>
    <row r="80" ht="12.75" customHeight="1">
      <c r="A80" s="57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13">
        <f t="shared" si="8"/>
        <v>0</v>
      </c>
    </row>
    <row r="81" ht="12.75" customHeight="1">
      <c r="A81" s="30" t="s">
        <v>37</v>
      </c>
      <c r="B81" s="47" t="s">
        <v>68</v>
      </c>
      <c r="C81" s="48" t="s">
        <v>69</v>
      </c>
      <c r="D81" s="16"/>
      <c r="E81" s="19">
        <v>0.0</v>
      </c>
      <c r="F81" s="19">
        <v>1.0</v>
      </c>
      <c r="G81" s="19">
        <v>1.0</v>
      </c>
      <c r="H81" s="19">
        <v>0.0</v>
      </c>
      <c r="I81" s="19">
        <v>0.0</v>
      </c>
      <c r="J81" s="19">
        <v>0.0</v>
      </c>
      <c r="K81" s="19">
        <v>0.0</v>
      </c>
      <c r="L81" s="19">
        <v>0.0</v>
      </c>
      <c r="M81" s="19">
        <v>0.0</v>
      </c>
      <c r="N81" s="19">
        <v>0.0</v>
      </c>
      <c r="O81" s="19">
        <v>0.0</v>
      </c>
      <c r="P81" s="19">
        <v>0.0</v>
      </c>
      <c r="Q81" s="19">
        <v>3.0</v>
      </c>
      <c r="R81" s="19">
        <v>0.0</v>
      </c>
      <c r="S81" s="19">
        <v>0.0</v>
      </c>
      <c r="T81" s="19">
        <v>0.0</v>
      </c>
      <c r="U81" s="19">
        <v>0.0</v>
      </c>
      <c r="V81" s="19">
        <v>0.0</v>
      </c>
      <c r="W81" s="19">
        <v>0.0</v>
      </c>
      <c r="X81" s="19">
        <v>0.0</v>
      </c>
      <c r="Y81" s="19">
        <v>1.0</v>
      </c>
      <c r="Z81" s="19">
        <v>0.0</v>
      </c>
      <c r="AA81" s="19">
        <v>1.0</v>
      </c>
      <c r="AB81" s="19">
        <v>1.0</v>
      </c>
      <c r="AC81" s="19">
        <v>0.0</v>
      </c>
      <c r="AD81" s="19">
        <v>0.0</v>
      </c>
      <c r="AE81" s="19">
        <v>0.0</v>
      </c>
      <c r="AF81" s="19">
        <v>0.0</v>
      </c>
      <c r="AG81" s="19">
        <v>0.0</v>
      </c>
      <c r="AH81" s="19">
        <v>0.0</v>
      </c>
      <c r="AI81" s="19">
        <v>1.0</v>
      </c>
      <c r="AJ81" s="19">
        <v>0.0</v>
      </c>
      <c r="AK81" s="19">
        <v>1.0</v>
      </c>
      <c r="AL81" s="19">
        <v>0.0</v>
      </c>
      <c r="AM81" s="19">
        <v>0.0</v>
      </c>
      <c r="AN81" s="19">
        <v>0.0</v>
      </c>
      <c r="AO81" s="19">
        <v>0.0</v>
      </c>
      <c r="AP81" s="19">
        <v>0.0</v>
      </c>
      <c r="AQ81" s="19">
        <v>0.0</v>
      </c>
      <c r="AR81" s="19">
        <v>1.0</v>
      </c>
      <c r="AS81" s="13">
        <f t="shared" si="8"/>
        <v>11</v>
      </c>
    </row>
    <row r="82" ht="12.75" customHeight="1">
      <c r="A82" s="30" t="s">
        <v>39</v>
      </c>
      <c r="B82" s="49">
        <v>1.0</v>
      </c>
      <c r="C82" s="50" t="s">
        <v>70</v>
      </c>
      <c r="D82" s="51"/>
      <c r="E82" s="19">
        <v>2.0</v>
      </c>
      <c r="F82" s="19">
        <v>8.0</v>
      </c>
      <c r="G82" s="19">
        <v>0.0</v>
      </c>
      <c r="H82" s="19">
        <v>0.0</v>
      </c>
      <c r="I82" s="19">
        <v>0.0</v>
      </c>
      <c r="J82" s="19">
        <v>1.0</v>
      </c>
      <c r="K82" s="19">
        <v>0.0</v>
      </c>
      <c r="L82" s="19">
        <v>0.0</v>
      </c>
      <c r="M82" s="19">
        <v>0.0</v>
      </c>
      <c r="N82" s="19">
        <v>1.0</v>
      </c>
      <c r="O82" s="19">
        <v>3.0</v>
      </c>
      <c r="P82" s="19">
        <v>1.0</v>
      </c>
      <c r="Q82" s="19">
        <v>1.0</v>
      </c>
      <c r="R82" s="19">
        <v>1.0</v>
      </c>
      <c r="S82" s="19">
        <v>3.0</v>
      </c>
      <c r="T82" s="19">
        <v>0.0</v>
      </c>
      <c r="U82" s="19">
        <v>0.0</v>
      </c>
      <c r="V82" s="19">
        <v>3.0</v>
      </c>
      <c r="W82" s="19">
        <v>0.0</v>
      </c>
      <c r="X82" s="19">
        <v>1.0</v>
      </c>
      <c r="Y82" s="19">
        <v>1.0</v>
      </c>
      <c r="Z82" s="19">
        <v>0.0</v>
      </c>
      <c r="AA82" s="19">
        <v>0.0</v>
      </c>
      <c r="AB82" s="19">
        <v>0.0</v>
      </c>
      <c r="AC82" s="19">
        <v>0.0</v>
      </c>
      <c r="AD82" s="19">
        <v>0.0</v>
      </c>
      <c r="AE82" s="19">
        <v>0.0</v>
      </c>
      <c r="AF82" s="19">
        <v>0.0</v>
      </c>
      <c r="AG82" s="19">
        <v>4.0</v>
      </c>
      <c r="AH82" s="19">
        <v>0.0</v>
      </c>
      <c r="AI82" s="19">
        <v>0.0</v>
      </c>
      <c r="AJ82" s="19">
        <v>0.0</v>
      </c>
      <c r="AK82" s="19">
        <v>0.0</v>
      </c>
      <c r="AL82" s="19">
        <v>0.0</v>
      </c>
      <c r="AM82" s="19">
        <v>0.0</v>
      </c>
      <c r="AN82" s="19">
        <v>1.0</v>
      </c>
      <c r="AO82" s="19">
        <v>0.0</v>
      </c>
      <c r="AP82" s="19">
        <v>2.0</v>
      </c>
      <c r="AQ82" s="19">
        <v>1.0</v>
      </c>
      <c r="AR82" s="19">
        <v>3.0</v>
      </c>
      <c r="AS82" s="13">
        <f t="shared" si="8"/>
        <v>37</v>
      </c>
    </row>
    <row r="83" ht="12.75" customHeight="1">
      <c r="A83" s="18"/>
      <c r="B83" s="49">
        <v>2.0</v>
      </c>
      <c r="C83" s="50" t="s">
        <v>71</v>
      </c>
      <c r="D83" s="51"/>
      <c r="E83" s="19">
        <v>1.0</v>
      </c>
      <c r="F83" s="19">
        <v>0.0</v>
      </c>
      <c r="G83" s="19">
        <v>0.0</v>
      </c>
      <c r="H83" s="19">
        <v>0.0</v>
      </c>
      <c r="I83" s="19">
        <v>0.0</v>
      </c>
      <c r="J83" s="19">
        <v>0.0</v>
      </c>
      <c r="K83" s="19">
        <v>0.0</v>
      </c>
      <c r="L83" s="19">
        <v>0.0</v>
      </c>
      <c r="M83" s="19">
        <v>0.0</v>
      </c>
      <c r="N83" s="19">
        <v>0.0</v>
      </c>
      <c r="O83" s="19">
        <v>0.0</v>
      </c>
      <c r="P83" s="19">
        <v>0.0</v>
      </c>
      <c r="Q83" s="19">
        <v>0.0</v>
      </c>
      <c r="R83" s="19">
        <v>0.0</v>
      </c>
      <c r="S83" s="19">
        <v>0.0</v>
      </c>
      <c r="T83" s="19">
        <v>0.0</v>
      </c>
      <c r="U83" s="19">
        <v>0.0</v>
      </c>
      <c r="V83" s="19">
        <v>0.0</v>
      </c>
      <c r="W83" s="19">
        <v>0.0</v>
      </c>
      <c r="X83" s="19">
        <v>0.0</v>
      </c>
      <c r="Y83" s="19">
        <v>0.0</v>
      </c>
      <c r="Z83" s="19">
        <v>0.0</v>
      </c>
      <c r="AA83" s="19">
        <v>0.0</v>
      </c>
      <c r="AB83" s="19">
        <v>0.0</v>
      </c>
      <c r="AC83" s="19">
        <v>0.0</v>
      </c>
      <c r="AD83" s="19">
        <v>0.0</v>
      </c>
      <c r="AE83" s="19">
        <v>0.0</v>
      </c>
      <c r="AF83" s="19">
        <v>1.0</v>
      </c>
      <c r="AG83" s="19">
        <v>0.0</v>
      </c>
      <c r="AH83" s="19">
        <v>0.0</v>
      </c>
      <c r="AI83" s="19">
        <v>0.0</v>
      </c>
      <c r="AJ83" s="19">
        <v>0.0</v>
      </c>
      <c r="AK83" s="19">
        <v>0.0</v>
      </c>
      <c r="AL83" s="19">
        <v>0.0</v>
      </c>
      <c r="AM83" s="19">
        <v>0.0</v>
      </c>
      <c r="AN83" s="19">
        <v>0.0</v>
      </c>
      <c r="AO83" s="19">
        <v>0.0</v>
      </c>
      <c r="AP83" s="19">
        <v>0.0</v>
      </c>
      <c r="AQ83" s="19">
        <v>0.0</v>
      </c>
      <c r="AR83" s="19">
        <v>0.0</v>
      </c>
      <c r="AS83" s="13">
        <f t="shared" si="8"/>
        <v>2</v>
      </c>
    </row>
    <row r="84" ht="12.75" customHeight="1">
      <c r="A84" s="18"/>
      <c r="B84" s="49">
        <v>3.0</v>
      </c>
      <c r="C84" s="50" t="s">
        <v>72</v>
      </c>
      <c r="D84" s="51"/>
      <c r="E84" s="19">
        <v>1.0</v>
      </c>
      <c r="F84" s="19">
        <v>0.0</v>
      </c>
      <c r="G84" s="19">
        <v>0.0</v>
      </c>
      <c r="H84" s="19">
        <v>0.0</v>
      </c>
      <c r="I84" s="19">
        <v>1.0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0.0</v>
      </c>
      <c r="S84" s="19">
        <v>0.0</v>
      </c>
      <c r="T84" s="19">
        <v>0.0</v>
      </c>
      <c r="U84" s="19">
        <v>0.0</v>
      </c>
      <c r="V84" s="19">
        <v>0.0</v>
      </c>
      <c r="W84" s="19">
        <v>1.0</v>
      </c>
      <c r="X84" s="19">
        <v>0.0</v>
      </c>
      <c r="Y84" s="19">
        <v>1.0</v>
      </c>
      <c r="Z84" s="19">
        <v>0.0</v>
      </c>
      <c r="AA84" s="19">
        <v>0.0</v>
      </c>
      <c r="AB84" s="19">
        <v>0.0</v>
      </c>
      <c r="AC84" s="19">
        <v>0.0</v>
      </c>
      <c r="AD84" s="19">
        <v>0.0</v>
      </c>
      <c r="AE84" s="19">
        <v>0.0</v>
      </c>
      <c r="AF84" s="19">
        <v>0.0</v>
      </c>
      <c r="AG84" s="19">
        <v>0.0</v>
      </c>
      <c r="AH84" s="19">
        <v>0.0</v>
      </c>
      <c r="AI84" s="19">
        <v>0.0</v>
      </c>
      <c r="AJ84" s="19">
        <v>0.0</v>
      </c>
      <c r="AK84" s="19">
        <v>0.0</v>
      </c>
      <c r="AL84" s="19">
        <v>0.0</v>
      </c>
      <c r="AM84" s="19">
        <v>0.0</v>
      </c>
      <c r="AN84" s="19">
        <v>0.0</v>
      </c>
      <c r="AO84" s="19">
        <v>0.0</v>
      </c>
      <c r="AP84" s="19">
        <v>0.0</v>
      </c>
      <c r="AQ84" s="19">
        <v>0.0</v>
      </c>
      <c r="AR84" s="19">
        <v>0.0</v>
      </c>
      <c r="AS84" s="13">
        <f t="shared" si="8"/>
        <v>4</v>
      </c>
    </row>
    <row r="85" ht="12.75" customHeight="1">
      <c r="A85" s="18"/>
      <c r="B85" s="49">
        <v>4.0</v>
      </c>
      <c r="C85" s="50" t="s">
        <v>73</v>
      </c>
      <c r="D85" s="51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0.0</v>
      </c>
      <c r="O85" s="19">
        <v>1.0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9">
        <v>0.0</v>
      </c>
      <c r="V85" s="19">
        <v>0.0</v>
      </c>
      <c r="W85" s="19">
        <v>1.0</v>
      </c>
      <c r="X85" s="19">
        <v>0.0</v>
      </c>
      <c r="Y85" s="19">
        <v>0.0</v>
      </c>
      <c r="Z85" s="19">
        <v>0.0</v>
      </c>
      <c r="AA85" s="19">
        <v>0.0</v>
      </c>
      <c r="AB85" s="19">
        <v>0.0</v>
      </c>
      <c r="AC85" s="19">
        <v>0.0</v>
      </c>
      <c r="AD85" s="19">
        <v>0.0</v>
      </c>
      <c r="AE85" s="19">
        <v>0.0</v>
      </c>
      <c r="AF85" s="19">
        <v>1.0</v>
      </c>
      <c r="AG85" s="19">
        <v>0.0</v>
      </c>
      <c r="AH85" s="19">
        <v>0.0</v>
      </c>
      <c r="AI85" s="19">
        <v>0.0</v>
      </c>
      <c r="AJ85" s="19">
        <v>0.0</v>
      </c>
      <c r="AK85" s="19">
        <v>0.0</v>
      </c>
      <c r="AL85" s="19">
        <v>0.0</v>
      </c>
      <c r="AM85" s="19">
        <v>0.0</v>
      </c>
      <c r="AN85" s="19">
        <v>0.0</v>
      </c>
      <c r="AO85" s="19">
        <v>0.0</v>
      </c>
      <c r="AP85" s="19">
        <v>0.0</v>
      </c>
      <c r="AQ85" s="19">
        <v>0.0</v>
      </c>
      <c r="AR85" s="19">
        <v>0.0</v>
      </c>
      <c r="AS85" s="13">
        <f t="shared" si="8"/>
        <v>3</v>
      </c>
    </row>
    <row r="86" ht="12.75" customHeight="1">
      <c r="A86" s="18"/>
      <c r="B86" s="49">
        <v>5.0</v>
      </c>
      <c r="C86" s="50" t="s">
        <v>74</v>
      </c>
      <c r="D86" s="51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1.0</v>
      </c>
      <c r="L86" s="19">
        <v>0.0</v>
      </c>
      <c r="M86" s="19">
        <v>0.0</v>
      </c>
      <c r="N86" s="19">
        <v>0.0</v>
      </c>
      <c r="O86" s="19">
        <v>3.0</v>
      </c>
      <c r="P86" s="19">
        <v>3.0</v>
      </c>
      <c r="Q86" s="19">
        <v>1.0</v>
      </c>
      <c r="R86" s="19">
        <v>1.0</v>
      </c>
      <c r="S86" s="19">
        <v>0.0</v>
      </c>
      <c r="T86" s="19">
        <v>0.0</v>
      </c>
      <c r="U86" s="19">
        <v>0.0</v>
      </c>
      <c r="V86" s="19">
        <v>0.0</v>
      </c>
      <c r="W86" s="19">
        <v>1.0</v>
      </c>
      <c r="X86" s="19">
        <v>1.0</v>
      </c>
      <c r="Y86" s="19">
        <v>0.0</v>
      </c>
      <c r="Z86" s="19">
        <v>0.0</v>
      </c>
      <c r="AA86" s="19">
        <v>0.0</v>
      </c>
      <c r="AB86" s="19">
        <v>0.0</v>
      </c>
      <c r="AC86" s="19">
        <v>0.0</v>
      </c>
      <c r="AD86" s="19">
        <v>0.0</v>
      </c>
      <c r="AE86" s="19">
        <v>0.0</v>
      </c>
      <c r="AF86" s="19">
        <v>0.0</v>
      </c>
      <c r="AG86" s="19">
        <v>0.0</v>
      </c>
      <c r="AH86" s="19">
        <v>0.0</v>
      </c>
      <c r="AI86" s="19">
        <v>0.0</v>
      </c>
      <c r="AJ86" s="19">
        <v>0.0</v>
      </c>
      <c r="AK86" s="19">
        <v>0.0</v>
      </c>
      <c r="AL86" s="19">
        <v>0.0</v>
      </c>
      <c r="AM86" s="19">
        <v>0.0</v>
      </c>
      <c r="AN86" s="19">
        <v>0.0</v>
      </c>
      <c r="AO86" s="19">
        <v>0.0</v>
      </c>
      <c r="AP86" s="19">
        <v>0.0</v>
      </c>
      <c r="AQ86" s="19">
        <v>0.0</v>
      </c>
      <c r="AR86" s="19">
        <v>1.0</v>
      </c>
      <c r="AS86" s="13">
        <f t="shared" si="8"/>
        <v>12</v>
      </c>
    </row>
    <row r="87" ht="12.75" customHeight="1">
      <c r="A87" s="18"/>
      <c r="B87" s="49">
        <v>6.0</v>
      </c>
      <c r="C87" s="50" t="s">
        <v>75</v>
      </c>
      <c r="D87" s="51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9">
        <v>0.0</v>
      </c>
      <c r="AG87" s="19">
        <v>0.0</v>
      </c>
      <c r="AH87" s="19">
        <v>0.0</v>
      </c>
      <c r="AI87" s="19">
        <v>0.0</v>
      </c>
      <c r="AJ87" s="19">
        <v>0.0</v>
      </c>
      <c r="AK87" s="19">
        <v>0.0</v>
      </c>
      <c r="AL87" s="19">
        <v>0.0</v>
      </c>
      <c r="AM87" s="19">
        <v>0.0</v>
      </c>
      <c r="AN87" s="19">
        <v>0.0</v>
      </c>
      <c r="AO87" s="19">
        <v>0.0</v>
      </c>
      <c r="AP87" s="19">
        <v>0.0</v>
      </c>
      <c r="AQ87" s="19">
        <v>0.0</v>
      </c>
      <c r="AR87" s="19">
        <v>0.0</v>
      </c>
      <c r="AS87" s="13">
        <f t="shared" si="8"/>
        <v>0</v>
      </c>
    </row>
    <row r="88" ht="12.75" customHeight="1">
      <c r="A88" s="19" t="s">
        <v>15</v>
      </c>
      <c r="B88" s="47" t="s">
        <v>46</v>
      </c>
      <c r="C88" s="15"/>
      <c r="D88" s="16"/>
      <c r="E88" s="56">
        <f t="shared" ref="E88:AR88" si="13">SUM(E81:E87)</f>
        <v>4</v>
      </c>
      <c r="F88" s="56">
        <f t="shared" si="13"/>
        <v>9</v>
      </c>
      <c r="G88" s="56">
        <f t="shared" si="13"/>
        <v>1</v>
      </c>
      <c r="H88" s="56">
        <f t="shared" si="13"/>
        <v>0</v>
      </c>
      <c r="I88" s="56">
        <f t="shared" si="13"/>
        <v>1</v>
      </c>
      <c r="J88" s="56">
        <f t="shared" si="13"/>
        <v>1</v>
      </c>
      <c r="K88" s="56">
        <f t="shared" si="13"/>
        <v>1</v>
      </c>
      <c r="L88" s="56">
        <f t="shared" si="13"/>
        <v>0</v>
      </c>
      <c r="M88" s="56">
        <f t="shared" si="13"/>
        <v>0</v>
      </c>
      <c r="N88" s="56">
        <f t="shared" si="13"/>
        <v>1</v>
      </c>
      <c r="O88" s="56">
        <f t="shared" si="13"/>
        <v>7</v>
      </c>
      <c r="P88" s="56">
        <f t="shared" si="13"/>
        <v>4</v>
      </c>
      <c r="Q88" s="56">
        <f t="shared" si="13"/>
        <v>5</v>
      </c>
      <c r="R88" s="56">
        <f t="shared" si="13"/>
        <v>2</v>
      </c>
      <c r="S88" s="56">
        <f t="shared" si="13"/>
        <v>3</v>
      </c>
      <c r="T88" s="56">
        <f t="shared" si="13"/>
        <v>0</v>
      </c>
      <c r="U88" s="56">
        <f t="shared" si="13"/>
        <v>0</v>
      </c>
      <c r="V88" s="56">
        <f t="shared" si="13"/>
        <v>3</v>
      </c>
      <c r="W88" s="56">
        <f t="shared" si="13"/>
        <v>3</v>
      </c>
      <c r="X88" s="56">
        <f t="shared" si="13"/>
        <v>2</v>
      </c>
      <c r="Y88" s="56">
        <f t="shared" si="13"/>
        <v>3</v>
      </c>
      <c r="Z88" s="56">
        <f t="shared" si="13"/>
        <v>0</v>
      </c>
      <c r="AA88" s="56">
        <f t="shared" si="13"/>
        <v>1</v>
      </c>
      <c r="AB88" s="56">
        <f t="shared" si="13"/>
        <v>1</v>
      </c>
      <c r="AC88" s="56">
        <f t="shared" si="13"/>
        <v>0</v>
      </c>
      <c r="AD88" s="56">
        <f t="shared" si="13"/>
        <v>0</v>
      </c>
      <c r="AE88" s="56">
        <f t="shared" si="13"/>
        <v>0</v>
      </c>
      <c r="AF88" s="56">
        <f t="shared" si="13"/>
        <v>2</v>
      </c>
      <c r="AG88" s="56">
        <f t="shared" si="13"/>
        <v>4</v>
      </c>
      <c r="AH88" s="56">
        <f t="shared" si="13"/>
        <v>0</v>
      </c>
      <c r="AI88" s="56">
        <f t="shared" si="13"/>
        <v>1</v>
      </c>
      <c r="AJ88" s="56">
        <f t="shared" si="13"/>
        <v>0</v>
      </c>
      <c r="AK88" s="56">
        <f t="shared" si="13"/>
        <v>1</v>
      </c>
      <c r="AL88" s="56">
        <f t="shared" si="13"/>
        <v>0</v>
      </c>
      <c r="AM88" s="56">
        <f t="shared" si="13"/>
        <v>0</v>
      </c>
      <c r="AN88" s="56">
        <f t="shared" si="13"/>
        <v>1</v>
      </c>
      <c r="AO88" s="56">
        <f t="shared" si="13"/>
        <v>0</v>
      </c>
      <c r="AP88" s="56">
        <f t="shared" si="13"/>
        <v>2</v>
      </c>
      <c r="AQ88" s="56">
        <f t="shared" si="13"/>
        <v>1</v>
      </c>
      <c r="AR88" s="56">
        <f t="shared" si="13"/>
        <v>5</v>
      </c>
      <c r="AS88" s="13">
        <f t="shared" si="8"/>
        <v>69</v>
      </c>
    </row>
    <row r="89" ht="12.75" customHeight="1">
      <c r="A89" s="57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13">
        <f t="shared" si="8"/>
        <v>0</v>
      </c>
    </row>
    <row r="90" ht="12.75" customHeight="1">
      <c r="A90" s="30" t="s">
        <v>37</v>
      </c>
      <c r="B90" s="47" t="s">
        <v>76</v>
      </c>
      <c r="C90" s="48" t="s">
        <v>77</v>
      </c>
      <c r="D90" s="16"/>
      <c r="E90" s="19">
        <v>0.0</v>
      </c>
      <c r="F90" s="19">
        <v>0.0</v>
      </c>
      <c r="G90" s="19">
        <v>0.0</v>
      </c>
      <c r="H90" s="19">
        <v>1.0</v>
      </c>
      <c r="I90" s="19">
        <v>0.0</v>
      </c>
      <c r="J90" s="19">
        <v>0.0</v>
      </c>
      <c r="K90" s="19">
        <v>0.0</v>
      </c>
      <c r="L90" s="19">
        <v>0.0</v>
      </c>
      <c r="M90" s="19">
        <v>0.0</v>
      </c>
      <c r="N90" s="19">
        <v>0.0</v>
      </c>
      <c r="O90" s="19">
        <v>0.0</v>
      </c>
      <c r="P90" s="19">
        <v>1.0</v>
      </c>
      <c r="Q90" s="19">
        <v>2.0</v>
      </c>
      <c r="R90" s="19">
        <v>0.0</v>
      </c>
      <c r="S90" s="19">
        <v>0.0</v>
      </c>
      <c r="T90" s="19">
        <v>0.0</v>
      </c>
      <c r="U90" s="19">
        <v>0.0</v>
      </c>
      <c r="V90" s="19">
        <v>0.0</v>
      </c>
      <c r="W90" s="19">
        <v>0.0</v>
      </c>
      <c r="X90" s="19">
        <v>0.0</v>
      </c>
      <c r="Y90" s="19">
        <v>1.0</v>
      </c>
      <c r="Z90" s="19">
        <v>0.0</v>
      </c>
      <c r="AA90" s="19">
        <v>0.0</v>
      </c>
      <c r="AB90" s="19">
        <v>0.0</v>
      </c>
      <c r="AC90" s="19">
        <v>1.0</v>
      </c>
      <c r="AD90" s="19">
        <v>1.0</v>
      </c>
      <c r="AE90" s="19">
        <v>0.0</v>
      </c>
      <c r="AF90" s="19">
        <v>0.0</v>
      </c>
      <c r="AG90" s="19">
        <v>0.0</v>
      </c>
      <c r="AH90" s="19">
        <v>0.0</v>
      </c>
      <c r="AI90" s="19">
        <v>0.0</v>
      </c>
      <c r="AJ90" s="19">
        <v>0.0</v>
      </c>
      <c r="AK90" s="19">
        <v>0.0</v>
      </c>
      <c r="AL90" s="19">
        <v>0.0</v>
      </c>
      <c r="AM90" s="19">
        <v>0.0</v>
      </c>
      <c r="AN90" s="19">
        <v>0.0</v>
      </c>
      <c r="AO90" s="19">
        <v>0.0</v>
      </c>
      <c r="AP90" s="19">
        <v>0.0</v>
      </c>
      <c r="AQ90" s="19">
        <v>0.0</v>
      </c>
      <c r="AR90" s="19">
        <v>0.0</v>
      </c>
      <c r="AS90" s="13">
        <f t="shared" si="8"/>
        <v>7</v>
      </c>
    </row>
    <row r="91" ht="12.75" customHeight="1">
      <c r="A91" s="30"/>
      <c r="B91" s="49">
        <v>1.0</v>
      </c>
      <c r="C91" s="50" t="s">
        <v>78</v>
      </c>
      <c r="D91" s="59"/>
      <c r="E91" s="19">
        <v>0.0</v>
      </c>
      <c r="F91" s="19">
        <v>0.0</v>
      </c>
      <c r="G91" s="19">
        <v>0.0</v>
      </c>
      <c r="H91" s="19">
        <v>0.0</v>
      </c>
      <c r="I91" s="19">
        <v>0.0</v>
      </c>
      <c r="J91" s="19">
        <v>0.0</v>
      </c>
      <c r="K91" s="19">
        <v>0.0</v>
      </c>
      <c r="L91" s="19">
        <v>0.0</v>
      </c>
      <c r="M91" s="19">
        <v>0.0</v>
      </c>
      <c r="N91" s="19">
        <v>0.0</v>
      </c>
      <c r="O91" s="19">
        <v>0.0</v>
      </c>
      <c r="P91" s="19">
        <v>0.0</v>
      </c>
      <c r="Q91" s="19">
        <v>0.0</v>
      </c>
      <c r="R91" s="19">
        <v>0.0</v>
      </c>
      <c r="S91" s="19">
        <v>1.0</v>
      </c>
      <c r="T91" s="19">
        <v>1.0</v>
      </c>
      <c r="U91" s="19">
        <v>0.0</v>
      </c>
      <c r="V91" s="19">
        <v>0.0</v>
      </c>
      <c r="W91" s="19">
        <v>0.0</v>
      </c>
      <c r="X91" s="19">
        <v>0.0</v>
      </c>
      <c r="Y91" s="19">
        <v>0.0</v>
      </c>
      <c r="Z91" s="19">
        <v>0.0</v>
      </c>
      <c r="AA91" s="19">
        <v>0.0</v>
      </c>
      <c r="AB91" s="19">
        <v>0.0</v>
      </c>
      <c r="AC91" s="19">
        <v>0.0</v>
      </c>
      <c r="AD91" s="19">
        <v>1.0</v>
      </c>
      <c r="AE91" s="19">
        <v>0.0</v>
      </c>
      <c r="AF91" s="19">
        <v>0.0</v>
      </c>
      <c r="AG91" s="19">
        <v>0.0</v>
      </c>
      <c r="AH91" s="19">
        <v>0.0</v>
      </c>
      <c r="AI91" s="19">
        <v>0.0</v>
      </c>
      <c r="AJ91" s="19">
        <v>0.0</v>
      </c>
      <c r="AK91" s="19">
        <v>0.0</v>
      </c>
      <c r="AL91" s="19">
        <v>0.0</v>
      </c>
      <c r="AM91" s="19">
        <v>0.0</v>
      </c>
      <c r="AN91" s="19">
        <v>0.0</v>
      </c>
      <c r="AO91" s="19">
        <v>0.0</v>
      </c>
      <c r="AP91" s="19">
        <v>0.0</v>
      </c>
      <c r="AQ91" s="19">
        <v>0.0</v>
      </c>
      <c r="AR91" s="19">
        <v>0.0</v>
      </c>
      <c r="AS91" s="13">
        <f t="shared" si="8"/>
        <v>3</v>
      </c>
    </row>
    <row r="92" ht="12.75" customHeight="1">
      <c r="A92" s="30"/>
      <c r="B92" s="49">
        <v>2.0</v>
      </c>
      <c r="C92" s="50" t="s">
        <v>79</v>
      </c>
      <c r="D92" s="59"/>
      <c r="E92" s="19">
        <v>0.0</v>
      </c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19">
        <v>0.0</v>
      </c>
      <c r="L92" s="19">
        <v>0.0</v>
      </c>
      <c r="M92" s="19">
        <v>0.0</v>
      </c>
      <c r="N92" s="19">
        <v>0.0</v>
      </c>
      <c r="O92" s="19">
        <v>0.0</v>
      </c>
      <c r="P92" s="19">
        <v>0.0</v>
      </c>
      <c r="Q92" s="19">
        <v>0.0</v>
      </c>
      <c r="R92" s="19">
        <v>0.0</v>
      </c>
      <c r="S92" s="19">
        <v>0.0</v>
      </c>
      <c r="T92" s="19">
        <v>0.0</v>
      </c>
      <c r="U92" s="19">
        <v>0.0</v>
      </c>
      <c r="V92" s="19">
        <v>0.0</v>
      </c>
      <c r="W92" s="19">
        <v>1.0</v>
      </c>
      <c r="X92" s="19">
        <v>0.0</v>
      </c>
      <c r="Y92" s="19">
        <v>0.0</v>
      </c>
      <c r="Z92" s="19">
        <v>0.0</v>
      </c>
      <c r="AA92" s="19">
        <v>0.0</v>
      </c>
      <c r="AB92" s="19">
        <v>0.0</v>
      </c>
      <c r="AC92" s="19">
        <v>0.0</v>
      </c>
      <c r="AD92" s="19">
        <v>0.0</v>
      </c>
      <c r="AE92" s="19">
        <v>0.0</v>
      </c>
      <c r="AF92" s="19">
        <v>0.0</v>
      </c>
      <c r="AG92" s="19">
        <v>0.0</v>
      </c>
      <c r="AH92" s="19">
        <v>0.0</v>
      </c>
      <c r="AI92" s="19">
        <v>0.0</v>
      </c>
      <c r="AJ92" s="19">
        <v>0.0</v>
      </c>
      <c r="AK92" s="19">
        <v>1.0</v>
      </c>
      <c r="AL92" s="19">
        <v>0.0</v>
      </c>
      <c r="AM92" s="19">
        <v>0.0</v>
      </c>
      <c r="AN92" s="19">
        <v>0.0</v>
      </c>
      <c r="AO92" s="19">
        <v>1.0</v>
      </c>
      <c r="AP92" s="19">
        <v>0.0</v>
      </c>
      <c r="AQ92" s="19">
        <v>0.0</v>
      </c>
      <c r="AR92" s="19">
        <v>0.0</v>
      </c>
      <c r="AS92" s="13">
        <f t="shared" si="8"/>
        <v>3</v>
      </c>
    </row>
    <row r="93" ht="12.75" customHeight="1">
      <c r="A93" s="30" t="s">
        <v>39</v>
      </c>
      <c r="B93" s="49">
        <v>3.0</v>
      </c>
      <c r="C93" s="50" t="s">
        <v>80</v>
      </c>
      <c r="D93" s="59"/>
      <c r="E93" s="19">
        <v>0.0</v>
      </c>
      <c r="F93" s="19">
        <v>0.0</v>
      </c>
      <c r="G93" s="19">
        <v>0.0</v>
      </c>
      <c r="H93" s="19">
        <v>0.0</v>
      </c>
      <c r="I93" s="19">
        <v>0.0</v>
      </c>
      <c r="J93" s="19">
        <v>1.0</v>
      </c>
      <c r="K93" s="19">
        <v>0.0</v>
      </c>
      <c r="L93" s="19">
        <v>0.0</v>
      </c>
      <c r="M93" s="19">
        <v>0.0</v>
      </c>
      <c r="N93" s="19">
        <v>0.0</v>
      </c>
      <c r="O93" s="19">
        <v>0.0</v>
      </c>
      <c r="P93" s="19">
        <v>0.0</v>
      </c>
      <c r="Q93" s="19">
        <v>0.0</v>
      </c>
      <c r="R93" s="19">
        <v>0.0</v>
      </c>
      <c r="S93" s="19">
        <v>0.0</v>
      </c>
      <c r="T93" s="19">
        <v>0.0</v>
      </c>
      <c r="U93" s="19">
        <v>0.0</v>
      </c>
      <c r="V93" s="19">
        <v>0.0</v>
      </c>
      <c r="W93" s="19">
        <v>0.0</v>
      </c>
      <c r="X93" s="19">
        <v>0.0</v>
      </c>
      <c r="Y93" s="19">
        <v>0.0</v>
      </c>
      <c r="Z93" s="19">
        <v>0.0</v>
      </c>
      <c r="AA93" s="19">
        <v>0.0</v>
      </c>
      <c r="AB93" s="19">
        <v>0.0</v>
      </c>
      <c r="AC93" s="19">
        <v>0.0</v>
      </c>
      <c r="AD93" s="19">
        <v>0.0</v>
      </c>
      <c r="AE93" s="19">
        <v>0.0</v>
      </c>
      <c r="AF93" s="19">
        <v>0.0</v>
      </c>
      <c r="AG93" s="19">
        <v>0.0</v>
      </c>
      <c r="AH93" s="19">
        <v>0.0</v>
      </c>
      <c r="AI93" s="19">
        <v>0.0</v>
      </c>
      <c r="AJ93" s="19">
        <v>0.0</v>
      </c>
      <c r="AK93" s="19">
        <v>2.0</v>
      </c>
      <c r="AL93" s="19">
        <v>11.0</v>
      </c>
      <c r="AM93" s="19">
        <v>4.0</v>
      </c>
      <c r="AN93" s="19">
        <v>0.0</v>
      </c>
      <c r="AO93" s="19">
        <v>0.0</v>
      </c>
      <c r="AP93" s="19">
        <v>0.0</v>
      </c>
      <c r="AQ93" s="19">
        <v>0.0</v>
      </c>
      <c r="AR93" s="19">
        <v>0.0</v>
      </c>
      <c r="AS93" s="13">
        <f t="shared" si="8"/>
        <v>18</v>
      </c>
    </row>
    <row r="94" ht="12.75" customHeight="1">
      <c r="A94" s="19" t="s">
        <v>15</v>
      </c>
      <c r="B94" s="47" t="s">
        <v>46</v>
      </c>
      <c r="C94" s="15"/>
      <c r="D94" s="16"/>
      <c r="E94" s="56">
        <f t="shared" ref="E94:AR94" si="14">SUM(E90:E93)</f>
        <v>0</v>
      </c>
      <c r="F94" s="56">
        <f t="shared" si="14"/>
        <v>0</v>
      </c>
      <c r="G94" s="56">
        <f t="shared" si="14"/>
        <v>0</v>
      </c>
      <c r="H94" s="56">
        <f t="shared" si="14"/>
        <v>1</v>
      </c>
      <c r="I94" s="56">
        <f t="shared" si="14"/>
        <v>0</v>
      </c>
      <c r="J94" s="56">
        <f t="shared" si="14"/>
        <v>1</v>
      </c>
      <c r="K94" s="56">
        <f t="shared" si="14"/>
        <v>0</v>
      </c>
      <c r="L94" s="56">
        <f t="shared" si="14"/>
        <v>0</v>
      </c>
      <c r="M94" s="56">
        <f t="shared" si="14"/>
        <v>0</v>
      </c>
      <c r="N94" s="56">
        <f t="shared" si="14"/>
        <v>0</v>
      </c>
      <c r="O94" s="56">
        <f t="shared" si="14"/>
        <v>0</v>
      </c>
      <c r="P94" s="56">
        <f t="shared" si="14"/>
        <v>1</v>
      </c>
      <c r="Q94" s="56">
        <f t="shared" si="14"/>
        <v>2</v>
      </c>
      <c r="R94" s="56">
        <f t="shared" si="14"/>
        <v>0</v>
      </c>
      <c r="S94" s="56">
        <f t="shared" si="14"/>
        <v>1</v>
      </c>
      <c r="T94" s="56">
        <f t="shared" si="14"/>
        <v>1</v>
      </c>
      <c r="U94" s="56">
        <f t="shared" si="14"/>
        <v>0</v>
      </c>
      <c r="V94" s="56">
        <f t="shared" si="14"/>
        <v>0</v>
      </c>
      <c r="W94" s="56">
        <f t="shared" si="14"/>
        <v>1</v>
      </c>
      <c r="X94" s="56">
        <f t="shared" si="14"/>
        <v>0</v>
      </c>
      <c r="Y94" s="56">
        <f t="shared" si="14"/>
        <v>1</v>
      </c>
      <c r="Z94" s="56">
        <f t="shared" si="14"/>
        <v>0</v>
      </c>
      <c r="AA94" s="56">
        <f t="shared" si="14"/>
        <v>0</v>
      </c>
      <c r="AB94" s="56">
        <f t="shared" si="14"/>
        <v>0</v>
      </c>
      <c r="AC94" s="56">
        <f t="shared" si="14"/>
        <v>1</v>
      </c>
      <c r="AD94" s="56">
        <f t="shared" si="14"/>
        <v>2</v>
      </c>
      <c r="AE94" s="56">
        <f t="shared" si="14"/>
        <v>0</v>
      </c>
      <c r="AF94" s="56">
        <f t="shared" si="14"/>
        <v>0</v>
      </c>
      <c r="AG94" s="56">
        <f t="shared" si="14"/>
        <v>0</v>
      </c>
      <c r="AH94" s="56">
        <f t="shared" si="14"/>
        <v>0</v>
      </c>
      <c r="AI94" s="56">
        <f t="shared" si="14"/>
        <v>0</v>
      </c>
      <c r="AJ94" s="56">
        <f t="shared" si="14"/>
        <v>0</v>
      </c>
      <c r="AK94" s="56">
        <f t="shared" si="14"/>
        <v>3</v>
      </c>
      <c r="AL94" s="56">
        <f t="shared" si="14"/>
        <v>11</v>
      </c>
      <c r="AM94" s="56">
        <f t="shared" si="14"/>
        <v>4</v>
      </c>
      <c r="AN94" s="56">
        <f t="shared" si="14"/>
        <v>0</v>
      </c>
      <c r="AO94" s="56">
        <f t="shared" si="14"/>
        <v>1</v>
      </c>
      <c r="AP94" s="56">
        <f t="shared" si="14"/>
        <v>0</v>
      </c>
      <c r="AQ94" s="56">
        <f t="shared" si="14"/>
        <v>0</v>
      </c>
      <c r="AR94" s="56">
        <f t="shared" si="14"/>
        <v>0</v>
      </c>
      <c r="AS94" s="13">
        <f t="shared" si="8"/>
        <v>31</v>
      </c>
    </row>
    <row r="95" ht="12.75" customHeight="1">
      <c r="A95" s="57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13">
        <f t="shared" si="8"/>
        <v>0</v>
      </c>
    </row>
    <row r="96" ht="12.75" customHeight="1">
      <c r="A96" s="30" t="s">
        <v>37</v>
      </c>
      <c r="B96" s="47" t="s">
        <v>81</v>
      </c>
      <c r="C96" s="48" t="s">
        <v>82</v>
      </c>
      <c r="D96" s="16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2.0</v>
      </c>
      <c r="R96" s="19">
        <v>0.0</v>
      </c>
      <c r="S96" s="19">
        <v>0.0</v>
      </c>
      <c r="T96" s="19">
        <v>0.0</v>
      </c>
      <c r="U96" s="19">
        <v>1.0</v>
      </c>
      <c r="V96" s="19">
        <v>0.0</v>
      </c>
      <c r="W96" s="19">
        <v>1.0</v>
      </c>
      <c r="X96" s="19">
        <v>0.0</v>
      </c>
      <c r="Y96" s="19">
        <v>2.0</v>
      </c>
      <c r="Z96" s="19">
        <v>0.0</v>
      </c>
      <c r="AA96" s="19">
        <v>1.0</v>
      </c>
      <c r="AB96" s="19">
        <v>0.0</v>
      </c>
      <c r="AC96" s="19">
        <v>0.0</v>
      </c>
      <c r="AD96" s="19">
        <v>0.0</v>
      </c>
      <c r="AE96" s="19">
        <v>0.0</v>
      </c>
      <c r="AF96" s="19">
        <v>0.0</v>
      </c>
      <c r="AG96" s="19">
        <v>0.0</v>
      </c>
      <c r="AH96" s="19">
        <v>0.0</v>
      </c>
      <c r="AI96" s="19">
        <v>0.0</v>
      </c>
      <c r="AJ96" s="19">
        <v>0.0</v>
      </c>
      <c r="AK96" s="19">
        <v>1.0</v>
      </c>
      <c r="AL96" s="19">
        <v>1.0</v>
      </c>
      <c r="AM96" s="19">
        <v>0.0</v>
      </c>
      <c r="AN96" s="19">
        <v>1.0</v>
      </c>
      <c r="AO96" s="19">
        <v>0.0</v>
      </c>
      <c r="AP96" s="19">
        <v>0.0</v>
      </c>
      <c r="AQ96" s="19">
        <v>0.0</v>
      </c>
      <c r="AR96" s="19">
        <v>0.0</v>
      </c>
      <c r="AS96" s="13">
        <f t="shared" si="8"/>
        <v>10</v>
      </c>
    </row>
    <row r="97" ht="12.75" customHeight="1">
      <c r="A97" s="30" t="s">
        <v>39</v>
      </c>
      <c r="B97" s="49">
        <v>1.0</v>
      </c>
      <c r="C97" s="50" t="s">
        <v>83</v>
      </c>
      <c r="D97" s="51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1.0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9">
        <v>1.0</v>
      </c>
      <c r="Y97" s="19">
        <v>0.0</v>
      </c>
      <c r="Z97" s="19">
        <v>0.0</v>
      </c>
      <c r="AA97" s="19">
        <v>0.0</v>
      </c>
      <c r="AB97" s="19">
        <v>0.0</v>
      </c>
      <c r="AC97" s="19">
        <v>0.0</v>
      </c>
      <c r="AD97" s="19">
        <v>0.0</v>
      </c>
      <c r="AE97" s="19">
        <v>0.0</v>
      </c>
      <c r="AF97" s="19">
        <v>0.0</v>
      </c>
      <c r="AG97" s="19">
        <v>0.0</v>
      </c>
      <c r="AH97" s="19">
        <v>0.0</v>
      </c>
      <c r="AI97" s="19">
        <v>0.0</v>
      </c>
      <c r="AJ97" s="19">
        <v>0.0</v>
      </c>
      <c r="AK97" s="19">
        <v>0.0</v>
      </c>
      <c r="AL97" s="19">
        <v>0.0</v>
      </c>
      <c r="AM97" s="19">
        <v>0.0</v>
      </c>
      <c r="AN97" s="19">
        <v>0.0</v>
      </c>
      <c r="AO97" s="19">
        <v>0.0</v>
      </c>
      <c r="AP97" s="19">
        <v>0.0</v>
      </c>
      <c r="AQ97" s="19">
        <v>0.0</v>
      </c>
      <c r="AR97" s="19">
        <v>0.0</v>
      </c>
      <c r="AS97" s="13">
        <f t="shared" si="8"/>
        <v>2</v>
      </c>
    </row>
    <row r="98" ht="12.75" customHeight="1">
      <c r="A98" s="30"/>
      <c r="B98" s="49">
        <v>2.0</v>
      </c>
      <c r="C98" s="50" t="s">
        <v>84</v>
      </c>
      <c r="D98" s="51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1.0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9">
        <v>0.0</v>
      </c>
      <c r="AI98" s="19">
        <v>0.0</v>
      </c>
      <c r="AJ98" s="19">
        <v>0.0</v>
      </c>
      <c r="AK98" s="19">
        <v>0.0</v>
      </c>
      <c r="AL98" s="19">
        <v>0.0</v>
      </c>
      <c r="AM98" s="19">
        <v>0.0</v>
      </c>
      <c r="AN98" s="19">
        <v>0.0</v>
      </c>
      <c r="AO98" s="19">
        <v>0.0</v>
      </c>
      <c r="AP98" s="19">
        <v>0.0</v>
      </c>
      <c r="AQ98" s="19">
        <v>0.0</v>
      </c>
      <c r="AR98" s="19">
        <v>0.0</v>
      </c>
      <c r="AS98" s="13">
        <f t="shared" si="8"/>
        <v>1</v>
      </c>
    </row>
    <row r="99" ht="12.75" customHeight="1">
      <c r="A99" s="19" t="s">
        <v>15</v>
      </c>
      <c r="B99" s="47" t="s">
        <v>46</v>
      </c>
      <c r="C99" s="15"/>
      <c r="D99" s="16"/>
      <c r="E99" s="56">
        <f t="shared" ref="E99:AR99" si="15">SUM(E96:E98)</f>
        <v>0</v>
      </c>
      <c r="F99" s="56">
        <f t="shared" si="15"/>
        <v>0</v>
      </c>
      <c r="G99" s="56">
        <f t="shared" si="15"/>
        <v>0</v>
      </c>
      <c r="H99" s="56">
        <f t="shared" si="15"/>
        <v>0</v>
      </c>
      <c r="I99" s="56">
        <f t="shared" si="15"/>
        <v>0</v>
      </c>
      <c r="J99" s="56">
        <f t="shared" si="15"/>
        <v>0</v>
      </c>
      <c r="K99" s="56">
        <f t="shared" si="15"/>
        <v>0</v>
      </c>
      <c r="L99" s="56">
        <f t="shared" si="15"/>
        <v>0</v>
      </c>
      <c r="M99" s="56">
        <f t="shared" si="15"/>
        <v>0</v>
      </c>
      <c r="N99" s="56">
        <f t="shared" si="15"/>
        <v>0</v>
      </c>
      <c r="O99" s="56">
        <f t="shared" si="15"/>
        <v>0</v>
      </c>
      <c r="P99" s="56">
        <f t="shared" si="15"/>
        <v>0</v>
      </c>
      <c r="Q99" s="56">
        <f t="shared" si="15"/>
        <v>2</v>
      </c>
      <c r="R99" s="56">
        <f t="shared" si="15"/>
        <v>1</v>
      </c>
      <c r="S99" s="56">
        <f t="shared" si="15"/>
        <v>1</v>
      </c>
      <c r="T99" s="56">
        <f t="shared" si="15"/>
        <v>0</v>
      </c>
      <c r="U99" s="56">
        <f t="shared" si="15"/>
        <v>1</v>
      </c>
      <c r="V99" s="56">
        <f t="shared" si="15"/>
        <v>0</v>
      </c>
      <c r="W99" s="56">
        <f t="shared" si="15"/>
        <v>1</v>
      </c>
      <c r="X99" s="56">
        <f t="shared" si="15"/>
        <v>1</v>
      </c>
      <c r="Y99" s="56">
        <f t="shared" si="15"/>
        <v>2</v>
      </c>
      <c r="Z99" s="56">
        <f t="shared" si="15"/>
        <v>0</v>
      </c>
      <c r="AA99" s="56">
        <f t="shared" si="15"/>
        <v>1</v>
      </c>
      <c r="AB99" s="56">
        <f t="shared" si="15"/>
        <v>0</v>
      </c>
      <c r="AC99" s="56">
        <f t="shared" si="15"/>
        <v>0</v>
      </c>
      <c r="AD99" s="56">
        <f t="shared" si="15"/>
        <v>0</v>
      </c>
      <c r="AE99" s="56">
        <f t="shared" si="15"/>
        <v>0</v>
      </c>
      <c r="AF99" s="56">
        <f t="shared" si="15"/>
        <v>0</v>
      </c>
      <c r="AG99" s="56">
        <f t="shared" si="15"/>
        <v>0</v>
      </c>
      <c r="AH99" s="56">
        <f t="shared" si="15"/>
        <v>0</v>
      </c>
      <c r="AI99" s="56">
        <f t="shared" si="15"/>
        <v>0</v>
      </c>
      <c r="AJ99" s="56">
        <f t="shared" si="15"/>
        <v>0</v>
      </c>
      <c r="AK99" s="56">
        <f t="shared" si="15"/>
        <v>1</v>
      </c>
      <c r="AL99" s="56">
        <f t="shared" si="15"/>
        <v>1</v>
      </c>
      <c r="AM99" s="56">
        <f t="shared" si="15"/>
        <v>0</v>
      </c>
      <c r="AN99" s="56">
        <f t="shared" si="15"/>
        <v>1</v>
      </c>
      <c r="AO99" s="56">
        <f t="shared" si="15"/>
        <v>0</v>
      </c>
      <c r="AP99" s="56">
        <f t="shared" si="15"/>
        <v>0</v>
      </c>
      <c r="AQ99" s="56">
        <f t="shared" si="15"/>
        <v>0</v>
      </c>
      <c r="AR99" s="56">
        <f t="shared" si="15"/>
        <v>0</v>
      </c>
      <c r="AS99" s="13">
        <f t="shared" si="8"/>
        <v>13</v>
      </c>
    </row>
    <row r="100" ht="12.75" customHeight="1">
      <c r="A100" s="57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13">
        <f t="shared" si="8"/>
        <v>0</v>
      </c>
    </row>
    <row r="101" ht="12.75" customHeight="1">
      <c r="A101" s="30" t="s">
        <v>37</v>
      </c>
      <c r="B101" s="47" t="s">
        <v>85</v>
      </c>
      <c r="C101" s="48" t="s">
        <v>86</v>
      </c>
      <c r="D101" s="16"/>
      <c r="E101" s="19">
        <v>1.0</v>
      </c>
      <c r="F101" s="19">
        <v>2.0</v>
      </c>
      <c r="G101" s="19">
        <v>1.0</v>
      </c>
      <c r="H101" s="19">
        <v>2.0</v>
      </c>
      <c r="I101" s="19">
        <v>1.0</v>
      </c>
      <c r="J101" s="19">
        <v>1.0</v>
      </c>
      <c r="K101" s="19">
        <v>0.0</v>
      </c>
      <c r="L101" s="19">
        <v>1.0</v>
      </c>
      <c r="M101" s="19">
        <v>1.0</v>
      </c>
      <c r="N101" s="19">
        <v>1.0</v>
      </c>
      <c r="O101" s="19">
        <v>3.0</v>
      </c>
      <c r="P101" s="19">
        <v>0.0</v>
      </c>
      <c r="Q101" s="19">
        <v>0.0</v>
      </c>
      <c r="R101" s="19">
        <v>1.0</v>
      </c>
      <c r="S101" s="19">
        <v>0.0</v>
      </c>
      <c r="T101" s="19">
        <v>2.0</v>
      </c>
      <c r="U101" s="19">
        <v>1.0</v>
      </c>
      <c r="V101" s="19">
        <v>0.0</v>
      </c>
      <c r="W101" s="19">
        <v>1.0</v>
      </c>
      <c r="X101" s="19">
        <v>0.0</v>
      </c>
      <c r="Y101" s="19">
        <v>2.0</v>
      </c>
      <c r="Z101" s="19">
        <v>0.0</v>
      </c>
      <c r="AA101" s="19">
        <v>0.0</v>
      </c>
      <c r="AB101" s="19">
        <v>0.0</v>
      </c>
      <c r="AC101" s="19">
        <v>0.0</v>
      </c>
      <c r="AD101" s="19">
        <v>0.0</v>
      </c>
      <c r="AE101" s="19">
        <v>0.0</v>
      </c>
      <c r="AF101" s="19">
        <v>0.0</v>
      </c>
      <c r="AG101" s="19">
        <v>0.0</v>
      </c>
      <c r="AH101" s="19">
        <v>0.0</v>
      </c>
      <c r="AI101" s="19">
        <v>0.0</v>
      </c>
      <c r="AJ101" s="19">
        <v>0.0</v>
      </c>
      <c r="AK101" s="19">
        <v>0.0</v>
      </c>
      <c r="AL101" s="19">
        <v>1.0</v>
      </c>
      <c r="AM101" s="19">
        <v>0.0</v>
      </c>
      <c r="AN101" s="19">
        <v>0.0</v>
      </c>
      <c r="AO101" s="19">
        <v>0.0</v>
      </c>
      <c r="AP101" s="19">
        <v>0.0</v>
      </c>
      <c r="AQ101" s="19">
        <v>0.0</v>
      </c>
      <c r="AR101" s="19">
        <v>1.0</v>
      </c>
      <c r="AS101" s="13">
        <f t="shared" si="8"/>
        <v>23</v>
      </c>
    </row>
    <row r="102" ht="12.75" customHeight="1">
      <c r="A102" s="30" t="s">
        <v>39</v>
      </c>
      <c r="B102" s="49">
        <v>1.0</v>
      </c>
      <c r="C102" s="50" t="s">
        <v>87</v>
      </c>
      <c r="D102" s="51"/>
      <c r="E102" s="19">
        <v>2.0</v>
      </c>
      <c r="F102" s="19">
        <v>2.0</v>
      </c>
      <c r="G102" s="19">
        <v>2.0</v>
      </c>
      <c r="H102" s="19">
        <v>1.0</v>
      </c>
      <c r="I102" s="19">
        <v>0.0</v>
      </c>
      <c r="J102" s="19">
        <v>1.0</v>
      </c>
      <c r="K102" s="19">
        <v>2.0</v>
      </c>
      <c r="L102" s="19">
        <v>0.0</v>
      </c>
      <c r="M102" s="19">
        <v>1.0</v>
      </c>
      <c r="N102" s="19">
        <v>3.0</v>
      </c>
      <c r="O102" s="19">
        <v>3.0</v>
      </c>
      <c r="P102" s="19">
        <v>1.0</v>
      </c>
      <c r="Q102" s="19">
        <v>0.0</v>
      </c>
      <c r="R102" s="19">
        <v>2.0</v>
      </c>
      <c r="S102" s="19">
        <v>0.0</v>
      </c>
      <c r="T102" s="19">
        <v>1.0</v>
      </c>
      <c r="U102" s="19">
        <v>3.0</v>
      </c>
      <c r="V102" s="19">
        <v>0.0</v>
      </c>
      <c r="W102" s="19">
        <v>0.0</v>
      </c>
      <c r="X102" s="19">
        <v>0.0</v>
      </c>
      <c r="Y102" s="19">
        <v>1.0</v>
      </c>
      <c r="Z102" s="19">
        <v>2.0</v>
      </c>
      <c r="AA102" s="19">
        <v>1.0</v>
      </c>
      <c r="AB102" s="19">
        <v>0.0</v>
      </c>
      <c r="AC102" s="19">
        <v>1.0</v>
      </c>
      <c r="AD102" s="19">
        <v>0.0</v>
      </c>
      <c r="AE102" s="19">
        <v>0.0</v>
      </c>
      <c r="AF102" s="19">
        <v>0.0</v>
      </c>
      <c r="AG102" s="19">
        <v>0.0</v>
      </c>
      <c r="AH102" s="19">
        <v>1.0</v>
      </c>
      <c r="AI102" s="19">
        <v>0.0</v>
      </c>
      <c r="AJ102" s="19">
        <v>0.0</v>
      </c>
      <c r="AK102" s="19">
        <v>0.0</v>
      </c>
      <c r="AL102" s="19">
        <v>0.0</v>
      </c>
      <c r="AM102" s="19">
        <v>0.0</v>
      </c>
      <c r="AN102" s="19">
        <v>0.0</v>
      </c>
      <c r="AO102" s="19">
        <v>0.0</v>
      </c>
      <c r="AP102" s="19">
        <v>2.0</v>
      </c>
      <c r="AQ102" s="19">
        <v>0.0</v>
      </c>
      <c r="AR102" s="19">
        <v>2.0</v>
      </c>
      <c r="AS102" s="13">
        <f t="shared" si="8"/>
        <v>34</v>
      </c>
    </row>
    <row r="103" ht="12.75" customHeight="1">
      <c r="A103" s="18"/>
      <c r="B103" s="49">
        <v>2.0</v>
      </c>
      <c r="C103" s="50" t="s">
        <v>88</v>
      </c>
      <c r="D103" s="51"/>
      <c r="E103" s="19">
        <v>1.0</v>
      </c>
      <c r="F103" s="19">
        <v>0.0</v>
      </c>
      <c r="G103" s="19">
        <v>0.0</v>
      </c>
      <c r="H103" s="19">
        <v>0.0</v>
      </c>
      <c r="I103" s="19">
        <v>1.0</v>
      </c>
      <c r="J103" s="19">
        <v>0.0</v>
      </c>
      <c r="K103" s="19">
        <v>0.0</v>
      </c>
      <c r="L103" s="19">
        <v>0.0</v>
      </c>
      <c r="M103" s="19">
        <v>0.0</v>
      </c>
      <c r="N103" s="19">
        <v>0.0</v>
      </c>
      <c r="O103" s="19">
        <v>0.0</v>
      </c>
      <c r="P103" s="19">
        <v>0.0</v>
      </c>
      <c r="Q103" s="19">
        <v>0.0</v>
      </c>
      <c r="R103" s="19">
        <v>0.0</v>
      </c>
      <c r="S103" s="19">
        <v>1.0</v>
      </c>
      <c r="T103" s="19">
        <v>0.0</v>
      </c>
      <c r="U103" s="19">
        <v>0.0</v>
      </c>
      <c r="V103" s="19">
        <v>0.0</v>
      </c>
      <c r="W103" s="19">
        <v>1.0</v>
      </c>
      <c r="X103" s="19">
        <v>4.0</v>
      </c>
      <c r="Y103" s="19">
        <v>0.0</v>
      </c>
      <c r="Z103" s="19">
        <v>1.0</v>
      </c>
      <c r="AA103" s="19">
        <v>0.0</v>
      </c>
      <c r="AB103" s="19">
        <v>0.0</v>
      </c>
      <c r="AC103" s="19">
        <v>0.0</v>
      </c>
      <c r="AD103" s="19">
        <v>0.0</v>
      </c>
      <c r="AE103" s="19">
        <v>0.0</v>
      </c>
      <c r="AF103" s="19">
        <v>0.0</v>
      </c>
      <c r="AG103" s="19">
        <v>0.0</v>
      </c>
      <c r="AH103" s="19">
        <v>0.0</v>
      </c>
      <c r="AI103" s="19">
        <v>0.0</v>
      </c>
      <c r="AJ103" s="19">
        <v>0.0</v>
      </c>
      <c r="AK103" s="19">
        <v>0.0</v>
      </c>
      <c r="AL103" s="19">
        <v>0.0</v>
      </c>
      <c r="AM103" s="19">
        <v>0.0</v>
      </c>
      <c r="AN103" s="19">
        <v>0.0</v>
      </c>
      <c r="AO103" s="19">
        <v>0.0</v>
      </c>
      <c r="AP103" s="19">
        <v>0.0</v>
      </c>
      <c r="AQ103" s="19">
        <v>0.0</v>
      </c>
      <c r="AR103" s="19">
        <v>1.0</v>
      </c>
      <c r="AS103" s="13">
        <f t="shared" si="8"/>
        <v>10</v>
      </c>
    </row>
    <row r="104" ht="12.75" customHeight="1">
      <c r="A104" s="18"/>
      <c r="B104" s="49">
        <v>3.0</v>
      </c>
      <c r="C104" s="50" t="s">
        <v>89</v>
      </c>
      <c r="D104" s="51"/>
      <c r="E104" s="19">
        <v>1.0</v>
      </c>
      <c r="F104" s="19">
        <v>0.0</v>
      </c>
      <c r="G104" s="19">
        <v>1.0</v>
      </c>
      <c r="H104" s="19">
        <v>0.0</v>
      </c>
      <c r="I104" s="19">
        <v>0.0</v>
      </c>
      <c r="J104" s="19">
        <v>0.0</v>
      </c>
      <c r="K104" s="19">
        <v>0.0</v>
      </c>
      <c r="L104" s="19">
        <v>0.0</v>
      </c>
      <c r="M104" s="19">
        <v>0.0</v>
      </c>
      <c r="N104" s="19">
        <v>0.0</v>
      </c>
      <c r="O104" s="19">
        <v>0.0</v>
      </c>
      <c r="P104" s="19">
        <v>0.0</v>
      </c>
      <c r="Q104" s="19">
        <v>0.0</v>
      </c>
      <c r="R104" s="19">
        <v>0.0</v>
      </c>
      <c r="S104" s="19">
        <v>0.0</v>
      </c>
      <c r="T104" s="19">
        <v>0.0</v>
      </c>
      <c r="U104" s="19">
        <v>0.0</v>
      </c>
      <c r="V104" s="19">
        <v>1.0</v>
      </c>
      <c r="W104" s="19">
        <v>0.0</v>
      </c>
      <c r="X104" s="19">
        <v>0.0</v>
      </c>
      <c r="Y104" s="19">
        <v>0.0</v>
      </c>
      <c r="Z104" s="19">
        <v>0.0</v>
      </c>
      <c r="AA104" s="19">
        <v>0.0</v>
      </c>
      <c r="AB104" s="19">
        <v>0.0</v>
      </c>
      <c r="AC104" s="19">
        <v>0.0</v>
      </c>
      <c r="AD104" s="19">
        <v>0.0</v>
      </c>
      <c r="AE104" s="19">
        <v>0.0</v>
      </c>
      <c r="AF104" s="19">
        <v>0.0</v>
      </c>
      <c r="AG104" s="19">
        <v>0.0</v>
      </c>
      <c r="AH104" s="19">
        <v>0.0</v>
      </c>
      <c r="AI104" s="19">
        <v>0.0</v>
      </c>
      <c r="AJ104" s="19">
        <v>0.0</v>
      </c>
      <c r="AK104" s="19">
        <v>0.0</v>
      </c>
      <c r="AL104" s="19">
        <v>0.0</v>
      </c>
      <c r="AM104" s="19">
        <v>0.0</v>
      </c>
      <c r="AN104" s="19">
        <v>0.0</v>
      </c>
      <c r="AO104" s="19">
        <v>0.0</v>
      </c>
      <c r="AP104" s="19">
        <v>0.0</v>
      </c>
      <c r="AQ104" s="19">
        <v>0.0</v>
      </c>
      <c r="AR104" s="19">
        <v>0.0</v>
      </c>
      <c r="AS104" s="13">
        <f t="shared" si="8"/>
        <v>3</v>
      </c>
    </row>
    <row r="105" ht="12.75" customHeight="1">
      <c r="A105" s="18"/>
      <c r="B105" s="49">
        <v>4.0</v>
      </c>
      <c r="C105" s="50" t="s">
        <v>90</v>
      </c>
      <c r="D105" s="51"/>
      <c r="E105" s="19">
        <v>1.0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9">
        <v>1.0</v>
      </c>
      <c r="Y105" s="19">
        <v>1.0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0.0</v>
      </c>
      <c r="AF105" s="19">
        <v>0.0</v>
      </c>
      <c r="AG105" s="19">
        <v>0.0</v>
      </c>
      <c r="AH105" s="19">
        <v>0.0</v>
      </c>
      <c r="AI105" s="19">
        <v>0.0</v>
      </c>
      <c r="AJ105" s="19">
        <v>1.0</v>
      </c>
      <c r="AK105" s="19">
        <v>0.0</v>
      </c>
      <c r="AL105" s="19">
        <v>0.0</v>
      </c>
      <c r="AM105" s="19">
        <v>0.0</v>
      </c>
      <c r="AN105" s="19">
        <v>0.0</v>
      </c>
      <c r="AO105" s="19">
        <v>0.0</v>
      </c>
      <c r="AP105" s="19">
        <v>0.0</v>
      </c>
      <c r="AQ105" s="19">
        <v>0.0</v>
      </c>
      <c r="AR105" s="19">
        <v>1.0</v>
      </c>
      <c r="AS105" s="13">
        <f t="shared" si="8"/>
        <v>5</v>
      </c>
    </row>
    <row r="106" ht="12.75" customHeight="1">
      <c r="A106" s="18"/>
      <c r="B106" s="49">
        <v>5.0</v>
      </c>
      <c r="C106" s="50" t="s">
        <v>91</v>
      </c>
      <c r="D106" s="51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0.0</v>
      </c>
      <c r="AF106" s="19">
        <v>0.0</v>
      </c>
      <c r="AG106" s="19">
        <v>0.0</v>
      </c>
      <c r="AH106" s="19">
        <v>0.0</v>
      </c>
      <c r="AI106" s="19">
        <v>0.0</v>
      </c>
      <c r="AJ106" s="19">
        <v>0.0</v>
      </c>
      <c r="AK106" s="19">
        <v>0.0</v>
      </c>
      <c r="AL106" s="19">
        <v>0.0</v>
      </c>
      <c r="AM106" s="19">
        <v>0.0</v>
      </c>
      <c r="AN106" s="19">
        <v>0.0</v>
      </c>
      <c r="AO106" s="19">
        <v>0.0</v>
      </c>
      <c r="AP106" s="19">
        <v>0.0</v>
      </c>
      <c r="AQ106" s="19">
        <v>0.0</v>
      </c>
      <c r="AR106" s="19">
        <v>0.0</v>
      </c>
      <c r="AS106" s="13">
        <f t="shared" si="8"/>
        <v>0</v>
      </c>
    </row>
    <row r="107" ht="12.75" customHeight="1">
      <c r="A107" s="18"/>
      <c r="B107" s="49">
        <v>6.0</v>
      </c>
      <c r="C107" s="50" t="s">
        <v>92</v>
      </c>
      <c r="D107" s="51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1.0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0.0</v>
      </c>
      <c r="AJ107" s="19">
        <v>0.0</v>
      </c>
      <c r="AK107" s="19">
        <v>0.0</v>
      </c>
      <c r="AL107" s="19">
        <v>0.0</v>
      </c>
      <c r="AM107" s="19">
        <v>0.0</v>
      </c>
      <c r="AN107" s="19">
        <v>0.0</v>
      </c>
      <c r="AO107" s="19">
        <v>0.0</v>
      </c>
      <c r="AP107" s="19">
        <v>0.0</v>
      </c>
      <c r="AQ107" s="19">
        <v>0.0</v>
      </c>
      <c r="AR107" s="19">
        <v>0.0</v>
      </c>
      <c r="AS107" s="13">
        <f t="shared" si="8"/>
        <v>1</v>
      </c>
    </row>
    <row r="108" ht="12.75" customHeight="1">
      <c r="A108" s="19" t="s">
        <v>15</v>
      </c>
      <c r="B108" s="47" t="s">
        <v>46</v>
      </c>
      <c r="C108" s="15"/>
      <c r="D108" s="16"/>
      <c r="E108" s="56">
        <f t="shared" ref="E108:AR108" si="16">SUM(E101:E107)</f>
        <v>6</v>
      </c>
      <c r="F108" s="56">
        <f t="shared" si="16"/>
        <v>4</v>
      </c>
      <c r="G108" s="56">
        <f t="shared" si="16"/>
        <v>4</v>
      </c>
      <c r="H108" s="56">
        <f t="shared" si="16"/>
        <v>3</v>
      </c>
      <c r="I108" s="56">
        <f t="shared" si="16"/>
        <v>2</v>
      </c>
      <c r="J108" s="56">
        <f t="shared" si="16"/>
        <v>2</v>
      </c>
      <c r="K108" s="56">
        <f t="shared" si="16"/>
        <v>2</v>
      </c>
      <c r="L108" s="56">
        <f t="shared" si="16"/>
        <v>1</v>
      </c>
      <c r="M108" s="56">
        <f t="shared" si="16"/>
        <v>2</v>
      </c>
      <c r="N108" s="56">
        <f t="shared" si="16"/>
        <v>4</v>
      </c>
      <c r="O108" s="56">
        <f t="shared" si="16"/>
        <v>6</v>
      </c>
      <c r="P108" s="56">
        <f t="shared" si="16"/>
        <v>1</v>
      </c>
      <c r="Q108" s="56">
        <f t="shared" si="16"/>
        <v>0</v>
      </c>
      <c r="R108" s="56">
        <f t="shared" si="16"/>
        <v>3</v>
      </c>
      <c r="S108" s="56">
        <f t="shared" si="16"/>
        <v>1</v>
      </c>
      <c r="T108" s="56">
        <f t="shared" si="16"/>
        <v>3</v>
      </c>
      <c r="U108" s="56">
        <f t="shared" si="16"/>
        <v>5</v>
      </c>
      <c r="V108" s="56">
        <f t="shared" si="16"/>
        <v>1</v>
      </c>
      <c r="W108" s="56">
        <f t="shared" si="16"/>
        <v>2</v>
      </c>
      <c r="X108" s="56">
        <f t="shared" si="16"/>
        <v>5</v>
      </c>
      <c r="Y108" s="56">
        <f t="shared" si="16"/>
        <v>4</v>
      </c>
      <c r="Z108" s="56">
        <f t="shared" si="16"/>
        <v>3</v>
      </c>
      <c r="AA108" s="56">
        <f t="shared" si="16"/>
        <v>1</v>
      </c>
      <c r="AB108" s="56">
        <f t="shared" si="16"/>
        <v>0</v>
      </c>
      <c r="AC108" s="56">
        <f t="shared" si="16"/>
        <v>1</v>
      </c>
      <c r="AD108" s="56">
        <f t="shared" si="16"/>
        <v>0</v>
      </c>
      <c r="AE108" s="56">
        <f t="shared" si="16"/>
        <v>0</v>
      </c>
      <c r="AF108" s="56">
        <f t="shared" si="16"/>
        <v>0</v>
      </c>
      <c r="AG108" s="56">
        <f t="shared" si="16"/>
        <v>0</v>
      </c>
      <c r="AH108" s="56">
        <f t="shared" si="16"/>
        <v>1</v>
      </c>
      <c r="AI108" s="56">
        <f t="shared" si="16"/>
        <v>0</v>
      </c>
      <c r="AJ108" s="56">
        <f t="shared" si="16"/>
        <v>1</v>
      </c>
      <c r="AK108" s="56">
        <f t="shared" si="16"/>
        <v>0</v>
      </c>
      <c r="AL108" s="56">
        <f t="shared" si="16"/>
        <v>1</v>
      </c>
      <c r="AM108" s="56">
        <f t="shared" si="16"/>
        <v>0</v>
      </c>
      <c r="AN108" s="56">
        <f t="shared" si="16"/>
        <v>0</v>
      </c>
      <c r="AO108" s="56">
        <f t="shared" si="16"/>
        <v>0</v>
      </c>
      <c r="AP108" s="56">
        <f t="shared" si="16"/>
        <v>2</v>
      </c>
      <c r="AQ108" s="56">
        <f t="shared" si="16"/>
        <v>0</v>
      </c>
      <c r="AR108" s="56">
        <f t="shared" si="16"/>
        <v>5</v>
      </c>
      <c r="AS108" s="13">
        <f t="shared" si="8"/>
        <v>76</v>
      </c>
    </row>
    <row r="109" ht="12.75" customHeight="1">
      <c r="A109" s="57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13">
        <f t="shared" si="8"/>
        <v>0</v>
      </c>
    </row>
    <row r="110" ht="12.75" customHeight="1">
      <c r="A110" s="30" t="s">
        <v>37</v>
      </c>
      <c r="B110" s="47" t="s">
        <v>93</v>
      </c>
      <c r="C110" s="48" t="s">
        <v>94</v>
      </c>
      <c r="D110" s="16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1.0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1.0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9">
        <v>0.0</v>
      </c>
      <c r="AN110" s="19">
        <v>0.0</v>
      </c>
      <c r="AO110" s="19">
        <v>0.0</v>
      </c>
      <c r="AP110" s="19">
        <v>0.0</v>
      </c>
      <c r="AQ110" s="19">
        <v>0.0</v>
      </c>
      <c r="AR110" s="19">
        <v>0.0</v>
      </c>
      <c r="AS110" s="13">
        <f t="shared" si="8"/>
        <v>2</v>
      </c>
    </row>
    <row r="111" ht="12.75" customHeight="1">
      <c r="A111" s="30"/>
      <c r="B111" s="47">
        <v>1.0</v>
      </c>
      <c r="C111" s="50" t="s">
        <v>95</v>
      </c>
      <c r="D111" s="59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1.0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1.0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9">
        <v>0.0</v>
      </c>
      <c r="AN111" s="19">
        <v>0.0</v>
      </c>
      <c r="AO111" s="19">
        <v>0.0</v>
      </c>
      <c r="AP111" s="19">
        <v>0.0</v>
      </c>
      <c r="AQ111" s="19">
        <v>0.0</v>
      </c>
      <c r="AR111" s="19">
        <v>0.0</v>
      </c>
      <c r="AS111" s="13">
        <f t="shared" si="8"/>
        <v>2</v>
      </c>
    </row>
    <row r="112" ht="12.75" customHeight="1">
      <c r="A112" s="30"/>
      <c r="B112" s="47">
        <v>2.0</v>
      </c>
      <c r="C112" s="50" t="s">
        <v>96</v>
      </c>
      <c r="D112" s="59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1.0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0.0</v>
      </c>
      <c r="AM112" s="19">
        <v>0.0</v>
      </c>
      <c r="AN112" s="19">
        <v>0.0</v>
      </c>
      <c r="AO112" s="19">
        <v>0.0</v>
      </c>
      <c r="AP112" s="19">
        <v>0.0</v>
      </c>
      <c r="AQ112" s="19">
        <v>0.0</v>
      </c>
      <c r="AR112" s="19">
        <v>0.0</v>
      </c>
      <c r="AS112" s="13">
        <f t="shared" si="8"/>
        <v>1</v>
      </c>
    </row>
    <row r="113" ht="12.75" customHeight="1">
      <c r="A113" s="30"/>
      <c r="B113" s="47">
        <v>3.0</v>
      </c>
      <c r="C113" s="50" t="s">
        <v>97</v>
      </c>
      <c r="D113" s="59"/>
      <c r="E113" s="19">
        <v>0.0</v>
      </c>
      <c r="F113" s="19">
        <v>0.0</v>
      </c>
      <c r="G113" s="19">
        <v>0.0</v>
      </c>
      <c r="H113" s="19">
        <v>0.0</v>
      </c>
      <c r="I113" s="19">
        <v>0.0</v>
      </c>
      <c r="J113" s="19">
        <v>0.0</v>
      </c>
      <c r="K113" s="19">
        <v>0.0</v>
      </c>
      <c r="L113" s="19">
        <v>0.0</v>
      </c>
      <c r="M113" s="19">
        <v>0.0</v>
      </c>
      <c r="N113" s="19">
        <v>0.0</v>
      </c>
      <c r="O113" s="19">
        <v>0.0</v>
      </c>
      <c r="P113" s="19">
        <v>0.0</v>
      </c>
      <c r="Q113" s="19">
        <v>0.0</v>
      </c>
      <c r="R113" s="19">
        <v>0.0</v>
      </c>
      <c r="S113" s="19">
        <v>0.0</v>
      </c>
      <c r="T113" s="19">
        <v>0.0</v>
      </c>
      <c r="U113" s="19">
        <v>0.0</v>
      </c>
      <c r="V113" s="19">
        <v>0.0</v>
      </c>
      <c r="W113" s="19">
        <v>0.0</v>
      </c>
      <c r="X113" s="19">
        <v>0.0</v>
      </c>
      <c r="Y113" s="19">
        <v>0.0</v>
      </c>
      <c r="Z113" s="19">
        <v>0.0</v>
      </c>
      <c r="AA113" s="19">
        <v>0.0</v>
      </c>
      <c r="AB113" s="19">
        <v>0.0</v>
      </c>
      <c r="AC113" s="19">
        <v>0.0</v>
      </c>
      <c r="AD113" s="19">
        <v>0.0</v>
      </c>
      <c r="AE113" s="19">
        <v>0.0</v>
      </c>
      <c r="AF113" s="19">
        <v>0.0</v>
      </c>
      <c r="AG113" s="19">
        <v>0.0</v>
      </c>
      <c r="AH113" s="19">
        <v>0.0</v>
      </c>
      <c r="AI113" s="19">
        <v>0.0</v>
      </c>
      <c r="AJ113" s="19">
        <v>0.0</v>
      </c>
      <c r="AK113" s="19">
        <v>0.0</v>
      </c>
      <c r="AL113" s="19">
        <v>0.0</v>
      </c>
      <c r="AM113" s="19">
        <v>0.0</v>
      </c>
      <c r="AN113" s="19">
        <v>0.0</v>
      </c>
      <c r="AO113" s="19">
        <v>0.0</v>
      </c>
      <c r="AP113" s="19">
        <v>0.0</v>
      </c>
      <c r="AQ113" s="19">
        <v>0.0</v>
      </c>
      <c r="AR113" s="19">
        <v>0.0</v>
      </c>
      <c r="AS113" s="13">
        <f t="shared" si="8"/>
        <v>0</v>
      </c>
    </row>
    <row r="114" ht="12.75" customHeight="1">
      <c r="A114" s="30" t="s">
        <v>39</v>
      </c>
      <c r="B114" s="49">
        <v>4.0</v>
      </c>
      <c r="C114" s="50" t="s">
        <v>98</v>
      </c>
      <c r="D114" s="51"/>
      <c r="E114" s="19">
        <v>0.0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9">
        <v>0.0</v>
      </c>
      <c r="N114" s="19">
        <v>0.0</v>
      </c>
      <c r="O114" s="19">
        <v>0.0</v>
      </c>
      <c r="P114" s="19">
        <v>0.0</v>
      </c>
      <c r="Q114" s="19">
        <v>0.0</v>
      </c>
      <c r="R114" s="19">
        <v>0.0</v>
      </c>
      <c r="S114" s="19">
        <v>0.0</v>
      </c>
      <c r="T114" s="19">
        <v>0.0</v>
      </c>
      <c r="U114" s="19">
        <v>0.0</v>
      </c>
      <c r="V114" s="19">
        <v>0.0</v>
      </c>
      <c r="W114" s="19">
        <v>0.0</v>
      </c>
      <c r="X114" s="19">
        <v>0.0</v>
      </c>
      <c r="Y114" s="19">
        <v>0.0</v>
      </c>
      <c r="Z114" s="19">
        <v>0.0</v>
      </c>
      <c r="AA114" s="19">
        <v>0.0</v>
      </c>
      <c r="AB114" s="19">
        <v>0.0</v>
      </c>
      <c r="AC114" s="19">
        <v>0.0</v>
      </c>
      <c r="AD114" s="19">
        <v>0.0</v>
      </c>
      <c r="AE114" s="19">
        <v>0.0</v>
      </c>
      <c r="AF114" s="19">
        <v>0.0</v>
      </c>
      <c r="AG114" s="19">
        <v>0.0</v>
      </c>
      <c r="AH114" s="19">
        <v>0.0</v>
      </c>
      <c r="AI114" s="19">
        <v>0.0</v>
      </c>
      <c r="AJ114" s="19">
        <v>0.0</v>
      </c>
      <c r="AK114" s="19">
        <v>0.0</v>
      </c>
      <c r="AL114" s="19">
        <v>0.0</v>
      </c>
      <c r="AM114" s="19">
        <v>0.0</v>
      </c>
      <c r="AN114" s="19">
        <v>0.0</v>
      </c>
      <c r="AO114" s="19">
        <v>0.0</v>
      </c>
      <c r="AP114" s="19">
        <v>0.0</v>
      </c>
      <c r="AQ114" s="19">
        <v>0.0</v>
      </c>
      <c r="AR114" s="19">
        <v>0.0</v>
      </c>
      <c r="AS114" s="13">
        <f t="shared" si="8"/>
        <v>0</v>
      </c>
    </row>
    <row r="115" ht="12.75" customHeight="1">
      <c r="A115" s="19" t="s">
        <v>15</v>
      </c>
      <c r="B115" s="47" t="s">
        <v>46</v>
      </c>
      <c r="C115" s="15"/>
      <c r="D115" s="16"/>
      <c r="E115" s="56">
        <f t="shared" ref="E115:AR115" si="17">SUM(E110:E114)</f>
        <v>0</v>
      </c>
      <c r="F115" s="56">
        <f t="shared" si="17"/>
        <v>0</v>
      </c>
      <c r="G115" s="56">
        <f t="shared" si="17"/>
        <v>0</v>
      </c>
      <c r="H115" s="56">
        <f t="shared" si="17"/>
        <v>0</v>
      </c>
      <c r="I115" s="56">
        <f t="shared" si="17"/>
        <v>0</v>
      </c>
      <c r="J115" s="56">
        <f t="shared" si="17"/>
        <v>0</v>
      </c>
      <c r="K115" s="56">
        <f t="shared" si="17"/>
        <v>0</v>
      </c>
      <c r="L115" s="56">
        <f t="shared" si="17"/>
        <v>0</v>
      </c>
      <c r="M115" s="56">
        <f t="shared" si="17"/>
        <v>1</v>
      </c>
      <c r="N115" s="56">
        <f t="shared" si="17"/>
        <v>1</v>
      </c>
      <c r="O115" s="56">
        <f t="shared" si="17"/>
        <v>0</v>
      </c>
      <c r="P115" s="56">
        <f t="shared" si="17"/>
        <v>1</v>
      </c>
      <c r="Q115" s="56">
        <f t="shared" si="17"/>
        <v>0</v>
      </c>
      <c r="R115" s="56">
        <f t="shared" si="17"/>
        <v>0</v>
      </c>
      <c r="S115" s="56">
        <f t="shared" si="17"/>
        <v>0</v>
      </c>
      <c r="T115" s="56">
        <f t="shared" si="17"/>
        <v>0</v>
      </c>
      <c r="U115" s="56">
        <f t="shared" si="17"/>
        <v>0</v>
      </c>
      <c r="V115" s="56">
        <f t="shared" si="17"/>
        <v>0</v>
      </c>
      <c r="W115" s="56">
        <f t="shared" si="17"/>
        <v>0</v>
      </c>
      <c r="X115" s="56">
        <f t="shared" si="17"/>
        <v>0</v>
      </c>
      <c r="Y115" s="56">
        <f t="shared" si="17"/>
        <v>0</v>
      </c>
      <c r="Z115" s="56">
        <f t="shared" si="17"/>
        <v>0</v>
      </c>
      <c r="AA115" s="56">
        <f t="shared" si="17"/>
        <v>1</v>
      </c>
      <c r="AB115" s="56">
        <f t="shared" si="17"/>
        <v>0</v>
      </c>
      <c r="AC115" s="56">
        <f t="shared" si="17"/>
        <v>0</v>
      </c>
      <c r="AD115" s="56">
        <f t="shared" si="17"/>
        <v>0</v>
      </c>
      <c r="AE115" s="56">
        <f t="shared" si="17"/>
        <v>0</v>
      </c>
      <c r="AF115" s="56">
        <f t="shared" si="17"/>
        <v>0</v>
      </c>
      <c r="AG115" s="56">
        <f t="shared" si="17"/>
        <v>1</v>
      </c>
      <c r="AH115" s="56">
        <f t="shared" si="17"/>
        <v>0</v>
      </c>
      <c r="AI115" s="56">
        <f t="shared" si="17"/>
        <v>0</v>
      </c>
      <c r="AJ115" s="56">
        <f t="shared" si="17"/>
        <v>0</v>
      </c>
      <c r="AK115" s="56">
        <f t="shared" si="17"/>
        <v>0</v>
      </c>
      <c r="AL115" s="56">
        <f t="shared" si="17"/>
        <v>0</v>
      </c>
      <c r="AM115" s="56">
        <f t="shared" si="17"/>
        <v>0</v>
      </c>
      <c r="AN115" s="56">
        <f t="shared" si="17"/>
        <v>0</v>
      </c>
      <c r="AO115" s="56">
        <f t="shared" si="17"/>
        <v>0</v>
      </c>
      <c r="AP115" s="56">
        <f t="shared" si="17"/>
        <v>0</v>
      </c>
      <c r="AQ115" s="56">
        <f t="shared" si="17"/>
        <v>0</v>
      </c>
      <c r="AR115" s="56">
        <f t="shared" si="17"/>
        <v>0</v>
      </c>
      <c r="AS115" s="13">
        <f t="shared" si="8"/>
        <v>5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13">
        <f t="shared" si="8"/>
        <v>0</v>
      </c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1.0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0.0</v>
      </c>
      <c r="AD117" s="19">
        <v>0.0</v>
      </c>
      <c r="AE117" s="19">
        <v>1.0</v>
      </c>
      <c r="AF117" s="19">
        <v>0.0</v>
      </c>
      <c r="AG117" s="19">
        <v>0.0</v>
      </c>
      <c r="AH117" s="19">
        <v>0.0</v>
      </c>
      <c r="AI117" s="19">
        <v>0.0</v>
      </c>
      <c r="AJ117" s="19">
        <v>0.0</v>
      </c>
      <c r="AK117" s="19">
        <v>0.0</v>
      </c>
      <c r="AL117" s="19">
        <v>0.0</v>
      </c>
      <c r="AM117" s="19">
        <v>0.0</v>
      </c>
      <c r="AN117" s="19">
        <v>0.0</v>
      </c>
      <c r="AO117" s="19">
        <v>0.0</v>
      </c>
      <c r="AP117" s="19">
        <v>1.0</v>
      </c>
      <c r="AQ117" s="19">
        <v>0.0</v>
      </c>
      <c r="AR117" s="19">
        <v>0.0</v>
      </c>
      <c r="AS117" s="13">
        <f t="shared" si="8"/>
        <v>3</v>
      </c>
      <c r="AT117" s="5"/>
      <c r="AU117" s="5"/>
    </row>
    <row r="118" ht="12.75" customHeight="1">
      <c r="A118" s="30" t="s">
        <v>39</v>
      </c>
      <c r="B118" s="49">
        <v>1.0</v>
      </c>
      <c r="C118" s="50" t="s">
        <v>101</v>
      </c>
      <c r="D118" s="51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1.0</v>
      </c>
      <c r="AC118" s="19">
        <v>0.0</v>
      </c>
      <c r="AD118" s="19">
        <v>0.0</v>
      </c>
      <c r="AE118" s="19">
        <v>0.0</v>
      </c>
      <c r="AF118" s="19">
        <v>1.0</v>
      </c>
      <c r="AG118" s="19">
        <v>0.0</v>
      </c>
      <c r="AH118" s="19">
        <v>0.0</v>
      </c>
      <c r="AI118" s="19">
        <v>1.0</v>
      </c>
      <c r="AJ118" s="19">
        <v>0.0</v>
      </c>
      <c r="AK118" s="19">
        <v>0.0</v>
      </c>
      <c r="AL118" s="19">
        <v>0.0</v>
      </c>
      <c r="AM118" s="19">
        <v>0.0</v>
      </c>
      <c r="AN118" s="19">
        <v>0.0</v>
      </c>
      <c r="AO118" s="19">
        <v>0.0</v>
      </c>
      <c r="AP118" s="19">
        <v>2.0</v>
      </c>
      <c r="AQ118" s="19">
        <v>0.0</v>
      </c>
      <c r="AR118" s="19">
        <v>0.0</v>
      </c>
      <c r="AS118" s="13">
        <f t="shared" si="8"/>
        <v>5</v>
      </c>
      <c r="AT118" s="5"/>
      <c r="AU118" s="5"/>
    </row>
    <row r="119" ht="12.75" customHeight="1">
      <c r="A119" s="18"/>
      <c r="B119" s="49">
        <v>2.0</v>
      </c>
      <c r="C119" s="50" t="s">
        <v>102</v>
      </c>
      <c r="D119" s="51"/>
      <c r="E119" s="19">
        <v>2.0</v>
      </c>
      <c r="F119" s="19">
        <v>0.0</v>
      </c>
      <c r="G119" s="19">
        <v>0.0</v>
      </c>
      <c r="H119" s="19">
        <v>0.0</v>
      </c>
      <c r="I119" s="19">
        <v>0.0</v>
      </c>
      <c r="J119" s="19">
        <v>5.0</v>
      </c>
      <c r="K119" s="19">
        <v>5.0</v>
      </c>
      <c r="L119" s="19">
        <v>0.0</v>
      </c>
      <c r="M119" s="19">
        <v>2.0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0.0</v>
      </c>
      <c r="AK119" s="19">
        <v>0.0</v>
      </c>
      <c r="AL119" s="19">
        <v>0.0</v>
      </c>
      <c r="AM119" s="19">
        <v>0.0</v>
      </c>
      <c r="AN119" s="19">
        <v>0.0</v>
      </c>
      <c r="AO119" s="19">
        <v>0.0</v>
      </c>
      <c r="AP119" s="19">
        <v>0.0</v>
      </c>
      <c r="AQ119" s="19">
        <v>1.0</v>
      </c>
      <c r="AR119" s="19">
        <v>0.0</v>
      </c>
      <c r="AS119" s="13">
        <f t="shared" si="8"/>
        <v>15</v>
      </c>
      <c r="AT119" s="5"/>
      <c r="AU119" s="5"/>
    </row>
    <row r="120" ht="12.75" customHeight="1">
      <c r="A120" s="18"/>
      <c r="B120" s="49">
        <v>3.0</v>
      </c>
      <c r="C120" s="50" t="s">
        <v>103</v>
      </c>
      <c r="D120" s="51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1.0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9">
        <v>0.0</v>
      </c>
      <c r="AM120" s="19">
        <v>0.0</v>
      </c>
      <c r="AN120" s="19">
        <v>0.0</v>
      </c>
      <c r="AO120" s="19">
        <v>0.0</v>
      </c>
      <c r="AP120" s="19">
        <v>0.0</v>
      </c>
      <c r="AQ120" s="19">
        <v>0.0</v>
      </c>
      <c r="AR120" s="19">
        <v>0.0</v>
      </c>
      <c r="AS120" s="13">
        <f t="shared" si="8"/>
        <v>1</v>
      </c>
      <c r="AT120" s="5"/>
      <c r="AU120" s="5"/>
    </row>
    <row r="121" ht="12.75" customHeight="1">
      <c r="A121" s="18"/>
      <c r="B121" s="49">
        <v>4.0</v>
      </c>
      <c r="C121" s="50" t="s">
        <v>104</v>
      </c>
      <c r="D121" s="51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1.0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0.0</v>
      </c>
      <c r="U121" s="19">
        <v>0.0</v>
      </c>
      <c r="V121" s="19">
        <v>1.0</v>
      </c>
      <c r="W121" s="19">
        <v>0.0</v>
      </c>
      <c r="X121" s="19">
        <v>0.0</v>
      </c>
      <c r="Y121" s="19">
        <v>0.0</v>
      </c>
      <c r="Z121" s="19">
        <v>0.0</v>
      </c>
      <c r="AA121" s="19">
        <v>0.0</v>
      </c>
      <c r="AB121" s="19">
        <v>0.0</v>
      </c>
      <c r="AC121" s="19">
        <v>0.0</v>
      </c>
      <c r="AD121" s="19">
        <v>0.0</v>
      </c>
      <c r="AE121" s="19">
        <v>0.0</v>
      </c>
      <c r="AF121" s="19">
        <v>0.0</v>
      </c>
      <c r="AG121" s="19">
        <v>0.0</v>
      </c>
      <c r="AH121" s="19">
        <v>0.0</v>
      </c>
      <c r="AI121" s="19">
        <v>0.0</v>
      </c>
      <c r="AJ121" s="19">
        <v>0.0</v>
      </c>
      <c r="AK121" s="19">
        <v>0.0</v>
      </c>
      <c r="AL121" s="19">
        <v>0.0</v>
      </c>
      <c r="AM121" s="19">
        <v>0.0</v>
      </c>
      <c r="AN121" s="19">
        <v>0.0</v>
      </c>
      <c r="AO121" s="19">
        <v>0.0</v>
      </c>
      <c r="AP121" s="19">
        <v>0.0</v>
      </c>
      <c r="AQ121" s="19">
        <v>0.0</v>
      </c>
      <c r="AR121" s="19">
        <v>0.0</v>
      </c>
      <c r="AS121" s="13">
        <f t="shared" si="8"/>
        <v>2</v>
      </c>
      <c r="AT121" s="5"/>
      <c r="AU121" s="5"/>
    </row>
    <row r="122" ht="12.75" customHeight="1">
      <c r="A122" s="18"/>
      <c r="B122" s="49">
        <v>5.0</v>
      </c>
      <c r="C122" s="50" t="s">
        <v>105</v>
      </c>
      <c r="D122" s="51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9">
        <v>0.0</v>
      </c>
      <c r="S122" s="19">
        <v>0.0</v>
      </c>
      <c r="T122" s="19">
        <v>0.0</v>
      </c>
      <c r="U122" s="19">
        <v>0.0</v>
      </c>
      <c r="V122" s="19">
        <v>0.0</v>
      </c>
      <c r="W122" s="19">
        <v>0.0</v>
      </c>
      <c r="X122" s="19">
        <v>0.0</v>
      </c>
      <c r="Y122" s="19">
        <v>0.0</v>
      </c>
      <c r="Z122" s="19">
        <v>0.0</v>
      </c>
      <c r="AA122" s="19">
        <v>1.0</v>
      </c>
      <c r="AB122" s="19">
        <v>0.0</v>
      </c>
      <c r="AC122" s="19">
        <v>0.0</v>
      </c>
      <c r="AD122" s="19">
        <v>0.0</v>
      </c>
      <c r="AE122" s="19">
        <v>0.0</v>
      </c>
      <c r="AF122" s="19">
        <v>0.0</v>
      </c>
      <c r="AG122" s="19">
        <v>0.0</v>
      </c>
      <c r="AH122" s="19">
        <v>0.0</v>
      </c>
      <c r="AI122" s="19">
        <v>0.0</v>
      </c>
      <c r="AJ122" s="19">
        <v>0.0</v>
      </c>
      <c r="AK122" s="19">
        <v>0.0</v>
      </c>
      <c r="AL122" s="19">
        <v>0.0</v>
      </c>
      <c r="AM122" s="19">
        <v>0.0</v>
      </c>
      <c r="AN122" s="19">
        <v>0.0</v>
      </c>
      <c r="AO122" s="19">
        <v>0.0</v>
      </c>
      <c r="AP122" s="19">
        <v>0.0</v>
      </c>
      <c r="AQ122" s="19">
        <v>0.0</v>
      </c>
      <c r="AR122" s="19">
        <v>0.0</v>
      </c>
      <c r="AS122" s="13">
        <f t="shared" si="8"/>
        <v>1</v>
      </c>
      <c r="AT122" s="5"/>
      <c r="AU122" s="5"/>
    </row>
    <row r="123" ht="12.75" customHeight="1">
      <c r="A123" s="18"/>
      <c r="B123" s="49">
        <v>6.0</v>
      </c>
      <c r="C123" s="50" t="s">
        <v>106</v>
      </c>
      <c r="D123" s="51"/>
      <c r="E123" s="19">
        <v>0.0</v>
      </c>
      <c r="F123" s="19">
        <v>0.0</v>
      </c>
      <c r="G123" s="19">
        <v>0.0</v>
      </c>
      <c r="H123" s="19">
        <v>0.0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1.0</v>
      </c>
      <c r="R123" s="19">
        <v>0.0</v>
      </c>
      <c r="S123" s="19">
        <v>0.0</v>
      </c>
      <c r="T123" s="19">
        <v>0.0</v>
      </c>
      <c r="U123" s="19">
        <v>0.0</v>
      </c>
      <c r="V123" s="19">
        <v>0.0</v>
      </c>
      <c r="W123" s="19">
        <v>0.0</v>
      </c>
      <c r="X123" s="19">
        <v>0.0</v>
      </c>
      <c r="Y123" s="19">
        <v>0.0</v>
      </c>
      <c r="Z123" s="19">
        <v>0.0</v>
      </c>
      <c r="AA123" s="19">
        <v>0.0</v>
      </c>
      <c r="AB123" s="19">
        <v>0.0</v>
      </c>
      <c r="AC123" s="19">
        <v>0.0</v>
      </c>
      <c r="AD123" s="19">
        <v>0.0</v>
      </c>
      <c r="AE123" s="19">
        <v>0.0</v>
      </c>
      <c r="AF123" s="19">
        <v>0.0</v>
      </c>
      <c r="AG123" s="19">
        <v>0.0</v>
      </c>
      <c r="AH123" s="19">
        <v>0.0</v>
      </c>
      <c r="AI123" s="19">
        <v>0.0</v>
      </c>
      <c r="AJ123" s="19">
        <v>0.0</v>
      </c>
      <c r="AK123" s="19">
        <v>0.0</v>
      </c>
      <c r="AL123" s="19">
        <v>0.0</v>
      </c>
      <c r="AM123" s="19">
        <v>0.0</v>
      </c>
      <c r="AN123" s="19">
        <v>0.0</v>
      </c>
      <c r="AO123" s="19">
        <v>0.0</v>
      </c>
      <c r="AP123" s="19">
        <v>0.0</v>
      </c>
      <c r="AQ123" s="19">
        <v>0.0</v>
      </c>
      <c r="AR123" s="19">
        <v>0.0</v>
      </c>
      <c r="AS123" s="13">
        <f t="shared" si="8"/>
        <v>1</v>
      </c>
      <c r="AT123" s="5"/>
      <c r="AU123" s="5"/>
    </row>
    <row r="124" ht="12.75" customHeight="1">
      <c r="A124" s="19" t="s">
        <v>15</v>
      </c>
      <c r="B124" s="47" t="s">
        <v>46</v>
      </c>
      <c r="C124" s="15"/>
      <c r="D124" s="16"/>
      <c r="E124" s="56">
        <f t="shared" ref="E124:AR124" si="18">SUM(E117:E123)</f>
        <v>2</v>
      </c>
      <c r="F124" s="56">
        <f t="shared" si="18"/>
        <v>0</v>
      </c>
      <c r="G124" s="56">
        <f t="shared" si="18"/>
        <v>0</v>
      </c>
      <c r="H124" s="56">
        <f t="shared" si="18"/>
        <v>0</v>
      </c>
      <c r="I124" s="56">
        <f t="shared" si="18"/>
        <v>0</v>
      </c>
      <c r="J124" s="56">
        <f t="shared" si="18"/>
        <v>5</v>
      </c>
      <c r="K124" s="56">
        <f t="shared" si="18"/>
        <v>6</v>
      </c>
      <c r="L124" s="56">
        <f t="shared" si="18"/>
        <v>0</v>
      </c>
      <c r="M124" s="56">
        <f t="shared" si="18"/>
        <v>3</v>
      </c>
      <c r="N124" s="56">
        <f t="shared" si="18"/>
        <v>1</v>
      </c>
      <c r="O124" s="56">
        <f t="shared" si="18"/>
        <v>0</v>
      </c>
      <c r="P124" s="56">
        <f t="shared" si="18"/>
        <v>0</v>
      </c>
      <c r="Q124" s="56">
        <f t="shared" si="18"/>
        <v>1</v>
      </c>
      <c r="R124" s="56">
        <f t="shared" si="18"/>
        <v>0</v>
      </c>
      <c r="S124" s="56">
        <f t="shared" si="18"/>
        <v>0</v>
      </c>
      <c r="T124" s="56">
        <f t="shared" si="18"/>
        <v>0</v>
      </c>
      <c r="U124" s="56">
        <f t="shared" si="18"/>
        <v>0</v>
      </c>
      <c r="V124" s="56">
        <f t="shared" si="18"/>
        <v>1</v>
      </c>
      <c r="W124" s="56">
        <f t="shared" si="18"/>
        <v>0</v>
      </c>
      <c r="X124" s="56">
        <f t="shared" si="18"/>
        <v>0</v>
      </c>
      <c r="Y124" s="56">
        <f t="shared" si="18"/>
        <v>0</v>
      </c>
      <c r="Z124" s="56">
        <f t="shared" si="18"/>
        <v>0</v>
      </c>
      <c r="AA124" s="56">
        <f t="shared" si="18"/>
        <v>1</v>
      </c>
      <c r="AB124" s="56">
        <f t="shared" si="18"/>
        <v>1</v>
      </c>
      <c r="AC124" s="56">
        <f t="shared" si="18"/>
        <v>0</v>
      </c>
      <c r="AD124" s="56">
        <f t="shared" si="18"/>
        <v>0</v>
      </c>
      <c r="AE124" s="56">
        <f t="shared" si="18"/>
        <v>1</v>
      </c>
      <c r="AF124" s="56">
        <f t="shared" si="18"/>
        <v>1</v>
      </c>
      <c r="AG124" s="56">
        <f t="shared" si="18"/>
        <v>0</v>
      </c>
      <c r="AH124" s="56">
        <f t="shared" si="18"/>
        <v>0</v>
      </c>
      <c r="AI124" s="56">
        <f t="shared" si="18"/>
        <v>1</v>
      </c>
      <c r="AJ124" s="56">
        <f t="shared" si="18"/>
        <v>0</v>
      </c>
      <c r="AK124" s="56">
        <f t="shared" si="18"/>
        <v>0</v>
      </c>
      <c r="AL124" s="56">
        <f t="shared" si="18"/>
        <v>0</v>
      </c>
      <c r="AM124" s="56">
        <f t="shared" si="18"/>
        <v>0</v>
      </c>
      <c r="AN124" s="56">
        <f t="shared" si="18"/>
        <v>0</v>
      </c>
      <c r="AO124" s="56">
        <f t="shared" si="18"/>
        <v>0</v>
      </c>
      <c r="AP124" s="56">
        <f t="shared" si="18"/>
        <v>3</v>
      </c>
      <c r="AQ124" s="56">
        <f t="shared" si="18"/>
        <v>1</v>
      </c>
      <c r="AR124" s="56">
        <f t="shared" si="18"/>
        <v>0</v>
      </c>
      <c r="AS124" s="13">
        <f t="shared" si="8"/>
        <v>28</v>
      </c>
      <c r="AT124" s="5"/>
      <c r="AU124" s="5"/>
    </row>
    <row r="125" ht="12.75" customHeight="1">
      <c r="A125" s="57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13">
        <f t="shared" si="8"/>
        <v>0</v>
      </c>
      <c r="AT125" s="5"/>
      <c r="AU125" s="5"/>
    </row>
    <row r="126" ht="12.75" customHeight="1">
      <c r="A126" s="30" t="s">
        <v>37</v>
      </c>
      <c r="B126" s="47" t="s">
        <v>107</v>
      </c>
      <c r="C126" s="48" t="s">
        <v>108</v>
      </c>
      <c r="D126" s="16"/>
      <c r="E126" s="19">
        <v>0.0</v>
      </c>
      <c r="F126" s="19">
        <v>1.0</v>
      </c>
      <c r="G126" s="19">
        <v>0.0</v>
      </c>
      <c r="H126" s="19">
        <v>0.0</v>
      </c>
      <c r="I126" s="19">
        <v>0.0</v>
      </c>
      <c r="J126" s="19">
        <v>0.0</v>
      </c>
      <c r="K126" s="19">
        <v>0.0</v>
      </c>
      <c r="L126" s="19">
        <v>0.0</v>
      </c>
      <c r="M126" s="19">
        <v>0.0</v>
      </c>
      <c r="N126" s="19">
        <v>1.0</v>
      </c>
      <c r="O126" s="19">
        <v>0.0</v>
      </c>
      <c r="P126" s="19">
        <v>0.0</v>
      </c>
      <c r="Q126" s="19">
        <v>0.0</v>
      </c>
      <c r="R126" s="19">
        <v>1.0</v>
      </c>
      <c r="S126" s="19">
        <v>0.0</v>
      </c>
      <c r="T126" s="19">
        <v>0.0</v>
      </c>
      <c r="U126" s="19">
        <v>0.0</v>
      </c>
      <c r="V126" s="19">
        <v>0.0</v>
      </c>
      <c r="W126" s="19">
        <v>2.0</v>
      </c>
      <c r="X126" s="19">
        <v>1.0</v>
      </c>
      <c r="Y126" s="19">
        <v>0.0</v>
      </c>
      <c r="Z126" s="19">
        <v>0.0</v>
      </c>
      <c r="AA126" s="19">
        <v>1.0</v>
      </c>
      <c r="AB126" s="19">
        <v>1.0</v>
      </c>
      <c r="AC126" s="19">
        <v>0.0</v>
      </c>
      <c r="AD126" s="19">
        <v>0.0</v>
      </c>
      <c r="AE126" s="19">
        <v>0.0</v>
      </c>
      <c r="AF126" s="19">
        <v>0.0</v>
      </c>
      <c r="AG126" s="19">
        <v>0.0</v>
      </c>
      <c r="AH126" s="19">
        <v>1.0</v>
      </c>
      <c r="AI126" s="19">
        <v>0.0</v>
      </c>
      <c r="AJ126" s="19">
        <v>0.0</v>
      </c>
      <c r="AK126" s="19">
        <v>0.0</v>
      </c>
      <c r="AL126" s="19">
        <v>0.0</v>
      </c>
      <c r="AM126" s="19">
        <v>1.0</v>
      </c>
      <c r="AN126" s="19">
        <v>0.0</v>
      </c>
      <c r="AO126" s="19">
        <v>1.0</v>
      </c>
      <c r="AP126" s="19">
        <v>0.0</v>
      </c>
      <c r="AQ126" s="19">
        <v>0.0</v>
      </c>
      <c r="AR126" s="19">
        <v>0.0</v>
      </c>
      <c r="AS126" s="13">
        <f t="shared" si="8"/>
        <v>11</v>
      </c>
      <c r="AT126" s="5"/>
      <c r="AU126" s="5"/>
    </row>
    <row r="127" ht="12.75" customHeight="1">
      <c r="A127" s="30" t="s">
        <v>39</v>
      </c>
      <c r="B127" s="49"/>
      <c r="C127" s="50"/>
      <c r="D127" s="51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3">
        <f t="shared" si="8"/>
        <v>0</v>
      </c>
      <c r="AT127" s="5"/>
      <c r="AU127" s="5"/>
    </row>
    <row r="128" ht="12.75" customHeight="1">
      <c r="A128" s="19" t="s">
        <v>15</v>
      </c>
      <c r="B128" s="47" t="s">
        <v>46</v>
      </c>
      <c r="C128" s="15"/>
      <c r="D128" s="16"/>
      <c r="E128" s="56">
        <f t="shared" ref="E128:AR128" si="19">SUM(E126:E127)</f>
        <v>0</v>
      </c>
      <c r="F128" s="56">
        <f t="shared" si="19"/>
        <v>1</v>
      </c>
      <c r="G128" s="56">
        <f t="shared" si="19"/>
        <v>0</v>
      </c>
      <c r="H128" s="56">
        <f t="shared" si="19"/>
        <v>0</v>
      </c>
      <c r="I128" s="56">
        <f t="shared" si="19"/>
        <v>0</v>
      </c>
      <c r="J128" s="56">
        <f t="shared" si="19"/>
        <v>0</v>
      </c>
      <c r="K128" s="56">
        <f t="shared" si="19"/>
        <v>0</v>
      </c>
      <c r="L128" s="56">
        <f t="shared" si="19"/>
        <v>0</v>
      </c>
      <c r="M128" s="56">
        <f t="shared" si="19"/>
        <v>0</v>
      </c>
      <c r="N128" s="56">
        <f t="shared" si="19"/>
        <v>1</v>
      </c>
      <c r="O128" s="56">
        <f t="shared" si="19"/>
        <v>0</v>
      </c>
      <c r="P128" s="56">
        <f t="shared" si="19"/>
        <v>0</v>
      </c>
      <c r="Q128" s="56">
        <f t="shared" si="19"/>
        <v>0</v>
      </c>
      <c r="R128" s="56">
        <f t="shared" si="19"/>
        <v>1</v>
      </c>
      <c r="S128" s="56">
        <f t="shared" si="19"/>
        <v>0</v>
      </c>
      <c r="T128" s="56">
        <f t="shared" si="19"/>
        <v>0</v>
      </c>
      <c r="U128" s="56">
        <f t="shared" si="19"/>
        <v>0</v>
      </c>
      <c r="V128" s="56">
        <f t="shared" si="19"/>
        <v>0</v>
      </c>
      <c r="W128" s="56">
        <f t="shared" si="19"/>
        <v>2</v>
      </c>
      <c r="X128" s="56">
        <f t="shared" si="19"/>
        <v>1</v>
      </c>
      <c r="Y128" s="56">
        <f t="shared" si="19"/>
        <v>0</v>
      </c>
      <c r="Z128" s="56">
        <f t="shared" si="19"/>
        <v>0</v>
      </c>
      <c r="AA128" s="56">
        <f t="shared" si="19"/>
        <v>1</v>
      </c>
      <c r="AB128" s="56">
        <f t="shared" si="19"/>
        <v>1</v>
      </c>
      <c r="AC128" s="56">
        <f t="shared" si="19"/>
        <v>0</v>
      </c>
      <c r="AD128" s="56">
        <f t="shared" si="19"/>
        <v>0</v>
      </c>
      <c r="AE128" s="56">
        <f t="shared" si="19"/>
        <v>0</v>
      </c>
      <c r="AF128" s="56">
        <f t="shared" si="19"/>
        <v>0</v>
      </c>
      <c r="AG128" s="56">
        <f t="shared" si="19"/>
        <v>0</v>
      </c>
      <c r="AH128" s="56">
        <f t="shared" si="19"/>
        <v>1</v>
      </c>
      <c r="AI128" s="56">
        <f t="shared" si="19"/>
        <v>0</v>
      </c>
      <c r="AJ128" s="56">
        <f t="shared" si="19"/>
        <v>0</v>
      </c>
      <c r="AK128" s="56">
        <f t="shared" si="19"/>
        <v>0</v>
      </c>
      <c r="AL128" s="56">
        <f t="shared" si="19"/>
        <v>0</v>
      </c>
      <c r="AM128" s="56">
        <f t="shared" si="19"/>
        <v>1</v>
      </c>
      <c r="AN128" s="56">
        <f t="shared" si="19"/>
        <v>0</v>
      </c>
      <c r="AO128" s="56">
        <f t="shared" si="19"/>
        <v>1</v>
      </c>
      <c r="AP128" s="56">
        <f t="shared" si="19"/>
        <v>0</v>
      </c>
      <c r="AQ128" s="56">
        <f t="shared" si="19"/>
        <v>0</v>
      </c>
      <c r="AR128" s="56">
        <f t="shared" si="19"/>
        <v>0</v>
      </c>
      <c r="AS128" s="13">
        <f t="shared" si="8"/>
        <v>11</v>
      </c>
      <c r="AT128" s="5"/>
      <c r="AU128" s="5"/>
    </row>
    <row r="129" ht="12.75" customHeight="1">
      <c r="A129" s="57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13">
        <f t="shared" si="8"/>
        <v>0</v>
      </c>
      <c r="AT129" s="5"/>
      <c r="AU129" s="5"/>
    </row>
    <row r="130" ht="12.75" customHeight="1">
      <c r="A130" s="30" t="s">
        <v>37</v>
      </c>
      <c r="B130" s="47" t="s">
        <v>109</v>
      </c>
      <c r="C130" s="48" t="s">
        <v>110</v>
      </c>
      <c r="D130" s="16"/>
      <c r="E130" s="19">
        <v>0.0</v>
      </c>
      <c r="F130" s="19">
        <v>0.0</v>
      </c>
      <c r="G130" s="19">
        <v>1.0</v>
      </c>
      <c r="H130" s="19">
        <v>0.0</v>
      </c>
      <c r="I130" s="19">
        <v>0.0</v>
      </c>
      <c r="J130" s="19">
        <v>0.0</v>
      </c>
      <c r="K130" s="19">
        <v>0.0</v>
      </c>
      <c r="L130" s="19">
        <v>0.0</v>
      </c>
      <c r="M130" s="19">
        <v>0.0</v>
      </c>
      <c r="N130" s="19">
        <v>2.0</v>
      </c>
      <c r="O130" s="19">
        <v>0.0</v>
      </c>
      <c r="P130" s="19">
        <v>0.0</v>
      </c>
      <c r="Q130" s="19">
        <v>0.0</v>
      </c>
      <c r="R130" s="19">
        <v>1.0</v>
      </c>
      <c r="S130" s="19">
        <v>2.0</v>
      </c>
      <c r="T130" s="19">
        <v>2.0</v>
      </c>
      <c r="U130" s="19">
        <v>0.0</v>
      </c>
      <c r="V130" s="19">
        <v>0.0</v>
      </c>
      <c r="W130" s="19">
        <v>1.0</v>
      </c>
      <c r="X130" s="19">
        <v>1.0</v>
      </c>
      <c r="Y130" s="19">
        <v>1.0</v>
      </c>
      <c r="Z130" s="19">
        <v>2.0</v>
      </c>
      <c r="AA130" s="19">
        <v>2.0</v>
      </c>
      <c r="AB130" s="19">
        <v>1.0</v>
      </c>
      <c r="AC130" s="19">
        <v>0.0</v>
      </c>
      <c r="AD130" s="19">
        <v>0.0</v>
      </c>
      <c r="AE130" s="19">
        <v>0.0</v>
      </c>
      <c r="AF130" s="19">
        <v>0.0</v>
      </c>
      <c r="AG130" s="19">
        <v>0.0</v>
      </c>
      <c r="AH130" s="19">
        <v>0.0</v>
      </c>
      <c r="AI130" s="19">
        <v>0.0</v>
      </c>
      <c r="AJ130" s="19">
        <v>0.0</v>
      </c>
      <c r="AK130" s="19">
        <v>0.0</v>
      </c>
      <c r="AL130" s="19">
        <v>1.0</v>
      </c>
      <c r="AM130" s="19">
        <v>0.0</v>
      </c>
      <c r="AN130" s="19">
        <v>0.0</v>
      </c>
      <c r="AO130" s="19">
        <v>2.0</v>
      </c>
      <c r="AP130" s="19">
        <v>0.0</v>
      </c>
      <c r="AQ130" s="19">
        <v>0.0</v>
      </c>
      <c r="AR130" s="19">
        <v>0.0</v>
      </c>
      <c r="AS130" s="13">
        <f t="shared" si="8"/>
        <v>19</v>
      </c>
      <c r="AT130" s="1"/>
      <c r="AU130" s="1"/>
    </row>
    <row r="131" ht="12.75" customHeight="1">
      <c r="A131" s="30" t="s">
        <v>39</v>
      </c>
      <c r="B131" s="49">
        <v>1.0</v>
      </c>
      <c r="C131" s="50" t="s">
        <v>111</v>
      </c>
      <c r="D131" s="51"/>
      <c r="E131" s="19">
        <v>0.0</v>
      </c>
      <c r="F131" s="19">
        <v>4.0</v>
      </c>
      <c r="G131" s="19">
        <v>0.0</v>
      </c>
      <c r="H131" s="19">
        <v>0.0</v>
      </c>
      <c r="I131" s="19">
        <v>0.0</v>
      </c>
      <c r="J131" s="19">
        <v>1.0</v>
      </c>
      <c r="K131" s="19">
        <v>2.0</v>
      </c>
      <c r="L131" s="19">
        <v>0.0</v>
      </c>
      <c r="M131" s="19">
        <v>1.0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1.0</v>
      </c>
      <c r="T131" s="19">
        <v>0.0</v>
      </c>
      <c r="U131" s="19">
        <v>0.0</v>
      </c>
      <c r="V131" s="19">
        <v>0.0</v>
      </c>
      <c r="W131" s="19">
        <v>0.0</v>
      </c>
      <c r="X131" s="19">
        <v>1.0</v>
      </c>
      <c r="Y131" s="19">
        <v>1.0</v>
      </c>
      <c r="Z131" s="19">
        <v>0.0</v>
      </c>
      <c r="AA131" s="19">
        <v>0.0</v>
      </c>
      <c r="AB131" s="19">
        <v>1.0</v>
      </c>
      <c r="AC131" s="19">
        <v>0.0</v>
      </c>
      <c r="AD131" s="19">
        <v>0.0</v>
      </c>
      <c r="AE131" s="19">
        <v>0.0</v>
      </c>
      <c r="AF131" s="19">
        <v>0.0</v>
      </c>
      <c r="AG131" s="19">
        <v>0.0</v>
      </c>
      <c r="AH131" s="19">
        <v>0.0</v>
      </c>
      <c r="AI131" s="19">
        <v>0.0</v>
      </c>
      <c r="AJ131" s="19">
        <v>0.0</v>
      </c>
      <c r="AK131" s="19">
        <v>0.0</v>
      </c>
      <c r="AL131" s="19">
        <v>0.0</v>
      </c>
      <c r="AM131" s="19">
        <v>0.0</v>
      </c>
      <c r="AN131" s="19">
        <v>0.0</v>
      </c>
      <c r="AO131" s="19">
        <v>0.0</v>
      </c>
      <c r="AP131" s="19">
        <v>0.0</v>
      </c>
      <c r="AQ131" s="19">
        <v>0.0</v>
      </c>
      <c r="AR131" s="19">
        <v>0.0</v>
      </c>
      <c r="AS131" s="13">
        <f t="shared" si="8"/>
        <v>12</v>
      </c>
      <c r="AT131" s="53"/>
      <c r="AU131" s="53"/>
    </row>
    <row r="132" ht="12.75" customHeight="1">
      <c r="A132" s="18"/>
      <c r="B132" s="49">
        <v>2.0</v>
      </c>
      <c r="C132" s="50" t="s">
        <v>112</v>
      </c>
      <c r="D132" s="51"/>
      <c r="E132" s="19">
        <v>0.0</v>
      </c>
      <c r="F132" s="19">
        <v>2.0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1.0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1.0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0.0</v>
      </c>
      <c r="AJ132" s="19">
        <v>0.0</v>
      </c>
      <c r="AK132" s="19">
        <v>0.0</v>
      </c>
      <c r="AL132" s="19">
        <v>0.0</v>
      </c>
      <c r="AM132" s="19">
        <v>0.0</v>
      </c>
      <c r="AN132" s="19">
        <v>0.0</v>
      </c>
      <c r="AO132" s="19">
        <v>0.0</v>
      </c>
      <c r="AP132" s="19">
        <v>0.0</v>
      </c>
      <c r="AQ132" s="19">
        <v>0.0</v>
      </c>
      <c r="AR132" s="19">
        <v>0.0</v>
      </c>
      <c r="AS132" s="13">
        <f t="shared" si="8"/>
        <v>4</v>
      </c>
      <c r="AT132" s="5"/>
      <c r="AU132" s="5"/>
    </row>
    <row r="133" ht="12.75" customHeight="1">
      <c r="A133" s="18"/>
      <c r="B133" s="49">
        <v>3.0</v>
      </c>
      <c r="C133" s="50" t="s">
        <v>113</v>
      </c>
      <c r="D133" s="51"/>
      <c r="E133" s="19">
        <v>0.0</v>
      </c>
      <c r="F133" s="19">
        <v>0.0</v>
      </c>
      <c r="G133" s="19">
        <v>0.0</v>
      </c>
      <c r="H133" s="19">
        <v>1.0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1.0</v>
      </c>
      <c r="P133" s="19">
        <v>0.0</v>
      </c>
      <c r="Q133" s="19">
        <v>0.0</v>
      </c>
      <c r="R133" s="19">
        <v>0.0</v>
      </c>
      <c r="S133" s="19">
        <v>1.0</v>
      </c>
      <c r="T133" s="19">
        <v>0.0</v>
      </c>
      <c r="U133" s="19">
        <v>1.0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1.0</v>
      </c>
      <c r="AH133" s="19">
        <v>0.0</v>
      </c>
      <c r="AI133" s="19">
        <v>0.0</v>
      </c>
      <c r="AJ133" s="19">
        <v>0.0</v>
      </c>
      <c r="AK133" s="19">
        <v>1.0</v>
      </c>
      <c r="AL133" s="19">
        <v>0.0</v>
      </c>
      <c r="AM133" s="19">
        <v>0.0</v>
      </c>
      <c r="AN133" s="19">
        <v>0.0</v>
      </c>
      <c r="AO133" s="19">
        <v>2.0</v>
      </c>
      <c r="AP133" s="19">
        <v>0.0</v>
      </c>
      <c r="AQ133" s="19">
        <v>0.0</v>
      </c>
      <c r="AR133" s="19">
        <v>0.0</v>
      </c>
      <c r="AS133" s="13">
        <f t="shared" si="8"/>
        <v>8</v>
      </c>
      <c r="AT133" s="5"/>
      <c r="AU133" s="5"/>
    </row>
    <row r="134" ht="12.75" customHeight="1">
      <c r="A134" s="18"/>
      <c r="B134" s="49">
        <v>4.0</v>
      </c>
      <c r="C134" s="50" t="s">
        <v>114</v>
      </c>
      <c r="D134" s="51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0.0</v>
      </c>
      <c r="AL134" s="19">
        <v>0.0</v>
      </c>
      <c r="AM134" s="19">
        <v>0.0</v>
      </c>
      <c r="AN134" s="19">
        <v>0.0</v>
      </c>
      <c r="AO134" s="19">
        <v>0.0</v>
      </c>
      <c r="AP134" s="19">
        <v>0.0</v>
      </c>
      <c r="AQ134" s="19">
        <v>0.0</v>
      </c>
      <c r="AR134" s="19">
        <v>0.0</v>
      </c>
      <c r="AS134" s="13">
        <f t="shared" si="8"/>
        <v>0</v>
      </c>
      <c r="AT134" s="5"/>
      <c r="AU134" s="5"/>
    </row>
    <row r="135" ht="12.75" customHeight="1">
      <c r="A135" s="19" t="s">
        <v>15</v>
      </c>
      <c r="B135" s="47" t="s">
        <v>46</v>
      </c>
      <c r="C135" s="15"/>
      <c r="D135" s="16"/>
      <c r="E135" s="56">
        <f t="shared" ref="E135:AR135" si="20">SUM(E130:E134)</f>
        <v>0</v>
      </c>
      <c r="F135" s="56">
        <f t="shared" si="20"/>
        <v>6</v>
      </c>
      <c r="G135" s="56">
        <f t="shared" si="20"/>
        <v>1</v>
      </c>
      <c r="H135" s="56">
        <f t="shared" si="20"/>
        <v>1</v>
      </c>
      <c r="I135" s="56">
        <f t="shared" si="20"/>
        <v>0</v>
      </c>
      <c r="J135" s="56">
        <f t="shared" si="20"/>
        <v>1</v>
      </c>
      <c r="K135" s="56">
        <f t="shared" si="20"/>
        <v>2</v>
      </c>
      <c r="L135" s="56">
        <f t="shared" si="20"/>
        <v>0</v>
      </c>
      <c r="M135" s="56">
        <f t="shared" si="20"/>
        <v>1</v>
      </c>
      <c r="N135" s="56">
        <f t="shared" si="20"/>
        <v>3</v>
      </c>
      <c r="O135" s="56">
        <f t="shared" si="20"/>
        <v>1</v>
      </c>
      <c r="P135" s="56">
        <f t="shared" si="20"/>
        <v>0</v>
      </c>
      <c r="Q135" s="56">
        <f t="shared" si="20"/>
        <v>0</v>
      </c>
      <c r="R135" s="56">
        <f t="shared" si="20"/>
        <v>1</v>
      </c>
      <c r="S135" s="56">
        <f t="shared" si="20"/>
        <v>4</v>
      </c>
      <c r="T135" s="56">
        <f t="shared" si="20"/>
        <v>2</v>
      </c>
      <c r="U135" s="56">
        <f t="shared" si="20"/>
        <v>1</v>
      </c>
      <c r="V135" s="56">
        <f t="shared" si="20"/>
        <v>0</v>
      </c>
      <c r="W135" s="56">
        <f t="shared" si="20"/>
        <v>1</v>
      </c>
      <c r="X135" s="56">
        <f t="shared" si="20"/>
        <v>3</v>
      </c>
      <c r="Y135" s="56">
        <f t="shared" si="20"/>
        <v>2</v>
      </c>
      <c r="Z135" s="56">
        <f t="shared" si="20"/>
        <v>2</v>
      </c>
      <c r="AA135" s="56">
        <f t="shared" si="20"/>
        <v>2</v>
      </c>
      <c r="AB135" s="56">
        <f t="shared" si="20"/>
        <v>2</v>
      </c>
      <c r="AC135" s="56">
        <f t="shared" si="20"/>
        <v>0</v>
      </c>
      <c r="AD135" s="56">
        <f t="shared" si="20"/>
        <v>0</v>
      </c>
      <c r="AE135" s="56">
        <f t="shared" si="20"/>
        <v>0</v>
      </c>
      <c r="AF135" s="56">
        <f t="shared" si="20"/>
        <v>0</v>
      </c>
      <c r="AG135" s="56">
        <f t="shared" si="20"/>
        <v>1</v>
      </c>
      <c r="AH135" s="56">
        <f t="shared" si="20"/>
        <v>0</v>
      </c>
      <c r="AI135" s="56">
        <f t="shared" si="20"/>
        <v>0</v>
      </c>
      <c r="AJ135" s="56">
        <f t="shared" si="20"/>
        <v>0</v>
      </c>
      <c r="AK135" s="56">
        <f t="shared" si="20"/>
        <v>1</v>
      </c>
      <c r="AL135" s="56">
        <f t="shared" si="20"/>
        <v>1</v>
      </c>
      <c r="AM135" s="56">
        <f t="shared" si="20"/>
        <v>0</v>
      </c>
      <c r="AN135" s="56">
        <f t="shared" si="20"/>
        <v>0</v>
      </c>
      <c r="AO135" s="56">
        <f t="shared" si="20"/>
        <v>4</v>
      </c>
      <c r="AP135" s="56">
        <f t="shared" si="20"/>
        <v>0</v>
      </c>
      <c r="AQ135" s="56">
        <f t="shared" si="20"/>
        <v>0</v>
      </c>
      <c r="AR135" s="56">
        <f t="shared" si="20"/>
        <v>0</v>
      </c>
      <c r="AS135" s="13">
        <f t="shared" si="8"/>
        <v>43</v>
      </c>
      <c r="AT135" s="5"/>
      <c r="AU135" s="5"/>
    </row>
    <row r="136" ht="12.75" customHeight="1">
      <c r="A136" s="57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13">
        <f t="shared" si="8"/>
        <v>0</v>
      </c>
      <c r="AT136" s="5"/>
      <c r="AU136" s="5"/>
    </row>
    <row r="137" ht="12.75" customHeight="1">
      <c r="A137" s="30" t="s">
        <v>37</v>
      </c>
      <c r="B137" s="47" t="s">
        <v>115</v>
      </c>
      <c r="C137" s="48" t="s">
        <v>116</v>
      </c>
      <c r="D137" s="16"/>
      <c r="E137" s="19">
        <v>0.0</v>
      </c>
      <c r="F137" s="19">
        <v>0.0</v>
      </c>
      <c r="G137" s="19">
        <v>0.0</v>
      </c>
      <c r="H137" s="19">
        <v>0.0</v>
      </c>
      <c r="I137" s="19">
        <v>0.0</v>
      </c>
      <c r="J137" s="19">
        <v>0.0</v>
      </c>
      <c r="K137" s="19">
        <v>0.0</v>
      </c>
      <c r="L137" s="19">
        <v>0.0</v>
      </c>
      <c r="M137" s="19">
        <v>0.0</v>
      </c>
      <c r="N137" s="19">
        <v>0.0</v>
      </c>
      <c r="O137" s="19">
        <v>0.0</v>
      </c>
      <c r="P137" s="19">
        <v>0.0</v>
      </c>
      <c r="Q137" s="19">
        <v>0.0</v>
      </c>
      <c r="R137" s="19">
        <v>0.0</v>
      </c>
      <c r="S137" s="19">
        <v>0.0</v>
      </c>
      <c r="T137" s="19">
        <v>0.0</v>
      </c>
      <c r="U137" s="19">
        <v>0.0</v>
      </c>
      <c r="V137" s="19">
        <v>0.0</v>
      </c>
      <c r="W137" s="19">
        <v>0.0</v>
      </c>
      <c r="X137" s="19">
        <v>0.0</v>
      </c>
      <c r="Y137" s="19">
        <v>0.0</v>
      </c>
      <c r="Z137" s="19">
        <v>0.0</v>
      </c>
      <c r="AA137" s="19">
        <v>0.0</v>
      </c>
      <c r="AB137" s="19">
        <v>1.0</v>
      </c>
      <c r="AC137" s="19">
        <v>0.0</v>
      </c>
      <c r="AD137" s="19">
        <v>0.0</v>
      </c>
      <c r="AE137" s="19">
        <v>0.0</v>
      </c>
      <c r="AF137" s="19">
        <v>0.0</v>
      </c>
      <c r="AG137" s="19">
        <v>0.0</v>
      </c>
      <c r="AH137" s="19">
        <v>0.0</v>
      </c>
      <c r="AI137" s="19">
        <v>0.0</v>
      </c>
      <c r="AJ137" s="19">
        <v>0.0</v>
      </c>
      <c r="AK137" s="19">
        <v>0.0</v>
      </c>
      <c r="AL137" s="19">
        <v>0.0</v>
      </c>
      <c r="AM137" s="19">
        <v>0.0</v>
      </c>
      <c r="AN137" s="19">
        <v>0.0</v>
      </c>
      <c r="AO137" s="19">
        <v>0.0</v>
      </c>
      <c r="AP137" s="19">
        <v>0.0</v>
      </c>
      <c r="AQ137" s="19">
        <v>0.0</v>
      </c>
      <c r="AR137" s="19">
        <v>0.0</v>
      </c>
      <c r="AS137" s="13">
        <f t="shared" si="8"/>
        <v>1</v>
      </c>
      <c r="AT137" s="5"/>
      <c r="AU137" s="5"/>
    </row>
    <row r="138" ht="12.75" customHeight="1">
      <c r="A138" s="30" t="s">
        <v>39</v>
      </c>
      <c r="B138" s="49">
        <v>1.0</v>
      </c>
      <c r="C138" s="50" t="s">
        <v>117</v>
      </c>
      <c r="D138" s="51"/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0.0</v>
      </c>
      <c r="K138" s="19">
        <v>0.0</v>
      </c>
      <c r="L138" s="19">
        <v>0.0</v>
      </c>
      <c r="M138" s="19">
        <v>0.0</v>
      </c>
      <c r="N138" s="19">
        <v>0.0</v>
      </c>
      <c r="O138" s="19">
        <v>0.0</v>
      </c>
      <c r="P138" s="19">
        <v>0.0</v>
      </c>
      <c r="Q138" s="19">
        <v>0.0</v>
      </c>
      <c r="R138" s="19">
        <v>3.0</v>
      </c>
      <c r="S138" s="19">
        <v>1.0</v>
      </c>
      <c r="T138" s="19">
        <v>0.0</v>
      </c>
      <c r="U138" s="19">
        <v>0.0</v>
      </c>
      <c r="V138" s="19">
        <v>0.0</v>
      </c>
      <c r="W138" s="19">
        <v>0.0</v>
      </c>
      <c r="X138" s="19">
        <v>0.0</v>
      </c>
      <c r="Y138" s="19">
        <v>0.0</v>
      </c>
      <c r="Z138" s="19">
        <v>0.0</v>
      </c>
      <c r="AA138" s="19">
        <v>1.0</v>
      </c>
      <c r="AB138" s="19">
        <v>0.0</v>
      </c>
      <c r="AC138" s="19">
        <v>0.0</v>
      </c>
      <c r="AD138" s="19">
        <v>0.0</v>
      </c>
      <c r="AE138" s="19">
        <v>0.0</v>
      </c>
      <c r="AF138" s="19">
        <v>0.0</v>
      </c>
      <c r="AG138" s="19">
        <v>0.0</v>
      </c>
      <c r="AH138" s="19">
        <v>0.0</v>
      </c>
      <c r="AI138" s="19">
        <v>0.0</v>
      </c>
      <c r="AJ138" s="19">
        <v>0.0</v>
      </c>
      <c r="AK138" s="19">
        <v>0.0</v>
      </c>
      <c r="AL138" s="19">
        <v>0.0</v>
      </c>
      <c r="AM138" s="19">
        <v>0.0</v>
      </c>
      <c r="AN138" s="19">
        <v>0.0</v>
      </c>
      <c r="AO138" s="19">
        <v>0.0</v>
      </c>
      <c r="AP138" s="19">
        <v>0.0</v>
      </c>
      <c r="AQ138" s="19">
        <v>0.0</v>
      </c>
      <c r="AR138" s="19">
        <v>0.0</v>
      </c>
      <c r="AS138" s="13">
        <f t="shared" si="8"/>
        <v>5</v>
      </c>
      <c r="AT138" s="5"/>
      <c r="AU138" s="5"/>
    </row>
    <row r="139" ht="12.75" customHeight="1">
      <c r="A139" s="18"/>
      <c r="B139" s="49">
        <v>2.0</v>
      </c>
      <c r="C139" s="50" t="s">
        <v>118</v>
      </c>
      <c r="D139" s="51"/>
      <c r="E139" s="19">
        <v>0.0</v>
      </c>
      <c r="F139" s="19">
        <v>0.0</v>
      </c>
      <c r="G139" s="19">
        <v>0.0</v>
      </c>
      <c r="H139" s="19">
        <v>0.0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19">
        <v>0.0</v>
      </c>
      <c r="Q139" s="19">
        <v>0.0</v>
      </c>
      <c r="R139" s="19">
        <v>0.0</v>
      </c>
      <c r="S139" s="19">
        <v>0.0</v>
      </c>
      <c r="T139" s="19">
        <v>2.0</v>
      </c>
      <c r="U139" s="19">
        <v>1.0</v>
      </c>
      <c r="V139" s="19">
        <v>0.0</v>
      </c>
      <c r="W139" s="19">
        <v>0.0</v>
      </c>
      <c r="X139" s="19">
        <v>0.0</v>
      </c>
      <c r="Y139" s="19">
        <v>0.0</v>
      </c>
      <c r="Z139" s="19">
        <v>0.0</v>
      </c>
      <c r="AA139" s="19">
        <v>0.0</v>
      </c>
      <c r="AB139" s="19">
        <v>0.0</v>
      </c>
      <c r="AC139" s="19">
        <v>0.0</v>
      </c>
      <c r="AD139" s="19">
        <v>0.0</v>
      </c>
      <c r="AE139" s="19">
        <v>0.0</v>
      </c>
      <c r="AF139" s="19">
        <v>0.0</v>
      </c>
      <c r="AG139" s="19">
        <v>0.0</v>
      </c>
      <c r="AH139" s="19">
        <v>0.0</v>
      </c>
      <c r="AI139" s="19">
        <v>0.0</v>
      </c>
      <c r="AJ139" s="19">
        <v>0.0</v>
      </c>
      <c r="AK139" s="19">
        <v>0.0</v>
      </c>
      <c r="AL139" s="19">
        <v>0.0</v>
      </c>
      <c r="AM139" s="19">
        <v>0.0</v>
      </c>
      <c r="AN139" s="19">
        <v>0.0</v>
      </c>
      <c r="AO139" s="19">
        <v>0.0</v>
      </c>
      <c r="AP139" s="19">
        <v>1.0</v>
      </c>
      <c r="AQ139" s="19">
        <v>0.0</v>
      </c>
      <c r="AR139" s="19">
        <v>0.0</v>
      </c>
      <c r="AS139" s="13">
        <f t="shared" si="8"/>
        <v>4</v>
      </c>
      <c r="AT139" s="5"/>
      <c r="AU139" s="5"/>
    </row>
    <row r="140" ht="12.75" customHeight="1">
      <c r="A140" s="18"/>
      <c r="B140" s="49">
        <v>3.0</v>
      </c>
      <c r="C140" s="50" t="s">
        <v>119</v>
      </c>
      <c r="D140" s="51"/>
      <c r="E140" s="19">
        <v>0.0</v>
      </c>
      <c r="F140" s="19">
        <v>0.0</v>
      </c>
      <c r="G140" s="19">
        <v>0.0</v>
      </c>
      <c r="H140" s="19">
        <v>0.0</v>
      </c>
      <c r="I140" s="19">
        <v>0.0</v>
      </c>
      <c r="J140" s="19">
        <v>0.0</v>
      </c>
      <c r="K140" s="19">
        <v>0.0</v>
      </c>
      <c r="L140" s="19">
        <v>0.0</v>
      </c>
      <c r="M140" s="19">
        <v>0.0</v>
      </c>
      <c r="N140" s="19">
        <v>0.0</v>
      </c>
      <c r="O140" s="19">
        <v>0.0</v>
      </c>
      <c r="P140" s="19">
        <v>0.0</v>
      </c>
      <c r="Q140" s="19">
        <v>0.0</v>
      </c>
      <c r="R140" s="19">
        <v>0.0</v>
      </c>
      <c r="S140" s="19">
        <v>0.0</v>
      </c>
      <c r="T140" s="19">
        <v>0.0</v>
      </c>
      <c r="U140" s="19">
        <v>0.0</v>
      </c>
      <c r="V140" s="19">
        <v>0.0</v>
      </c>
      <c r="W140" s="19">
        <v>0.0</v>
      </c>
      <c r="X140" s="19">
        <v>0.0</v>
      </c>
      <c r="Y140" s="19">
        <v>0.0</v>
      </c>
      <c r="Z140" s="19">
        <v>0.0</v>
      </c>
      <c r="AA140" s="19">
        <v>0.0</v>
      </c>
      <c r="AB140" s="19">
        <v>0.0</v>
      </c>
      <c r="AC140" s="19">
        <v>0.0</v>
      </c>
      <c r="AD140" s="19">
        <v>0.0</v>
      </c>
      <c r="AE140" s="19">
        <v>0.0</v>
      </c>
      <c r="AF140" s="19">
        <v>0.0</v>
      </c>
      <c r="AG140" s="19">
        <v>0.0</v>
      </c>
      <c r="AH140" s="19">
        <v>0.0</v>
      </c>
      <c r="AI140" s="19">
        <v>0.0</v>
      </c>
      <c r="AJ140" s="19">
        <v>0.0</v>
      </c>
      <c r="AK140" s="19">
        <v>0.0</v>
      </c>
      <c r="AL140" s="19">
        <v>0.0</v>
      </c>
      <c r="AM140" s="19">
        <v>0.0</v>
      </c>
      <c r="AN140" s="19">
        <v>0.0</v>
      </c>
      <c r="AO140" s="19">
        <v>0.0</v>
      </c>
      <c r="AP140" s="19">
        <v>0.0</v>
      </c>
      <c r="AQ140" s="19">
        <v>0.0</v>
      </c>
      <c r="AR140" s="19">
        <v>0.0</v>
      </c>
      <c r="AS140" s="13">
        <f t="shared" si="8"/>
        <v>0</v>
      </c>
      <c r="AT140" s="5"/>
      <c r="AU140" s="5"/>
    </row>
    <row r="141" ht="12.75" customHeight="1">
      <c r="A141" s="18"/>
      <c r="B141" s="49">
        <v>4.0</v>
      </c>
      <c r="C141" s="50" t="s">
        <v>120</v>
      </c>
      <c r="D141" s="51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1.0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9">
        <v>0.0</v>
      </c>
      <c r="AL141" s="19">
        <v>0.0</v>
      </c>
      <c r="AM141" s="19">
        <v>0.0</v>
      </c>
      <c r="AN141" s="19">
        <v>0.0</v>
      </c>
      <c r="AO141" s="19">
        <v>0.0</v>
      </c>
      <c r="AP141" s="19">
        <v>0.0</v>
      </c>
      <c r="AQ141" s="19">
        <v>0.0</v>
      </c>
      <c r="AR141" s="19">
        <v>0.0</v>
      </c>
      <c r="AS141" s="13">
        <f t="shared" si="8"/>
        <v>1</v>
      </c>
      <c r="AT141" s="1"/>
      <c r="AU141" s="1"/>
    </row>
    <row r="142" ht="12.75" customHeight="1">
      <c r="A142" s="18"/>
      <c r="B142" s="49">
        <v>5.0</v>
      </c>
      <c r="C142" s="50" t="s">
        <v>121</v>
      </c>
      <c r="D142" s="5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1.0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9">
        <v>0.0</v>
      </c>
      <c r="AL142" s="19">
        <v>0.0</v>
      </c>
      <c r="AM142" s="19">
        <v>0.0</v>
      </c>
      <c r="AN142" s="19">
        <v>0.0</v>
      </c>
      <c r="AO142" s="19">
        <v>0.0</v>
      </c>
      <c r="AP142" s="19">
        <v>0.0</v>
      </c>
      <c r="AQ142" s="19">
        <v>0.0</v>
      </c>
      <c r="AR142" s="19">
        <v>0.0</v>
      </c>
      <c r="AS142" s="13">
        <f t="shared" si="8"/>
        <v>1</v>
      </c>
      <c r="AT142" s="53"/>
      <c r="AU142" s="53"/>
    </row>
    <row r="143" ht="12.75" customHeight="1">
      <c r="A143" s="18"/>
      <c r="B143" s="49">
        <v>6.0</v>
      </c>
      <c r="C143" s="50" t="s">
        <v>122</v>
      </c>
      <c r="D143" s="5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1.0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9">
        <v>0.0</v>
      </c>
      <c r="AM143" s="19">
        <v>0.0</v>
      </c>
      <c r="AN143" s="19">
        <v>0.0</v>
      </c>
      <c r="AO143" s="19">
        <v>0.0</v>
      </c>
      <c r="AP143" s="19">
        <v>0.0</v>
      </c>
      <c r="AQ143" s="19">
        <v>0.0</v>
      </c>
      <c r="AR143" s="19">
        <v>0.0</v>
      </c>
      <c r="AS143" s="13">
        <f t="shared" si="8"/>
        <v>1</v>
      </c>
      <c r="AT143" s="5"/>
      <c r="AU143" s="5"/>
    </row>
    <row r="144" ht="12.75" customHeight="1">
      <c r="A144" s="19" t="s">
        <v>15</v>
      </c>
      <c r="B144" s="47" t="s">
        <v>46</v>
      </c>
      <c r="C144" s="15"/>
      <c r="D144" s="16"/>
      <c r="E144" s="56">
        <f t="shared" ref="E144:AR144" si="21">SUM(E137:E143)</f>
        <v>0</v>
      </c>
      <c r="F144" s="56">
        <f t="shared" si="21"/>
        <v>0</v>
      </c>
      <c r="G144" s="56">
        <f t="shared" si="21"/>
        <v>0</v>
      </c>
      <c r="H144" s="56">
        <f t="shared" si="21"/>
        <v>0</v>
      </c>
      <c r="I144" s="56">
        <f t="shared" si="21"/>
        <v>0</v>
      </c>
      <c r="J144" s="56">
        <f t="shared" si="21"/>
        <v>0</v>
      </c>
      <c r="K144" s="56">
        <f t="shared" si="21"/>
        <v>1</v>
      </c>
      <c r="L144" s="56">
        <f t="shared" si="21"/>
        <v>0</v>
      </c>
      <c r="M144" s="56">
        <f t="shared" si="21"/>
        <v>1</v>
      </c>
      <c r="N144" s="56">
        <f t="shared" si="21"/>
        <v>1</v>
      </c>
      <c r="O144" s="56">
        <f t="shared" si="21"/>
        <v>0</v>
      </c>
      <c r="P144" s="56">
        <f t="shared" si="21"/>
        <v>0</v>
      </c>
      <c r="Q144" s="56">
        <f t="shared" si="21"/>
        <v>0</v>
      </c>
      <c r="R144" s="56">
        <f t="shared" si="21"/>
        <v>3</v>
      </c>
      <c r="S144" s="56">
        <f t="shared" si="21"/>
        <v>1</v>
      </c>
      <c r="T144" s="56">
        <f t="shared" si="21"/>
        <v>2</v>
      </c>
      <c r="U144" s="56">
        <f t="shared" si="21"/>
        <v>1</v>
      </c>
      <c r="V144" s="56">
        <f t="shared" si="21"/>
        <v>0</v>
      </c>
      <c r="W144" s="56">
        <f t="shared" si="21"/>
        <v>0</v>
      </c>
      <c r="X144" s="56">
        <f t="shared" si="21"/>
        <v>0</v>
      </c>
      <c r="Y144" s="56">
        <f t="shared" si="21"/>
        <v>0</v>
      </c>
      <c r="Z144" s="56">
        <f t="shared" si="21"/>
        <v>0</v>
      </c>
      <c r="AA144" s="56">
        <f t="shared" si="21"/>
        <v>1</v>
      </c>
      <c r="AB144" s="56">
        <f t="shared" si="21"/>
        <v>1</v>
      </c>
      <c r="AC144" s="56">
        <f t="shared" si="21"/>
        <v>0</v>
      </c>
      <c r="AD144" s="56">
        <f t="shared" si="21"/>
        <v>0</v>
      </c>
      <c r="AE144" s="56">
        <f t="shared" si="21"/>
        <v>0</v>
      </c>
      <c r="AF144" s="56">
        <f t="shared" si="21"/>
        <v>0</v>
      </c>
      <c r="AG144" s="56">
        <f t="shared" si="21"/>
        <v>0</v>
      </c>
      <c r="AH144" s="56">
        <f t="shared" si="21"/>
        <v>0</v>
      </c>
      <c r="AI144" s="56">
        <f t="shared" si="21"/>
        <v>0</v>
      </c>
      <c r="AJ144" s="56">
        <f t="shared" si="21"/>
        <v>0</v>
      </c>
      <c r="AK144" s="56">
        <f t="shared" si="21"/>
        <v>0</v>
      </c>
      <c r="AL144" s="56">
        <f t="shared" si="21"/>
        <v>0</v>
      </c>
      <c r="AM144" s="56">
        <f t="shared" si="21"/>
        <v>0</v>
      </c>
      <c r="AN144" s="56">
        <f t="shared" si="21"/>
        <v>0</v>
      </c>
      <c r="AO144" s="56">
        <f t="shared" si="21"/>
        <v>0</v>
      </c>
      <c r="AP144" s="56">
        <f t="shared" si="21"/>
        <v>1</v>
      </c>
      <c r="AQ144" s="56">
        <f t="shared" si="21"/>
        <v>0</v>
      </c>
      <c r="AR144" s="56">
        <f t="shared" si="21"/>
        <v>0</v>
      </c>
      <c r="AS144" s="13">
        <f t="shared" si="8"/>
        <v>13</v>
      </c>
      <c r="AT144" s="5"/>
      <c r="AU144" s="5"/>
    </row>
    <row r="145" ht="12.75" customHeight="1">
      <c r="A145" s="57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13">
        <f t="shared" si="8"/>
        <v>0</v>
      </c>
      <c r="AT145" s="5"/>
      <c r="AU145" s="5"/>
    </row>
    <row r="146" ht="12.75" customHeight="1">
      <c r="A146" s="30" t="s">
        <v>37</v>
      </c>
      <c r="B146" s="47" t="s">
        <v>123</v>
      </c>
      <c r="C146" s="48" t="s">
        <v>124</v>
      </c>
      <c r="D146" s="16"/>
      <c r="E146" s="19">
        <v>3.0</v>
      </c>
      <c r="F146" s="19">
        <v>1.0</v>
      </c>
      <c r="G146" s="19">
        <v>1.0</v>
      </c>
      <c r="H146" s="19">
        <v>0.0</v>
      </c>
      <c r="I146" s="19">
        <v>0.0</v>
      </c>
      <c r="J146" s="19">
        <v>1.0</v>
      </c>
      <c r="K146" s="19">
        <v>2.0</v>
      </c>
      <c r="L146" s="19">
        <v>0.0</v>
      </c>
      <c r="M146" s="19">
        <v>0.0</v>
      </c>
      <c r="N146" s="19">
        <v>2.0</v>
      </c>
      <c r="O146" s="19">
        <v>4.0</v>
      </c>
      <c r="P146" s="19">
        <v>2.0</v>
      </c>
      <c r="Q146" s="19">
        <v>0.0</v>
      </c>
      <c r="R146" s="19">
        <v>2.0</v>
      </c>
      <c r="S146" s="19">
        <v>2.0</v>
      </c>
      <c r="T146" s="19">
        <v>1.0</v>
      </c>
      <c r="U146" s="19">
        <v>4.0</v>
      </c>
      <c r="V146" s="19">
        <v>2.0</v>
      </c>
      <c r="W146" s="19">
        <v>5.0</v>
      </c>
      <c r="X146" s="19">
        <v>1.0</v>
      </c>
      <c r="Y146" s="19">
        <v>1.0</v>
      </c>
      <c r="Z146" s="19">
        <v>4.0</v>
      </c>
      <c r="AA146" s="19">
        <v>1.0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5.0</v>
      </c>
      <c r="AG146" s="19">
        <v>3.0</v>
      </c>
      <c r="AH146" s="19">
        <v>2.0</v>
      </c>
      <c r="AI146" s="19">
        <v>2.0</v>
      </c>
      <c r="AJ146" s="19">
        <v>3.0</v>
      </c>
      <c r="AK146" s="19">
        <v>2.0</v>
      </c>
      <c r="AL146" s="19">
        <v>6.0</v>
      </c>
      <c r="AM146" s="19">
        <v>3.0</v>
      </c>
      <c r="AN146" s="19">
        <v>4.0</v>
      </c>
      <c r="AO146" s="19">
        <v>3.0</v>
      </c>
      <c r="AP146" s="19">
        <v>6.0</v>
      </c>
      <c r="AQ146" s="19">
        <v>5.0</v>
      </c>
      <c r="AR146" s="19">
        <v>0.0</v>
      </c>
      <c r="AS146" s="13">
        <f t="shared" si="8"/>
        <v>83</v>
      </c>
      <c r="AT146" s="5"/>
      <c r="AU146" s="5"/>
    </row>
    <row r="147" ht="12.75" customHeight="1">
      <c r="A147" s="30" t="s">
        <v>39</v>
      </c>
      <c r="B147" s="49">
        <v>1.0</v>
      </c>
      <c r="C147" s="50" t="s">
        <v>125</v>
      </c>
      <c r="D147" s="51"/>
      <c r="E147" s="19">
        <v>0.0</v>
      </c>
      <c r="F147" s="19">
        <v>1.0</v>
      </c>
      <c r="G147" s="19">
        <v>2.0</v>
      </c>
      <c r="H147" s="19">
        <v>2.0</v>
      </c>
      <c r="I147" s="19">
        <v>2.0</v>
      </c>
      <c r="J147" s="19">
        <v>2.0</v>
      </c>
      <c r="K147" s="19">
        <v>1.0</v>
      </c>
      <c r="L147" s="19">
        <v>1.0</v>
      </c>
      <c r="M147" s="19">
        <v>2.0</v>
      </c>
      <c r="N147" s="19">
        <v>2.0</v>
      </c>
      <c r="O147" s="19">
        <v>0.0</v>
      </c>
      <c r="P147" s="19">
        <v>1.0</v>
      </c>
      <c r="Q147" s="19">
        <v>2.0</v>
      </c>
      <c r="R147" s="19">
        <v>0.0</v>
      </c>
      <c r="S147" s="19">
        <v>7.0</v>
      </c>
      <c r="T147" s="19">
        <v>2.0</v>
      </c>
      <c r="U147" s="19">
        <v>4.0</v>
      </c>
      <c r="V147" s="19">
        <v>1.0</v>
      </c>
      <c r="W147" s="19">
        <v>1.0</v>
      </c>
      <c r="X147" s="19">
        <v>1.0</v>
      </c>
      <c r="Y147" s="19">
        <v>4.0</v>
      </c>
      <c r="Z147" s="19">
        <v>3.0</v>
      </c>
      <c r="AA147" s="19">
        <v>6.0</v>
      </c>
      <c r="AB147" s="19">
        <v>2.0</v>
      </c>
      <c r="AC147" s="19">
        <v>0.0</v>
      </c>
      <c r="AD147" s="19">
        <v>0.0</v>
      </c>
      <c r="AE147" s="19">
        <v>0.0</v>
      </c>
      <c r="AF147" s="19">
        <v>33.0</v>
      </c>
      <c r="AG147" s="19">
        <v>32.0</v>
      </c>
      <c r="AH147" s="19">
        <v>21.0</v>
      </c>
      <c r="AI147" s="19">
        <v>32.0</v>
      </c>
      <c r="AJ147" s="19">
        <v>60.0</v>
      </c>
      <c r="AK147" s="19">
        <v>2.0</v>
      </c>
      <c r="AL147" s="19">
        <v>26.0</v>
      </c>
      <c r="AM147" s="19">
        <v>18.0</v>
      </c>
      <c r="AN147" s="19">
        <v>32.0</v>
      </c>
      <c r="AO147" s="19">
        <v>39.0</v>
      </c>
      <c r="AP147" s="19">
        <v>81.0</v>
      </c>
      <c r="AQ147" s="19">
        <v>40.0</v>
      </c>
      <c r="AR147" s="19">
        <v>18.0</v>
      </c>
      <c r="AS147" s="13">
        <f t="shared" si="8"/>
        <v>483</v>
      </c>
      <c r="AT147" s="5"/>
      <c r="AU147" s="5"/>
    </row>
    <row r="148" ht="12.75" customHeight="1">
      <c r="A148" s="18"/>
      <c r="B148" s="49">
        <v>2.0</v>
      </c>
      <c r="C148" s="50" t="s">
        <v>126</v>
      </c>
      <c r="D148" s="51"/>
      <c r="E148" s="19">
        <v>1.0</v>
      </c>
      <c r="F148" s="19">
        <v>0.0</v>
      </c>
      <c r="G148" s="19">
        <v>1.0</v>
      </c>
      <c r="H148" s="19">
        <v>1.0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1.0</v>
      </c>
      <c r="P148" s="19">
        <v>3.0</v>
      </c>
      <c r="Q148" s="19">
        <v>0.0</v>
      </c>
      <c r="R148" s="19">
        <v>0.0</v>
      </c>
      <c r="S148" s="19">
        <v>3.0</v>
      </c>
      <c r="T148" s="19">
        <v>0.0</v>
      </c>
      <c r="U148" s="19">
        <v>1.0</v>
      </c>
      <c r="V148" s="19">
        <v>0.0</v>
      </c>
      <c r="W148" s="19">
        <v>0.0</v>
      </c>
      <c r="X148" s="19">
        <v>0.0</v>
      </c>
      <c r="Y148" s="19">
        <v>3.0</v>
      </c>
      <c r="Z148" s="19">
        <v>0.0</v>
      </c>
      <c r="AA148" s="19">
        <v>2.0</v>
      </c>
      <c r="AB148" s="19">
        <v>0.0</v>
      </c>
      <c r="AC148" s="19">
        <v>1.0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4.0</v>
      </c>
      <c r="AM148" s="19">
        <v>68.0</v>
      </c>
      <c r="AN148" s="19">
        <v>2.0</v>
      </c>
      <c r="AO148" s="19">
        <v>1.0</v>
      </c>
      <c r="AP148" s="19">
        <v>0.0</v>
      </c>
      <c r="AQ148" s="19">
        <v>0.0</v>
      </c>
      <c r="AR148" s="19">
        <v>0.0</v>
      </c>
      <c r="AS148" s="13">
        <f t="shared" si="8"/>
        <v>92</v>
      </c>
      <c r="AT148" s="5"/>
      <c r="AU148" s="5"/>
    </row>
    <row r="149" ht="12.75" customHeight="1">
      <c r="A149" s="18"/>
      <c r="B149" s="49">
        <v>3.0</v>
      </c>
      <c r="C149" s="50" t="s">
        <v>127</v>
      </c>
      <c r="D149" s="51"/>
      <c r="E149" s="19">
        <v>0.0</v>
      </c>
      <c r="F149" s="19">
        <v>1.0</v>
      </c>
      <c r="G149" s="19">
        <v>1.0</v>
      </c>
      <c r="H149" s="19">
        <v>2.0</v>
      </c>
      <c r="I149" s="19">
        <v>1.0</v>
      </c>
      <c r="J149" s="19">
        <v>1.0</v>
      </c>
      <c r="K149" s="19">
        <v>2.0</v>
      </c>
      <c r="L149" s="19">
        <v>0.0</v>
      </c>
      <c r="M149" s="19">
        <v>0.0</v>
      </c>
      <c r="N149" s="19">
        <v>1.0</v>
      </c>
      <c r="O149" s="19">
        <v>3.0</v>
      </c>
      <c r="P149" s="19">
        <v>6.0</v>
      </c>
      <c r="Q149" s="19">
        <v>1.0</v>
      </c>
      <c r="R149" s="19">
        <v>1.0</v>
      </c>
      <c r="S149" s="19">
        <v>29.0</v>
      </c>
      <c r="T149" s="19">
        <v>16.0</v>
      </c>
      <c r="U149" s="19">
        <v>6.0</v>
      </c>
      <c r="V149" s="19">
        <v>8.0</v>
      </c>
      <c r="W149" s="19">
        <v>17.0</v>
      </c>
      <c r="X149" s="19">
        <v>13.0</v>
      </c>
      <c r="Y149" s="19">
        <v>0.0</v>
      </c>
      <c r="Z149" s="19">
        <v>5.0</v>
      </c>
      <c r="AA149" s="19">
        <v>2.0</v>
      </c>
      <c r="AB149" s="19">
        <v>1.0</v>
      </c>
      <c r="AC149" s="19">
        <v>0.0</v>
      </c>
      <c r="AD149" s="19">
        <v>0.0</v>
      </c>
      <c r="AE149" s="19">
        <v>0.0</v>
      </c>
      <c r="AF149" s="19">
        <v>10.0</v>
      </c>
      <c r="AG149" s="19">
        <v>5.0</v>
      </c>
      <c r="AH149" s="19">
        <v>2.0</v>
      </c>
      <c r="AI149" s="19">
        <v>2.0</v>
      </c>
      <c r="AJ149" s="19">
        <v>3.0</v>
      </c>
      <c r="AK149" s="19">
        <v>13.0</v>
      </c>
      <c r="AL149" s="19">
        <v>58.0</v>
      </c>
      <c r="AM149" s="19">
        <v>0.0</v>
      </c>
      <c r="AN149" s="19">
        <v>52.0</v>
      </c>
      <c r="AO149" s="19">
        <v>8.0</v>
      </c>
      <c r="AP149" s="19">
        <v>10.0</v>
      </c>
      <c r="AQ149" s="19">
        <v>4.0</v>
      </c>
      <c r="AR149" s="19">
        <v>30.0</v>
      </c>
      <c r="AS149" s="13">
        <f t="shared" si="8"/>
        <v>314</v>
      </c>
      <c r="AT149" s="5"/>
      <c r="AU149" s="5"/>
    </row>
    <row r="150" ht="12.75" customHeight="1">
      <c r="A150" s="18"/>
      <c r="B150" s="49">
        <v>4.0</v>
      </c>
      <c r="C150" s="50" t="s">
        <v>128</v>
      </c>
      <c r="D150" s="51"/>
      <c r="E150" s="19">
        <v>0.0</v>
      </c>
      <c r="F150" s="19">
        <v>0.0</v>
      </c>
      <c r="G150" s="19">
        <v>1.0</v>
      </c>
      <c r="H150" s="19">
        <v>0.0</v>
      </c>
      <c r="I150" s="19">
        <v>0.0</v>
      </c>
      <c r="J150" s="19">
        <v>0.0</v>
      </c>
      <c r="K150" s="19">
        <v>0.0</v>
      </c>
      <c r="L150" s="19">
        <v>0.0</v>
      </c>
      <c r="M150" s="19">
        <v>0.0</v>
      </c>
      <c r="N150" s="19">
        <v>0.0</v>
      </c>
      <c r="O150" s="19">
        <v>0.0</v>
      </c>
      <c r="P150" s="19">
        <v>0.0</v>
      </c>
      <c r="Q150" s="19">
        <v>0.0</v>
      </c>
      <c r="R150" s="19">
        <v>1.0</v>
      </c>
      <c r="S150" s="19">
        <v>0.0</v>
      </c>
      <c r="T150" s="19">
        <v>0.0</v>
      </c>
      <c r="U150" s="19">
        <v>1.0</v>
      </c>
      <c r="V150" s="19">
        <v>0.0</v>
      </c>
      <c r="W150" s="19">
        <v>0.0</v>
      </c>
      <c r="X150" s="19">
        <v>1.0</v>
      </c>
      <c r="Y150" s="19">
        <v>0.0</v>
      </c>
      <c r="Z150" s="19">
        <v>0.0</v>
      </c>
      <c r="AA150" s="19">
        <v>0.0</v>
      </c>
      <c r="AB150" s="19">
        <v>0.0</v>
      </c>
      <c r="AC150" s="19">
        <v>0.0</v>
      </c>
      <c r="AD150" s="19">
        <v>0.0</v>
      </c>
      <c r="AE150" s="19">
        <v>1.0</v>
      </c>
      <c r="AF150" s="19">
        <v>0.0</v>
      </c>
      <c r="AG150" s="19">
        <v>0.0</v>
      </c>
      <c r="AH150" s="19">
        <v>0.0</v>
      </c>
      <c r="AI150" s="19">
        <v>0.0</v>
      </c>
      <c r="AJ150" s="19">
        <v>0.0</v>
      </c>
      <c r="AK150" s="19">
        <v>0.0</v>
      </c>
      <c r="AL150" s="19">
        <v>0.0</v>
      </c>
      <c r="AM150" s="19">
        <v>0.0</v>
      </c>
      <c r="AN150" s="19">
        <v>0.0</v>
      </c>
      <c r="AO150" s="19">
        <v>0.0</v>
      </c>
      <c r="AP150" s="19">
        <v>0.0</v>
      </c>
      <c r="AQ150" s="19">
        <v>1.0</v>
      </c>
      <c r="AR150" s="19">
        <v>0.0</v>
      </c>
      <c r="AS150" s="13">
        <f t="shared" si="8"/>
        <v>6</v>
      </c>
      <c r="AT150" s="5"/>
      <c r="AU150" s="5"/>
    </row>
    <row r="151" ht="12.75" customHeight="1">
      <c r="A151" s="18"/>
      <c r="B151" s="49">
        <v>5.0</v>
      </c>
      <c r="C151" s="50" t="s">
        <v>129</v>
      </c>
      <c r="D151" s="51"/>
      <c r="E151" s="19">
        <v>0.0</v>
      </c>
      <c r="F151" s="19">
        <v>1.0</v>
      </c>
      <c r="G151" s="19">
        <v>0.0</v>
      </c>
      <c r="H151" s="19">
        <v>0.0</v>
      </c>
      <c r="I151" s="19">
        <v>0.0</v>
      </c>
      <c r="J151" s="19">
        <v>0.0</v>
      </c>
      <c r="K151" s="19">
        <v>0.0</v>
      </c>
      <c r="L151" s="19">
        <v>0.0</v>
      </c>
      <c r="M151" s="19">
        <v>0.0</v>
      </c>
      <c r="N151" s="19">
        <v>0.0</v>
      </c>
      <c r="O151" s="19">
        <v>0.0</v>
      </c>
      <c r="P151" s="19">
        <v>0.0</v>
      </c>
      <c r="Q151" s="19">
        <v>0.0</v>
      </c>
      <c r="R151" s="19">
        <v>0.0</v>
      </c>
      <c r="S151" s="19">
        <v>0.0</v>
      </c>
      <c r="T151" s="19">
        <v>0.0</v>
      </c>
      <c r="U151" s="19">
        <v>0.0</v>
      </c>
      <c r="V151" s="19">
        <v>0.0</v>
      </c>
      <c r="W151" s="19">
        <v>0.0</v>
      </c>
      <c r="X151" s="19">
        <v>0.0</v>
      </c>
      <c r="Y151" s="19">
        <v>0.0</v>
      </c>
      <c r="Z151" s="19">
        <v>0.0</v>
      </c>
      <c r="AA151" s="19">
        <v>0.0</v>
      </c>
      <c r="AB151" s="19">
        <v>0.0</v>
      </c>
      <c r="AC151" s="19">
        <v>0.0</v>
      </c>
      <c r="AD151" s="19">
        <v>0.0</v>
      </c>
      <c r="AE151" s="19">
        <v>0.0</v>
      </c>
      <c r="AF151" s="19">
        <v>0.0</v>
      </c>
      <c r="AG151" s="19">
        <v>0.0</v>
      </c>
      <c r="AH151" s="19">
        <v>0.0</v>
      </c>
      <c r="AI151" s="19">
        <v>0.0</v>
      </c>
      <c r="AJ151" s="19">
        <v>0.0</v>
      </c>
      <c r="AK151" s="19">
        <v>0.0</v>
      </c>
      <c r="AL151" s="19">
        <v>0.0</v>
      </c>
      <c r="AM151" s="19">
        <v>0.0</v>
      </c>
      <c r="AN151" s="19">
        <v>0.0</v>
      </c>
      <c r="AO151" s="19">
        <v>0.0</v>
      </c>
      <c r="AP151" s="19">
        <v>0.0</v>
      </c>
      <c r="AQ151" s="19">
        <v>0.0</v>
      </c>
      <c r="AR151" s="19">
        <v>0.0</v>
      </c>
      <c r="AS151" s="13">
        <f t="shared" si="8"/>
        <v>1</v>
      </c>
      <c r="AT151" s="1"/>
      <c r="AU151" s="1"/>
    </row>
    <row r="152" ht="12.75" customHeight="1">
      <c r="A152" s="18"/>
      <c r="B152" s="49">
        <v>6.0</v>
      </c>
      <c r="C152" s="50" t="s">
        <v>130</v>
      </c>
      <c r="D152" s="51"/>
      <c r="E152" s="19">
        <v>4.0</v>
      </c>
      <c r="F152" s="19">
        <v>1.0</v>
      </c>
      <c r="G152" s="19">
        <v>0.0</v>
      </c>
      <c r="H152" s="19">
        <v>1.0</v>
      </c>
      <c r="I152" s="19">
        <v>0.0</v>
      </c>
      <c r="J152" s="19">
        <v>1.0</v>
      </c>
      <c r="K152" s="19">
        <v>1.0</v>
      </c>
      <c r="L152" s="19">
        <v>0.0</v>
      </c>
      <c r="M152" s="19">
        <v>0.0</v>
      </c>
      <c r="N152" s="19">
        <v>0.0</v>
      </c>
      <c r="O152" s="19">
        <v>2.0</v>
      </c>
      <c r="P152" s="19">
        <v>1.0</v>
      </c>
      <c r="Q152" s="19">
        <v>0.0</v>
      </c>
      <c r="R152" s="19">
        <v>0.0</v>
      </c>
      <c r="S152" s="19">
        <v>0.0</v>
      </c>
      <c r="T152" s="19">
        <v>1.0</v>
      </c>
      <c r="U152" s="19">
        <v>0.0</v>
      </c>
      <c r="V152" s="19">
        <v>0.0</v>
      </c>
      <c r="W152" s="19">
        <v>0.0</v>
      </c>
      <c r="X152" s="19">
        <v>1.0</v>
      </c>
      <c r="Y152" s="19">
        <v>2.0</v>
      </c>
      <c r="Z152" s="19">
        <v>0.0</v>
      </c>
      <c r="AA152" s="19">
        <v>0.0</v>
      </c>
      <c r="AB152" s="19">
        <v>0.0</v>
      </c>
      <c r="AC152" s="19">
        <v>0.0</v>
      </c>
      <c r="AD152" s="19">
        <v>0.0</v>
      </c>
      <c r="AE152" s="19">
        <v>0.0</v>
      </c>
      <c r="AF152" s="19">
        <v>0.0</v>
      </c>
      <c r="AG152" s="19">
        <v>0.0</v>
      </c>
      <c r="AH152" s="19">
        <v>1.0</v>
      </c>
      <c r="AI152" s="19">
        <v>0.0</v>
      </c>
      <c r="AJ152" s="19">
        <v>0.0</v>
      </c>
      <c r="AK152" s="19">
        <v>0.0</v>
      </c>
      <c r="AL152" s="19">
        <v>0.0</v>
      </c>
      <c r="AM152" s="19">
        <v>0.0</v>
      </c>
      <c r="AN152" s="19">
        <v>0.0</v>
      </c>
      <c r="AO152" s="19">
        <v>0.0</v>
      </c>
      <c r="AP152" s="19">
        <v>0.0</v>
      </c>
      <c r="AQ152" s="19">
        <v>0.0</v>
      </c>
      <c r="AR152" s="19">
        <v>0.0</v>
      </c>
      <c r="AS152" s="13">
        <f t="shared" si="8"/>
        <v>16</v>
      </c>
      <c r="AT152" s="53"/>
      <c r="AU152" s="53"/>
    </row>
    <row r="153" ht="12.75" customHeight="1">
      <c r="A153" s="19" t="s">
        <v>15</v>
      </c>
      <c r="B153" s="47" t="s">
        <v>46</v>
      </c>
      <c r="C153" s="15"/>
      <c r="D153" s="16"/>
      <c r="E153" s="56">
        <f t="shared" ref="E153:AR153" si="22">SUM(E146:E152)</f>
        <v>8</v>
      </c>
      <c r="F153" s="56">
        <f t="shared" si="22"/>
        <v>5</v>
      </c>
      <c r="G153" s="56">
        <f t="shared" si="22"/>
        <v>6</v>
      </c>
      <c r="H153" s="56">
        <f t="shared" si="22"/>
        <v>6</v>
      </c>
      <c r="I153" s="56">
        <f t="shared" si="22"/>
        <v>3</v>
      </c>
      <c r="J153" s="56">
        <f t="shared" si="22"/>
        <v>5</v>
      </c>
      <c r="K153" s="56">
        <f t="shared" si="22"/>
        <v>6</v>
      </c>
      <c r="L153" s="56">
        <f t="shared" si="22"/>
        <v>1</v>
      </c>
      <c r="M153" s="56">
        <f t="shared" si="22"/>
        <v>2</v>
      </c>
      <c r="N153" s="56">
        <f t="shared" si="22"/>
        <v>5</v>
      </c>
      <c r="O153" s="56">
        <f t="shared" si="22"/>
        <v>10</v>
      </c>
      <c r="P153" s="56">
        <f t="shared" si="22"/>
        <v>13</v>
      </c>
      <c r="Q153" s="56">
        <f t="shared" si="22"/>
        <v>3</v>
      </c>
      <c r="R153" s="56">
        <f t="shared" si="22"/>
        <v>4</v>
      </c>
      <c r="S153" s="56">
        <f t="shared" si="22"/>
        <v>41</v>
      </c>
      <c r="T153" s="56">
        <f t="shared" si="22"/>
        <v>20</v>
      </c>
      <c r="U153" s="56">
        <f t="shared" si="22"/>
        <v>16</v>
      </c>
      <c r="V153" s="56">
        <f t="shared" si="22"/>
        <v>11</v>
      </c>
      <c r="W153" s="56">
        <f t="shared" si="22"/>
        <v>23</v>
      </c>
      <c r="X153" s="56">
        <f t="shared" si="22"/>
        <v>17</v>
      </c>
      <c r="Y153" s="56">
        <f t="shared" si="22"/>
        <v>10</v>
      </c>
      <c r="Z153" s="56">
        <f t="shared" si="22"/>
        <v>12</v>
      </c>
      <c r="AA153" s="56">
        <f t="shared" si="22"/>
        <v>11</v>
      </c>
      <c r="AB153" s="56">
        <f t="shared" si="22"/>
        <v>3</v>
      </c>
      <c r="AC153" s="56">
        <f t="shared" si="22"/>
        <v>1</v>
      </c>
      <c r="AD153" s="56">
        <f t="shared" si="22"/>
        <v>0</v>
      </c>
      <c r="AE153" s="56">
        <f t="shared" si="22"/>
        <v>1</v>
      </c>
      <c r="AF153" s="56">
        <f t="shared" si="22"/>
        <v>48</v>
      </c>
      <c r="AG153" s="56">
        <f t="shared" si="22"/>
        <v>40</v>
      </c>
      <c r="AH153" s="56">
        <f t="shared" si="22"/>
        <v>26</v>
      </c>
      <c r="AI153" s="56">
        <f t="shared" si="22"/>
        <v>36</v>
      </c>
      <c r="AJ153" s="56">
        <f t="shared" si="22"/>
        <v>66</v>
      </c>
      <c r="AK153" s="56">
        <f t="shared" si="22"/>
        <v>17</v>
      </c>
      <c r="AL153" s="56">
        <f t="shared" si="22"/>
        <v>94</v>
      </c>
      <c r="AM153" s="56">
        <f t="shared" si="22"/>
        <v>89</v>
      </c>
      <c r="AN153" s="56">
        <f t="shared" si="22"/>
        <v>90</v>
      </c>
      <c r="AO153" s="56">
        <f t="shared" si="22"/>
        <v>51</v>
      </c>
      <c r="AP153" s="56">
        <f t="shared" si="22"/>
        <v>97</v>
      </c>
      <c r="AQ153" s="56">
        <f t="shared" si="22"/>
        <v>50</v>
      </c>
      <c r="AR153" s="56">
        <f t="shared" si="22"/>
        <v>48</v>
      </c>
      <c r="AS153" s="13">
        <f t="shared" si="8"/>
        <v>995</v>
      </c>
      <c r="AT153" s="5"/>
      <c r="AU153" s="5"/>
    </row>
    <row r="154" ht="12.75" customHeight="1">
      <c r="A154" s="57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  <c r="AS154" s="13">
        <f t="shared" si="8"/>
        <v>0</v>
      </c>
      <c r="AT154" s="5"/>
      <c r="AU154" s="5"/>
    </row>
    <row r="155" ht="12.75" customHeight="1">
      <c r="A155" s="30" t="s">
        <v>37</v>
      </c>
      <c r="B155" s="47" t="s">
        <v>131</v>
      </c>
      <c r="C155" s="48" t="s">
        <v>132</v>
      </c>
      <c r="D155" s="16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2.0</v>
      </c>
      <c r="K155" s="19">
        <v>1.0</v>
      </c>
      <c r="L155" s="19">
        <v>0.0</v>
      </c>
      <c r="M155" s="19">
        <v>1.0</v>
      </c>
      <c r="N155" s="19">
        <v>1.0</v>
      </c>
      <c r="O155" s="19">
        <v>1.0</v>
      </c>
      <c r="P155" s="19">
        <v>0.0</v>
      </c>
      <c r="Q155" s="19">
        <v>1.0</v>
      </c>
      <c r="R155" s="19">
        <v>0.0</v>
      </c>
      <c r="S155" s="19">
        <v>2.0</v>
      </c>
      <c r="T155" s="19">
        <v>0.0</v>
      </c>
      <c r="U155" s="19">
        <v>0.0</v>
      </c>
      <c r="V155" s="19">
        <v>4.0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1.0</v>
      </c>
      <c r="AD155" s="19">
        <v>1.0</v>
      </c>
      <c r="AE155" s="19">
        <v>0.0</v>
      </c>
      <c r="AF155" s="19">
        <v>1.0</v>
      </c>
      <c r="AG155" s="19">
        <v>0.0</v>
      </c>
      <c r="AH155" s="19">
        <v>0.0</v>
      </c>
      <c r="AI155" s="19">
        <v>0.0</v>
      </c>
      <c r="AJ155" s="19">
        <v>0.0</v>
      </c>
      <c r="AK155" s="19">
        <v>0.0</v>
      </c>
      <c r="AL155" s="19">
        <v>1.0</v>
      </c>
      <c r="AM155" s="19">
        <v>1.0</v>
      </c>
      <c r="AN155" s="19">
        <v>1.0</v>
      </c>
      <c r="AO155" s="19">
        <v>2.0</v>
      </c>
      <c r="AP155" s="19">
        <v>1.0</v>
      </c>
      <c r="AQ155" s="19">
        <v>0.0</v>
      </c>
      <c r="AR155" s="19">
        <v>1.0</v>
      </c>
      <c r="AS155" s="13">
        <f t="shared" si="8"/>
        <v>23</v>
      </c>
      <c r="AT155" s="5"/>
      <c r="AU155" s="5"/>
    </row>
    <row r="156" ht="12.75" customHeight="1">
      <c r="A156" s="30" t="s">
        <v>39</v>
      </c>
      <c r="B156" s="49"/>
      <c r="C156" s="50" t="s">
        <v>133</v>
      </c>
      <c r="D156" s="51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0.0</v>
      </c>
      <c r="AM156" s="19">
        <v>0.0</v>
      </c>
      <c r="AN156" s="19">
        <v>0.0</v>
      </c>
      <c r="AO156" s="19">
        <v>0.0</v>
      </c>
      <c r="AP156" s="19">
        <v>0.0</v>
      </c>
      <c r="AQ156" s="19">
        <v>0.0</v>
      </c>
      <c r="AR156" s="19">
        <v>0.0</v>
      </c>
      <c r="AS156" s="13">
        <f t="shared" si="8"/>
        <v>0</v>
      </c>
      <c r="AT156" s="5"/>
      <c r="AU156" s="5"/>
    </row>
    <row r="157" ht="12.75" customHeight="1">
      <c r="A157" s="19" t="s">
        <v>15</v>
      </c>
      <c r="B157" s="47" t="s">
        <v>46</v>
      </c>
      <c r="C157" s="15"/>
      <c r="D157" s="16"/>
      <c r="E157" s="56">
        <f t="shared" ref="E157:AR157" si="23">SUM(E155:E156)</f>
        <v>0</v>
      </c>
      <c r="F157" s="56">
        <f t="shared" si="23"/>
        <v>0</v>
      </c>
      <c r="G157" s="56">
        <f t="shared" si="23"/>
        <v>0</v>
      </c>
      <c r="H157" s="56">
        <f t="shared" si="23"/>
        <v>0</v>
      </c>
      <c r="I157" s="56">
        <f t="shared" si="23"/>
        <v>0</v>
      </c>
      <c r="J157" s="56">
        <f t="shared" si="23"/>
        <v>2</v>
      </c>
      <c r="K157" s="56">
        <f t="shared" si="23"/>
        <v>1</v>
      </c>
      <c r="L157" s="56">
        <f t="shared" si="23"/>
        <v>0</v>
      </c>
      <c r="M157" s="56">
        <f t="shared" si="23"/>
        <v>1</v>
      </c>
      <c r="N157" s="56">
        <f t="shared" si="23"/>
        <v>1</v>
      </c>
      <c r="O157" s="56">
        <f t="shared" si="23"/>
        <v>1</v>
      </c>
      <c r="P157" s="56">
        <f t="shared" si="23"/>
        <v>0</v>
      </c>
      <c r="Q157" s="56">
        <f t="shared" si="23"/>
        <v>1</v>
      </c>
      <c r="R157" s="56">
        <f t="shared" si="23"/>
        <v>0</v>
      </c>
      <c r="S157" s="56">
        <f t="shared" si="23"/>
        <v>2</v>
      </c>
      <c r="T157" s="56">
        <f t="shared" si="23"/>
        <v>0</v>
      </c>
      <c r="U157" s="56">
        <f t="shared" si="23"/>
        <v>0</v>
      </c>
      <c r="V157" s="56">
        <f t="shared" si="23"/>
        <v>4</v>
      </c>
      <c r="W157" s="56">
        <f t="shared" si="23"/>
        <v>0</v>
      </c>
      <c r="X157" s="56">
        <f t="shared" si="23"/>
        <v>0</v>
      </c>
      <c r="Y157" s="56">
        <f t="shared" si="23"/>
        <v>0</v>
      </c>
      <c r="Z157" s="56">
        <f t="shared" si="23"/>
        <v>0</v>
      </c>
      <c r="AA157" s="56">
        <f t="shared" si="23"/>
        <v>0</v>
      </c>
      <c r="AB157" s="56">
        <f t="shared" si="23"/>
        <v>0</v>
      </c>
      <c r="AC157" s="56">
        <f t="shared" si="23"/>
        <v>1</v>
      </c>
      <c r="AD157" s="56">
        <f t="shared" si="23"/>
        <v>1</v>
      </c>
      <c r="AE157" s="56">
        <f t="shared" si="23"/>
        <v>0</v>
      </c>
      <c r="AF157" s="56">
        <f t="shared" si="23"/>
        <v>1</v>
      </c>
      <c r="AG157" s="56">
        <f t="shared" si="23"/>
        <v>0</v>
      </c>
      <c r="AH157" s="56">
        <f t="shared" si="23"/>
        <v>0</v>
      </c>
      <c r="AI157" s="56">
        <f t="shared" si="23"/>
        <v>0</v>
      </c>
      <c r="AJ157" s="56">
        <f t="shared" si="23"/>
        <v>0</v>
      </c>
      <c r="AK157" s="56">
        <f t="shared" si="23"/>
        <v>0</v>
      </c>
      <c r="AL157" s="56">
        <f t="shared" si="23"/>
        <v>1</v>
      </c>
      <c r="AM157" s="56">
        <f t="shared" si="23"/>
        <v>1</v>
      </c>
      <c r="AN157" s="56">
        <f t="shared" si="23"/>
        <v>1</v>
      </c>
      <c r="AO157" s="56">
        <f t="shared" si="23"/>
        <v>2</v>
      </c>
      <c r="AP157" s="56">
        <f t="shared" si="23"/>
        <v>1</v>
      </c>
      <c r="AQ157" s="56">
        <f t="shared" si="23"/>
        <v>0</v>
      </c>
      <c r="AR157" s="56">
        <f t="shared" si="23"/>
        <v>1</v>
      </c>
      <c r="AS157" s="13">
        <f t="shared" si="8"/>
        <v>23</v>
      </c>
      <c r="AT157" s="5"/>
      <c r="AU157" s="5"/>
    </row>
    <row r="158" ht="12.75" customHeight="1">
      <c r="A158" s="57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13">
        <f t="shared" si="8"/>
        <v>0</v>
      </c>
      <c r="AT158" s="5"/>
      <c r="AU158" s="5"/>
    </row>
    <row r="159" ht="12.75" customHeight="1">
      <c r="A159" s="30" t="s">
        <v>37</v>
      </c>
      <c r="B159" s="47" t="s">
        <v>134</v>
      </c>
      <c r="C159" s="48" t="s">
        <v>135</v>
      </c>
      <c r="D159" s="16"/>
      <c r="E159" s="19">
        <v>0.0</v>
      </c>
      <c r="F159" s="19">
        <v>0.0</v>
      </c>
      <c r="G159" s="19">
        <v>0.0</v>
      </c>
      <c r="H159" s="19">
        <v>0.0</v>
      </c>
      <c r="I159" s="19">
        <v>0.0</v>
      </c>
      <c r="J159" s="19">
        <v>0.0</v>
      </c>
      <c r="K159" s="19">
        <v>0.0</v>
      </c>
      <c r="L159" s="19">
        <v>0.0</v>
      </c>
      <c r="M159" s="19">
        <v>0.0</v>
      </c>
      <c r="N159" s="19">
        <v>0.0</v>
      </c>
      <c r="O159" s="19">
        <v>1.0</v>
      </c>
      <c r="P159" s="19">
        <v>0.0</v>
      </c>
      <c r="Q159" s="19">
        <v>0.0</v>
      </c>
      <c r="R159" s="19">
        <v>0.0</v>
      </c>
      <c r="S159" s="19">
        <v>0.0</v>
      </c>
      <c r="T159" s="19">
        <v>1.0</v>
      </c>
      <c r="U159" s="19">
        <v>0.0</v>
      </c>
      <c r="V159" s="19">
        <v>0.0</v>
      </c>
      <c r="W159" s="19">
        <v>2.0</v>
      </c>
      <c r="X159" s="19">
        <v>0.0</v>
      </c>
      <c r="Y159" s="19">
        <v>0.0</v>
      </c>
      <c r="Z159" s="19">
        <v>1.0</v>
      </c>
      <c r="AA159" s="19">
        <v>0.0</v>
      </c>
      <c r="AB159" s="19">
        <v>0.0</v>
      </c>
      <c r="AC159" s="19">
        <v>0.0</v>
      </c>
      <c r="AD159" s="19">
        <v>0.0</v>
      </c>
      <c r="AE159" s="19">
        <v>0.0</v>
      </c>
      <c r="AF159" s="19">
        <v>0.0</v>
      </c>
      <c r="AG159" s="19">
        <v>0.0</v>
      </c>
      <c r="AH159" s="19">
        <v>0.0</v>
      </c>
      <c r="AI159" s="19">
        <v>0.0</v>
      </c>
      <c r="AJ159" s="19">
        <v>0.0</v>
      </c>
      <c r="AK159" s="19">
        <v>0.0</v>
      </c>
      <c r="AL159" s="19">
        <v>0.0</v>
      </c>
      <c r="AM159" s="19">
        <v>0.0</v>
      </c>
      <c r="AN159" s="19">
        <v>0.0</v>
      </c>
      <c r="AO159" s="19">
        <v>0.0</v>
      </c>
      <c r="AP159" s="19">
        <v>0.0</v>
      </c>
      <c r="AQ159" s="19">
        <v>0.0</v>
      </c>
      <c r="AR159" s="19">
        <v>0.0</v>
      </c>
      <c r="AS159" s="13">
        <f t="shared" si="8"/>
        <v>5</v>
      </c>
      <c r="AT159" s="5"/>
      <c r="AU159" s="5"/>
    </row>
    <row r="160" ht="12.75" customHeight="1">
      <c r="A160" s="30"/>
      <c r="B160" s="49">
        <v>1.0</v>
      </c>
      <c r="C160" s="50" t="s">
        <v>136</v>
      </c>
      <c r="D160" s="59"/>
      <c r="E160" s="19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9">
        <v>0.0</v>
      </c>
      <c r="S160" s="19">
        <v>0.0</v>
      </c>
      <c r="T160" s="19">
        <v>0.0</v>
      </c>
      <c r="U160" s="19">
        <v>0.0</v>
      </c>
      <c r="V160" s="19">
        <v>0.0</v>
      </c>
      <c r="W160" s="19">
        <v>0.0</v>
      </c>
      <c r="X160" s="19">
        <v>0.0</v>
      </c>
      <c r="Y160" s="19">
        <v>0.0</v>
      </c>
      <c r="Z160" s="19">
        <v>0.0</v>
      </c>
      <c r="AA160" s="19">
        <v>0.0</v>
      </c>
      <c r="AB160" s="19">
        <v>0.0</v>
      </c>
      <c r="AC160" s="19">
        <v>0.0</v>
      </c>
      <c r="AD160" s="19">
        <v>0.0</v>
      </c>
      <c r="AE160" s="19">
        <v>0.0</v>
      </c>
      <c r="AF160" s="19">
        <v>0.0</v>
      </c>
      <c r="AG160" s="19">
        <v>1.0</v>
      </c>
      <c r="AH160" s="19">
        <v>0.0</v>
      </c>
      <c r="AI160" s="19">
        <v>0.0</v>
      </c>
      <c r="AJ160" s="19">
        <v>0.0</v>
      </c>
      <c r="AK160" s="19">
        <v>0.0</v>
      </c>
      <c r="AL160" s="19">
        <v>0.0</v>
      </c>
      <c r="AM160" s="19">
        <v>0.0</v>
      </c>
      <c r="AN160" s="19">
        <v>0.0</v>
      </c>
      <c r="AO160" s="19">
        <v>0.0</v>
      </c>
      <c r="AP160" s="19">
        <v>0.0</v>
      </c>
      <c r="AQ160" s="19">
        <v>0.0</v>
      </c>
      <c r="AR160" s="19">
        <v>0.0</v>
      </c>
      <c r="AS160" s="13">
        <f t="shared" si="8"/>
        <v>1</v>
      </c>
      <c r="AT160" s="5"/>
      <c r="AU160" s="5"/>
    </row>
    <row r="161" ht="12.75" customHeight="1">
      <c r="A161" s="30"/>
      <c r="B161" s="49">
        <v>2.0</v>
      </c>
      <c r="C161" s="50" t="s">
        <v>137</v>
      </c>
      <c r="D161" s="59"/>
      <c r="E161" s="19">
        <v>0.0</v>
      </c>
      <c r="F161" s="19">
        <v>1.0</v>
      </c>
      <c r="G161" s="19">
        <v>0.0</v>
      </c>
      <c r="H161" s="19">
        <v>1.0</v>
      </c>
      <c r="I161" s="19">
        <v>1.0</v>
      </c>
      <c r="J161" s="19">
        <v>1.0</v>
      </c>
      <c r="K161" s="19">
        <v>10.0</v>
      </c>
      <c r="L161" s="19">
        <v>4.0</v>
      </c>
      <c r="M161" s="19">
        <v>0.0</v>
      </c>
      <c r="N161" s="19">
        <v>7.0</v>
      </c>
      <c r="O161" s="19">
        <v>11.0</v>
      </c>
      <c r="P161" s="19">
        <v>1.0</v>
      </c>
      <c r="Q161" s="19">
        <v>1.0</v>
      </c>
      <c r="R161" s="19">
        <v>0.0</v>
      </c>
      <c r="S161" s="19">
        <v>0.0</v>
      </c>
      <c r="T161" s="19">
        <v>2.0</v>
      </c>
      <c r="U161" s="19">
        <v>2.0</v>
      </c>
      <c r="V161" s="19">
        <v>0.0</v>
      </c>
      <c r="W161" s="19">
        <v>0.0</v>
      </c>
      <c r="X161" s="19">
        <v>2.0</v>
      </c>
      <c r="Y161" s="19">
        <v>0.0</v>
      </c>
      <c r="Z161" s="19">
        <v>1.0</v>
      </c>
      <c r="AA161" s="19">
        <v>0.0</v>
      </c>
      <c r="AB161" s="19">
        <v>0.0</v>
      </c>
      <c r="AC161" s="19">
        <v>0.0</v>
      </c>
      <c r="AD161" s="19">
        <v>1.0</v>
      </c>
      <c r="AE161" s="19">
        <v>1.0</v>
      </c>
      <c r="AF161" s="19">
        <v>1.0</v>
      </c>
      <c r="AG161" s="19">
        <v>0.0</v>
      </c>
      <c r="AH161" s="19">
        <v>0.0</v>
      </c>
      <c r="AI161" s="19">
        <v>0.0</v>
      </c>
      <c r="AJ161" s="19">
        <v>0.0</v>
      </c>
      <c r="AK161" s="19">
        <v>0.0</v>
      </c>
      <c r="AL161" s="19">
        <v>0.0</v>
      </c>
      <c r="AM161" s="19">
        <v>0.0</v>
      </c>
      <c r="AN161" s="19">
        <v>0.0</v>
      </c>
      <c r="AO161" s="19">
        <v>0.0</v>
      </c>
      <c r="AP161" s="19">
        <v>0.0</v>
      </c>
      <c r="AQ161" s="19">
        <v>0.0</v>
      </c>
      <c r="AR161" s="19">
        <v>0.0</v>
      </c>
      <c r="AS161" s="13">
        <f t="shared" si="8"/>
        <v>48</v>
      </c>
      <c r="AT161" s="5"/>
      <c r="AU161" s="5"/>
    </row>
    <row r="162" ht="12.75" customHeight="1">
      <c r="A162" s="30" t="s">
        <v>39</v>
      </c>
      <c r="B162" s="49">
        <v>3.0</v>
      </c>
      <c r="C162" s="50" t="s">
        <v>138</v>
      </c>
      <c r="D162" s="59"/>
      <c r="E162" s="19">
        <v>0.0</v>
      </c>
      <c r="F162" s="19">
        <v>0.0</v>
      </c>
      <c r="G162" s="19">
        <v>0.0</v>
      </c>
      <c r="H162" s="19">
        <v>0.0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0.0</v>
      </c>
      <c r="P162" s="19">
        <v>0.0</v>
      </c>
      <c r="Q162" s="19">
        <v>1.0</v>
      </c>
      <c r="R162" s="19">
        <v>0.0</v>
      </c>
      <c r="S162" s="19">
        <v>0.0</v>
      </c>
      <c r="T162" s="19">
        <v>0.0</v>
      </c>
      <c r="U162" s="19">
        <v>1.0</v>
      </c>
      <c r="V162" s="19">
        <v>0.0</v>
      </c>
      <c r="W162" s="19">
        <v>0.0</v>
      </c>
      <c r="X162" s="19">
        <v>0.0</v>
      </c>
      <c r="Y162" s="19">
        <v>0.0</v>
      </c>
      <c r="Z162" s="19">
        <v>0.0</v>
      </c>
      <c r="AA162" s="19">
        <v>1.0</v>
      </c>
      <c r="AB162" s="19">
        <v>0.0</v>
      </c>
      <c r="AC162" s="19">
        <v>0.0</v>
      </c>
      <c r="AD162" s="19">
        <v>0.0</v>
      </c>
      <c r="AE162" s="19">
        <v>0.0</v>
      </c>
      <c r="AF162" s="19">
        <v>0.0</v>
      </c>
      <c r="AG162" s="19">
        <v>0.0</v>
      </c>
      <c r="AH162" s="19">
        <v>0.0</v>
      </c>
      <c r="AI162" s="19">
        <v>0.0</v>
      </c>
      <c r="AJ162" s="19">
        <v>0.0</v>
      </c>
      <c r="AK162" s="19">
        <v>0.0</v>
      </c>
      <c r="AL162" s="19">
        <v>0.0</v>
      </c>
      <c r="AM162" s="19">
        <v>0.0</v>
      </c>
      <c r="AN162" s="19">
        <v>0.0</v>
      </c>
      <c r="AO162" s="19">
        <v>0.0</v>
      </c>
      <c r="AP162" s="19">
        <v>0.0</v>
      </c>
      <c r="AQ162" s="19">
        <v>0.0</v>
      </c>
      <c r="AR162" s="19">
        <v>0.0</v>
      </c>
      <c r="AS162" s="13">
        <f t="shared" si="8"/>
        <v>3</v>
      </c>
      <c r="AT162" s="5"/>
      <c r="AU162" s="5"/>
    </row>
    <row r="163" ht="12.75" customHeight="1">
      <c r="A163" s="19" t="s">
        <v>15</v>
      </c>
      <c r="B163" s="47" t="s">
        <v>46</v>
      </c>
      <c r="C163" s="15"/>
      <c r="D163" s="16"/>
      <c r="E163" s="56">
        <f t="shared" ref="E163:AR163" si="24">SUM(E159:E162)</f>
        <v>0</v>
      </c>
      <c r="F163" s="56">
        <f t="shared" si="24"/>
        <v>1</v>
      </c>
      <c r="G163" s="56">
        <f t="shared" si="24"/>
        <v>0</v>
      </c>
      <c r="H163" s="56">
        <f t="shared" si="24"/>
        <v>1</v>
      </c>
      <c r="I163" s="56">
        <f t="shared" si="24"/>
        <v>1</v>
      </c>
      <c r="J163" s="56">
        <f t="shared" si="24"/>
        <v>1</v>
      </c>
      <c r="K163" s="56">
        <f t="shared" si="24"/>
        <v>10</v>
      </c>
      <c r="L163" s="56">
        <f t="shared" si="24"/>
        <v>4</v>
      </c>
      <c r="M163" s="56">
        <f t="shared" si="24"/>
        <v>0</v>
      </c>
      <c r="N163" s="56">
        <f t="shared" si="24"/>
        <v>7</v>
      </c>
      <c r="O163" s="56">
        <f t="shared" si="24"/>
        <v>12</v>
      </c>
      <c r="P163" s="56">
        <f t="shared" si="24"/>
        <v>1</v>
      </c>
      <c r="Q163" s="56">
        <f t="shared" si="24"/>
        <v>2</v>
      </c>
      <c r="R163" s="56">
        <f t="shared" si="24"/>
        <v>0</v>
      </c>
      <c r="S163" s="56">
        <f t="shared" si="24"/>
        <v>0</v>
      </c>
      <c r="T163" s="56">
        <f t="shared" si="24"/>
        <v>3</v>
      </c>
      <c r="U163" s="56">
        <f t="shared" si="24"/>
        <v>3</v>
      </c>
      <c r="V163" s="56">
        <f t="shared" si="24"/>
        <v>0</v>
      </c>
      <c r="W163" s="56">
        <f t="shared" si="24"/>
        <v>2</v>
      </c>
      <c r="X163" s="56">
        <f t="shared" si="24"/>
        <v>2</v>
      </c>
      <c r="Y163" s="56">
        <f t="shared" si="24"/>
        <v>0</v>
      </c>
      <c r="Z163" s="56">
        <f t="shared" si="24"/>
        <v>2</v>
      </c>
      <c r="AA163" s="56">
        <f t="shared" si="24"/>
        <v>1</v>
      </c>
      <c r="AB163" s="56">
        <f t="shared" si="24"/>
        <v>0</v>
      </c>
      <c r="AC163" s="56">
        <f t="shared" si="24"/>
        <v>0</v>
      </c>
      <c r="AD163" s="56">
        <f t="shared" si="24"/>
        <v>1</v>
      </c>
      <c r="AE163" s="56">
        <f t="shared" si="24"/>
        <v>1</v>
      </c>
      <c r="AF163" s="56">
        <f t="shared" si="24"/>
        <v>1</v>
      </c>
      <c r="AG163" s="56">
        <f t="shared" si="24"/>
        <v>1</v>
      </c>
      <c r="AH163" s="56">
        <f t="shared" si="24"/>
        <v>0</v>
      </c>
      <c r="AI163" s="56">
        <f t="shared" si="24"/>
        <v>0</v>
      </c>
      <c r="AJ163" s="56">
        <f t="shared" si="24"/>
        <v>0</v>
      </c>
      <c r="AK163" s="56">
        <f t="shared" si="24"/>
        <v>0</v>
      </c>
      <c r="AL163" s="56">
        <f t="shared" si="24"/>
        <v>0</v>
      </c>
      <c r="AM163" s="56">
        <f t="shared" si="24"/>
        <v>0</v>
      </c>
      <c r="AN163" s="56">
        <f t="shared" si="24"/>
        <v>0</v>
      </c>
      <c r="AO163" s="56">
        <f t="shared" si="24"/>
        <v>0</v>
      </c>
      <c r="AP163" s="56">
        <f t="shared" si="24"/>
        <v>0</v>
      </c>
      <c r="AQ163" s="56">
        <f t="shared" si="24"/>
        <v>0</v>
      </c>
      <c r="AR163" s="56">
        <f t="shared" si="24"/>
        <v>0</v>
      </c>
      <c r="AS163" s="13">
        <f t="shared" si="8"/>
        <v>57</v>
      </c>
      <c r="AT163" s="5"/>
      <c r="AU163" s="5"/>
    </row>
    <row r="164" ht="12.75" customHeight="1">
      <c r="A164" s="57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13">
        <f t="shared" si="8"/>
        <v>0</v>
      </c>
      <c r="AT164" s="5"/>
      <c r="AU164" s="5"/>
    </row>
    <row r="165" ht="12.75" customHeight="1">
      <c r="A165" s="30" t="s">
        <v>37</v>
      </c>
      <c r="B165" s="47" t="s">
        <v>139</v>
      </c>
      <c r="C165" s="48" t="s">
        <v>140</v>
      </c>
      <c r="D165" s="16"/>
      <c r="E165" s="19">
        <v>4.0</v>
      </c>
      <c r="F165" s="19">
        <v>4.0</v>
      </c>
      <c r="G165" s="19">
        <v>1.0</v>
      </c>
      <c r="H165" s="19">
        <v>3.0</v>
      </c>
      <c r="I165" s="19">
        <v>4.0</v>
      </c>
      <c r="J165" s="19">
        <v>6.0</v>
      </c>
      <c r="K165" s="19">
        <v>1.0</v>
      </c>
      <c r="L165" s="19">
        <v>0.0</v>
      </c>
      <c r="M165" s="19">
        <v>6.0</v>
      </c>
      <c r="N165" s="19">
        <v>6.0</v>
      </c>
      <c r="O165" s="19">
        <v>0.0</v>
      </c>
      <c r="P165" s="19">
        <v>7.0</v>
      </c>
      <c r="Q165" s="19">
        <v>1.0</v>
      </c>
      <c r="R165" s="19">
        <v>10.0</v>
      </c>
      <c r="S165" s="19">
        <v>2.0</v>
      </c>
      <c r="T165" s="19">
        <v>3.0</v>
      </c>
      <c r="U165" s="19">
        <v>0.0</v>
      </c>
      <c r="V165" s="19">
        <v>5.0</v>
      </c>
      <c r="W165" s="19">
        <v>4.0</v>
      </c>
      <c r="X165" s="19">
        <v>3.0</v>
      </c>
      <c r="Y165" s="19">
        <v>2.0</v>
      </c>
      <c r="Z165" s="19">
        <v>6.0</v>
      </c>
      <c r="AA165" s="19">
        <v>4.0</v>
      </c>
      <c r="AB165" s="19">
        <v>4.0</v>
      </c>
      <c r="AC165" s="19">
        <v>0.0</v>
      </c>
      <c r="AD165" s="19">
        <v>2.0</v>
      </c>
      <c r="AE165" s="19">
        <v>0.0</v>
      </c>
      <c r="AF165" s="19">
        <v>1.0</v>
      </c>
      <c r="AG165" s="19">
        <v>2.0</v>
      </c>
      <c r="AH165" s="19">
        <v>2.0</v>
      </c>
      <c r="AI165" s="19">
        <v>2.0</v>
      </c>
      <c r="AJ165" s="19">
        <v>0.0</v>
      </c>
      <c r="AK165" s="19">
        <v>0.0</v>
      </c>
      <c r="AL165" s="19">
        <v>2.0</v>
      </c>
      <c r="AM165" s="19">
        <v>1.0</v>
      </c>
      <c r="AN165" s="19">
        <v>2.0</v>
      </c>
      <c r="AO165" s="19">
        <v>2.0</v>
      </c>
      <c r="AP165" s="19">
        <v>0.0</v>
      </c>
      <c r="AQ165" s="19">
        <v>1.0</v>
      </c>
      <c r="AR165" s="19">
        <v>1.0</v>
      </c>
      <c r="AS165" s="13">
        <f t="shared" si="8"/>
        <v>104</v>
      </c>
      <c r="AT165" s="1"/>
      <c r="AU165" s="1"/>
    </row>
    <row r="166" ht="12.75" customHeight="1">
      <c r="A166" s="30" t="s">
        <v>39</v>
      </c>
      <c r="B166" s="49">
        <v>1.0</v>
      </c>
      <c r="C166" s="50" t="s">
        <v>141</v>
      </c>
      <c r="D166" s="51"/>
      <c r="E166" s="19">
        <v>7.0</v>
      </c>
      <c r="F166" s="19">
        <v>12.0</v>
      </c>
      <c r="G166" s="19">
        <v>5.0</v>
      </c>
      <c r="H166" s="19">
        <v>41.0</v>
      </c>
      <c r="I166" s="19">
        <v>11.0</v>
      </c>
      <c r="J166" s="19">
        <v>33.0</v>
      </c>
      <c r="K166" s="19">
        <v>21.0</v>
      </c>
      <c r="L166" s="19">
        <v>9.0</v>
      </c>
      <c r="M166" s="19">
        <v>23.0</v>
      </c>
      <c r="N166" s="19">
        <v>19.0</v>
      </c>
      <c r="O166" s="19">
        <v>14.0</v>
      </c>
      <c r="P166" s="19">
        <v>15.0</v>
      </c>
      <c r="Q166" s="19">
        <v>12.0</v>
      </c>
      <c r="R166" s="19">
        <v>25.0</v>
      </c>
      <c r="S166" s="19">
        <v>32.0</v>
      </c>
      <c r="T166" s="19">
        <v>7.0</v>
      </c>
      <c r="U166" s="19">
        <v>17.0</v>
      </c>
      <c r="V166" s="19">
        <v>27.0</v>
      </c>
      <c r="W166" s="19">
        <v>4.0</v>
      </c>
      <c r="X166" s="19">
        <v>4.0</v>
      </c>
      <c r="Y166" s="19">
        <v>4.0</v>
      </c>
      <c r="Z166" s="19">
        <v>6.0</v>
      </c>
      <c r="AA166" s="19">
        <v>8.0</v>
      </c>
      <c r="AB166" s="19">
        <v>3.0</v>
      </c>
      <c r="AC166" s="19">
        <v>2.0</v>
      </c>
      <c r="AD166" s="19">
        <v>0.0</v>
      </c>
      <c r="AE166" s="19">
        <v>0.0</v>
      </c>
      <c r="AF166" s="19">
        <v>15.0</v>
      </c>
      <c r="AG166" s="19">
        <v>1.0</v>
      </c>
      <c r="AH166" s="19">
        <v>10.0</v>
      </c>
      <c r="AI166" s="19">
        <v>7.0</v>
      </c>
      <c r="AJ166" s="19">
        <v>0.0</v>
      </c>
      <c r="AK166" s="19">
        <v>3.0</v>
      </c>
      <c r="AL166" s="19">
        <v>0.0</v>
      </c>
      <c r="AM166" s="19">
        <v>2.0</v>
      </c>
      <c r="AN166" s="19">
        <v>4.0</v>
      </c>
      <c r="AO166" s="19">
        <v>1.0</v>
      </c>
      <c r="AP166" s="19">
        <v>0.0</v>
      </c>
      <c r="AQ166" s="19">
        <v>5.0</v>
      </c>
      <c r="AR166" s="19">
        <v>4.0</v>
      </c>
      <c r="AS166" s="13">
        <f t="shared" si="8"/>
        <v>413</v>
      </c>
      <c r="AT166" s="53"/>
      <c r="AU166" s="53"/>
    </row>
    <row r="167" ht="12.75" customHeight="1">
      <c r="A167" s="18"/>
      <c r="B167" s="49">
        <v>2.0</v>
      </c>
      <c r="C167" s="50" t="s">
        <v>142</v>
      </c>
      <c r="D167" s="51"/>
      <c r="E167" s="19">
        <v>47.0</v>
      </c>
      <c r="F167" s="19">
        <v>13.0</v>
      </c>
      <c r="G167" s="19">
        <v>9.0</v>
      </c>
      <c r="H167" s="19">
        <v>6.0</v>
      </c>
      <c r="I167" s="19">
        <v>2.0</v>
      </c>
      <c r="J167" s="19">
        <v>5.0</v>
      </c>
      <c r="K167" s="19">
        <v>3.0</v>
      </c>
      <c r="L167" s="19">
        <v>3.0</v>
      </c>
      <c r="M167" s="19">
        <v>5.0</v>
      </c>
      <c r="N167" s="19">
        <v>11.0</v>
      </c>
      <c r="O167" s="19">
        <v>7.0</v>
      </c>
      <c r="P167" s="19">
        <v>10.0</v>
      </c>
      <c r="Q167" s="19">
        <v>21.0</v>
      </c>
      <c r="R167" s="19">
        <v>34.0</v>
      </c>
      <c r="S167" s="19">
        <v>3.0</v>
      </c>
      <c r="T167" s="19">
        <v>12.0</v>
      </c>
      <c r="U167" s="19">
        <v>5.0</v>
      </c>
      <c r="V167" s="19">
        <v>4.0</v>
      </c>
      <c r="W167" s="19">
        <v>53.0</v>
      </c>
      <c r="X167" s="19">
        <v>83.0</v>
      </c>
      <c r="Y167" s="19">
        <v>62.0</v>
      </c>
      <c r="Z167" s="19">
        <v>60.0</v>
      </c>
      <c r="AA167" s="19">
        <v>108.0</v>
      </c>
      <c r="AB167" s="19">
        <v>44.0</v>
      </c>
      <c r="AC167" s="19">
        <v>7.0</v>
      </c>
      <c r="AD167" s="19">
        <v>5.0</v>
      </c>
      <c r="AE167" s="19">
        <v>8.0</v>
      </c>
      <c r="AF167" s="19">
        <v>0.0</v>
      </c>
      <c r="AG167" s="19">
        <v>11.0</v>
      </c>
      <c r="AH167" s="19">
        <v>4.0</v>
      </c>
      <c r="AI167" s="19">
        <v>24.0</v>
      </c>
      <c r="AJ167" s="19">
        <v>2.0</v>
      </c>
      <c r="AK167" s="19">
        <v>3.0</v>
      </c>
      <c r="AL167" s="19">
        <v>4.0</v>
      </c>
      <c r="AM167" s="19">
        <v>3.0</v>
      </c>
      <c r="AN167" s="19">
        <v>0.0</v>
      </c>
      <c r="AO167" s="19">
        <v>12.0</v>
      </c>
      <c r="AP167" s="19">
        <v>1.0</v>
      </c>
      <c r="AQ167" s="19">
        <v>0.0</v>
      </c>
      <c r="AR167" s="19">
        <v>8.0</v>
      </c>
      <c r="AS167" s="13">
        <f t="shared" si="8"/>
        <v>702</v>
      </c>
      <c r="AT167" s="5"/>
      <c r="AU167" s="5"/>
    </row>
    <row r="168" ht="12.75" customHeight="1">
      <c r="A168" s="18"/>
      <c r="B168" s="49">
        <v>3.0</v>
      </c>
      <c r="C168" s="50" t="s">
        <v>143</v>
      </c>
      <c r="D168" s="51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1.0</v>
      </c>
      <c r="P168" s="19">
        <v>0.0</v>
      </c>
      <c r="Q168" s="19">
        <v>0.0</v>
      </c>
      <c r="R168" s="19">
        <v>1.0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1.0</v>
      </c>
      <c r="Z168" s="19">
        <v>1.0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2.0</v>
      </c>
      <c r="AH168" s="19">
        <v>0.0</v>
      </c>
      <c r="AI168" s="19">
        <v>0.0</v>
      </c>
      <c r="AJ168" s="19">
        <v>0.0</v>
      </c>
      <c r="AK168" s="19">
        <v>0.0</v>
      </c>
      <c r="AL168" s="19">
        <v>0.0</v>
      </c>
      <c r="AM168" s="19">
        <v>0.0</v>
      </c>
      <c r="AN168" s="19">
        <v>0.0</v>
      </c>
      <c r="AO168" s="19">
        <v>0.0</v>
      </c>
      <c r="AP168" s="19">
        <v>0.0</v>
      </c>
      <c r="AQ168" s="19">
        <v>0.0</v>
      </c>
      <c r="AR168" s="19">
        <v>0.0</v>
      </c>
      <c r="AS168" s="13">
        <f t="shared" si="8"/>
        <v>6</v>
      </c>
      <c r="AT168" s="5"/>
      <c r="AU168" s="5"/>
    </row>
    <row r="169" ht="12.75" customHeight="1">
      <c r="A169" s="18"/>
      <c r="B169" s="49">
        <v>4.0</v>
      </c>
      <c r="C169" s="50" t="s">
        <v>144</v>
      </c>
      <c r="D169" s="51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1.0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1.0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1.0</v>
      </c>
      <c r="AJ169" s="19">
        <v>0.0</v>
      </c>
      <c r="AK169" s="19">
        <v>0.0</v>
      </c>
      <c r="AL169" s="19">
        <v>0.0</v>
      </c>
      <c r="AM169" s="19">
        <v>0.0</v>
      </c>
      <c r="AN169" s="19">
        <v>0.0</v>
      </c>
      <c r="AO169" s="19">
        <v>0.0</v>
      </c>
      <c r="AP169" s="19">
        <v>0.0</v>
      </c>
      <c r="AQ169" s="19">
        <v>0.0</v>
      </c>
      <c r="AR169" s="19">
        <v>0.0</v>
      </c>
      <c r="AS169" s="13">
        <f t="shared" si="8"/>
        <v>3</v>
      </c>
      <c r="AT169" s="5"/>
      <c r="AU169" s="5"/>
    </row>
    <row r="170" ht="12.75" customHeight="1">
      <c r="A170" s="18"/>
      <c r="B170" s="49">
        <v>5.0</v>
      </c>
      <c r="C170" s="50" t="s">
        <v>145</v>
      </c>
      <c r="D170" s="51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3.0</v>
      </c>
      <c r="Z170" s="19">
        <v>1.0</v>
      </c>
      <c r="AA170" s="19">
        <v>3.0</v>
      </c>
      <c r="AB170" s="19">
        <v>1.0</v>
      </c>
      <c r="AC170" s="19">
        <v>2.0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1.0</v>
      </c>
      <c r="AJ170" s="19">
        <v>0.0</v>
      </c>
      <c r="AK170" s="19">
        <v>0.0</v>
      </c>
      <c r="AL170" s="19">
        <v>1.0</v>
      </c>
      <c r="AM170" s="19">
        <v>0.0</v>
      </c>
      <c r="AN170" s="19">
        <v>0.0</v>
      </c>
      <c r="AO170" s="19">
        <v>0.0</v>
      </c>
      <c r="AP170" s="19">
        <v>0.0</v>
      </c>
      <c r="AQ170" s="19">
        <v>0.0</v>
      </c>
      <c r="AR170" s="19">
        <v>0.0</v>
      </c>
      <c r="AS170" s="13">
        <f t="shared" si="8"/>
        <v>12</v>
      </c>
      <c r="AT170" s="5"/>
      <c r="AU170" s="5"/>
    </row>
    <row r="171" ht="12.75" customHeight="1">
      <c r="A171" s="18"/>
      <c r="B171" s="49">
        <v>6.0</v>
      </c>
      <c r="C171" s="50" t="s">
        <v>146</v>
      </c>
      <c r="D171" s="51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1.0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1.0</v>
      </c>
      <c r="W171" s="19">
        <v>1.0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1.0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0.0</v>
      </c>
      <c r="AN171" s="19">
        <v>0.0</v>
      </c>
      <c r="AO171" s="19">
        <v>0.0</v>
      </c>
      <c r="AP171" s="19">
        <v>0.0</v>
      </c>
      <c r="AQ171" s="19">
        <v>0.0</v>
      </c>
      <c r="AR171" s="19">
        <v>0.0</v>
      </c>
      <c r="AS171" s="13">
        <f t="shared" si="8"/>
        <v>4</v>
      </c>
      <c r="AT171" s="5"/>
      <c r="AU171" s="5"/>
    </row>
    <row r="172" ht="12.75" customHeight="1">
      <c r="A172" s="19" t="s">
        <v>15</v>
      </c>
      <c r="B172" s="47" t="s">
        <v>46</v>
      </c>
      <c r="C172" s="15"/>
      <c r="D172" s="16"/>
      <c r="E172" s="56">
        <f t="shared" ref="E172:AR172" si="25">SUM(E165:E171)</f>
        <v>58</v>
      </c>
      <c r="F172" s="56">
        <f t="shared" si="25"/>
        <v>29</v>
      </c>
      <c r="G172" s="56">
        <f t="shared" si="25"/>
        <v>15</v>
      </c>
      <c r="H172" s="56">
        <f t="shared" si="25"/>
        <v>50</v>
      </c>
      <c r="I172" s="56">
        <f t="shared" si="25"/>
        <v>17</v>
      </c>
      <c r="J172" s="56">
        <f t="shared" si="25"/>
        <v>45</v>
      </c>
      <c r="K172" s="56">
        <f t="shared" si="25"/>
        <v>26</v>
      </c>
      <c r="L172" s="56">
        <f t="shared" si="25"/>
        <v>12</v>
      </c>
      <c r="M172" s="56">
        <f t="shared" si="25"/>
        <v>34</v>
      </c>
      <c r="N172" s="56">
        <f t="shared" si="25"/>
        <v>36</v>
      </c>
      <c r="O172" s="56">
        <f t="shared" si="25"/>
        <v>22</v>
      </c>
      <c r="P172" s="56">
        <f t="shared" si="25"/>
        <v>32</v>
      </c>
      <c r="Q172" s="56">
        <f t="shared" si="25"/>
        <v>34</v>
      </c>
      <c r="R172" s="56">
        <f t="shared" si="25"/>
        <v>70</v>
      </c>
      <c r="S172" s="56">
        <f t="shared" si="25"/>
        <v>37</v>
      </c>
      <c r="T172" s="56">
        <f t="shared" si="25"/>
        <v>22</v>
      </c>
      <c r="U172" s="56">
        <f t="shared" si="25"/>
        <v>22</v>
      </c>
      <c r="V172" s="56">
        <f t="shared" si="25"/>
        <v>37</v>
      </c>
      <c r="W172" s="56">
        <f t="shared" si="25"/>
        <v>62</v>
      </c>
      <c r="X172" s="56">
        <f t="shared" si="25"/>
        <v>90</v>
      </c>
      <c r="Y172" s="56">
        <f t="shared" si="25"/>
        <v>72</v>
      </c>
      <c r="Z172" s="56">
        <f t="shared" si="25"/>
        <v>74</v>
      </c>
      <c r="AA172" s="56">
        <f t="shared" si="25"/>
        <v>123</v>
      </c>
      <c r="AB172" s="56">
        <f t="shared" si="25"/>
        <v>53</v>
      </c>
      <c r="AC172" s="56">
        <f t="shared" si="25"/>
        <v>11</v>
      </c>
      <c r="AD172" s="56">
        <f t="shared" si="25"/>
        <v>7</v>
      </c>
      <c r="AE172" s="56">
        <f t="shared" si="25"/>
        <v>8</v>
      </c>
      <c r="AF172" s="56">
        <f t="shared" si="25"/>
        <v>17</v>
      </c>
      <c r="AG172" s="56">
        <f t="shared" si="25"/>
        <v>16</v>
      </c>
      <c r="AH172" s="56">
        <f t="shared" si="25"/>
        <v>16</v>
      </c>
      <c r="AI172" s="56">
        <f t="shared" si="25"/>
        <v>35</v>
      </c>
      <c r="AJ172" s="56">
        <f t="shared" si="25"/>
        <v>2</v>
      </c>
      <c r="AK172" s="56">
        <f t="shared" si="25"/>
        <v>6</v>
      </c>
      <c r="AL172" s="56">
        <f t="shared" si="25"/>
        <v>7</v>
      </c>
      <c r="AM172" s="56">
        <f t="shared" si="25"/>
        <v>6</v>
      </c>
      <c r="AN172" s="56">
        <f t="shared" si="25"/>
        <v>6</v>
      </c>
      <c r="AO172" s="56">
        <f t="shared" si="25"/>
        <v>15</v>
      </c>
      <c r="AP172" s="56">
        <f t="shared" si="25"/>
        <v>1</v>
      </c>
      <c r="AQ172" s="56">
        <f t="shared" si="25"/>
        <v>6</v>
      </c>
      <c r="AR172" s="56">
        <f t="shared" si="25"/>
        <v>13</v>
      </c>
      <c r="AS172" s="13">
        <f t="shared" si="8"/>
        <v>1244</v>
      </c>
      <c r="AT172" s="5"/>
      <c r="AU172" s="5"/>
    </row>
    <row r="173" ht="12.75" customHeight="1">
      <c r="A173" s="57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  <c r="AS173" s="13">
        <f t="shared" si="8"/>
        <v>0</v>
      </c>
      <c r="AT173" s="5"/>
      <c r="AU173" s="5"/>
    </row>
    <row r="174" ht="12.75" customHeight="1">
      <c r="A174" s="30" t="s">
        <v>37</v>
      </c>
      <c r="B174" s="47" t="s">
        <v>147</v>
      </c>
      <c r="C174" s="48" t="s">
        <v>148</v>
      </c>
      <c r="D174" s="16"/>
      <c r="E174" s="19">
        <v>0.0</v>
      </c>
      <c r="F174" s="19">
        <v>1.0</v>
      </c>
      <c r="G174" s="19">
        <v>0.0</v>
      </c>
      <c r="H174" s="19">
        <v>3.0</v>
      </c>
      <c r="I174" s="19">
        <v>0.0</v>
      </c>
      <c r="J174" s="19">
        <v>0.0</v>
      </c>
      <c r="K174" s="19">
        <v>0.0</v>
      </c>
      <c r="L174" s="19">
        <v>0.0</v>
      </c>
      <c r="M174" s="19">
        <v>0.0</v>
      </c>
      <c r="N174" s="19">
        <v>0.0</v>
      </c>
      <c r="O174" s="19">
        <v>0.0</v>
      </c>
      <c r="P174" s="19">
        <v>0.0</v>
      </c>
      <c r="Q174" s="19">
        <v>0.0</v>
      </c>
      <c r="R174" s="19">
        <v>0.0</v>
      </c>
      <c r="S174" s="19">
        <v>0.0</v>
      </c>
      <c r="T174" s="19">
        <v>0.0</v>
      </c>
      <c r="U174" s="19">
        <v>0.0</v>
      </c>
      <c r="V174" s="19">
        <v>1.0</v>
      </c>
      <c r="W174" s="19">
        <v>0.0</v>
      </c>
      <c r="X174" s="19">
        <v>1.0</v>
      </c>
      <c r="Y174" s="19">
        <v>3.0</v>
      </c>
      <c r="Z174" s="19">
        <v>2.0</v>
      </c>
      <c r="AA174" s="19">
        <v>1.0</v>
      </c>
      <c r="AB174" s="19">
        <v>0.0</v>
      </c>
      <c r="AC174" s="19">
        <v>0.0</v>
      </c>
      <c r="AD174" s="19">
        <v>0.0</v>
      </c>
      <c r="AE174" s="19">
        <v>0.0</v>
      </c>
      <c r="AF174" s="19">
        <v>1.0</v>
      </c>
      <c r="AG174" s="19">
        <v>0.0</v>
      </c>
      <c r="AH174" s="19">
        <v>0.0</v>
      </c>
      <c r="AI174" s="19">
        <v>0.0</v>
      </c>
      <c r="AJ174" s="19">
        <v>0.0</v>
      </c>
      <c r="AK174" s="19">
        <v>0.0</v>
      </c>
      <c r="AL174" s="19">
        <v>1.0</v>
      </c>
      <c r="AM174" s="19">
        <v>0.0</v>
      </c>
      <c r="AN174" s="19">
        <v>0.0</v>
      </c>
      <c r="AO174" s="19">
        <v>0.0</v>
      </c>
      <c r="AP174" s="19">
        <v>0.0</v>
      </c>
      <c r="AQ174" s="19">
        <v>0.0</v>
      </c>
      <c r="AR174" s="19">
        <v>0.0</v>
      </c>
      <c r="AS174" s="13">
        <f t="shared" si="8"/>
        <v>14</v>
      </c>
      <c r="AT174" s="5"/>
      <c r="AU174" s="5"/>
    </row>
    <row r="175" ht="12.75" customHeight="1">
      <c r="A175" s="30"/>
      <c r="B175" s="49">
        <v>1.0</v>
      </c>
      <c r="C175" s="50" t="s">
        <v>149</v>
      </c>
      <c r="D175" s="59"/>
      <c r="E175" s="19">
        <v>0.0</v>
      </c>
      <c r="F175" s="19">
        <v>0.0</v>
      </c>
      <c r="G175" s="19">
        <v>4.0</v>
      </c>
      <c r="H175" s="19">
        <v>4.0</v>
      </c>
      <c r="I175" s="19">
        <v>0.0</v>
      </c>
      <c r="J175" s="19">
        <v>0.0</v>
      </c>
      <c r="K175" s="19">
        <v>1.0</v>
      </c>
      <c r="L175" s="19">
        <v>3.0</v>
      </c>
      <c r="M175" s="19">
        <v>0.0</v>
      </c>
      <c r="N175" s="19">
        <v>3.0</v>
      </c>
      <c r="O175" s="19">
        <v>0.0</v>
      </c>
      <c r="P175" s="19">
        <v>0.0</v>
      </c>
      <c r="Q175" s="19">
        <v>2.0</v>
      </c>
      <c r="R175" s="19">
        <v>2.0</v>
      </c>
      <c r="S175" s="19">
        <v>0.0</v>
      </c>
      <c r="T175" s="19">
        <v>3.0</v>
      </c>
      <c r="U175" s="19">
        <v>7.0</v>
      </c>
      <c r="V175" s="19">
        <v>5.0</v>
      </c>
      <c r="W175" s="19">
        <v>0.0</v>
      </c>
      <c r="X175" s="19">
        <v>6.0</v>
      </c>
      <c r="Y175" s="19">
        <v>3.0</v>
      </c>
      <c r="Z175" s="19">
        <v>3.0</v>
      </c>
      <c r="AA175" s="19">
        <v>1.0</v>
      </c>
      <c r="AB175" s="19">
        <v>0.0</v>
      </c>
      <c r="AC175" s="19">
        <v>0.0</v>
      </c>
      <c r="AD175" s="19">
        <v>0.0</v>
      </c>
      <c r="AE175" s="19">
        <v>0.0</v>
      </c>
      <c r="AF175" s="19">
        <v>0.0</v>
      </c>
      <c r="AG175" s="19">
        <v>0.0</v>
      </c>
      <c r="AH175" s="19">
        <v>0.0</v>
      </c>
      <c r="AI175" s="19">
        <v>0.0</v>
      </c>
      <c r="AJ175" s="19">
        <v>0.0</v>
      </c>
      <c r="AK175" s="19">
        <v>0.0</v>
      </c>
      <c r="AL175" s="19">
        <v>0.0</v>
      </c>
      <c r="AM175" s="19">
        <v>0.0</v>
      </c>
      <c r="AN175" s="19">
        <v>0.0</v>
      </c>
      <c r="AO175" s="19">
        <v>13.0</v>
      </c>
      <c r="AP175" s="19">
        <v>8.0</v>
      </c>
      <c r="AQ175" s="19">
        <v>3.0</v>
      </c>
      <c r="AR175" s="19">
        <v>1.0</v>
      </c>
      <c r="AS175" s="13">
        <f t="shared" si="8"/>
        <v>72</v>
      </c>
      <c r="AT175" s="5"/>
      <c r="AU175" s="5"/>
    </row>
    <row r="176" ht="12.75" customHeight="1">
      <c r="A176" s="30" t="s">
        <v>39</v>
      </c>
      <c r="B176" s="49">
        <v>2.0</v>
      </c>
      <c r="C176" s="50" t="s">
        <v>150</v>
      </c>
      <c r="D176" s="51"/>
      <c r="E176" s="19">
        <v>1.0</v>
      </c>
      <c r="F176" s="19">
        <v>0.0</v>
      </c>
      <c r="G176" s="19">
        <v>0.0</v>
      </c>
      <c r="H176" s="19">
        <v>0.0</v>
      </c>
      <c r="I176" s="19">
        <v>0.0</v>
      </c>
      <c r="J176" s="19">
        <v>0.0</v>
      </c>
      <c r="K176" s="19">
        <v>0.0</v>
      </c>
      <c r="L176" s="19">
        <v>0.0</v>
      </c>
      <c r="M176" s="19">
        <v>0.0</v>
      </c>
      <c r="N176" s="19">
        <v>0.0</v>
      </c>
      <c r="O176" s="19">
        <v>0.0</v>
      </c>
      <c r="P176" s="19">
        <v>0.0</v>
      </c>
      <c r="Q176" s="19">
        <v>0.0</v>
      </c>
      <c r="R176" s="19">
        <v>0.0</v>
      </c>
      <c r="S176" s="19">
        <v>0.0</v>
      </c>
      <c r="T176" s="19">
        <v>0.0</v>
      </c>
      <c r="U176" s="19">
        <v>0.0</v>
      </c>
      <c r="V176" s="19">
        <v>0.0</v>
      </c>
      <c r="W176" s="19">
        <v>0.0</v>
      </c>
      <c r="X176" s="19">
        <v>1.0</v>
      </c>
      <c r="Y176" s="19">
        <v>0.0</v>
      </c>
      <c r="Z176" s="19">
        <v>0.0</v>
      </c>
      <c r="AA176" s="19">
        <v>0.0</v>
      </c>
      <c r="AB176" s="19">
        <v>0.0</v>
      </c>
      <c r="AC176" s="19">
        <v>0.0</v>
      </c>
      <c r="AD176" s="19">
        <v>0.0</v>
      </c>
      <c r="AE176" s="19">
        <v>0.0</v>
      </c>
      <c r="AF176" s="19">
        <v>0.0</v>
      </c>
      <c r="AG176" s="19">
        <v>0.0</v>
      </c>
      <c r="AH176" s="19">
        <v>0.0</v>
      </c>
      <c r="AI176" s="19">
        <v>0.0</v>
      </c>
      <c r="AJ176" s="19">
        <v>0.0</v>
      </c>
      <c r="AK176" s="19">
        <v>0.0</v>
      </c>
      <c r="AL176" s="19">
        <v>0.0</v>
      </c>
      <c r="AM176" s="19">
        <v>0.0</v>
      </c>
      <c r="AN176" s="19">
        <v>0.0</v>
      </c>
      <c r="AO176" s="19">
        <v>0.0</v>
      </c>
      <c r="AP176" s="19">
        <v>1.0</v>
      </c>
      <c r="AQ176" s="19">
        <v>0.0</v>
      </c>
      <c r="AR176" s="19">
        <v>0.0</v>
      </c>
      <c r="AS176" s="13">
        <f t="shared" si="8"/>
        <v>3</v>
      </c>
      <c r="AT176" s="1"/>
      <c r="AU176" s="1"/>
    </row>
    <row r="177" ht="12.75" customHeight="1">
      <c r="A177" s="19" t="s">
        <v>15</v>
      </c>
      <c r="B177" s="47" t="s">
        <v>46</v>
      </c>
      <c r="C177" s="15"/>
      <c r="D177" s="16"/>
      <c r="E177" s="56">
        <f t="shared" ref="E177:AR177" si="26">SUM(E174:E176)</f>
        <v>1</v>
      </c>
      <c r="F177" s="56">
        <f t="shared" si="26"/>
        <v>1</v>
      </c>
      <c r="G177" s="56">
        <f t="shared" si="26"/>
        <v>4</v>
      </c>
      <c r="H177" s="56">
        <f t="shared" si="26"/>
        <v>7</v>
      </c>
      <c r="I177" s="56">
        <f t="shared" si="26"/>
        <v>0</v>
      </c>
      <c r="J177" s="56">
        <f t="shared" si="26"/>
        <v>0</v>
      </c>
      <c r="K177" s="56">
        <f t="shared" si="26"/>
        <v>1</v>
      </c>
      <c r="L177" s="56">
        <f t="shared" si="26"/>
        <v>3</v>
      </c>
      <c r="M177" s="56">
        <f t="shared" si="26"/>
        <v>0</v>
      </c>
      <c r="N177" s="56">
        <f t="shared" si="26"/>
        <v>3</v>
      </c>
      <c r="O177" s="56">
        <f t="shared" si="26"/>
        <v>0</v>
      </c>
      <c r="P177" s="56">
        <f t="shared" si="26"/>
        <v>0</v>
      </c>
      <c r="Q177" s="56">
        <f t="shared" si="26"/>
        <v>2</v>
      </c>
      <c r="R177" s="56">
        <f t="shared" si="26"/>
        <v>2</v>
      </c>
      <c r="S177" s="56">
        <f t="shared" si="26"/>
        <v>0</v>
      </c>
      <c r="T177" s="56">
        <f t="shared" si="26"/>
        <v>3</v>
      </c>
      <c r="U177" s="56">
        <f t="shared" si="26"/>
        <v>7</v>
      </c>
      <c r="V177" s="56">
        <f t="shared" si="26"/>
        <v>6</v>
      </c>
      <c r="W177" s="56">
        <f t="shared" si="26"/>
        <v>0</v>
      </c>
      <c r="X177" s="56">
        <f t="shared" si="26"/>
        <v>8</v>
      </c>
      <c r="Y177" s="56">
        <f t="shared" si="26"/>
        <v>6</v>
      </c>
      <c r="Z177" s="56">
        <f t="shared" si="26"/>
        <v>5</v>
      </c>
      <c r="AA177" s="56">
        <f t="shared" si="26"/>
        <v>2</v>
      </c>
      <c r="AB177" s="56">
        <f t="shared" si="26"/>
        <v>0</v>
      </c>
      <c r="AC177" s="56">
        <f t="shared" si="26"/>
        <v>0</v>
      </c>
      <c r="AD177" s="56">
        <f t="shared" si="26"/>
        <v>0</v>
      </c>
      <c r="AE177" s="56">
        <f t="shared" si="26"/>
        <v>0</v>
      </c>
      <c r="AF177" s="56">
        <f t="shared" si="26"/>
        <v>1</v>
      </c>
      <c r="AG177" s="56">
        <f t="shared" si="26"/>
        <v>0</v>
      </c>
      <c r="AH177" s="56">
        <f t="shared" si="26"/>
        <v>0</v>
      </c>
      <c r="AI177" s="56">
        <f t="shared" si="26"/>
        <v>0</v>
      </c>
      <c r="AJ177" s="56">
        <f t="shared" si="26"/>
        <v>0</v>
      </c>
      <c r="AK177" s="56">
        <f t="shared" si="26"/>
        <v>0</v>
      </c>
      <c r="AL177" s="56">
        <f t="shared" si="26"/>
        <v>1</v>
      </c>
      <c r="AM177" s="56">
        <f t="shared" si="26"/>
        <v>0</v>
      </c>
      <c r="AN177" s="56">
        <f t="shared" si="26"/>
        <v>0</v>
      </c>
      <c r="AO177" s="56">
        <f t="shared" si="26"/>
        <v>13</v>
      </c>
      <c r="AP177" s="56">
        <f t="shared" si="26"/>
        <v>9</v>
      </c>
      <c r="AQ177" s="56">
        <f t="shared" si="26"/>
        <v>3</v>
      </c>
      <c r="AR177" s="56">
        <f t="shared" si="26"/>
        <v>1</v>
      </c>
      <c r="AS177" s="13">
        <f t="shared" si="8"/>
        <v>89</v>
      </c>
    </row>
    <row r="178" ht="12.75" customHeight="1">
      <c r="A178" s="45"/>
      <c r="B178" s="44"/>
      <c r="C178" s="44"/>
      <c r="D178" s="28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13">
        <f t="shared" si="8"/>
        <v>0</v>
      </c>
      <c r="AT178" s="5"/>
      <c r="AU178" s="5"/>
    </row>
    <row r="179" ht="12.75" customHeight="1">
      <c r="A179" s="42" t="s">
        <v>151</v>
      </c>
      <c r="B179" s="14" t="s">
        <v>152</v>
      </c>
      <c r="C179" s="15"/>
      <c r="D179" s="16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13">
        <f t="shared" si="8"/>
        <v>0</v>
      </c>
      <c r="AT179" s="5"/>
      <c r="AU179" s="5"/>
    </row>
    <row r="180" ht="12.75" customHeight="1">
      <c r="A180" s="42"/>
      <c r="B180" s="60" t="s">
        <v>153</v>
      </c>
      <c r="C180" s="61" t="s">
        <v>154</v>
      </c>
      <c r="D180" s="16"/>
      <c r="E180" s="19">
        <f t="shared" ref="E180:AR180" si="27">E177+E172+E163+E157+E153+E144+E135+E128+E124+E115+E108+E99+E94+E88+E79+E70+E61+E52</f>
        <v>185</v>
      </c>
      <c r="F180" s="19">
        <f t="shared" si="27"/>
        <v>178</v>
      </c>
      <c r="G180" s="19">
        <f t="shared" si="27"/>
        <v>164</v>
      </c>
      <c r="H180" s="19">
        <f t="shared" si="27"/>
        <v>188</v>
      </c>
      <c r="I180" s="19">
        <f t="shared" si="27"/>
        <v>175</v>
      </c>
      <c r="J180" s="19">
        <f t="shared" si="27"/>
        <v>152</v>
      </c>
      <c r="K180" s="19">
        <f t="shared" si="27"/>
        <v>158</v>
      </c>
      <c r="L180" s="19">
        <f t="shared" si="27"/>
        <v>173</v>
      </c>
      <c r="M180" s="19">
        <f t="shared" si="27"/>
        <v>183</v>
      </c>
      <c r="N180" s="19">
        <f t="shared" si="27"/>
        <v>176</v>
      </c>
      <c r="O180" s="19">
        <f t="shared" si="27"/>
        <v>180</v>
      </c>
      <c r="P180" s="19">
        <f t="shared" si="27"/>
        <v>154</v>
      </c>
      <c r="Q180" s="19">
        <f t="shared" si="27"/>
        <v>184</v>
      </c>
      <c r="R180" s="19">
        <f t="shared" si="27"/>
        <v>161</v>
      </c>
      <c r="S180" s="19">
        <f t="shared" si="27"/>
        <v>198</v>
      </c>
      <c r="T180" s="19">
        <f t="shared" si="27"/>
        <v>184</v>
      </c>
      <c r="U180" s="19">
        <f t="shared" si="27"/>
        <v>171</v>
      </c>
      <c r="V180" s="19">
        <f t="shared" si="27"/>
        <v>146</v>
      </c>
      <c r="W180" s="19">
        <f t="shared" si="27"/>
        <v>207</v>
      </c>
      <c r="X180" s="19">
        <f t="shared" si="27"/>
        <v>195</v>
      </c>
      <c r="Y180" s="19">
        <f t="shared" si="27"/>
        <v>202</v>
      </c>
      <c r="Z180" s="19">
        <f t="shared" si="27"/>
        <v>202</v>
      </c>
      <c r="AA180" s="19">
        <f t="shared" si="27"/>
        <v>225</v>
      </c>
      <c r="AB180" s="19">
        <f t="shared" si="27"/>
        <v>183</v>
      </c>
      <c r="AC180" s="19">
        <f t="shared" si="27"/>
        <v>191</v>
      </c>
      <c r="AD180" s="19">
        <f t="shared" si="27"/>
        <v>235</v>
      </c>
      <c r="AE180" s="19">
        <f t="shared" si="27"/>
        <v>222</v>
      </c>
      <c r="AF180" s="19">
        <f t="shared" si="27"/>
        <v>218</v>
      </c>
      <c r="AG180" s="19">
        <f t="shared" si="27"/>
        <v>204</v>
      </c>
      <c r="AH180" s="19">
        <f t="shared" si="27"/>
        <v>182</v>
      </c>
      <c r="AI180" s="19">
        <f t="shared" si="27"/>
        <v>216</v>
      </c>
      <c r="AJ180" s="19">
        <f t="shared" si="27"/>
        <v>194</v>
      </c>
      <c r="AK180" s="19">
        <f t="shared" si="27"/>
        <v>202</v>
      </c>
      <c r="AL180" s="19">
        <f t="shared" si="27"/>
        <v>191</v>
      </c>
      <c r="AM180" s="19">
        <f t="shared" si="27"/>
        <v>197</v>
      </c>
      <c r="AN180" s="19">
        <f t="shared" si="27"/>
        <v>235</v>
      </c>
      <c r="AO180" s="19">
        <f t="shared" si="27"/>
        <v>192</v>
      </c>
      <c r="AP180" s="19">
        <f t="shared" si="27"/>
        <v>217</v>
      </c>
      <c r="AQ180" s="19">
        <f t="shared" si="27"/>
        <v>185</v>
      </c>
      <c r="AR180" s="19">
        <f t="shared" si="27"/>
        <v>183</v>
      </c>
      <c r="AS180" s="13">
        <f t="shared" si="8"/>
        <v>7588</v>
      </c>
      <c r="AT180" s="5"/>
      <c r="AU180" s="5"/>
    </row>
    <row r="181" ht="12.75" customHeight="1">
      <c r="A181" s="35"/>
      <c r="B181" s="60" t="s">
        <v>155</v>
      </c>
      <c r="C181" s="61" t="s">
        <v>156</v>
      </c>
      <c r="D181" s="16"/>
      <c r="E181" s="19">
        <v>19.0</v>
      </c>
      <c r="F181" s="19">
        <v>13.0</v>
      </c>
      <c r="G181" s="19">
        <v>14.0</v>
      </c>
      <c r="H181" s="19">
        <v>12.0</v>
      </c>
      <c r="I181" s="19">
        <v>12.0</v>
      </c>
      <c r="J181" s="19">
        <v>14.0</v>
      </c>
      <c r="K181" s="19">
        <v>9.0</v>
      </c>
      <c r="L181" s="19">
        <v>5.0</v>
      </c>
      <c r="M181" s="19">
        <v>15.0</v>
      </c>
      <c r="N181" s="19">
        <v>15.0</v>
      </c>
      <c r="O181" s="19">
        <v>13.0</v>
      </c>
      <c r="P181" s="19">
        <v>19.0</v>
      </c>
      <c r="Q181" s="19">
        <v>19.0</v>
      </c>
      <c r="R181" s="19">
        <v>14.0</v>
      </c>
      <c r="S181" s="19">
        <v>24.0</v>
      </c>
      <c r="T181" s="19">
        <v>28.0</v>
      </c>
      <c r="U181" s="19">
        <v>17.0</v>
      </c>
      <c r="V181" s="19">
        <v>10.0</v>
      </c>
      <c r="W181" s="19">
        <v>8.0</v>
      </c>
      <c r="X181" s="19">
        <v>14.0</v>
      </c>
      <c r="Y181" s="19">
        <v>4.0</v>
      </c>
      <c r="Z181" s="19">
        <v>21.0</v>
      </c>
      <c r="AA181" s="19">
        <v>8.0</v>
      </c>
      <c r="AB181" s="19">
        <v>10.0</v>
      </c>
      <c r="AC181" s="19">
        <v>8.0</v>
      </c>
      <c r="AD181" s="19">
        <v>3.0</v>
      </c>
      <c r="AE181" s="19">
        <v>9.0</v>
      </c>
      <c r="AF181" s="19">
        <v>11.0</v>
      </c>
      <c r="AG181" s="19">
        <v>18.0</v>
      </c>
      <c r="AH181" s="19">
        <v>5.0</v>
      </c>
      <c r="AI181" s="19">
        <v>5.0</v>
      </c>
      <c r="AJ181" s="19">
        <v>3.0</v>
      </c>
      <c r="AK181" s="19">
        <v>15.0</v>
      </c>
      <c r="AL181" s="19">
        <v>14.0</v>
      </c>
      <c r="AM181" s="19">
        <v>3.0</v>
      </c>
      <c r="AN181" s="19">
        <v>0.0</v>
      </c>
      <c r="AO181" s="19">
        <v>8.0</v>
      </c>
      <c r="AP181" s="19">
        <v>16.0</v>
      </c>
      <c r="AQ181" s="19">
        <v>12.0</v>
      </c>
      <c r="AR181" s="19">
        <v>13.0</v>
      </c>
      <c r="AS181" s="13">
        <f t="shared" si="8"/>
        <v>480</v>
      </c>
      <c r="AT181" s="5"/>
      <c r="AU181" s="5"/>
    </row>
    <row r="182" ht="12.75" customHeight="1">
      <c r="A182" s="41"/>
      <c r="B182" s="60" t="s">
        <v>157</v>
      </c>
      <c r="C182" s="61" t="s">
        <v>158</v>
      </c>
      <c r="D182" s="16"/>
      <c r="E182" s="29">
        <f t="shared" ref="E182:AR182" si="28">SUM(E180:E181)</f>
        <v>204</v>
      </c>
      <c r="F182" s="29">
        <f t="shared" si="28"/>
        <v>191</v>
      </c>
      <c r="G182" s="29">
        <f t="shared" si="28"/>
        <v>178</v>
      </c>
      <c r="H182" s="29">
        <f t="shared" si="28"/>
        <v>200</v>
      </c>
      <c r="I182" s="29">
        <f t="shared" si="28"/>
        <v>187</v>
      </c>
      <c r="J182" s="29">
        <f t="shared" si="28"/>
        <v>166</v>
      </c>
      <c r="K182" s="29">
        <f t="shared" si="28"/>
        <v>167</v>
      </c>
      <c r="L182" s="29">
        <f t="shared" si="28"/>
        <v>178</v>
      </c>
      <c r="M182" s="29">
        <f t="shared" si="28"/>
        <v>198</v>
      </c>
      <c r="N182" s="29">
        <f t="shared" si="28"/>
        <v>191</v>
      </c>
      <c r="O182" s="29">
        <f t="shared" si="28"/>
        <v>193</v>
      </c>
      <c r="P182" s="29">
        <f t="shared" si="28"/>
        <v>173</v>
      </c>
      <c r="Q182" s="29">
        <f t="shared" si="28"/>
        <v>203</v>
      </c>
      <c r="R182" s="29">
        <f t="shared" si="28"/>
        <v>175</v>
      </c>
      <c r="S182" s="29">
        <f t="shared" si="28"/>
        <v>222</v>
      </c>
      <c r="T182" s="29">
        <f t="shared" si="28"/>
        <v>212</v>
      </c>
      <c r="U182" s="29">
        <f t="shared" si="28"/>
        <v>188</v>
      </c>
      <c r="V182" s="29">
        <f t="shared" si="28"/>
        <v>156</v>
      </c>
      <c r="W182" s="29">
        <f t="shared" si="28"/>
        <v>215</v>
      </c>
      <c r="X182" s="29">
        <f t="shared" si="28"/>
        <v>209</v>
      </c>
      <c r="Y182" s="29">
        <f t="shared" si="28"/>
        <v>206</v>
      </c>
      <c r="Z182" s="29">
        <f t="shared" si="28"/>
        <v>223</v>
      </c>
      <c r="AA182" s="29">
        <f t="shared" si="28"/>
        <v>233</v>
      </c>
      <c r="AB182" s="29">
        <f t="shared" si="28"/>
        <v>193</v>
      </c>
      <c r="AC182" s="29">
        <f t="shared" si="28"/>
        <v>199</v>
      </c>
      <c r="AD182" s="29">
        <f t="shared" si="28"/>
        <v>238</v>
      </c>
      <c r="AE182" s="29">
        <f t="shared" si="28"/>
        <v>231</v>
      </c>
      <c r="AF182" s="29">
        <f t="shared" si="28"/>
        <v>229</v>
      </c>
      <c r="AG182" s="29">
        <f t="shared" si="28"/>
        <v>222</v>
      </c>
      <c r="AH182" s="29">
        <f t="shared" si="28"/>
        <v>187</v>
      </c>
      <c r="AI182" s="29">
        <f t="shared" si="28"/>
        <v>221</v>
      </c>
      <c r="AJ182" s="29">
        <f t="shared" si="28"/>
        <v>197</v>
      </c>
      <c r="AK182" s="29">
        <f t="shared" si="28"/>
        <v>217</v>
      </c>
      <c r="AL182" s="29">
        <f t="shared" si="28"/>
        <v>205</v>
      </c>
      <c r="AM182" s="29">
        <f t="shared" si="28"/>
        <v>200</v>
      </c>
      <c r="AN182" s="29">
        <f t="shared" si="28"/>
        <v>235</v>
      </c>
      <c r="AO182" s="29">
        <f t="shared" si="28"/>
        <v>200</v>
      </c>
      <c r="AP182" s="29">
        <f t="shared" si="28"/>
        <v>233</v>
      </c>
      <c r="AQ182" s="29">
        <f t="shared" si="28"/>
        <v>197</v>
      </c>
      <c r="AR182" s="29">
        <f t="shared" si="28"/>
        <v>196</v>
      </c>
      <c r="AS182" s="13">
        <f t="shared" si="8"/>
        <v>8068</v>
      </c>
      <c r="AT182" s="5"/>
      <c r="AU182" s="5"/>
    </row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0">
    <mergeCell ref="B108:D108"/>
    <mergeCell ref="C110:D110"/>
    <mergeCell ref="B115:D115"/>
    <mergeCell ref="C117:D117"/>
    <mergeCell ref="B124:D124"/>
    <mergeCell ref="C126:D126"/>
    <mergeCell ref="B128:D128"/>
    <mergeCell ref="C130:D130"/>
    <mergeCell ref="B135:D135"/>
    <mergeCell ref="C137:D137"/>
    <mergeCell ref="B144:D144"/>
    <mergeCell ref="C146:D146"/>
    <mergeCell ref="B153:D153"/>
    <mergeCell ref="C155:D155"/>
    <mergeCell ref="A178:D178"/>
    <mergeCell ref="B179:D179"/>
    <mergeCell ref="C180:D180"/>
    <mergeCell ref="C181:D181"/>
    <mergeCell ref="C182:D182"/>
    <mergeCell ref="B157:D157"/>
    <mergeCell ref="C159:D159"/>
    <mergeCell ref="B163:D163"/>
    <mergeCell ref="C165:D165"/>
    <mergeCell ref="B172:D172"/>
    <mergeCell ref="C174:D174"/>
    <mergeCell ref="B177:D177"/>
    <mergeCell ref="B12:D12"/>
    <mergeCell ref="E12:AR12"/>
    <mergeCell ref="AS12:A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4:D94"/>
    <mergeCell ref="C96:D96"/>
    <mergeCell ref="B99:D99"/>
    <mergeCell ref="C101:D101"/>
  </mergeCells>
  <conditionalFormatting sqref="E34:T34 AF34">
    <cfRule type="expression" dxfId="0" priority="1">
      <formula>E34&lt;&gt;E64</formula>
    </cfRule>
  </conditionalFormatting>
  <conditionalFormatting sqref="E14:AR15">
    <cfRule type="containsBlanks" dxfId="1" priority="2">
      <formula>LEN(TRIM(E14))=0</formula>
    </cfRule>
  </conditionalFormatting>
  <conditionalFormatting sqref="E19:AR20">
    <cfRule type="containsBlanks" dxfId="1" priority="3">
      <formula>LEN(TRIM(E19))=0</formula>
    </cfRule>
  </conditionalFormatting>
  <conditionalFormatting sqref="E22:AR23 E25:AR26 E33:AR33 E35:AR35 E39:AR40">
    <cfRule type="containsBlanks" dxfId="1" priority="4">
      <formula>LEN(TRIM(E22))=0</formula>
    </cfRule>
  </conditionalFormatting>
  <conditionalFormatting sqref="E30:AR30">
    <cfRule type="expression" dxfId="0" priority="5">
      <formula>E30&lt;&gt;E47</formula>
    </cfRule>
  </conditionalFormatting>
  <conditionalFormatting sqref="E30:AR30">
    <cfRule type="expression" dxfId="0" priority="6">
      <formula>E30&lt;&gt;E34</formula>
    </cfRule>
  </conditionalFormatting>
  <conditionalFormatting sqref="E34:AR34">
    <cfRule type="expression" dxfId="2" priority="7">
      <formula>E30&lt;&gt;E34</formula>
    </cfRule>
  </conditionalFormatting>
  <conditionalFormatting sqref="E34:AR34">
    <cfRule type="expression" dxfId="3" priority="8">
      <formula>E30=E34</formula>
    </cfRule>
  </conditionalFormatting>
  <conditionalFormatting sqref="E34:AR34">
    <cfRule type="expression" dxfId="0" priority="9">
      <formula>E34&lt;&gt;E30</formula>
    </cfRule>
  </conditionalFormatting>
  <conditionalFormatting sqref="E45:AR51">
    <cfRule type="containsBlanks" dxfId="1" priority="10">
      <formula>LEN(TRIM(E45))=0</formula>
    </cfRule>
  </conditionalFormatting>
  <conditionalFormatting sqref="E54:AR60">
    <cfRule type="containsBlanks" dxfId="1" priority="11">
      <formula>LEN(TRIM(E54))=0</formula>
    </cfRule>
  </conditionalFormatting>
  <conditionalFormatting sqref="E63:AR69">
    <cfRule type="containsBlanks" dxfId="1" priority="12">
      <formula>LEN(TRIM(E63))=0</formula>
    </cfRule>
  </conditionalFormatting>
  <conditionalFormatting sqref="E72:AR78">
    <cfRule type="containsBlanks" dxfId="1" priority="13">
      <formula>LEN(TRIM(E72))=0</formula>
    </cfRule>
  </conditionalFormatting>
  <conditionalFormatting sqref="E81:AR87">
    <cfRule type="containsBlanks" dxfId="1" priority="14">
      <formula>LEN(TRIM(E81))=0</formula>
    </cfRule>
  </conditionalFormatting>
  <conditionalFormatting sqref="E90:AR93">
    <cfRule type="containsBlanks" dxfId="1" priority="15">
      <formula>LEN(TRIM(E90))=0</formula>
    </cfRule>
  </conditionalFormatting>
  <conditionalFormatting sqref="E96:AR98">
    <cfRule type="containsBlanks" dxfId="1" priority="16">
      <formula>LEN(TRIM(E96))=0</formula>
    </cfRule>
  </conditionalFormatting>
  <conditionalFormatting sqref="E101:AR107">
    <cfRule type="containsBlanks" dxfId="1" priority="17">
      <formula>LEN(TRIM(E101))=0</formula>
    </cfRule>
  </conditionalFormatting>
  <conditionalFormatting sqref="E110:AR114">
    <cfRule type="containsBlanks" dxfId="1" priority="18">
      <formula>LEN(TRIM(E110))=0</formula>
    </cfRule>
  </conditionalFormatting>
  <conditionalFormatting sqref="E117:AR123">
    <cfRule type="containsBlanks" dxfId="1" priority="19">
      <formula>LEN(TRIM(E117))=0</formula>
    </cfRule>
  </conditionalFormatting>
  <conditionalFormatting sqref="E126:AR127">
    <cfRule type="containsBlanks" dxfId="1" priority="20">
      <formula>LEN(TRIM(E126))=0</formula>
    </cfRule>
  </conditionalFormatting>
  <conditionalFormatting sqref="E130:AR134">
    <cfRule type="containsBlanks" dxfId="1" priority="21">
      <formula>LEN(TRIM(E130))=0</formula>
    </cfRule>
  </conditionalFormatting>
  <conditionalFormatting sqref="E137:AR143">
    <cfRule type="containsBlanks" dxfId="1" priority="22">
      <formula>LEN(TRIM(E137))=0</formula>
    </cfRule>
  </conditionalFormatting>
  <conditionalFormatting sqref="E146:AR152">
    <cfRule type="containsBlanks" dxfId="1" priority="23">
      <formula>LEN(TRIM(E146))=0</formula>
    </cfRule>
  </conditionalFormatting>
  <conditionalFormatting sqref="E155:AR156">
    <cfRule type="containsBlanks" dxfId="1" priority="24">
      <formula>LEN(TRIM(E155))=0</formula>
    </cfRule>
  </conditionalFormatting>
  <conditionalFormatting sqref="E159:AR162">
    <cfRule type="containsBlanks" dxfId="1" priority="25">
      <formula>LEN(TRIM(E159))=0</formula>
    </cfRule>
  </conditionalFormatting>
  <conditionalFormatting sqref="E165:AR171">
    <cfRule type="containsBlanks" dxfId="1" priority="26">
      <formula>LEN(TRIM(E165))=0</formula>
    </cfRule>
  </conditionalFormatting>
  <conditionalFormatting sqref="E174:AR176">
    <cfRule type="containsBlanks" dxfId="1" priority="27">
      <formula>LEN(TRIM(E174))=0</formula>
    </cfRule>
  </conditionalFormatting>
  <conditionalFormatting sqref="E180:AR181">
    <cfRule type="containsBlanks" dxfId="1" priority="28">
      <formula>LEN(TRIM(E180))=0</formula>
    </cfRule>
  </conditionalFormatting>
  <conditionalFormatting sqref="E182:AR182">
    <cfRule type="expression" dxfId="0" priority="29">
      <formula>E182&lt;&gt;E30</formula>
    </cfRule>
  </conditionalFormatting>
  <conditionalFormatting sqref="E182:AR182">
    <cfRule type="expression" dxfId="0" priority="30">
      <formula>E182&lt;&gt;E34</formula>
    </cfRule>
  </conditionalFormatting>
  <conditionalFormatting sqref="U34:AE34">
    <cfRule type="expression" dxfId="0" priority="31">
      <formula>U34&lt;&gt;U47</formula>
    </cfRule>
  </conditionalFormatting>
  <conditionalFormatting sqref="AG34:AR34">
    <cfRule type="expression" dxfId="0" priority="32">
      <formula>AG34&lt;&gt;AG47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7" width="8.71"/>
    <col customWidth="1" min="38" max="38" width="13.29"/>
    <col customWidth="1" min="39" max="4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159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6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161</v>
      </c>
      <c r="F13" s="13" t="s">
        <v>162</v>
      </c>
      <c r="G13" s="13" t="s">
        <v>163</v>
      </c>
      <c r="H13" s="13" t="s">
        <v>164</v>
      </c>
      <c r="I13" s="13" t="s">
        <v>165</v>
      </c>
      <c r="J13" s="13" t="s">
        <v>166</v>
      </c>
      <c r="K13" s="13" t="s">
        <v>167</v>
      </c>
      <c r="L13" s="13" t="s">
        <v>168</v>
      </c>
      <c r="M13" s="13" t="s">
        <v>169</v>
      </c>
      <c r="N13" s="13" t="s">
        <v>170</v>
      </c>
      <c r="O13" s="13" t="s">
        <v>171</v>
      </c>
      <c r="P13" s="13" t="s">
        <v>172</v>
      </c>
      <c r="Q13" s="13" t="s">
        <v>173</v>
      </c>
      <c r="R13" s="13" t="s">
        <v>174</v>
      </c>
      <c r="S13" s="13" t="s">
        <v>175</v>
      </c>
      <c r="T13" s="13" t="s">
        <v>176</v>
      </c>
      <c r="U13" s="13" t="s">
        <v>177</v>
      </c>
      <c r="V13" s="13" t="s">
        <v>178</v>
      </c>
      <c r="W13" s="13" t="s">
        <v>179</v>
      </c>
      <c r="X13" s="13" t="s">
        <v>180</v>
      </c>
      <c r="Y13" s="13" t="s">
        <v>181</v>
      </c>
      <c r="Z13" s="13" t="s">
        <v>182</v>
      </c>
      <c r="AA13" s="13" t="s">
        <v>183</v>
      </c>
      <c r="AB13" s="13" t="s">
        <v>184</v>
      </c>
      <c r="AC13" s="13" t="s">
        <v>185</v>
      </c>
      <c r="AD13" s="13" t="s">
        <v>186</v>
      </c>
      <c r="AE13" s="13" t="s">
        <v>187</v>
      </c>
      <c r="AF13" s="13" t="s">
        <v>188</v>
      </c>
      <c r="AG13" s="13" t="s">
        <v>189</v>
      </c>
      <c r="AH13" s="13" t="s">
        <v>190</v>
      </c>
      <c r="AI13" s="13" t="s">
        <v>191</v>
      </c>
      <c r="AJ13" s="13" t="s">
        <v>192</v>
      </c>
      <c r="AK13" s="13" t="s">
        <v>193</v>
      </c>
      <c r="AL13" s="36"/>
    </row>
    <row r="14" ht="12.75" customHeight="1">
      <c r="A14" s="18"/>
      <c r="B14" s="22" t="s">
        <v>11</v>
      </c>
      <c r="C14" s="23"/>
      <c r="D14" s="19" t="s">
        <v>12</v>
      </c>
      <c r="E14" s="19">
        <v>136.0</v>
      </c>
      <c r="F14" s="19">
        <v>136.0</v>
      </c>
      <c r="G14" s="19">
        <v>145.0</v>
      </c>
      <c r="H14" s="19">
        <v>148.0</v>
      </c>
      <c r="I14" s="19">
        <v>114.0</v>
      </c>
      <c r="J14" s="19">
        <v>134.0</v>
      </c>
      <c r="K14" s="19">
        <v>130.0</v>
      </c>
      <c r="L14" s="19">
        <v>136.0</v>
      </c>
      <c r="M14" s="19">
        <v>132.0</v>
      </c>
      <c r="N14" s="19">
        <v>123.0</v>
      </c>
      <c r="O14" s="19">
        <v>117.0</v>
      </c>
      <c r="P14" s="19">
        <v>133.0</v>
      </c>
      <c r="Q14" s="19">
        <v>130.0</v>
      </c>
      <c r="R14" s="19">
        <v>132.0</v>
      </c>
      <c r="S14" s="19">
        <v>145.0</v>
      </c>
      <c r="T14" s="19">
        <v>128.0</v>
      </c>
      <c r="U14" s="19">
        <v>136.0</v>
      </c>
      <c r="V14" s="19">
        <v>122.0</v>
      </c>
      <c r="W14" s="19">
        <v>135.0</v>
      </c>
      <c r="X14" s="19">
        <v>135.0</v>
      </c>
      <c r="Y14" s="19">
        <v>141.0</v>
      </c>
      <c r="Z14" s="19">
        <v>133.0</v>
      </c>
      <c r="AA14" s="19">
        <v>142.0</v>
      </c>
      <c r="AB14" s="19">
        <v>158.0</v>
      </c>
      <c r="AC14" s="19">
        <v>141.0</v>
      </c>
      <c r="AD14" s="19">
        <v>146.0</v>
      </c>
      <c r="AE14" s="19">
        <v>131.0</v>
      </c>
      <c r="AF14" s="19">
        <v>140.0</v>
      </c>
      <c r="AG14" s="19">
        <v>134.0</v>
      </c>
      <c r="AH14" s="19">
        <v>133.0</v>
      </c>
      <c r="AI14" s="19">
        <v>121.0</v>
      </c>
      <c r="AJ14" s="19">
        <v>131.0</v>
      </c>
      <c r="AK14" s="19">
        <v>134.0</v>
      </c>
      <c r="AL14" s="13">
        <f t="shared" ref="AL14:AL16" si="1">SUM(E14:AK14)</f>
        <v>4432</v>
      </c>
    </row>
    <row r="15" ht="12.75" customHeight="1">
      <c r="A15" s="18"/>
      <c r="B15" s="26"/>
      <c r="C15" s="27"/>
      <c r="D15" s="19" t="s">
        <v>13</v>
      </c>
      <c r="E15" s="19">
        <v>138.0</v>
      </c>
      <c r="F15" s="19">
        <v>128.0</v>
      </c>
      <c r="G15" s="19">
        <v>154.0</v>
      </c>
      <c r="H15" s="19">
        <v>150.0</v>
      </c>
      <c r="I15" s="19">
        <v>139.0</v>
      </c>
      <c r="J15" s="19">
        <v>132.0</v>
      </c>
      <c r="K15" s="19">
        <v>136.0</v>
      </c>
      <c r="L15" s="19">
        <v>129.0</v>
      </c>
      <c r="M15" s="19">
        <v>126.0</v>
      </c>
      <c r="N15" s="19">
        <v>136.0</v>
      </c>
      <c r="O15" s="19">
        <v>124.0</v>
      </c>
      <c r="P15" s="19">
        <v>141.0</v>
      </c>
      <c r="Q15" s="19">
        <v>129.0</v>
      </c>
      <c r="R15" s="19">
        <v>122.0</v>
      </c>
      <c r="S15" s="19">
        <v>141.0</v>
      </c>
      <c r="T15" s="19">
        <v>122.0</v>
      </c>
      <c r="U15" s="19">
        <v>132.0</v>
      </c>
      <c r="V15" s="19">
        <v>129.0</v>
      </c>
      <c r="W15" s="19">
        <v>134.0</v>
      </c>
      <c r="X15" s="19">
        <v>137.0</v>
      </c>
      <c r="Y15" s="19">
        <v>131.0</v>
      </c>
      <c r="Z15" s="19">
        <v>129.0</v>
      </c>
      <c r="AA15" s="19">
        <v>150.0</v>
      </c>
      <c r="AB15" s="19">
        <v>132.0</v>
      </c>
      <c r="AC15" s="19">
        <v>146.0</v>
      </c>
      <c r="AD15" s="19">
        <v>146.0</v>
      </c>
      <c r="AE15" s="19">
        <v>146.0</v>
      </c>
      <c r="AF15" s="19">
        <v>131.0</v>
      </c>
      <c r="AG15" s="19">
        <v>136.0</v>
      </c>
      <c r="AH15" s="19">
        <v>138.0</v>
      </c>
      <c r="AI15" s="19">
        <v>146.0</v>
      </c>
      <c r="AJ15" s="19">
        <v>140.0</v>
      </c>
      <c r="AK15" s="19">
        <v>132.0</v>
      </c>
      <c r="AL15" s="13">
        <f t="shared" si="1"/>
        <v>4482</v>
      </c>
    </row>
    <row r="16" ht="12.75" customHeight="1">
      <c r="A16" s="25"/>
      <c r="B16" s="21"/>
      <c r="C16" s="28"/>
      <c r="D16" s="13" t="s">
        <v>14</v>
      </c>
      <c r="E16" s="13">
        <f t="shared" ref="E16:AK16" si="2">SUM(E14:E15)</f>
        <v>274</v>
      </c>
      <c r="F16" s="13">
        <f t="shared" si="2"/>
        <v>264</v>
      </c>
      <c r="G16" s="13">
        <f t="shared" si="2"/>
        <v>299</v>
      </c>
      <c r="H16" s="13">
        <f t="shared" si="2"/>
        <v>298</v>
      </c>
      <c r="I16" s="13">
        <f t="shared" si="2"/>
        <v>253</v>
      </c>
      <c r="J16" s="13">
        <f t="shared" si="2"/>
        <v>266</v>
      </c>
      <c r="K16" s="13">
        <f t="shared" si="2"/>
        <v>266</v>
      </c>
      <c r="L16" s="13">
        <f t="shared" si="2"/>
        <v>265</v>
      </c>
      <c r="M16" s="13">
        <f t="shared" si="2"/>
        <v>258</v>
      </c>
      <c r="N16" s="13">
        <f t="shared" si="2"/>
        <v>259</v>
      </c>
      <c r="O16" s="13">
        <f t="shared" si="2"/>
        <v>241</v>
      </c>
      <c r="P16" s="13">
        <f t="shared" si="2"/>
        <v>274</v>
      </c>
      <c r="Q16" s="13">
        <f t="shared" si="2"/>
        <v>259</v>
      </c>
      <c r="R16" s="13">
        <f t="shared" si="2"/>
        <v>254</v>
      </c>
      <c r="S16" s="13">
        <f t="shared" si="2"/>
        <v>286</v>
      </c>
      <c r="T16" s="13">
        <f t="shared" si="2"/>
        <v>250</v>
      </c>
      <c r="U16" s="13">
        <f t="shared" si="2"/>
        <v>268</v>
      </c>
      <c r="V16" s="13">
        <f t="shared" si="2"/>
        <v>251</v>
      </c>
      <c r="W16" s="13">
        <f t="shared" si="2"/>
        <v>269</v>
      </c>
      <c r="X16" s="13">
        <f t="shared" si="2"/>
        <v>272</v>
      </c>
      <c r="Y16" s="13">
        <f t="shared" si="2"/>
        <v>272</v>
      </c>
      <c r="Z16" s="13">
        <f t="shared" si="2"/>
        <v>262</v>
      </c>
      <c r="AA16" s="13">
        <f t="shared" si="2"/>
        <v>292</v>
      </c>
      <c r="AB16" s="13">
        <f t="shared" si="2"/>
        <v>290</v>
      </c>
      <c r="AC16" s="13">
        <f t="shared" si="2"/>
        <v>287</v>
      </c>
      <c r="AD16" s="13">
        <f t="shared" si="2"/>
        <v>292</v>
      </c>
      <c r="AE16" s="13">
        <f t="shared" si="2"/>
        <v>277</v>
      </c>
      <c r="AF16" s="13">
        <f t="shared" si="2"/>
        <v>271</v>
      </c>
      <c r="AG16" s="13">
        <f t="shared" si="2"/>
        <v>270</v>
      </c>
      <c r="AH16" s="13">
        <f t="shared" si="2"/>
        <v>271</v>
      </c>
      <c r="AI16" s="13">
        <f t="shared" si="2"/>
        <v>267</v>
      </c>
      <c r="AJ16" s="13">
        <f t="shared" si="2"/>
        <v>271</v>
      </c>
      <c r="AK16" s="13">
        <f t="shared" si="2"/>
        <v>266</v>
      </c>
      <c r="AL16" s="13">
        <f t="shared" si="1"/>
        <v>8914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98.0</v>
      </c>
      <c r="F19" s="19">
        <v>91.0</v>
      </c>
      <c r="G19" s="19">
        <v>115.0</v>
      </c>
      <c r="H19" s="19">
        <v>156.0</v>
      </c>
      <c r="I19" s="19">
        <v>75.0</v>
      </c>
      <c r="J19" s="19">
        <v>99.0</v>
      </c>
      <c r="K19" s="19">
        <v>86.0</v>
      </c>
      <c r="L19" s="19">
        <v>95.0</v>
      </c>
      <c r="M19" s="19">
        <v>93.0</v>
      </c>
      <c r="N19" s="19">
        <v>101.0</v>
      </c>
      <c r="O19" s="19">
        <v>68.0</v>
      </c>
      <c r="P19" s="19">
        <v>101.0</v>
      </c>
      <c r="Q19" s="19">
        <v>76.0</v>
      </c>
      <c r="R19" s="19">
        <v>101.0</v>
      </c>
      <c r="S19" s="19">
        <v>96.0</v>
      </c>
      <c r="T19" s="19">
        <v>92.0</v>
      </c>
      <c r="U19" s="19">
        <v>102.0</v>
      </c>
      <c r="V19" s="19">
        <v>95.0</v>
      </c>
      <c r="W19" s="19">
        <v>98.0</v>
      </c>
      <c r="X19" s="19">
        <v>102.0</v>
      </c>
      <c r="Y19" s="19">
        <v>104.0</v>
      </c>
      <c r="Z19" s="19">
        <v>102.0</v>
      </c>
      <c r="AA19" s="19">
        <v>107.0</v>
      </c>
      <c r="AB19" s="19">
        <v>109.0</v>
      </c>
      <c r="AC19" s="19">
        <v>107.0</v>
      </c>
      <c r="AD19" s="19">
        <v>104.0</v>
      </c>
      <c r="AE19" s="19">
        <v>112.0</v>
      </c>
      <c r="AF19" s="19">
        <v>111.0</v>
      </c>
      <c r="AG19" s="19">
        <v>108.0</v>
      </c>
      <c r="AH19" s="19">
        <v>104.0</v>
      </c>
      <c r="AI19" s="19">
        <v>100.0</v>
      </c>
      <c r="AJ19" s="19">
        <v>97.0</v>
      </c>
      <c r="AK19" s="19">
        <v>105.0</v>
      </c>
      <c r="AL19" s="13">
        <f t="shared" ref="AL19:AL30" si="3">SUM(E19:AK19)</f>
        <v>3310</v>
      </c>
    </row>
    <row r="20" ht="12.75" customHeight="1">
      <c r="A20" s="33"/>
      <c r="B20" s="27"/>
      <c r="C20" s="34"/>
      <c r="D20" s="19" t="s">
        <v>13</v>
      </c>
      <c r="E20" s="19">
        <v>102.0</v>
      </c>
      <c r="F20" s="19">
        <v>103.0</v>
      </c>
      <c r="G20" s="19">
        <v>123.0</v>
      </c>
      <c r="H20" s="19">
        <v>90.0</v>
      </c>
      <c r="I20" s="19">
        <v>92.0</v>
      </c>
      <c r="J20" s="19">
        <v>103.0</v>
      </c>
      <c r="K20" s="19">
        <v>98.0</v>
      </c>
      <c r="L20" s="19">
        <v>101.0</v>
      </c>
      <c r="M20" s="19">
        <v>98.0</v>
      </c>
      <c r="N20" s="19">
        <v>118.0</v>
      </c>
      <c r="O20" s="19">
        <v>86.0</v>
      </c>
      <c r="P20" s="19">
        <v>115.0</v>
      </c>
      <c r="Q20" s="19">
        <v>92.0</v>
      </c>
      <c r="R20" s="19">
        <v>98.0</v>
      </c>
      <c r="S20" s="19">
        <v>103.0</v>
      </c>
      <c r="T20" s="19">
        <v>95.0</v>
      </c>
      <c r="U20" s="19">
        <v>112.0</v>
      </c>
      <c r="V20" s="19">
        <v>108.0</v>
      </c>
      <c r="W20" s="19">
        <v>101.0</v>
      </c>
      <c r="X20" s="19">
        <v>108.0</v>
      </c>
      <c r="Y20" s="19">
        <v>102.0</v>
      </c>
      <c r="Z20" s="19">
        <v>103.0</v>
      </c>
      <c r="AA20" s="19">
        <v>112.0</v>
      </c>
      <c r="AB20" s="19">
        <v>104.0</v>
      </c>
      <c r="AC20" s="19">
        <v>109.0</v>
      </c>
      <c r="AD20" s="19">
        <v>117.0</v>
      </c>
      <c r="AE20" s="19">
        <v>120.0</v>
      </c>
      <c r="AF20" s="19">
        <v>107.0</v>
      </c>
      <c r="AG20" s="19">
        <v>106.0</v>
      </c>
      <c r="AH20" s="19">
        <v>108.0</v>
      </c>
      <c r="AI20" s="19">
        <v>119.0</v>
      </c>
      <c r="AJ20" s="19">
        <v>118.0</v>
      </c>
      <c r="AK20" s="19">
        <v>106.0</v>
      </c>
      <c r="AL20" s="13">
        <f t="shared" si="3"/>
        <v>3477</v>
      </c>
    </row>
    <row r="21" ht="12.75" customHeight="1">
      <c r="A21" s="35"/>
      <c r="B21" s="28"/>
      <c r="C21" s="36"/>
      <c r="D21" s="13" t="s">
        <v>14</v>
      </c>
      <c r="E21" s="13">
        <v>200.0</v>
      </c>
      <c r="F21" s="13">
        <v>194.0</v>
      </c>
      <c r="G21" s="13">
        <v>238.0</v>
      </c>
      <c r="H21" s="13">
        <v>246.0</v>
      </c>
      <c r="I21" s="13">
        <v>167.0</v>
      </c>
      <c r="J21" s="13">
        <v>202.0</v>
      </c>
      <c r="K21" s="13">
        <v>184.0</v>
      </c>
      <c r="L21" s="13">
        <v>196.0</v>
      </c>
      <c r="M21" s="13">
        <v>191.0</v>
      </c>
      <c r="N21" s="13">
        <v>219.0</v>
      </c>
      <c r="O21" s="13">
        <v>154.0</v>
      </c>
      <c r="P21" s="13">
        <v>216.0</v>
      </c>
      <c r="Q21" s="13">
        <v>168.0</v>
      </c>
      <c r="R21" s="13">
        <v>199.0</v>
      </c>
      <c r="S21" s="13">
        <v>199.0</v>
      </c>
      <c r="T21" s="13">
        <v>187.0</v>
      </c>
      <c r="U21" s="13">
        <v>214.0</v>
      </c>
      <c r="V21" s="13">
        <v>203.0</v>
      </c>
      <c r="W21" s="13">
        <v>199.0</v>
      </c>
      <c r="X21" s="13">
        <v>210.0</v>
      </c>
      <c r="Y21" s="13">
        <v>206.0</v>
      </c>
      <c r="Z21" s="13">
        <v>205.0</v>
      </c>
      <c r="AA21" s="13">
        <v>219.0</v>
      </c>
      <c r="AB21" s="13">
        <v>213.0</v>
      </c>
      <c r="AC21" s="13">
        <v>216.0</v>
      </c>
      <c r="AD21" s="13">
        <v>221.0</v>
      </c>
      <c r="AE21" s="13">
        <v>232.0</v>
      </c>
      <c r="AF21" s="13">
        <v>218.0</v>
      </c>
      <c r="AG21" s="13">
        <v>214.0</v>
      </c>
      <c r="AH21" s="13">
        <v>212.0</v>
      </c>
      <c r="AI21" s="13">
        <f t="shared" ref="AI21:AK21" si="4">SUM(AI19:AI20)</f>
        <v>219</v>
      </c>
      <c r="AJ21" s="13">
        <f t="shared" si="4"/>
        <v>215</v>
      </c>
      <c r="AK21" s="13">
        <f t="shared" si="4"/>
        <v>211</v>
      </c>
      <c r="AL21" s="13">
        <f t="shared" si="3"/>
        <v>6787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1.0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1.0</v>
      </c>
      <c r="M23" s="19">
        <v>0.0</v>
      </c>
      <c r="N23" s="19">
        <v>0.0</v>
      </c>
      <c r="O23" s="19">
        <v>1.0</v>
      </c>
      <c r="P23" s="19">
        <v>0.0</v>
      </c>
      <c r="Q23" s="19">
        <v>0.0</v>
      </c>
      <c r="R23" s="19">
        <v>0.0</v>
      </c>
      <c r="S23" s="19">
        <v>0.0</v>
      </c>
      <c r="T23" s="19">
        <v>1.0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v>0.0</v>
      </c>
      <c r="F24" s="13">
        <v>0.0</v>
      </c>
      <c r="G24" s="13">
        <v>0.0</v>
      </c>
      <c r="H24" s="13">
        <v>0.0</v>
      </c>
      <c r="I24" s="13">
        <v>0.0</v>
      </c>
      <c r="J24" s="13">
        <v>0.0</v>
      </c>
      <c r="K24" s="13">
        <v>0.0</v>
      </c>
      <c r="L24" s="13">
        <v>1.0</v>
      </c>
      <c r="M24" s="13">
        <v>0.0</v>
      </c>
      <c r="N24" s="13">
        <v>0.0</v>
      </c>
      <c r="O24" s="13">
        <v>2.0</v>
      </c>
      <c r="P24" s="13">
        <v>0.0</v>
      </c>
      <c r="Q24" s="13">
        <v>0.0</v>
      </c>
      <c r="R24" s="13">
        <v>0.0</v>
      </c>
      <c r="S24" s="13">
        <v>0.0</v>
      </c>
      <c r="T24" s="13">
        <v>2.0</v>
      </c>
      <c r="U24" s="13">
        <v>0.0</v>
      </c>
      <c r="V24" s="13">
        <v>0.0</v>
      </c>
      <c r="W24" s="13">
        <v>0.0</v>
      </c>
      <c r="X24" s="13">
        <v>0.0</v>
      </c>
      <c r="Y24" s="13">
        <v>0.0</v>
      </c>
      <c r="Z24" s="13">
        <v>0.0</v>
      </c>
      <c r="AA24" s="13">
        <v>0.0</v>
      </c>
      <c r="AB24" s="13">
        <v>0.0</v>
      </c>
      <c r="AC24" s="13">
        <v>0.0</v>
      </c>
      <c r="AD24" s="13">
        <v>0.0</v>
      </c>
      <c r="AE24" s="13">
        <v>0.0</v>
      </c>
      <c r="AF24" s="13">
        <v>0.0</v>
      </c>
      <c r="AG24" s="13">
        <v>0.0</v>
      </c>
      <c r="AH24" s="13">
        <v>0.0</v>
      </c>
      <c r="AI24" s="13">
        <f t="shared" ref="AI24:AK24" si="5">SUM(AI22:AI23)</f>
        <v>0</v>
      </c>
      <c r="AJ24" s="13">
        <f t="shared" si="5"/>
        <v>0</v>
      </c>
      <c r="AK24" s="13">
        <f t="shared" si="5"/>
        <v>0</v>
      </c>
      <c r="AL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3.0</v>
      </c>
      <c r="I25" s="19">
        <v>0.0</v>
      </c>
      <c r="J25" s="19">
        <v>4.0</v>
      </c>
      <c r="K25" s="19">
        <v>1.0</v>
      </c>
      <c r="L25" s="19">
        <v>1.0</v>
      </c>
      <c r="M25" s="19">
        <v>0.0</v>
      </c>
      <c r="N25" s="19">
        <v>3.0</v>
      </c>
      <c r="O25" s="19">
        <v>1.0</v>
      </c>
      <c r="P25" s="19">
        <v>2.0</v>
      </c>
      <c r="Q25" s="19">
        <v>1.0</v>
      </c>
      <c r="R25" s="19">
        <v>4.0</v>
      </c>
      <c r="S25" s="19">
        <v>2.0</v>
      </c>
      <c r="T25" s="19">
        <v>1.0</v>
      </c>
      <c r="U25" s="19">
        <v>0.0</v>
      </c>
      <c r="V25" s="19">
        <v>1.0</v>
      </c>
      <c r="W25" s="19">
        <v>0.0</v>
      </c>
      <c r="X25" s="19">
        <v>0.0</v>
      </c>
      <c r="Y25" s="19">
        <v>1.0</v>
      </c>
      <c r="Z25" s="19">
        <v>1.0</v>
      </c>
      <c r="AA25" s="19">
        <v>0.0</v>
      </c>
      <c r="AB25" s="19">
        <v>1.0</v>
      </c>
      <c r="AC25" s="19">
        <v>2.0</v>
      </c>
      <c r="AD25" s="19">
        <v>1.0</v>
      </c>
      <c r="AE25" s="19">
        <v>2.0</v>
      </c>
      <c r="AF25" s="19">
        <v>5.0</v>
      </c>
      <c r="AG25" s="19">
        <v>3.0</v>
      </c>
      <c r="AH25" s="19">
        <v>0.0</v>
      </c>
      <c r="AI25" s="19">
        <v>3.0</v>
      </c>
      <c r="AJ25" s="19">
        <v>2.0</v>
      </c>
      <c r="AK25" s="19">
        <v>3.0</v>
      </c>
      <c r="AL25" s="13">
        <f t="shared" si="3"/>
        <v>48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2.0</v>
      </c>
      <c r="H26" s="19">
        <v>3.0</v>
      </c>
      <c r="I26" s="19">
        <v>1.0</v>
      </c>
      <c r="J26" s="19">
        <v>2.0</v>
      </c>
      <c r="K26" s="19">
        <v>2.0</v>
      </c>
      <c r="L26" s="19">
        <v>3.0</v>
      </c>
      <c r="M26" s="19">
        <v>1.0</v>
      </c>
      <c r="N26" s="19">
        <v>3.0</v>
      </c>
      <c r="O26" s="19">
        <v>2.0</v>
      </c>
      <c r="P26" s="19">
        <v>3.0</v>
      </c>
      <c r="Q26" s="19">
        <v>4.0</v>
      </c>
      <c r="R26" s="19">
        <v>1.0</v>
      </c>
      <c r="S26" s="19">
        <v>0.0</v>
      </c>
      <c r="T26" s="19">
        <v>0.0</v>
      </c>
      <c r="U26" s="19">
        <v>2.0</v>
      </c>
      <c r="V26" s="19">
        <v>1.0</v>
      </c>
      <c r="W26" s="19">
        <v>0.0</v>
      </c>
      <c r="X26" s="19">
        <v>0.0</v>
      </c>
      <c r="Y26" s="19">
        <v>1.0</v>
      </c>
      <c r="Z26" s="19">
        <v>5.0</v>
      </c>
      <c r="AA26" s="19">
        <v>1.0</v>
      </c>
      <c r="AB26" s="19">
        <v>3.0</v>
      </c>
      <c r="AC26" s="19">
        <v>1.0</v>
      </c>
      <c r="AD26" s="19">
        <v>4.0</v>
      </c>
      <c r="AE26" s="19">
        <v>3.0</v>
      </c>
      <c r="AF26" s="19">
        <v>3.0</v>
      </c>
      <c r="AG26" s="19">
        <v>2.0</v>
      </c>
      <c r="AH26" s="19">
        <v>0.0</v>
      </c>
      <c r="AI26" s="19">
        <v>3.0</v>
      </c>
      <c r="AJ26" s="19">
        <v>4.0</v>
      </c>
      <c r="AK26" s="19">
        <v>5.0</v>
      </c>
      <c r="AL26" s="13">
        <f t="shared" si="3"/>
        <v>68</v>
      </c>
    </row>
    <row r="27" ht="12.75" customHeight="1">
      <c r="A27" s="35"/>
      <c r="B27" s="28"/>
      <c r="C27" s="36"/>
      <c r="D27" s="13" t="s">
        <v>14</v>
      </c>
      <c r="E27" s="13">
        <v>2.0</v>
      </c>
      <c r="F27" s="13">
        <v>1.0</v>
      </c>
      <c r="G27" s="13">
        <v>2.0</v>
      </c>
      <c r="H27" s="13">
        <v>6.0</v>
      </c>
      <c r="I27" s="13">
        <v>1.0</v>
      </c>
      <c r="J27" s="13">
        <v>6.0</v>
      </c>
      <c r="K27" s="13">
        <v>3.0</v>
      </c>
      <c r="L27" s="13">
        <v>4.0</v>
      </c>
      <c r="M27" s="13">
        <v>1.0</v>
      </c>
      <c r="N27" s="13">
        <v>6.0</v>
      </c>
      <c r="O27" s="13">
        <v>3.0</v>
      </c>
      <c r="P27" s="13">
        <v>5.0</v>
      </c>
      <c r="Q27" s="13">
        <v>5.0</v>
      </c>
      <c r="R27" s="13">
        <v>5.0</v>
      </c>
      <c r="S27" s="13">
        <v>2.0</v>
      </c>
      <c r="T27" s="13">
        <v>1.0</v>
      </c>
      <c r="U27" s="13">
        <v>2.0</v>
      </c>
      <c r="V27" s="13">
        <v>2.0</v>
      </c>
      <c r="W27" s="13">
        <v>0.0</v>
      </c>
      <c r="X27" s="13">
        <v>0.0</v>
      </c>
      <c r="Y27" s="13">
        <v>2.0</v>
      </c>
      <c r="Z27" s="13">
        <v>6.0</v>
      </c>
      <c r="AA27" s="13">
        <v>1.0</v>
      </c>
      <c r="AB27" s="13">
        <v>4.0</v>
      </c>
      <c r="AC27" s="13">
        <v>3.0</v>
      </c>
      <c r="AD27" s="13">
        <v>5.0</v>
      </c>
      <c r="AE27" s="13">
        <v>5.0</v>
      </c>
      <c r="AF27" s="13">
        <v>8.0</v>
      </c>
      <c r="AG27" s="13">
        <v>5.0</v>
      </c>
      <c r="AH27" s="13">
        <v>0.0</v>
      </c>
      <c r="AI27" s="13">
        <f t="shared" ref="AI27:AK27" si="6">SUM(AI25:AI26)</f>
        <v>6</v>
      </c>
      <c r="AJ27" s="13">
        <f t="shared" si="6"/>
        <v>6</v>
      </c>
      <c r="AK27" s="13">
        <f t="shared" si="6"/>
        <v>8</v>
      </c>
      <c r="AL27" s="13">
        <f t="shared" si="3"/>
        <v>116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98.0</v>
      </c>
      <c r="F28" s="13">
        <v>91.0</v>
      </c>
      <c r="G28" s="13">
        <v>115.0</v>
      </c>
      <c r="H28" s="13">
        <v>159.0</v>
      </c>
      <c r="I28" s="13">
        <v>75.0</v>
      </c>
      <c r="J28" s="13">
        <v>103.0</v>
      </c>
      <c r="K28" s="13">
        <v>87.0</v>
      </c>
      <c r="L28" s="13">
        <v>96.0</v>
      </c>
      <c r="M28" s="13">
        <v>93.0</v>
      </c>
      <c r="N28" s="13">
        <v>104.0</v>
      </c>
      <c r="O28" s="13">
        <v>70.0</v>
      </c>
      <c r="P28" s="13">
        <v>103.0</v>
      </c>
      <c r="Q28" s="13">
        <v>77.0</v>
      </c>
      <c r="R28" s="13">
        <v>105.0</v>
      </c>
      <c r="S28" s="13">
        <v>98.0</v>
      </c>
      <c r="T28" s="13">
        <v>94.0</v>
      </c>
      <c r="U28" s="13">
        <v>102.0</v>
      </c>
      <c r="V28" s="13">
        <v>96.0</v>
      </c>
      <c r="W28" s="13">
        <v>98.0</v>
      </c>
      <c r="X28" s="13">
        <v>102.0</v>
      </c>
      <c r="Y28" s="13">
        <v>105.0</v>
      </c>
      <c r="Z28" s="13">
        <v>103.0</v>
      </c>
      <c r="AA28" s="13">
        <v>107.0</v>
      </c>
      <c r="AB28" s="13">
        <v>110.0</v>
      </c>
      <c r="AC28" s="13">
        <v>109.0</v>
      </c>
      <c r="AD28" s="13">
        <v>105.0</v>
      </c>
      <c r="AE28" s="13">
        <v>114.0</v>
      </c>
      <c r="AF28" s="13">
        <v>116.0</v>
      </c>
      <c r="AG28" s="13">
        <v>111.0</v>
      </c>
      <c r="AH28" s="13">
        <v>104.0</v>
      </c>
      <c r="AI28" s="13">
        <f t="shared" ref="AI28:AK28" si="7">SUM(AI19,AI22,AI25)</f>
        <v>103</v>
      </c>
      <c r="AJ28" s="13">
        <f t="shared" si="7"/>
        <v>99</v>
      </c>
      <c r="AK28" s="13">
        <f t="shared" si="7"/>
        <v>108</v>
      </c>
      <c r="AL28" s="13">
        <f t="shared" si="3"/>
        <v>3360</v>
      </c>
    </row>
    <row r="29" ht="12.75" customHeight="1">
      <c r="A29" s="35"/>
      <c r="B29" s="27"/>
      <c r="C29" s="34"/>
      <c r="D29" s="13" t="s">
        <v>13</v>
      </c>
      <c r="E29" s="13">
        <v>104.0</v>
      </c>
      <c r="F29" s="13">
        <v>104.0</v>
      </c>
      <c r="G29" s="13">
        <v>125.0</v>
      </c>
      <c r="H29" s="13">
        <v>93.0</v>
      </c>
      <c r="I29" s="13">
        <v>93.0</v>
      </c>
      <c r="J29" s="13">
        <v>105.0</v>
      </c>
      <c r="K29" s="13">
        <v>100.0</v>
      </c>
      <c r="L29" s="13">
        <v>105.0</v>
      </c>
      <c r="M29" s="13">
        <v>99.0</v>
      </c>
      <c r="N29" s="13">
        <v>121.0</v>
      </c>
      <c r="O29" s="13">
        <v>89.0</v>
      </c>
      <c r="P29" s="13">
        <v>118.0</v>
      </c>
      <c r="Q29" s="13">
        <v>96.0</v>
      </c>
      <c r="R29" s="13">
        <v>99.0</v>
      </c>
      <c r="S29" s="13">
        <v>103.0</v>
      </c>
      <c r="T29" s="13">
        <v>96.0</v>
      </c>
      <c r="U29" s="13">
        <v>114.0</v>
      </c>
      <c r="V29" s="13">
        <v>109.0</v>
      </c>
      <c r="W29" s="13">
        <v>101.0</v>
      </c>
      <c r="X29" s="13">
        <v>108.0</v>
      </c>
      <c r="Y29" s="13">
        <v>103.0</v>
      </c>
      <c r="Z29" s="13">
        <v>108.0</v>
      </c>
      <c r="AA29" s="13">
        <v>113.0</v>
      </c>
      <c r="AB29" s="13">
        <v>107.0</v>
      </c>
      <c r="AC29" s="13">
        <v>110.0</v>
      </c>
      <c r="AD29" s="13">
        <v>121.0</v>
      </c>
      <c r="AE29" s="13">
        <v>123.0</v>
      </c>
      <c r="AF29" s="13">
        <v>110.0</v>
      </c>
      <c r="AG29" s="13">
        <v>108.0</v>
      </c>
      <c r="AH29" s="13">
        <v>108.0</v>
      </c>
      <c r="AI29" s="13">
        <f t="shared" ref="AI29:AK29" si="8">SUM(AI20,AI23,AI26)</f>
        <v>122</v>
      </c>
      <c r="AJ29" s="13">
        <f t="shared" si="8"/>
        <v>122</v>
      </c>
      <c r="AK29" s="13">
        <f t="shared" si="8"/>
        <v>111</v>
      </c>
      <c r="AL29" s="13">
        <f t="shared" si="3"/>
        <v>3548</v>
      </c>
    </row>
    <row r="30" ht="12.75" customHeight="1">
      <c r="A30" s="35"/>
      <c r="B30" s="28"/>
      <c r="C30" s="36"/>
      <c r="D30" s="13" t="s">
        <v>14</v>
      </c>
      <c r="E30" s="13">
        <f t="shared" ref="E30:AK30" si="9">SUM(E28:E29)</f>
        <v>202</v>
      </c>
      <c r="F30" s="13">
        <f t="shared" si="9"/>
        <v>195</v>
      </c>
      <c r="G30" s="13">
        <f t="shared" si="9"/>
        <v>240</v>
      </c>
      <c r="H30" s="13">
        <f t="shared" si="9"/>
        <v>252</v>
      </c>
      <c r="I30" s="13">
        <f t="shared" si="9"/>
        <v>168</v>
      </c>
      <c r="J30" s="13">
        <f t="shared" si="9"/>
        <v>208</v>
      </c>
      <c r="K30" s="13">
        <f t="shared" si="9"/>
        <v>187</v>
      </c>
      <c r="L30" s="13">
        <f t="shared" si="9"/>
        <v>201</v>
      </c>
      <c r="M30" s="13">
        <f t="shared" si="9"/>
        <v>192</v>
      </c>
      <c r="N30" s="13">
        <f t="shared" si="9"/>
        <v>225</v>
      </c>
      <c r="O30" s="13">
        <f t="shared" si="9"/>
        <v>159</v>
      </c>
      <c r="P30" s="13">
        <f t="shared" si="9"/>
        <v>221</v>
      </c>
      <c r="Q30" s="13">
        <f t="shared" si="9"/>
        <v>173</v>
      </c>
      <c r="R30" s="13">
        <f t="shared" si="9"/>
        <v>204</v>
      </c>
      <c r="S30" s="13">
        <f t="shared" si="9"/>
        <v>201</v>
      </c>
      <c r="T30" s="13">
        <f t="shared" si="9"/>
        <v>190</v>
      </c>
      <c r="U30" s="13">
        <f t="shared" si="9"/>
        <v>216</v>
      </c>
      <c r="V30" s="13">
        <f t="shared" si="9"/>
        <v>205</v>
      </c>
      <c r="W30" s="13">
        <f t="shared" si="9"/>
        <v>199</v>
      </c>
      <c r="X30" s="13">
        <f t="shared" si="9"/>
        <v>210</v>
      </c>
      <c r="Y30" s="13">
        <f t="shared" si="9"/>
        <v>208</v>
      </c>
      <c r="Z30" s="13">
        <f t="shared" si="9"/>
        <v>211</v>
      </c>
      <c r="AA30" s="13">
        <f t="shared" si="9"/>
        <v>220</v>
      </c>
      <c r="AB30" s="13">
        <f t="shared" si="9"/>
        <v>217</v>
      </c>
      <c r="AC30" s="13">
        <f t="shared" si="9"/>
        <v>219</v>
      </c>
      <c r="AD30" s="13">
        <f t="shared" si="9"/>
        <v>226</v>
      </c>
      <c r="AE30" s="13">
        <f t="shared" si="9"/>
        <v>237</v>
      </c>
      <c r="AF30" s="13">
        <f t="shared" si="9"/>
        <v>226</v>
      </c>
      <c r="AG30" s="13">
        <f t="shared" si="9"/>
        <v>219</v>
      </c>
      <c r="AH30" s="13">
        <f t="shared" si="9"/>
        <v>212</v>
      </c>
      <c r="AI30" s="13">
        <f t="shared" si="9"/>
        <v>225</v>
      </c>
      <c r="AJ30" s="13">
        <f t="shared" si="9"/>
        <v>221</v>
      </c>
      <c r="AK30" s="13">
        <f t="shared" si="9"/>
        <v>219</v>
      </c>
      <c r="AL30" s="13">
        <f t="shared" si="3"/>
        <v>6908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6"/>
    </row>
    <row r="33" ht="12.75" customHeight="1">
      <c r="A33" s="19">
        <v>1.0</v>
      </c>
      <c r="B33" s="20" t="s">
        <v>27</v>
      </c>
      <c r="C33" s="15"/>
      <c r="D33" s="16"/>
      <c r="E33" s="19">
        <v>280.0</v>
      </c>
      <c r="F33" s="19">
        <v>259.0</v>
      </c>
      <c r="G33" s="19">
        <v>305.0</v>
      </c>
      <c r="H33" s="19">
        <v>313.0</v>
      </c>
      <c r="I33" s="19">
        <v>259.0</v>
      </c>
      <c r="J33" s="19">
        <v>272.0</v>
      </c>
      <c r="K33" s="19">
        <v>272.0</v>
      </c>
      <c r="L33" s="19">
        <v>271.0</v>
      </c>
      <c r="M33" s="19">
        <v>264.0</v>
      </c>
      <c r="N33" s="19">
        <v>262.0</v>
      </c>
      <c r="O33" s="19">
        <v>246.0</v>
      </c>
      <c r="P33" s="19">
        <v>280.0</v>
      </c>
      <c r="Q33" s="19">
        <v>265.0</v>
      </c>
      <c r="R33" s="19">
        <v>262.0</v>
      </c>
      <c r="S33" s="19">
        <v>292.0</v>
      </c>
      <c r="T33" s="19">
        <v>255.0</v>
      </c>
      <c r="U33" s="19">
        <v>274.0</v>
      </c>
      <c r="V33" s="19">
        <v>257.0</v>
      </c>
      <c r="W33" s="19">
        <v>265.0</v>
      </c>
      <c r="X33" s="19">
        <v>278.0</v>
      </c>
      <c r="Y33" s="19">
        <v>278.0</v>
      </c>
      <c r="Z33" s="19">
        <v>278.0</v>
      </c>
      <c r="AA33" s="19">
        <v>298.0</v>
      </c>
      <c r="AB33" s="19">
        <v>296.0</v>
      </c>
      <c r="AC33" s="19">
        <v>293.0</v>
      </c>
      <c r="AD33" s="19">
        <v>298.0</v>
      </c>
      <c r="AE33" s="19">
        <v>283.0</v>
      </c>
      <c r="AF33" s="19">
        <v>268.0</v>
      </c>
      <c r="AG33" s="19">
        <v>275.0</v>
      </c>
      <c r="AH33" s="19">
        <v>267.0</v>
      </c>
      <c r="AI33" s="19">
        <v>273.0</v>
      </c>
      <c r="AJ33" s="19">
        <v>277.0</v>
      </c>
      <c r="AK33" s="19">
        <v>273.0</v>
      </c>
      <c r="AL33" s="13">
        <f t="shared" ref="AL33:AL36" si="10">SUM(E33:AK33)</f>
        <v>9088</v>
      </c>
    </row>
    <row r="34" ht="12.75" customHeight="1">
      <c r="A34" s="19">
        <v>2.0</v>
      </c>
      <c r="B34" s="20" t="s">
        <v>28</v>
      </c>
      <c r="C34" s="15"/>
      <c r="D34" s="16"/>
      <c r="E34" s="13">
        <v>202.0</v>
      </c>
      <c r="F34" s="13">
        <v>195.0</v>
      </c>
      <c r="G34" s="13">
        <v>240.0</v>
      </c>
      <c r="H34" s="13">
        <v>252.0</v>
      </c>
      <c r="I34" s="13">
        <v>168.0</v>
      </c>
      <c r="J34" s="13">
        <v>208.0</v>
      </c>
      <c r="K34" s="13">
        <v>187.0</v>
      </c>
      <c r="L34" s="13">
        <v>201.0</v>
      </c>
      <c r="M34" s="13">
        <v>192.0</v>
      </c>
      <c r="N34" s="13">
        <v>225.0</v>
      </c>
      <c r="O34" s="13">
        <v>159.0</v>
      </c>
      <c r="P34" s="13">
        <v>221.0</v>
      </c>
      <c r="Q34" s="13">
        <v>173.0</v>
      </c>
      <c r="R34" s="13">
        <v>204.0</v>
      </c>
      <c r="S34" s="13">
        <v>201.0</v>
      </c>
      <c r="T34" s="13">
        <v>190.0</v>
      </c>
      <c r="U34" s="13">
        <v>216.0</v>
      </c>
      <c r="V34" s="13">
        <v>205.0</v>
      </c>
      <c r="W34" s="13">
        <v>199.0</v>
      </c>
      <c r="X34" s="13">
        <v>210.0</v>
      </c>
      <c r="Y34" s="13">
        <v>208.0</v>
      </c>
      <c r="Z34" s="13">
        <v>211.0</v>
      </c>
      <c r="AA34" s="13">
        <v>220.0</v>
      </c>
      <c r="AB34" s="13">
        <v>217.0</v>
      </c>
      <c r="AC34" s="13">
        <v>219.0</v>
      </c>
      <c r="AD34" s="13">
        <v>226.0</v>
      </c>
      <c r="AE34" s="13">
        <v>237.0</v>
      </c>
      <c r="AF34" s="13">
        <v>226.0</v>
      </c>
      <c r="AG34" s="13">
        <v>219.0</v>
      </c>
      <c r="AH34" s="13">
        <v>212.0</v>
      </c>
      <c r="AI34" s="13">
        <v>225.0</v>
      </c>
      <c r="AJ34" s="13">
        <v>221.0</v>
      </c>
      <c r="AK34" s="13">
        <v>219.0</v>
      </c>
      <c r="AL34" s="13">
        <f t="shared" si="10"/>
        <v>6908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3.0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4.0</v>
      </c>
      <c r="AD35" s="19">
        <v>0.0</v>
      </c>
      <c r="AE35" s="19">
        <v>0.0</v>
      </c>
      <c r="AF35" s="19">
        <v>2.0</v>
      </c>
      <c r="AG35" s="19">
        <v>0.0</v>
      </c>
      <c r="AH35" s="19">
        <v>0.0</v>
      </c>
      <c r="AI35" s="19">
        <v>3.0</v>
      </c>
      <c r="AJ35" s="19">
        <v>0.0</v>
      </c>
      <c r="AK35" s="19">
        <v>0.0</v>
      </c>
      <c r="AL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v>78.0</v>
      </c>
      <c r="F36" s="13">
        <v>64.0</v>
      </c>
      <c r="G36" s="13">
        <v>65.0</v>
      </c>
      <c r="H36" s="13">
        <v>61.0</v>
      </c>
      <c r="I36" s="13">
        <v>91.0</v>
      </c>
      <c r="J36" s="13">
        <v>64.0</v>
      </c>
      <c r="K36" s="13">
        <v>85.0</v>
      </c>
      <c r="L36" s="13">
        <v>70.0</v>
      </c>
      <c r="M36" s="13">
        <v>72.0</v>
      </c>
      <c r="N36" s="13">
        <v>37.0</v>
      </c>
      <c r="O36" s="13">
        <v>87.0</v>
      </c>
      <c r="P36" s="13">
        <v>59.0</v>
      </c>
      <c r="Q36" s="13">
        <v>92.0</v>
      </c>
      <c r="R36" s="13">
        <v>58.0</v>
      </c>
      <c r="S36" s="13">
        <v>88.0</v>
      </c>
      <c r="T36" s="13">
        <v>65.0</v>
      </c>
      <c r="U36" s="13">
        <v>58.0</v>
      </c>
      <c r="V36" s="13">
        <v>52.0</v>
      </c>
      <c r="W36" s="13">
        <v>66.0</v>
      </c>
      <c r="X36" s="13">
        <v>68.0</v>
      </c>
      <c r="Y36" s="13">
        <v>70.0</v>
      </c>
      <c r="Z36" s="13">
        <v>67.0</v>
      </c>
      <c r="AA36" s="13">
        <v>78.0</v>
      </c>
      <c r="AB36" s="13">
        <v>79.0</v>
      </c>
      <c r="AC36" s="13">
        <v>70.0</v>
      </c>
      <c r="AD36" s="13">
        <v>72.0</v>
      </c>
      <c r="AE36" s="13">
        <v>46.0</v>
      </c>
      <c r="AF36" s="13">
        <v>40.0</v>
      </c>
      <c r="AG36" s="13">
        <v>56.0</v>
      </c>
      <c r="AH36" s="13">
        <v>55.0</v>
      </c>
      <c r="AI36" s="13">
        <f t="shared" ref="AI36:AK36" si="11">AI33-(AI34+AI35)</f>
        <v>45</v>
      </c>
      <c r="AJ36" s="13">
        <f t="shared" si="11"/>
        <v>56</v>
      </c>
      <c r="AK36" s="13">
        <f t="shared" si="11"/>
        <v>54</v>
      </c>
      <c r="AL36" s="13">
        <f t="shared" si="10"/>
        <v>2168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5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6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1.0</v>
      </c>
      <c r="H39" s="19">
        <v>0.0</v>
      </c>
      <c r="I39" s="19">
        <v>0.0</v>
      </c>
      <c r="J39" s="19">
        <v>2.0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2.0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3">
        <f t="shared" ref="AL39:AL41" si="12">SUM(E39:AK39)</f>
        <v>5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1.0</v>
      </c>
      <c r="H40" s="19">
        <v>0.0</v>
      </c>
      <c r="I40" s="19">
        <v>0.0</v>
      </c>
      <c r="J40" s="19">
        <v>1.0</v>
      </c>
      <c r="K40" s="19">
        <v>0.0</v>
      </c>
      <c r="L40" s="19">
        <v>0.0</v>
      </c>
      <c r="M40" s="19">
        <v>1.0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1.0</v>
      </c>
      <c r="X40" s="19">
        <v>0.0</v>
      </c>
      <c r="Y40" s="19">
        <v>0.0</v>
      </c>
      <c r="Z40" s="19">
        <v>1.0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1.0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3">
        <f t="shared" si="12"/>
        <v>6</v>
      </c>
    </row>
    <row r="41" ht="12.75" customHeight="1">
      <c r="A41" s="41"/>
      <c r="B41" s="44"/>
      <c r="C41" s="28"/>
      <c r="D41" s="13" t="s">
        <v>14</v>
      </c>
      <c r="E41" s="13">
        <f t="shared" ref="E41:AK41" si="13">SUM(E39:E40)</f>
        <v>0</v>
      </c>
      <c r="F41" s="13">
        <f t="shared" si="13"/>
        <v>0</v>
      </c>
      <c r="G41" s="13">
        <f t="shared" si="13"/>
        <v>2</v>
      </c>
      <c r="H41" s="13">
        <f t="shared" si="13"/>
        <v>0</v>
      </c>
      <c r="I41" s="13">
        <f t="shared" si="13"/>
        <v>0</v>
      </c>
      <c r="J41" s="13">
        <f t="shared" si="13"/>
        <v>3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3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1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5"/>
      <c r="O42" s="19"/>
      <c r="P42" s="65"/>
      <c r="Q42" s="19"/>
      <c r="R42" s="65"/>
      <c r="S42" s="19"/>
      <c r="T42" s="65"/>
      <c r="U42" s="19"/>
      <c r="V42" s="65"/>
      <c r="W42" s="19"/>
      <c r="X42" s="65"/>
      <c r="Y42" s="19"/>
      <c r="Z42" s="65"/>
      <c r="AA42" s="19"/>
      <c r="AB42" s="65"/>
      <c r="AC42" s="19"/>
      <c r="AD42" s="65"/>
      <c r="AE42" s="19"/>
      <c r="AF42" s="65"/>
      <c r="AG42" s="19"/>
      <c r="AH42" s="65"/>
      <c r="AI42" s="19"/>
      <c r="AJ42" s="65"/>
      <c r="AK42" s="19"/>
      <c r="AL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7"/>
      <c r="O43" s="13"/>
      <c r="P43" s="67"/>
      <c r="Q43" s="13"/>
      <c r="R43" s="67"/>
      <c r="S43" s="13"/>
      <c r="T43" s="67"/>
      <c r="U43" s="13"/>
      <c r="V43" s="67"/>
      <c r="W43" s="13"/>
      <c r="X43" s="67"/>
      <c r="Y43" s="13"/>
      <c r="Z43" s="67"/>
      <c r="AA43" s="13"/>
      <c r="AB43" s="67"/>
      <c r="AC43" s="13"/>
      <c r="AD43" s="67"/>
      <c r="AE43" s="13"/>
      <c r="AF43" s="67"/>
      <c r="AG43" s="13"/>
      <c r="AH43" s="67"/>
      <c r="AI43" s="13"/>
      <c r="AJ43" s="67"/>
      <c r="AK43" s="13"/>
      <c r="AL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5"/>
      <c r="O44" s="19"/>
      <c r="P44" s="65"/>
      <c r="Q44" s="19"/>
      <c r="R44" s="65"/>
      <c r="S44" s="19"/>
      <c r="T44" s="65"/>
      <c r="U44" s="19"/>
      <c r="V44" s="65"/>
      <c r="W44" s="19"/>
      <c r="X44" s="65"/>
      <c r="Y44" s="19"/>
      <c r="Z44" s="65"/>
      <c r="AA44" s="19"/>
      <c r="AB44" s="65"/>
      <c r="AC44" s="19"/>
      <c r="AD44" s="65"/>
      <c r="AE44" s="19"/>
      <c r="AF44" s="65"/>
      <c r="AG44" s="19"/>
      <c r="AH44" s="65"/>
      <c r="AI44" s="19"/>
      <c r="AJ44" s="65"/>
      <c r="AK44" s="19"/>
      <c r="AL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1.0</v>
      </c>
      <c r="F45" s="19">
        <v>0.0</v>
      </c>
      <c r="G45" s="19">
        <v>5.0</v>
      </c>
      <c r="H45" s="19">
        <v>6.0</v>
      </c>
      <c r="I45" s="19">
        <v>1.0</v>
      </c>
      <c r="J45" s="19">
        <v>2.0</v>
      </c>
      <c r="K45" s="19">
        <v>3.0</v>
      </c>
      <c r="L45" s="19">
        <v>5.0</v>
      </c>
      <c r="M45" s="19">
        <v>8.0</v>
      </c>
      <c r="N45" s="19">
        <v>7.0</v>
      </c>
      <c r="O45" s="19">
        <v>2.0</v>
      </c>
      <c r="P45" s="19">
        <v>1.0</v>
      </c>
      <c r="Q45" s="19">
        <v>5.0</v>
      </c>
      <c r="R45" s="19">
        <v>4.0</v>
      </c>
      <c r="S45" s="19">
        <v>8.0</v>
      </c>
      <c r="T45" s="19">
        <v>12.0</v>
      </c>
      <c r="U45" s="19">
        <v>4.0</v>
      </c>
      <c r="V45" s="19">
        <v>4.0</v>
      </c>
      <c r="W45" s="19">
        <v>4.0</v>
      </c>
      <c r="X45" s="19">
        <v>5.0</v>
      </c>
      <c r="Y45" s="19">
        <v>0.0</v>
      </c>
      <c r="Z45" s="19">
        <v>5.0</v>
      </c>
      <c r="AA45" s="19">
        <v>3.0</v>
      </c>
      <c r="AB45" s="19">
        <v>8.0</v>
      </c>
      <c r="AC45" s="19">
        <v>6.0</v>
      </c>
      <c r="AD45" s="19">
        <v>2.0</v>
      </c>
      <c r="AE45" s="19">
        <v>5.0</v>
      </c>
      <c r="AF45" s="19">
        <v>1.0</v>
      </c>
      <c r="AG45" s="19">
        <v>4.0</v>
      </c>
      <c r="AH45" s="19">
        <v>6.0</v>
      </c>
      <c r="AI45" s="19">
        <v>7.0</v>
      </c>
      <c r="AJ45" s="19">
        <v>11.0</v>
      </c>
      <c r="AK45" s="19">
        <v>9.0</v>
      </c>
      <c r="AL45" s="13">
        <f t="shared" ref="AL45:AL182" si="14">SUM(E45:AK45)</f>
        <v>154</v>
      </c>
    </row>
    <row r="46" ht="12.75" customHeight="1">
      <c r="A46" s="30" t="s">
        <v>39</v>
      </c>
      <c r="B46" s="49">
        <v>1.0</v>
      </c>
      <c r="C46" s="50" t="s">
        <v>40</v>
      </c>
      <c r="D46" s="51"/>
      <c r="E46" s="19">
        <v>3.0</v>
      </c>
      <c r="F46" s="19">
        <v>3.0</v>
      </c>
      <c r="G46" s="19">
        <v>2.0</v>
      </c>
      <c r="H46" s="19">
        <v>6.0</v>
      </c>
      <c r="I46" s="19">
        <v>2.0</v>
      </c>
      <c r="J46" s="19">
        <v>2.0</v>
      </c>
      <c r="K46" s="19">
        <v>2.0</v>
      </c>
      <c r="L46" s="19">
        <v>1.0</v>
      </c>
      <c r="M46" s="19">
        <v>1.0</v>
      </c>
      <c r="N46" s="19">
        <v>1.0</v>
      </c>
      <c r="O46" s="19">
        <v>5.0</v>
      </c>
      <c r="P46" s="19">
        <v>2.0</v>
      </c>
      <c r="Q46" s="19">
        <v>2.0</v>
      </c>
      <c r="R46" s="19">
        <v>1.0</v>
      </c>
      <c r="S46" s="19">
        <v>1.0</v>
      </c>
      <c r="T46" s="19">
        <v>6.0</v>
      </c>
      <c r="U46" s="19">
        <v>4.0</v>
      </c>
      <c r="V46" s="19">
        <v>4.0</v>
      </c>
      <c r="W46" s="19">
        <v>3.0</v>
      </c>
      <c r="X46" s="19">
        <v>1.0</v>
      </c>
      <c r="Y46" s="19">
        <v>3.0</v>
      </c>
      <c r="Z46" s="19">
        <v>3.0</v>
      </c>
      <c r="AA46" s="19">
        <v>1.0</v>
      </c>
      <c r="AB46" s="19">
        <v>2.0</v>
      </c>
      <c r="AC46" s="19">
        <v>1.0</v>
      </c>
      <c r="AD46" s="19">
        <v>2.0</v>
      </c>
      <c r="AE46" s="19">
        <v>1.0</v>
      </c>
      <c r="AF46" s="19">
        <v>1.0</v>
      </c>
      <c r="AG46" s="19">
        <v>1.0</v>
      </c>
      <c r="AH46" s="19">
        <v>1.0</v>
      </c>
      <c r="AI46" s="19">
        <v>8.0</v>
      </c>
      <c r="AJ46" s="19">
        <v>17.0</v>
      </c>
      <c r="AK46" s="19">
        <v>1.0</v>
      </c>
      <c r="AL46" s="13">
        <f t="shared" si="14"/>
        <v>94</v>
      </c>
    </row>
    <row r="47" ht="12.75" customHeight="1">
      <c r="A47" s="18"/>
      <c r="B47" s="49">
        <v>2.0</v>
      </c>
      <c r="C47" s="50" t="s">
        <v>41</v>
      </c>
      <c r="D47" s="51"/>
      <c r="E47" s="19">
        <v>15.0</v>
      </c>
      <c r="F47" s="19">
        <v>7.0</v>
      </c>
      <c r="G47" s="19">
        <v>29.0</v>
      </c>
      <c r="H47" s="19">
        <v>23.0</v>
      </c>
      <c r="I47" s="19">
        <v>4.0</v>
      </c>
      <c r="J47" s="19">
        <v>7.0</v>
      </c>
      <c r="K47" s="19">
        <v>16.0</v>
      </c>
      <c r="L47" s="19">
        <v>22.0</v>
      </c>
      <c r="M47" s="19">
        <v>19.0</v>
      </c>
      <c r="N47" s="19">
        <v>25.0</v>
      </c>
      <c r="O47" s="19">
        <v>25.0</v>
      </c>
      <c r="P47" s="19">
        <v>20.0</v>
      </c>
      <c r="Q47" s="19">
        <v>13.0</v>
      </c>
      <c r="R47" s="19">
        <v>15.0</v>
      </c>
      <c r="S47" s="19">
        <v>40.0</v>
      </c>
      <c r="T47" s="19">
        <v>65.0</v>
      </c>
      <c r="U47" s="19">
        <v>27.0</v>
      </c>
      <c r="V47" s="19">
        <v>19.0</v>
      </c>
      <c r="W47" s="19">
        <v>3.0</v>
      </c>
      <c r="X47" s="19">
        <v>6.0</v>
      </c>
      <c r="Y47" s="19">
        <v>5.0</v>
      </c>
      <c r="Z47" s="19">
        <v>4.0</v>
      </c>
      <c r="AA47" s="19">
        <v>26.0</v>
      </c>
      <c r="AB47" s="19">
        <v>4.0</v>
      </c>
      <c r="AC47" s="19">
        <v>21.0</v>
      </c>
      <c r="AD47" s="19">
        <v>8.0</v>
      </c>
      <c r="AE47" s="19">
        <v>4.0</v>
      </c>
      <c r="AF47" s="19">
        <v>5.0</v>
      </c>
      <c r="AG47" s="19">
        <v>20.0</v>
      </c>
      <c r="AH47" s="19">
        <v>47.0</v>
      </c>
      <c r="AI47" s="19">
        <v>22.0</v>
      </c>
      <c r="AJ47" s="19">
        <v>16.0</v>
      </c>
      <c r="AK47" s="19">
        <v>24.0</v>
      </c>
      <c r="AL47" s="13">
        <f t="shared" si="14"/>
        <v>606</v>
      </c>
    </row>
    <row r="48" ht="12.75" customHeight="1">
      <c r="A48" s="18"/>
      <c r="B48" s="49">
        <v>3.0</v>
      </c>
      <c r="C48" s="50" t="s">
        <v>42</v>
      </c>
      <c r="D48" s="51"/>
      <c r="E48" s="19">
        <v>0.0</v>
      </c>
      <c r="F48" s="19">
        <v>1.0</v>
      </c>
      <c r="G48" s="19">
        <v>0.0</v>
      </c>
      <c r="H48" s="19">
        <v>1.0</v>
      </c>
      <c r="I48" s="19">
        <v>0.0</v>
      </c>
      <c r="J48" s="19">
        <v>3.0</v>
      </c>
      <c r="K48" s="19">
        <v>1.0</v>
      </c>
      <c r="L48" s="19">
        <v>1.0</v>
      </c>
      <c r="M48" s="19">
        <v>0.0</v>
      </c>
      <c r="N48" s="19">
        <v>0.0</v>
      </c>
      <c r="O48" s="19">
        <v>0.0</v>
      </c>
      <c r="P48" s="19">
        <v>0.0</v>
      </c>
      <c r="Q48" s="19">
        <v>0.0</v>
      </c>
      <c r="R48" s="19">
        <v>1.0</v>
      </c>
      <c r="S48" s="19">
        <v>0.0</v>
      </c>
      <c r="T48" s="19">
        <v>0.0</v>
      </c>
      <c r="U48" s="19">
        <v>0.0</v>
      </c>
      <c r="V48" s="19">
        <v>1.0</v>
      </c>
      <c r="W48" s="19">
        <v>0.0</v>
      </c>
      <c r="X48" s="19">
        <v>0.0</v>
      </c>
      <c r="Y48" s="19">
        <v>0.0</v>
      </c>
      <c r="Z48" s="19">
        <v>1.0</v>
      </c>
      <c r="AA48" s="19">
        <v>4.0</v>
      </c>
      <c r="AB48" s="19">
        <v>0.0</v>
      </c>
      <c r="AC48" s="19">
        <v>1.0</v>
      </c>
      <c r="AD48" s="19">
        <v>2.0</v>
      </c>
      <c r="AE48" s="19">
        <v>3.0</v>
      </c>
      <c r="AF48" s="19">
        <v>1.0</v>
      </c>
      <c r="AG48" s="19">
        <v>29.0</v>
      </c>
      <c r="AH48" s="19">
        <v>13.0</v>
      </c>
      <c r="AI48" s="19">
        <v>3.0</v>
      </c>
      <c r="AJ48" s="19">
        <v>2.0</v>
      </c>
      <c r="AK48" s="19">
        <v>0.0</v>
      </c>
      <c r="AL48" s="13">
        <f t="shared" si="14"/>
        <v>68</v>
      </c>
    </row>
    <row r="49" ht="12.75" customHeight="1">
      <c r="A49" s="18"/>
      <c r="B49" s="49">
        <v>4.0</v>
      </c>
      <c r="C49" s="50" t="s">
        <v>43</v>
      </c>
      <c r="D49" s="51"/>
      <c r="E49" s="19">
        <v>0.0</v>
      </c>
      <c r="F49" s="19">
        <v>0.0</v>
      </c>
      <c r="G49" s="19">
        <v>0.0</v>
      </c>
      <c r="H49" s="19">
        <v>1.0</v>
      </c>
      <c r="I49" s="19">
        <v>0.0</v>
      </c>
      <c r="J49" s="19">
        <v>2.0</v>
      </c>
      <c r="K49" s="19">
        <v>0.0</v>
      </c>
      <c r="L49" s="19">
        <v>0.0</v>
      </c>
      <c r="M49" s="19">
        <v>0.0</v>
      </c>
      <c r="N49" s="19">
        <v>0.0</v>
      </c>
      <c r="O49" s="19">
        <v>1.0</v>
      </c>
      <c r="P49" s="19">
        <v>0.0</v>
      </c>
      <c r="Q49" s="19">
        <v>0.0</v>
      </c>
      <c r="R49" s="19">
        <v>0.0</v>
      </c>
      <c r="S49" s="19">
        <v>0.0</v>
      </c>
      <c r="T49" s="19">
        <v>0.0</v>
      </c>
      <c r="U49" s="19">
        <v>0.0</v>
      </c>
      <c r="V49" s="19">
        <v>0.0</v>
      </c>
      <c r="W49" s="19">
        <v>0.0</v>
      </c>
      <c r="X49" s="19">
        <v>0.0</v>
      </c>
      <c r="Y49" s="19">
        <v>0.0</v>
      </c>
      <c r="Z49" s="19">
        <v>0.0</v>
      </c>
      <c r="AA49" s="19">
        <v>0.0</v>
      </c>
      <c r="AB49" s="19">
        <v>0.0</v>
      </c>
      <c r="AC49" s="19">
        <v>0.0</v>
      </c>
      <c r="AD49" s="19">
        <v>0.0</v>
      </c>
      <c r="AE49" s="19">
        <v>0.0</v>
      </c>
      <c r="AF49" s="19">
        <v>0.0</v>
      </c>
      <c r="AG49" s="19">
        <v>0.0</v>
      </c>
      <c r="AH49" s="19">
        <v>0.0</v>
      </c>
      <c r="AI49" s="19">
        <v>0.0</v>
      </c>
      <c r="AJ49" s="19">
        <v>1.0</v>
      </c>
      <c r="AK49" s="19">
        <v>0.0</v>
      </c>
      <c r="AL49" s="13">
        <f t="shared" si="14"/>
        <v>5</v>
      </c>
    </row>
    <row r="50" ht="12.75" customHeight="1">
      <c r="A50" s="18"/>
      <c r="B50" s="49">
        <v>5.0</v>
      </c>
      <c r="C50" s="50" t="s">
        <v>44</v>
      </c>
      <c r="D50" s="51"/>
      <c r="E50" s="19">
        <v>0.0</v>
      </c>
      <c r="F50" s="19">
        <v>1.0</v>
      </c>
      <c r="G50" s="19">
        <v>0.0</v>
      </c>
      <c r="H50" s="19">
        <v>0.0</v>
      </c>
      <c r="I50" s="19">
        <v>0.0</v>
      </c>
      <c r="J50" s="19">
        <v>0.0</v>
      </c>
      <c r="K50" s="19">
        <v>1.0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0.0</v>
      </c>
      <c r="V50" s="19">
        <v>0.0</v>
      </c>
      <c r="W50" s="19">
        <v>0.0</v>
      </c>
      <c r="X50" s="19">
        <v>0.0</v>
      </c>
      <c r="Y50" s="19">
        <v>0.0</v>
      </c>
      <c r="Z50" s="19">
        <v>0.0</v>
      </c>
      <c r="AA50" s="19">
        <v>0.0</v>
      </c>
      <c r="AB50" s="19">
        <v>0.0</v>
      </c>
      <c r="AC50" s="19">
        <v>0.0</v>
      </c>
      <c r="AD50" s="19">
        <v>0.0</v>
      </c>
      <c r="AE50" s="19">
        <v>0.0</v>
      </c>
      <c r="AF50" s="19">
        <v>0.0</v>
      </c>
      <c r="AG50" s="19">
        <v>0.0</v>
      </c>
      <c r="AH50" s="19">
        <v>0.0</v>
      </c>
      <c r="AI50" s="19">
        <v>0.0</v>
      </c>
      <c r="AJ50" s="19">
        <v>0.0</v>
      </c>
      <c r="AK50" s="19">
        <v>0.0</v>
      </c>
      <c r="AL50" s="13">
        <f t="shared" si="14"/>
        <v>2</v>
      </c>
    </row>
    <row r="51" ht="12.75" customHeight="1">
      <c r="A51" s="18"/>
      <c r="B51" s="49">
        <v>6.0</v>
      </c>
      <c r="C51" s="50" t="s">
        <v>45</v>
      </c>
      <c r="D51" s="51"/>
      <c r="E51" s="19">
        <v>3.0</v>
      </c>
      <c r="F51" s="19">
        <v>4.0</v>
      </c>
      <c r="G51" s="19">
        <v>0.0</v>
      </c>
      <c r="H51" s="19">
        <v>4.0</v>
      </c>
      <c r="I51" s="19">
        <v>0.0</v>
      </c>
      <c r="J51" s="19">
        <v>0.0</v>
      </c>
      <c r="K51" s="19">
        <v>1.0</v>
      </c>
      <c r="L51" s="19">
        <v>3.0</v>
      </c>
      <c r="M51" s="19">
        <v>16.0</v>
      </c>
      <c r="N51" s="19">
        <v>2.0</v>
      </c>
      <c r="O51" s="19">
        <v>4.0</v>
      </c>
      <c r="P51" s="19">
        <v>4.0</v>
      </c>
      <c r="Q51" s="19">
        <v>2.0</v>
      </c>
      <c r="R51" s="19">
        <v>0.0</v>
      </c>
      <c r="S51" s="19">
        <v>2.0</v>
      </c>
      <c r="T51" s="19">
        <v>0.0</v>
      </c>
      <c r="U51" s="19">
        <v>6.0</v>
      </c>
      <c r="V51" s="19">
        <v>1.0</v>
      </c>
      <c r="W51" s="19">
        <v>13.0</v>
      </c>
      <c r="X51" s="19">
        <v>0.0</v>
      </c>
      <c r="Y51" s="19">
        <v>5.0</v>
      </c>
      <c r="Z51" s="19">
        <v>1.0</v>
      </c>
      <c r="AA51" s="19">
        <v>1.0</v>
      </c>
      <c r="AB51" s="19">
        <v>0.0</v>
      </c>
      <c r="AC51" s="19">
        <v>3.0</v>
      </c>
      <c r="AD51" s="19">
        <v>16.0</v>
      </c>
      <c r="AE51" s="19">
        <v>13.0</v>
      </c>
      <c r="AF51" s="19">
        <v>3.0</v>
      </c>
      <c r="AG51" s="19">
        <v>4.0</v>
      </c>
      <c r="AH51" s="19">
        <v>2.0</v>
      </c>
      <c r="AI51" s="19">
        <v>13.0</v>
      </c>
      <c r="AJ51" s="19">
        <v>2.0</v>
      </c>
      <c r="AK51" s="19">
        <v>2.0</v>
      </c>
      <c r="AL51" s="13">
        <f t="shared" si="14"/>
        <v>130</v>
      </c>
    </row>
    <row r="52" ht="12.75" customHeight="1">
      <c r="A52" s="19" t="s">
        <v>15</v>
      </c>
      <c r="B52" s="47" t="s">
        <v>46</v>
      </c>
      <c r="C52" s="15"/>
      <c r="D52" s="16"/>
      <c r="E52" s="56">
        <f t="shared" ref="E52:AK52" si="15">SUM(E45:E51)</f>
        <v>22</v>
      </c>
      <c r="F52" s="56">
        <f t="shared" si="15"/>
        <v>16</v>
      </c>
      <c r="G52" s="56">
        <f t="shared" si="15"/>
        <v>36</v>
      </c>
      <c r="H52" s="56">
        <f t="shared" si="15"/>
        <v>41</v>
      </c>
      <c r="I52" s="56">
        <f t="shared" si="15"/>
        <v>7</v>
      </c>
      <c r="J52" s="56">
        <f t="shared" si="15"/>
        <v>16</v>
      </c>
      <c r="K52" s="56">
        <f t="shared" si="15"/>
        <v>24</v>
      </c>
      <c r="L52" s="56">
        <f t="shared" si="15"/>
        <v>32</v>
      </c>
      <c r="M52" s="56">
        <f t="shared" si="15"/>
        <v>44</v>
      </c>
      <c r="N52" s="56">
        <f t="shared" si="15"/>
        <v>35</v>
      </c>
      <c r="O52" s="56">
        <f t="shared" si="15"/>
        <v>37</v>
      </c>
      <c r="P52" s="56">
        <f t="shared" si="15"/>
        <v>27</v>
      </c>
      <c r="Q52" s="56">
        <f t="shared" si="15"/>
        <v>22</v>
      </c>
      <c r="R52" s="56">
        <f t="shared" si="15"/>
        <v>21</v>
      </c>
      <c r="S52" s="56">
        <f t="shared" si="15"/>
        <v>51</v>
      </c>
      <c r="T52" s="56">
        <f t="shared" si="15"/>
        <v>83</v>
      </c>
      <c r="U52" s="56">
        <f t="shared" si="15"/>
        <v>41</v>
      </c>
      <c r="V52" s="56">
        <f t="shared" si="15"/>
        <v>29</v>
      </c>
      <c r="W52" s="56">
        <f t="shared" si="15"/>
        <v>23</v>
      </c>
      <c r="X52" s="56">
        <f t="shared" si="15"/>
        <v>12</v>
      </c>
      <c r="Y52" s="56">
        <f t="shared" si="15"/>
        <v>13</v>
      </c>
      <c r="Z52" s="56">
        <f t="shared" si="15"/>
        <v>14</v>
      </c>
      <c r="AA52" s="56">
        <f t="shared" si="15"/>
        <v>35</v>
      </c>
      <c r="AB52" s="56">
        <f t="shared" si="15"/>
        <v>14</v>
      </c>
      <c r="AC52" s="56">
        <f t="shared" si="15"/>
        <v>32</v>
      </c>
      <c r="AD52" s="56">
        <f t="shared" si="15"/>
        <v>30</v>
      </c>
      <c r="AE52" s="56">
        <f t="shared" si="15"/>
        <v>26</v>
      </c>
      <c r="AF52" s="56">
        <f t="shared" si="15"/>
        <v>11</v>
      </c>
      <c r="AG52" s="56">
        <f t="shared" si="15"/>
        <v>58</v>
      </c>
      <c r="AH52" s="56">
        <f t="shared" si="15"/>
        <v>69</v>
      </c>
      <c r="AI52" s="56">
        <f t="shared" si="15"/>
        <v>53</v>
      </c>
      <c r="AJ52" s="56">
        <f t="shared" si="15"/>
        <v>49</v>
      </c>
      <c r="AK52" s="56">
        <f t="shared" si="15"/>
        <v>36</v>
      </c>
      <c r="AL52" s="13">
        <f t="shared" si="14"/>
        <v>1059</v>
      </c>
    </row>
    <row r="53" ht="12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13">
        <f t="shared" si="14"/>
        <v>0</v>
      </c>
    </row>
    <row r="54" ht="12.75" customHeight="1">
      <c r="A54" s="30" t="s">
        <v>37</v>
      </c>
      <c r="B54" s="47" t="s">
        <v>19</v>
      </c>
      <c r="C54" s="48" t="s">
        <v>47</v>
      </c>
      <c r="D54" s="16"/>
      <c r="E54" s="19">
        <v>4.0</v>
      </c>
      <c r="F54" s="19">
        <v>12.0</v>
      </c>
      <c r="G54" s="19">
        <v>9.0</v>
      </c>
      <c r="H54" s="19">
        <v>10.0</v>
      </c>
      <c r="I54" s="19">
        <v>4.0</v>
      </c>
      <c r="J54" s="19">
        <v>7.0</v>
      </c>
      <c r="K54" s="19">
        <v>7.0</v>
      </c>
      <c r="L54" s="19">
        <v>8.0</v>
      </c>
      <c r="M54" s="19">
        <v>11.0</v>
      </c>
      <c r="N54" s="19">
        <v>8.0</v>
      </c>
      <c r="O54" s="19">
        <v>10.0</v>
      </c>
      <c r="P54" s="19">
        <v>7.0</v>
      </c>
      <c r="Q54" s="19">
        <v>12.0</v>
      </c>
      <c r="R54" s="19">
        <v>14.0</v>
      </c>
      <c r="S54" s="19">
        <v>8.0</v>
      </c>
      <c r="T54" s="19">
        <v>7.0</v>
      </c>
      <c r="U54" s="19">
        <v>15.0</v>
      </c>
      <c r="V54" s="19">
        <v>9.0</v>
      </c>
      <c r="W54" s="19">
        <v>9.0</v>
      </c>
      <c r="X54" s="19">
        <v>3.0</v>
      </c>
      <c r="Y54" s="19">
        <v>11.0</v>
      </c>
      <c r="Z54" s="19">
        <v>11.0</v>
      </c>
      <c r="AA54" s="19">
        <v>11.0</v>
      </c>
      <c r="AB54" s="19">
        <v>16.0</v>
      </c>
      <c r="AC54" s="19">
        <v>3.0</v>
      </c>
      <c r="AD54" s="19">
        <v>11.0</v>
      </c>
      <c r="AE54" s="19">
        <v>11.0</v>
      </c>
      <c r="AF54" s="19">
        <v>5.0</v>
      </c>
      <c r="AG54" s="19">
        <v>10.0</v>
      </c>
      <c r="AH54" s="19">
        <v>6.0</v>
      </c>
      <c r="AI54" s="19">
        <v>16.0</v>
      </c>
      <c r="AJ54" s="19">
        <v>9.0</v>
      </c>
      <c r="AK54" s="19">
        <v>6.0</v>
      </c>
      <c r="AL54" s="13">
        <f t="shared" si="14"/>
        <v>300</v>
      </c>
    </row>
    <row r="55" ht="15.0" customHeight="1">
      <c r="A55" s="30" t="s">
        <v>39</v>
      </c>
      <c r="B55" s="49">
        <v>1.0</v>
      </c>
      <c r="C55" s="50" t="s">
        <v>48</v>
      </c>
      <c r="D55" s="51"/>
      <c r="E55" s="19">
        <v>6.0</v>
      </c>
      <c r="F55" s="19">
        <v>7.0</v>
      </c>
      <c r="G55" s="19">
        <v>3.0</v>
      </c>
      <c r="H55" s="19">
        <v>5.0</v>
      </c>
      <c r="I55" s="19">
        <v>3.0</v>
      </c>
      <c r="J55" s="19">
        <v>9.0</v>
      </c>
      <c r="K55" s="19">
        <v>3.0</v>
      </c>
      <c r="L55" s="19">
        <v>2.0</v>
      </c>
      <c r="M55" s="19">
        <v>8.0</v>
      </c>
      <c r="N55" s="19">
        <v>13.0</v>
      </c>
      <c r="O55" s="19">
        <v>10.0</v>
      </c>
      <c r="P55" s="19">
        <v>4.0</v>
      </c>
      <c r="Q55" s="19">
        <v>2.0</v>
      </c>
      <c r="R55" s="19">
        <v>3.0</v>
      </c>
      <c r="S55" s="19">
        <v>2.0</v>
      </c>
      <c r="T55" s="19">
        <v>3.0</v>
      </c>
      <c r="U55" s="19">
        <v>6.0</v>
      </c>
      <c r="V55" s="19">
        <v>2.0</v>
      </c>
      <c r="W55" s="19">
        <v>6.0</v>
      </c>
      <c r="X55" s="19">
        <v>2.0</v>
      </c>
      <c r="Y55" s="19">
        <v>2.0</v>
      </c>
      <c r="Z55" s="19">
        <v>6.0</v>
      </c>
      <c r="AA55" s="19">
        <v>12.0</v>
      </c>
      <c r="AB55" s="19">
        <v>18.0</v>
      </c>
      <c r="AC55" s="19">
        <v>5.0</v>
      </c>
      <c r="AD55" s="19">
        <v>5.0</v>
      </c>
      <c r="AE55" s="19">
        <v>1.0</v>
      </c>
      <c r="AF55" s="19">
        <v>9.0</v>
      </c>
      <c r="AG55" s="19">
        <v>3.0</v>
      </c>
      <c r="AH55" s="19">
        <v>3.0</v>
      </c>
      <c r="AI55" s="19">
        <v>8.0</v>
      </c>
      <c r="AJ55" s="19">
        <v>3.0</v>
      </c>
      <c r="AK55" s="19">
        <v>5.0</v>
      </c>
      <c r="AL55" s="13">
        <f t="shared" si="14"/>
        <v>179</v>
      </c>
    </row>
    <row r="56" ht="12.75" customHeight="1">
      <c r="A56" s="18"/>
      <c r="B56" s="49">
        <v>2.0</v>
      </c>
      <c r="C56" s="50" t="s">
        <v>49</v>
      </c>
      <c r="D56" s="51"/>
      <c r="E56" s="19">
        <v>6.0</v>
      </c>
      <c r="F56" s="19">
        <v>3.0</v>
      </c>
      <c r="G56" s="19">
        <v>1.0</v>
      </c>
      <c r="H56" s="19">
        <v>5.0</v>
      </c>
      <c r="I56" s="19">
        <v>2.0</v>
      </c>
      <c r="J56" s="19">
        <v>3.0</v>
      </c>
      <c r="K56" s="19">
        <v>1.0</v>
      </c>
      <c r="L56" s="19">
        <v>2.0</v>
      </c>
      <c r="M56" s="19">
        <v>1.0</v>
      </c>
      <c r="N56" s="19">
        <v>2.0</v>
      </c>
      <c r="O56" s="19">
        <v>5.0</v>
      </c>
      <c r="P56" s="19">
        <v>0.0</v>
      </c>
      <c r="Q56" s="19">
        <v>3.0</v>
      </c>
      <c r="R56" s="19">
        <v>5.0</v>
      </c>
      <c r="S56" s="19">
        <v>4.0</v>
      </c>
      <c r="T56" s="19">
        <v>2.0</v>
      </c>
      <c r="U56" s="19">
        <v>4.0</v>
      </c>
      <c r="V56" s="19">
        <v>3.0</v>
      </c>
      <c r="W56" s="19">
        <v>4.0</v>
      </c>
      <c r="X56" s="19">
        <v>2.0</v>
      </c>
      <c r="Y56" s="19">
        <v>3.0</v>
      </c>
      <c r="Z56" s="19">
        <v>0.0</v>
      </c>
      <c r="AA56" s="19">
        <v>6.0</v>
      </c>
      <c r="AB56" s="19">
        <v>2.0</v>
      </c>
      <c r="AC56" s="19">
        <v>4.0</v>
      </c>
      <c r="AD56" s="19">
        <v>2.0</v>
      </c>
      <c r="AE56" s="19">
        <v>1.0</v>
      </c>
      <c r="AF56" s="19">
        <v>0.0</v>
      </c>
      <c r="AG56" s="19">
        <v>0.0</v>
      </c>
      <c r="AH56" s="19">
        <v>5.0</v>
      </c>
      <c r="AI56" s="19">
        <v>1.0</v>
      </c>
      <c r="AJ56" s="19">
        <v>2.0</v>
      </c>
      <c r="AK56" s="19">
        <v>0.0</v>
      </c>
      <c r="AL56" s="13">
        <f t="shared" si="14"/>
        <v>84</v>
      </c>
    </row>
    <row r="57" ht="12.75" customHeight="1">
      <c r="A57" s="18"/>
      <c r="B57" s="49">
        <v>3.0</v>
      </c>
      <c r="C57" s="50" t="s">
        <v>50</v>
      </c>
      <c r="D57" s="51"/>
      <c r="E57" s="19">
        <v>1.0</v>
      </c>
      <c r="F57" s="19">
        <v>0.0</v>
      </c>
      <c r="G57" s="19">
        <v>1.0</v>
      </c>
      <c r="H57" s="19">
        <v>1.0</v>
      </c>
      <c r="I57" s="19">
        <v>2.0</v>
      </c>
      <c r="J57" s="19">
        <v>1.0</v>
      </c>
      <c r="K57" s="19">
        <v>0.0</v>
      </c>
      <c r="L57" s="19">
        <v>2.0</v>
      </c>
      <c r="M57" s="19">
        <v>1.0</v>
      </c>
      <c r="N57" s="19">
        <v>0.0</v>
      </c>
      <c r="O57" s="19">
        <v>2.0</v>
      </c>
      <c r="P57" s="19">
        <v>0.0</v>
      </c>
      <c r="Q57" s="19">
        <v>2.0</v>
      </c>
      <c r="R57" s="19">
        <v>1.0</v>
      </c>
      <c r="S57" s="19">
        <v>0.0</v>
      </c>
      <c r="T57" s="19">
        <v>0.0</v>
      </c>
      <c r="U57" s="19">
        <v>3.0</v>
      </c>
      <c r="V57" s="19">
        <v>1.0</v>
      </c>
      <c r="W57" s="19">
        <v>0.0</v>
      </c>
      <c r="X57" s="19">
        <v>2.0</v>
      </c>
      <c r="Y57" s="19">
        <v>0.0</v>
      </c>
      <c r="Z57" s="19">
        <v>1.0</v>
      </c>
      <c r="AA57" s="19">
        <v>0.0</v>
      </c>
      <c r="AB57" s="19">
        <v>0.0</v>
      </c>
      <c r="AC57" s="19">
        <v>0.0</v>
      </c>
      <c r="AD57" s="19">
        <v>1.0</v>
      </c>
      <c r="AE57" s="19">
        <v>1.0</v>
      </c>
      <c r="AF57" s="19">
        <v>0.0</v>
      </c>
      <c r="AG57" s="19">
        <v>1.0</v>
      </c>
      <c r="AH57" s="19">
        <v>0.0</v>
      </c>
      <c r="AI57" s="19">
        <v>0.0</v>
      </c>
      <c r="AJ57" s="19">
        <v>2.0</v>
      </c>
      <c r="AK57" s="19">
        <v>0.0</v>
      </c>
      <c r="AL57" s="13">
        <f t="shared" si="14"/>
        <v>26</v>
      </c>
    </row>
    <row r="58" ht="12.75" customHeight="1">
      <c r="A58" s="18"/>
      <c r="B58" s="49">
        <v>4.0</v>
      </c>
      <c r="C58" s="50" t="s">
        <v>51</v>
      </c>
      <c r="D58" s="51"/>
      <c r="E58" s="19">
        <v>0.0</v>
      </c>
      <c r="F58" s="19">
        <v>2.0</v>
      </c>
      <c r="G58" s="19">
        <v>1.0</v>
      </c>
      <c r="H58" s="19">
        <v>0.0</v>
      </c>
      <c r="I58" s="19">
        <v>0.0</v>
      </c>
      <c r="J58" s="19">
        <v>1.0</v>
      </c>
      <c r="K58" s="19">
        <v>1.0</v>
      </c>
      <c r="L58" s="19">
        <v>0.0</v>
      </c>
      <c r="M58" s="19">
        <v>1.0</v>
      </c>
      <c r="N58" s="19">
        <v>1.0</v>
      </c>
      <c r="O58" s="19">
        <v>1.0</v>
      </c>
      <c r="P58" s="19">
        <v>0.0</v>
      </c>
      <c r="Q58" s="19">
        <v>1.0</v>
      </c>
      <c r="R58" s="19">
        <v>2.0</v>
      </c>
      <c r="S58" s="19">
        <v>1.0</v>
      </c>
      <c r="T58" s="19">
        <v>0.0</v>
      </c>
      <c r="U58" s="19">
        <v>0.0</v>
      </c>
      <c r="V58" s="19">
        <v>0.0</v>
      </c>
      <c r="W58" s="19">
        <v>1.0</v>
      </c>
      <c r="X58" s="19">
        <v>0.0</v>
      </c>
      <c r="Y58" s="19">
        <v>1.0</v>
      </c>
      <c r="Z58" s="19">
        <v>0.0</v>
      </c>
      <c r="AA58" s="19">
        <v>2.0</v>
      </c>
      <c r="AB58" s="19">
        <v>1.0</v>
      </c>
      <c r="AC58" s="19">
        <v>1.0</v>
      </c>
      <c r="AD58" s="19">
        <v>0.0</v>
      </c>
      <c r="AE58" s="19">
        <v>1.0</v>
      </c>
      <c r="AF58" s="19">
        <v>0.0</v>
      </c>
      <c r="AG58" s="19">
        <v>0.0</v>
      </c>
      <c r="AH58" s="19">
        <v>1.0</v>
      </c>
      <c r="AI58" s="19">
        <v>0.0</v>
      </c>
      <c r="AJ58" s="19">
        <v>0.0</v>
      </c>
      <c r="AK58" s="19">
        <v>0.0</v>
      </c>
      <c r="AL58" s="13">
        <f t="shared" si="14"/>
        <v>20</v>
      </c>
    </row>
    <row r="59" ht="12.75" customHeight="1">
      <c r="A59" s="18"/>
      <c r="B59" s="49">
        <v>5.0</v>
      </c>
      <c r="C59" s="50" t="s">
        <v>52</v>
      </c>
      <c r="D59" s="51"/>
      <c r="E59" s="19">
        <v>0.0</v>
      </c>
      <c r="F59" s="19">
        <v>0.0</v>
      </c>
      <c r="G59" s="19">
        <v>0.0</v>
      </c>
      <c r="H59" s="19">
        <v>0.0</v>
      </c>
      <c r="I59" s="19">
        <v>0.0</v>
      </c>
      <c r="J59" s="19">
        <v>2.0</v>
      </c>
      <c r="K59" s="19">
        <v>0.0</v>
      </c>
      <c r="L59" s="19">
        <v>0.0</v>
      </c>
      <c r="M59" s="19">
        <v>0.0</v>
      </c>
      <c r="N59" s="19">
        <v>0.0</v>
      </c>
      <c r="O59" s="19">
        <v>1.0</v>
      </c>
      <c r="P59" s="19">
        <v>0.0</v>
      </c>
      <c r="Q59" s="19">
        <v>0.0</v>
      </c>
      <c r="R59" s="19">
        <v>0.0</v>
      </c>
      <c r="S59" s="19">
        <v>0.0</v>
      </c>
      <c r="T59" s="19">
        <v>0.0</v>
      </c>
      <c r="U59" s="19">
        <v>2.0</v>
      </c>
      <c r="V59" s="19">
        <v>1.0</v>
      </c>
      <c r="W59" s="19">
        <v>0.0</v>
      </c>
      <c r="X59" s="19">
        <v>1.0</v>
      </c>
      <c r="Y59" s="19">
        <v>0.0</v>
      </c>
      <c r="Z59" s="19">
        <v>0.0</v>
      </c>
      <c r="AA59" s="19">
        <v>0.0</v>
      </c>
      <c r="AB59" s="19">
        <v>0.0</v>
      </c>
      <c r="AC59" s="19">
        <v>0.0</v>
      </c>
      <c r="AD59" s="19">
        <v>0.0</v>
      </c>
      <c r="AE59" s="19">
        <v>0.0</v>
      </c>
      <c r="AF59" s="19">
        <v>0.0</v>
      </c>
      <c r="AG59" s="19">
        <v>0.0</v>
      </c>
      <c r="AH59" s="19">
        <v>0.0</v>
      </c>
      <c r="AI59" s="19">
        <v>0.0</v>
      </c>
      <c r="AJ59" s="19">
        <v>0.0</v>
      </c>
      <c r="AK59" s="19">
        <v>2.0</v>
      </c>
      <c r="AL59" s="13">
        <f t="shared" si="14"/>
        <v>9</v>
      </c>
    </row>
    <row r="60" ht="12.75" customHeight="1">
      <c r="A60" s="18"/>
      <c r="B60" s="49">
        <v>6.0</v>
      </c>
      <c r="C60" s="50" t="s">
        <v>53</v>
      </c>
      <c r="D60" s="51"/>
      <c r="E60" s="19">
        <v>0.0</v>
      </c>
      <c r="F60" s="19">
        <v>0.0</v>
      </c>
      <c r="G60" s="19">
        <v>1.0</v>
      </c>
      <c r="H60" s="19">
        <v>0.0</v>
      </c>
      <c r="I60" s="19">
        <v>0.0</v>
      </c>
      <c r="J60" s="19">
        <v>0.0</v>
      </c>
      <c r="K60" s="19">
        <v>0.0</v>
      </c>
      <c r="L60" s="19">
        <v>0.0</v>
      </c>
      <c r="M60" s="19">
        <v>0.0</v>
      </c>
      <c r="N60" s="19">
        <v>1.0</v>
      </c>
      <c r="O60" s="19">
        <v>2.0</v>
      </c>
      <c r="P60" s="19">
        <v>0.0</v>
      </c>
      <c r="Q60" s="19">
        <v>1.0</v>
      </c>
      <c r="R60" s="19">
        <v>0.0</v>
      </c>
      <c r="S60" s="19">
        <v>2.0</v>
      </c>
      <c r="T60" s="19">
        <v>1.0</v>
      </c>
      <c r="U60" s="19">
        <v>0.0</v>
      </c>
      <c r="V60" s="19">
        <v>2.0</v>
      </c>
      <c r="W60" s="19">
        <v>1.0</v>
      </c>
      <c r="X60" s="19">
        <v>0.0</v>
      </c>
      <c r="Y60" s="19">
        <v>0.0</v>
      </c>
      <c r="Z60" s="19">
        <v>0.0</v>
      </c>
      <c r="AA60" s="19">
        <v>1.0</v>
      </c>
      <c r="AB60" s="19">
        <v>0.0</v>
      </c>
      <c r="AC60" s="19">
        <v>0.0</v>
      </c>
      <c r="AD60" s="19">
        <v>0.0</v>
      </c>
      <c r="AE60" s="19">
        <v>1.0</v>
      </c>
      <c r="AF60" s="19">
        <v>0.0</v>
      </c>
      <c r="AG60" s="19">
        <v>2.0</v>
      </c>
      <c r="AH60" s="19">
        <v>0.0</v>
      </c>
      <c r="AI60" s="19">
        <v>1.0</v>
      </c>
      <c r="AJ60" s="19">
        <v>0.0</v>
      </c>
      <c r="AK60" s="19">
        <v>0.0</v>
      </c>
      <c r="AL60" s="13">
        <f t="shared" si="14"/>
        <v>16</v>
      </c>
    </row>
    <row r="61" ht="12.75" customHeight="1">
      <c r="A61" s="19" t="s">
        <v>15</v>
      </c>
      <c r="B61" s="47" t="s">
        <v>46</v>
      </c>
      <c r="C61" s="15"/>
      <c r="D61" s="16"/>
      <c r="E61" s="56">
        <f t="shared" ref="E61:AK61" si="16">SUM(E54:E60)</f>
        <v>17</v>
      </c>
      <c r="F61" s="56">
        <f t="shared" si="16"/>
        <v>24</v>
      </c>
      <c r="G61" s="56">
        <f t="shared" si="16"/>
        <v>16</v>
      </c>
      <c r="H61" s="56">
        <f t="shared" si="16"/>
        <v>21</v>
      </c>
      <c r="I61" s="56">
        <f t="shared" si="16"/>
        <v>11</v>
      </c>
      <c r="J61" s="56">
        <f t="shared" si="16"/>
        <v>23</v>
      </c>
      <c r="K61" s="56">
        <f t="shared" si="16"/>
        <v>12</v>
      </c>
      <c r="L61" s="56">
        <f t="shared" si="16"/>
        <v>14</v>
      </c>
      <c r="M61" s="56">
        <f t="shared" si="16"/>
        <v>22</v>
      </c>
      <c r="N61" s="56">
        <f t="shared" si="16"/>
        <v>25</v>
      </c>
      <c r="O61" s="56">
        <f t="shared" si="16"/>
        <v>31</v>
      </c>
      <c r="P61" s="56">
        <f t="shared" si="16"/>
        <v>11</v>
      </c>
      <c r="Q61" s="56">
        <f t="shared" si="16"/>
        <v>21</v>
      </c>
      <c r="R61" s="56">
        <f t="shared" si="16"/>
        <v>25</v>
      </c>
      <c r="S61" s="56">
        <f t="shared" si="16"/>
        <v>17</v>
      </c>
      <c r="T61" s="56">
        <f t="shared" si="16"/>
        <v>13</v>
      </c>
      <c r="U61" s="56">
        <f t="shared" si="16"/>
        <v>30</v>
      </c>
      <c r="V61" s="56">
        <f t="shared" si="16"/>
        <v>18</v>
      </c>
      <c r="W61" s="56">
        <f t="shared" si="16"/>
        <v>21</v>
      </c>
      <c r="X61" s="56">
        <f t="shared" si="16"/>
        <v>10</v>
      </c>
      <c r="Y61" s="56">
        <f t="shared" si="16"/>
        <v>17</v>
      </c>
      <c r="Z61" s="56">
        <f t="shared" si="16"/>
        <v>18</v>
      </c>
      <c r="AA61" s="56">
        <f t="shared" si="16"/>
        <v>32</v>
      </c>
      <c r="AB61" s="56">
        <f t="shared" si="16"/>
        <v>37</v>
      </c>
      <c r="AC61" s="56">
        <f t="shared" si="16"/>
        <v>13</v>
      </c>
      <c r="AD61" s="56">
        <f t="shared" si="16"/>
        <v>19</v>
      </c>
      <c r="AE61" s="56">
        <f t="shared" si="16"/>
        <v>16</v>
      </c>
      <c r="AF61" s="56">
        <f t="shared" si="16"/>
        <v>14</v>
      </c>
      <c r="AG61" s="56">
        <f t="shared" si="16"/>
        <v>16</v>
      </c>
      <c r="AH61" s="56">
        <f t="shared" si="16"/>
        <v>15</v>
      </c>
      <c r="AI61" s="56">
        <f t="shared" si="16"/>
        <v>26</v>
      </c>
      <c r="AJ61" s="56">
        <f t="shared" si="16"/>
        <v>16</v>
      </c>
      <c r="AK61" s="56">
        <f t="shared" si="16"/>
        <v>13</v>
      </c>
      <c r="AL61" s="13">
        <f t="shared" si="14"/>
        <v>634</v>
      </c>
    </row>
    <row r="62" ht="12.75" customHeight="1">
      <c r="A62" s="57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13">
        <f t="shared" si="14"/>
        <v>0</v>
      </c>
    </row>
    <row r="63" ht="12.75" customHeight="1">
      <c r="A63" s="30" t="s">
        <v>37</v>
      </c>
      <c r="B63" s="47" t="s">
        <v>21</v>
      </c>
      <c r="C63" s="48" t="s">
        <v>54</v>
      </c>
      <c r="D63" s="16"/>
      <c r="E63" s="19">
        <v>7.0</v>
      </c>
      <c r="F63" s="19">
        <v>9.0</v>
      </c>
      <c r="G63" s="19">
        <v>7.0</v>
      </c>
      <c r="H63" s="19">
        <v>17.0</v>
      </c>
      <c r="I63" s="19">
        <v>5.0</v>
      </c>
      <c r="J63" s="19">
        <v>11.0</v>
      </c>
      <c r="K63" s="19">
        <v>8.0</v>
      </c>
      <c r="L63" s="19">
        <v>9.0</v>
      </c>
      <c r="M63" s="19">
        <v>6.0</v>
      </c>
      <c r="N63" s="19">
        <v>5.0</v>
      </c>
      <c r="O63" s="19">
        <v>5.0</v>
      </c>
      <c r="P63" s="19">
        <v>9.0</v>
      </c>
      <c r="Q63" s="19">
        <v>10.0</v>
      </c>
      <c r="R63" s="19">
        <v>7.0</v>
      </c>
      <c r="S63" s="19">
        <v>3.0</v>
      </c>
      <c r="T63" s="19">
        <v>4.0</v>
      </c>
      <c r="U63" s="19">
        <v>5.0</v>
      </c>
      <c r="V63" s="19">
        <v>18.0</v>
      </c>
      <c r="W63" s="19">
        <v>13.0</v>
      </c>
      <c r="X63" s="19">
        <v>30.0</v>
      </c>
      <c r="Y63" s="19">
        <v>14.0</v>
      </c>
      <c r="Z63" s="19">
        <v>32.0</v>
      </c>
      <c r="AA63" s="19">
        <v>20.0</v>
      </c>
      <c r="AB63" s="19">
        <v>23.0</v>
      </c>
      <c r="AC63" s="19">
        <v>12.0</v>
      </c>
      <c r="AD63" s="19">
        <v>17.0</v>
      </c>
      <c r="AE63" s="19">
        <v>16.0</v>
      </c>
      <c r="AF63" s="19">
        <v>11.0</v>
      </c>
      <c r="AG63" s="19">
        <v>15.0</v>
      </c>
      <c r="AH63" s="19">
        <v>13.0</v>
      </c>
      <c r="AI63" s="19">
        <v>14.0</v>
      </c>
      <c r="AJ63" s="19">
        <v>12.0</v>
      </c>
      <c r="AK63" s="19">
        <v>12.0</v>
      </c>
      <c r="AL63" s="13">
        <f t="shared" si="14"/>
        <v>399</v>
      </c>
    </row>
    <row r="64" ht="12.75" customHeight="1">
      <c r="A64" s="30" t="s">
        <v>39</v>
      </c>
      <c r="B64" s="49">
        <v>1.0</v>
      </c>
      <c r="C64" s="50" t="s">
        <v>55</v>
      </c>
      <c r="D64" s="51"/>
      <c r="E64" s="19">
        <v>11.0</v>
      </c>
      <c r="F64" s="19">
        <v>16.0</v>
      </c>
      <c r="G64" s="19">
        <v>13.0</v>
      </c>
      <c r="H64" s="19">
        <v>17.0</v>
      </c>
      <c r="I64" s="19">
        <v>19.0</v>
      </c>
      <c r="J64" s="19">
        <v>21.0</v>
      </c>
      <c r="K64" s="19">
        <v>16.0</v>
      </c>
      <c r="L64" s="19">
        <v>4.0</v>
      </c>
      <c r="M64" s="19">
        <v>20.0</v>
      </c>
      <c r="N64" s="19">
        <v>7.0</v>
      </c>
      <c r="O64" s="19">
        <v>7.0</v>
      </c>
      <c r="P64" s="19">
        <v>6.0</v>
      </c>
      <c r="Q64" s="19">
        <v>5.0</v>
      </c>
      <c r="R64" s="19">
        <v>10.0</v>
      </c>
      <c r="S64" s="19">
        <v>4.0</v>
      </c>
      <c r="T64" s="19">
        <v>4.0</v>
      </c>
      <c r="U64" s="19">
        <v>1.0</v>
      </c>
      <c r="V64" s="19">
        <v>8.0</v>
      </c>
      <c r="W64" s="19">
        <v>11.0</v>
      </c>
      <c r="X64" s="19">
        <v>53.0</v>
      </c>
      <c r="Y64" s="19">
        <v>26.0</v>
      </c>
      <c r="Z64" s="19">
        <v>52.0</v>
      </c>
      <c r="AA64" s="19">
        <v>31.0</v>
      </c>
      <c r="AB64" s="19">
        <v>4.0</v>
      </c>
      <c r="AC64" s="19">
        <v>7.0</v>
      </c>
      <c r="AD64" s="19">
        <v>4.0</v>
      </c>
      <c r="AE64" s="19">
        <v>6.0</v>
      </c>
      <c r="AF64" s="19">
        <v>4.0</v>
      </c>
      <c r="AG64" s="19">
        <v>6.0</v>
      </c>
      <c r="AH64" s="19">
        <v>17.0</v>
      </c>
      <c r="AI64" s="19">
        <v>12.0</v>
      </c>
      <c r="AJ64" s="19">
        <v>20.0</v>
      </c>
      <c r="AK64" s="19">
        <v>7.0</v>
      </c>
      <c r="AL64" s="13">
        <f t="shared" si="14"/>
        <v>449</v>
      </c>
    </row>
    <row r="65" ht="12.75" customHeight="1">
      <c r="A65" s="18"/>
      <c r="B65" s="49">
        <v>2.0</v>
      </c>
      <c r="C65" s="50" t="s">
        <v>56</v>
      </c>
      <c r="D65" s="51"/>
      <c r="E65" s="19">
        <v>12.0</v>
      </c>
      <c r="F65" s="19">
        <v>21.0</v>
      </c>
      <c r="G65" s="19">
        <v>9.0</v>
      </c>
      <c r="H65" s="19">
        <v>17.0</v>
      </c>
      <c r="I65" s="19">
        <v>21.0</v>
      </c>
      <c r="J65" s="19">
        <v>23.0</v>
      </c>
      <c r="K65" s="19">
        <v>7.0</v>
      </c>
      <c r="L65" s="19">
        <v>22.0</v>
      </c>
      <c r="M65" s="19">
        <v>1.0</v>
      </c>
      <c r="N65" s="19">
        <v>1.0</v>
      </c>
      <c r="O65" s="19">
        <v>5.0</v>
      </c>
      <c r="P65" s="19">
        <v>15.0</v>
      </c>
      <c r="Q65" s="19">
        <v>9.0</v>
      </c>
      <c r="R65" s="19">
        <v>19.0</v>
      </c>
      <c r="S65" s="19">
        <v>13.0</v>
      </c>
      <c r="T65" s="19">
        <v>29.0</v>
      </c>
      <c r="U65" s="19">
        <v>35.0</v>
      </c>
      <c r="V65" s="19">
        <v>15.0</v>
      </c>
      <c r="W65" s="19">
        <v>30.0</v>
      </c>
      <c r="X65" s="19">
        <v>13.0</v>
      </c>
      <c r="Y65" s="19">
        <v>27.0</v>
      </c>
      <c r="Z65" s="19">
        <v>24.0</v>
      </c>
      <c r="AA65" s="19">
        <v>4.0</v>
      </c>
      <c r="AB65" s="19">
        <v>40.0</v>
      </c>
      <c r="AC65" s="19">
        <v>39.0</v>
      </c>
      <c r="AD65" s="19">
        <v>20.0</v>
      </c>
      <c r="AE65" s="19">
        <v>32.0</v>
      </c>
      <c r="AF65" s="19">
        <v>24.0</v>
      </c>
      <c r="AG65" s="19">
        <v>22.0</v>
      </c>
      <c r="AH65" s="19">
        <v>28.0</v>
      </c>
      <c r="AI65" s="19">
        <v>45.0</v>
      </c>
      <c r="AJ65" s="19">
        <v>26.0</v>
      </c>
      <c r="AK65" s="19">
        <v>8.0</v>
      </c>
      <c r="AL65" s="13">
        <f t="shared" si="14"/>
        <v>656</v>
      </c>
    </row>
    <row r="66" ht="12.75" customHeight="1">
      <c r="A66" s="18"/>
      <c r="B66" s="49">
        <v>3.0</v>
      </c>
      <c r="C66" s="50" t="s">
        <v>57</v>
      </c>
      <c r="D66" s="51"/>
      <c r="E66" s="19">
        <v>4.0</v>
      </c>
      <c r="F66" s="19">
        <v>16.0</v>
      </c>
      <c r="G66" s="19">
        <v>28.0</v>
      </c>
      <c r="H66" s="19">
        <v>10.0</v>
      </c>
      <c r="I66" s="19">
        <v>6.0</v>
      </c>
      <c r="J66" s="19">
        <v>5.0</v>
      </c>
      <c r="K66" s="19">
        <v>16.0</v>
      </c>
      <c r="L66" s="19">
        <v>27.0</v>
      </c>
      <c r="M66" s="19">
        <v>6.0</v>
      </c>
      <c r="N66" s="19">
        <v>6.0</v>
      </c>
      <c r="O66" s="19">
        <v>3.0</v>
      </c>
      <c r="P66" s="19">
        <v>86.0</v>
      </c>
      <c r="Q66" s="19">
        <v>3.0</v>
      </c>
      <c r="R66" s="19">
        <v>77.0</v>
      </c>
      <c r="S66" s="19">
        <v>33.0</v>
      </c>
      <c r="T66" s="19">
        <v>8.0</v>
      </c>
      <c r="U66" s="19">
        <v>21.0</v>
      </c>
      <c r="V66" s="19">
        <v>25.0</v>
      </c>
      <c r="W66" s="19">
        <v>25.0</v>
      </c>
      <c r="X66" s="19">
        <v>30.0</v>
      </c>
      <c r="Y66" s="19">
        <v>41.0</v>
      </c>
      <c r="Z66" s="19">
        <v>29.0</v>
      </c>
      <c r="AA66" s="19">
        <v>14.0</v>
      </c>
      <c r="AB66" s="19">
        <v>29.0</v>
      </c>
      <c r="AC66" s="19">
        <v>13.0</v>
      </c>
      <c r="AD66" s="19">
        <v>33.0</v>
      </c>
      <c r="AE66" s="19">
        <v>18.0</v>
      </c>
      <c r="AF66" s="19">
        <v>29.0</v>
      </c>
      <c r="AG66" s="19">
        <v>42.0</v>
      </c>
      <c r="AH66" s="19">
        <v>12.0</v>
      </c>
      <c r="AI66" s="19">
        <v>6.0</v>
      </c>
      <c r="AJ66" s="19">
        <v>6.0</v>
      </c>
      <c r="AK66" s="19">
        <v>5.0</v>
      </c>
      <c r="AL66" s="13">
        <f t="shared" si="14"/>
        <v>712</v>
      </c>
    </row>
    <row r="67" ht="15.0" customHeight="1">
      <c r="A67" s="18"/>
      <c r="B67" s="49">
        <v>4.0</v>
      </c>
      <c r="C67" s="50" t="s">
        <v>58</v>
      </c>
      <c r="D67" s="51"/>
      <c r="E67" s="19">
        <v>3.0</v>
      </c>
      <c r="F67" s="19">
        <v>16.0</v>
      </c>
      <c r="G67" s="19">
        <v>4.0</v>
      </c>
      <c r="H67" s="19">
        <v>9.0</v>
      </c>
      <c r="I67" s="19">
        <v>18.0</v>
      </c>
      <c r="J67" s="19">
        <v>38.0</v>
      </c>
      <c r="K67" s="19">
        <v>0.0</v>
      </c>
      <c r="L67" s="19">
        <v>0.0</v>
      </c>
      <c r="M67" s="19">
        <v>0.0</v>
      </c>
      <c r="N67" s="19">
        <v>2.0</v>
      </c>
      <c r="O67" s="19">
        <v>2.0</v>
      </c>
      <c r="P67" s="19">
        <v>0.0</v>
      </c>
      <c r="Q67" s="19">
        <v>1.0</v>
      </c>
      <c r="R67" s="19">
        <v>1.0</v>
      </c>
      <c r="S67" s="19">
        <v>0.0</v>
      </c>
      <c r="T67" s="19">
        <v>1.0</v>
      </c>
      <c r="U67" s="19">
        <v>0.0</v>
      </c>
      <c r="V67" s="19">
        <v>0.0</v>
      </c>
      <c r="W67" s="19">
        <v>2.0</v>
      </c>
      <c r="X67" s="19">
        <v>2.0</v>
      </c>
      <c r="Y67" s="19">
        <v>1.0</v>
      </c>
      <c r="Z67" s="19">
        <v>0.0</v>
      </c>
      <c r="AA67" s="19">
        <v>1.0</v>
      </c>
      <c r="AB67" s="19">
        <v>1.0</v>
      </c>
      <c r="AC67" s="19">
        <v>1.0</v>
      </c>
      <c r="AD67" s="19">
        <v>22.0</v>
      </c>
      <c r="AE67" s="19">
        <v>0.0</v>
      </c>
      <c r="AF67" s="19">
        <v>2.0</v>
      </c>
      <c r="AG67" s="19">
        <v>0.0</v>
      </c>
      <c r="AH67" s="19">
        <v>0.0</v>
      </c>
      <c r="AI67" s="19">
        <v>0.0</v>
      </c>
      <c r="AJ67" s="19">
        <v>3.0</v>
      </c>
      <c r="AK67" s="19">
        <v>1.0</v>
      </c>
      <c r="AL67" s="13">
        <f t="shared" si="14"/>
        <v>131</v>
      </c>
    </row>
    <row r="68" ht="12.75" customHeight="1">
      <c r="A68" s="18"/>
      <c r="B68" s="49">
        <v>5.0</v>
      </c>
      <c r="C68" s="50" t="s">
        <v>59</v>
      </c>
      <c r="D68" s="51"/>
      <c r="E68" s="19">
        <v>0.0</v>
      </c>
      <c r="F68" s="19">
        <v>0.0</v>
      </c>
      <c r="G68" s="19">
        <v>0.0</v>
      </c>
      <c r="H68" s="19">
        <v>0.0</v>
      </c>
      <c r="I68" s="19">
        <v>3.0</v>
      </c>
      <c r="J68" s="19">
        <v>0.0</v>
      </c>
      <c r="K68" s="19">
        <v>1.0</v>
      </c>
      <c r="L68" s="19">
        <v>0.0</v>
      </c>
      <c r="M68" s="19">
        <v>1.0</v>
      </c>
      <c r="N68" s="19">
        <v>0.0</v>
      </c>
      <c r="O68" s="19">
        <v>0.0</v>
      </c>
      <c r="P68" s="19">
        <v>0.0</v>
      </c>
      <c r="Q68" s="19">
        <v>1.0</v>
      </c>
      <c r="R68" s="19">
        <v>1.0</v>
      </c>
      <c r="S68" s="19">
        <v>0.0</v>
      </c>
      <c r="T68" s="19">
        <v>0.0</v>
      </c>
      <c r="U68" s="19">
        <v>0.0</v>
      </c>
      <c r="V68" s="19">
        <v>0.0</v>
      </c>
      <c r="W68" s="19">
        <v>1.0</v>
      </c>
      <c r="X68" s="19">
        <v>0.0</v>
      </c>
      <c r="Y68" s="19">
        <v>1.0</v>
      </c>
      <c r="Z68" s="19">
        <v>1.0</v>
      </c>
      <c r="AA68" s="19">
        <v>1.0</v>
      </c>
      <c r="AB68" s="19">
        <v>2.0</v>
      </c>
      <c r="AC68" s="19">
        <v>0.0</v>
      </c>
      <c r="AD68" s="19">
        <v>0.0</v>
      </c>
      <c r="AE68" s="19">
        <v>0.0</v>
      </c>
      <c r="AF68" s="19">
        <v>1.0</v>
      </c>
      <c r="AG68" s="19">
        <v>0.0</v>
      </c>
      <c r="AH68" s="19">
        <v>0.0</v>
      </c>
      <c r="AI68" s="19">
        <v>0.0</v>
      </c>
      <c r="AJ68" s="19">
        <v>1.0</v>
      </c>
      <c r="AK68" s="19">
        <v>0.0</v>
      </c>
      <c r="AL68" s="13">
        <f t="shared" si="14"/>
        <v>15</v>
      </c>
    </row>
    <row r="69" ht="12.75" customHeight="1">
      <c r="A69" s="18"/>
      <c r="B69" s="49">
        <v>6.0</v>
      </c>
      <c r="C69" s="50" t="s">
        <v>60</v>
      </c>
      <c r="D69" s="51"/>
      <c r="E69" s="19">
        <v>0.0</v>
      </c>
      <c r="F69" s="19">
        <v>0.0</v>
      </c>
      <c r="G69" s="19">
        <v>0.0</v>
      </c>
      <c r="H69" s="19">
        <v>0.0</v>
      </c>
      <c r="I69" s="19">
        <v>2.0</v>
      </c>
      <c r="J69" s="19">
        <v>1.0</v>
      </c>
      <c r="K69" s="19">
        <v>1.0</v>
      </c>
      <c r="L69" s="19">
        <v>0.0</v>
      </c>
      <c r="M69" s="19">
        <v>0.0</v>
      </c>
      <c r="N69" s="19">
        <v>0.0</v>
      </c>
      <c r="O69" s="19">
        <v>2.0</v>
      </c>
      <c r="P69" s="19">
        <v>0.0</v>
      </c>
      <c r="Q69" s="19">
        <v>0.0</v>
      </c>
      <c r="R69" s="19">
        <v>0.0</v>
      </c>
      <c r="S69" s="19">
        <v>0.0</v>
      </c>
      <c r="T69" s="19">
        <v>0.0</v>
      </c>
      <c r="U69" s="19">
        <v>0.0</v>
      </c>
      <c r="V69" s="19">
        <v>0.0</v>
      </c>
      <c r="W69" s="19">
        <v>0.0</v>
      </c>
      <c r="X69" s="19">
        <v>0.0</v>
      </c>
      <c r="Y69" s="19">
        <v>1.0</v>
      </c>
      <c r="Z69" s="19">
        <v>0.0</v>
      </c>
      <c r="AA69" s="19">
        <v>1.0</v>
      </c>
      <c r="AB69" s="19">
        <v>0.0</v>
      </c>
      <c r="AC69" s="19">
        <v>0.0</v>
      </c>
      <c r="AD69" s="19">
        <v>0.0</v>
      </c>
      <c r="AE69" s="19">
        <v>0.0</v>
      </c>
      <c r="AF69" s="19">
        <v>1.0</v>
      </c>
      <c r="AG69" s="19">
        <v>4.0</v>
      </c>
      <c r="AH69" s="19">
        <v>2.0</v>
      </c>
      <c r="AI69" s="19">
        <v>1.0</v>
      </c>
      <c r="AJ69" s="19">
        <v>0.0</v>
      </c>
      <c r="AK69" s="19">
        <v>0.0</v>
      </c>
      <c r="AL69" s="13">
        <f t="shared" si="14"/>
        <v>16</v>
      </c>
    </row>
    <row r="70" ht="12.75" customHeight="1">
      <c r="A70" s="19" t="s">
        <v>15</v>
      </c>
      <c r="B70" s="47" t="s">
        <v>46</v>
      </c>
      <c r="C70" s="15"/>
      <c r="D70" s="16"/>
      <c r="E70" s="56">
        <f t="shared" ref="E70:AK70" si="17">SUM(E63:E69)</f>
        <v>37</v>
      </c>
      <c r="F70" s="56">
        <f t="shared" si="17"/>
        <v>78</v>
      </c>
      <c r="G70" s="56">
        <f t="shared" si="17"/>
        <v>61</v>
      </c>
      <c r="H70" s="56">
        <f t="shared" si="17"/>
        <v>70</v>
      </c>
      <c r="I70" s="56">
        <f t="shared" si="17"/>
        <v>74</v>
      </c>
      <c r="J70" s="56">
        <f t="shared" si="17"/>
        <v>99</v>
      </c>
      <c r="K70" s="56">
        <f t="shared" si="17"/>
        <v>49</v>
      </c>
      <c r="L70" s="56">
        <f t="shared" si="17"/>
        <v>62</v>
      </c>
      <c r="M70" s="56">
        <f t="shared" si="17"/>
        <v>34</v>
      </c>
      <c r="N70" s="56">
        <f t="shared" si="17"/>
        <v>21</v>
      </c>
      <c r="O70" s="56">
        <f t="shared" si="17"/>
        <v>24</v>
      </c>
      <c r="P70" s="56">
        <f t="shared" si="17"/>
        <v>116</v>
      </c>
      <c r="Q70" s="56">
        <f t="shared" si="17"/>
        <v>29</v>
      </c>
      <c r="R70" s="56">
        <f t="shared" si="17"/>
        <v>115</v>
      </c>
      <c r="S70" s="56">
        <f t="shared" si="17"/>
        <v>53</v>
      </c>
      <c r="T70" s="56">
        <f t="shared" si="17"/>
        <v>46</v>
      </c>
      <c r="U70" s="56">
        <f t="shared" si="17"/>
        <v>62</v>
      </c>
      <c r="V70" s="56">
        <f t="shared" si="17"/>
        <v>66</v>
      </c>
      <c r="W70" s="56">
        <f t="shared" si="17"/>
        <v>82</v>
      </c>
      <c r="X70" s="56">
        <f t="shared" si="17"/>
        <v>128</v>
      </c>
      <c r="Y70" s="56">
        <f t="shared" si="17"/>
        <v>111</v>
      </c>
      <c r="Z70" s="56">
        <f t="shared" si="17"/>
        <v>138</v>
      </c>
      <c r="AA70" s="56">
        <f t="shared" si="17"/>
        <v>72</v>
      </c>
      <c r="AB70" s="56">
        <f t="shared" si="17"/>
        <v>99</v>
      </c>
      <c r="AC70" s="56">
        <f t="shared" si="17"/>
        <v>72</v>
      </c>
      <c r="AD70" s="56">
        <f t="shared" si="17"/>
        <v>96</v>
      </c>
      <c r="AE70" s="56">
        <f t="shared" si="17"/>
        <v>72</v>
      </c>
      <c r="AF70" s="56">
        <f t="shared" si="17"/>
        <v>72</v>
      </c>
      <c r="AG70" s="56">
        <f t="shared" si="17"/>
        <v>89</v>
      </c>
      <c r="AH70" s="56">
        <f t="shared" si="17"/>
        <v>72</v>
      </c>
      <c r="AI70" s="56">
        <f t="shared" si="17"/>
        <v>78</v>
      </c>
      <c r="AJ70" s="56">
        <f t="shared" si="17"/>
        <v>68</v>
      </c>
      <c r="AK70" s="56">
        <f t="shared" si="17"/>
        <v>33</v>
      </c>
      <c r="AL70" s="13">
        <f t="shared" si="14"/>
        <v>2378</v>
      </c>
    </row>
    <row r="71" ht="12.75" customHeight="1">
      <c r="A71" s="57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13">
        <f t="shared" si="14"/>
        <v>0</v>
      </c>
    </row>
    <row r="72" ht="12.75" customHeight="1">
      <c r="A72" s="30" t="s">
        <v>37</v>
      </c>
      <c r="B72" s="47" t="s">
        <v>23</v>
      </c>
      <c r="C72" s="48" t="s">
        <v>61</v>
      </c>
      <c r="D72" s="16"/>
      <c r="E72" s="19">
        <v>3.0</v>
      </c>
      <c r="F72" s="19">
        <v>1.0</v>
      </c>
      <c r="G72" s="19">
        <v>8.0</v>
      </c>
      <c r="H72" s="19">
        <v>14.0</v>
      </c>
      <c r="I72" s="19">
        <v>2.0</v>
      </c>
      <c r="J72" s="19">
        <v>2.0</v>
      </c>
      <c r="K72" s="19">
        <v>2.0</v>
      </c>
      <c r="L72" s="19">
        <v>6.0</v>
      </c>
      <c r="M72" s="19">
        <v>4.0</v>
      </c>
      <c r="N72" s="19">
        <v>9.0</v>
      </c>
      <c r="O72" s="19">
        <v>2.0</v>
      </c>
      <c r="P72" s="19">
        <v>3.0</v>
      </c>
      <c r="Q72" s="19">
        <v>4.0</v>
      </c>
      <c r="R72" s="19">
        <v>0.0</v>
      </c>
      <c r="S72" s="19">
        <v>0.0</v>
      </c>
      <c r="T72" s="19">
        <v>2.0</v>
      </c>
      <c r="U72" s="19">
        <v>3.0</v>
      </c>
      <c r="V72" s="19">
        <v>1.0</v>
      </c>
      <c r="W72" s="19">
        <v>4.0</v>
      </c>
      <c r="X72" s="19">
        <v>2.0</v>
      </c>
      <c r="Y72" s="19">
        <v>1.0</v>
      </c>
      <c r="Z72" s="19">
        <v>2.0</v>
      </c>
      <c r="AA72" s="19">
        <v>5.0</v>
      </c>
      <c r="AB72" s="19">
        <v>0.0</v>
      </c>
      <c r="AC72" s="19">
        <v>2.0</v>
      </c>
      <c r="AD72" s="19">
        <v>2.0</v>
      </c>
      <c r="AE72" s="19">
        <v>2.0</v>
      </c>
      <c r="AF72" s="19">
        <v>7.0</v>
      </c>
      <c r="AG72" s="19">
        <v>1.0</v>
      </c>
      <c r="AH72" s="19">
        <v>1.0</v>
      </c>
      <c r="AI72" s="19">
        <v>6.0</v>
      </c>
      <c r="AJ72" s="19">
        <v>10.0</v>
      </c>
      <c r="AK72" s="19">
        <v>20.0</v>
      </c>
      <c r="AL72" s="13">
        <f t="shared" si="14"/>
        <v>131</v>
      </c>
    </row>
    <row r="73" ht="12.75" customHeight="1">
      <c r="A73" s="30" t="s">
        <v>39</v>
      </c>
      <c r="B73" s="49">
        <v>1.0</v>
      </c>
      <c r="C73" s="50" t="s">
        <v>62</v>
      </c>
      <c r="D73" s="51"/>
      <c r="E73" s="19">
        <v>45.0</v>
      </c>
      <c r="F73" s="19">
        <v>3.0</v>
      </c>
      <c r="G73" s="19">
        <v>26.0</v>
      </c>
      <c r="H73" s="19">
        <v>11.0</v>
      </c>
      <c r="I73" s="19">
        <v>10.0</v>
      </c>
      <c r="J73" s="19">
        <v>9.0</v>
      </c>
      <c r="K73" s="19">
        <v>22.0</v>
      </c>
      <c r="L73" s="19">
        <v>2.0</v>
      </c>
      <c r="M73" s="19">
        <v>20.0</v>
      </c>
      <c r="N73" s="19">
        <v>37.0</v>
      </c>
      <c r="O73" s="19">
        <v>14.0</v>
      </c>
      <c r="P73" s="19">
        <v>1.0</v>
      </c>
      <c r="Q73" s="19">
        <v>14.0</v>
      </c>
      <c r="R73" s="19">
        <v>1.0</v>
      </c>
      <c r="S73" s="19">
        <v>16.0</v>
      </c>
      <c r="T73" s="19">
        <v>7.0</v>
      </c>
      <c r="U73" s="19">
        <v>10.0</v>
      </c>
      <c r="V73" s="19">
        <v>2.0</v>
      </c>
      <c r="W73" s="19">
        <v>16.0</v>
      </c>
      <c r="X73" s="19">
        <v>3.0</v>
      </c>
      <c r="Y73" s="19">
        <v>12.0</v>
      </c>
      <c r="Z73" s="19">
        <v>9.0</v>
      </c>
      <c r="AA73" s="19">
        <v>7.0</v>
      </c>
      <c r="AB73" s="19">
        <v>0.0</v>
      </c>
      <c r="AC73" s="19">
        <v>6.0</v>
      </c>
      <c r="AD73" s="19">
        <v>2.0</v>
      </c>
      <c r="AE73" s="19">
        <v>1.0</v>
      </c>
      <c r="AF73" s="19">
        <v>10.0</v>
      </c>
      <c r="AG73" s="19">
        <v>10.0</v>
      </c>
      <c r="AH73" s="19">
        <v>6.0</v>
      </c>
      <c r="AI73" s="19">
        <v>8.0</v>
      </c>
      <c r="AJ73" s="19">
        <v>22.0</v>
      </c>
      <c r="AK73" s="19">
        <v>94.0</v>
      </c>
      <c r="AL73" s="13">
        <f t="shared" si="14"/>
        <v>456</v>
      </c>
    </row>
    <row r="74" ht="12.75" customHeight="1">
      <c r="A74" s="18"/>
      <c r="B74" s="49">
        <v>2.0</v>
      </c>
      <c r="C74" s="50" t="s">
        <v>63</v>
      </c>
      <c r="D74" s="51"/>
      <c r="E74" s="19">
        <v>3.0</v>
      </c>
      <c r="F74" s="19">
        <v>1.0</v>
      </c>
      <c r="G74" s="19">
        <v>4.0</v>
      </c>
      <c r="H74" s="19">
        <v>1.0</v>
      </c>
      <c r="I74" s="19">
        <v>1.0</v>
      </c>
      <c r="J74" s="19">
        <v>0.0</v>
      </c>
      <c r="K74" s="19">
        <v>3.0</v>
      </c>
      <c r="L74" s="19">
        <v>0.0</v>
      </c>
      <c r="M74" s="19">
        <v>1.0</v>
      </c>
      <c r="N74" s="19">
        <v>0.0</v>
      </c>
      <c r="O74" s="19">
        <v>0.0</v>
      </c>
      <c r="P74" s="19">
        <v>0.0</v>
      </c>
      <c r="Q74" s="19">
        <v>0.0</v>
      </c>
      <c r="R74" s="19">
        <v>0.0</v>
      </c>
      <c r="S74" s="19">
        <v>0.0</v>
      </c>
      <c r="T74" s="19">
        <v>0.0</v>
      </c>
      <c r="U74" s="19">
        <v>0.0</v>
      </c>
      <c r="V74" s="19">
        <v>0.0</v>
      </c>
      <c r="W74" s="19">
        <v>0.0</v>
      </c>
      <c r="X74" s="19">
        <v>0.0</v>
      </c>
      <c r="Y74" s="19">
        <v>0.0</v>
      </c>
      <c r="Z74" s="19">
        <v>0.0</v>
      </c>
      <c r="AA74" s="19">
        <v>1.0</v>
      </c>
      <c r="AB74" s="19">
        <v>2.0</v>
      </c>
      <c r="AC74" s="19">
        <v>1.0</v>
      </c>
      <c r="AD74" s="19">
        <v>0.0</v>
      </c>
      <c r="AE74" s="19">
        <v>0.0</v>
      </c>
      <c r="AF74" s="19">
        <v>0.0</v>
      </c>
      <c r="AG74" s="19">
        <v>0.0</v>
      </c>
      <c r="AH74" s="19">
        <v>0.0</v>
      </c>
      <c r="AI74" s="19">
        <v>0.0</v>
      </c>
      <c r="AJ74" s="19">
        <v>0.0</v>
      </c>
      <c r="AK74" s="19">
        <v>2.0</v>
      </c>
      <c r="AL74" s="13">
        <f t="shared" si="14"/>
        <v>20</v>
      </c>
    </row>
    <row r="75" ht="12.75" customHeight="1">
      <c r="A75" s="18"/>
      <c r="B75" s="49">
        <v>3.0</v>
      </c>
      <c r="C75" s="50" t="s">
        <v>64</v>
      </c>
      <c r="D75" s="51"/>
      <c r="E75" s="19">
        <v>0.0</v>
      </c>
      <c r="F75" s="19">
        <v>0.0</v>
      </c>
      <c r="G75" s="19">
        <v>1.0</v>
      </c>
      <c r="H75" s="19">
        <v>0.0</v>
      </c>
      <c r="I75" s="19">
        <v>1.0</v>
      </c>
      <c r="J75" s="19">
        <v>1.0</v>
      </c>
      <c r="K75" s="19">
        <v>0.0</v>
      </c>
      <c r="L75" s="19">
        <v>0.0</v>
      </c>
      <c r="M75" s="19">
        <v>0.0</v>
      </c>
      <c r="N75" s="19">
        <v>0.0</v>
      </c>
      <c r="O75" s="19">
        <v>1.0</v>
      </c>
      <c r="P75" s="19">
        <v>0.0</v>
      </c>
      <c r="Q75" s="19">
        <v>1.0</v>
      </c>
      <c r="R75" s="19">
        <v>0.0</v>
      </c>
      <c r="S75" s="19">
        <v>0.0</v>
      </c>
      <c r="T75" s="19">
        <v>0.0</v>
      </c>
      <c r="U75" s="19">
        <v>0.0</v>
      </c>
      <c r="V75" s="19">
        <v>1.0</v>
      </c>
      <c r="W75" s="19">
        <v>1.0</v>
      </c>
      <c r="X75" s="19">
        <v>0.0</v>
      </c>
      <c r="Y75" s="19">
        <v>0.0</v>
      </c>
      <c r="Z75" s="19">
        <v>0.0</v>
      </c>
      <c r="AA75" s="19">
        <v>0.0</v>
      </c>
      <c r="AB75" s="19">
        <v>0.0</v>
      </c>
      <c r="AC75" s="19">
        <v>0.0</v>
      </c>
      <c r="AD75" s="19">
        <v>0.0</v>
      </c>
      <c r="AE75" s="19">
        <v>0.0</v>
      </c>
      <c r="AF75" s="19">
        <v>0.0</v>
      </c>
      <c r="AG75" s="19">
        <v>1.0</v>
      </c>
      <c r="AH75" s="19">
        <v>0.0</v>
      </c>
      <c r="AI75" s="19">
        <v>0.0</v>
      </c>
      <c r="AJ75" s="19">
        <v>3.0</v>
      </c>
      <c r="AK75" s="19">
        <v>1.0</v>
      </c>
      <c r="AL75" s="13">
        <f t="shared" si="14"/>
        <v>12</v>
      </c>
    </row>
    <row r="76" ht="12.75" customHeight="1">
      <c r="A76" s="18"/>
      <c r="B76" s="49">
        <v>4.0</v>
      </c>
      <c r="C76" s="50" t="s">
        <v>65</v>
      </c>
      <c r="D76" s="51"/>
      <c r="E76" s="19">
        <v>0.0</v>
      </c>
      <c r="F76" s="19">
        <v>0.0</v>
      </c>
      <c r="G76" s="19">
        <v>1.0</v>
      </c>
      <c r="H76" s="19">
        <v>0.0</v>
      </c>
      <c r="I76" s="19">
        <v>2.0</v>
      </c>
      <c r="J76" s="19">
        <v>0.0</v>
      </c>
      <c r="K76" s="19">
        <v>0.0</v>
      </c>
      <c r="L76" s="19">
        <v>9.0</v>
      </c>
      <c r="M76" s="19">
        <v>1.0</v>
      </c>
      <c r="N76" s="19">
        <v>0.0</v>
      </c>
      <c r="O76" s="19">
        <v>0.0</v>
      </c>
      <c r="P76" s="19">
        <v>27.0</v>
      </c>
      <c r="Q76" s="19">
        <v>1.0</v>
      </c>
      <c r="R76" s="19">
        <v>1.0</v>
      </c>
      <c r="S76" s="19">
        <v>1.0</v>
      </c>
      <c r="T76" s="19">
        <v>0.0</v>
      </c>
      <c r="U76" s="19">
        <v>0.0</v>
      </c>
      <c r="V76" s="19">
        <v>0.0</v>
      </c>
      <c r="W76" s="19">
        <v>0.0</v>
      </c>
      <c r="X76" s="19">
        <v>0.0</v>
      </c>
      <c r="Y76" s="19">
        <v>0.0</v>
      </c>
      <c r="Z76" s="19">
        <v>0.0</v>
      </c>
      <c r="AA76" s="19">
        <v>0.0</v>
      </c>
      <c r="AB76" s="19">
        <v>0.0</v>
      </c>
      <c r="AC76" s="19">
        <v>0.0</v>
      </c>
      <c r="AD76" s="19">
        <v>1.0</v>
      </c>
      <c r="AE76" s="19">
        <v>1.0</v>
      </c>
      <c r="AF76" s="19">
        <v>2.0</v>
      </c>
      <c r="AG76" s="19">
        <v>0.0</v>
      </c>
      <c r="AH76" s="19">
        <v>0.0</v>
      </c>
      <c r="AI76" s="19">
        <v>1.0</v>
      </c>
      <c r="AJ76" s="19">
        <v>0.0</v>
      </c>
      <c r="AK76" s="19">
        <v>0.0</v>
      </c>
      <c r="AL76" s="13">
        <f t="shared" si="14"/>
        <v>48</v>
      </c>
    </row>
    <row r="77" ht="12.75" customHeight="1">
      <c r="A77" s="18"/>
      <c r="B77" s="49">
        <v>5.0</v>
      </c>
      <c r="C77" s="50" t="s">
        <v>66</v>
      </c>
      <c r="D77" s="51"/>
      <c r="E77" s="19">
        <v>0.0</v>
      </c>
      <c r="F77" s="19">
        <v>0.0</v>
      </c>
      <c r="G77" s="19">
        <v>0.0</v>
      </c>
      <c r="H77" s="19">
        <v>0.0</v>
      </c>
      <c r="I77" s="19">
        <v>0.0</v>
      </c>
      <c r="J77" s="19">
        <v>1.0</v>
      </c>
      <c r="K77" s="19">
        <v>0.0</v>
      </c>
      <c r="L77" s="19">
        <v>0.0</v>
      </c>
      <c r="M77" s="19">
        <v>0.0</v>
      </c>
      <c r="N77" s="19">
        <v>0.0</v>
      </c>
      <c r="O77" s="19">
        <v>0.0</v>
      </c>
      <c r="P77" s="19">
        <v>1.0</v>
      </c>
      <c r="Q77" s="19">
        <v>0.0</v>
      </c>
      <c r="R77" s="19">
        <v>0.0</v>
      </c>
      <c r="S77" s="19">
        <v>0.0</v>
      </c>
      <c r="T77" s="19">
        <v>0.0</v>
      </c>
      <c r="U77" s="19">
        <v>0.0</v>
      </c>
      <c r="V77" s="19">
        <v>0.0</v>
      </c>
      <c r="W77" s="19">
        <v>0.0</v>
      </c>
      <c r="X77" s="19">
        <v>0.0</v>
      </c>
      <c r="Y77" s="19">
        <v>0.0</v>
      </c>
      <c r="Z77" s="19">
        <v>0.0</v>
      </c>
      <c r="AA77" s="19">
        <v>5.0</v>
      </c>
      <c r="AB77" s="19">
        <v>0.0</v>
      </c>
      <c r="AC77" s="19">
        <v>0.0</v>
      </c>
      <c r="AD77" s="19">
        <v>0.0</v>
      </c>
      <c r="AE77" s="19">
        <v>0.0</v>
      </c>
      <c r="AF77" s="19">
        <v>0.0</v>
      </c>
      <c r="AG77" s="19">
        <v>1.0</v>
      </c>
      <c r="AH77" s="19">
        <v>1.0</v>
      </c>
      <c r="AI77" s="19">
        <v>0.0</v>
      </c>
      <c r="AJ77" s="19">
        <v>0.0</v>
      </c>
      <c r="AK77" s="19">
        <v>0.0</v>
      </c>
      <c r="AL77" s="13">
        <f t="shared" si="14"/>
        <v>9</v>
      </c>
    </row>
    <row r="78" ht="12.75" customHeight="1">
      <c r="A78" s="18"/>
      <c r="B78" s="49">
        <v>6.0</v>
      </c>
      <c r="C78" s="50" t="s">
        <v>67</v>
      </c>
      <c r="D78" s="51"/>
      <c r="E78" s="19">
        <v>0.0</v>
      </c>
      <c r="F78" s="19">
        <v>0.0</v>
      </c>
      <c r="G78" s="19">
        <v>0.0</v>
      </c>
      <c r="H78" s="19">
        <v>1.0</v>
      </c>
      <c r="I78" s="19">
        <v>0.0</v>
      </c>
      <c r="J78" s="19">
        <v>1.0</v>
      </c>
      <c r="K78" s="19">
        <v>0.0</v>
      </c>
      <c r="L78" s="19">
        <v>0.0</v>
      </c>
      <c r="M78" s="19">
        <v>0.0</v>
      </c>
      <c r="N78" s="19">
        <v>0.0</v>
      </c>
      <c r="O78" s="19">
        <v>0.0</v>
      </c>
      <c r="P78" s="19">
        <v>0.0</v>
      </c>
      <c r="Q78" s="19">
        <v>0.0</v>
      </c>
      <c r="R78" s="19">
        <v>0.0</v>
      </c>
      <c r="S78" s="19">
        <v>0.0</v>
      </c>
      <c r="T78" s="19">
        <v>0.0</v>
      </c>
      <c r="U78" s="19">
        <v>0.0</v>
      </c>
      <c r="V78" s="19">
        <v>0.0</v>
      </c>
      <c r="W78" s="19">
        <v>0.0</v>
      </c>
      <c r="X78" s="19">
        <v>0.0</v>
      </c>
      <c r="Y78" s="19">
        <v>0.0</v>
      </c>
      <c r="Z78" s="19">
        <v>0.0</v>
      </c>
      <c r="AA78" s="19">
        <v>0.0</v>
      </c>
      <c r="AB78" s="19">
        <v>0.0</v>
      </c>
      <c r="AC78" s="19">
        <v>0.0</v>
      </c>
      <c r="AD78" s="19">
        <v>0.0</v>
      </c>
      <c r="AE78" s="19">
        <v>0.0</v>
      </c>
      <c r="AF78" s="19">
        <v>0.0</v>
      </c>
      <c r="AG78" s="19">
        <v>0.0</v>
      </c>
      <c r="AH78" s="19">
        <v>0.0</v>
      </c>
      <c r="AI78" s="19">
        <v>0.0</v>
      </c>
      <c r="AJ78" s="19">
        <v>0.0</v>
      </c>
      <c r="AK78" s="19">
        <v>0.0</v>
      </c>
      <c r="AL78" s="13">
        <f t="shared" si="14"/>
        <v>2</v>
      </c>
    </row>
    <row r="79" ht="15.0" customHeight="1">
      <c r="A79" s="19" t="s">
        <v>15</v>
      </c>
      <c r="B79" s="47" t="s">
        <v>46</v>
      </c>
      <c r="C79" s="15"/>
      <c r="D79" s="16"/>
      <c r="E79" s="56">
        <f t="shared" ref="E79:AK79" si="18">SUM(E72:E78)</f>
        <v>51</v>
      </c>
      <c r="F79" s="56">
        <f t="shared" si="18"/>
        <v>5</v>
      </c>
      <c r="G79" s="56">
        <f t="shared" si="18"/>
        <v>40</v>
      </c>
      <c r="H79" s="56">
        <f t="shared" si="18"/>
        <v>27</v>
      </c>
      <c r="I79" s="56">
        <f t="shared" si="18"/>
        <v>16</v>
      </c>
      <c r="J79" s="56">
        <f t="shared" si="18"/>
        <v>14</v>
      </c>
      <c r="K79" s="56">
        <f t="shared" si="18"/>
        <v>27</v>
      </c>
      <c r="L79" s="56">
        <f t="shared" si="18"/>
        <v>17</v>
      </c>
      <c r="M79" s="56">
        <f t="shared" si="18"/>
        <v>26</v>
      </c>
      <c r="N79" s="56">
        <f t="shared" si="18"/>
        <v>46</v>
      </c>
      <c r="O79" s="56">
        <f t="shared" si="18"/>
        <v>17</v>
      </c>
      <c r="P79" s="56">
        <f t="shared" si="18"/>
        <v>32</v>
      </c>
      <c r="Q79" s="56">
        <f t="shared" si="18"/>
        <v>20</v>
      </c>
      <c r="R79" s="56">
        <f t="shared" si="18"/>
        <v>2</v>
      </c>
      <c r="S79" s="56">
        <f t="shared" si="18"/>
        <v>17</v>
      </c>
      <c r="T79" s="56">
        <f t="shared" si="18"/>
        <v>9</v>
      </c>
      <c r="U79" s="56">
        <f t="shared" si="18"/>
        <v>13</v>
      </c>
      <c r="V79" s="56">
        <f t="shared" si="18"/>
        <v>4</v>
      </c>
      <c r="W79" s="56">
        <f t="shared" si="18"/>
        <v>21</v>
      </c>
      <c r="X79" s="56">
        <f t="shared" si="18"/>
        <v>5</v>
      </c>
      <c r="Y79" s="56">
        <f t="shared" si="18"/>
        <v>13</v>
      </c>
      <c r="Z79" s="56">
        <f t="shared" si="18"/>
        <v>11</v>
      </c>
      <c r="AA79" s="56">
        <f t="shared" si="18"/>
        <v>18</v>
      </c>
      <c r="AB79" s="56">
        <f t="shared" si="18"/>
        <v>2</v>
      </c>
      <c r="AC79" s="56">
        <f t="shared" si="18"/>
        <v>9</v>
      </c>
      <c r="AD79" s="56">
        <f t="shared" si="18"/>
        <v>5</v>
      </c>
      <c r="AE79" s="56">
        <f t="shared" si="18"/>
        <v>4</v>
      </c>
      <c r="AF79" s="56">
        <f t="shared" si="18"/>
        <v>19</v>
      </c>
      <c r="AG79" s="56">
        <f t="shared" si="18"/>
        <v>13</v>
      </c>
      <c r="AH79" s="56">
        <f t="shared" si="18"/>
        <v>8</v>
      </c>
      <c r="AI79" s="56">
        <f t="shared" si="18"/>
        <v>15</v>
      </c>
      <c r="AJ79" s="56">
        <f t="shared" si="18"/>
        <v>35</v>
      </c>
      <c r="AK79" s="56">
        <f t="shared" si="18"/>
        <v>117</v>
      </c>
      <c r="AL79" s="13">
        <f t="shared" si="14"/>
        <v>678</v>
      </c>
    </row>
    <row r="80" ht="12.75" customHeight="1">
      <c r="A80" s="57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13">
        <f t="shared" si="14"/>
        <v>0</v>
      </c>
    </row>
    <row r="81" ht="12.75" customHeight="1">
      <c r="A81" s="30" t="s">
        <v>37</v>
      </c>
      <c r="B81" s="47" t="s">
        <v>68</v>
      </c>
      <c r="C81" s="48" t="s">
        <v>69</v>
      </c>
      <c r="D81" s="16"/>
      <c r="E81" s="19">
        <v>0.0</v>
      </c>
      <c r="F81" s="19">
        <v>3.0</v>
      </c>
      <c r="G81" s="19">
        <v>1.0</v>
      </c>
      <c r="H81" s="19">
        <v>3.0</v>
      </c>
      <c r="I81" s="19">
        <v>0.0</v>
      </c>
      <c r="J81" s="19">
        <v>0.0</v>
      </c>
      <c r="K81" s="19">
        <v>1.0</v>
      </c>
      <c r="L81" s="19">
        <v>1.0</v>
      </c>
      <c r="M81" s="19">
        <v>0.0</v>
      </c>
      <c r="N81" s="19">
        <v>1.0</v>
      </c>
      <c r="O81" s="19">
        <v>0.0</v>
      </c>
      <c r="P81" s="19">
        <v>0.0</v>
      </c>
      <c r="Q81" s="19">
        <v>2.0</v>
      </c>
      <c r="R81" s="19">
        <v>0.0</v>
      </c>
      <c r="S81" s="19">
        <v>0.0</v>
      </c>
      <c r="T81" s="19">
        <v>0.0</v>
      </c>
      <c r="U81" s="19">
        <v>0.0</v>
      </c>
      <c r="V81" s="19">
        <v>0.0</v>
      </c>
      <c r="W81" s="19">
        <v>2.0</v>
      </c>
      <c r="X81" s="19">
        <v>2.0</v>
      </c>
      <c r="Y81" s="19">
        <v>0.0</v>
      </c>
      <c r="Z81" s="19">
        <v>0.0</v>
      </c>
      <c r="AA81" s="19">
        <v>2.0</v>
      </c>
      <c r="AB81" s="19">
        <v>1.0</v>
      </c>
      <c r="AC81" s="19">
        <v>0.0</v>
      </c>
      <c r="AD81" s="19">
        <v>0.0</v>
      </c>
      <c r="AE81" s="19">
        <v>0.0</v>
      </c>
      <c r="AF81" s="19">
        <v>0.0</v>
      </c>
      <c r="AG81" s="19">
        <v>0.0</v>
      </c>
      <c r="AH81" s="19">
        <v>0.0</v>
      </c>
      <c r="AI81" s="19">
        <v>1.0</v>
      </c>
      <c r="AJ81" s="19">
        <v>1.0</v>
      </c>
      <c r="AK81" s="19">
        <v>0.0</v>
      </c>
      <c r="AL81" s="13">
        <f t="shared" si="14"/>
        <v>21</v>
      </c>
    </row>
    <row r="82" ht="12.75" customHeight="1">
      <c r="A82" s="30" t="s">
        <v>39</v>
      </c>
      <c r="B82" s="49">
        <v>1.0</v>
      </c>
      <c r="C82" s="50" t="s">
        <v>70</v>
      </c>
      <c r="D82" s="51"/>
      <c r="E82" s="19">
        <v>2.0</v>
      </c>
      <c r="F82" s="19">
        <v>1.0</v>
      </c>
      <c r="G82" s="19">
        <v>3.0</v>
      </c>
      <c r="H82" s="19">
        <v>3.0</v>
      </c>
      <c r="I82" s="19">
        <v>3.0</v>
      </c>
      <c r="J82" s="19">
        <v>2.0</v>
      </c>
      <c r="K82" s="19">
        <v>6.0</v>
      </c>
      <c r="L82" s="19">
        <v>22.0</v>
      </c>
      <c r="M82" s="19">
        <v>4.0</v>
      </c>
      <c r="N82" s="19">
        <v>1.0</v>
      </c>
      <c r="O82" s="19">
        <v>3.0</v>
      </c>
      <c r="P82" s="19">
        <v>1.0</v>
      </c>
      <c r="Q82" s="19">
        <v>16.0</v>
      </c>
      <c r="R82" s="19">
        <v>0.0</v>
      </c>
      <c r="S82" s="19">
        <v>0.0</v>
      </c>
      <c r="T82" s="19">
        <v>0.0</v>
      </c>
      <c r="U82" s="19">
        <v>0.0</v>
      </c>
      <c r="V82" s="19">
        <v>1.0</v>
      </c>
      <c r="W82" s="19">
        <v>0.0</v>
      </c>
      <c r="X82" s="19">
        <v>3.0</v>
      </c>
      <c r="Y82" s="19">
        <v>0.0</v>
      </c>
      <c r="Z82" s="19">
        <v>1.0</v>
      </c>
      <c r="AA82" s="19">
        <v>1.0</v>
      </c>
      <c r="AB82" s="19">
        <v>1.0</v>
      </c>
      <c r="AC82" s="19">
        <v>3.0</v>
      </c>
      <c r="AD82" s="19">
        <v>2.0</v>
      </c>
      <c r="AE82" s="19">
        <v>11.0</v>
      </c>
      <c r="AF82" s="19">
        <v>0.0</v>
      </c>
      <c r="AG82" s="19">
        <v>0.0</v>
      </c>
      <c r="AH82" s="19">
        <v>0.0</v>
      </c>
      <c r="AI82" s="19">
        <v>3.0</v>
      </c>
      <c r="AJ82" s="19">
        <v>0.0</v>
      </c>
      <c r="AK82" s="19">
        <v>6.0</v>
      </c>
      <c r="AL82" s="13">
        <f t="shared" si="14"/>
        <v>99</v>
      </c>
    </row>
    <row r="83" ht="12.75" customHeight="1">
      <c r="A83" s="18"/>
      <c r="B83" s="49">
        <v>2.0</v>
      </c>
      <c r="C83" s="50" t="s">
        <v>71</v>
      </c>
      <c r="D83" s="51"/>
      <c r="E83" s="19">
        <v>0.0</v>
      </c>
      <c r="F83" s="19">
        <v>2.0</v>
      </c>
      <c r="G83" s="19">
        <v>0.0</v>
      </c>
      <c r="H83" s="19">
        <v>0.0</v>
      </c>
      <c r="I83" s="19">
        <v>0.0</v>
      </c>
      <c r="J83" s="19">
        <v>0.0</v>
      </c>
      <c r="K83" s="19">
        <v>0.0</v>
      </c>
      <c r="L83" s="19">
        <v>0.0</v>
      </c>
      <c r="M83" s="19">
        <v>0.0</v>
      </c>
      <c r="N83" s="19">
        <v>0.0</v>
      </c>
      <c r="O83" s="19">
        <v>0.0</v>
      </c>
      <c r="P83" s="19">
        <v>0.0</v>
      </c>
      <c r="Q83" s="19">
        <v>0.0</v>
      </c>
      <c r="R83" s="19">
        <v>1.0</v>
      </c>
      <c r="S83" s="19">
        <v>0.0</v>
      </c>
      <c r="T83" s="19">
        <v>0.0</v>
      </c>
      <c r="U83" s="19">
        <v>0.0</v>
      </c>
      <c r="V83" s="19">
        <v>0.0</v>
      </c>
      <c r="W83" s="19">
        <v>0.0</v>
      </c>
      <c r="X83" s="19">
        <v>0.0</v>
      </c>
      <c r="Y83" s="19">
        <v>0.0</v>
      </c>
      <c r="Z83" s="19">
        <v>0.0</v>
      </c>
      <c r="AA83" s="19">
        <v>1.0</v>
      </c>
      <c r="AB83" s="19">
        <v>0.0</v>
      </c>
      <c r="AC83" s="19">
        <v>0.0</v>
      </c>
      <c r="AD83" s="19">
        <v>1.0</v>
      </c>
      <c r="AE83" s="19">
        <v>0.0</v>
      </c>
      <c r="AF83" s="19">
        <v>0.0</v>
      </c>
      <c r="AG83" s="19">
        <v>0.0</v>
      </c>
      <c r="AH83" s="19">
        <v>0.0</v>
      </c>
      <c r="AI83" s="19">
        <v>0.0</v>
      </c>
      <c r="AJ83" s="19">
        <v>0.0</v>
      </c>
      <c r="AK83" s="19">
        <v>0.0</v>
      </c>
      <c r="AL83" s="13">
        <f t="shared" si="14"/>
        <v>5</v>
      </c>
    </row>
    <row r="84" ht="12.75" customHeight="1">
      <c r="A84" s="18"/>
      <c r="B84" s="49">
        <v>3.0</v>
      </c>
      <c r="C84" s="50" t="s">
        <v>72</v>
      </c>
      <c r="D84" s="51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0.0</v>
      </c>
      <c r="S84" s="19">
        <v>0.0</v>
      </c>
      <c r="T84" s="19">
        <v>0.0</v>
      </c>
      <c r="U84" s="19">
        <v>0.0</v>
      </c>
      <c r="V84" s="19">
        <v>0.0</v>
      </c>
      <c r="W84" s="19">
        <v>0.0</v>
      </c>
      <c r="X84" s="19">
        <v>0.0</v>
      </c>
      <c r="Y84" s="19">
        <v>0.0</v>
      </c>
      <c r="Z84" s="19">
        <v>0.0</v>
      </c>
      <c r="AA84" s="19">
        <v>0.0</v>
      </c>
      <c r="AB84" s="19">
        <v>0.0</v>
      </c>
      <c r="AC84" s="19">
        <v>0.0</v>
      </c>
      <c r="AD84" s="19">
        <v>0.0</v>
      </c>
      <c r="AE84" s="19">
        <v>0.0</v>
      </c>
      <c r="AF84" s="19">
        <v>0.0</v>
      </c>
      <c r="AG84" s="19">
        <v>0.0</v>
      </c>
      <c r="AH84" s="19">
        <v>0.0</v>
      </c>
      <c r="AI84" s="19">
        <v>0.0</v>
      </c>
      <c r="AJ84" s="19">
        <v>0.0</v>
      </c>
      <c r="AK84" s="19">
        <v>0.0</v>
      </c>
      <c r="AL84" s="13">
        <f t="shared" si="14"/>
        <v>0</v>
      </c>
    </row>
    <row r="85" ht="12.75" customHeight="1">
      <c r="A85" s="18"/>
      <c r="B85" s="49">
        <v>4.0</v>
      </c>
      <c r="C85" s="50" t="s">
        <v>73</v>
      </c>
      <c r="D85" s="51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9">
        <v>1.0</v>
      </c>
      <c r="V85" s="19">
        <v>0.0</v>
      </c>
      <c r="W85" s="19">
        <v>0.0</v>
      </c>
      <c r="X85" s="19">
        <v>0.0</v>
      </c>
      <c r="Y85" s="19">
        <v>0.0</v>
      </c>
      <c r="Z85" s="19">
        <v>0.0</v>
      </c>
      <c r="AA85" s="19">
        <v>0.0</v>
      </c>
      <c r="AB85" s="19">
        <v>0.0</v>
      </c>
      <c r="AC85" s="19">
        <v>0.0</v>
      </c>
      <c r="AD85" s="19">
        <v>0.0</v>
      </c>
      <c r="AE85" s="19">
        <v>0.0</v>
      </c>
      <c r="AF85" s="19">
        <v>0.0</v>
      </c>
      <c r="AG85" s="19">
        <v>0.0</v>
      </c>
      <c r="AH85" s="19">
        <v>0.0</v>
      </c>
      <c r="AI85" s="19">
        <v>0.0</v>
      </c>
      <c r="AJ85" s="19">
        <v>0.0</v>
      </c>
      <c r="AK85" s="19">
        <v>0.0</v>
      </c>
      <c r="AL85" s="13">
        <f t="shared" si="14"/>
        <v>1</v>
      </c>
    </row>
    <row r="86" ht="12.75" customHeight="1">
      <c r="A86" s="18"/>
      <c r="B86" s="49">
        <v>5.0</v>
      </c>
      <c r="C86" s="50" t="s">
        <v>74</v>
      </c>
      <c r="D86" s="51"/>
      <c r="E86" s="19">
        <v>0.0</v>
      </c>
      <c r="F86" s="19">
        <v>0.0</v>
      </c>
      <c r="G86" s="19">
        <v>0.0</v>
      </c>
      <c r="H86" s="19">
        <v>11.0</v>
      </c>
      <c r="I86" s="19">
        <v>0.0</v>
      </c>
      <c r="J86" s="19">
        <v>1.0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0.0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9">
        <v>2.0</v>
      </c>
      <c r="Z86" s="19">
        <v>1.0</v>
      </c>
      <c r="AA86" s="19">
        <v>5.0</v>
      </c>
      <c r="AB86" s="19">
        <v>0.0</v>
      </c>
      <c r="AC86" s="19">
        <v>4.0</v>
      </c>
      <c r="AD86" s="19">
        <v>1.0</v>
      </c>
      <c r="AE86" s="19">
        <v>2.0</v>
      </c>
      <c r="AF86" s="19">
        <v>0.0</v>
      </c>
      <c r="AG86" s="19">
        <v>0.0</v>
      </c>
      <c r="AH86" s="19">
        <v>0.0</v>
      </c>
      <c r="AI86" s="19">
        <v>0.0</v>
      </c>
      <c r="AJ86" s="19">
        <v>0.0</v>
      </c>
      <c r="AK86" s="19">
        <v>0.0</v>
      </c>
      <c r="AL86" s="13">
        <f t="shared" si="14"/>
        <v>27</v>
      </c>
    </row>
    <row r="87" ht="12.75" customHeight="1">
      <c r="A87" s="18"/>
      <c r="B87" s="49">
        <v>6.0</v>
      </c>
      <c r="C87" s="50" t="s">
        <v>75</v>
      </c>
      <c r="D87" s="51"/>
      <c r="E87" s="19">
        <v>0.0</v>
      </c>
      <c r="F87" s="19">
        <v>0.0</v>
      </c>
      <c r="G87" s="19">
        <v>3.0</v>
      </c>
      <c r="H87" s="19">
        <v>1.0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2.0</v>
      </c>
      <c r="T87" s="19">
        <v>0.0</v>
      </c>
      <c r="U87" s="19">
        <v>0.0</v>
      </c>
      <c r="V87" s="19">
        <v>0.0</v>
      </c>
      <c r="W87" s="19">
        <v>1.0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3.0</v>
      </c>
      <c r="AD87" s="19">
        <v>0.0</v>
      </c>
      <c r="AE87" s="19">
        <v>0.0</v>
      </c>
      <c r="AF87" s="19">
        <v>0.0</v>
      </c>
      <c r="AG87" s="19">
        <v>0.0</v>
      </c>
      <c r="AH87" s="19">
        <v>0.0</v>
      </c>
      <c r="AI87" s="19">
        <v>0.0</v>
      </c>
      <c r="AJ87" s="19">
        <v>0.0</v>
      </c>
      <c r="AK87" s="19">
        <v>0.0</v>
      </c>
      <c r="AL87" s="13">
        <f t="shared" si="14"/>
        <v>10</v>
      </c>
    </row>
    <row r="88" ht="12.75" customHeight="1">
      <c r="A88" s="19" t="s">
        <v>15</v>
      </c>
      <c r="B88" s="47" t="s">
        <v>46</v>
      </c>
      <c r="C88" s="15"/>
      <c r="D88" s="16"/>
      <c r="E88" s="56">
        <f t="shared" ref="E88:AK88" si="19">SUM(E81:E87)</f>
        <v>2</v>
      </c>
      <c r="F88" s="56">
        <f t="shared" si="19"/>
        <v>6</v>
      </c>
      <c r="G88" s="56">
        <f t="shared" si="19"/>
        <v>7</v>
      </c>
      <c r="H88" s="56">
        <f t="shared" si="19"/>
        <v>18</v>
      </c>
      <c r="I88" s="56">
        <f t="shared" si="19"/>
        <v>3</v>
      </c>
      <c r="J88" s="56">
        <f t="shared" si="19"/>
        <v>3</v>
      </c>
      <c r="K88" s="56">
        <f t="shared" si="19"/>
        <v>7</v>
      </c>
      <c r="L88" s="56">
        <f t="shared" si="19"/>
        <v>23</v>
      </c>
      <c r="M88" s="56">
        <f t="shared" si="19"/>
        <v>4</v>
      </c>
      <c r="N88" s="56">
        <f t="shared" si="19"/>
        <v>2</v>
      </c>
      <c r="O88" s="56">
        <f t="shared" si="19"/>
        <v>3</v>
      </c>
      <c r="P88" s="56">
        <f t="shared" si="19"/>
        <v>1</v>
      </c>
      <c r="Q88" s="56">
        <f t="shared" si="19"/>
        <v>18</v>
      </c>
      <c r="R88" s="56">
        <f t="shared" si="19"/>
        <v>1</v>
      </c>
      <c r="S88" s="56">
        <f t="shared" si="19"/>
        <v>2</v>
      </c>
      <c r="T88" s="56">
        <f t="shared" si="19"/>
        <v>0</v>
      </c>
      <c r="U88" s="56">
        <f t="shared" si="19"/>
        <v>1</v>
      </c>
      <c r="V88" s="56">
        <f t="shared" si="19"/>
        <v>1</v>
      </c>
      <c r="W88" s="56">
        <f t="shared" si="19"/>
        <v>3</v>
      </c>
      <c r="X88" s="56">
        <f t="shared" si="19"/>
        <v>5</v>
      </c>
      <c r="Y88" s="56">
        <f t="shared" si="19"/>
        <v>2</v>
      </c>
      <c r="Z88" s="56">
        <f t="shared" si="19"/>
        <v>2</v>
      </c>
      <c r="AA88" s="56">
        <f t="shared" si="19"/>
        <v>9</v>
      </c>
      <c r="AB88" s="56">
        <f t="shared" si="19"/>
        <v>2</v>
      </c>
      <c r="AC88" s="56">
        <f t="shared" si="19"/>
        <v>10</v>
      </c>
      <c r="AD88" s="56">
        <f t="shared" si="19"/>
        <v>4</v>
      </c>
      <c r="AE88" s="56">
        <f t="shared" si="19"/>
        <v>13</v>
      </c>
      <c r="AF88" s="56">
        <f t="shared" si="19"/>
        <v>0</v>
      </c>
      <c r="AG88" s="56">
        <f t="shared" si="19"/>
        <v>0</v>
      </c>
      <c r="AH88" s="56">
        <f t="shared" si="19"/>
        <v>0</v>
      </c>
      <c r="AI88" s="56">
        <f t="shared" si="19"/>
        <v>4</v>
      </c>
      <c r="AJ88" s="56">
        <f t="shared" si="19"/>
        <v>1</v>
      </c>
      <c r="AK88" s="56">
        <f t="shared" si="19"/>
        <v>6</v>
      </c>
      <c r="AL88" s="13">
        <f t="shared" si="14"/>
        <v>163</v>
      </c>
    </row>
    <row r="89" ht="12.75" customHeight="1">
      <c r="A89" s="57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13">
        <f t="shared" si="14"/>
        <v>0</v>
      </c>
    </row>
    <row r="90" ht="12.75" customHeight="1">
      <c r="A90" s="30" t="s">
        <v>37</v>
      </c>
      <c r="B90" s="47" t="s">
        <v>76</v>
      </c>
      <c r="C90" s="48" t="s">
        <v>77</v>
      </c>
      <c r="D90" s="16"/>
      <c r="E90" s="19">
        <v>0.0</v>
      </c>
      <c r="F90" s="19">
        <v>0.0</v>
      </c>
      <c r="G90" s="19">
        <v>1.0</v>
      </c>
      <c r="H90" s="19">
        <v>1.0</v>
      </c>
      <c r="I90" s="19">
        <v>0.0</v>
      </c>
      <c r="J90" s="19">
        <v>0.0</v>
      </c>
      <c r="K90" s="19">
        <v>0.0</v>
      </c>
      <c r="L90" s="19">
        <v>1.0</v>
      </c>
      <c r="M90" s="19">
        <v>1.0</v>
      </c>
      <c r="N90" s="19">
        <v>2.0</v>
      </c>
      <c r="O90" s="19">
        <v>0.0</v>
      </c>
      <c r="P90" s="19">
        <v>0.0</v>
      </c>
      <c r="Q90" s="19">
        <v>0.0</v>
      </c>
      <c r="R90" s="19">
        <v>0.0</v>
      </c>
      <c r="S90" s="19">
        <v>0.0</v>
      </c>
      <c r="T90" s="19">
        <v>0.0</v>
      </c>
      <c r="U90" s="19">
        <v>0.0</v>
      </c>
      <c r="V90" s="19">
        <v>1.0</v>
      </c>
      <c r="W90" s="19">
        <v>0.0</v>
      </c>
      <c r="X90" s="19">
        <v>0.0</v>
      </c>
      <c r="Y90" s="19">
        <v>0.0</v>
      </c>
      <c r="Z90" s="19">
        <v>0.0</v>
      </c>
      <c r="AA90" s="19">
        <v>0.0</v>
      </c>
      <c r="AB90" s="19">
        <v>0.0</v>
      </c>
      <c r="AC90" s="19">
        <v>0.0</v>
      </c>
      <c r="AD90" s="19">
        <v>1.0</v>
      </c>
      <c r="AE90" s="19">
        <v>0.0</v>
      </c>
      <c r="AF90" s="19">
        <v>1.0</v>
      </c>
      <c r="AG90" s="19">
        <v>0.0</v>
      </c>
      <c r="AH90" s="19">
        <v>0.0</v>
      </c>
      <c r="AI90" s="19">
        <v>0.0</v>
      </c>
      <c r="AJ90" s="19">
        <v>0.0</v>
      </c>
      <c r="AK90" s="19">
        <v>0.0</v>
      </c>
      <c r="AL90" s="13">
        <f t="shared" si="14"/>
        <v>9</v>
      </c>
    </row>
    <row r="91" ht="15.0" customHeight="1">
      <c r="A91" s="30"/>
      <c r="B91" s="49">
        <v>1.0</v>
      </c>
      <c r="C91" s="50" t="s">
        <v>78</v>
      </c>
      <c r="D91" s="59"/>
      <c r="E91" s="19">
        <v>0.0</v>
      </c>
      <c r="F91" s="19">
        <v>0.0</v>
      </c>
      <c r="G91" s="19">
        <v>1.0</v>
      </c>
      <c r="H91" s="19">
        <v>0.0</v>
      </c>
      <c r="I91" s="19">
        <v>0.0</v>
      </c>
      <c r="J91" s="19">
        <v>0.0</v>
      </c>
      <c r="K91" s="19">
        <v>1.0</v>
      </c>
      <c r="L91" s="19">
        <v>0.0</v>
      </c>
      <c r="M91" s="19">
        <v>0.0</v>
      </c>
      <c r="N91" s="19">
        <v>0.0</v>
      </c>
      <c r="O91" s="19">
        <v>0.0</v>
      </c>
      <c r="P91" s="19">
        <v>0.0</v>
      </c>
      <c r="Q91" s="19">
        <v>0.0</v>
      </c>
      <c r="R91" s="19">
        <v>0.0</v>
      </c>
      <c r="S91" s="19">
        <v>0.0</v>
      </c>
      <c r="T91" s="19">
        <v>0.0</v>
      </c>
      <c r="U91" s="19">
        <v>0.0</v>
      </c>
      <c r="V91" s="19">
        <v>0.0</v>
      </c>
      <c r="W91" s="19">
        <v>0.0</v>
      </c>
      <c r="X91" s="19">
        <v>0.0</v>
      </c>
      <c r="Y91" s="19">
        <v>0.0</v>
      </c>
      <c r="Z91" s="19">
        <v>0.0</v>
      </c>
      <c r="AA91" s="19">
        <v>1.0</v>
      </c>
      <c r="AB91" s="19">
        <v>0.0</v>
      </c>
      <c r="AC91" s="19">
        <v>1.0</v>
      </c>
      <c r="AD91" s="19">
        <v>0.0</v>
      </c>
      <c r="AE91" s="19">
        <v>0.0</v>
      </c>
      <c r="AF91" s="19">
        <v>0.0</v>
      </c>
      <c r="AG91" s="19">
        <v>0.0</v>
      </c>
      <c r="AH91" s="19">
        <v>0.0</v>
      </c>
      <c r="AI91" s="19">
        <v>0.0</v>
      </c>
      <c r="AJ91" s="19">
        <v>0.0</v>
      </c>
      <c r="AK91" s="19">
        <v>0.0</v>
      </c>
      <c r="AL91" s="13">
        <f t="shared" si="14"/>
        <v>4</v>
      </c>
    </row>
    <row r="92" ht="12.75" customHeight="1">
      <c r="A92" s="30"/>
      <c r="B92" s="49">
        <v>2.0</v>
      </c>
      <c r="C92" s="50" t="s">
        <v>79</v>
      </c>
      <c r="D92" s="59"/>
      <c r="E92" s="19">
        <v>0.0</v>
      </c>
      <c r="F92" s="19">
        <v>1.0</v>
      </c>
      <c r="G92" s="19">
        <v>0.0</v>
      </c>
      <c r="H92" s="19">
        <v>0.0</v>
      </c>
      <c r="I92" s="19">
        <v>0.0</v>
      </c>
      <c r="J92" s="19">
        <v>1.0</v>
      </c>
      <c r="K92" s="19">
        <v>0.0</v>
      </c>
      <c r="L92" s="19">
        <v>0.0</v>
      </c>
      <c r="M92" s="19">
        <v>0.0</v>
      </c>
      <c r="N92" s="19">
        <v>0.0</v>
      </c>
      <c r="O92" s="19">
        <v>0.0</v>
      </c>
      <c r="P92" s="19">
        <v>0.0</v>
      </c>
      <c r="Q92" s="19">
        <v>0.0</v>
      </c>
      <c r="R92" s="19">
        <v>0.0</v>
      </c>
      <c r="S92" s="19">
        <v>0.0</v>
      </c>
      <c r="T92" s="19">
        <v>0.0</v>
      </c>
      <c r="U92" s="19">
        <v>0.0</v>
      </c>
      <c r="V92" s="19">
        <v>0.0</v>
      </c>
      <c r="W92" s="19">
        <v>0.0</v>
      </c>
      <c r="X92" s="19">
        <v>0.0</v>
      </c>
      <c r="Y92" s="19">
        <v>1.0</v>
      </c>
      <c r="Z92" s="19">
        <v>0.0</v>
      </c>
      <c r="AA92" s="19">
        <v>0.0</v>
      </c>
      <c r="AB92" s="19">
        <v>0.0</v>
      </c>
      <c r="AC92" s="19">
        <v>0.0</v>
      </c>
      <c r="AD92" s="19">
        <v>0.0</v>
      </c>
      <c r="AE92" s="19">
        <v>0.0</v>
      </c>
      <c r="AF92" s="19">
        <v>0.0</v>
      </c>
      <c r="AG92" s="19">
        <v>0.0</v>
      </c>
      <c r="AH92" s="19">
        <v>1.0</v>
      </c>
      <c r="AI92" s="19">
        <v>0.0</v>
      </c>
      <c r="AJ92" s="19">
        <v>0.0</v>
      </c>
      <c r="AK92" s="19">
        <v>0.0</v>
      </c>
      <c r="AL92" s="13">
        <f t="shared" si="14"/>
        <v>4</v>
      </c>
    </row>
    <row r="93" ht="12.75" customHeight="1">
      <c r="A93" s="30" t="s">
        <v>39</v>
      </c>
      <c r="B93" s="49">
        <v>3.0</v>
      </c>
      <c r="C93" s="50" t="s">
        <v>80</v>
      </c>
      <c r="D93" s="59"/>
      <c r="E93" s="19">
        <v>0.0</v>
      </c>
      <c r="F93" s="19">
        <v>0.0</v>
      </c>
      <c r="G93" s="19">
        <v>0.0</v>
      </c>
      <c r="H93" s="19">
        <v>0.0</v>
      </c>
      <c r="I93" s="19">
        <v>0.0</v>
      </c>
      <c r="J93" s="19">
        <v>0.0</v>
      </c>
      <c r="K93" s="19">
        <v>0.0</v>
      </c>
      <c r="L93" s="19">
        <v>0.0</v>
      </c>
      <c r="M93" s="19">
        <v>0.0</v>
      </c>
      <c r="N93" s="19">
        <v>0.0</v>
      </c>
      <c r="O93" s="19">
        <v>0.0</v>
      </c>
      <c r="P93" s="19">
        <v>0.0</v>
      </c>
      <c r="Q93" s="19">
        <v>0.0</v>
      </c>
      <c r="R93" s="19">
        <v>0.0</v>
      </c>
      <c r="S93" s="19">
        <v>0.0</v>
      </c>
      <c r="T93" s="19">
        <v>0.0</v>
      </c>
      <c r="U93" s="19">
        <v>0.0</v>
      </c>
      <c r="V93" s="19">
        <v>0.0</v>
      </c>
      <c r="W93" s="19">
        <v>0.0</v>
      </c>
      <c r="X93" s="19">
        <v>0.0</v>
      </c>
      <c r="Y93" s="19">
        <v>0.0</v>
      </c>
      <c r="Z93" s="19">
        <v>0.0</v>
      </c>
      <c r="AA93" s="19">
        <v>0.0</v>
      </c>
      <c r="AB93" s="19">
        <v>0.0</v>
      </c>
      <c r="AC93" s="19">
        <v>0.0</v>
      </c>
      <c r="AD93" s="19">
        <v>0.0</v>
      </c>
      <c r="AE93" s="19">
        <v>0.0</v>
      </c>
      <c r="AF93" s="19">
        <v>0.0</v>
      </c>
      <c r="AG93" s="19">
        <v>0.0</v>
      </c>
      <c r="AH93" s="19">
        <v>0.0</v>
      </c>
      <c r="AI93" s="19">
        <v>1.0</v>
      </c>
      <c r="AJ93" s="19">
        <v>0.0</v>
      </c>
      <c r="AK93" s="19">
        <v>0.0</v>
      </c>
      <c r="AL93" s="13">
        <f t="shared" si="14"/>
        <v>1</v>
      </c>
    </row>
    <row r="94" ht="12.75" customHeight="1">
      <c r="A94" s="19" t="s">
        <v>15</v>
      </c>
      <c r="B94" s="47" t="s">
        <v>46</v>
      </c>
      <c r="C94" s="15"/>
      <c r="D94" s="16"/>
      <c r="E94" s="56">
        <f t="shared" ref="E94:AI94" si="20">SUM(E90:E93)</f>
        <v>0</v>
      </c>
      <c r="F94" s="56">
        <f t="shared" si="20"/>
        <v>1</v>
      </c>
      <c r="G94" s="56">
        <f t="shared" si="20"/>
        <v>2</v>
      </c>
      <c r="H94" s="56">
        <f t="shared" si="20"/>
        <v>1</v>
      </c>
      <c r="I94" s="56">
        <f t="shared" si="20"/>
        <v>0</v>
      </c>
      <c r="J94" s="56">
        <f t="shared" si="20"/>
        <v>1</v>
      </c>
      <c r="K94" s="56">
        <f t="shared" si="20"/>
        <v>1</v>
      </c>
      <c r="L94" s="56">
        <f t="shared" si="20"/>
        <v>1</v>
      </c>
      <c r="M94" s="56">
        <f t="shared" si="20"/>
        <v>1</v>
      </c>
      <c r="N94" s="56">
        <f t="shared" si="20"/>
        <v>2</v>
      </c>
      <c r="O94" s="56">
        <f t="shared" si="20"/>
        <v>0</v>
      </c>
      <c r="P94" s="56">
        <f t="shared" si="20"/>
        <v>0</v>
      </c>
      <c r="Q94" s="56">
        <f t="shared" si="20"/>
        <v>0</v>
      </c>
      <c r="R94" s="56">
        <f t="shared" si="20"/>
        <v>0</v>
      </c>
      <c r="S94" s="56">
        <f t="shared" si="20"/>
        <v>0</v>
      </c>
      <c r="T94" s="56">
        <f t="shared" si="20"/>
        <v>0</v>
      </c>
      <c r="U94" s="56">
        <f t="shared" si="20"/>
        <v>0</v>
      </c>
      <c r="V94" s="56">
        <f t="shared" si="20"/>
        <v>1</v>
      </c>
      <c r="W94" s="56">
        <f t="shared" si="20"/>
        <v>0</v>
      </c>
      <c r="X94" s="56">
        <f t="shared" si="20"/>
        <v>0</v>
      </c>
      <c r="Y94" s="56">
        <f t="shared" si="20"/>
        <v>1</v>
      </c>
      <c r="Z94" s="56">
        <f t="shared" si="20"/>
        <v>0</v>
      </c>
      <c r="AA94" s="56">
        <f t="shared" si="20"/>
        <v>1</v>
      </c>
      <c r="AB94" s="56">
        <f t="shared" si="20"/>
        <v>0</v>
      </c>
      <c r="AC94" s="56">
        <f t="shared" si="20"/>
        <v>1</v>
      </c>
      <c r="AD94" s="56">
        <f t="shared" si="20"/>
        <v>1</v>
      </c>
      <c r="AE94" s="56">
        <f t="shared" si="20"/>
        <v>0</v>
      </c>
      <c r="AF94" s="56">
        <f t="shared" si="20"/>
        <v>1</v>
      </c>
      <c r="AG94" s="56">
        <f t="shared" si="20"/>
        <v>0</v>
      </c>
      <c r="AH94" s="56">
        <f t="shared" si="20"/>
        <v>1</v>
      </c>
      <c r="AI94" s="56">
        <f t="shared" si="20"/>
        <v>1</v>
      </c>
      <c r="AJ94" s="56">
        <v>0.0</v>
      </c>
      <c r="AK94" s="56">
        <f>SUM(AK90:AK93)</f>
        <v>0</v>
      </c>
      <c r="AL94" s="13">
        <f t="shared" si="14"/>
        <v>18</v>
      </c>
    </row>
    <row r="95" ht="12.75" customHeight="1">
      <c r="A95" s="57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13">
        <f t="shared" si="14"/>
        <v>0</v>
      </c>
    </row>
    <row r="96" ht="12.75" customHeight="1">
      <c r="A96" s="30" t="s">
        <v>37</v>
      </c>
      <c r="B96" s="47" t="s">
        <v>81</v>
      </c>
      <c r="C96" s="48" t="s">
        <v>82</v>
      </c>
      <c r="D96" s="16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1.0</v>
      </c>
      <c r="O96" s="19">
        <v>0.0</v>
      </c>
      <c r="P96" s="19">
        <v>0.0</v>
      </c>
      <c r="Q96" s="19">
        <v>1.0</v>
      </c>
      <c r="R96" s="19">
        <v>0.0</v>
      </c>
      <c r="S96" s="19">
        <v>0.0</v>
      </c>
      <c r="T96" s="19">
        <v>1.0</v>
      </c>
      <c r="U96" s="19">
        <v>0.0</v>
      </c>
      <c r="V96" s="19">
        <v>0.0</v>
      </c>
      <c r="W96" s="19">
        <v>0.0</v>
      </c>
      <c r="X96" s="19">
        <v>2.0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1.0</v>
      </c>
      <c r="AF96" s="19">
        <v>0.0</v>
      </c>
      <c r="AG96" s="19">
        <v>0.0</v>
      </c>
      <c r="AH96" s="19">
        <v>2.0</v>
      </c>
      <c r="AI96" s="19">
        <v>0.0</v>
      </c>
      <c r="AJ96" s="19">
        <v>0.0</v>
      </c>
      <c r="AK96" s="19">
        <v>1.0</v>
      </c>
      <c r="AL96" s="13">
        <f t="shared" si="14"/>
        <v>9</v>
      </c>
    </row>
    <row r="97" ht="12.75" customHeight="1">
      <c r="A97" s="30" t="s">
        <v>39</v>
      </c>
      <c r="B97" s="49">
        <v>1.0</v>
      </c>
      <c r="C97" s="50" t="s">
        <v>83</v>
      </c>
      <c r="D97" s="51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1.0</v>
      </c>
      <c r="R97" s="19">
        <v>0.0</v>
      </c>
      <c r="S97" s="19">
        <v>0.0</v>
      </c>
      <c r="T97" s="19">
        <v>0.0</v>
      </c>
      <c r="U97" s="19">
        <v>0.0</v>
      </c>
      <c r="V97" s="19">
        <v>1.0</v>
      </c>
      <c r="W97" s="19">
        <v>0.0</v>
      </c>
      <c r="X97" s="19">
        <v>0.0</v>
      </c>
      <c r="Y97" s="19">
        <v>0.0</v>
      </c>
      <c r="Z97" s="19">
        <v>0.0</v>
      </c>
      <c r="AA97" s="19">
        <v>0.0</v>
      </c>
      <c r="AB97" s="19">
        <v>0.0</v>
      </c>
      <c r="AC97" s="19">
        <v>0.0</v>
      </c>
      <c r="AD97" s="19">
        <v>0.0</v>
      </c>
      <c r="AE97" s="19">
        <v>0.0</v>
      </c>
      <c r="AF97" s="19">
        <v>0.0</v>
      </c>
      <c r="AG97" s="19">
        <v>0.0</v>
      </c>
      <c r="AH97" s="19">
        <v>0.0</v>
      </c>
      <c r="AI97" s="19">
        <v>0.0</v>
      </c>
      <c r="AJ97" s="19">
        <v>0.0</v>
      </c>
      <c r="AK97" s="19">
        <v>0.0</v>
      </c>
      <c r="AL97" s="13">
        <f t="shared" si="14"/>
        <v>2</v>
      </c>
    </row>
    <row r="98" ht="12.75" customHeight="1">
      <c r="A98" s="30"/>
      <c r="B98" s="49">
        <v>2.0</v>
      </c>
      <c r="C98" s="50" t="s">
        <v>84</v>
      </c>
      <c r="D98" s="51"/>
      <c r="E98" s="19">
        <v>0.0</v>
      </c>
      <c r="F98" s="19">
        <v>2.0</v>
      </c>
      <c r="G98" s="19">
        <v>0.0</v>
      </c>
      <c r="H98" s="19">
        <v>1.0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1.0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9">
        <v>0.0</v>
      </c>
      <c r="AI98" s="19">
        <v>0.0</v>
      </c>
      <c r="AJ98" s="19">
        <v>0.0</v>
      </c>
      <c r="AK98" s="19">
        <v>0.0</v>
      </c>
      <c r="AL98" s="13">
        <f t="shared" si="14"/>
        <v>4</v>
      </c>
    </row>
    <row r="99" ht="12.75" customHeight="1">
      <c r="A99" s="19" t="s">
        <v>15</v>
      </c>
      <c r="B99" s="47" t="s">
        <v>46</v>
      </c>
      <c r="C99" s="15"/>
      <c r="D99" s="16"/>
      <c r="E99" s="56">
        <f t="shared" ref="E99:AK99" si="21">SUM(E96:E98)</f>
        <v>0</v>
      </c>
      <c r="F99" s="56">
        <f t="shared" si="21"/>
        <v>2</v>
      </c>
      <c r="G99" s="56">
        <f t="shared" si="21"/>
        <v>0</v>
      </c>
      <c r="H99" s="56">
        <f t="shared" si="21"/>
        <v>1</v>
      </c>
      <c r="I99" s="56">
        <f t="shared" si="21"/>
        <v>0</v>
      </c>
      <c r="J99" s="56">
        <f t="shared" si="21"/>
        <v>0</v>
      </c>
      <c r="K99" s="56">
        <f t="shared" si="21"/>
        <v>0</v>
      </c>
      <c r="L99" s="56">
        <f t="shared" si="21"/>
        <v>0</v>
      </c>
      <c r="M99" s="56">
        <f t="shared" si="21"/>
        <v>0</v>
      </c>
      <c r="N99" s="56">
        <f t="shared" si="21"/>
        <v>1</v>
      </c>
      <c r="O99" s="56">
        <f t="shared" si="21"/>
        <v>0</v>
      </c>
      <c r="P99" s="56">
        <f t="shared" si="21"/>
        <v>0</v>
      </c>
      <c r="Q99" s="56">
        <f t="shared" si="21"/>
        <v>2</v>
      </c>
      <c r="R99" s="56">
        <f t="shared" si="21"/>
        <v>0</v>
      </c>
      <c r="S99" s="56">
        <f t="shared" si="21"/>
        <v>0</v>
      </c>
      <c r="T99" s="56">
        <f t="shared" si="21"/>
        <v>2</v>
      </c>
      <c r="U99" s="56">
        <f t="shared" si="21"/>
        <v>0</v>
      </c>
      <c r="V99" s="56">
        <f t="shared" si="21"/>
        <v>1</v>
      </c>
      <c r="W99" s="56">
        <f t="shared" si="21"/>
        <v>0</v>
      </c>
      <c r="X99" s="56">
        <f t="shared" si="21"/>
        <v>2</v>
      </c>
      <c r="Y99" s="56">
        <f t="shared" si="21"/>
        <v>0</v>
      </c>
      <c r="Z99" s="56">
        <f t="shared" si="21"/>
        <v>0</v>
      </c>
      <c r="AA99" s="56">
        <f t="shared" si="21"/>
        <v>0</v>
      </c>
      <c r="AB99" s="56">
        <f t="shared" si="21"/>
        <v>0</v>
      </c>
      <c r="AC99" s="56">
        <f t="shared" si="21"/>
        <v>0</v>
      </c>
      <c r="AD99" s="56">
        <f t="shared" si="21"/>
        <v>0</v>
      </c>
      <c r="AE99" s="56">
        <f t="shared" si="21"/>
        <v>1</v>
      </c>
      <c r="AF99" s="56">
        <f t="shared" si="21"/>
        <v>0</v>
      </c>
      <c r="AG99" s="56">
        <f t="shared" si="21"/>
        <v>0</v>
      </c>
      <c r="AH99" s="56">
        <f t="shared" si="21"/>
        <v>2</v>
      </c>
      <c r="AI99" s="56">
        <f t="shared" si="21"/>
        <v>0</v>
      </c>
      <c r="AJ99" s="56">
        <f t="shared" si="21"/>
        <v>0</v>
      </c>
      <c r="AK99" s="56">
        <f t="shared" si="21"/>
        <v>1</v>
      </c>
      <c r="AL99" s="13">
        <f t="shared" si="14"/>
        <v>15</v>
      </c>
    </row>
    <row r="100" ht="12.75" customHeight="1">
      <c r="A100" s="57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13">
        <f t="shared" si="14"/>
        <v>0</v>
      </c>
    </row>
    <row r="101" ht="12.75" customHeight="1">
      <c r="A101" s="30" t="s">
        <v>37</v>
      </c>
      <c r="B101" s="47" t="s">
        <v>85</v>
      </c>
      <c r="C101" s="48" t="s">
        <v>86</v>
      </c>
      <c r="D101" s="16"/>
      <c r="E101" s="19">
        <v>3.0</v>
      </c>
      <c r="F101" s="19">
        <v>2.0</v>
      </c>
      <c r="G101" s="19">
        <v>0.0</v>
      </c>
      <c r="H101" s="19">
        <v>0.0</v>
      </c>
      <c r="I101" s="19">
        <v>2.0</v>
      </c>
      <c r="J101" s="19">
        <v>1.0</v>
      </c>
      <c r="K101" s="19">
        <v>1.0</v>
      </c>
      <c r="L101" s="19">
        <v>1.0</v>
      </c>
      <c r="M101" s="19">
        <v>0.0</v>
      </c>
      <c r="N101" s="19">
        <v>0.0</v>
      </c>
      <c r="O101" s="19">
        <v>2.0</v>
      </c>
      <c r="P101" s="19">
        <v>0.0</v>
      </c>
      <c r="Q101" s="19">
        <v>0.0</v>
      </c>
      <c r="R101" s="19">
        <v>0.0</v>
      </c>
      <c r="S101" s="19">
        <v>0.0</v>
      </c>
      <c r="T101" s="19">
        <v>0.0</v>
      </c>
      <c r="U101" s="19">
        <v>0.0</v>
      </c>
      <c r="V101" s="19">
        <v>0.0</v>
      </c>
      <c r="W101" s="19">
        <v>1.0</v>
      </c>
      <c r="X101" s="19">
        <v>0.0</v>
      </c>
      <c r="Y101" s="19">
        <v>3.0</v>
      </c>
      <c r="Z101" s="19">
        <v>1.0</v>
      </c>
      <c r="AA101" s="19">
        <v>2.0</v>
      </c>
      <c r="AB101" s="19">
        <v>0.0</v>
      </c>
      <c r="AC101" s="19">
        <v>1.0</v>
      </c>
      <c r="AD101" s="19">
        <v>1.0</v>
      </c>
      <c r="AE101" s="19">
        <v>2.0</v>
      </c>
      <c r="AF101" s="19">
        <v>0.0</v>
      </c>
      <c r="AG101" s="19">
        <v>0.0</v>
      </c>
      <c r="AH101" s="19">
        <v>0.0</v>
      </c>
      <c r="AI101" s="19">
        <v>0.0</v>
      </c>
      <c r="AJ101" s="19">
        <v>1.0</v>
      </c>
      <c r="AK101" s="19">
        <v>0.0</v>
      </c>
      <c r="AL101" s="13">
        <f t="shared" si="14"/>
        <v>24</v>
      </c>
    </row>
    <row r="102" ht="12.75" customHeight="1">
      <c r="A102" s="30" t="s">
        <v>39</v>
      </c>
      <c r="B102" s="49">
        <v>1.0</v>
      </c>
      <c r="C102" s="50" t="s">
        <v>87</v>
      </c>
      <c r="D102" s="51"/>
      <c r="E102" s="19">
        <v>1.0</v>
      </c>
      <c r="F102" s="19">
        <v>1.0</v>
      </c>
      <c r="G102" s="19">
        <v>2.0</v>
      </c>
      <c r="H102" s="19">
        <v>0.0</v>
      </c>
      <c r="I102" s="19">
        <v>0.0</v>
      </c>
      <c r="J102" s="19">
        <v>2.0</v>
      </c>
      <c r="K102" s="19">
        <v>0.0</v>
      </c>
      <c r="L102" s="19">
        <v>0.0</v>
      </c>
      <c r="M102" s="19">
        <v>1.0</v>
      </c>
      <c r="N102" s="19">
        <v>0.0</v>
      </c>
      <c r="O102" s="19">
        <v>0.0</v>
      </c>
      <c r="P102" s="19">
        <v>0.0</v>
      </c>
      <c r="Q102" s="19">
        <v>0.0</v>
      </c>
      <c r="R102" s="19">
        <v>0.0</v>
      </c>
      <c r="S102" s="19">
        <v>0.0</v>
      </c>
      <c r="T102" s="19">
        <v>0.0</v>
      </c>
      <c r="U102" s="19">
        <v>0.0</v>
      </c>
      <c r="V102" s="19">
        <v>0.0</v>
      </c>
      <c r="W102" s="19">
        <v>2.0</v>
      </c>
      <c r="X102" s="19">
        <v>0.0</v>
      </c>
      <c r="Y102" s="19">
        <v>2.0</v>
      </c>
      <c r="Z102" s="19">
        <v>0.0</v>
      </c>
      <c r="AA102" s="19">
        <v>0.0</v>
      </c>
      <c r="AB102" s="19">
        <v>5.0</v>
      </c>
      <c r="AC102" s="19">
        <v>0.0</v>
      </c>
      <c r="AD102" s="19">
        <v>2.0</v>
      </c>
      <c r="AE102" s="19">
        <v>0.0</v>
      </c>
      <c r="AF102" s="19">
        <v>0.0</v>
      </c>
      <c r="AG102" s="19">
        <v>1.0</v>
      </c>
      <c r="AH102" s="19">
        <v>0.0</v>
      </c>
      <c r="AI102" s="19">
        <v>1.0</v>
      </c>
      <c r="AJ102" s="19">
        <v>0.0</v>
      </c>
      <c r="AK102" s="19">
        <v>0.0</v>
      </c>
      <c r="AL102" s="13">
        <f t="shared" si="14"/>
        <v>20</v>
      </c>
    </row>
    <row r="103" ht="15.0" customHeight="1">
      <c r="A103" s="18"/>
      <c r="B103" s="49">
        <v>2.0</v>
      </c>
      <c r="C103" s="50" t="s">
        <v>88</v>
      </c>
      <c r="D103" s="51"/>
      <c r="E103" s="19">
        <v>0.0</v>
      </c>
      <c r="F103" s="19">
        <v>2.0</v>
      </c>
      <c r="G103" s="19">
        <v>0.0</v>
      </c>
      <c r="H103" s="19">
        <v>0.0</v>
      </c>
      <c r="I103" s="19">
        <v>0.0</v>
      </c>
      <c r="J103" s="19">
        <v>0.0</v>
      </c>
      <c r="K103" s="19">
        <v>1.0</v>
      </c>
      <c r="L103" s="19">
        <v>0.0</v>
      </c>
      <c r="M103" s="19">
        <v>0.0</v>
      </c>
      <c r="N103" s="19">
        <v>0.0</v>
      </c>
      <c r="O103" s="19">
        <v>0.0</v>
      </c>
      <c r="P103" s="19">
        <v>0.0</v>
      </c>
      <c r="Q103" s="19">
        <v>0.0</v>
      </c>
      <c r="R103" s="19">
        <v>0.0</v>
      </c>
      <c r="S103" s="19">
        <v>0.0</v>
      </c>
      <c r="T103" s="19">
        <v>0.0</v>
      </c>
      <c r="U103" s="19">
        <v>0.0</v>
      </c>
      <c r="V103" s="19">
        <v>0.0</v>
      </c>
      <c r="W103" s="19">
        <v>0.0</v>
      </c>
      <c r="X103" s="19">
        <v>0.0</v>
      </c>
      <c r="Y103" s="19">
        <v>0.0</v>
      </c>
      <c r="Z103" s="19">
        <v>0.0</v>
      </c>
      <c r="AA103" s="19">
        <v>0.0</v>
      </c>
      <c r="AB103" s="19">
        <v>0.0</v>
      </c>
      <c r="AC103" s="19">
        <v>0.0</v>
      </c>
      <c r="AD103" s="19">
        <v>0.0</v>
      </c>
      <c r="AE103" s="19">
        <v>0.0</v>
      </c>
      <c r="AF103" s="19">
        <v>0.0</v>
      </c>
      <c r="AG103" s="19">
        <v>0.0</v>
      </c>
      <c r="AH103" s="19">
        <v>0.0</v>
      </c>
      <c r="AI103" s="19">
        <v>0.0</v>
      </c>
      <c r="AJ103" s="19">
        <v>1.0</v>
      </c>
      <c r="AK103" s="19">
        <v>0.0</v>
      </c>
      <c r="AL103" s="13">
        <f t="shared" si="14"/>
        <v>4</v>
      </c>
    </row>
    <row r="104" ht="12.75" customHeight="1">
      <c r="A104" s="18"/>
      <c r="B104" s="49">
        <v>3.0</v>
      </c>
      <c r="C104" s="50" t="s">
        <v>89</v>
      </c>
      <c r="D104" s="51"/>
      <c r="E104" s="19">
        <v>0.0</v>
      </c>
      <c r="F104" s="19">
        <v>0.0</v>
      </c>
      <c r="G104" s="19">
        <v>0.0</v>
      </c>
      <c r="H104" s="19">
        <v>0.0</v>
      </c>
      <c r="I104" s="19">
        <v>0.0</v>
      </c>
      <c r="J104" s="19">
        <v>0.0</v>
      </c>
      <c r="K104" s="19">
        <v>0.0</v>
      </c>
      <c r="L104" s="19">
        <v>0.0</v>
      </c>
      <c r="M104" s="19">
        <v>0.0</v>
      </c>
      <c r="N104" s="19">
        <v>0.0</v>
      </c>
      <c r="O104" s="19">
        <v>1.0</v>
      </c>
      <c r="P104" s="19">
        <v>0.0</v>
      </c>
      <c r="Q104" s="19">
        <v>0.0</v>
      </c>
      <c r="R104" s="19">
        <v>0.0</v>
      </c>
      <c r="S104" s="19">
        <v>0.0</v>
      </c>
      <c r="T104" s="19">
        <v>0.0</v>
      </c>
      <c r="U104" s="19">
        <v>0.0</v>
      </c>
      <c r="V104" s="19">
        <v>1.0</v>
      </c>
      <c r="W104" s="19">
        <v>1.0</v>
      </c>
      <c r="X104" s="19">
        <v>0.0</v>
      </c>
      <c r="Y104" s="19">
        <v>0.0</v>
      </c>
      <c r="Z104" s="19">
        <v>0.0</v>
      </c>
      <c r="AA104" s="19">
        <v>0.0</v>
      </c>
      <c r="AB104" s="19">
        <v>1.0</v>
      </c>
      <c r="AC104" s="19">
        <v>0.0</v>
      </c>
      <c r="AD104" s="19">
        <v>0.0</v>
      </c>
      <c r="AE104" s="19">
        <v>0.0</v>
      </c>
      <c r="AF104" s="19">
        <v>0.0</v>
      </c>
      <c r="AG104" s="19">
        <v>0.0</v>
      </c>
      <c r="AH104" s="19">
        <v>0.0</v>
      </c>
      <c r="AI104" s="19">
        <v>0.0</v>
      </c>
      <c r="AJ104" s="19">
        <v>0.0</v>
      </c>
      <c r="AK104" s="19">
        <v>0.0</v>
      </c>
      <c r="AL104" s="13">
        <f t="shared" si="14"/>
        <v>4</v>
      </c>
    </row>
    <row r="105" ht="12.75" customHeight="1">
      <c r="A105" s="18"/>
      <c r="B105" s="49">
        <v>4.0</v>
      </c>
      <c r="C105" s="50" t="s">
        <v>90</v>
      </c>
      <c r="D105" s="51"/>
      <c r="E105" s="19">
        <v>1.0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0.0</v>
      </c>
      <c r="AF105" s="19">
        <v>0.0</v>
      </c>
      <c r="AG105" s="19">
        <v>0.0</v>
      </c>
      <c r="AH105" s="19">
        <v>0.0</v>
      </c>
      <c r="AI105" s="19">
        <v>0.0</v>
      </c>
      <c r="AJ105" s="19">
        <v>0.0</v>
      </c>
      <c r="AK105" s="19">
        <v>0.0</v>
      </c>
      <c r="AL105" s="13">
        <f t="shared" si="14"/>
        <v>1</v>
      </c>
    </row>
    <row r="106" ht="12.75" customHeight="1">
      <c r="A106" s="18"/>
      <c r="B106" s="49">
        <v>5.0</v>
      </c>
      <c r="C106" s="50" t="s">
        <v>91</v>
      </c>
      <c r="D106" s="51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0.0</v>
      </c>
      <c r="AF106" s="19">
        <v>0.0</v>
      </c>
      <c r="AG106" s="19">
        <v>0.0</v>
      </c>
      <c r="AH106" s="19">
        <v>0.0</v>
      </c>
      <c r="AI106" s="19">
        <v>0.0</v>
      </c>
      <c r="AJ106" s="19">
        <v>0.0</v>
      </c>
      <c r="AK106" s="19">
        <v>0.0</v>
      </c>
      <c r="AL106" s="13">
        <f t="shared" si="14"/>
        <v>0</v>
      </c>
    </row>
    <row r="107" ht="12.75" customHeight="1">
      <c r="A107" s="18"/>
      <c r="B107" s="49">
        <v>6.0</v>
      </c>
      <c r="C107" s="50" t="s">
        <v>92</v>
      </c>
      <c r="D107" s="51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0.0</v>
      </c>
      <c r="AJ107" s="19">
        <v>0.0</v>
      </c>
      <c r="AK107" s="19">
        <v>0.0</v>
      </c>
      <c r="AL107" s="13">
        <f t="shared" si="14"/>
        <v>0</v>
      </c>
    </row>
    <row r="108" ht="12.75" customHeight="1">
      <c r="A108" s="19" t="s">
        <v>15</v>
      </c>
      <c r="B108" s="47" t="s">
        <v>46</v>
      </c>
      <c r="C108" s="15"/>
      <c r="D108" s="16"/>
      <c r="E108" s="56">
        <f t="shared" ref="E108:AK108" si="22">SUM(E101:E107)</f>
        <v>5</v>
      </c>
      <c r="F108" s="56">
        <f t="shared" si="22"/>
        <v>5</v>
      </c>
      <c r="G108" s="56">
        <f t="shared" si="22"/>
        <v>2</v>
      </c>
      <c r="H108" s="56">
        <f t="shared" si="22"/>
        <v>0</v>
      </c>
      <c r="I108" s="56">
        <f t="shared" si="22"/>
        <v>2</v>
      </c>
      <c r="J108" s="56">
        <f t="shared" si="22"/>
        <v>3</v>
      </c>
      <c r="K108" s="56">
        <f t="shared" si="22"/>
        <v>2</v>
      </c>
      <c r="L108" s="56">
        <f t="shared" si="22"/>
        <v>1</v>
      </c>
      <c r="M108" s="56">
        <f t="shared" si="22"/>
        <v>1</v>
      </c>
      <c r="N108" s="56">
        <f t="shared" si="22"/>
        <v>0</v>
      </c>
      <c r="O108" s="56">
        <f t="shared" si="22"/>
        <v>3</v>
      </c>
      <c r="P108" s="56">
        <f t="shared" si="22"/>
        <v>0</v>
      </c>
      <c r="Q108" s="56">
        <f t="shared" si="22"/>
        <v>0</v>
      </c>
      <c r="R108" s="56">
        <f t="shared" si="22"/>
        <v>0</v>
      </c>
      <c r="S108" s="56">
        <f t="shared" si="22"/>
        <v>0</v>
      </c>
      <c r="T108" s="56">
        <f t="shared" si="22"/>
        <v>0</v>
      </c>
      <c r="U108" s="56">
        <f t="shared" si="22"/>
        <v>0</v>
      </c>
      <c r="V108" s="56">
        <f t="shared" si="22"/>
        <v>1</v>
      </c>
      <c r="W108" s="56">
        <f t="shared" si="22"/>
        <v>4</v>
      </c>
      <c r="X108" s="56">
        <f t="shared" si="22"/>
        <v>0</v>
      </c>
      <c r="Y108" s="56">
        <f t="shared" si="22"/>
        <v>5</v>
      </c>
      <c r="Z108" s="56">
        <f t="shared" si="22"/>
        <v>1</v>
      </c>
      <c r="AA108" s="56">
        <f t="shared" si="22"/>
        <v>2</v>
      </c>
      <c r="AB108" s="56">
        <f t="shared" si="22"/>
        <v>6</v>
      </c>
      <c r="AC108" s="56">
        <f t="shared" si="22"/>
        <v>1</v>
      </c>
      <c r="AD108" s="56">
        <f t="shared" si="22"/>
        <v>3</v>
      </c>
      <c r="AE108" s="56">
        <f t="shared" si="22"/>
        <v>2</v>
      </c>
      <c r="AF108" s="56">
        <f t="shared" si="22"/>
        <v>0</v>
      </c>
      <c r="AG108" s="56">
        <f t="shared" si="22"/>
        <v>1</v>
      </c>
      <c r="AH108" s="56">
        <f t="shared" si="22"/>
        <v>0</v>
      </c>
      <c r="AI108" s="56">
        <f t="shared" si="22"/>
        <v>1</v>
      </c>
      <c r="AJ108" s="56">
        <f t="shared" si="22"/>
        <v>2</v>
      </c>
      <c r="AK108" s="56">
        <f t="shared" si="22"/>
        <v>0</v>
      </c>
      <c r="AL108" s="13">
        <f t="shared" si="14"/>
        <v>53</v>
      </c>
    </row>
    <row r="109" ht="12.75" customHeight="1">
      <c r="A109" s="57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13">
        <f t="shared" si="14"/>
        <v>0</v>
      </c>
    </row>
    <row r="110" ht="12.75" customHeight="1">
      <c r="A110" s="30" t="s">
        <v>37</v>
      </c>
      <c r="B110" s="47" t="s">
        <v>93</v>
      </c>
      <c r="C110" s="48" t="s">
        <v>94</v>
      </c>
      <c r="D110" s="16"/>
      <c r="E110" s="19">
        <v>0.0</v>
      </c>
      <c r="F110" s="19">
        <v>0.0</v>
      </c>
      <c r="G110" s="19">
        <v>0.0</v>
      </c>
      <c r="H110" s="19">
        <v>1.0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1.0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3">
        <f t="shared" si="14"/>
        <v>2</v>
      </c>
    </row>
    <row r="111" ht="12.75" customHeight="1">
      <c r="A111" s="30"/>
      <c r="B111" s="47">
        <v>1.0</v>
      </c>
      <c r="C111" s="50" t="s">
        <v>95</v>
      </c>
      <c r="D111" s="59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3">
        <f t="shared" si="14"/>
        <v>0</v>
      </c>
    </row>
    <row r="112" ht="12.75" customHeight="1">
      <c r="A112" s="30"/>
      <c r="B112" s="47">
        <v>2.0</v>
      </c>
      <c r="C112" s="50" t="s">
        <v>96</v>
      </c>
      <c r="D112" s="59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3">
        <f t="shared" si="14"/>
        <v>0</v>
      </c>
    </row>
    <row r="113" ht="12.75" customHeight="1">
      <c r="A113" s="30"/>
      <c r="B113" s="47">
        <v>3.0</v>
      </c>
      <c r="C113" s="50" t="s">
        <v>97</v>
      </c>
      <c r="D113" s="59"/>
      <c r="E113" s="19">
        <v>0.0</v>
      </c>
      <c r="F113" s="19">
        <v>0.0</v>
      </c>
      <c r="G113" s="19">
        <v>0.0</v>
      </c>
      <c r="H113" s="19">
        <v>0.0</v>
      </c>
      <c r="I113" s="19">
        <v>0.0</v>
      </c>
      <c r="J113" s="19">
        <v>0.0</v>
      </c>
      <c r="K113" s="19">
        <v>0.0</v>
      </c>
      <c r="L113" s="19">
        <v>0.0</v>
      </c>
      <c r="M113" s="19">
        <v>0.0</v>
      </c>
      <c r="N113" s="19">
        <v>0.0</v>
      </c>
      <c r="O113" s="19">
        <v>0.0</v>
      </c>
      <c r="P113" s="19">
        <v>0.0</v>
      </c>
      <c r="Q113" s="19">
        <v>0.0</v>
      </c>
      <c r="R113" s="19">
        <v>0.0</v>
      </c>
      <c r="S113" s="19">
        <v>0.0</v>
      </c>
      <c r="T113" s="19">
        <v>0.0</v>
      </c>
      <c r="U113" s="19">
        <v>0.0</v>
      </c>
      <c r="V113" s="19">
        <v>0.0</v>
      </c>
      <c r="W113" s="19">
        <v>0.0</v>
      </c>
      <c r="X113" s="19">
        <v>0.0</v>
      </c>
      <c r="Y113" s="19">
        <v>0.0</v>
      </c>
      <c r="Z113" s="19">
        <v>0.0</v>
      </c>
      <c r="AA113" s="19">
        <v>0.0</v>
      </c>
      <c r="AB113" s="19">
        <v>0.0</v>
      </c>
      <c r="AC113" s="19">
        <v>0.0</v>
      </c>
      <c r="AD113" s="19">
        <v>0.0</v>
      </c>
      <c r="AE113" s="19">
        <v>0.0</v>
      </c>
      <c r="AF113" s="19">
        <v>0.0</v>
      </c>
      <c r="AG113" s="19">
        <v>0.0</v>
      </c>
      <c r="AH113" s="19">
        <v>0.0</v>
      </c>
      <c r="AI113" s="19">
        <v>0.0</v>
      </c>
      <c r="AJ113" s="19">
        <v>0.0</v>
      </c>
      <c r="AK113" s="19">
        <v>0.0</v>
      </c>
      <c r="AL113" s="13">
        <f t="shared" si="14"/>
        <v>0</v>
      </c>
    </row>
    <row r="114" ht="12.75" customHeight="1">
      <c r="A114" s="30" t="s">
        <v>39</v>
      </c>
      <c r="B114" s="49">
        <v>4.0</v>
      </c>
      <c r="C114" s="50" t="s">
        <v>98</v>
      </c>
      <c r="D114" s="51"/>
      <c r="E114" s="19">
        <v>0.0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9">
        <v>0.0</v>
      </c>
      <c r="N114" s="19">
        <v>0.0</v>
      </c>
      <c r="O114" s="19">
        <v>0.0</v>
      </c>
      <c r="P114" s="19">
        <v>0.0</v>
      </c>
      <c r="Q114" s="19">
        <v>0.0</v>
      </c>
      <c r="R114" s="19">
        <v>0.0</v>
      </c>
      <c r="S114" s="19">
        <v>0.0</v>
      </c>
      <c r="T114" s="19">
        <v>0.0</v>
      </c>
      <c r="U114" s="19">
        <v>0.0</v>
      </c>
      <c r="V114" s="19">
        <v>0.0</v>
      </c>
      <c r="W114" s="19">
        <v>0.0</v>
      </c>
      <c r="X114" s="19">
        <v>0.0</v>
      </c>
      <c r="Y114" s="19">
        <v>0.0</v>
      </c>
      <c r="Z114" s="19">
        <v>0.0</v>
      </c>
      <c r="AA114" s="19">
        <v>0.0</v>
      </c>
      <c r="AB114" s="19">
        <v>0.0</v>
      </c>
      <c r="AC114" s="19">
        <v>0.0</v>
      </c>
      <c r="AD114" s="19">
        <v>0.0</v>
      </c>
      <c r="AE114" s="19">
        <v>0.0</v>
      </c>
      <c r="AF114" s="19">
        <v>0.0</v>
      </c>
      <c r="AG114" s="19">
        <v>0.0</v>
      </c>
      <c r="AH114" s="19">
        <v>0.0</v>
      </c>
      <c r="AI114" s="19">
        <v>0.0</v>
      </c>
      <c r="AJ114" s="19">
        <v>0.0</v>
      </c>
      <c r="AK114" s="19">
        <v>0.0</v>
      </c>
      <c r="AL114" s="13">
        <f t="shared" si="14"/>
        <v>0</v>
      </c>
    </row>
    <row r="115" ht="12.75" customHeight="1">
      <c r="A115" s="19" t="s">
        <v>15</v>
      </c>
      <c r="B115" s="47" t="s">
        <v>46</v>
      </c>
      <c r="C115" s="15"/>
      <c r="D115" s="16"/>
      <c r="E115" s="56">
        <f t="shared" ref="E115:AK115" si="23">SUM(E110:E114)</f>
        <v>0</v>
      </c>
      <c r="F115" s="56">
        <f t="shared" si="23"/>
        <v>0</v>
      </c>
      <c r="G115" s="56">
        <f t="shared" si="23"/>
        <v>0</v>
      </c>
      <c r="H115" s="56">
        <f t="shared" si="23"/>
        <v>1</v>
      </c>
      <c r="I115" s="56">
        <f t="shared" si="23"/>
        <v>0</v>
      </c>
      <c r="J115" s="56">
        <f t="shared" si="23"/>
        <v>0</v>
      </c>
      <c r="K115" s="56">
        <f t="shared" si="23"/>
        <v>0</v>
      </c>
      <c r="L115" s="56">
        <f t="shared" si="23"/>
        <v>0</v>
      </c>
      <c r="M115" s="56">
        <f t="shared" si="23"/>
        <v>0</v>
      </c>
      <c r="N115" s="56">
        <f t="shared" si="23"/>
        <v>0</v>
      </c>
      <c r="O115" s="56">
        <f t="shared" si="23"/>
        <v>0</v>
      </c>
      <c r="P115" s="56">
        <f t="shared" si="23"/>
        <v>0</v>
      </c>
      <c r="Q115" s="56">
        <f t="shared" si="23"/>
        <v>0</v>
      </c>
      <c r="R115" s="56">
        <f t="shared" si="23"/>
        <v>0</v>
      </c>
      <c r="S115" s="56">
        <f t="shared" si="23"/>
        <v>0</v>
      </c>
      <c r="T115" s="56">
        <f t="shared" si="23"/>
        <v>0</v>
      </c>
      <c r="U115" s="56">
        <f t="shared" si="23"/>
        <v>1</v>
      </c>
      <c r="V115" s="56">
        <f t="shared" si="23"/>
        <v>0</v>
      </c>
      <c r="W115" s="56">
        <f t="shared" si="23"/>
        <v>0</v>
      </c>
      <c r="X115" s="56">
        <f t="shared" si="23"/>
        <v>0</v>
      </c>
      <c r="Y115" s="56">
        <f t="shared" si="23"/>
        <v>0</v>
      </c>
      <c r="Z115" s="56">
        <f t="shared" si="23"/>
        <v>0</v>
      </c>
      <c r="AA115" s="56">
        <f t="shared" si="23"/>
        <v>0</v>
      </c>
      <c r="AB115" s="56">
        <f t="shared" si="23"/>
        <v>0</v>
      </c>
      <c r="AC115" s="56">
        <f t="shared" si="23"/>
        <v>0</v>
      </c>
      <c r="AD115" s="56">
        <f t="shared" si="23"/>
        <v>0</v>
      </c>
      <c r="AE115" s="56">
        <f t="shared" si="23"/>
        <v>0</v>
      </c>
      <c r="AF115" s="56">
        <f t="shared" si="23"/>
        <v>0</v>
      </c>
      <c r="AG115" s="56">
        <f t="shared" si="23"/>
        <v>0</v>
      </c>
      <c r="AH115" s="56">
        <f t="shared" si="23"/>
        <v>0</v>
      </c>
      <c r="AI115" s="56">
        <f t="shared" si="23"/>
        <v>0</v>
      </c>
      <c r="AJ115" s="56">
        <f t="shared" si="23"/>
        <v>0</v>
      </c>
      <c r="AK115" s="56">
        <f t="shared" si="23"/>
        <v>0</v>
      </c>
      <c r="AL115" s="13">
        <f t="shared" si="14"/>
        <v>2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13">
        <f t="shared" si="14"/>
        <v>0</v>
      </c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1.0</v>
      </c>
      <c r="J117" s="19">
        <v>0.0</v>
      </c>
      <c r="K117" s="19">
        <v>0.0</v>
      </c>
      <c r="L117" s="19">
        <v>1.0</v>
      </c>
      <c r="M117" s="19">
        <v>1.0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2.0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1.0</v>
      </c>
      <c r="AD117" s="19">
        <v>0.0</v>
      </c>
      <c r="AE117" s="19">
        <v>0.0</v>
      </c>
      <c r="AF117" s="19">
        <v>0.0</v>
      </c>
      <c r="AG117" s="19">
        <v>0.0</v>
      </c>
      <c r="AH117" s="19">
        <v>0.0</v>
      </c>
      <c r="AI117" s="19">
        <v>0.0</v>
      </c>
      <c r="AJ117" s="19">
        <v>0.0</v>
      </c>
      <c r="AK117" s="19">
        <v>1.0</v>
      </c>
      <c r="AL117" s="13">
        <f t="shared" si="14"/>
        <v>7</v>
      </c>
      <c r="AM117" s="5"/>
      <c r="AN117" s="5"/>
    </row>
    <row r="118" ht="12.75" customHeight="1">
      <c r="A118" s="30" t="s">
        <v>39</v>
      </c>
      <c r="B118" s="49">
        <v>1.0</v>
      </c>
      <c r="C118" s="50" t="s">
        <v>101</v>
      </c>
      <c r="D118" s="51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1.0</v>
      </c>
      <c r="N118" s="19">
        <v>0.0</v>
      </c>
      <c r="O118" s="19">
        <v>1.0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1.0</v>
      </c>
      <c r="W118" s="19">
        <v>0.0</v>
      </c>
      <c r="X118" s="19">
        <v>1.0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9">
        <v>0.0</v>
      </c>
      <c r="AG118" s="19">
        <v>0.0</v>
      </c>
      <c r="AH118" s="19">
        <v>0.0</v>
      </c>
      <c r="AI118" s="19">
        <v>0.0</v>
      </c>
      <c r="AJ118" s="19">
        <v>0.0</v>
      </c>
      <c r="AK118" s="19">
        <v>0.0</v>
      </c>
      <c r="AL118" s="13">
        <f t="shared" si="14"/>
        <v>4</v>
      </c>
      <c r="AM118" s="5"/>
      <c r="AN118" s="5"/>
    </row>
    <row r="119" ht="12.75" customHeight="1">
      <c r="A119" s="18"/>
      <c r="B119" s="49">
        <v>2.0</v>
      </c>
      <c r="C119" s="50" t="s">
        <v>102</v>
      </c>
      <c r="D119" s="51"/>
      <c r="E119" s="19">
        <v>0.0</v>
      </c>
      <c r="F119" s="19">
        <v>1.0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0.0</v>
      </c>
      <c r="AK119" s="19">
        <v>0.0</v>
      </c>
      <c r="AL119" s="13">
        <f t="shared" si="14"/>
        <v>1</v>
      </c>
      <c r="AM119" s="5"/>
      <c r="AN119" s="5"/>
    </row>
    <row r="120" ht="12.75" customHeight="1">
      <c r="A120" s="18"/>
      <c r="B120" s="49">
        <v>3.0</v>
      </c>
      <c r="C120" s="50" t="s">
        <v>103</v>
      </c>
      <c r="D120" s="51"/>
      <c r="E120" s="19">
        <v>0.0</v>
      </c>
      <c r="F120" s="19">
        <v>0.0</v>
      </c>
      <c r="G120" s="19">
        <v>0.0</v>
      </c>
      <c r="H120" s="19">
        <v>0.0</v>
      </c>
      <c r="I120" s="19">
        <v>1.0</v>
      </c>
      <c r="J120" s="19">
        <v>0.0</v>
      </c>
      <c r="K120" s="19">
        <v>1.0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3">
        <f t="shared" si="14"/>
        <v>2</v>
      </c>
      <c r="AM120" s="5"/>
      <c r="AN120" s="5"/>
    </row>
    <row r="121" ht="12.75" customHeight="1">
      <c r="A121" s="18"/>
      <c r="B121" s="49">
        <v>4.0</v>
      </c>
      <c r="C121" s="50" t="s">
        <v>104</v>
      </c>
      <c r="D121" s="51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0.0</v>
      </c>
      <c r="U121" s="19">
        <v>0.0</v>
      </c>
      <c r="V121" s="19">
        <v>1.0</v>
      </c>
      <c r="W121" s="19">
        <v>0.0</v>
      </c>
      <c r="X121" s="19">
        <v>0.0</v>
      </c>
      <c r="Y121" s="19">
        <v>0.0</v>
      </c>
      <c r="Z121" s="19">
        <v>0.0</v>
      </c>
      <c r="AA121" s="19">
        <v>0.0</v>
      </c>
      <c r="AB121" s="19">
        <v>0.0</v>
      </c>
      <c r="AC121" s="19">
        <v>0.0</v>
      </c>
      <c r="AD121" s="19">
        <v>0.0</v>
      </c>
      <c r="AE121" s="19">
        <v>0.0</v>
      </c>
      <c r="AF121" s="19">
        <v>0.0</v>
      </c>
      <c r="AG121" s="19">
        <v>0.0</v>
      </c>
      <c r="AH121" s="19">
        <v>0.0</v>
      </c>
      <c r="AI121" s="19">
        <v>0.0</v>
      </c>
      <c r="AJ121" s="19">
        <v>0.0</v>
      </c>
      <c r="AK121" s="19">
        <v>0.0</v>
      </c>
      <c r="AL121" s="13">
        <f t="shared" si="14"/>
        <v>1</v>
      </c>
      <c r="AM121" s="5"/>
      <c r="AN121" s="5"/>
    </row>
    <row r="122" ht="12.75" customHeight="1">
      <c r="A122" s="18"/>
      <c r="B122" s="49">
        <v>5.0</v>
      </c>
      <c r="C122" s="50" t="s">
        <v>105</v>
      </c>
      <c r="D122" s="51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9">
        <v>0.0</v>
      </c>
      <c r="S122" s="19">
        <v>0.0</v>
      </c>
      <c r="T122" s="19">
        <v>0.0</v>
      </c>
      <c r="U122" s="19">
        <v>0.0</v>
      </c>
      <c r="V122" s="19">
        <v>0.0</v>
      </c>
      <c r="W122" s="19">
        <v>0.0</v>
      </c>
      <c r="X122" s="19">
        <v>0.0</v>
      </c>
      <c r="Y122" s="19">
        <v>0.0</v>
      </c>
      <c r="Z122" s="19">
        <v>0.0</v>
      </c>
      <c r="AA122" s="19">
        <v>0.0</v>
      </c>
      <c r="AB122" s="19">
        <v>0.0</v>
      </c>
      <c r="AC122" s="19">
        <v>0.0</v>
      </c>
      <c r="AD122" s="19">
        <v>0.0</v>
      </c>
      <c r="AE122" s="19">
        <v>0.0</v>
      </c>
      <c r="AF122" s="19">
        <v>0.0</v>
      </c>
      <c r="AG122" s="19">
        <v>0.0</v>
      </c>
      <c r="AH122" s="19">
        <v>0.0</v>
      </c>
      <c r="AI122" s="19">
        <v>0.0</v>
      </c>
      <c r="AJ122" s="19">
        <v>0.0</v>
      </c>
      <c r="AK122" s="19">
        <v>0.0</v>
      </c>
      <c r="AL122" s="13">
        <f t="shared" si="14"/>
        <v>0</v>
      </c>
      <c r="AM122" s="5"/>
      <c r="AN122" s="5"/>
    </row>
    <row r="123" ht="12.75" customHeight="1">
      <c r="A123" s="18"/>
      <c r="B123" s="49">
        <v>6.0</v>
      </c>
      <c r="C123" s="50" t="s">
        <v>106</v>
      </c>
      <c r="D123" s="51"/>
      <c r="E123" s="19">
        <v>0.0</v>
      </c>
      <c r="F123" s="19">
        <v>0.0</v>
      </c>
      <c r="G123" s="19">
        <v>22.0</v>
      </c>
      <c r="H123" s="19">
        <v>0.0</v>
      </c>
      <c r="I123" s="19">
        <v>5.0</v>
      </c>
      <c r="J123" s="19">
        <v>0.0</v>
      </c>
      <c r="K123" s="19">
        <v>1.0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9">
        <v>0.0</v>
      </c>
      <c r="S123" s="19">
        <v>0.0</v>
      </c>
      <c r="T123" s="19">
        <v>0.0</v>
      </c>
      <c r="U123" s="19">
        <v>0.0</v>
      </c>
      <c r="V123" s="19">
        <v>1.0</v>
      </c>
      <c r="W123" s="19">
        <v>0.0</v>
      </c>
      <c r="X123" s="19">
        <v>0.0</v>
      </c>
      <c r="Y123" s="19">
        <v>0.0</v>
      </c>
      <c r="Z123" s="19">
        <v>0.0</v>
      </c>
      <c r="AA123" s="19">
        <v>0.0</v>
      </c>
      <c r="AB123" s="19">
        <v>0.0</v>
      </c>
      <c r="AC123" s="19">
        <v>0.0</v>
      </c>
      <c r="AD123" s="19">
        <v>0.0</v>
      </c>
      <c r="AE123" s="19">
        <v>0.0</v>
      </c>
      <c r="AF123" s="19">
        <v>0.0</v>
      </c>
      <c r="AG123" s="19">
        <v>0.0</v>
      </c>
      <c r="AH123" s="19">
        <v>0.0</v>
      </c>
      <c r="AI123" s="19">
        <v>0.0</v>
      </c>
      <c r="AJ123" s="19">
        <v>0.0</v>
      </c>
      <c r="AK123" s="19">
        <v>0.0</v>
      </c>
      <c r="AL123" s="13">
        <f t="shared" si="14"/>
        <v>29</v>
      </c>
      <c r="AM123" s="5"/>
      <c r="AN123" s="5"/>
    </row>
    <row r="124" ht="12.75" customHeight="1">
      <c r="A124" s="19" t="s">
        <v>15</v>
      </c>
      <c r="B124" s="47" t="s">
        <v>46</v>
      </c>
      <c r="C124" s="15"/>
      <c r="D124" s="16"/>
      <c r="E124" s="56">
        <f t="shared" ref="E124:AK124" si="24">SUM(E117:E123)</f>
        <v>0</v>
      </c>
      <c r="F124" s="56">
        <f t="shared" si="24"/>
        <v>1</v>
      </c>
      <c r="G124" s="56">
        <f t="shared" si="24"/>
        <v>22</v>
      </c>
      <c r="H124" s="56">
        <f t="shared" si="24"/>
        <v>0</v>
      </c>
      <c r="I124" s="56">
        <f t="shared" si="24"/>
        <v>7</v>
      </c>
      <c r="J124" s="56">
        <f t="shared" si="24"/>
        <v>0</v>
      </c>
      <c r="K124" s="56">
        <f t="shared" si="24"/>
        <v>2</v>
      </c>
      <c r="L124" s="56">
        <f t="shared" si="24"/>
        <v>1</v>
      </c>
      <c r="M124" s="56">
        <f t="shared" si="24"/>
        <v>2</v>
      </c>
      <c r="N124" s="56">
        <f t="shared" si="24"/>
        <v>0</v>
      </c>
      <c r="O124" s="56">
        <f t="shared" si="24"/>
        <v>1</v>
      </c>
      <c r="P124" s="56">
        <f t="shared" si="24"/>
        <v>0</v>
      </c>
      <c r="Q124" s="56">
        <f t="shared" si="24"/>
        <v>0</v>
      </c>
      <c r="R124" s="56">
        <f t="shared" si="24"/>
        <v>0</v>
      </c>
      <c r="S124" s="56">
        <f t="shared" si="24"/>
        <v>0</v>
      </c>
      <c r="T124" s="56">
        <f t="shared" si="24"/>
        <v>0</v>
      </c>
      <c r="U124" s="56">
        <f t="shared" si="24"/>
        <v>2</v>
      </c>
      <c r="V124" s="56">
        <f t="shared" si="24"/>
        <v>3</v>
      </c>
      <c r="W124" s="56">
        <f t="shared" si="24"/>
        <v>0</v>
      </c>
      <c r="X124" s="56">
        <f t="shared" si="24"/>
        <v>1</v>
      </c>
      <c r="Y124" s="56">
        <f t="shared" si="24"/>
        <v>0</v>
      </c>
      <c r="Z124" s="56">
        <f t="shared" si="24"/>
        <v>0</v>
      </c>
      <c r="AA124" s="56">
        <f t="shared" si="24"/>
        <v>0</v>
      </c>
      <c r="AB124" s="56">
        <f t="shared" si="24"/>
        <v>0</v>
      </c>
      <c r="AC124" s="56">
        <f t="shared" si="24"/>
        <v>1</v>
      </c>
      <c r="AD124" s="56">
        <f t="shared" si="24"/>
        <v>0</v>
      </c>
      <c r="AE124" s="56">
        <f t="shared" si="24"/>
        <v>0</v>
      </c>
      <c r="AF124" s="56">
        <f t="shared" si="24"/>
        <v>0</v>
      </c>
      <c r="AG124" s="56">
        <f t="shared" si="24"/>
        <v>0</v>
      </c>
      <c r="AH124" s="56">
        <f t="shared" si="24"/>
        <v>0</v>
      </c>
      <c r="AI124" s="56">
        <f t="shared" si="24"/>
        <v>0</v>
      </c>
      <c r="AJ124" s="56">
        <f t="shared" si="24"/>
        <v>0</v>
      </c>
      <c r="AK124" s="56">
        <f t="shared" si="24"/>
        <v>1</v>
      </c>
      <c r="AL124" s="13">
        <f t="shared" si="14"/>
        <v>44</v>
      </c>
      <c r="AM124" s="5"/>
      <c r="AN124" s="5"/>
    </row>
    <row r="125" ht="12.75" customHeight="1">
      <c r="A125" s="57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13">
        <f t="shared" si="14"/>
        <v>0</v>
      </c>
      <c r="AM125" s="5"/>
      <c r="AN125" s="5"/>
    </row>
    <row r="126" ht="12.75" customHeight="1">
      <c r="A126" s="30" t="s">
        <v>37</v>
      </c>
      <c r="B126" s="47" t="s">
        <v>107</v>
      </c>
      <c r="C126" s="48" t="s">
        <v>108</v>
      </c>
      <c r="D126" s="16"/>
      <c r="E126" s="19">
        <v>0.0</v>
      </c>
      <c r="F126" s="19">
        <v>0.0</v>
      </c>
      <c r="G126" s="19">
        <v>0.0</v>
      </c>
      <c r="H126" s="19">
        <v>0.0</v>
      </c>
      <c r="I126" s="19">
        <v>0.0</v>
      </c>
      <c r="J126" s="19">
        <v>1.0</v>
      </c>
      <c r="K126" s="19">
        <v>0.0</v>
      </c>
      <c r="L126" s="19">
        <v>0.0</v>
      </c>
      <c r="M126" s="19">
        <v>0.0</v>
      </c>
      <c r="N126" s="19">
        <v>0.0</v>
      </c>
      <c r="O126" s="19">
        <v>0.0</v>
      </c>
      <c r="P126" s="19">
        <v>0.0</v>
      </c>
      <c r="Q126" s="19">
        <v>1.0</v>
      </c>
      <c r="R126" s="19">
        <v>0.0</v>
      </c>
      <c r="S126" s="19">
        <v>0.0</v>
      </c>
      <c r="T126" s="19">
        <v>0.0</v>
      </c>
      <c r="U126" s="19">
        <v>0.0</v>
      </c>
      <c r="V126" s="19">
        <v>0.0</v>
      </c>
      <c r="W126" s="19">
        <v>0.0</v>
      </c>
      <c r="X126" s="19">
        <v>0.0</v>
      </c>
      <c r="Y126" s="19">
        <v>1.0</v>
      </c>
      <c r="Z126" s="19">
        <v>0.0</v>
      </c>
      <c r="AA126" s="19">
        <v>0.0</v>
      </c>
      <c r="AB126" s="19">
        <v>0.0</v>
      </c>
      <c r="AC126" s="19">
        <v>0.0</v>
      </c>
      <c r="AD126" s="19">
        <v>0.0</v>
      </c>
      <c r="AE126" s="19">
        <v>2.0</v>
      </c>
      <c r="AF126" s="19">
        <v>1.0</v>
      </c>
      <c r="AG126" s="19">
        <v>0.0</v>
      </c>
      <c r="AH126" s="19">
        <v>0.0</v>
      </c>
      <c r="AI126" s="19">
        <v>0.0</v>
      </c>
      <c r="AJ126" s="19">
        <v>0.0</v>
      </c>
      <c r="AK126" s="19">
        <v>0.0</v>
      </c>
      <c r="AL126" s="13">
        <f t="shared" si="14"/>
        <v>6</v>
      </c>
      <c r="AM126" s="5"/>
      <c r="AN126" s="5"/>
    </row>
    <row r="127" ht="15.0" customHeight="1">
      <c r="A127" s="30" t="s">
        <v>39</v>
      </c>
      <c r="B127" s="49"/>
      <c r="C127" s="50"/>
      <c r="D127" s="51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3">
        <f t="shared" si="14"/>
        <v>0</v>
      </c>
      <c r="AM127" s="5"/>
      <c r="AN127" s="5"/>
    </row>
    <row r="128" ht="12.75" customHeight="1">
      <c r="A128" s="19" t="s">
        <v>15</v>
      </c>
      <c r="B128" s="47" t="s">
        <v>46</v>
      </c>
      <c r="C128" s="15"/>
      <c r="D128" s="16"/>
      <c r="E128" s="56">
        <f t="shared" ref="E128:AK128" si="25">SUM(E126:E127)</f>
        <v>0</v>
      </c>
      <c r="F128" s="56">
        <f t="shared" si="25"/>
        <v>0</v>
      </c>
      <c r="G128" s="56">
        <f t="shared" si="25"/>
        <v>0</v>
      </c>
      <c r="H128" s="56">
        <f t="shared" si="25"/>
        <v>0</v>
      </c>
      <c r="I128" s="56">
        <f t="shared" si="25"/>
        <v>0</v>
      </c>
      <c r="J128" s="56">
        <f t="shared" si="25"/>
        <v>1</v>
      </c>
      <c r="K128" s="56">
        <f t="shared" si="25"/>
        <v>0</v>
      </c>
      <c r="L128" s="56">
        <f t="shared" si="25"/>
        <v>0</v>
      </c>
      <c r="M128" s="56">
        <f t="shared" si="25"/>
        <v>0</v>
      </c>
      <c r="N128" s="56">
        <f t="shared" si="25"/>
        <v>0</v>
      </c>
      <c r="O128" s="56">
        <f t="shared" si="25"/>
        <v>0</v>
      </c>
      <c r="P128" s="56">
        <f t="shared" si="25"/>
        <v>0</v>
      </c>
      <c r="Q128" s="56">
        <f t="shared" si="25"/>
        <v>1</v>
      </c>
      <c r="R128" s="56">
        <f t="shared" si="25"/>
        <v>0</v>
      </c>
      <c r="S128" s="56">
        <f t="shared" si="25"/>
        <v>0</v>
      </c>
      <c r="T128" s="56">
        <f t="shared" si="25"/>
        <v>0</v>
      </c>
      <c r="U128" s="56">
        <f t="shared" si="25"/>
        <v>0</v>
      </c>
      <c r="V128" s="56">
        <f t="shared" si="25"/>
        <v>0</v>
      </c>
      <c r="W128" s="56">
        <f t="shared" si="25"/>
        <v>0</v>
      </c>
      <c r="X128" s="56">
        <f t="shared" si="25"/>
        <v>0</v>
      </c>
      <c r="Y128" s="56">
        <f t="shared" si="25"/>
        <v>1</v>
      </c>
      <c r="Z128" s="56">
        <f t="shared" si="25"/>
        <v>0</v>
      </c>
      <c r="AA128" s="56">
        <f t="shared" si="25"/>
        <v>0</v>
      </c>
      <c r="AB128" s="56">
        <f t="shared" si="25"/>
        <v>0</v>
      </c>
      <c r="AC128" s="56">
        <f t="shared" si="25"/>
        <v>0</v>
      </c>
      <c r="AD128" s="56">
        <f t="shared" si="25"/>
        <v>0</v>
      </c>
      <c r="AE128" s="56">
        <f t="shared" si="25"/>
        <v>2</v>
      </c>
      <c r="AF128" s="56">
        <f t="shared" si="25"/>
        <v>1</v>
      </c>
      <c r="AG128" s="56">
        <f t="shared" si="25"/>
        <v>0</v>
      </c>
      <c r="AH128" s="56">
        <f t="shared" si="25"/>
        <v>0</v>
      </c>
      <c r="AI128" s="56">
        <f t="shared" si="25"/>
        <v>0</v>
      </c>
      <c r="AJ128" s="56">
        <f t="shared" si="25"/>
        <v>0</v>
      </c>
      <c r="AK128" s="56">
        <f t="shared" si="25"/>
        <v>0</v>
      </c>
      <c r="AL128" s="13">
        <f t="shared" si="14"/>
        <v>6</v>
      </c>
      <c r="AM128" s="5"/>
      <c r="AN128" s="5"/>
    </row>
    <row r="129" ht="12.75" customHeight="1">
      <c r="A129" s="57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13">
        <f t="shared" si="14"/>
        <v>0</v>
      </c>
      <c r="AM129" s="5"/>
      <c r="AN129" s="5"/>
    </row>
    <row r="130" ht="12.75" customHeight="1">
      <c r="A130" s="30" t="s">
        <v>37</v>
      </c>
      <c r="B130" s="47" t="s">
        <v>109</v>
      </c>
      <c r="C130" s="48" t="s">
        <v>110</v>
      </c>
      <c r="D130" s="16"/>
      <c r="E130" s="19">
        <v>0.0</v>
      </c>
      <c r="F130" s="19">
        <v>1.0</v>
      </c>
      <c r="G130" s="19">
        <v>0.0</v>
      </c>
      <c r="H130" s="19">
        <v>0.0</v>
      </c>
      <c r="I130" s="19">
        <v>0.0</v>
      </c>
      <c r="J130" s="19">
        <v>1.0</v>
      </c>
      <c r="K130" s="19">
        <v>2.0</v>
      </c>
      <c r="L130" s="19">
        <v>0.0</v>
      </c>
      <c r="M130" s="19">
        <v>0.0</v>
      </c>
      <c r="N130" s="19">
        <v>0.0</v>
      </c>
      <c r="O130" s="19">
        <v>0.0</v>
      </c>
      <c r="P130" s="19">
        <v>0.0</v>
      </c>
      <c r="Q130" s="19">
        <v>2.0</v>
      </c>
      <c r="R130" s="19">
        <v>0.0</v>
      </c>
      <c r="S130" s="19">
        <v>0.0</v>
      </c>
      <c r="T130" s="19">
        <v>1.0</v>
      </c>
      <c r="U130" s="19">
        <v>2.0</v>
      </c>
      <c r="V130" s="19">
        <v>2.0</v>
      </c>
      <c r="W130" s="19">
        <v>0.0</v>
      </c>
      <c r="X130" s="19">
        <v>0.0</v>
      </c>
      <c r="Y130" s="19">
        <v>1.0</v>
      </c>
      <c r="Z130" s="19">
        <v>1.0</v>
      </c>
      <c r="AA130" s="19">
        <v>2.0</v>
      </c>
      <c r="AB130" s="19">
        <v>0.0</v>
      </c>
      <c r="AC130" s="19">
        <v>0.0</v>
      </c>
      <c r="AD130" s="19">
        <v>1.0</v>
      </c>
      <c r="AE130" s="19">
        <v>1.0</v>
      </c>
      <c r="AF130" s="19">
        <v>2.0</v>
      </c>
      <c r="AG130" s="19">
        <v>0.0</v>
      </c>
      <c r="AH130" s="19">
        <v>0.0</v>
      </c>
      <c r="AI130" s="19">
        <v>2.0</v>
      </c>
      <c r="AJ130" s="19">
        <v>0.0</v>
      </c>
      <c r="AK130" s="19">
        <v>4.0</v>
      </c>
      <c r="AL130" s="13">
        <f t="shared" si="14"/>
        <v>25</v>
      </c>
      <c r="AM130" s="1"/>
      <c r="AN130" s="1"/>
    </row>
    <row r="131" ht="12.75" customHeight="1">
      <c r="A131" s="30" t="s">
        <v>39</v>
      </c>
      <c r="B131" s="49">
        <v>1.0</v>
      </c>
      <c r="C131" s="50" t="s">
        <v>111</v>
      </c>
      <c r="D131" s="51"/>
      <c r="E131" s="19">
        <v>0.0</v>
      </c>
      <c r="F131" s="19">
        <v>1.0</v>
      </c>
      <c r="G131" s="19">
        <v>0.0</v>
      </c>
      <c r="H131" s="19">
        <v>1.0</v>
      </c>
      <c r="I131" s="19">
        <v>0.0</v>
      </c>
      <c r="J131" s="19">
        <v>0.0</v>
      </c>
      <c r="K131" s="19">
        <v>0.0</v>
      </c>
      <c r="L131" s="19">
        <v>0.0</v>
      </c>
      <c r="M131" s="19">
        <v>3.0</v>
      </c>
      <c r="N131" s="19">
        <v>1.0</v>
      </c>
      <c r="O131" s="19">
        <v>1.0</v>
      </c>
      <c r="P131" s="19">
        <v>1.0</v>
      </c>
      <c r="Q131" s="19">
        <v>0.0</v>
      </c>
      <c r="R131" s="19">
        <v>1.0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1.0</v>
      </c>
      <c r="Y131" s="19">
        <v>0.0</v>
      </c>
      <c r="Z131" s="19">
        <v>0.0</v>
      </c>
      <c r="AA131" s="19">
        <v>4.0</v>
      </c>
      <c r="AB131" s="19">
        <v>6.0</v>
      </c>
      <c r="AC131" s="19">
        <v>0.0</v>
      </c>
      <c r="AD131" s="19">
        <v>0.0</v>
      </c>
      <c r="AE131" s="19">
        <v>3.0</v>
      </c>
      <c r="AF131" s="19">
        <v>6.0</v>
      </c>
      <c r="AG131" s="19">
        <v>1.0</v>
      </c>
      <c r="AH131" s="19">
        <v>0.0</v>
      </c>
      <c r="AI131" s="19">
        <v>0.0</v>
      </c>
      <c r="AJ131" s="19">
        <v>0.0</v>
      </c>
      <c r="AK131" s="19">
        <v>0.0</v>
      </c>
      <c r="AL131" s="13">
        <f t="shared" si="14"/>
        <v>30</v>
      </c>
      <c r="AM131" s="53"/>
      <c r="AN131" s="53"/>
    </row>
    <row r="132" ht="12.75" customHeight="1">
      <c r="A132" s="18"/>
      <c r="B132" s="49">
        <v>2.0</v>
      </c>
      <c r="C132" s="50" t="s">
        <v>112</v>
      </c>
      <c r="D132" s="51"/>
      <c r="E132" s="19">
        <v>0.0</v>
      </c>
      <c r="F132" s="19">
        <v>1.0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1.0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1.0</v>
      </c>
      <c r="W132" s="19">
        <v>1.0</v>
      </c>
      <c r="X132" s="19">
        <v>0.0</v>
      </c>
      <c r="Y132" s="19">
        <v>1.0</v>
      </c>
      <c r="Z132" s="19">
        <v>0.0</v>
      </c>
      <c r="AA132" s="19">
        <v>1.0</v>
      </c>
      <c r="AB132" s="19">
        <v>2.0</v>
      </c>
      <c r="AC132" s="19">
        <v>0.0</v>
      </c>
      <c r="AD132" s="19">
        <v>1.0</v>
      </c>
      <c r="AE132" s="19">
        <v>0.0</v>
      </c>
      <c r="AF132" s="19">
        <v>1.0</v>
      </c>
      <c r="AG132" s="19">
        <v>1.0</v>
      </c>
      <c r="AH132" s="19">
        <v>0.0</v>
      </c>
      <c r="AI132" s="19">
        <v>1.0</v>
      </c>
      <c r="AJ132" s="19">
        <v>0.0</v>
      </c>
      <c r="AK132" s="19">
        <v>0.0</v>
      </c>
      <c r="AL132" s="13">
        <f t="shared" si="14"/>
        <v>12</v>
      </c>
      <c r="AM132" s="5"/>
      <c r="AN132" s="5"/>
    </row>
    <row r="133" ht="12.75" customHeight="1">
      <c r="A133" s="18"/>
      <c r="B133" s="49">
        <v>3.0</v>
      </c>
      <c r="C133" s="50" t="s">
        <v>113</v>
      </c>
      <c r="D133" s="51"/>
      <c r="E133" s="19">
        <v>1.0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1.0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1.0</v>
      </c>
      <c r="X133" s="19">
        <v>0.0</v>
      </c>
      <c r="Y133" s="19">
        <v>1.0</v>
      </c>
      <c r="Z133" s="19">
        <v>0.0</v>
      </c>
      <c r="AA133" s="19">
        <v>1.0</v>
      </c>
      <c r="AB133" s="19">
        <v>1.0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1.0</v>
      </c>
      <c r="AJ133" s="19">
        <v>0.0</v>
      </c>
      <c r="AK133" s="19">
        <v>0.0</v>
      </c>
      <c r="AL133" s="13">
        <f t="shared" si="14"/>
        <v>7</v>
      </c>
      <c r="AM133" s="5"/>
      <c r="AN133" s="5"/>
    </row>
    <row r="134" ht="12.75" customHeight="1">
      <c r="A134" s="18"/>
      <c r="B134" s="49">
        <v>4.0</v>
      </c>
      <c r="C134" s="50" t="s">
        <v>114</v>
      </c>
      <c r="D134" s="51"/>
      <c r="E134" s="19">
        <v>1.0</v>
      </c>
      <c r="F134" s="19">
        <v>0.0</v>
      </c>
      <c r="G134" s="19">
        <v>0.0</v>
      </c>
      <c r="H134" s="19">
        <v>2.0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1.0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0.0</v>
      </c>
      <c r="AL134" s="13">
        <f t="shared" si="14"/>
        <v>4</v>
      </c>
      <c r="AM134" s="5"/>
      <c r="AN134" s="5"/>
    </row>
    <row r="135" ht="12.75" customHeight="1">
      <c r="A135" s="19" t="s">
        <v>15</v>
      </c>
      <c r="B135" s="47" t="s">
        <v>46</v>
      </c>
      <c r="C135" s="15"/>
      <c r="D135" s="16"/>
      <c r="E135" s="56">
        <f t="shared" ref="E135:AK135" si="26">SUM(E130:E134)</f>
        <v>2</v>
      </c>
      <c r="F135" s="56">
        <f t="shared" si="26"/>
        <v>3</v>
      </c>
      <c r="G135" s="56">
        <f t="shared" si="26"/>
        <v>0</v>
      </c>
      <c r="H135" s="56">
        <f t="shared" si="26"/>
        <v>3</v>
      </c>
      <c r="I135" s="56">
        <f t="shared" si="26"/>
        <v>0</v>
      </c>
      <c r="J135" s="56">
        <f t="shared" si="26"/>
        <v>1</v>
      </c>
      <c r="K135" s="56">
        <f t="shared" si="26"/>
        <v>2</v>
      </c>
      <c r="L135" s="56">
        <f t="shared" si="26"/>
        <v>0</v>
      </c>
      <c r="M135" s="56">
        <f t="shared" si="26"/>
        <v>3</v>
      </c>
      <c r="N135" s="56">
        <f t="shared" si="26"/>
        <v>1</v>
      </c>
      <c r="O135" s="56">
        <f t="shared" si="26"/>
        <v>3</v>
      </c>
      <c r="P135" s="56">
        <f t="shared" si="26"/>
        <v>1</v>
      </c>
      <c r="Q135" s="56">
        <f t="shared" si="26"/>
        <v>2</v>
      </c>
      <c r="R135" s="56">
        <f t="shared" si="26"/>
        <v>1</v>
      </c>
      <c r="S135" s="56">
        <f t="shared" si="26"/>
        <v>0</v>
      </c>
      <c r="T135" s="56">
        <f t="shared" si="26"/>
        <v>1</v>
      </c>
      <c r="U135" s="56">
        <f t="shared" si="26"/>
        <v>2</v>
      </c>
      <c r="V135" s="56">
        <f t="shared" si="26"/>
        <v>3</v>
      </c>
      <c r="W135" s="56">
        <f t="shared" si="26"/>
        <v>2</v>
      </c>
      <c r="X135" s="56">
        <f t="shared" si="26"/>
        <v>1</v>
      </c>
      <c r="Y135" s="56">
        <f t="shared" si="26"/>
        <v>3</v>
      </c>
      <c r="Z135" s="56">
        <f t="shared" si="26"/>
        <v>1</v>
      </c>
      <c r="AA135" s="56">
        <f t="shared" si="26"/>
        <v>8</v>
      </c>
      <c r="AB135" s="56">
        <f t="shared" si="26"/>
        <v>9</v>
      </c>
      <c r="AC135" s="56">
        <f t="shared" si="26"/>
        <v>0</v>
      </c>
      <c r="AD135" s="56">
        <f t="shared" si="26"/>
        <v>3</v>
      </c>
      <c r="AE135" s="56">
        <f t="shared" si="26"/>
        <v>4</v>
      </c>
      <c r="AF135" s="56">
        <f t="shared" si="26"/>
        <v>9</v>
      </c>
      <c r="AG135" s="56">
        <f t="shared" si="26"/>
        <v>2</v>
      </c>
      <c r="AH135" s="56">
        <f t="shared" si="26"/>
        <v>0</v>
      </c>
      <c r="AI135" s="56">
        <f t="shared" si="26"/>
        <v>4</v>
      </c>
      <c r="AJ135" s="56">
        <f t="shared" si="26"/>
        <v>0</v>
      </c>
      <c r="AK135" s="56">
        <f t="shared" si="26"/>
        <v>4</v>
      </c>
      <c r="AL135" s="13">
        <f t="shared" si="14"/>
        <v>78</v>
      </c>
      <c r="AM135" s="5"/>
      <c r="AN135" s="5"/>
    </row>
    <row r="136" ht="12.75" customHeight="1">
      <c r="A136" s="57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13">
        <f t="shared" si="14"/>
        <v>0</v>
      </c>
      <c r="AM136" s="5"/>
      <c r="AN136" s="5"/>
    </row>
    <row r="137" ht="12.75" customHeight="1">
      <c r="A137" s="30" t="s">
        <v>37</v>
      </c>
      <c r="B137" s="47" t="s">
        <v>115</v>
      </c>
      <c r="C137" s="48" t="s">
        <v>116</v>
      </c>
      <c r="D137" s="16"/>
      <c r="E137" s="19">
        <v>0.0</v>
      </c>
      <c r="F137" s="19">
        <v>0.0</v>
      </c>
      <c r="G137" s="19">
        <v>0.0</v>
      </c>
      <c r="H137" s="19">
        <v>0.0</v>
      </c>
      <c r="I137" s="19">
        <v>0.0</v>
      </c>
      <c r="J137" s="19">
        <v>0.0</v>
      </c>
      <c r="K137" s="19">
        <v>0.0</v>
      </c>
      <c r="L137" s="19">
        <v>0.0</v>
      </c>
      <c r="M137" s="19">
        <v>0.0</v>
      </c>
      <c r="N137" s="19">
        <v>0.0</v>
      </c>
      <c r="O137" s="19">
        <v>0.0</v>
      </c>
      <c r="P137" s="19">
        <v>0.0</v>
      </c>
      <c r="Q137" s="19">
        <v>0.0</v>
      </c>
      <c r="R137" s="19">
        <v>0.0</v>
      </c>
      <c r="S137" s="19">
        <v>0.0</v>
      </c>
      <c r="T137" s="19">
        <v>0.0</v>
      </c>
      <c r="U137" s="19">
        <v>1.0</v>
      </c>
      <c r="V137" s="19">
        <v>0.0</v>
      </c>
      <c r="W137" s="19">
        <v>0.0</v>
      </c>
      <c r="X137" s="19">
        <v>0.0</v>
      </c>
      <c r="Y137" s="19">
        <v>0.0</v>
      </c>
      <c r="Z137" s="19">
        <v>0.0</v>
      </c>
      <c r="AA137" s="19">
        <v>0.0</v>
      </c>
      <c r="AB137" s="19">
        <v>0.0</v>
      </c>
      <c r="AC137" s="19">
        <v>2.0</v>
      </c>
      <c r="AD137" s="19">
        <v>0.0</v>
      </c>
      <c r="AE137" s="19">
        <v>0.0</v>
      </c>
      <c r="AF137" s="19">
        <v>0.0</v>
      </c>
      <c r="AG137" s="19">
        <v>0.0</v>
      </c>
      <c r="AH137" s="19">
        <v>0.0</v>
      </c>
      <c r="AI137" s="19">
        <v>1.0</v>
      </c>
      <c r="AJ137" s="19">
        <v>1.0</v>
      </c>
      <c r="AK137" s="19">
        <v>0.0</v>
      </c>
      <c r="AL137" s="13">
        <f t="shared" si="14"/>
        <v>5</v>
      </c>
      <c r="AM137" s="5"/>
      <c r="AN137" s="5"/>
    </row>
    <row r="138" ht="12.75" customHeight="1">
      <c r="A138" s="30" t="s">
        <v>39</v>
      </c>
      <c r="B138" s="49">
        <v>1.0</v>
      </c>
      <c r="C138" s="50" t="s">
        <v>117</v>
      </c>
      <c r="D138" s="51"/>
      <c r="E138" s="19">
        <v>0.0</v>
      </c>
      <c r="F138" s="19">
        <v>0.0</v>
      </c>
      <c r="G138" s="19">
        <v>0.0</v>
      </c>
      <c r="H138" s="19">
        <v>0.0</v>
      </c>
      <c r="I138" s="19">
        <v>1.0</v>
      </c>
      <c r="J138" s="19">
        <v>0.0</v>
      </c>
      <c r="K138" s="19">
        <v>0.0</v>
      </c>
      <c r="L138" s="19">
        <v>0.0</v>
      </c>
      <c r="M138" s="19">
        <v>0.0</v>
      </c>
      <c r="N138" s="19">
        <v>0.0</v>
      </c>
      <c r="O138" s="19">
        <v>0.0</v>
      </c>
      <c r="P138" s="19">
        <v>0.0</v>
      </c>
      <c r="Q138" s="19">
        <v>0.0</v>
      </c>
      <c r="R138" s="19">
        <v>0.0</v>
      </c>
      <c r="S138" s="19">
        <v>0.0</v>
      </c>
      <c r="T138" s="19">
        <v>0.0</v>
      </c>
      <c r="U138" s="19">
        <v>1.0</v>
      </c>
      <c r="V138" s="19">
        <v>0.0</v>
      </c>
      <c r="W138" s="19">
        <v>0.0</v>
      </c>
      <c r="X138" s="19">
        <v>0.0</v>
      </c>
      <c r="Y138" s="19">
        <v>0.0</v>
      </c>
      <c r="Z138" s="19">
        <v>0.0</v>
      </c>
      <c r="AA138" s="19">
        <v>0.0</v>
      </c>
      <c r="AB138" s="19">
        <v>0.0</v>
      </c>
      <c r="AC138" s="19">
        <v>0.0</v>
      </c>
      <c r="AD138" s="19">
        <v>0.0</v>
      </c>
      <c r="AE138" s="19">
        <v>0.0</v>
      </c>
      <c r="AF138" s="19">
        <v>0.0</v>
      </c>
      <c r="AG138" s="19">
        <v>0.0</v>
      </c>
      <c r="AH138" s="19">
        <v>0.0</v>
      </c>
      <c r="AI138" s="19">
        <v>0.0</v>
      </c>
      <c r="AJ138" s="19">
        <v>0.0</v>
      </c>
      <c r="AK138" s="19">
        <v>0.0</v>
      </c>
      <c r="AL138" s="13">
        <f t="shared" si="14"/>
        <v>2</v>
      </c>
      <c r="AM138" s="5"/>
      <c r="AN138" s="5"/>
    </row>
    <row r="139" ht="15.0" customHeight="1">
      <c r="A139" s="18"/>
      <c r="B139" s="49">
        <v>2.0</v>
      </c>
      <c r="C139" s="50" t="s">
        <v>118</v>
      </c>
      <c r="D139" s="51"/>
      <c r="E139" s="19">
        <v>0.0</v>
      </c>
      <c r="F139" s="19">
        <v>0.0</v>
      </c>
      <c r="G139" s="19">
        <v>0.0</v>
      </c>
      <c r="H139" s="19">
        <v>0.0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19">
        <v>0.0</v>
      </c>
      <c r="Q139" s="19">
        <v>0.0</v>
      </c>
      <c r="R139" s="19">
        <v>0.0</v>
      </c>
      <c r="S139" s="19">
        <v>0.0</v>
      </c>
      <c r="T139" s="19">
        <v>0.0</v>
      </c>
      <c r="U139" s="19">
        <v>0.0</v>
      </c>
      <c r="V139" s="19">
        <v>0.0</v>
      </c>
      <c r="W139" s="19">
        <v>0.0</v>
      </c>
      <c r="X139" s="19">
        <v>0.0</v>
      </c>
      <c r="Y139" s="19">
        <v>0.0</v>
      </c>
      <c r="Z139" s="19">
        <v>0.0</v>
      </c>
      <c r="AA139" s="19">
        <v>0.0</v>
      </c>
      <c r="AB139" s="19">
        <v>1.0</v>
      </c>
      <c r="AC139" s="19">
        <v>0.0</v>
      </c>
      <c r="AD139" s="19">
        <v>0.0</v>
      </c>
      <c r="AE139" s="19">
        <v>0.0</v>
      </c>
      <c r="AF139" s="19">
        <v>0.0</v>
      </c>
      <c r="AG139" s="19">
        <v>0.0</v>
      </c>
      <c r="AH139" s="19">
        <v>0.0</v>
      </c>
      <c r="AI139" s="19">
        <v>0.0</v>
      </c>
      <c r="AJ139" s="19">
        <v>0.0</v>
      </c>
      <c r="AK139" s="19">
        <v>0.0</v>
      </c>
      <c r="AL139" s="13">
        <f t="shared" si="14"/>
        <v>1</v>
      </c>
      <c r="AM139" s="5"/>
      <c r="AN139" s="5"/>
    </row>
    <row r="140" ht="12.75" customHeight="1">
      <c r="A140" s="18"/>
      <c r="B140" s="49">
        <v>3.0</v>
      </c>
      <c r="C140" s="50" t="s">
        <v>119</v>
      </c>
      <c r="D140" s="51"/>
      <c r="E140" s="19">
        <v>0.0</v>
      </c>
      <c r="F140" s="19">
        <v>0.0</v>
      </c>
      <c r="G140" s="19">
        <v>0.0</v>
      </c>
      <c r="H140" s="19">
        <v>0.0</v>
      </c>
      <c r="I140" s="19">
        <v>0.0</v>
      </c>
      <c r="J140" s="19">
        <v>0.0</v>
      </c>
      <c r="K140" s="19">
        <v>0.0</v>
      </c>
      <c r="L140" s="19">
        <v>0.0</v>
      </c>
      <c r="M140" s="19">
        <v>0.0</v>
      </c>
      <c r="N140" s="19">
        <v>0.0</v>
      </c>
      <c r="O140" s="19">
        <v>0.0</v>
      </c>
      <c r="P140" s="19">
        <v>0.0</v>
      </c>
      <c r="Q140" s="19">
        <v>0.0</v>
      </c>
      <c r="R140" s="19">
        <v>0.0</v>
      </c>
      <c r="S140" s="19">
        <v>0.0</v>
      </c>
      <c r="T140" s="19">
        <v>0.0</v>
      </c>
      <c r="U140" s="19">
        <v>0.0</v>
      </c>
      <c r="V140" s="19">
        <v>0.0</v>
      </c>
      <c r="W140" s="19">
        <v>0.0</v>
      </c>
      <c r="X140" s="19">
        <v>0.0</v>
      </c>
      <c r="Y140" s="19">
        <v>0.0</v>
      </c>
      <c r="Z140" s="19">
        <v>0.0</v>
      </c>
      <c r="AA140" s="19">
        <v>0.0</v>
      </c>
      <c r="AB140" s="19">
        <v>0.0</v>
      </c>
      <c r="AC140" s="19">
        <v>0.0</v>
      </c>
      <c r="AD140" s="19">
        <v>0.0</v>
      </c>
      <c r="AE140" s="19">
        <v>0.0</v>
      </c>
      <c r="AF140" s="19">
        <v>0.0</v>
      </c>
      <c r="AG140" s="19">
        <v>0.0</v>
      </c>
      <c r="AH140" s="19">
        <v>0.0</v>
      </c>
      <c r="AI140" s="19">
        <v>0.0</v>
      </c>
      <c r="AJ140" s="19">
        <v>0.0</v>
      </c>
      <c r="AK140" s="19">
        <v>0.0</v>
      </c>
      <c r="AL140" s="13">
        <f t="shared" si="14"/>
        <v>0</v>
      </c>
      <c r="AM140" s="5"/>
      <c r="AN140" s="5"/>
    </row>
    <row r="141" ht="12.75" customHeight="1">
      <c r="A141" s="18"/>
      <c r="B141" s="49">
        <v>4.0</v>
      </c>
      <c r="C141" s="50" t="s">
        <v>120</v>
      </c>
      <c r="D141" s="51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1.0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9">
        <v>0.0</v>
      </c>
      <c r="AL141" s="13">
        <f t="shared" si="14"/>
        <v>1</v>
      </c>
      <c r="AM141" s="1"/>
      <c r="AN141" s="1"/>
    </row>
    <row r="142" ht="12.75" customHeight="1">
      <c r="A142" s="18"/>
      <c r="B142" s="49">
        <v>5.0</v>
      </c>
      <c r="C142" s="50" t="s">
        <v>121</v>
      </c>
      <c r="D142" s="5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9">
        <v>0.0</v>
      </c>
      <c r="AL142" s="13">
        <f t="shared" si="14"/>
        <v>0</v>
      </c>
      <c r="AM142" s="53"/>
      <c r="AN142" s="53"/>
    </row>
    <row r="143" ht="12.75" customHeight="1">
      <c r="A143" s="18"/>
      <c r="B143" s="49">
        <v>6.0</v>
      </c>
      <c r="C143" s="50" t="s">
        <v>122</v>
      </c>
      <c r="D143" s="5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3">
        <f t="shared" si="14"/>
        <v>0</v>
      </c>
      <c r="AM143" s="5"/>
      <c r="AN143" s="5"/>
    </row>
    <row r="144" ht="12.75" customHeight="1">
      <c r="A144" s="19" t="s">
        <v>15</v>
      </c>
      <c r="B144" s="47" t="s">
        <v>46</v>
      </c>
      <c r="C144" s="15"/>
      <c r="D144" s="16"/>
      <c r="E144" s="56">
        <f t="shared" ref="E144:AK144" si="27">SUM(E137:E143)</f>
        <v>0</v>
      </c>
      <c r="F144" s="56">
        <f t="shared" si="27"/>
        <v>0</v>
      </c>
      <c r="G144" s="56">
        <f t="shared" si="27"/>
        <v>0</v>
      </c>
      <c r="H144" s="56">
        <f t="shared" si="27"/>
        <v>0</v>
      </c>
      <c r="I144" s="56">
        <f t="shared" si="27"/>
        <v>1</v>
      </c>
      <c r="J144" s="56">
        <f t="shared" si="27"/>
        <v>0</v>
      </c>
      <c r="K144" s="56">
        <f t="shared" si="27"/>
        <v>0</v>
      </c>
      <c r="L144" s="56">
        <f t="shared" si="27"/>
        <v>0</v>
      </c>
      <c r="M144" s="56">
        <f t="shared" si="27"/>
        <v>0</v>
      </c>
      <c r="N144" s="56">
        <f t="shared" si="27"/>
        <v>1</v>
      </c>
      <c r="O144" s="56">
        <f t="shared" si="27"/>
        <v>0</v>
      </c>
      <c r="P144" s="56">
        <f t="shared" si="27"/>
        <v>0</v>
      </c>
      <c r="Q144" s="56">
        <f t="shared" si="27"/>
        <v>0</v>
      </c>
      <c r="R144" s="56">
        <f t="shared" si="27"/>
        <v>0</v>
      </c>
      <c r="S144" s="56">
        <f t="shared" si="27"/>
        <v>0</v>
      </c>
      <c r="T144" s="56">
        <f t="shared" si="27"/>
        <v>0</v>
      </c>
      <c r="U144" s="56">
        <f t="shared" si="27"/>
        <v>2</v>
      </c>
      <c r="V144" s="56">
        <f t="shared" si="27"/>
        <v>0</v>
      </c>
      <c r="W144" s="56">
        <f t="shared" si="27"/>
        <v>0</v>
      </c>
      <c r="X144" s="56">
        <f t="shared" si="27"/>
        <v>0</v>
      </c>
      <c r="Y144" s="56">
        <f t="shared" si="27"/>
        <v>0</v>
      </c>
      <c r="Z144" s="56">
        <f t="shared" si="27"/>
        <v>0</v>
      </c>
      <c r="AA144" s="56">
        <f t="shared" si="27"/>
        <v>0</v>
      </c>
      <c r="AB144" s="56">
        <f t="shared" si="27"/>
        <v>1</v>
      </c>
      <c r="AC144" s="56">
        <f t="shared" si="27"/>
        <v>2</v>
      </c>
      <c r="AD144" s="56">
        <f t="shared" si="27"/>
        <v>0</v>
      </c>
      <c r="AE144" s="56">
        <f t="shared" si="27"/>
        <v>0</v>
      </c>
      <c r="AF144" s="56">
        <f t="shared" si="27"/>
        <v>0</v>
      </c>
      <c r="AG144" s="56">
        <f t="shared" si="27"/>
        <v>0</v>
      </c>
      <c r="AH144" s="56">
        <f t="shared" si="27"/>
        <v>0</v>
      </c>
      <c r="AI144" s="56">
        <f t="shared" si="27"/>
        <v>1</v>
      </c>
      <c r="AJ144" s="56">
        <f t="shared" si="27"/>
        <v>1</v>
      </c>
      <c r="AK144" s="56">
        <f t="shared" si="27"/>
        <v>0</v>
      </c>
      <c r="AL144" s="13">
        <f t="shared" si="14"/>
        <v>9</v>
      </c>
      <c r="AM144" s="5"/>
      <c r="AN144" s="5"/>
    </row>
    <row r="145" ht="12.75" customHeight="1">
      <c r="A145" s="57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13">
        <f t="shared" si="14"/>
        <v>0</v>
      </c>
      <c r="AM145" s="5"/>
      <c r="AN145" s="5"/>
    </row>
    <row r="146" ht="12.75" customHeight="1">
      <c r="A146" s="30" t="s">
        <v>37</v>
      </c>
      <c r="B146" s="47" t="s">
        <v>123</v>
      </c>
      <c r="C146" s="48" t="s">
        <v>124</v>
      </c>
      <c r="D146" s="16"/>
      <c r="E146" s="19">
        <v>2.0</v>
      </c>
      <c r="F146" s="19">
        <v>0.0</v>
      </c>
      <c r="G146" s="19">
        <v>1.0</v>
      </c>
      <c r="H146" s="19">
        <v>7.0</v>
      </c>
      <c r="I146" s="19">
        <v>3.0</v>
      </c>
      <c r="J146" s="19">
        <v>0.0</v>
      </c>
      <c r="K146" s="19">
        <v>2.0</v>
      </c>
      <c r="L146" s="19">
        <v>6.0</v>
      </c>
      <c r="M146" s="19">
        <v>1.0</v>
      </c>
      <c r="N146" s="19">
        <v>2.0</v>
      </c>
      <c r="O146" s="19">
        <v>2.0</v>
      </c>
      <c r="P146" s="19">
        <v>0.0</v>
      </c>
      <c r="Q146" s="19">
        <v>4.0</v>
      </c>
      <c r="R146" s="19">
        <v>0.0</v>
      </c>
      <c r="S146" s="19">
        <v>1.0</v>
      </c>
      <c r="T146" s="19">
        <v>2.0</v>
      </c>
      <c r="U146" s="19">
        <v>2.0</v>
      </c>
      <c r="V146" s="19">
        <v>4.0</v>
      </c>
      <c r="W146" s="19">
        <v>3.0</v>
      </c>
      <c r="X146" s="19">
        <v>2.0</v>
      </c>
      <c r="Y146" s="19">
        <v>1.0</v>
      </c>
      <c r="Z146" s="19">
        <v>0.0</v>
      </c>
      <c r="AA146" s="19">
        <v>3.0</v>
      </c>
      <c r="AB146" s="19">
        <v>3.0</v>
      </c>
      <c r="AC146" s="19">
        <v>4.0</v>
      </c>
      <c r="AD146" s="19">
        <v>1.0</v>
      </c>
      <c r="AE146" s="19">
        <v>4.0</v>
      </c>
      <c r="AF146" s="19">
        <v>11.0</v>
      </c>
      <c r="AG146" s="19">
        <v>2.0</v>
      </c>
      <c r="AH146" s="19">
        <v>3.0</v>
      </c>
      <c r="AI146" s="19">
        <v>5.0</v>
      </c>
      <c r="AJ146" s="19">
        <v>4.0</v>
      </c>
      <c r="AK146" s="19">
        <v>0.0</v>
      </c>
      <c r="AL146" s="13">
        <f t="shared" si="14"/>
        <v>85</v>
      </c>
      <c r="AM146" s="5"/>
      <c r="AN146" s="5"/>
    </row>
    <row r="147" ht="12.75" customHeight="1">
      <c r="A147" s="30" t="s">
        <v>39</v>
      </c>
      <c r="B147" s="49">
        <v>1.0</v>
      </c>
      <c r="C147" s="50" t="s">
        <v>125</v>
      </c>
      <c r="D147" s="51"/>
      <c r="E147" s="19">
        <v>3.0</v>
      </c>
      <c r="F147" s="19">
        <v>1.0</v>
      </c>
      <c r="G147" s="19">
        <v>3.0</v>
      </c>
      <c r="H147" s="19">
        <v>4.0</v>
      </c>
      <c r="I147" s="19">
        <v>2.0</v>
      </c>
      <c r="J147" s="19">
        <v>1.0</v>
      </c>
      <c r="K147" s="19">
        <v>4.0</v>
      </c>
      <c r="L147" s="19">
        <v>0.0</v>
      </c>
      <c r="M147" s="19">
        <v>10.0</v>
      </c>
      <c r="N147" s="19">
        <v>10.0</v>
      </c>
      <c r="O147" s="19">
        <v>4.0</v>
      </c>
      <c r="P147" s="19">
        <v>3.0</v>
      </c>
      <c r="Q147" s="19">
        <v>9.0</v>
      </c>
      <c r="R147" s="19">
        <v>4.0</v>
      </c>
      <c r="S147" s="19">
        <v>2.0</v>
      </c>
      <c r="T147" s="19">
        <v>1.0</v>
      </c>
      <c r="U147" s="19">
        <v>2.0</v>
      </c>
      <c r="V147" s="19">
        <v>1.0</v>
      </c>
      <c r="W147" s="19">
        <v>11.0</v>
      </c>
      <c r="X147" s="19">
        <v>3.0</v>
      </c>
      <c r="Y147" s="19">
        <v>3.0</v>
      </c>
      <c r="Z147" s="19">
        <v>3.0</v>
      </c>
      <c r="AA147" s="19">
        <v>3.0</v>
      </c>
      <c r="AB147" s="19">
        <v>0.0</v>
      </c>
      <c r="AC147" s="19">
        <v>0.0</v>
      </c>
      <c r="AD147" s="19">
        <v>2.0</v>
      </c>
      <c r="AE147" s="19">
        <v>4.0</v>
      </c>
      <c r="AF147" s="19">
        <v>28.0</v>
      </c>
      <c r="AG147" s="19">
        <v>4.0</v>
      </c>
      <c r="AH147" s="19">
        <v>6.0</v>
      </c>
      <c r="AI147" s="19">
        <v>20.0</v>
      </c>
      <c r="AJ147" s="19">
        <v>13.0</v>
      </c>
      <c r="AK147" s="19">
        <v>3.0</v>
      </c>
      <c r="AL147" s="13">
        <f t="shared" si="14"/>
        <v>167</v>
      </c>
      <c r="AM147" s="5"/>
      <c r="AN147" s="5"/>
    </row>
    <row r="148" ht="12.75" customHeight="1">
      <c r="A148" s="18"/>
      <c r="B148" s="49">
        <v>2.0</v>
      </c>
      <c r="C148" s="50" t="s">
        <v>126</v>
      </c>
      <c r="D148" s="51"/>
      <c r="E148" s="19">
        <v>1.0</v>
      </c>
      <c r="F148" s="19">
        <v>1.0</v>
      </c>
      <c r="G148" s="19">
        <v>0.0</v>
      </c>
      <c r="H148" s="19">
        <v>0.0</v>
      </c>
      <c r="I148" s="19">
        <v>1.0</v>
      </c>
      <c r="J148" s="19">
        <v>2.0</v>
      </c>
      <c r="K148" s="19">
        <v>0.0</v>
      </c>
      <c r="L148" s="19">
        <v>1.0</v>
      </c>
      <c r="M148" s="19">
        <v>2.0</v>
      </c>
      <c r="N148" s="19">
        <v>6.0</v>
      </c>
      <c r="O148" s="19">
        <v>0.0</v>
      </c>
      <c r="P148" s="19">
        <v>0.0</v>
      </c>
      <c r="Q148" s="19">
        <v>0.0</v>
      </c>
      <c r="R148" s="19">
        <v>1.0</v>
      </c>
      <c r="S148" s="19">
        <v>0.0</v>
      </c>
      <c r="T148" s="19">
        <v>1.0</v>
      </c>
      <c r="U148" s="19">
        <v>1.0</v>
      </c>
      <c r="V148" s="19">
        <v>1.0</v>
      </c>
      <c r="W148" s="19">
        <v>0.0</v>
      </c>
      <c r="X148" s="19">
        <v>2.0</v>
      </c>
      <c r="Y148" s="19">
        <v>4.0</v>
      </c>
      <c r="Z148" s="19">
        <v>3.0</v>
      </c>
      <c r="AA148" s="19">
        <v>0.0</v>
      </c>
      <c r="AB148" s="19">
        <v>0.0</v>
      </c>
      <c r="AC148" s="19">
        <v>1.0</v>
      </c>
      <c r="AD148" s="19">
        <v>2.0</v>
      </c>
      <c r="AE148" s="19">
        <v>0.0</v>
      </c>
      <c r="AF148" s="19">
        <v>2.0</v>
      </c>
      <c r="AG148" s="19">
        <v>0.0</v>
      </c>
      <c r="AH148" s="19">
        <v>0.0</v>
      </c>
      <c r="AI148" s="19">
        <v>0.0</v>
      </c>
      <c r="AJ148" s="19">
        <v>2.0</v>
      </c>
      <c r="AK148" s="19">
        <v>1.0</v>
      </c>
      <c r="AL148" s="13">
        <f t="shared" si="14"/>
        <v>35</v>
      </c>
      <c r="AM148" s="5"/>
      <c r="AN148" s="5"/>
    </row>
    <row r="149" ht="12.75" customHeight="1">
      <c r="A149" s="18"/>
      <c r="B149" s="49">
        <v>3.0</v>
      </c>
      <c r="C149" s="50" t="s">
        <v>127</v>
      </c>
      <c r="D149" s="51"/>
      <c r="E149" s="19">
        <v>6.0</v>
      </c>
      <c r="F149" s="19">
        <v>6.0</v>
      </c>
      <c r="G149" s="19">
        <v>6.0</v>
      </c>
      <c r="H149" s="19">
        <v>26.0</v>
      </c>
      <c r="I149" s="19">
        <v>8.0</v>
      </c>
      <c r="J149" s="19">
        <v>9.0</v>
      </c>
      <c r="K149" s="19">
        <v>13.0</v>
      </c>
      <c r="L149" s="19">
        <v>10.0</v>
      </c>
      <c r="M149" s="19">
        <v>5.0</v>
      </c>
      <c r="N149" s="19">
        <v>2.0</v>
      </c>
      <c r="O149" s="19">
        <v>3.0</v>
      </c>
      <c r="P149" s="19">
        <v>2.0</v>
      </c>
      <c r="Q149" s="19">
        <v>7.0</v>
      </c>
      <c r="R149" s="19">
        <v>1.0</v>
      </c>
      <c r="S149" s="19">
        <v>2.0</v>
      </c>
      <c r="T149" s="19">
        <v>2.0</v>
      </c>
      <c r="U149" s="19">
        <v>11.0</v>
      </c>
      <c r="V149" s="19">
        <v>40.0</v>
      </c>
      <c r="W149" s="19">
        <v>5.0</v>
      </c>
      <c r="X149" s="19">
        <v>7.0</v>
      </c>
      <c r="Y149" s="19">
        <v>10.0</v>
      </c>
      <c r="Z149" s="19">
        <v>3.0</v>
      </c>
      <c r="AA149" s="19">
        <v>12.0</v>
      </c>
      <c r="AB149" s="19">
        <v>16.0</v>
      </c>
      <c r="AC149" s="19">
        <v>50.0</v>
      </c>
      <c r="AD149" s="19">
        <v>4.0</v>
      </c>
      <c r="AE149" s="19">
        <v>58.0</v>
      </c>
      <c r="AF149" s="19">
        <v>35.0</v>
      </c>
      <c r="AG149" s="19">
        <v>8.0</v>
      </c>
      <c r="AH149" s="19">
        <v>22.0</v>
      </c>
      <c r="AI149" s="19">
        <v>6.0</v>
      </c>
      <c r="AJ149" s="19">
        <v>2.0</v>
      </c>
      <c r="AK149" s="19">
        <v>0.0</v>
      </c>
      <c r="AL149" s="13">
        <f t="shared" si="14"/>
        <v>397</v>
      </c>
      <c r="AM149" s="5"/>
      <c r="AN149" s="5"/>
    </row>
    <row r="150" ht="12.75" customHeight="1">
      <c r="A150" s="18"/>
      <c r="B150" s="49">
        <v>4.0</v>
      </c>
      <c r="C150" s="50" t="s">
        <v>128</v>
      </c>
      <c r="D150" s="51"/>
      <c r="E150" s="19">
        <v>0.0</v>
      </c>
      <c r="F150" s="19">
        <v>0.0</v>
      </c>
      <c r="G150" s="19">
        <v>0.0</v>
      </c>
      <c r="H150" s="19">
        <v>2.0</v>
      </c>
      <c r="I150" s="19">
        <v>0.0</v>
      </c>
      <c r="J150" s="19">
        <v>0.0</v>
      </c>
      <c r="K150" s="19">
        <v>0.0</v>
      </c>
      <c r="L150" s="19">
        <v>1.0</v>
      </c>
      <c r="M150" s="19">
        <v>0.0</v>
      </c>
      <c r="N150" s="19">
        <v>0.0</v>
      </c>
      <c r="O150" s="19">
        <v>0.0</v>
      </c>
      <c r="P150" s="19">
        <v>0.0</v>
      </c>
      <c r="Q150" s="19">
        <v>1.0</v>
      </c>
      <c r="R150" s="19">
        <v>1.0</v>
      </c>
      <c r="S150" s="19">
        <v>0.0</v>
      </c>
      <c r="T150" s="19">
        <v>0.0</v>
      </c>
      <c r="U150" s="19">
        <v>0.0</v>
      </c>
      <c r="V150" s="19">
        <v>0.0</v>
      </c>
      <c r="W150" s="19">
        <v>0.0</v>
      </c>
      <c r="X150" s="19">
        <v>0.0</v>
      </c>
      <c r="Y150" s="19">
        <v>2.0</v>
      </c>
      <c r="Z150" s="19">
        <v>0.0</v>
      </c>
      <c r="AA150" s="19">
        <v>0.0</v>
      </c>
      <c r="AB150" s="19">
        <v>0.0</v>
      </c>
      <c r="AC150" s="19">
        <v>1.0</v>
      </c>
      <c r="AD150" s="19">
        <v>0.0</v>
      </c>
      <c r="AE150" s="19">
        <v>1.0</v>
      </c>
      <c r="AF150" s="19">
        <v>0.0</v>
      </c>
      <c r="AG150" s="19">
        <v>1.0</v>
      </c>
      <c r="AH150" s="19">
        <v>0.0</v>
      </c>
      <c r="AI150" s="19">
        <v>0.0</v>
      </c>
      <c r="AJ150" s="19">
        <v>0.0</v>
      </c>
      <c r="AK150" s="19">
        <v>0.0</v>
      </c>
      <c r="AL150" s="13">
        <f t="shared" si="14"/>
        <v>10</v>
      </c>
      <c r="AM150" s="5"/>
      <c r="AN150" s="5"/>
    </row>
    <row r="151" ht="12.75" customHeight="1">
      <c r="A151" s="18"/>
      <c r="B151" s="49">
        <v>5.0</v>
      </c>
      <c r="C151" s="50" t="s">
        <v>129</v>
      </c>
      <c r="D151" s="51"/>
      <c r="E151" s="19">
        <v>0.0</v>
      </c>
      <c r="F151" s="19">
        <v>0.0</v>
      </c>
      <c r="G151" s="19">
        <v>0.0</v>
      </c>
      <c r="H151" s="19">
        <v>0.0</v>
      </c>
      <c r="I151" s="19">
        <v>0.0</v>
      </c>
      <c r="J151" s="19">
        <v>0.0</v>
      </c>
      <c r="K151" s="19">
        <v>0.0</v>
      </c>
      <c r="L151" s="19">
        <v>0.0</v>
      </c>
      <c r="M151" s="19">
        <v>0.0</v>
      </c>
      <c r="N151" s="19">
        <v>0.0</v>
      </c>
      <c r="O151" s="19">
        <v>0.0</v>
      </c>
      <c r="P151" s="19">
        <v>0.0</v>
      </c>
      <c r="Q151" s="19">
        <v>0.0</v>
      </c>
      <c r="R151" s="19">
        <v>0.0</v>
      </c>
      <c r="S151" s="19">
        <v>0.0</v>
      </c>
      <c r="T151" s="19">
        <v>1.0</v>
      </c>
      <c r="U151" s="19">
        <v>0.0</v>
      </c>
      <c r="V151" s="19">
        <v>1.0</v>
      </c>
      <c r="W151" s="19">
        <v>1.0</v>
      </c>
      <c r="X151" s="19">
        <v>0.0</v>
      </c>
      <c r="Y151" s="19">
        <v>0.0</v>
      </c>
      <c r="Z151" s="19">
        <v>0.0</v>
      </c>
      <c r="AA151" s="19">
        <v>0.0</v>
      </c>
      <c r="AB151" s="19">
        <v>0.0</v>
      </c>
      <c r="AC151" s="19">
        <v>0.0</v>
      </c>
      <c r="AD151" s="19">
        <v>0.0</v>
      </c>
      <c r="AE151" s="19">
        <v>0.0</v>
      </c>
      <c r="AF151" s="19">
        <v>0.0</v>
      </c>
      <c r="AG151" s="19">
        <v>0.0</v>
      </c>
      <c r="AH151" s="19">
        <v>0.0</v>
      </c>
      <c r="AI151" s="19">
        <v>0.0</v>
      </c>
      <c r="AJ151" s="19">
        <v>0.0</v>
      </c>
      <c r="AK151" s="19">
        <v>0.0</v>
      </c>
      <c r="AL151" s="13">
        <f t="shared" si="14"/>
        <v>3</v>
      </c>
      <c r="AM151" s="1"/>
      <c r="AN151" s="1"/>
    </row>
    <row r="152" ht="12.75" customHeight="1">
      <c r="A152" s="18"/>
      <c r="B152" s="49">
        <v>6.0</v>
      </c>
      <c r="C152" s="50" t="s">
        <v>130</v>
      </c>
      <c r="D152" s="51"/>
      <c r="E152" s="19">
        <v>0.0</v>
      </c>
      <c r="F152" s="19">
        <v>0.0</v>
      </c>
      <c r="G152" s="19">
        <v>1.0</v>
      </c>
      <c r="H152" s="19">
        <v>0.0</v>
      </c>
      <c r="I152" s="19">
        <v>3.0</v>
      </c>
      <c r="J152" s="19">
        <v>1.0</v>
      </c>
      <c r="K152" s="19">
        <v>0.0</v>
      </c>
      <c r="L152" s="19">
        <v>0.0</v>
      </c>
      <c r="M152" s="19">
        <v>3.0</v>
      </c>
      <c r="N152" s="19">
        <v>0.0</v>
      </c>
      <c r="O152" s="19">
        <v>1.0</v>
      </c>
      <c r="P152" s="19">
        <v>0.0</v>
      </c>
      <c r="Q152" s="19">
        <v>0.0</v>
      </c>
      <c r="R152" s="19">
        <v>1.0</v>
      </c>
      <c r="S152" s="19">
        <v>0.0</v>
      </c>
      <c r="T152" s="19">
        <v>0.0</v>
      </c>
      <c r="U152" s="19">
        <v>3.0</v>
      </c>
      <c r="V152" s="19">
        <v>0.0</v>
      </c>
      <c r="W152" s="19">
        <v>2.0</v>
      </c>
      <c r="X152" s="19">
        <v>0.0</v>
      </c>
      <c r="Y152" s="19">
        <v>0.0</v>
      </c>
      <c r="Z152" s="19">
        <v>1.0</v>
      </c>
      <c r="AA152" s="19">
        <v>2.0</v>
      </c>
      <c r="AB152" s="19">
        <v>0.0</v>
      </c>
      <c r="AC152" s="19">
        <v>1.0</v>
      </c>
      <c r="AD152" s="19">
        <v>1.0</v>
      </c>
      <c r="AE152" s="19">
        <v>2.0</v>
      </c>
      <c r="AF152" s="19">
        <v>2.0</v>
      </c>
      <c r="AG152" s="19">
        <v>0.0</v>
      </c>
      <c r="AH152" s="19">
        <v>0.0</v>
      </c>
      <c r="AI152" s="19">
        <v>0.0</v>
      </c>
      <c r="AJ152" s="19">
        <v>2.0</v>
      </c>
      <c r="AK152" s="19">
        <v>0.0</v>
      </c>
      <c r="AL152" s="13">
        <f t="shared" si="14"/>
        <v>26</v>
      </c>
      <c r="AM152" s="53"/>
      <c r="AN152" s="53"/>
    </row>
    <row r="153" ht="12.75" customHeight="1">
      <c r="A153" s="19" t="s">
        <v>15</v>
      </c>
      <c r="B153" s="47" t="s">
        <v>46</v>
      </c>
      <c r="C153" s="15"/>
      <c r="D153" s="16"/>
      <c r="E153" s="56">
        <f t="shared" ref="E153:AK153" si="28">SUM(E146:E152)</f>
        <v>12</v>
      </c>
      <c r="F153" s="56">
        <f t="shared" si="28"/>
        <v>8</v>
      </c>
      <c r="G153" s="56">
        <f t="shared" si="28"/>
        <v>11</v>
      </c>
      <c r="H153" s="56">
        <f t="shared" si="28"/>
        <v>39</v>
      </c>
      <c r="I153" s="56">
        <f t="shared" si="28"/>
        <v>17</v>
      </c>
      <c r="J153" s="56">
        <f t="shared" si="28"/>
        <v>13</v>
      </c>
      <c r="K153" s="56">
        <f t="shared" si="28"/>
        <v>19</v>
      </c>
      <c r="L153" s="56">
        <f t="shared" si="28"/>
        <v>18</v>
      </c>
      <c r="M153" s="56">
        <f t="shared" si="28"/>
        <v>21</v>
      </c>
      <c r="N153" s="56">
        <f t="shared" si="28"/>
        <v>20</v>
      </c>
      <c r="O153" s="56">
        <f t="shared" si="28"/>
        <v>10</v>
      </c>
      <c r="P153" s="56">
        <f t="shared" si="28"/>
        <v>5</v>
      </c>
      <c r="Q153" s="56">
        <f t="shared" si="28"/>
        <v>21</v>
      </c>
      <c r="R153" s="56">
        <f t="shared" si="28"/>
        <v>8</v>
      </c>
      <c r="S153" s="56">
        <f t="shared" si="28"/>
        <v>5</v>
      </c>
      <c r="T153" s="56">
        <f t="shared" si="28"/>
        <v>7</v>
      </c>
      <c r="U153" s="56">
        <f t="shared" si="28"/>
        <v>19</v>
      </c>
      <c r="V153" s="56">
        <f t="shared" si="28"/>
        <v>47</v>
      </c>
      <c r="W153" s="56">
        <f t="shared" si="28"/>
        <v>22</v>
      </c>
      <c r="X153" s="56">
        <f t="shared" si="28"/>
        <v>14</v>
      </c>
      <c r="Y153" s="56">
        <f t="shared" si="28"/>
        <v>20</v>
      </c>
      <c r="Z153" s="56">
        <f t="shared" si="28"/>
        <v>10</v>
      </c>
      <c r="AA153" s="56">
        <f t="shared" si="28"/>
        <v>20</v>
      </c>
      <c r="AB153" s="56">
        <f t="shared" si="28"/>
        <v>19</v>
      </c>
      <c r="AC153" s="56">
        <f t="shared" si="28"/>
        <v>57</v>
      </c>
      <c r="AD153" s="56">
        <f t="shared" si="28"/>
        <v>10</v>
      </c>
      <c r="AE153" s="56">
        <f t="shared" si="28"/>
        <v>69</v>
      </c>
      <c r="AF153" s="56">
        <f t="shared" si="28"/>
        <v>78</v>
      </c>
      <c r="AG153" s="56">
        <f t="shared" si="28"/>
        <v>15</v>
      </c>
      <c r="AH153" s="56">
        <f t="shared" si="28"/>
        <v>31</v>
      </c>
      <c r="AI153" s="56">
        <f t="shared" si="28"/>
        <v>31</v>
      </c>
      <c r="AJ153" s="56">
        <f t="shared" si="28"/>
        <v>23</v>
      </c>
      <c r="AK153" s="56">
        <f t="shared" si="28"/>
        <v>4</v>
      </c>
      <c r="AL153" s="13">
        <f t="shared" si="14"/>
        <v>723</v>
      </c>
      <c r="AM153" s="5"/>
      <c r="AN153" s="5"/>
    </row>
    <row r="154" ht="12.75" customHeight="1">
      <c r="A154" s="57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13">
        <f t="shared" si="14"/>
        <v>0</v>
      </c>
      <c r="AM154" s="5"/>
      <c r="AN154" s="5"/>
    </row>
    <row r="155" ht="12.75" customHeight="1">
      <c r="A155" s="30" t="s">
        <v>37</v>
      </c>
      <c r="B155" s="47" t="s">
        <v>131</v>
      </c>
      <c r="C155" s="48" t="s">
        <v>132</v>
      </c>
      <c r="D155" s="16"/>
      <c r="E155" s="19">
        <v>2.0</v>
      </c>
      <c r="F155" s="19">
        <v>3.0</v>
      </c>
      <c r="G155" s="19">
        <v>4.0</v>
      </c>
      <c r="H155" s="19">
        <v>2.0</v>
      </c>
      <c r="I155" s="19">
        <v>1.0</v>
      </c>
      <c r="J155" s="19">
        <v>2.0</v>
      </c>
      <c r="K155" s="19">
        <v>2.0</v>
      </c>
      <c r="L155" s="19">
        <v>5.0</v>
      </c>
      <c r="M155" s="19">
        <v>0.0</v>
      </c>
      <c r="N155" s="19">
        <v>2.0</v>
      </c>
      <c r="O155" s="19">
        <v>0.0</v>
      </c>
      <c r="P155" s="19">
        <v>0.0</v>
      </c>
      <c r="Q155" s="19">
        <v>0.0</v>
      </c>
      <c r="R155" s="19">
        <v>1.0</v>
      </c>
      <c r="S155" s="19">
        <v>0.0</v>
      </c>
      <c r="T155" s="19">
        <v>2.0</v>
      </c>
      <c r="U155" s="19">
        <v>0.0</v>
      </c>
      <c r="V155" s="19">
        <v>4.0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5.0</v>
      </c>
      <c r="AC155" s="19">
        <v>1.0</v>
      </c>
      <c r="AD155" s="19">
        <v>0.0</v>
      </c>
      <c r="AE155" s="19">
        <v>0.0</v>
      </c>
      <c r="AF155" s="19">
        <v>1.0</v>
      </c>
      <c r="AG155" s="19">
        <v>2.0</v>
      </c>
      <c r="AH155" s="19">
        <v>0.0</v>
      </c>
      <c r="AI155" s="19">
        <v>0.0</v>
      </c>
      <c r="AJ155" s="19">
        <v>2.0</v>
      </c>
      <c r="AK155" s="19">
        <v>0.0</v>
      </c>
      <c r="AL155" s="13">
        <f t="shared" si="14"/>
        <v>41</v>
      </c>
      <c r="AM155" s="5"/>
      <c r="AN155" s="5"/>
    </row>
    <row r="156" ht="12.75" customHeight="1">
      <c r="A156" s="30" t="s">
        <v>39</v>
      </c>
      <c r="B156" s="49"/>
      <c r="C156" s="50" t="s">
        <v>133</v>
      </c>
      <c r="D156" s="51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3">
        <f t="shared" si="14"/>
        <v>0</v>
      </c>
      <c r="AM156" s="5"/>
      <c r="AN156" s="5"/>
    </row>
    <row r="157" ht="12.75" customHeight="1">
      <c r="A157" s="19" t="s">
        <v>15</v>
      </c>
      <c r="B157" s="47" t="s">
        <v>46</v>
      </c>
      <c r="C157" s="15"/>
      <c r="D157" s="16"/>
      <c r="E157" s="56">
        <f t="shared" ref="E157:AK157" si="29">SUM(E155:E156)</f>
        <v>2</v>
      </c>
      <c r="F157" s="56">
        <f t="shared" si="29"/>
        <v>3</v>
      </c>
      <c r="G157" s="56">
        <f t="shared" si="29"/>
        <v>4</v>
      </c>
      <c r="H157" s="56">
        <f t="shared" si="29"/>
        <v>2</v>
      </c>
      <c r="I157" s="56">
        <f t="shared" si="29"/>
        <v>1</v>
      </c>
      <c r="J157" s="56">
        <f t="shared" si="29"/>
        <v>2</v>
      </c>
      <c r="K157" s="56">
        <f t="shared" si="29"/>
        <v>2</v>
      </c>
      <c r="L157" s="56">
        <f t="shared" si="29"/>
        <v>5</v>
      </c>
      <c r="M157" s="56">
        <f t="shared" si="29"/>
        <v>0</v>
      </c>
      <c r="N157" s="56">
        <f t="shared" si="29"/>
        <v>2</v>
      </c>
      <c r="O157" s="56">
        <f t="shared" si="29"/>
        <v>0</v>
      </c>
      <c r="P157" s="56">
        <f t="shared" si="29"/>
        <v>0</v>
      </c>
      <c r="Q157" s="56">
        <f t="shared" si="29"/>
        <v>0</v>
      </c>
      <c r="R157" s="56">
        <f t="shared" si="29"/>
        <v>1</v>
      </c>
      <c r="S157" s="56">
        <f t="shared" si="29"/>
        <v>0</v>
      </c>
      <c r="T157" s="56">
        <f t="shared" si="29"/>
        <v>2</v>
      </c>
      <c r="U157" s="56">
        <f t="shared" si="29"/>
        <v>0</v>
      </c>
      <c r="V157" s="56">
        <f t="shared" si="29"/>
        <v>4</v>
      </c>
      <c r="W157" s="56">
        <f t="shared" si="29"/>
        <v>0</v>
      </c>
      <c r="X157" s="56">
        <f t="shared" si="29"/>
        <v>0</v>
      </c>
      <c r="Y157" s="56">
        <f t="shared" si="29"/>
        <v>0</v>
      </c>
      <c r="Z157" s="56">
        <f t="shared" si="29"/>
        <v>0</v>
      </c>
      <c r="AA157" s="56">
        <f t="shared" si="29"/>
        <v>0</v>
      </c>
      <c r="AB157" s="56">
        <f t="shared" si="29"/>
        <v>5</v>
      </c>
      <c r="AC157" s="56">
        <f t="shared" si="29"/>
        <v>1</v>
      </c>
      <c r="AD157" s="56">
        <f t="shared" si="29"/>
        <v>0</v>
      </c>
      <c r="AE157" s="56">
        <f t="shared" si="29"/>
        <v>0</v>
      </c>
      <c r="AF157" s="56">
        <f t="shared" si="29"/>
        <v>1</v>
      </c>
      <c r="AG157" s="56">
        <f t="shared" si="29"/>
        <v>2</v>
      </c>
      <c r="AH157" s="56">
        <f t="shared" si="29"/>
        <v>0</v>
      </c>
      <c r="AI157" s="56">
        <f t="shared" si="29"/>
        <v>0</v>
      </c>
      <c r="AJ157" s="56">
        <f t="shared" si="29"/>
        <v>2</v>
      </c>
      <c r="AK157" s="56">
        <f t="shared" si="29"/>
        <v>0</v>
      </c>
      <c r="AL157" s="13">
        <f t="shared" si="14"/>
        <v>41</v>
      </c>
      <c r="AM157" s="5"/>
      <c r="AN157" s="5"/>
    </row>
    <row r="158" ht="12.75" customHeight="1">
      <c r="A158" s="57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13">
        <f t="shared" si="14"/>
        <v>0</v>
      </c>
      <c r="AM158" s="5"/>
      <c r="AN158" s="5"/>
    </row>
    <row r="159" ht="12.75" customHeight="1">
      <c r="A159" s="30" t="s">
        <v>37</v>
      </c>
      <c r="B159" s="47" t="s">
        <v>134</v>
      </c>
      <c r="C159" s="48" t="s">
        <v>135</v>
      </c>
      <c r="D159" s="16"/>
      <c r="E159" s="19">
        <v>0.0</v>
      </c>
      <c r="F159" s="19">
        <v>0.0</v>
      </c>
      <c r="G159" s="19">
        <v>1.0</v>
      </c>
      <c r="H159" s="19">
        <v>0.0</v>
      </c>
      <c r="I159" s="19">
        <v>0.0</v>
      </c>
      <c r="J159" s="19">
        <v>1.0</v>
      </c>
      <c r="K159" s="19">
        <v>0.0</v>
      </c>
      <c r="L159" s="19">
        <v>0.0</v>
      </c>
      <c r="M159" s="19">
        <v>0.0</v>
      </c>
      <c r="N159" s="19">
        <v>0.0</v>
      </c>
      <c r="O159" s="19">
        <v>0.0</v>
      </c>
      <c r="P159" s="19">
        <v>0.0</v>
      </c>
      <c r="Q159" s="19">
        <v>0.0</v>
      </c>
      <c r="R159" s="19">
        <v>0.0</v>
      </c>
      <c r="S159" s="19">
        <v>1.0</v>
      </c>
      <c r="T159" s="19">
        <v>0.0</v>
      </c>
      <c r="U159" s="19">
        <v>0.0</v>
      </c>
      <c r="V159" s="19">
        <v>0.0</v>
      </c>
      <c r="W159" s="19">
        <v>1.0</v>
      </c>
      <c r="X159" s="19">
        <v>0.0</v>
      </c>
      <c r="Y159" s="19">
        <v>1.0</v>
      </c>
      <c r="Z159" s="19">
        <v>0.0</v>
      </c>
      <c r="AA159" s="19">
        <v>0.0</v>
      </c>
      <c r="AB159" s="19">
        <v>0.0</v>
      </c>
      <c r="AC159" s="19">
        <v>0.0</v>
      </c>
      <c r="AD159" s="19">
        <v>1.0</v>
      </c>
      <c r="AE159" s="19">
        <v>0.0</v>
      </c>
      <c r="AF159" s="19">
        <v>1.0</v>
      </c>
      <c r="AG159" s="19">
        <v>1.0</v>
      </c>
      <c r="AH159" s="19">
        <v>0.0</v>
      </c>
      <c r="AI159" s="19">
        <v>0.0</v>
      </c>
      <c r="AJ159" s="19">
        <v>0.0</v>
      </c>
      <c r="AK159" s="19">
        <v>0.0</v>
      </c>
      <c r="AL159" s="13">
        <f t="shared" si="14"/>
        <v>8</v>
      </c>
      <c r="AM159" s="5"/>
      <c r="AN159" s="5"/>
    </row>
    <row r="160" ht="12.75" customHeight="1">
      <c r="A160" s="30"/>
      <c r="B160" s="49">
        <v>1.0</v>
      </c>
      <c r="C160" s="50" t="s">
        <v>136</v>
      </c>
      <c r="D160" s="59"/>
      <c r="E160" s="19">
        <v>0.0</v>
      </c>
      <c r="F160" s="19">
        <v>0.0</v>
      </c>
      <c r="G160" s="19">
        <v>3.0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1.0</v>
      </c>
      <c r="P160" s="19">
        <v>0.0</v>
      </c>
      <c r="Q160" s="19">
        <v>0.0</v>
      </c>
      <c r="R160" s="19">
        <v>0.0</v>
      </c>
      <c r="S160" s="19">
        <v>0.0</v>
      </c>
      <c r="T160" s="19">
        <v>0.0</v>
      </c>
      <c r="U160" s="19">
        <v>0.0</v>
      </c>
      <c r="V160" s="19">
        <v>0.0</v>
      </c>
      <c r="W160" s="19">
        <v>0.0</v>
      </c>
      <c r="X160" s="19">
        <v>0.0</v>
      </c>
      <c r="Y160" s="19">
        <v>0.0</v>
      </c>
      <c r="Z160" s="19">
        <v>0.0</v>
      </c>
      <c r="AA160" s="19">
        <v>0.0</v>
      </c>
      <c r="AB160" s="19">
        <v>0.0</v>
      </c>
      <c r="AC160" s="19">
        <v>0.0</v>
      </c>
      <c r="AD160" s="19">
        <v>0.0</v>
      </c>
      <c r="AE160" s="19">
        <v>1.0</v>
      </c>
      <c r="AF160" s="19">
        <v>0.0</v>
      </c>
      <c r="AG160" s="19">
        <v>0.0</v>
      </c>
      <c r="AH160" s="19">
        <v>0.0</v>
      </c>
      <c r="AI160" s="19">
        <v>0.0</v>
      </c>
      <c r="AJ160" s="19">
        <v>0.0</v>
      </c>
      <c r="AK160" s="19">
        <v>0.0</v>
      </c>
      <c r="AL160" s="13">
        <f t="shared" si="14"/>
        <v>5</v>
      </c>
      <c r="AM160" s="5"/>
      <c r="AN160" s="5"/>
    </row>
    <row r="161" ht="12.75" customHeight="1">
      <c r="A161" s="30"/>
      <c r="B161" s="49">
        <v>2.0</v>
      </c>
      <c r="C161" s="50" t="s">
        <v>137</v>
      </c>
      <c r="D161" s="59"/>
      <c r="E161" s="19">
        <v>0.0</v>
      </c>
      <c r="F161" s="19">
        <v>0.0</v>
      </c>
      <c r="G161" s="19">
        <v>0.0</v>
      </c>
      <c r="H161" s="19">
        <v>0.0</v>
      </c>
      <c r="I161" s="19">
        <v>0.0</v>
      </c>
      <c r="J161" s="19">
        <v>2.0</v>
      </c>
      <c r="K161" s="19">
        <v>0.0</v>
      </c>
      <c r="L161" s="19">
        <v>0.0</v>
      </c>
      <c r="M161" s="19">
        <v>0.0</v>
      </c>
      <c r="N161" s="19">
        <v>0.0</v>
      </c>
      <c r="O161" s="19">
        <v>2.0</v>
      </c>
      <c r="P161" s="19">
        <v>0.0</v>
      </c>
      <c r="Q161" s="19">
        <v>1.0</v>
      </c>
      <c r="R161" s="19">
        <v>0.0</v>
      </c>
      <c r="S161" s="19">
        <v>0.0</v>
      </c>
      <c r="T161" s="19">
        <v>0.0</v>
      </c>
      <c r="U161" s="19">
        <v>0.0</v>
      </c>
      <c r="V161" s="19">
        <v>0.0</v>
      </c>
      <c r="W161" s="19">
        <v>0.0</v>
      </c>
      <c r="X161" s="19">
        <v>0.0</v>
      </c>
      <c r="Y161" s="19">
        <v>2.0</v>
      </c>
      <c r="Z161" s="19">
        <v>0.0</v>
      </c>
      <c r="AA161" s="19">
        <v>0.0</v>
      </c>
      <c r="AB161" s="19">
        <v>0.0</v>
      </c>
      <c r="AC161" s="19">
        <v>0.0</v>
      </c>
      <c r="AD161" s="19">
        <v>0.0</v>
      </c>
      <c r="AE161" s="19">
        <v>0.0</v>
      </c>
      <c r="AF161" s="19">
        <v>0.0</v>
      </c>
      <c r="AG161" s="19">
        <v>0.0</v>
      </c>
      <c r="AH161" s="19">
        <v>0.0</v>
      </c>
      <c r="AI161" s="19">
        <v>0.0</v>
      </c>
      <c r="AJ161" s="19">
        <v>0.0</v>
      </c>
      <c r="AK161" s="19">
        <v>0.0</v>
      </c>
      <c r="AL161" s="13">
        <f t="shared" si="14"/>
        <v>7</v>
      </c>
      <c r="AM161" s="5"/>
      <c r="AN161" s="5"/>
    </row>
    <row r="162" ht="12.75" customHeight="1">
      <c r="A162" s="30" t="s">
        <v>39</v>
      </c>
      <c r="B162" s="49">
        <v>3.0</v>
      </c>
      <c r="C162" s="50" t="s">
        <v>138</v>
      </c>
      <c r="D162" s="59"/>
      <c r="E162" s="19">
        <v>0.0</v>
      </c>
      <c r="F162" s="19">
        <v>0.0</v>
      </c>
      <c r="G162" s="19">
        <v>1.0</v>
      </c>
      <c r="H162" s="19">
        <v>0.0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0.0</v>
      </c>
      <c r="P162" s="19">
        <v>0.0</v>
      </c>
      <c r="Q162" s="19">
        <v>0.0</v>
      </c>
      <c r="R162" s="19">
        <v>0.0</v>
      </c>
      <c r="S162" s="19">
        <v>0.0</v>
      </c>
      <c r="T162" s="19">
        <v>0.0</v>
      </c>
      <c r="U162" s="19">
        <v>0.0</v>
      </c>
      <c r="V162" s="19">
        <v>0.0</v>
      </c>
      <c r="W162" s="19">
        <v>0.0</v>
      </c>
      <c r="X162" s="19">
        <v>0.0</v>
      </c>
      <c r="Y162" s="19">
        <v>0.0</v>
      </c>
      <c r="Z162" s="19">
        <v>0.0</v>
      </c>
      <c r="AA162" s="19">
        <v>1.0</v>
      </c>
      <c r="AB162" s="19">
        <v>0.0</v>
      </c>
      <c r="AC162" s="19">
        <v>0.0</v>
      </c>
      <c r="AD162" s="19">
        <v>0.0</v>
      </c>
      <c r="AE162" s="19">
        <v>0.0</v>
      </c>
      <c r="AF162" s="19">
        <v>0.0</v>
      </c>
      <c r="AG162" s="19">
        <v>0.0</v>
      </c>
      <c r="AH162" s="19">
        <v>0.0</v>
      </c>
      <c r="AI162" s="19">
        <v>0.0</v>
      </c>
      <c r="AJ162" s="19">
        <v>0.0</v>
      </c>
      <c r="AK162" s="19">
        <v>0.0</v>
      </c>
      <c r="AL162" s="13">
        <f t="shared" si="14"/>
        <v>2</v>
      </c>
      <c r="AM162" s="5"/>
      <c r="AN162" s="5"/>
    </row>
    <row r="163" ht="15.0" customHeight="1">
      <c r="A163" s="19" t="s">
        <v>15</v>
      </c>
      <c r="B163" s="47" t="s">
        <v>46</v>
      </c>
      <c r="C163" s="15"/>
      <c r="D163" s="16"/>
      <c r="E163" s="56">
        <f t="shared" ref="E163:AK163" si="30">SUM(E159:E162)</f>
        <v>0</v>
      </c>
      <c r="F163" s="56">
        <f t="shared" si="30"/>
        <v>0</v>
      </c>
      <c r="G163" s="56">
        <f t="shared" si="30"/>
        <v>5</v>
      </c>
      <c r="H163" s="56">
        <f t="shared" si="30"/>
        <v>0</v>
      </c>
      <c r="I163" s="56">
        <f t="shared" si="30"/>
        <v>0</v>
      </c>
      <c r="J163" s="56">
        <f t="shared" si="30"/>
        <v>3</v>
      </c>
      <c r="K163" s="56">
        <f t="shared" si="30"/>
        <v>0</v>
      </c>
      <c r="L163" s="56">
        <f t="shared" si="30"/>
        <v>0</v>
      </c>
      <c r="M163" s="56">
        <f t="shared" si="30"/>
        <v>0</v>
      </c>
      <c r="N163" s="56">
        <f t="shared" si="30"/>
        <v>0</v>
      </c>
      <c r="O163" s="56">
        <f t="shared" si="30"/>
        <v>3</v>
      </c>
      <c r="P163" s="56">
        <f t="shared" si="30"/>
        <v>0</v>
      </c>
      <c r="Q163" s="56">
        <f t="shared" si="30"/>
        <v>1</v>
      </c>
      <c r="R163" s="56">
        <f t="shared" si="30"/>
        <v>0</v>
      </c>
      <c r="S163" s="56">
        <f t="shared" si="30"/>
        <v>1</v>
      </c>
      <c r="T163" s="56">
        <f t="shared" si="30"/>
        <v>0</v>
      </c>
      <c r="U163" s="56">
        <f t="shared" si="30"/>
        <v>0</v>
      </c>
      <c r="V163" s="56">
        <f t="shared" si="30"/>
        <v>0</v>
      </c>
      <c r="W163" s="56">
        <f t="shared" si="30"/>
        <v>1</v>
      </c>
      <c r="X163" s="56">
        <f t="shared" si="30"/>
        <v>0</v>
      </c>
      <c r="Y163" s="56">
        <f t="shared" si="30"/>
        <v>3</v>
      </c>
      <c r="Z163" s="56">
        <f t="shared" si="30"/>
        <v>0</v>
      </c>
      <c r="AA163" s="56">
        <f t="shared" si="30"/>
        <v>1</v>
      </c>
      <c r="AB163" s="56">
        <f t="shared" si="30"/>
        <v>0</v>
      </c>
      <c r="AC163" s="56">
        <f t="shared" si="30"/>
        <v>0</v>
      </c>
      <c r="AD163" s="56">
        <f t="shared" si="30"/>
        <v>1</v>
      </c>
      <c r="AE163" s="56">
        <f t="shared" si="30"/>
        <v>1</v>
      </c>
      <c r="AF163" s="56">
        <f t="shared" si="30"/>
        <v>1</v>
      </c>
      <c r="AG163" s="56">
        <f t="shared" si="30"/>
        <v>1</v>
      </c>
      <c r="AH163" s="56">
        <f t="shared" si="30"/>
        <v>0</v>
      </c>
      <c r="AI163" s="56">
        <f t="shared" si="30"/>
        <v>0</v>
      </c>
      <c r="AJ163" s="56">
        <f t="shared" si="30"/>
        <v>0</v>
      </c>
      <c r="AK163" s="56">
        <f t="shared" si="30"/>
        <v>0</v>
      </c>
      <c r="AL163" s="13">
        <f t="shared" si="14"/>
        <v>22</v>
      </c>
      <c r="AM163" s="5"/>
      <c r="AN163" s="5"/>
    </row>
    <row r="164" ht="12.75" customHeight="1">
      <c r="A164" s="57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13">
        <f t="shared" si="14"/>
        <v>0</v>
      </c>
      <c r="AM164" s="5"/>
      <c r="AN164" s="5"/>
    </row>
    <row r="165" ht="12.75" customHeight="1">
      <c r="A165" s="30" t="s">
        <v>37</v>
      </c>
      <c r="B165" s="47" t="s">
        <v>139</v>
      </c>
      <c r="C165" s="48" t="s">
        <v>140</v>
      </c>
      <c r="D165" s="16"/>
      <c r="E165" s="19">
        <v>1.0</v>
      </c>
      <c r="F165" s="19">
        <v>4.0</v>
      </c>
      <c r="G165" s="19">
        <v>0.0</v>
      </c>
      <c r="H165" s="19">
        <v>0.0</v>
      </c>
      <c r="I165" s="19">
        <v>4.0</v>
      </c>
      <c r="J165" s="19">
        <v>1.0</v>
      </c>
      <c r="K165" s="19">
        <v>1.0</v>
      </c>
      <c r="L165" s="19">
        <v>1.0</v>
      </c>
      <c r="M165" s="19">
        <v>0.0</v>
      </c>
      <c r="N165" s="19">
        <v>2.0</v>
      </c>
      <c r="O165" s="19">
        <v>1.0</v>
      </c>
      <c r="P165" s="19">
        <v>0.0</v>
      </c>
      <c r="Q165" s="19">
        <v>3.0</v>
      </c>
      <c r="R165" s="19">
        <v>3.0</v>
      </c>
      <c r="S165" s="19">
        <v>3.0</v>
      </c>
      <c r="T165" s="19">
        <v>0.0</v>
      </c>
      <c r="U165" s="19">
        <v>1.0</v>
      </c>
      <c r="V165" s="19">
        <v>2.0</v>
      </c>
      <c r="W165" s="19">
        <v>0.0</v>
      </c>
      <c r="X165" s="19">
        <v>4.0</v>
      </c>
      <c r="Y165" s="19">
        <v>0.0</v>
      </c>
      <c r="Z165" s="19">
        <v>1.0</v>
      </c>
      <c r="AA165" s="19">
        <v>2.0</v>
      </c>
      <c r="AB165" s="19">
        <v>1.0</v>
      </c>
      <c r="AC165" s="19">
        <v>1.0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1.0</v>
      </c>
      <c r="AJ165" s="19">
        <v>0.0</v>
      </c>
      <c r="AK165" s="19">
        <v>0.0</v>
      </c>
      <c r="AL165" s="13">
        <f t="shared" si="14"/>
        <v>37</v>
      </c>
      <c r="AM165" s="1"/>
      <c r="AN165" s="1"/>
    </row>
    <row r="166" ht="12.75" customHeight="1">
      <c r="A166" s="30" t="s">
        <v>39</v>
      </c>
      <c r="B166" s="49">
        <v>1.0</v>
      </c>
      <c r="C166" s="50" t="s">
        <v>141</v>
      </c>
      <c r="D166" s="51"/>
      <c r="E166" s="19">
        <v>7.0</v>
      </c>
      <c r="F166" s="19">
        <v>16.0</v>
      </c>
      <c r="G166" s="19">
        <v>3.0</v>
      </c>
      <c r="H166" s="19">
        <v>11.0</v>
      </c>
      <c r="I166" s="19">
        <v>2.0</v>
      </c>
      <c r="J166" s="19">
        <v>7.0</v>
      </c>
      <c r="K166" s="19">
        <v>4.0</v>
      </c>
      <c r="L166" s="19">
        <v>6.0</v>
      </c>
      <c r="M166" s="19">
        <v>2.0</v>
      </c>
      <c r="N166" s="19">
        <v>1.0</v>
      </c>
      <c r="O166" s="19">
        <v>6.0</v>
      </c>
      <c r="P166" s="19">
        <v>5.0</v>
      </c>
      <c r="Q166" s="19">
        <v>0.0</v>
      </c>
      <c r="R166" s="19">
        <v>6.0</v>
      </c>
      <c r="S166" s="19">
        <v>5.0</v>
      </c>
      <c r="T166" s="19">
        <v>8.0</v>
      </c>
      <c r="U166" s="19">
        <v>10.0</v>
      </c>
      <c r="V166" s="19">
        <v>11.0</v>
      </c>
      <c r="W166" s="19">
        <v>3.0</v>
      </c>
      <c r="X166" s="19">
        <v>8.0</v>
      </c>
      <c r="Y166" s="19">
        <v>3.0</v>
      </c>
      <c r="Z166" s="19">
        <v>3.0</v>
      </c>
      <c r="AA166" s="19">
        <v>0.0</v>
      </c>
      <c r="AB166" s="19">
        <v>1.0</v>
      </c>
      <c r="AC166" s="19">
        <v>2.0</v>
      </c>
      <c r="AD166" s="19">
        <v>4.0</v>
      </c>
      <c r="AE166" s="19">
        <v>1.0</v>
      </c>
      <c r="AF166" s="19">
        <v>0.0</v>
      </c>
      <c r="AG166" s="19">
        <v>0.0</v>
      </c>
      <c r="AH166" s="19">
        <v>0.0</v>
      </c>
      <c r="AI166" s="19">
        <v>1.0</v>
      </c>
      <c r="AJ166" s="19">
        <v>1.0</v>
      </c>
      <c r="AK166" s="19">
        <v>0.0</v>
      </c>
      <c r="AL166" s="13">
        <f t="shared" si="14"/>
        <v>137</v>
      </c>
      <c r="AM166" s="53"/>
      <c r="AN166" s="53"/>
    </row>
    <row r="167" ht="12.75" customHeight="1">
      <c r="A167" s="18"/>
      <c r="B167" s="49">
        <v>2.0</v>
      </c>
      <c r="C167" s="50" t="s">
        <v>142</v>
      </c>
      <c r="D167" s="51"/>
      <c r="E167" s="19">
        <v>33.0</v>
      </c>
      <c r="F167" s="19">
        <v>8.0</v>
      </c>
      <c r="G167" s="19">
        <v>3.0</v>
      </c>
      <c r="H167" s="19">
        <v>2.0</v>
      </c>
      <c r="I167" s="19">
        <v>5.0</v>
      </c>
      <c r="J167" s="19">
        <v>4.0</v>
      </c>
      <c r="K167" s="19">
        <v>20.0</v>
      </c>
      <c r="L167" s="19">
        <v>6.0</v>
      </c>
      <c r="M167" s="19">
        <v>12.0</v>
      </c>
      <c r="N167" s="19">
        <v>32.0</v>
      </c>
      <c r="O167" s="19">
        <v>4.0</v>
      </c>
      <c r="P167" s="19">
        <v>7.0</v>
      </c>
      <c r="Q167" s="19">
        <v>18.0</v>
      </c>
      <c r="R167" s="19">
        <v>5.0</v>
      </c>
      <c r="S167" s="19">
        <v>26.0</v>
      </c>
      <c r="T167" s="19">
        <v>9.0</v>
      </c>
      <c r="U167" s="19">
        <v>4.0</v>
      </c>
      <c r="V167" s="19">
        <v>0.0</v>
      </c>
      <c r="W167" s="19">
        <v>0.0</v>
      </c>
      <c r="X167" s="19">
        <v>2.0</v>
      </c>
      <c r="Y167" s="19">
        <v>1.0</v>
      </c>
      <c r="Z167" s="19">
        <v>4.0</v>
      </c>
      <c r="AA167" s="19">
        <v>1.0</v>
      </c>
      <c r="AB167" s="19">
        <v>0.0</v>
      </c>
      <c r="AC167" s="19">
        <v>6.0</v>
      </c>
      <c r="AD167" s="19">
        <v>40.0</v>
      </c>
      <c r="AE167" s="19">
        <v>14.0</v>
      </c>
      <c r="AF167" s="19">
        <v>0.0</v>
      </c>
      <c r="AG167" s="19">
        <v>5.0</v>
      </c>
      <c r="AH167" s="19">
        <v>4.0</v>
      </c>
      <c r="AI167" s="19">
        <v>2.0</v>
      </c>
      <c r="AJ167" s="19">
        <v>9.0</v>
      </c>
      <c r="AK167" s="19">
        <v>0.0</v>
      </c>
      <c r="AL167" s="13">
        <f t="shared" si="14"/>
        <v>286</v>
      </c>
      <c r="AM167" s="5"/>
      <c r="AN167" s="5"/>
    </row>
    <row r="168" ht="12.75" customHeight="1">
      <c r="A168" s="18"/>
      <c r="B168" s="49">
        <v>3.0</v>
      </c>
      <c r="C168" s="50" t="s">
        <v>143</v>
      </c>
      <c r="D168" s="51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1.0</v>
      </c>
      <c r="O168" s="19">
        <v>0.0</v>
      </c>
      <c r="P168" s="19">
        <v>0.0</v>
      </c>
      <c r="Q168" s="19">
        <v>1.0</v>
      </c>
      <c r="R168" s="19">
        <v>0.0</v>
      </c>
      <c r="S168" s="19">
        <v>0.0</v>
      </c>
      <c r="T168" s="19">
        <v>0.0</v>
      </c>
      <c r="U168" s="19">
        <v>11.0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1.0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9">
        <v>0.0</v>
      </c>
      <c r="AL168" s="13">
        <f t="shared" si="14"/>
        <v>14</v>
      </c>
      <c r="AM168" s="5"/>
      <c r="AN168" s="5"/>
    </row>
    <row r="169" ht="12.75" customHeight="1">
      <c r="A169" s="18"/>
      <c r="B169" s="49">
        <v>4.0</v>
      </c>
      <c r="C169" s="50" t="s">
        <v>144</v>
      </c>
      <c r="D169" s="51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1.0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0.0</v>
      </c>
      <c r="AK169" s="19">
        <v>0.0</v>
      </c>
      <c r="AL169" s="13">
        <f t="shared" si="14"/>
        <v>1</v>
      </c>
      <c r="AM169" s="5"/>
      <c r="AN169" s="5"/>
    </row>
    <row r="170" ht="12.75" customHeight="1">
      <c r="A170" s="18"/>
      <c r="B170" s="49">
        <v>5.0</v>
      </c>
      <c r="C170" s="50" t="s">
        <v>145</v>
      </c>
      <c r="D170" s="51"/>
      <c r="E170" s="19">
        <v>0.0</v>
      </c>
      <c r="F170" s="19">
        <v>0.0</v>
      </c>
      <c r="G170" s="19">
        <v>1.0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1.0</v>
      </c>
      <c r="S170" s="19">
        <v>0.0</v>
      </c>
      <c r="T170" s="19">
        <v>0.0</v>
      </c>
      <c r="U170" s="19">
        <v>0.0</v>
      </c>
      <c r="V170" s="19">
        <v>0.0</v>
      </c>
      <c r="W170" s="19">
        <v>1.0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1.0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3">
        <f t="shared" si="14"/>
        <v>4</v>
      </c>
      <c r="AM170" s="5"/>
      <c r="AN170" s="5"/>
    </row>
    <row r="171" ht="12.75" customHeight="1">
      <c r="A171" s="18"/>
      <c r="B171" s="49">
        <v>6.0</v>
      </c>
      <c r="C171" s="50" t="s">
        <v>146</v>
      </c>
      <c r="D171" s="51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1.0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1.0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1.0</v>
      </c>
      <c r="AB171" s="19">
        <v>0.0</v>
      </c>
      <c r="AC171" s="19">
        <v>0.0</v>
      </c>
      <c r="AD171" s="19">
        <v>0.0</v>
      </c>
      <c r="AE171" s="19">
        <v>1.0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1.0</v>
      </c>
      <c r="AL171" s="13">
        <f t="shared" si="14"/>
        <v>5</v>
      </c>
      <c r="AM171" s="5"/>
      <c r="AN171" s="5"/>
    </row>
    <row r="172" ht="12.75" customHeight="1">
      <c r="A172" s="19" t="s">
        <v>15</v>
      </c>
      <c r="B172" s="47" t="s">
        <v>46</v>
      </c>
      <c r="C172" s="15"/>
      <c r="D172" s="16"/>
      <c r="E172" s="56">
        <f t="shared" ref="E172:AK172" si="31">SUM(E165:E171)</f>
        <v>41</v>
      </c>
      <c r="F172" s="56">
        <f t="shared" si="31"/>
        <v>28</v>
      </c>
      <c r="G172" s="56">
        <f t="shared" si="31"/>
        <v>7</v>
      </c>
      <c r="H172" s="56">
        <f t="shared" si="31"/>
        <v>13</v>
      </c>
      <c r="I172" s="56">
        <f t="shared" si="31"/>
        <v>11</v>
      </c>
      <c r="J172" s="56">
        <f t="shared" si="31"/>
        <v>12</v>
      </c>
      <c r="K172" s="56">
        <f t="shared" si="31"/>
        <v>26</v>
      </c>
      <c r="L172" s="56">
        <f t="shared" si="31"/>
        <v>13</v>
      </c>
      <c r="M172" s="56">
        <f t="shared" si="31"/>
        <v>14</v>
      </c>
      <c r="N172" s="56">
        <f t="shared" si="31"/>
        <v>36</v>
      </c>
      <c r="O172" s="56">
        <f t="shared" si="31"/>
        <v>11</v>
      </c>
      <c r="P172" s="56">
        <f t="shared" si="31"/>
        <v>12</v>
      </c>
      <c r="Q172" s="56">
        <f t="shared" si="31"/>
        <v>22</v>
      </c>
      <c r="R172" s="56">
        <f t="shared" si="31"/>
        <v>16</v>
      </c>
      <c r="S172" s="56">
        <f t="shared" si="31"/>
        <v>34</v>
      </c>
      <c r="T172" s="56">
        <f t="shared" si="31"/>
        <v>17</v>
      </c>
      <c r="U172" s="56">
        <f t="shared" si="31"/>
        <v>26</v>
      </c>
      <c r="V172" s="56">
        <f t="shared" si="31"/>
        <v>13</v>
      </c>
      <c r="W172" s="56">
        <f t="shared" si="31"/>
        <v>4</v>
      </c>
      <c r="X172" s="56">
        <f t="shared" si="31"/>
        <v>14</v>
      </c>
      <c r="Y172" s="56">
        <f t="shared" si="31"/>
        <v>4</v>
      </c>
      <c r="Z172" s="56">
        <f t="shared" si="31"/>
        <v>8</v>
      </c>
      <c r="AA172" s="56">
        <f t="shared" si="31"/>
        <v>4</v>
      </c>
      <c r="AB172" s="56">
        <f t="shared" si="31"/>
        <v>2</v>
      </c>
      <c r="AC172" s="56">
        <f t="shared" si="31"/>
        <v>12</v>
      </c>
      <c r="AD172" s="56">
        <f t="shared" si="31"/>
        <v>44</v>
      </c>
      <c r="AE172" s="56">
        <f t="shared" si="31"/>
        <v>16</v>
      </c>
      <c r="AF172" s="56">
        <f t="shared" si="31"/>
        <v>0</v>
      </c>
      <c r="AG172" s="56">
        <f t="shared" si="31"/>
        <v>5</v>
      </c>
      <c r="AH172" s="56">
        <f t="shared" si="31"/>
        <v>4</v>
      </c>
      <c r="AI172" s="56">
        <f t="shared" si="31"/>
        <v>4</v>
      </c>
      <c r="AJ172" s="56">
        <f t="shared" si="31"/>
        <v>10</v>
      </c>
      <c r="AK172" s="56">
        <f t="shared" si="31"/>
        <v>1</v>
      </c>
      <c r="AL172" s="13">
        <f t="shared" si="14"/>
        <v>484</v>
      </c>
      <c r="AM172" s="5"/>
      <c r="AN172" s="5"/>
    </row>
    <row r="173" ht="12.75" customHeight="1">
      <c r="A173" s="57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13">
        <f t="shared" si="14"/>
        <v>0</v>
      </c>
      <c r="AM173" s="5"/>
      <c r="AN173" s="5"/>
    </row>
    <row r="174" ht="12.75" customHeight="1">
      <c r="A174" s="30" t="s">
        <v>37</v>
      </c>
      <c r="B174" s="47" t="s">
        <v>147</v>
      </c>
      <c r="C174" s="48" t="s">
        <v>148</v>
      </c>
      <c r="D174" s="16"/>
      <c r="E174" s="19">
        <v>0.0</v>
      </c>
      <c r="F174" s="19">
        <v>0.0</v>
      </c>
      <c r="G174" s="19">
        <v>0.0</v>
      </c>
      <c r="H174" s="19">
        <v>1.0</v>
      </c>
      <c r="I174" s="19">
        <v>0.0</v>
      </c>
      <c r="J174" s="19">
        <v>0.0</v>
      </c>
      <c r="K174" s="19">
        <v>0.0</v>
      </c>
      <c r="L174" s="19">
        <v>1.0</v>
      </c>
      <c r="M174" s="19">
        <v>0.0</v>
      </c>
      <c r="N174" s="19">
        <v>0.0</v>
      </c>
      <c r="O174" s="19">
        <v>0.0</v>
      </c>
      <c r="P174" s="19">
        <v>1.0</v>
      </c>
      <c r="Q174" s="19">
        <v>0.0</v>
      </c>
      <c r="R174" s="19">
        <v>0.0</v>
      </c>
      <c r="S174" s="19">
        <v>0.0</v>
      </c>
      <c r="T174" s="19">
        <v>1.0</v>
      </c>
      <c r="U174" s="19">
        <v>0.0</v>
      </c>
      <c r="V174" s="19">
        <v>0.0</v>
      </c>
      <c r="W174" s="19">
        <v>0.0</v>
      </c>
      <c r="X174" s="19">
        <v>0.0</v>
      </c>
      <c r="Y174" s="19">
        <v>0.0</v>
      </c>
      <c r="Z174" s="19">
        <v>0.0</v>
      </c>
      <c r="AA174" s="19">
        <v>0.0</v>
      </c>
      <c r="AB174" s="19">
        <v>1.0</v>
      </c>
      <c r="AC174" s="19">
        <v>2.0</v>
      </c>
      <c r="AD174" s="19">
        <v>1.0</v>
      </c>
      <c r="AE174" s="19">
        <v>0.0</v>
      </c>
      <c r="AF174" s="19">
        <v>0.0</v>
      </c>
      <c r="AG174" s="19">
        <v>1.0</v>
      </c>
      <c r="AH174" s="19">
        <v>0.0</v>
      </c>
      <c r="AI174" s="19">
        <v>0.0</v>
      </c>
      <c r="AJ174" s="19">
        <v>0.0</v>
      </c>
      <c r="AK174" s="19">
        <v>0.0</v>
      </c>
      <c r="AL174" s="13">
        <f t="shared" si="14"/>
        <v>9</v>
      </c>
      <c r="AM174" s="5"/>
      <c r="AN174" s="5"/>
    </row>
    <row r="175" ht="15.0" customHeight="1">
      <c r="A175" s="30"/>
      <c r="B175" s="49">
        <v>1.0</v>
      </c>
      <c r="C175" s="50" t="s">
        <v>149</v>
      </c>
      <c r="D175" s="59"/>
      <c r="E175" s="19">
        <v>0.0</v>
      </c>
      <c r="F175" s="19">
        <v>4.0</v>
      </c>
      <c r="G175" s="19">
        <v>0.0</v>
      </c>
      <c r="H175" s="19">
        <v>0.0</v>
      </c>
      <c r="I175" s="19">
        <v>1.0</v>
      </c>
      <c r="J175" s="19">
        <v>0.0</v>
      </c>
      <c r="K175" s="19">
        <v>0.0</v>
      </c>
      <c r="L175" s="19">
        <v>0.0</v>
      </c>
      <c r="M175" s="19">
        <v>0.0</v>
      </c>
      <c r="N175" s="19">
        <v>0.0</v>
      </c>
      <c r="O175" s="19">
        <v>0.0</v>
      </c>
      <c r="P175" s="19">
        <v>1.0</v>
      </c>
      <c r="Q175" s="19">
        <v>0.0</v>
      </c>
      <c r="R175" s="19">
        <v>0.0</v>
      </c>
      <c r="S175" s="19">
        <v>0.0</v>
      </c>
      <c r="T175" s="19">
        <v>0.0</v>
      </c>
      <c r="U175" s="19">
        <v>0.0</v>
      </c>
      <c r="V175" s="19">
        <v>0.0</v>
      </c>
      <c r="W175" s="19">
        <v>0.0</v>
      </c>
      <c r="X175" s="19">
        <v>0.0</v>
      </c>
      <c r="Y175" s="19">
        <v>1.0</v>
      </c>
      <c r="Z175" s="19">
        <v>0.0</v>
      </c>
      <c r="AA175" s="19">
        <v>0.0</v>
      </c>
      <c r="AB175" s="19">
        <v>0.0</v>
      </c>
      <c r="AC175" s="19">
        <v>0.0</v>
      </c>
      <c r="AD175" s="19">
        <v>0.0</v>
      </c>
      <c r="AE175" s="19">
        <v>1.0</v>
      </c>
      <c r="AF175" s="19">
        <v>0.0</v>
      </c>
      <c r="AG175" s="19">
        <v>0.0</v>
      </c>
      <c r="AH175" s="19">
        <v>0.0</v>
      </c>
      <c r="AI175" s="19">
        <v>0.0</v>
      </c>
      <c r="AJ175" s="19">
        <v>0.0</v>
      </c>
      <c r="AK175" s="19">
        <v>0.0</v>
      </c>
      <c r="AL175" s="13">
        <f t="shared" si="14"/>
        <v>8</v>
      </c>
      <c r="AM175" s="5"/>
      <c r="AN175" s="5"/>
    </row>
    <row r="176" ht="12.75" customHeight="1">
      <c r="A176" s="30" t="s">
        <v>39</v>
      </c>
      <c r="B176" s="49">
        <v>2.0</v>
      </c>
      <c r="C176" s="50" t="s">
        <v>150</v>
      </c>
      <c r="D176" s="51"/>
      <c r="E176" s="19">
        <v>0.0</v>
      </c>
      <c r="F176" s="19">
        <v>0.0</v>
      </c>
      <c r="G176" s="19">
        <v>0.0</v>
      </c>
      <c r="H176" s="19">
        <v>0.0</v>
      </c>
      <c r="I176" s="19">
        <v>1.0</v>
      </c>
      <c r="J176" s="19">
        <v>0.0</v>
      </c>
      <c r="K176" s="19">
        <v>0.0</v>
      </c>
      <c r="L176" s="19">
        <v>0.0</v>
      </c>
      <c r="M176" s="19">
        <v>0.0</v>
      </c>
      <c r="N176" s="19">
        <v>0.0</v>
      </c>
      <c r="O176" s="19">
        <v>0.0</v>
      </c>
      <c r="P176" s="19">
        <v>0.0</v>
      </c>
      <c r="Q176" s="19">
        <v>0.0</v>
      </c>
      <c r="R176" s="19">
        <v>0.0</v>
      </c>
      <c r="S176" s="19">
        <v>0.0</v>
      </c>
      <c r="T176" s="19">
        <v>0.0</v>
      </c>
      <c r="U176" s="19">
        <v>0.0</v>
      </c>
      <c r="V176" s="19">
        <v>0.0</v>
      </c>
      <c r="W176" s="19">
        <v>0.0</v>
      </c>
      <c r="X176" s="19">
        <v>0.0</v>
      </c>
      <c r="Y176" s="19">
        <v>0.0</v>
      </c>
      <c r="Z176" s="19">
        <v>0.0</v>
      </c>
      <c r="AA176" s="19">
        <v>0.0</v>
      </c>
      <c r="AB176" s="19">
        <v>0.0</v>
      </c>
      <c r="AC176" s="19">
        <v>0.0</v>
      </c>
      <c r="AD176" s="19">
        <v>0.0</v>
      </c>
      <c r="AE176" s="19">
        <v>0.0</v>
      </c>
      <c r="AF176" s="19">
        <v>0.0</v>
      </c>
      <c r="AG176" s="19">
        <v>0.0</v>
      </c>
      <c r="AH176" s="19">
        <v>0.0</v>
      </c>
      <c r="AI176" s="19">
        <v>0.0</v>
      </c>
      <c r="AJ176" s="19">
        <v>0.0</v>
      </c>
      <c r="AK176" s="19">
        <v>0.0</v>
      </c>
      <c r="AL176" s="13">
        <f t="shared" si="14"/>
        <v>1</v>
      </c>
      <c r="AM176" s="1"/>
      <c r="AN176" s="1"/>
    </row>
    <row r="177" ht="12.75" customHeight="1">
      <c r="A177" s="19" t="s">
        <v>15</v>
      </c>
      <c r="B177" s="47" t="s">
        <v>46</v>
      </c>
      <c r="C177" s="15"/>
      <c r="D177" s="16"/>
      <c r="E177" s="56">
        <f t="shared" ref="E177:AK177" si="32">SUM(E174:E176)</f>
        <v>0</v>
      </c>
      <c r="F177" s="56">
        <f t="shared" si="32"/>
        <v>4</v>
      </c>
      <c r="G177" s="56">
        <f t="shared" si="32"/>
        <v>0</v>
      </c>
      <c r="H177" s="56">
        <f t="shared" si="32"/>
        <v>1</v>
      </c>
      <c r="I177" s="56">
        <f t="shared" si="32"/>
        <v>2</v>
      </c>
      <c r="J177" s="56">
        <f t="shared" si="32"/>
        <v>0</v>
      </c>
      <c r="K177" s="56">
        <f t="shared" si="32"/>
        <v>0</v>
      </c>
      <c r="L177" s="56">
        <f t="shared" si="32"/>
        <v>1</v>
      </c>
      <c r="M177" s="56">
        <f t="shared" si="32"/>
        <v>0</v>
      </c>
      <c r="N177" s="56">
        <f t="shared" si="32"/>
        <v>0</v>
      </c>
      <c r="O177" s="56">
        <f t="shared" si="32"/>
        <v>0</v>
      </c>
      <c r="P177" s="56">
        <f t="shared" si="32"/>
        <v>2</v>
      </c>
      <c r="Q177" s="56">
        <f t="shared" si="32"/>
        <v>0</v>
      </c>
      <c r="R177" s="56">
        <f t="shared" si="32"/>
        <v>0</v>
      </c>
      <c r="S177" s="56">
        <f t="shared" si="32"/>
        <v>0</v>
      </c>
      <c r="T177" s="56">
        <f t="shared" si="32"/>
        <v>1</v>
      </c>
      <c r="U177" s="56">
        <f t="shared" si="32"/>
        <v>0</v>
      </c>
      <c r="V177" s="56">
        <f t="shared" si="32"/>
        <v>0</v>
      </c>
      <c r="W177" s="56">
        <f t="shared" si="32"/>
        <v>0</v>
      </c>
      <c r="X177" s="56">
        <f t="shared" si="32"/>
        <v>0</v>
      </c>
      <c r="Y177" s="56">
        <f t="shared" si="32"/>
        <v>1</v>
      </c>
      <c r="Z177" s="56">
        <f t="shared" si="32"/>
        <v>0</v>
      </c>
      <c r="AA177" s="56">
        <f t="shared" si="32"/>
        <v>0</v>
      </c>
      <c r="AB177" s="56">
        <f t="shared" si="32"/>
        <v>1</v>
      </c>
      <c r="AC177" s="56">
        <f t="shared" si="32"/>
        <v>2</v>
      </c>
      <c r="AD177" s="56">
        <f t="shared" si="32"/>
        <v>1</v>
      </c>
      <c r="AE177" s="56">
        <f t="shared" si="32"/>
        <v>1</v>
      </c>
      <c r="AF177" s="56">
        <f t="shared" si="32"/>
        <v>0</v>
      </c>
      <c r="AG177" s="56">
        <f t="shared" si="32"/>
        <v>1</v>
      </c>
      <c r="AH177" s="56">
        <f t="shared" si="32"/>
        <v>0</v>
      </c>
      <c r="AI177" s="56">
        <f t="shared" si="32"/>
        <v>0</v>
      </c>
      <c r="AJ177" s="56">
        <f t="shared" si="32"/>
        <v>0</v>
      </c>
      <c r="AK177" s="56">
        <f t="shared" si="32"/>
        <v>0</v>
      </c>
      <c r="AL177" s="13">
        <f t="shared" si="14"/>
        <v>18</v>
      </c>
    </row>
    <row r="178" ht="12.75" customHeight="1">
      <c r="A178" s="45"/>
      <c r="B178" s="44"/>
      <c r="C178" s="44"/>
      <c r="D178" s="28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13">
        <f t="shared" si="14"/>
        <v>0</v>
      </c>
      <c r="AM178" s="5"/>
      <c r="AN178" s="5"/>
    </row>
    <row r="179" ht="12.75" customHeight="1">
      <c r="A179" s="42" t="s">
        <v>151</v>
      </c>
      <c r="B179" s="14" t="s">
        <v>152</v>
      </c>
      <c r="C179" s="15"/>
      <c r="D179" s="16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13">
        <f t="shared" si="14"/>
        <v>0</v>
      </c>
      <c r="AM179" s="5"/>
      <c r="AN179" s="5"/>
    </row>
    <row r="180" ht="12.75" customHeight="1">
      <c r="A180" s="42"/>
      <c r="B180" s="60" t="s">
        <v>153</v>
      </c>
      <c r="C180" s="61" t="s">
        <v>154</v>
      </c>
      <c r="D180" s="16"/>
      <c r="E180" s="19">
        <f t="shared" ref="E180:AK180" si="33">E177+E172+E163+E157+E153+E144+E135+E128+E124+E115+E108+E99+E94+E88+E79+E70+E61+E52</f>
        <v>191</v>
      </c>
      <c r="F180" s="19">
        <f t="shared" si="33"/>
        <v>184</v>
      </c>
      <c r="G180" s="19">
        <f t="shared" si="33"/>
        <v>213</v>
      </c>
      <c r="H180" s="19">
        <f t="shared" si="33"/>
        <v>238</v>
      </c>
      <c r="I180" s="19">
        <f t="shared" si="33"/>
        <v>152</v>
      </c>
      <c r="J180" s="19">
        <f t="shared" si="33"/>
        <v>191</v>
      </c>
      <c r="K180" s="19">
        <f t="shared" si="33"/>
        <v>173</v>
      </c>
      <c r="L180" s="19">
        <f t="shared" si="33"/>
        <v>188</v>
      </c>
      <c r="M180" s="19">
        <f t="shared" si="33"/>
        <v>172</v>
      </c>
      <c r="N180" s="19">
        <f t="shared" si="33"/>
        <v>192</v>
      </c>
      <c r="O180" s="19">
        <f t="shared" si="33"/>
        <v>143</v>
      </c>
      <c r="P180" s="19">
        <f t="shared" si="33"/>
        <v>207</v>
      </c>
      <c r="Q180" s="19">
        <f t="shared" si="33"/>
        <v>159</v>
      </c>
      <c r="R180" s="19">
        <f t="shared" si="33"/>
        <v>190</v>
      </c>
      <c r="S180" s="19">
        <f t="shared" si="33"/>
        <v>180</v>
      </c>
      <c r="T180" s="19">
        <f t="shared" si="33"/>
        <v>181</v>
      </c>
      <c r="U180" s="19">
        <f t="shared" si="33"/>
        <v>199</v>
      </c>
      <c r="V180" s="19">
        <f t="shared" si="33"/>
        <v>191</v>
      </c>
      <c r="W180" s="19">
        <f t="shared" si="33"/>
        <v>183</v>
      </c>
      <c r="X180" s="19">
        <f t="shared" si="33"/>
        <v>192</v>
      </c>
      <c r="Y180" s="19">
        <f t="shared" si="33"/>
        <v>194</v>
      </c>
      <c r="Z180" s="19">
        <f t="shared" si="33"/>
        <v>203</v>
      </c>
      <c r="AA180" s="19">
        <f t="shared" si="33"/>
        <v>202</v>
      </c>
      <c r="AB180" s="19">
        <f t="shared" si="33"/>
        <v>197</v>
      </c>
      <c r="AC180" s="19">
        <f t="shared" si="33"/>
        <v>213</v>
      </c>
      <c r="AD180" s="19">
        <f t="shared" si="33"/>
        <v>217</v>
      </c>
      <c r="AE180" s="19">
        <f t="shared" si="33"/>
        <v>227</v>
      </c>
      <c r="AF180" s="19">
        <f t="shared" si="33"/>
        <v>207</v>
      </c>
      <c r="AG180" s="19">
        <f t="shared" si="33"/>
        <v>203</v>
      </c>
      <c r="AH180" s="19">
        <f t="shared" si="33"/>
        <v>202</v>
      </c>
      <c r="AI180" s="19">
        <f t="shared" si="33"/>
        <v>218</v>
      </c>
      <c r="AJ180" s="19">
        <f t="shared" si="33"/>
        <v>207</v>
      </c>
      <c r="AK180" s="19">
        <f t="shared" si="33"/>
        <v>216</v>
      </c>
      <c r="AL180" s="13">
        <f t="shared" si="14"/>
        <v>6425</v>
      </c>
      <c r="AM180" s="5"/>
      <c r="AN180" s="5"/>
    </row>
    <row r="181" ht="12.75" customHeight="1">
      <c r="A181" s="35"/>
      <c r="B181" s="60" t="s">
        <v>155</v>
      </c>
      <c r="C181" s="61" t="s">
        <v>156</v>
      </c>
      <c r="D181" s="16"/>
      <c r="E181" s="19">
        <v>11.0</v>
      </c>
      <c r="F181" s="19">
        <v>11.0</v>
      </c>
      <c r="G181" s="19">
        <v>27.0</v>
      </c>
      <c r="H181" s="19">
        <v>14.0</v>
      </c>
      <c r="I181" s="19">
        <v>16.0</v>
      </c>
      <c r="J181" s="19">
        <v>17.0</v>
      </c>
      <c r="K181" s="19">
        <v>14.0</v>
      </c>
      <c r="L181" s="19">
        <v>13.0</v>
      </c>
      <c r="M181" s="19">
        <v>20.0</v>
      </c>
      <c r="N181" s="19">
        <v>33.0</v>
      </c>
      <c r="O181" s="19">
        <v>16.0</v>
      </c>
      <c r="P181" s="19">
        <v>14.0</v>
      </c>
      <c r="Q181" s="19">
        <v>14.0</v>
      </c>
      <c r="R181" s="19">
        <v>14.0</v>
      </c>
      <c r="S181" s="19">
        <v>21.0</v>
      </c>
      <c r="T181" s="19">
        <v>9.0</v>
      </c>
      <c r="U181" s="19">
        <v>17.0</v>
      </c>
      <c r="V181" s="19">
        <v>14.0</v>
      </c>
      <c r="W181" s="19">
        <v>16.0</v>
      </c>
      <c r="X181" s="19">
        <v>17.0</v>
      </c>
      <c r="Y181" s="19">
        <v>15.0</v>
      </c>
      <c r="Z181" s="19">
        <v>8.0</v>
      </c>
      <c r="AA181" s="19">
        <v>17.0</v>
      </c>
      <c r="AB181" s="19">
        <v>21.0</v>
      </c>
      <c r="AC181" s="19">
        <v>6.0</v>
      </c>
      <c r="AD181" s="19">
        <v>9.0</v>
      </c>
      <c r="AE181" s="19">
        <v>10.0</v>
      </c>
      <c r="AF181" s="19">
        <v>19.0</v>
      </c>
      <c r="AG181" s="19">
        <v>16.0</v>
      </c>
      <c r="AH181" s="19">
        <v>10.0</v>
      </c>
      <c r="AI181" s="19">
        <v>7.0</v>
      </c>
      <c r="AJ181" s="19">
        <v>14.0</v>
      </c>
      <c r="AK181" s="19">
        <v>3.0</v>
      </c>
      <c r="AL181" s="13">
        <f t="shared" si="14"/>
        <v>483</v>
      </c>
      <c r="AM181" s="5"/>
      <c r="AN181" s="5"/>
    </row>
    <row r="182" ht="12.75" customHeight="1">
      <c r="A182" s="41"/>
      <c r="B182" s="60" t="s">
        <v>157</v>
      </c>
      <c r="C182" s="61" t="s">
        <v>158</v>
      </c>
      <c r="D182" s="16"/>
      <c r="E182" s="29">
        <f t="shared" ref="E182:AK182" si="34">SUM(E180:E181)</f>
        <v>202</v>
      </c>
      <c r="F182" s="29">
        <f t="shared" si="34"/>
        <v>195</v>
      </c>
      <c r="G182" s="29">
        <f t="shared" si="34"/>
        <v>240</v>
      </c>
      <c r="H182" s="29">
        <f t="shared" si="34"/>
        <v>252</v>
      </c>
      <c r="I182" s="29">
        <f t="shared" si="34"/>
        <v>168</v>
      </c>
      <c r="J182" s="29">
        <f t="shared" si="34"/>
        <v>208</v>
      </c>
      <c r="K182" s="29">
        <f t="shared" si="34"/>
        <v>187</v>
      </c>
      <c r="L182" s="29">
        <f t="shared" si="34"/>
        <v>201</v>
      </c>
      <c r="M182" s="29">
        <f t="shared" si="34"/>
        <v>192</v>
      </c>
      <c r="N182" s="29">
        <f t="shared" si="34"/>
        <v>225</v>
      </c>
      <c r="O182" s="29">
        <f t="shared" si="34"/>
        <v>159</v>
      </c>
      <c r="P182" s="29">
        <f t="shared" si="34"/>
        <v>221</v>
      </c>
      <c r="Q182" s="29">
        <f t="shared" si="34"/>
        <v>173</v>
      </c>
      <c r="R182" s="29">
        <f t="shared" si="34"/>
        <v>204</v>
      </c>
      <c r="S182" s="29">
        <f t="shared" si="34"/>
        <v>201</v>
      </c>
      <c r="T182" s="29">
        <f t="shared" si="34"/>
        <v>190</v>
      </c>
      <c r="U182" s="29">
        <f t="shared" si="34"/>
        <v>216</v>
      </c>
      <c r="V182" s="29">
        <f t="shared" si="34"/>
        <v>205</v>
      </c>
      <c r="W182" s="29">
        <f t="shared" si="34"/>
        <v>199</v>
      </c>
      <c r="X182" s="29">
        <f t="shared" si="34"/>
        <v>209</v>
      </c>
      <c r="Y182" s="29">
        <f t="shared" si="34"/>
        <v>209</v>
      </c>
      <c r="Z182" s="29">
        <f t="shared" si="34"/>
        <v>211</v>
      </c>
      <c r="AA182" s="29">
        <f t="shared" si="34"/>
        <v>219</v>
      </c>
      <c r="AB182" s="29">
        <f t="shared" si="34"/>
        <v>218</v>
      </c>
      <c r="AC182" s="29">
        <f t="shared" si="34"/>
        <v>219</v>
      </c>
      <c r="AD182" s="29">
        <f t="shared" si="34"/>
        <v>226</v>
      </c>
      <c r="AE182" s="29">
        <f t="shared" si="34"/>
        <v>237</v>
      </c>
      <c r="AF182" s="29">
        <f t="shared" si="34"/>
        <v>226</v>
      </c>
      <c r="AG182" s="29">
        <f t="shared" si="34"/>
        <v>219</v>
      </c>
      <c r="AH182" s="29">
        <f t="shared" si="34"/>
        <v>212</v>
      </c>
      <c r="AI182" s="29">
        <f t="shared" si="34"/>
        <v>225</v>
      </c>
      <c r="AJ182" s="29">
        <f t="shared" si="34"/>
        <v>221</v>
      </c>
      <c r="AK182" s="29">
        <f t="shared" si="34"/>
        <v>219</v>
      </c>
      <c r="AL182" s="13">
        <f t="shared" si="14"/>
        <v>6908</v>
      </c>
      <c r="AM182" s="5"/>
      <c r="AN182" s="5"/>
    </row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0">
    <mergeCell ref="B108:D108"/>
    <mergeCell ref="C110:D110"/>
    <mergeCell ref="B115:D115"/>
    <mergeCell ref="C117:D117"/>
    <mergeCell ref="B124:D124"/>
    <mergeCell ref="C126:D126"/>
    <mergeCell ref="B128:D128"/>
    <mergeCell ref="C130:D130"/>
    <mergeCell ref="B135:D135"/>
    <mergeCell ref="C137:D137"/>
    <mergeCell ref="B144:D144"/>
    <mergeCell ref="C146:D146"/>
    <mergeCell ref="B153:D153"/>
    <mergeCell ref="C155:D155"/>
    <mergeCell ref="A178:D178"/>
    <mergeCell ref="B179:D179"/>
    <mergeCell ref="C180:D180"/>
    <mergeCell ref="C181:D181"/>
    <mergeCell ref="C182:D182"/>
    <mergeCell ref="B157:D157"/>
    <mergeCell ref="C159:D159"/>
    <mergeCell ref="B163:D163"/>
    <mergeCell ref="C165:D165"/>
    <mergeCell ref="B172:D172"/>
    <mergeCell ref="C174:D174"/>
    <mergeCell ref="B177:D177"/>
    <mergeCell ref="B12:D12"/>
    <mergeCell ref="E12:AK12"/>
    <mergeCell ref="AL12:AL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4:D94"/>
    <mergeCell ref="C96:D96"/>
    <mergeCell ref="B99:D99"/>
    <mergeCell ref="C101:D101"/>
  </mergeCells>
  <conditionalFormatting sqref="E34:T34">
    <cfRule type="expression" dxfId="0" priority="1">
      <formula>E34&lt;&gt;E64</formula>
    </cfRule>
  </conditionalFormatting>
  <conditionalFormatting sqref="E14:AK15">
    <cfRule type="containsBlanks" dxfId="1" priority="2">
      <formula>LEN(TRIM(E14))=0</formula>
    </cfRule>
  </conditionalFormatting>
  <conditionalFormatting sqref="E19:AK20">
    <cfRule type="containsBlanks" dxfId="1" priority="3">
      <formula>LEN(TRIM(E19))=0</formula>
    </cfRule>
  </conditionalFormatting>
  <conditionalFormatting sqref="E22:AK23 E25:AK26 E33:AK33 E35:AK35 E39:AK40">
    <cfRule type="containsBlanks" dxfId="1" priority="4">
      <formula>LEN(TRIM(E22))=0</formula>
    </cfRule>
  </conditionalFormatting>
  <conditionalFormatting sqref="E30:AK30">
    <cfRule type="expression" dxfId="0" priority="5">
      <formula>E30&lt;&gt;E47</formula>
    </cfRule>
  </conditionalFormatting>
  <conditionalFormatting sqref="E30:AK30">
    <cfRule type="expression" dxfId="0" priority="6">
      <formula>E30&lt;&gt;E34</formula>
    </cfRule>
  </conditionalFormatting>
  <conditionalFormatting sqref="E34:AK34">
    <cfRule type="expression" dxfId="2" priority="7">
      <formula>E30&lt;&gt;E34</formula>
    </cfRule>
  </conditionalFormatting>
  <conditionalFormatting sqref="E34:AK34">
    <cfRule type="expression" dxfId="3" priority="8">
      <formula>E30=E34</formula>
    </cfRule>
  </conditionalFormatting>
  <conditionalFormatting sqref="E34:AK34">
    <cfRule type="expression" dxfId="0" priority="9">
      <formula>E34&lt;&gt;E30</formula>
    </cfRule>
  </conditionalFormatting>
  <conditionalFormatting sqref="E45:AK51">
    <cfRule type="containsBlanks" dxfId="1" priority="10">
      <formula>LEN(TRIM(E45))=0</formula>
    </cfRule>
  </conditionalFormatting>
  <conditionalFormatting sqref="E54:AK60">
    <cfRule type="containsBlanks" dxfId="1" priority="11">
      <formula>LEN(TRIM(E54))=0</formula>
    </cfRule>
  </conditionalFormatting>
  <conditionalFormatting sqref="E63:AK69">
    <cfRule type="containsBlanks" dxfId="1" priority="12">
      <formula>LEN(TRIM(E63))=0</formula>
    </cfRule>
  </conditionalFormatting>
  <conditionalFormatting sqref="E72:AK78">
    <cfRule type="containsBlanks" dxfId="1" priority="13">
      <formula>LEN(TRIM(E72))=0</formula>
    </cfRule>
  </conditionalFormatting>
  <conditionalFormatting sqref="E81:AK87">
    <cfRule type="containsBlanks" dxfId="1" priority="14">
      <formula>LEN(TRIM(E81))=0</formula>
    </cfRule>
  </conditionalFormatting>
  <conditionalFormatting sqref="E90:AK93">
    <cfRule type="containsBlanks" dxfId="1" priority="15">
      <formula>LEN(TRIM(E90))=0</formula>
    </cfRule>
  </conditionalFormatting>
  <conditionalFormatting sqref="E96:AK98">
    <cfRule type="containsBlanks" dxfId="1" priority="16">
      <formula>LEN(TRIM(E96))=0</formula>
    </cfRule>
  </conditionalFormatting>
  <conditionalFormatting sqref="E101:AK107">
    <cfRule type="containsBlanks" dxfId="1" priority="17">
      <formula>LEN(TRIM(E101))=0</formula>
    </cfRule>
  </conditionalFormatting>
  <conditionalFormatting sqref="E110:AK114">
    <cfRule type="containsBlanks" dxfId="1" priority="18">
      <formula>LEN(TRIM(E110))=0</formula>
    </cfRule>
  </conditionalFormatting>
  <conditionalFormatting sqref="E117:AK123">
    <cfRule type="containsBlanks" dxfId="1" priority="19">
      <formula>LEN(TRIM(E117))=0</formula>
    </cfRule>
  </conditionalFormatting>
  <conditionalFormatting sqref="E126:AK127">
    <cfRule type="containsBlanks" dxfId="1" priority="20">
      <formula>LEN(TRIM(E126))=0</formula>
    </cfRule>
  </conditionalFormatting>
  <conditionalFormatting sqref="E130:AK134">
    <cfRule type="containsBlanks" dxfId="1" priority="21">
      <formula>LEN(TRIM(E130))=0</formula>
    </cfRule>
  </conditionalFormatting>
  <conditionalFormatting sqref="E137:AK143">
    <cfRule type="containsBlanks" dxfId="1" priority="22">
      <formula>LEN(TRIM(E137))=0</formula>
    </cfRule>
  </conditionalFormatting>
  <conditionalFormatting sqref="E146:AK152">
    <cfRule type="containsBlanks" dxfId="1" priority="23">
      <formula>LEN(TRIM(E146))=0</formula>
    </cfRule>
  </conditionalFormatting>
  <conditionalFormatting sqref="E155:AK156">
    <cfRule type="containsBlanks" dxfId="1" priority="24">
      <formula>LEN(TRIM(E155))=0</formula>
    </cfRule>
  </conditionalFormatting>
  <conditionalFormatting sqref="E159:AK162">
    <cfRule type="containsBlanks" dxfId="1" priority="25">
      <formula>LEN(TRIM(E159))=0</formula>
    </cfRule>
  </conditionalFormatting>
  <conditionalFormatting sqref="E165:AK171">
    <cfRule type="containsBlanks" dxfId="1" priority="26">
      <formula>LEN(TRIM(E165))=0</formula>
    </cfRule>
  </conditionalFormatting>
  <conditionalFormatting sqref="E174:AK176">
    <cfRule type="containsBlanks" dxfId="1" priority="27">
      <formula>LEN(TRIM(E174))=0</formula>
    </cfRule>
  </conditionalFormatting>
  <conditionalFormatting sqref="E180:AK181">
    <cfRule type="containsBlanks" dxfId="1" priority="28">
      <formula>LEN(TRIM(E180))=0</formula>
    </cfRule>
  </conditionalFormatting>
  <conditionalFormatting sqref="E182:AK182">
    <cfRule type="expression" dxfId="0" priority="29">
      <formula>E182&lt;&gt;E30</formula>
    </cfRule>
  </conditionalFormatting>
  <conditionalFormatting sqref="E182:AK182">
    <cfRule type="expression" dxfId="0" priority="30">
      <formula>E182&lt;&gt;E34</formula>
    </cfRule>
  </conditionalFormatting>
  <conditionalFormatting sqref="U34:AK34">
    <cfRule type="expression" dxfId="0" priority="31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6" width="8.71"/>
    <col customWidth="1" min="17" max="17" width="13.29"/>
    <col customWidth="1" min="18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159</v>
      </c>
      <c r="D9" s="8" t="s">
        <v>201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6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161</v>
      </c>
      <c r="F13" s="13" t="s">
        <v>162</v>
      </c>
      <c r="G13" s="13" t="s">
        <v>163</v>
      </c>
      <c r="H13" s="13" t="s">
        <v>164</v>
      </c>
      <c r="I13" s="13" t="s">
        <v>165</v>
      </c>
      <c r="J13" s="13" t="s">
        <v>166</v>
      </c>
      <c r="K13" s="13" t="s">
        <v>167</v>
      </c>
      <c r="L13" s="13" t="s">
        <v>168</v>
      </c>
      <c r="M13" s="13" t="s">
        <v>169</v>
      </c>
      <c r="N13" s="13" t="s">
        <v>170</v>
      </c>
      <c r="O13" s="13" t="s">
        <v>171</v>
      </c>
      <c r="P13" s="13" t="s">
        <v>172</v>
      </c>
      <c r="Q13" s="36"/>
    </row>
    <row r="14" ht="12.75" customHeight="1">
      <c r="A14" s="18"/>
      <c r="B14" s="22" t="s">
        <v>11</v>
      </c>
      <c r="C14" s="23"/>
      <c r="D14" s="19" t="s">
        <v>12</v>
      </c>
      <c r="E14" s="19">
        <v>137.0</v>
      </c>
      <c r="F14" s="19">
        <v>152.0</v>
      </c>
      <c r="G14" s="19">
        <v>135.0</v>
      </c>
      <c r="H14" s="19">
        <v>160.0</v>
      </c>
      <c r="I14" s="19">
        <v>142.0</v>
      </c>
      <c r="J14" s="19">
        <v>143.0</v>
      </c>
      <c r="K14" s="19">
        <v>128.0</v>
      </c>
      <c r="L14" s="19">
        <v>122.0</v>
      </c>
      <c r="M14" s="19">
        <v>107.0</v>
      </c>
      <c r="N14" s="19">
        <v>132.0</v>
      </c>
      <c r="O14" s="19">
        <v>142.0</v>
      </c>
      <c r="P14" s="19">
        <v>144.0</v>
      </c>
      <c r="Q14" s="13">
        <f t="shared" ref="Q14:Q16" si="1">SUM(E14:P14)</f>
        <v>1644</v>
      </c>
    </row>
    <row r="15" ht="12.75" customHeight="1">
      <c r="A15" s="18"/>
      <c r="B15" s="26"/>
      <c r="C15" s="27"/>
      <c r="D15" s="19" t="s">
        <v>13</v>
      </c>
      <c r="E15" s="19">
        <v>149.0</v>
      </c>
      <c r="F15" s="19">
        <v>144.0</v>
      </c>
      <c r="G15" s="19">
        <v>156.0</v>
      </c>
      <c r="H15" s="19">
        <v>137.0</v>
      </c>
      <c r="I15" s="19">
        <v>149.0</v>
      </c>
      <c r="J15" s="19">
        <v>143.0</v>
      </c>
      <c r="K15" s="19">
        <v>117.0</v>
      </c>
      <c r="L15" s="19">
        <v>122.0</v>
      </c>
      <c r="M15" s="19">
        <v>98.0</v>
      </c>
      <c r="N15" s="19">
        <v>124.0</v>
      </c>
      <c r="O15" s="19">
        <v>147.0</v>
      </c>
      <c r="P15" s="19">
        <v>150.0</v>
      </c>
      <c r="Q15" s="13">
        <f t="shared" si="1"/>
        <v>1636</v>
      </c>
    </row>
    <row r="16" ht="12.75" customHeight="1">
      <c r="A16" s="25"/>
      <c r="B16" s="21"/>
      <c r="C16" s="28"/>
      <c r="D16" s="13" t="s">
        <v>14</v>
      </c>
      <c r="E16" s="13">
        <f t="shared" ref="E16:P16" si="2">SUM(E14:E15)</f>
        <v>286</v>
      </c>
      <c r="F16" s="13">
        <f t="shared" si="2"/>
        <v>296</v>
      </c>
      <c r="G16" s="13">
        <f t="shared" si="2"/>
        <v>291</v>
      </c>
      <c r="H16" s="13">
        <f t="shared" si="2"/>
        <v>297</v>
      </c>
      <c r="I16" s="13">
        <f t="shared" si="2"/>
        <v>291</v>
      </c>
      <c r="J16" s="13">
        <f t="shared" si="2"/>
        <v>286</v>
      </c>
      <c r="K16" s="13">
        <f t="shared" si="2"/>
        <v>245</v>
      </c>
      <c r="L16" s="13">
        <f t="shared" si="2"/>
        <v>244</v>
      </c>
      <c r="M16" s="13">
        <f t="shared" si="2"/>
        <v>205</v>
      </c>
      <c r="N16" s="13">
        <f t="shared" si="2"/>
        <v>256</v>
      </c>
      <c r="O16" s="13">
        <f t="shared" si="2"/>
        <v>289</v>
      </c>
      <c r="P16" s="13">
        <f t="shared" si="2"/>
        <v>294</v>
      </c>
      <c r="Q16" s="13">
        <f t="shared" si="1"/>
        <v>3280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5"/>
      <c r="O17" s="65"/>
      <c r="P17" s="65"/>
      <c r="Q17" s="6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5"/>
      <c r="O18" s="65"/>
      <c r="P18" s="65"/>
      <c r="Q18" s="6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81.0</v>
      </c>
      <c r="F19" s="19">
        <v>107.0</v>
      </c>
      <c r="G19" s="19">
        <v>100.0</v>
      </c>
      <c r="H19" s="19">
        <v>113.0</v>
      </c>
      <c r="I19" s="19">
        <v>121.0</v>
      </c>
      <c r="J19" s="19">
        <v>113.0</v>
      </c>
      <c r="K19" s="19">
        <v>103.0</v>
      </c>
      <c r="L19" s="19">
        <v>97.0</v>
      </c>
      <c r="M19" s="19">
        <v>75.0</v>
      </c>
      <c r="N19" s="19">
        <v>114.0</v>
      </c>
      <c r="O19" s="19">
        <v>116.0</v>
      </c>
      <c r="P19" s="19">
        <v>112.0</v>
      </c>
      <c r="Q19" s="13">
        <f t="shared" ref="Q19:Q30" si="3">SUM(E19:P19)</f>
        <v>1252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117.0</v>
      </c>
      <c r="G20" s="19">
        <v>124.0</v>
      </c>
      <c r="H20" s="19">
        <v>127.0</v>
      </c>
      <c r="I20" s="19">
        <v>121.0</v>
      </c>
      <c r="J20" s="19">
        <v>117.0</v>
      </c>
      <c r="K20" s="19">
        <v>94.0</v>
      </c>
      <c r="L20" s="19">
        <v>95.0</v>
      </c>
      <c r="M20" s="19">
        <v>71.0</v>
      </c>
      <c r="N20" s="19">
        <v>87.0</v>
      </c>
      <c r="O20" s="19">
        <v>127.0</v>
      </c>
      <c r="P20" s="19">
        <v>123.0</v>
      </c>
      <c r="Q20" s="13">
        <f t="shared" si="3"/>
        <v>1315</v>
      </c>
    </row>
    <row r="21" ht="12.75" customHeight="1">
      <c r="A21" s="35"/>
      <c r="B21" s="28"/>
      <c r="C21" s="36"/>
      <c r="D21" s="13" t="s">
        <v>14</v>
      </c>
      <c r="E21" s="13">
        <v>193.0</v>
      </c>
      <c r="F21" s="13">
        <v>224.0</v>
      </c>
      <c r="G21" s="13">
        <v>224.0</v>
      </c>
      <c r="H21" s="13">
        <v>240.0</v>
      </c>
      <c r="I21" s="13">
        <v>242.0</v>
      </c>
      <c r="J21" s="13">
        <v>230.0</v>
      </c>
      <c r="K21" s="13">
        <v>197.0</v>
      </c>
      <c r="L21" s="13">
        <v>192.0</v>
      </c>
      <c r="M21" s="13">
        <v>146.0</v>
      </c>
      <c r="N21" s="13">
        <v>201.0</v>
      </c>
      <c r="O21" s="13">
        <v>243.0</v>
      </c>
      <c r="P21" s="13">
        <v>235.0</v>
      </c>
      <c r="Q21" s="13">
        <f t="shared" si="3"/>
        <v>2567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2.0</v>
      </c>
      <c r="G23" s="19">
        <v>0.0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1.0</v>
      </c>
      <c r="Q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v>0.0</v>
      </c>
      <c r="F24" s="13">
        <v>3.0</v>
      </c>
      <c r="G24" s="13">
        <v>0.0</v>
      </c>
      <c r="H24" s="13">
        <v>0.0</v>
      </c>
      <c r="I24" s="13">
        <v>1.0</v>
      </c>
      <c r="J24" s="13">
        <v>0.0</v>
      </c>
      <c r="K24" s="13">
        <v>0.0</v>
      </c>
      <c r="L24" s="13">
        <v>0.0</v>
      </c>
      <c r="M24" s="13">
        <v>0.0</v>
      </c>
      <c r="N24" s="13">
        <v>0.0</v>
      </c>
      <c r="O24" s="13">
        <v>0.0</v>
      </c>
      <c r="P24" s="13">
        <v>1.0</v>
      </c>
      <c r="Q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0.0</v>
      </c>
      <c r="H25" s="19">
        <v>0.0</v>
      </c>
      <c r="I25" s="19">
        <v>1.0</v>
      </c>
      <c r="J25" s="19">
        <v>1.0</v>
      </c>
      <c r="K25" s="19">
        <v>1.0</v>
      </c>
      <c r="L25" s="19">
        <v>0.0</v>
      </c>
      <c r="M25" s="19">
        <v>1.0</v>
      </c>
      <c r="N25" s="19">
        <v>0.0</v>
      </c>
      <c r="O25" s="19">
        <v>0.0</v>
      </c>
      <c r="P25" s="19">
        <v>0.0</v>
      </c>
      <c r="Q25" s="13">
        <f t="shared" si="3"/>
        <v>6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2.0</v>
      </c>
      <c r="H26" s="19">
        <v>0.0</v>
      </c>
      <c r="I26" s="19">
        <v>2.0</v>
      </c>
      <c r="J26" s="19">
        <v>3.0</v>
      </c>
      <c r="K26" s="19">
        <v>2.0</v>
      </c>
      <c r="L26" s="19">
        <v>0.0</v>
      </c>
      <c r="M26" s="19">
        <v>2.0</v>
      </c>
      <c r="N26" s="19">
        <v>0.0</v>
      </c>
      <c r="O26" s="19">
        <v>0.0</v>
      </c>
      <c r="P26" s="19">
        <v>0.0</v>
      </c>
      <c r="Q26" s="13">
        <f t="shared" si="3"/>
        <v>14</v>
      </c>
    </row>
    <row r="27" ht="12.75" customHeight="1">
      <c r="A27" s="35"/>
      <c r="B27" s="28"/>
      <c r="C27" s="36"/>
      <c r="D27" s="13" t="s">
        <v>14</v>
      </c>
      <c r="E27" s="13">
        <v>3.0</v>
      </c>
      <c r="F27" s="13">
        <v>2.0</v>
      </c>
      <c r="G27" s="13">
        <v>2.0</v>
      </c>
      <c r="H27" s="13">
        <v>0.0</v>
      </c>
      <c r="I27" s="13">
        <v>3.0</v>
      </c>
      <c r="J27" s="13">
        <v>4.0</v>
      </c>
      <c r="K27" s="13">
        <v>3.0</v>
      </c>
      <c r="L27" s="13">
        <v>0.0</v>
      </c>
      <c r="M27" s="13">
        <v>3.0</v>
      </c>
      <c r="N27" s="13">
        <v>0.0</v>
      </c>
      <c r="O27" s="13">
        <v>0.0</v>
      </c>
      <c r="P27" s="13">
        <v>0.0</v>
      </c>
      <c r="Q27" s="13">
        <f t="shared" si="3"/>
        <v>20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82.0</v>
      </c>
      <c r="F28" s="13">
        <v>109.0</v>
      </c>
      <c r="G28" s="13">
        <v>100.0</v>
      </c>
      <c r="H28" s="13">
        <v>113.0</v>
      </c>
      <c r="I28" s="13">
        <v>122.0</v>
      </c>
      <c r="J28" s="13">
        <v>114.0</v>
      </c>
      <c r="K28" s="13">
        <v>104.0</v>
      </c>
      <c r="L28" s="13">
        <v>97.0</v>
      </c>
      <c r="M28" s="13">
        <v>76.0</v>
      </c>
      <c r="N28" s="13">
        <v>114.0</v>
      </c>
      <c r="O28" s="13">
        <v>116.0</v>
      </c>
      <c r="P28" s="13">
        <v>112.0</v>
      </c>
      <c r="Q28" s="13">
        <f t="shared" si="3"/>
        <v>1259</v>
      </c>
    </row>
    <row r="29" ht="12.75" customHeight="1">
      <c r="A29" s="35"/>
      <c r="B29" s="27"/>
      <c r="C29" s="34"/>
      <c r="D29" s="13" t="s">
        <v>13</v>
      </c>
      <c r="E29" s="13">
        <v>114.0</v>
      </c>
      <c r="F29" s="13">
        <v>120.0</v>
      </c>
      <c r="G29" s="13">
        <v>126.0</v>
      </c>
      <c r="H29" s="13">
        <v>127.0</v>
      </c>
      <c r="I29" s="13">
        <v>124.0</v>
      </c>
      <c r="J29" s="13">
        <v>120.0</v>
      </c>
      <c r="K29" s="13">
        <v>96.0</v>
      </c>
      <c r="L29" s="13">
        <v>95.0</v>
      </c>
      <c r="M29" s="13">
        <v>73.0</v>
      </c>
      <c r="N29" s="13">
        <v>87.0</v>
      </c>
      <c r="O29" s="13">
        <v>127.0</v>
      </c>
      <c r="P29" s="13">
        <v>124.0</v>
      </c>
      <c r="Q29" s="13">
        <f t="shared" si="3"/>
        <v>1333</v>
      </c>
    </row>
    <row r="30" ht="12.75" customHeight="1">
      <c r="A30" s="35"/>
      <c r="B30" s="28"/>
      <c r="C30" s="36"/>
      <c r="D30" s="13" t="s">
        <v>14</v>
      </c>
      <c r="E30" s="13">
        <f t="shared" ref="E30:P30" si="4">SUM(E28:E29)</f>
        <v>196</v>
      </c>
      <c r="F30" s="13">
        <f t="shared" si="4"/>
        <v>229</v>
      </c>
      <c r="G30" s="13">
        <f t="shared" si="4"/>
        <v>226</v>
      </c>
      <c r="H30" s="13">
        <f t="shared" si="4"/>
        <v>240</v>
      </c>
      <c r="I30" s="13">
        <f t="shared" si="4"/>
        <v>246</v>
      </c>
      <c r="J30" s="13">
        <f t="shared" si="4"/>
        <v>234</v>
      </c>
      <c r="K30" s="13">
        <f t="shared" si="4"/>
        <v>200</v>
      </c>
      <c r="L30" s="13">
        <f t="shared" si="4"/>
        <v>192</v>
      </c>
      <c r="M30" s="13">
        <f t="shared" si="4"/>
        <v>149</v>
      </c>
      <c r="N30" s="13">
        <f t="shared" si="4"/>
        <v>201</v>
      </c>
      <c r="O30" s="13">
        <f t="shared" si="4"/>
        <v>243</v>
      </c>
      <c r="P30" s="13">
        <f t="shared" si="4"/>
        <v>236</v>
      </c>
      <c r="Q30" s="13">
        <f t="shared" si="3"/>
        <v>2592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5"/>
      <c r="O31" s="65"/>
      <c r="P31" s="65"/>
      <c r="Q31" s="6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7"/>
      <c r="O32" s="67"/>
      <c r="P32" s="67"/>
      <c r="Q32" s="66"/>
    </row>
    <row r="33" ht="12.75" customHeight="1">
      <c r="A33" s="19">
        <v>1.0</v>
      </c>
      <c r="B33" s="20" t="s">
        <v>27</v>
      </c>
      <c r="C33" s="15"/>
      <c r="D33" s="16"/>
      <c r="E33" s="19">
        <v>300.0</v>
      </c>
      <c r="F33" s="19">
        <v>302.0</v>
      </c>
      <c r="G33" s="19">
        <v>298.0</v>
      </c>
      <c r="H33" s="19">
        <v>302.0</v>
      </c>
      <c r="I33" s="19">
        <v>295.0</v>
      </c>
      <c r="J33" s="19">
        <v>292.0</v>
      </c>
      <c r="K33" s="19">
        <v>250.0</v>
      </c>
      <c r="L33" s="19">
        <v>248.0</v>
      </c>
      <c r="M33" s="19">
        <v>210.0</v>
      </c>
      <c r="N33" s="19">
        <v>263.0</v>
      </c>
      <c r="O33" s="19">
        <v>293.0</v>
      </c>
      <c r="P33" s="19">
        <v>300.0</v>
      </c>
      <c r="Q33" s="13">
        <f t="shared" ref="Q33:Q36" si="5">SUM(E33:P33)</f>
        <v>3353</v>
      </c>
    </row>
    <row r="34" ht="12.75" customHeight="1">
      <c r="A34" s="19">
        <v>2.0</v>
      </c>
      <c r="B34" s="20" t="s">
        <v>28</v>
      </c>
      <c r="C34" s="15"/>
      <c r="D34" s="16"/>
      <c r="E34" s="13">
        <v>196.0</v>
      </c>
      <c r="F34" s="13">
        <v>229.0</v>
      </c>
      <c r="G34" s="13">
        <v>226.0</v>
      </c>
      <c r="H34" s="13">
        <v>240.0</v>
      </c>
      <c r="I34" s="13">
        <v>246.0</v>
      </c>
      <c r="J34" s="13">
        <v>234.0</v>
      </c>
      <c r="K34" s="13">
        <v>200.0</v>
      </c>
      <c r="L34" s="13">
        <v>192.0</v>
      </c>
      <c r="M34" s="13">
        <v>149.0</v>
      </c>
      <c r="N34" s="13">
        <v>201.0</v>
      </c>
      <c r="O34" s="13">
        <v>243.0</v>
      </c>
      <c r="P34" s="13">
        <v>236.0</v>
      </c>
      <c r="Q34" s="13">
        <f t="shared" si="5"/>
        <v>2592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2.0</v>
      </c>
      <c r="G35" s="19">
        <v>0.0</v>
      </c>
      <c r="H35" s="19">
        <v>0.0</v>
      </c>
      <c r="I35" s="19">
        <v>2.0</v>
      </c>
      <c r="J35" s="19">
        <v>0.0</v>
      </c>
      <c r="K35" s="19">
        <v>1.0</v>
      </c>
      <c r="L35" s="19">
        <v>0.0</v>
      </c>
      <c r="M35" s="19">
        <v>2.0</v>
      </c>
      <c r="N35" s="19">
        <v>0.0</v>
      </c>
      <c r="O35" s="19">
        <v>0.0</v>
      </c>
      <c r="P35" s="19">
        <v>2.0</v>
      </c>
      <c r="Q35" s="13">
        <f t="shared" si="5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v>103.0</v>
      </c>
      <c r="F36" s="13">
        <v>71.0</v>
      </c>
      <c r="G36" s="13">
        <v>72.0</v>
      </c>
      <c r="H36" s="13">
        <v>62.0</v>
      </c>
      <c r="I36" s="13">
        <v>47.0</v>
      </c>
      <c r="J36" s="13">
        <v>58.0</v>
      </c>
      <c r="K36" s="13">
        <v>49.0</v>
      </c>
      <c r="L36" s="13">
        <v>56.0</v>
      </c>
      <c r="M36" s="13">
        <v>59.0</v>
      </c>
      <c r="N36" s="13">
        <v>62.0</v>
      </c>
      <c r="O36" s="13">
        <v>50.0</v>
      </c>
      <c r="P36" s="13">
        <v>62.0</v>
      </c>
      <c r="Q36" s="13">
        <f t="shared" si="5"/>
        <v>751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5"/>
      <c r="O37" s="68"/>
      <c r="P37" s="68"/>
      <c r="Q37" s="6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7"/>
      <c r="O38" s="67"/>
      <c r="P38" s="67"/>
      <c r="Q38" s="66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3">
        <f t="shared" ref="Q39:Q41" si="6">SUM(E39:P39)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3">
        <f t="shared" si="6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P41" si="7">SUM(E39:E40)</f>
        <v>0</v>
      </c>
      <c r="F41" s="13">
        <f t="shared" si="7"/>
        <v>0</v>
      </c>
      <c r="G41" s="13">
        <f t="shared" si="7"/>
        <v>0</v>
      </c>
      <c r="H41" s="13">
        <f t="shared" si="7"/>
        <v>0</v>
      </c>
      <c r="I41" s="13">
        <f t="shared" si="7"/>
        <v>0</v>
      </c>
      <c r="J41" s="13">
        <f t="shared" si="7"/>
        <v>0</v>
      </c>
      <c r="K41" s="13">
        <f t="shared" si="7"/>
        <v>0</v>
      </c>
      <c r="L41" s="13">
        <f t="shared" si="7"/>
        <v>0</v>
      </c>
      <c r="M41" s="13">
        <f t="shared" si="7"/>
        <v>0</v>
      </c>
      <c r="N41" s="13">
        <f t="shared" si="7"/>
        <v>0</v>
      </c>
      <c r="O41" s="13">
        <f t="shared" si="7"/>
        <v>0</v>
      </c>
      <c r="P41" s="13">
        <f t="shared" si="7"/>
        <v>0</v>
      </c>
      <c r="Q41" s="13">
        <f t="shared" si="6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5"/>
      <c r="O42" s="19"/>
      <c r="P42" s="65"/>
      <c r="Q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7"/>
      <c r="O43" s="13"/>
      <c r="P43" s="67"/>
      <c r="Q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5"/>
      <c r="O44" s="19"/>
      <c r="P44" s="65"/>
      <c r="Q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12.0</v>
      </c>
      <c r="F45" s="19">
        <v>0.0</v>
      </c>
      <c r="G45" s="19">
        <v>10.0</v>
      </c>
      <c r="H45" s="19">
        <v>3.0</v>
      </c>
      <c r="I45" s="19">
        <v>6.0</v>
      </c>
      <c r="J45" s="19">
        <v>1.0</v>
      </c>
      <c r="K45" s="19">
        <v>5.0</v>
      </c>
      <c r="L45" s="19">
        <v>1.0</v>
      </c>
      <c r="M45" s="19">
        <v>1.0</v>
      </c>
      <c r="N45" s="19">
        <v>1.0</v>
      </c>
      <c r="O45" s="19">
        <v>1.0</v>
      </c>
      <c r="P45" s="19">
        <v>0.0</v>
      </c>
      <c r="Q45" s="13">
        <v>41.0</v>
      </c>
    </row>
    <row r="46" ht="12.75" customHeight="1">
      <c r="A46" s="30" t="s">
        <v>39</v>
      </c>
      <c r="B46" s="49">
        <v>1.0</v>
      </c>
      <c r="C46" s="50" t="s">
        <v>40</v>
      </c>
      <c r="D46" s="51"/>
      <c r="E46" s="19">
        <v>2.0</v>
      </c>
      <c r="F46" s="19">
        <v>4.0</v>
      </c>
      <c r="G46" s="19">
        <v>4.0</v>
      </c>
      <c r="H46" s="19">
        <v>1.0</v>
      </c>
      <c r="I46" s="19">
        <v>4.0</v>
      </c>
      <c r="J46" s="19">
        <v>6.0</v>
      </c>
      <c r="K46" s="19">
        <v>2.0</v>
      </c>
      <c r="L46" s="19">
        <v>1.0</v>
      </c>
      <c r="M46" s="19">
        <v>3.0</v>
      </c>
      <c r="N46" s="19">
        <v>4.0</v>
      </c>
      <c r="O46" s="19">
        <v>3.0</v>
      </c>
      <c r="P46" s="19">
        <v>7.0</v>
      </c>
      <c r="Q46" s="13">
        <v>41.0</v>
      </c>
    </row>
    <row r="47" ht="12.75" customHeight="1">
      <c r="A47" s="18"/>
      <c r="B47" s="49">
        <v>2.0</v>
      </c>
      <c r="C47" s="50" t="s">
        <v>41</v>
      </c>
      <c r="D47" s="51"/>
      <c r="E47" s="19">
        <v>16.0</v>
      </c>
      <c r="F47" s="19">
        <v>5.0</v>
      </c>
      <c r="G47" s="19">
        <v>20.0</v>
      </c>
      <c r="H47" s="19">
        <v>19.0</v>
      </c>
      <c r="I47" s="19">
        <v>44.0</v>
      </c>
      <c r="J47" s="19">
        <v>29.0</v>
      </c>
      <c r="K47" s="19">
        <v>4.0</v>
      </c>
      <c r="L47" s="19">
        <v>4.0</v>
      </c>
      <c r="M47" s="19">
        <v>2.0</v>
      </c>
      <c r="N47" s="19">
        <v>1.0</v>
      </c>
      <c r="O47" s="19">
        <v>5.0</v>
      </c>
      <c r="P47" s="19">
        <v>24.0</v>
      </c>
      <c r="Q47" s="13">
        <v>173.0</v>
      </c>
    </row>
    <row r="48" ht="12.75" customHeight="1">
      <c r="A48" s="18"/>
      <c r="B48" s="49">
        <v>3.0</v>
      </c>
      <c r="C48" s="50" t="s">
        <v>42</v>
      </c>
      <c r="D48" s="51"/>
      <c r="E48" s="19">
        <v>0.0</v>
      </c>
      <c r="F48" s="19">
        <v>1.0</v>
      </c>
      <c r="G48" s="19">
        <v>0.0</v>
      </c>
      <c r="H48" s="19">
        <v>0.0</v>
      </c>
      <c r="I48" s="19">
        <v>1.0</v>
      </c>
      <c r="J48" s="19">
        <v>0.0</v>
      </c>
      <c r="K48" s="19">
        <v>0.0</v>
      </c>
      <c r="L48" s="19">
        <v>0.0</v>
      </c>
      <c r="M48" s="19">
        <v>0.0</v>
      </c>
      <c r="N48" s="19">
        <v>0.0</v>
      </c>
      <c r="O48" s="19">
        <v>0.0</v>
      </c>
      <c r="P48" s="19">
        <v>0.0</v>
      </c>
      <c r="Q48" s="13">
        <v>2.0</v>
      </c>
    </row>
    <row r="49" ht="12.75" customHeight="1">
      <c r="A49" s="18"/>
      <c r="B49" s="49">
        <v>4.0</v>
      </c>
      <c r="C49" s="50" t="s">
        <v>43</v>
      </c>
      <c r="D49" s="51"/>
      <c r="E49" s="19">
        <v>1.0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0.0</v>
      </c>
      <c r="N49" s="19">
        <v>0.0</v>
      </c>
      <c r="O49" s="19">
        <v>0.0</v>
      </c>
      <c r="P49" s="19">
        <v>0.0</v>
      </c>
      <c r="Q49" s="13">
        <v>1.0</v>
      </c>
    </row>
    <row r="50" ht="12.75" customHeight="1">
      <c r="A50" s="18"/>
      <c r="B50" s="49">
        <v>5.0</v>
      </c>
      <c r="C50" s="50" t="s">
        <v>44</v>
      </c>
      <c r="D50" s="51"/>
      <c r="E50" s="19">
        <v>0.0</v>
      </c>
      <c r="F50" s="19">
        <v>0.0</v>
      </c>
      <c r="G50" s="19">
        <v>0.0</v>
      </c>
      <c r="H50" s="19">
        <v>0.0</v>
      </c>
      <c r="I50" s="19">
        <v>1.0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3">
        <v>1.0</v>
      </c>
    </row>
    <row r="51" ht="12.75" customHeight="1">
      <c r="A51" s="18"/>
      <c r="B51" s="49">
        <v>6.0</v>
      </c>
      <c r="C51" s="50" t="s">
        <v>45</v>
      </c>
      <c r="D51" s="51"/>
      <c r="E51" s="19">
        <v>5.0</v>
      </c>
      <c r="F51" s="19">
        <v>12.0</v>
      </c>
      <c r="G51" s="19">
        <v>8.0</v>
      </c>
      <c r="H51" s="19">
        <v>2.0</v>
      </c>
      <c r="I51" s="19">
        <v>12.0</v>
      </c>
      <c r="J51" s="19">
        <v>0.0</v>
      </c>
      <c r="K51" s="19">
        <v>0.0</v>
      </c>
      <c r="L51" s="19">
        <v>1.0</v>
      </c>
      <c r="M51" s="19">
        <v>0.0</v>
      </c>
      <c r="N51" s="19">
        <v>5.0</v>
      </c>
      <c r="O51" s="19">
        <v>1.0</v>
      </c>
      <c r="P51" s="19">
        <v>9.0</v>
      </c>
      <c r="Q51" s="13">
        <v>55.0</v>
      </c>
    </row>
    <row r="52" ht="12.75" customHeight="1">
      <c r="A52" s="19" t="s">
        <v>15</v>
      </c>
      <c r="B52" s="47" t="s">
        <v>46</v>
      </c>
      <c r="C52" s="15"/>
      <c r="D52" s="16"/>
      <c r="E52" s="56">
        <f t="shared" ref="E52:P52" si="8">SUM(E45:E51)</f>
        <v>36</v>
      </c>
      <c r="F52" s="56">
        <f t="shared" si="8"/>
        <v>22</v>
      </c>
      <c r="G52" s="56">
        <f t="shared" si="8"/>
        <v>42</v>
      </c>
      <c r="H52" s="56">
        <f t="shared" si="8"/>
        <v>25</v>
      </c>
      <c r="I52" s="56">
        <f t="shared" si="8"/>
        <v>68</v>
      </c>
      <c r="J52" s="56">
        <f t="shared" si="8"/>
        <v>36</v>
      </c>
      <c r="K52" s="56">
        <f t="shared" si="8"/>
        <v>11</v>
      </c>
      <c r="L52" s="56">
        <f t="shared" si="8"/>
        <v>7</v>
      </c>
      <c r="M52" s="56">
        <f t="shared" si="8"/>
        <v>6</v>
      </c>
      <c r="N52" s="56">
        <f t="shared" si="8"/>
        <v>11</v>
      </c>
      <c r="O52" s="56">
        <f t="shared" si="8"/>
        <v>10</v>
      </c>
      <c r="P52" s="56">
        <f t="shared" si="8"/>
        <v>40</v>
      </c>
      <c r="Q52" s="13">
        <f>SUM(E52:P52)</f>
        <v>314</v>
      </c>
    </row>
    <row r="53" ht="12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13"/>
    </row>
    <row r="54" ht="12.75" customHeight="1">
      <c r="A54" s="30" t="s">
        <v>37</v>
      </c>
      <c r="B54" s="47" t="s">
        <v>19</v>
      </c>
      <c r="C54" s="48" t="s">
        <v>47</v>
      </c>
      <c r="D54" s="16"/>
      <c r="E54" s="19">
        <v>10.0</v>
      </c>
      <c r="F54" s="19">
        <v>7.0</v>
      </c>
      <c r="G54" s="19">
        <v>13.0</v>
      </c>
      <c r="H54" s="19">
        <v>8.0</v>
      </c>
      <c r="I54" s="19">
        <v>11.0</v>
      </c>
      <c r="J54" s="19">
        <v>5.0</v>
      </c>
      <c r="K54" s="19">
        <v>3.0</v>
      </c>
      <c r="L54" s="19">
        <v>4.0</v>
      </c>
      <c r="M54" s="19">
        <v>2.0</v>
      </c>
      <c r="N54" s="19">
        <v>2.0</v>
      </c>
      <c r="O54" s="19">
        <v>4.0</v>
      </c>
      <c r="P54" s="19">
        <v>3.0</v>
      </c>
      <c r="Q54" s="13">
        <v>72.0</v>
      </c>
    </row>
    <row r="55" ht="15.0" customHeight="1">
      <c r="A55" s="30" t="s">
        <v>39</v>
      </c>
      <c r="B55" s="49">
        <v>1.0</v>
      </c>
      <c r="C55" s="50" t="s">
        <v>48</v>
      </c>
      <c r="D55" s="51"/>
      <c r="E55" s="19">
        <v>1.0</v>
      </c>
      <c r="F55" s="19">
        <v>4.0</v>
      </c>
      <c r="G55" s="19">
        <v>12.0</v>
      </c>
      <c r="H55" s="19">
        <v>6.0</v>
      </c>
      <c r="I55" s="19">
        <v>11.0</v>
      </c>
      <c r="J55" s="19">
        <v>3.0</v>
      </c>
      <c r="K55" s="19">
        <v>1.0</v>
      </c>
      <c r="L55" s="19">
        <v>5.0</v>
      </c>
      <c r="M55" s="19">
        <v>1.0</v>
      </c>
      <c r="N55" s="19">
        <v>0.0</v>
      </c>
      <c r="O55" s="19">
        <v>6.0</v>
      </c>
      <c r="P55" s="19">
        <v>0.0</v>
      </c>
      <c r="Q55" s="13">
        <v>50.0</v>
      </c>
    </row>
    <row r="56" ht="12.75" customHeight="1">
      <c r="A56" s="18"/>
      <c r="B56" s="49">
        <v>2.0</v>
      </c>
      <c r="C56" s="50" t="s">
        <v>49</v>
      </c>
      <c r="D56" s="51"/>
      <c r="E56" s="19">
        <v>4.0</v>
      </c>
      <c r="F56" s="19">
        <v>3.0</v>
      </c>
      <c r="G56" s="19">
        <v>2.0</v>
      </c>
      <c r="H56" s="19">
        <v>1.0</v>
      </c>
      <c r="I56" s="19">
        <v>4.0</v>
      </c>
      <c r="J56" s="19">
        <v>1.0</v>
      </c>
      <c r="K56" s="19">
        <v>0.0</v>
      </c>
      <c r="L56" s="19">
        <v>1.0</v>
      </c>
      <c r="M56" s="19">
        <v>0.0</v>
      </c>
      <c r="N56" s="19">
        <v>1.0</v>
      </c>
      <c r="O56" s="19">
        <v>2.0</v>
      </c>
      <c r="P56" s="19">
        <v>0.0</v>
      </c>
      <c r="Q56" s="13">
        <v>19.0</v>
      </c>
    </row>
    <row r="57" ht="12.75" customHeight="1">
      <c r="A57" s="18"/>
      <c r="B57" s="49">
        <v>3.0</v>
      </c>
      <c r="C57" s="50" t="s">
        <v>50</v>
      </c>
      <c r="D57" s="51"/>
      <c r="E57" s="19">
        <v>1.0</v>
      </c>
      <c r="F57" s="19">
        <v>2.0</v>
      </c>
      <c r="G57" s="19">
        <v>1.0</v>
      </c>
      <c r="H57" s="19">
        <v>1.0</v>
      </c>
      <c r="I57" s="19">
        <v>1.0</v>
      </c>
      <c r="J57" s="19">
        <v>1.0</v>
      </c>
      <c r="K57" s="19">
        <v>0.0</v>
      </c>
      <c r="L57" s="19">
        <v>1.0</v>
      </c>
      <c r="M57" s="19">
        <v>0.0</v>
      </c>
      <c r="N57" s="19">
        <v>0.0</v>
      </c>
      <c r="O57" s="19">
        <v>1.0</v>
      </c>
      <c r="P57" s="19">
        <v>0.0</v>
      </c>
      <c r="Q57" s="13">
        <v>9.0</v>
      </c>
    </row>
    <row r="58" ht="12.75" customHeight="1">
      <c r="A58" s="18"/>
      <c r="B58" s="49">
        <v>4.0</v>
      </c>
      <c r="C58" s="50" t="s">
        <v>51</v>
      </c>
      <c r="D58" s="51"/>
      <c r="E58" s="19">
        <v>0.0</v>
      </c>
      <c r="F58" s="19">
        <v>0.0</v>
      </c>
      <c r="G58" s="19">
        <v>3.0</v>
      </c>
      <c r="H58" s="19">
        <v>0.0</v>
      </c>
      <c r="I58" s="19">
        <v>0.0</v>
      </c>
      <c r="J58" s="19">
        <v>0.0</v>
      </c>
      <c r="K58" s="19">
        <v>0.0</v>
      </c>
      <c r="L58" s="19">
        <v>0.0</v>
      </c>
      <c r="M58" s="19">
        <v>1.0</v>
      </c>
      <c r="N58" s="19">
        <v>0.0</v>
      </c>
      <c r="O58" s="19">
        <v>0.0</v>
      </c>
      <c r="P58" s="19">
        <v>1.0</v>
      </c>
      <c r="Q58" s="13">
        <v>5.0</v>
      </c>
    </row>
    <row r="59" ht="12.75" customHeight="1">
      <c r="A59" s="18"/>
      <c r="B59" s="49">
        <v>5.0</v>
      </c>
      <c r="C59" s="50" t="s">
        <v>52</v>
      </c>
      <c r="D59" s="51"/>
      <c r="E59" s="19">
        <v>0.0</v>
      </c>
      <c r="F59" s="19">
        <v>1.0</v>
      </c>
      <c r="G59" s="19">
        <v>0.0</v>
      </c>
      <c r="H59" s="19">
        <v>0.0</v>
      </c>
      <c r="I59" s="19">
        <v>1.0</v>
      </c>
      <c r="J59" s="19">
        <v>0.0</v>
      </c>
      <c r="K59" s="19">
        <v>0.0</v>
      </c>
      <c r="L59" s="19">
        <v>0.0</v>
      </c>
      <c r="M59" s="19">
        <v>0.0</v>
      </c>
      <c r="N59" s="19">
        <v>0.0</v>
      </c>
      <c r="O59" s="19">
        <v>0.0</v>
      </c>
      <c r="P59" s="19">
        <v>0.0</v>
      </c>
      <c r="Q59" s="13">
        <v>2.0</v>
      </c>
    </row>
    <row r="60" ht="12.75" customHeight="1">
      <c r="A60" s="18"/>
      <c r="B60" s="49">
        <v>6.0</v>
      </c>
      <c r="C60" s="50" t="s">
        <v>53</v>
      </c>
      <c r="D60" s="51"/>
      <c r="E60" s="19">
        <v>0.0</v>
      </c>
      <c r="F60" s="19">
        <v>0.0</v>
      </c>
      <c r="G60" s="19">
        <v>0.0</v>
      </c>
      <c r="H60" s="19">
        <v>2.0</v>
      </c>
      <c r="I60" s="19">
        <v>0.0</v>
      </c>
      <c r="J60" s="19">
        <v>1.0</v>
      </c>
      <c r="K60" s="19">
        <v>0.0</v>
      </c>
      <c r="L60" s="19">
        <v>2.0</v>
      </c>
      <c r="M60" s="19">
        <v>0.0</v>
      </c>
      <c r="N60" s="19">
        <v>0.0</v>
      </c>
      <c r="O60" s="19">
        <v>0.0</v>
      </c>
      <c r="P60" s="19">
        <v>0.0</v>
      </c>
      <c r="Q60" s="13">
        <v>5.0</v>
      </c>
    </row>
    <row r="61" ht="12.75" customHeight="1">
      <c r="A61" s="19" t="s">
        <v>15</v>
      </c>
      <c r="B61" s="47" t="s">
        <v>46</v>
      </c>
      <c r="C61" s="15"/>
      <c r="D61" s="16"/>
      <c r="E61" s="56">
        <f t="shared" ref="E61:P61" si="9">SUM(E54:E60)</f>
        <v>16</v>
      </c>
      <c r="F61" s="56">
        <f t="shared" si="9"/>
        <v>17</v>
      </c>
      <c r="G61" s="56">
        <f t="shared" si="9"/>
        <v>31</v>
      </c>
      <c r="H61" s="56">
        <f t="shared" si="9"/>
        <v>18</v>
      </c>
      <c r="I61" s="56">
        <f t="shared" si="9"/>
        <v>28</v>
      </c>
      <c r="J61" s="56">
        <f t="shared" si="9"/>
        <v>11</v>
      </c>
      <c r="K61" s="56">
        <f t="shared" si="9"/>
        <v>4</v>
      </c>
      <c r="L61" s="56">
        <f t="shared" si="9"/>
        <v>13</v>
      </c>
      <c r="M61" s="56">
        <f t="shared" si="9"/>
        <v>4</v>
      </c>
      <c r="N61" s="56">
        <f t="shared" si="9"/>
        <v>3</v>
      </c>
      <c r="O61" s="56">
        <f t="shared" si="9"/>
        <v>13</v>
      </c>
      <c r="P61" s="56">
        <f t="shared" si="9"/>
        <v>4</v>
      </c>
      <c r="Q61" s="13">
        <f>SUM(E61:P61)</f>
        <v>162</v>
      </c>
    </row>
    <row r="62" ht="12.75" customHeight="1">
      <c r="A62" s="57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13"/>
    </row>
    <row r="63" ht="12.75" customHeight="1">
      <c r="A63" s="30" t="s">
        <v>37</v>
      </c>
      <c r="B63" s="47" t="s">
        <v>21</v>
      </c>
      <c r="C63" s="48" t="s">
        <v>54</v>
      </c>
      <c r="D63" s="16"/>
      <c r="E63" s="19">
        <v>0.0</v>
      </c>
      <c r="F63" s="19">
        <v>6.0</v>
      </c>
      <c r="G63" s="19">
        <v>5.0</v>
      </c>
      <c r="H63" s="19">
        <v>3.0</v>
      </c>
      <c r="I63" s="19">
        <v>4.0</v>
      </c>
      <c r="J63" s="19">
        <v>5.0</v>
      </c>
      <c r="K63" s="19">
        <v>2.0</v>
      </c>
      <c r="L63" s="19">
        <v>7.0</v>
      </c>
      <c r="M63" s="19">
        <v>2.0</v>
      </c>
      <c r="N63" s="19">
        <v>8.0</v>
      </c>
      <c r="O63" s="19">
        <v>4.0</v>
      </c>
      <c r="P63" s="19">
        <v>9.0</v>
      </c>
      <c r="Q63" s="13">
        <v>55.0</v>
      </c>
    </row>
    <row r="64" ht="12.75" customHeight="1">
      <c r="A64" s="30" t="s">
        <v>39</v>
      </c>
      <c r="B64" s="49">
        <v>1.0</v>
      </c>
      <c r="C64" s="50" t="s">
        <v>55</v>
      </c>
      <c r="D64" s="51"/>
      <c r="E64" s="19">
        <v>2.0</v>
      </c>
      <c r="F64" s="19">
        <v>2.0</v>
      </c>
      <c r="G64" s="19">
        <v>3.0</v>
      </c>
      <c r="H64" s="19">
        <v>5.0</v>
      </c>
      <c r="I64" s="19">
        <v>3.0</v>
      </c>
      <c r="J64" s="19">
        <v>3.0</v>
      </c>
      <c r="K64" s="19">
        <v>1.0</v>
      </c>
      <c r="L64" s="19">
        <v>0.0</v>
      </c>
      <c r="M64" s="19">
        <v>1.0</v>
      </c>
      <c r="N64" s="19">
        <v>0.0</v>
      </c>
      <c r="O64" s="19">
        <v>0.0</v>
      </c>
      <c r="P64" s="19">
        <v>1.0</v>
      </c>
      <c r="Q64" s="13">
        <v>21.0</v>
      </c>
    </row>
    <row r="65" ht="12.75" customHeight="1">
      <c r="A65" s="18"/>
      <c r="B65" s="49">
        <v>2.0</v>
      </c>
      <c r="C65" s="50" t="s">
        <v>56</v>
      </c>
      <c r="D65" s="51"/>
      <c r="E65" s="19">
        <v>1.0</v>
      </c>
      <c r="F65" s="19">
        <v>1.0</v>
      </c>
      <c r="G65" s="19">
        <v>1.0</v>
      </c>
      <c r="H65" s="19">
        <v>2.0</v>
      </c>
      <c r="I65" s="19">
        <v>5.0</v>
      </c>
      <c r="J65" s="19">
        <v>0.0</v>
      </c>
      <c r="K65" s="19">
        <v>0.0</v>
      </c>
      <c r="L65" s="19">
        <v>0.0</v>
      </c>
      <c r="M65" s="19">
        <v>0.0</v>
      </c>
      <c r="N65" s="19">
        <v>3.0</v>
      </c>
      <c r="O65" s="19">
        <v>2.0</v>
      </c>
      <c r="P65" s="19">
        <v>2.0</v>
      </c>
      <c r="Q65" s="13">
        <v>17.0</v>
      </c>
    </row>
    <row r="66" ht="12.75" customHeight="1">
      <c r="A66" s="18"/>
      <c r="B66" s="49">
        <v>3.0</v>
      </c>
      <c r="C66" s="50" t="s">
        <v>57</v>
      </c>
      <c r="D66" s="51"/>
      <c r="E66" s="19">
        <v>15.0</v>
      </c>
      <c r="F66" s="19">
        <v>11.0</v>
      </c>
      <c r="G66" s="19">
        <v>29.0</v>
      </c>
      <c r="H66" s="19">
        <v>37.0</v>
      </c>
      <c r="I66" s="19">
        <v>22.0</v>
      </c>
      <c r="J66" s="19">
        <v>7.0</v>
      </c>
      <c r="K66" s="19">
        <v>4.0</v>
      </c>
      <c r="L66" s="19">
        <v>23.0</v>
      </c>
      <c r="M66" s="19">
        <v>33.0</v>
      </c>
      <c r="N66" s="19">
        <v>79.0</v>
      </c>
      <c r="O66" s="19">
        <v>84.0</v>
      </c>
      <c r="P66" s="19">
        <v>112.0</v>
      </c>
      <c r="Q66" s="13">
        <v>456.0</v>
      </c>
    </row>
    <row r="67" ht="15.0" customHeight="1">
      <c r="A67" s="18"/>
      <c r="B67" s="49">
        <v>4.0</v>
      </c>
      <c r="C67" s="50" t="s">
        <v>58</v>
      </c>
      <c r="D67" s="51"/>
      <c r="E67" s="19">
        <v>0.0</v>
      </c>
      <c r="F67" s="19">
        <v>0.0</v>
      </c>
      <c r="G67" s="19">
        <v>1.0</v>
      </c>
      <c r="H67" s="19">
        <v>1.0</v>
      </c>
      <c r="I67" s="19">
        <v>0.0</v>
      </c>
      <c r="J67" s="19">
        <v>0.0</v>
      </c>
      <c r="K67" s="19">
        <v>1.0</v>
      </c>
      <c r="L67" s="19">
        <v>0.0</v>
      </c>
      <c r="M67" s="19">
        <v>0.0</v>
      </c>
      <c r="N67" s="19">
        <v>1.0</v>
      </c>
      <c r="O67" s="19">
        <v>0.0</v>
      </c>
      <c r="P67" s="19">
        <v>1.0</v>
      </c>
      <c r="Q67" s="13">
        <v>5.0</v>
      </c>
    </row>
    <row r="68" ht="12.75" customHeight="1">
      <c r="A68" s="18"/>
      <c r="B68" s="49">
        <v>5.0</v>
      </c>
      <c r="C68" s="50" t="s">
        <v>59</v>
      </c>
      <c r="D68" s="51"/>
      <c r="E68" s="19">
        <v>0.0</v>
      </c>
      <c r="F68" s="19">
        <v>1.0</v>
      </c>
      <c r="G68" s="19">
        <v>0.0</v>
      </c>
      <c r="H68" s="19">
        <v>0.0</v>
      </c>
      <c r="I68" s="19">
        <v>0.0</v>
      </c>
      <c r="J68" s="19">
        <v>1.0</v>
      </c>
      <c r="K68" s="19">
        <v>0.0</v>
      </c>
      <c r="L68" s="19">
        <v>0.0</v>
      </c>
      <c r="M68" s="19">
        <v>0.0</v>
      </c>
      <c r="N68" s="19">
        <v>0.0</v>
      </c>
      <c r="O68" s="19">
        <v>0.0</v>
      </c>
      <c r="P68" s="19">
        <v>0.0</v>
      </c>
      <c r="Q68" s="13">
        <v>2.0</v>
      </c>
    </row>
    <row r="69" ht="12.75" customHeight="1">
      <c r="A69" s="18"/>
      <c r="B69" s="49">
        <v>6.0</v>
      </c>
      <c r="C69" s="50" t="s">
        <v>60</v>
      </c>
      <c r="D69" s="51"/>
      <c r="E69" s="19">
        <v>0.0</v>
      </c>
      <c r="F69" s="19">
        <v>0.0</v>
      </c>
      <c r="G69" s="19">
        <v>0.0</v>
      </c>
      <c r="H69" s="19">
        <v>0.0</v>
      </c>
      <c r="I69" s="19">
        <v>0.0</v>
      </c>
      <c r="J69" s="19">
        <v>0.0</v>
      </c>
      <c r="K69" s="19">
        <v>0.0</v>
      </c>
      <c r="L69" s="19">
        <v>0.0</v>
      </c>
      <c r="M69" s="19">
        <v>0.0</v>
      </c>
      <c r="N69" s="19">
        <v>0.0</v>
      </c>
      <c r="O69" s="19">
        <v>0.0</v>
      </c>
      <c r="P69" s="19">
        <v>0.0</v>
      </c>
      <c r="Q69" s="13">
        <v>0.0</v>
      </c>
    </row>
    <row r="70" ht="12.75" customHeight="1">
      <c r="A70" s="19" t="s">
        <v>15</v>
      </c>
      <c r="B70" s="47" t="s">
        <v>46</v>
      </c>
      <c r="C70" s="15"/>
      <c r="D70" s="16"/>
      <c r="E70" s="56">
        <f t="shared" ref="E70:P70" si="10">SUM(E63:E69)</f>
        <v>18</v>
      </c>
      <c r="F70" s="56">
        <f t="shared" si="10"/>
        <v>21</v>
      </c>
      <c r="G70" s="56">
        <f t="shared" si="10"/>
        <v>39</v>
      </c>
      <c r="H70" s="56">
        <f t="shared" si="10"/>
        <v>48</v>
      </c>
      <c r="I70" s="56">
        <f t="shared" si="10"/>
        <v>34</v>
      </c>
      <c r="J70" s="56">
        <f t="shared" si="10"/>
        <v>16</v>
      </c>
      <c r="K70" s="56">
        <f t="shared" si="10"/>
        <v>8</v>
      </c>
      <c r="L70" s="56">
        <f t="shared" si="10"/>
        <v>30</v>
      </c>
      <c r="M70" s="56">
        <f t="shared" si="10"/>
        <v>36</v>
      </c>
      <c r="N70" s="56">
        <f t="shared" si="10"/>
        <v>91</v>
      </c>
      <c r="O70" s="56">
        <f t="shared" si="10"/>
        <v>90</v>
      </c>
      <c r="P70" s="56">
        <f t="shared" si="10"/>
        <v>125</v>
      </c>
      <c r="Q70" s="13">
        <f>SUM(E70:P70)</f>
        <v>556</v>
      </c>
    </row>
    <row r="71" ht="12.75" customHeight="1">
      <c r="A71" s="57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13"/>
    </row>
    <row r="72" ht="12.75" customHeight="1">
      <c r="A72" s="30" t="s">
        <v>37</v>
      </c>
      <c r="B72" s="47" t="s">
        <v>23</v>
      </c>
      <c r="C72" s="48" t="s">
        <v>61</v>
      </c>
      <c r="D72" s="16"/>
      <c r="E72" s="19">
        <v>6.0</v>
      </c>
      <c r="F72" s="19">
        <v>3.0</v>
      </c>
      <c r="G72" s="19">
        <v>12.0</v>
      </c>
      <c r="H72" s="19">
        <v>14.0</v>
      </c>
      <c r="I72" s="19">
        <v>3.0</v>
      </c>
      <c r="J72" s="19">
        <v>10.0</v>
      </c>
      <c r="K72" s="19">
        <v>2.0</v>
      </c>
      <c r="L72" s="19">
        <v>8.0</v>
      </c>
      <c r="M72" s="19">
        <v>4.0</v>
      </c>
      <c r="N72" s="19">
        <v>7.0</v>
      </c>
      <c r="O72" s="19">
        <v>3.0</v>
      </c>
      <c r="P72" s="19">
        <v>3.0</v>
      </c>
      <c r="Q72" s="13">
        <f t="shared" ref="Q72:Q80" si="11">SUM(E72:P72)</f>
        <v>75</v>
      </c>
    </row>
    <row r="73" ht="12.75" customHeight="1">
      <c r="A73" s="30" t="s">
        <v>39</v>
      </c>
      <c r="B73" s="49">
        <v>1.0</v>
      </c>
      <c r="C73" s="50" t="s">
        <v>62</v>
      </c>
      <c r="D73" s="51"/>
      <c r="E73" s="19">
        <v>72.0</v>
      </c>
      <c r="F73" s="19">
        <v>122.0</v>
      </c>
      <c r="G73" s="19">
        <v>62.0</v>
      </c>
      <c r="H73" s="19">
        <v>110.0</v>
      </c>
      <c r="I73" s="19">
        <v>59.0</v>
      </c>
      <c r="J73" s="19">
        <v>133.0</v>
      </c>
      <c r="K73" s="19">
        <v>157.0</v>
      </c>
      <c r="L73" s="19">
        <v>93.0</v>
      </c>
      <c r="M73" s="19">
        <v>38.0</v>
      </c>
      <c r="N73" s="19">
        <v>86.0</v>
      </c>
      <c r="O73" s="19">
        <v>119.0</v>
      </c>
      <c r="P73" s="19">
        <v>53.0</v>
      </c>
      <c r="Q73" s="13">
        <f t="shared" si="11"/>
        <v>1104</v>
      </c>
    </row>
    <row r="74" ht="12.75" customHeight="1">
      <c r="A74" s="18"/>
      <c r="B74" s="49">
        <v>2.0</v>
      </c>
      <c r="C74" s="50" t="s">
        <v>63</v>
      </c>
      <c r="D74" s="51"/>
      <c r="E74" s="19">
        <v>0.0</v>
      </c>
      <c r="F74" s="19">
        <v>1.0</v>
      </c>
      <c r="G74" s="19">
        <v>1.0</v>
      </c>
      <c r="H74" s="19">
        <v>1.0</v>
      </c>
      <c r="I74" s="19">
        <v>3.0</v>
      </c>
      <c r="J74" s="19">
        <v>1.0</v>
      </c>
      <c r="K74" s="19">
        <v>1.0</v>
      </c>
      <c r="L74" s="19">
        <v>3.0</v>
      </c>
      <c r="M74" s="19">
        <v>0.0</v>
      </c>
      <c r="N74" s="19">
        <v>0.0</v>
      </c>
      <c r="O74" s="19">
        <v>0.0</v>
      </c>
      <c r="P74" s="19">
        <v>0.0</v>
      </c>
      <c r="Q74" s="13">
        <f t="shared" si="11"/>
        <v>11</v>
      </c>
    </row>
    <row r="75" ht="12.75" customHeight="1">
      <c r="A75" s="18"/>
      <c r="B75" s="49">
        <v>3.0</v>
      </c>
      <c r="C75" s="50" t="s">
        <v>64</v>
      </c>
      <c r="D75" s="51"/>
      <c r="E75" s="19">
        <v>1.0</v>
      </c>
      <c r="F75" s="19">
        <v>1.0</v>
      </c>
      <c r="G75" s="19">
        <v>1.0</v>
      </c>
      <c r="H75" s="19">
        <v>1.0</v>
      </c>
      <c r="I75" s="19">
        <v>1.0</v>
      </c>
      <c r="J75" s="19">
        <v>0.0</v>
      </c>
      <c r="K75" s="19">
        <v>0.0</v>
      </c>
      <c r="L75" s="19">
        <v>2.0</v>
      </c>
      <c r="M75" s="19">
        <v>1.0</v>
      </c>
      <c r="N75" s="19">
        <v>0.0</v>
      </c>
      <c r="O75" s="19">
        <v>0.0</v>
      </c>
      <c r="P75" s="19">
        <v>0.0</v>
      </c>
      <c r="Q75" s="13">
        <f t="shared" si="11"/>
        <v>8</v>
      </c>
    </row>
    <row r="76" ht="12.75" customHeight="1">
      <c r="A76" s="18"/>
      <c r="B76" s="49">
        <v>4.0</v>
      </c>
      <c r="C76" s="50" t="s">
        <v>65</v>
      </c>
      <c r="D76" s="51"/>
      <c r="E76" s="19">
        <v>1.0</v>
      </c>
      <c r="F76" s="19">
        <v>1.0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3">
        <f t="shared" si="11"/>
        <v>2</v>
      </c>
    </row>
    <row r="77" ht="12.75" customHeight="1">
      <c r="A77" s="18"/>
      <c r="B77" s="49">
        <v>5.0</v>
      </c>
      <c r="C77" s="50" t="s">
        <v>66</v>
      </c>
      <c r="D77" s="51"/>
      <c r="E77" s="19">
        <v>0.0</v>
      </c>
      <c r="F77" s="19">
        <v>0.0</v>
      </c>
      <c r="G77" s="19">
        <v>0.0</v>
      </c>
      <c r="H77" s="19">
        <v>0.0</v>
      </c>
      <c r="I77" s="19">
        <v>0.0</v>
      </c>
      <c r="J77" s="19">
        <v>0.0</v>
      </c>
      <c r="K77" s="19">
        <v>0.0</v>
      </c>
      <c r="L77" s="19">
        <v>0.0</v>
      </c>
      <c r="M77" s="19">
        <v>0.0</v>
      </c>
      <c r="N77" s="19">
        <v>0.0</v>
      </c>
      <c r="O77" s="19">
        <v>0.0</v>
      </c>
      <c r="P77" s="19">
        <v>0.0</v>
      </c>
      <c r="Q77" s="13">
        <f t="shared" si="11"/>
        <v>0</v>
      </c>
    </row>
    <row r="78" ht="12.75" customHeight="1">
      <c r="A78" s="18"/>
      <c r="B78" s="49">
        <v>6.0</v>
      </c>
      <c r="C78" s="50" t="s">
        <v>67</v>
      </c>
      <c r="D78" s="51"/>
      <c r="E78" s="19">
        <v>0.0</v>
      </c>
      <c r="F78" s="19">
        <v>0.0</v>
      </c>
      <c r="G78" s="19">
        <v>0.0</v>
      </c>
      <c r="H78" s="19">
        <v>0.0</v>
      </c>
      <c r="I78" s="19">
        <v>0.0</v>
      </c>
      <c r="J78" s="19">
        <v>0.0</v>
      </c>
      <c r="K78" s="19">
        <v>0.0</v>
      </c>
      <c r="L78" s="19">
        <v>0.0</v>
      </c>
      <c r="M78" s="19">
        <v>0.0</v>
      </c>
      <c r="N78" s="19">
        <v>0.0</v>
      </c>
      <c r="O78" s="19">
        <v>1.0</v>
      </c>
      <c r="P78" s="19">
        <v>0.0</v>
      </c>
      <c r="Q78" s="13">
        <f t="shared" si="11"/>
        <v>1</v>
      </c>
    </row>
    <row r="79" ht="15.0" customHeight="1">
      <c r="A79" s="19" t="s">
        <v>15</v>
      </c>
      <c r="B79" s="47" t="s">
        <v>46</v>
      </c>
      <c r="C79" s="15"/>
      <c r="D79" s="16"/>
      <c r="E79" s="56">
        <f t="shared" ref="E79:P79" si="12">SUM(E72:E78)</f>
        <v>80</v>
      </c>
      <c r="F79" s="56">
        <f t="shared" si="12"/>
        <v>128</v>
      </c>
      <c r="G79" s="56">
        <f t="shared" si="12"/>
        <v>76</v>
      </c>
      <c r="H79" s="56">
        <f t="shared" si="12"/>
        <v>126</v>
      </c>
      <c r="I79" s="56">
        <f t="shared" si="12"/>
        <v>66</v>
      </c>
      <c r="J79" s="56">
        <f t="shared" si="12"/>
        <v>144</v>
      </c>
      <c r="K79" s="56">
        <f t="shared" si="12"/>
        <v>160</v>
      </c>
      <c r="L79" s="56">
        <f t="shared" si="12"/>
        <v>106</v>
      </c>
      <c r="M79" s="56">
        <f t="shared" si="12"/>
        <v>43</v>
      </c>
      <c r="N79" s="56">
        <f t="shared" si="12"/>
        <v>93</v>
      </c>
      <c r="O79" s="56">
        <f t="shared" si="12"/>
        <v>123</v>
      </c>
      <c r="P79" s="56">
        <f t="shared" si="12"/>
        <v>56</v>
      </c>
      <c r="Q79" s="13">
        <f t="shared" si="11"/>
        <v>1201</v>
      </c>
    </row>
    <row r="80" ht="12.75" customHeight="1">
      <c r="A80" s="57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13">
        <f t="shared" si="11"/>
        <v>0</v>
      </c>
    </row>
    <row r="81" ht="12.75" customHeight="1">
      <c r="A81" s="30" t="s">
        <v>37</v>
      </c>
      <c r="B81" s="47" t="s">
        <v>68</v>
      </c>
      <c r="C81" s="48" t="s">
        <v>69</v>
      </c>
      <c r="D81" s="16"/>
      <c r="E81" s="19">
        <v>0.0</v>
      </c>
      <c r="F81" s="19">
        <v>0.0</v>
      </c>
      <c r="G81" s="19">
        <v>0.0</v>
      </c>
      <c r="H81" s="19">
        <v>1.0</v>
      </c>
      <c r="I81" s="19">
        <v>1.0</v>
      </c>
      <c r="J81" s="19">
        <v>0.0</v>
      </c>
      <c r="K81" s="19">
        <v>0.0</v>
      </c>
      <c r="L81" s="19">
        <v>0.0</v>
      </c>
      <c r="M81" s="19">
        <v>0.0</v>
      </c>
      <c r="N81" s="19">
        <v>0.0</v>
      </c>
      <c r="O81" s="19">
        <v>0.0</v>
      </c>
      <c r="P81" s="19">
        <v>1.0</v>
      </c>
      <c r="Q81" s="13">
        <v>3.0</v>
      </c>
    </row>
    <row r="82" ht="12.75" customHeight="1">
      <c r="A82" s="30" t="s">
        <v>39</v>
      </c>
      <c r="B82" s="49">
        <v>1.0</v>
      </c>
      <c r="C82" s="50" t="s">
        <v>70</v>
      </c>
      <c r="D82" s="51"/>
      <c r="E82" s="19">
        <v>7.0</v>
      </c>
      <c r="F82" s="19">
        <v>1.0</v>
      </c>
      <c r="G82" s="19">
        <v>0.0</v>
      </c>
      <c r="H82" s="19">
        <v>1.0</v>
      </c>
      <c r="I82" s="19">
        <v>0.0</v>
      </c>
      <c r="J82" s="19">
        <v>0.0</v>
      </c>
      <c r="K82" s="19">
        <v>0.0</v>
      </c>
      <c r="L82" s="19">
        <v>0.0</v>
      </c>
      <c r="M82" s="19">
        <v>0.0</v>
      </c>
      <c r="N82" s="19">
        <v>0.0</v>
      </c>
      <c r="O82" s="19">
        <v>0.0</v>
      </c>
      <c r="P82" s="19">
        <v>0.0</v>
      </c>
      <c r="Q82" s="13">
        <v>9.0</v>
      </c>
    </row>
    <row r="83" ht="12.75" customHeight="1">
      <c r="A83" s="18"/>
      <c r="B83" s="49">
        <v>2.0</v>
      </c>
      <c r="C83" s="50" t="s">
        <v>71</v>
      </c>
      <c r="D83" s="51"/>
      <c r="E83" s="19">
        <v>0.0</v>
      </c>
      <c r="F83" s="19">
        <v>0.0</v>
      </c>
      <c r="G83" s="19">
        <v>0.0</v>
      </c>
      <c r="H83" s="19">
        <v>0.0</v>
      </c>
      <c r="I83" s="19">
        <v>0.0</v>
      </c>
      <c r="J83" s="19">
        <v>0.0</v>
      </c>
      <c r="K83" s="19">
        <v>0.0</v>
      </c>
      <c r="L83" s="19">
        <v>0.0</v>
      </c>
      <c r="M83" s="19">
        <v>0.0</v>
      </c>
      <c r="N83" s="19">
        <v>0.0</v>
      </c>
      <c r="O83" s="19">
        <v>0.0</v>
      </c>
      <c r="P83" s="19">
        <v>0.0</v>
      </c>
      <c r="Q83" s="13">
        <v>0.0</v>
      </c>
    </row>
    <row r="84" ht="12.75" customHeight="1">
      <c r="A84" s="18"/>
      <c r="B84" s="49">
        <v>3.0</v>
      </c>
      <c r="C84" s="50" t="s">
        <v>72</v>
      </c>
      <c r="D84" s="51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1.0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9">
        <v>0.0</v>
      </c>
      <c r="Q84" s="13">
        <v>1.0</v>
      </c>
    </row>
    <row r="85" ht="12.75" customHeight="1">
      <c r="A85" s="18"/>
      <c r="B85" s="49">
        <v>4.0</v>
      </c>
      <c r="C85" s="50" t="s">
        <v>73</v>
      </c>
      <c r="D85" s="51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3">
        <v>0.0</v>
      </c>
    </row>
    <row r="86" ht="12.75" customHeight="1">
      <c r="A86" s="18"/>
      <c r="B86" s="49">
        <v>5.0</v>
      </c>
      <c r="C86" s="50" t="s">
        <v>74</v>
      </c>
      <c r="D86" s="51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2.0</v>
      </c>
      <c r="L86" s="19">
        <v>0.0</v>
      </c>
      <c r="M86" s="19">
        <v>0.0</v>
      </c>
      <c r="N86" s="19">
        <v>0.0</v>
      </c>
      <c r="O86" s="19">
        <v>0.0</v>
      </c>
      <c r="P86" s="19">
        <v>0.0</v>
      </c>
      <c r="Q86" s="13">
        <v>0.0</v>
      </c>
    </row>
    <row r="87" ht="12.75" customHeight="1">
      <c r="A87" s="18"/>
      <c r="B87" s="49">
        <v>6.0</v>
      </c>
      <c r="C87" s="50" t="s">
        <v>75</v>
      </c>
      <c r="D87" s="51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2.0</v>
      </c>
      <c r="N87" s="19">
        <v>0.0</v>
      </c>
      <c r="O87" s="19">
        <v>0.0</v>
      </c>
      <c r="P87" s="19">
        <v>0.0</v>
      </c>
      <c r="Q87" s="13">
        <v>2.0</v>
      </c>
    </row>
    <row r="88" ht="12.75" customHeight="1">
      <c r="A88" s="19" t="s">
        <v>15</v>
      </c>
      <c r="B88" s="47" t="s">
        <v>46</v>
      </c>
      <c r="C88" s="15"/>
      <c r="D88" s="16"/>
      <c r="E88" s="56">
        <f t="shared" ref="E88:P88" si="13">SUM(E81:E87)</f>
        <v>7</v>
      </c>
      <c r="F88" s="56">
        <f t="shared" si="13"/>
        <v>1</v>
      </c>
      <c r="G88" s="56">
        <f t="shared" si="13"/>
        <v>0</v>
      </c>
      <c r="H88" s="56">
        <f t="shared" si="13"/>
        <v>2</v>
      </c>
      <c r="I88" s="56">
        <f t="shared" si="13"/>
        <v>1</v>
      </c>
      <c r="J88" s="56">
        <f t="shared" si="13"/>
        <v>1</v>
      </c>
      <c r="K88" s="56">
        <f t="shared" si="13"/>
        <v>2</v>
      </c>
      <c r="L88" s="56">
        <f t="shared" si="13"/>
        <v>0</v>
      </c>
      <c r="M88" s="56">
        <f t="shared" si="13"/>
        <v>2</v>
      </c>
      <c r="N88" s="56">
        <f t="shared" si="13"/>
        <v>0</v>
      </c>
      <c r="O88" s="56">
        <f t="shared" si="13"/>
        <v>0</v>
      </c>
      <c r="P88" s="56">
        <f t="shared" si="13"/>
        <v>1</v>
      </c>
      <c r="Q88" s="13">
        <v>15.0</v>
      </c>
    </row>
    <row r="89" ht="12.75" customHeight="1">
      <c r="A89" s="57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13"/>
    </row>
    <row r="90" ht="12.75" customHeight="1">
      <c r="A90" s="30" t="s">
        <v>37</v>
      </c>
      <c r="B90" s="47" t="s">
        <v>76</v>
      </c>
      <c r="C90" s="48" t="s">
        <v>77</v>
      </c>
      <c r="D90" s="16"/>
      <c r="E90" s="19">
        <v>0.0</v>
      </c>
      <c r="F90" s="19">
        <v>2.0</v>
      </c>
      <c r="G90" s="19">
        <v>0.0</v>
      </c>
      <c r="H90" s="19">
        <v>0.0</v>
      </c>
      <c r="I90" s="19">
        <v>0.0</v>
      </c>
      <c r="J90" s="19">
        <v>0.0</v>
      </c>
      <c r="K90" s="19">
        <v>0.0</v>
      </c>
      <c r="L90" s="19">
        <v>1.0</v>
      </c>
      <c r="M90" s="19">
        <v>0.0</v>
      </c>
      <c r="N90" s="19">
        <v>0.0</v>
      </c>
      <c r="O90" s="19">
        <v>0.0</v>
      </c>
      <c r="P90" s="19">
        <v>0.0</v>
      </c>
      <c r="Q90" s="13">
        <v>3.0</v>
      </c>
    </row>
    <row r="91" ht="15.0" customHeight="1">
      <c r="A91" s="30"/>
      <c r="B91" s="49">
        <v>1.0</v>
      </c>
      <c r="C91" s="50" t="s">
        <v>78</v>
      </c>
      <c r="D91" s="59"/>
      <c r="E91" s="19">
        <v>0.0</v>
      </c>
      <c r="F91" s="19">
        <v>0.0</v>
      </c>
      <c r="G91" s="19">
        <v>0.0</v>
      </c>
      <c r="H91" s="19">
        <v>0.0</v>
      </c>
      <c r="I91" s="19">
        <v>1.0</v>
      </c>
      <c r="J91" s="19">
        <v>0.0</v>
      </c>
      <c r="K91" s="19">
        <v>0.0</v>
      </c>
      <c r="L91" s="19">
        <v>0.0</v>
      </c>
      <c r="M91" s="19">
        <v>0.0</v>
      </c>
      <c r="N91" s="19">
        <v>0.0</v>
      </c>
      <c r="O91" s="19">
        <v>0.0</v>
      </c>
      <c r="P91" s="19">
        <v>0.0</v>
      </c>
      <c r="Q91" s="13">
        <v>1.0</v>
      </c>
    </row>
    <row r="92" ht="12.75" customHeight="1">
      <c r="A92" s="30"/>
      <c r="B92" s="49">
        <v>2.0</v>
      </c>
      <c r="C92" s="50" t="s">
        <v>79</v>
      </c>
      <c r="D92" s="59"/>
      <c r="E92" s="19">
        <v>0.0</v>
      </c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19">
        <v>0.0</v>
      </c>
      <c r="L92" s="19">
        <v>0.0</v>
      </c>
      <c r="M92" s="19">
        <v>0.0</v>
      </c>
      <c r="N92" s="19">
        <v>0.0</v>
      </c>
      <c r="O92" s="19">
        <v>0.0</v>
      </c>
      <c r="P92" s="19">
        <v>1.0</v>
      </c>
      <c r="Q92" s="13">
        <v>1.0</v>
      </c>
    </row>
    <row r="93" ht="12.75" customHeight="1">
      <c r="A93" s="30" t="s">
        <v>39</v>
      </c>
      <c r="B93" s="49">
        <v>3.0</v>
      </c>
      <c r="C93" s="50" t="s">
        <v>80</v>
      </c>
      <c r="D93" s="59"/>
      <c r="E93" s="19">
        <v>0.0</v>
      </c>
      <c r="F93" s="19">
        <v>0.0</v>
      </c>
      <c r="G93" s="19">
        <v>0.0</v>
      </c>
      <c r="H93" s="19">
        <v>0.0</v>
      </c>
      <c r="I93" s="19">
        <v>0.0</v>
      </c>
      <c r="J93" s="19">
        <v>0.0</v>
      </c>
      <c r="K93" s="19">
        <v>0.0</v>
      </c>
      <c r="L93" s="19">
        <v>2.0</v>
      </c>
      <c r="M93" s="19">
        <v>0.0</v>
      </c>
      <c r="N93" s="19">
        <v>0.0</v>
      </c>
      <c r="O93" s="19">
        <v>0.0</v>
      </c>
      <c r="P93" s="19">
        <v>0.0</v>
      </c>
      <c r="Q93" s="13">
        <v>2.0</v>
      </c>
    </row>
    <row r="94" ht="12.75" customHeight="1">
      <c r="A94" s="19" t="s">
        <v>15</v>
      </c>
      <c r="B94" s="47" t="s">
        <v>46</v>
      </c>
      <c r="C94" s="15"/>
      <c r="D94" s="16"/>
      <c r="E94" s="56">
        <f t="shared" ref="E94:P94" si="14">SUM(E90:E93)</f>
        <v>0</v>
      </c>
      <c r="F94" s="56">
        <f t="shared" si="14"/>
        <v>2</v>
      </c>
      <c r="G94" s="56">
        <f t="shared" si="14"/>
        <v>0</v>
      </c>
      <c r="H94" s="56">
        <f t="shared" si="14"/>
        <v>0</v>
      </c>
      <c r="I94" s="56">
        <f t="shared" si="14"/>
        <v>1</v>
      </c>
      <c r="J94" s="56">
        <f t="shared" si="14"/>
        <v>0</v>
      </c>
      <c r="K94" s="56">
        <f t="shared" si="14"/>
        <v>0</v>
      </c>
      <c r="L94" s="56">
        <f t="shared" si="14"/>
        <v>3</v>
      </c>
      <c r="M94" s="56">
        <f t="shared" si="14"/>
        <v>0</v>
      </c>
      <c r="N94" s="56">
        <f t="shared" si="14"/>
        <v>0</v>
      </c>
      <c r="O94" s="56">
        <f t="shared" si="14"/>
        <v>0</v>
      </c>
      <c r="P94" s="56">
        <f t="shared" si="14"/>
        <v>1</v>
      </c>
      <c r="Q94" s="13">
        <f>SUM(E94:P94)</f>
        <v>7</v>
      </c>
    </row>
    <row r="95" ht="12.75" customHeight="1">
      <c r="A95" s="57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13"/>
    </row>
    <row r="96" ht="12.75" customHeight="1">
      <c r="A96" s="30" t="s">
        <v>37</v>
      </c>
      <c r="B96" s="47" t="s">
        <v>81</v>
      </c>
      <c r="C96" s="48" t="s">
        <v>82</v>
      </c>
      <c r="D96" s="16"/>
      <c r="E96" s="19">
        <v>0.0</v>
      </c>
      <c r="F96" s="19">
        <v>0.0</v>
      </c>
      <c r="G96" s="19">
        <v>0.0</v>
      </c>
      <c r="H96" s="19">
        <v>1.0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3">
        <v>1.0</v>
      </c>
    </row>
    <row r="97" ht="12.75" customHeight="1">
      <c r="A97" s="30" t="s">
        <v>39</v>
      </c>
      <c r="B97" s="49">
        <v>1.0</v>
      </c>
      <c r="C97" s="50" t="s">
        <v>83</v>
      </c>
      <c r="D97" s="51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1.0</v>
      </c>
      <c r="Q97" s="13">
        <v>1.0</v>
      </c>
    </row>
    <row r="98" ht="12.75" customHeight="1">
      <c r="A98" s="30"/>
      <c r="B98" s="49">
        <v>2.0</v>
      </c>
      <c r="C98" s="50" t="s">
        <v>84</v>
      </c>
      <c r="D98" s="51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3">
        <v>0.0</v>
      </c>
    </row>
    <row r="99" ht="12.75" customHeight="1">
      <c r="A99" s="19" t="s">
        <v>15</v>
      </c>
      <c r="B99" s="47" t="s">
        <v>46</v>
      </c>
      <c r="C99" s="15"/>
      <c r="D99" s="16"/>
      <c r="E99" s="56">
        <f t="shared" ref="E99:P99" si="15">SUM(E96:E98)</f>
        <v>0</v>
      </c>
      <c r="F99" s="56">
        <f t="shared" si="15"/>
        <v>0</v>
      </c>
      <c r="G99" s="56">
        <f t="shared" si="15"/>
        <v>0</v>
      </c>
      <c r="H99" s="56">
        <f t="shared" si="15"/>
        <v>1</v>
      </c>
      <c r="I99" s="56">
        <f t="shared" si="15"/>
        <v>0</v>
      </c>
      <c r="J99" s="56">
        <f t="shared" si="15"/>
        <v>0</v>
      </c>
      <c r="K99" s="56">
        <f t="shared" si="15"/>
        <v>0</v>
      </c>
      <c r="L99" s="56">
        <f t="shared" si="15"/>
        <v>0</v>
      </c>
      <c r="M99" s="56">
        <f t="shared" si="15"/>
        <v>0</v>
      </c>
      <c r="N99" s="56">
        <f t="shared" si="15"/>
        <v>0</v>
      </c>
      <c r="O99" s="56">
        <f t="shared" si="15"/>
        <v>0</v>
      </c>
      <c r="P99" s="56">
        <f t="shared" si="15"/>
        <v>1</v>
      </c>
      <c r="Q99" s="13">
        <f>SUM(E99:P99)</f>
        <v>2</v>
      </c>
    </row>
    <row r="100" ht="12.75" customHeight="1">
      <c r="A100" s="57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13"/>
    </row>
    <row r="101" ht="12.75" customHeight="1">
      <c r="A101" s="30" t="s">
        <v>37</v>
      </c>
      <c r="B101" s="47" t="s">
        <v>85</v>
      </c>
      <c r="C101" s="48" t="s">
        <v>86</v>
      </c>
      <c r="D101" s="16"/>
      <c r="E101" s="19">
        <v>1.0</v>
      </c>
      <c r="F101" s="19">
        <v>5.0</v>
      </c>
      <c r="G101" s="19">
        <v>0.0</v>
      </c>
      <c r="H101" s="19">
        <v>1.0</v>
      </c>
      <c r="I101" s="19">
        <v>0.0</v>
      </c>
      <c r="J101" s="19">
        <v>0.0</v>
      </c>
      <c r="K101" s="19">
        <v>0.0</v>
      </c>
      <c r="L101" s="19">
        <v>0.0</v>
      </c>
      <c r="M101" s="19">
        <v>0.0</v>
      </c>
      <c r="N101" s="19">
        <v>0.0</v>
      </c>
      <c r="O101" s="19">
        <v>0.0</v>
      </c>
      <c r="P101" s="19">
        <v>0.0</v>
      </c>
      <c r="Q101" s="13">
        <v>7.0</v>
      </c>
    </row>
    <row r="102" ht="12.75" customHeight="1">
      <c r="A102" s="30" t="s">
        <v>39</v>
      </c>
      <c r="B102" s="49">
        <v>1.0</v>
      </c>
      <c r="C102" s="50" t="s">
        <v>87</v>
      </c>
      <c r="D102" s="51"/>
      <c r="E102" s="19">
        <v>0.0</v>
      </c>
      <c r="F102" s="19">
        <v>1.0</v>
      </c>
      <c r="G102" s="19">
        <v>4.0</v>
      </c>
      <c r="H102" s="19">
        <v>0.0</v>
      </c>
      <c r="I102" s="19">
        <v>0.0</v>
      </c>
      <c r="J102" s="19">
        <v>6.0</v>
      </c>
      <c r="K102" s="19">
        <v>0.0</v>
      </c>
      <c r="L102" s="19">
        <v>0.0</v>
      </c>
      <c r="M102" s="19">
        <v>0.0</v>
      </c>
      <c r="N102" s="19">
        <v>0.0</v>
      </c>
      <c r="O102" s="19">
        <v>0.0</v>
      </c>
      <c r="P102" s="19">
        <v>4.0</v>
      </c>
      <c r="Q102" s="13">
        <v>15.0</v>
      </c>
    </row>
    <row r="103" ht="15.0" customHeight="1">
      <c r="A103" s="18"/>
      <c r="B103" s="49">
        <v>2.0</v>
      </c>
      <c r="C103" s="50" t="s">
        <v>88</v>
      </c>
      <c r="D103" s="51"/>
      <c r="E103" s="19">
        <v>0.0</v>
      </c>
      <c r="F103" s="19">
        <v>0.0</v>
      </c>
      <c r="G103" s="19">
        <v>0.0</v>
      </c>
      <c r="H103" s="19">
        <v>0.0</v>
      </c>
      <c r="I103" s="19">
        <v>0.0</v>
      </c>
      <c r="J103" s="19">
        <v>0.0</v>
      </c>
      <c r="K103" s="19">
        <v>0.0</v>
      </c>
      <c r="L103" s="19">
        <v>0.0</v>
      </c>
      <c r="M103" s="19">
        <v>0.0</v>
      </c>
      <c r="N103" s="19">
        <v>0.0</v>
      </c>
      <c r="O103" s="19">
        <v>0.0</v>
      </c>
      <c r="P103" s="19">
        <v>0.0</v>
      </c>
      <c r="Q103" s="13">
        <v>0.0</v>
      </c>
    </row>
    <row r="104" ht="12.75" customHeight="1">
      <c r="A104" s="18"/>
      <c r="B104" s="49">
        <v>3.0</v>
      </c>
      <c r="C104" s="50" t="s">
        <v>89</v>
      </c>
      <c r="D104" s="51"/>
      <c r="E104" s="19">
        <v>0.0</v>
      </c>
      <c r="F104" s="19">
        <v>0.0</v>
      </c>
      <c r="G104" s="19">
        <v>0.0</v>
      </c>
      <c r="H104" s="19">
        <v>0.0</v>
      </c>
      <c r="I104" s="19">
        <v>0.0</v>
      </c>
      <c r="J104" s="19">
        <v>0.0</v>
      </c>
      <c r="K104" s="19">
        <v>0.0</v>
      </c>
      <c r="L104" s="19">
        <v>0.0</v>
      </c>
      <c r="M104" s="19">
        <v>0.0</v>
      </c>
      <c r="N104" s="19">
        <v>0.0</v>
      </c>
      <c r="O104" s="19">
        <v>0.0</v>
      </c>
      <c r="P104" s="19">
        <v>0.0</v>
      </c>
      <c r="Q104" s="13">
        <v>0.0</v>
      </c>
    </row>
    <row r="105" ht="12.75" customHeight="1">
      <c r="A105" s="18"/>
      <c r="B105" s="49">
        <v>4.0</v>
      </c>
      <c r="C105" s="50" t="s">
        <v>90</v>
      </c>
      <c r="D105" s="51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3">
        <v>0.0</v>
      </c>
    </row>
    <row r="106" ht="12.75" customHeight="1">
      <c r="A106" s="18"/>
      <c r="B106" s="49">
        <v>5.0</v>
      </c>
      <c r="C106" s="50" t="s">
        <v>91</v>
      </c>
      <c r="D106" s="51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3">
        <v>0.0</v>
      </c>
    </row>
    <row r="107" ht="12.75" customHeight="1">
      <c r="A107" s="18"/>
      <c r="B107" s="49">
        <v>6.0</v>
      </c>
      <c r="C107" s="50" t="s">
        <v>92</v>
      </c>
      <c r="D107" s="51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3">
        <v>0.0</v>
      </c>
    </row>
    <row r="108" ht="12.75" customHeight="1">
      <c r="A108" s="19" t="s">
        <v>15</v>
      </c>
      <c r="B108" s="47" t="s">
        <v>46</v>
      </c>
      <c r="C108" s="15"/>
      <c r="D108" s="16"/>
      <c r="E108" s="56">
        <f t="shared" ref="E108:P108" si="16">SUM(E101:E107)</f>
        <v>1</v>
      </c>
      <c r="F108" s="56">
        <f t="shared" si="16"/>
        <v>6</v>
      </c>
      <c r="G108" s="56">
        <f t="shared" si="16"/>
        <v>4</v>
      </c>
      <c r="H108" s="56">
        <f t="shared" si="16"/>
        <v>1</v>
      </c>
      <c r="I108" s="56">
        <f t="shared" si="16"/>
        <v>0</v>
      </c>
      <c r="J108" s="56">
        <f t="shared" si="16"/>
        <v>6</v>
      </c>
      <c r="K108" s="56">
        <f t="shared" si="16"/>
        <v>0</v>
      </c>
      <c r="L108" s="56">
        <f t="shared" si="16"/>
        <v>0</v>
      </c>
      <c r="M108" s="56">
        <f t="shared" si="16"/>
        <v>0</v>
      </c>
      <c r="N108" s="56">
        <f t="shared" si="16"/>
        <v>0</v>
      </c>
      <c r="O108" s="56">
        <f t="shared" si="16"/>
        <v>0</v>
      </c>
      <c r="P108" s="56">
        <f t="shared" si="16"/>
        <v>4</v>
      </c>
      <c r="Q108" s="13">
        <f>SUM(E108:P108)</f>
        <v>22</v>
      </c>
    </row>
    <row r="109" ht="12.75" customHeight="1">
      <c r="A109" s="57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13"/>
    </row>
    <row r="110" ht="12.75" customHeight="1">
      <c r="A110" s="30" t="s">
        <v>37</v>
      </c>
      <c r="B110" s="47" t="s">
        <v>93</v>
      </c>
      <c r="C110" s="48" t="s">
        <v>94</v>
      </c>
      <c r="D110" s="16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3">
        <f t="shared" ref="Q110:Q182" si="17">SUM(E110:P110)</f>
        <v>0</v>
      </c>
    </row>
    <row r="111" ht="12.75" customHeight="1">
      <c r="A111" s="30"/>
      <c r="B111" s="47">
        <v>1.0</v>
      </c>
      <c r="C111" s="50" t="s">
        <v>95</v>
      </c>
      <c r="D111" s="59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3">
        <f t="shared" si="17"/>
        <v>0</v>
      </c>
    </row>
    <row r="112" ht="12.75" customHeight="1">
      <c r="A112" s="30"/>
      <c r="B112" s="47">
        <v>2.0</v>
      </c>
      <c r="C112" s="50" t="s">
        <v>96</v>
      </c>
      <c r="D112" s="59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3">
        <f t="shared" si="17"/>
        <v>0</v>
      </c>
    </row>
    <row r="113" ht="12.75" customHeight="1">
      <c r="A113" s="30"/>
      <c r="B113" s="47">
        <v>3.0</v>
      </c>
      <c r="C113" s="50" t="s">
        <v>97</v>
      </c>
      <c r="D113" s="59"/>
      <c r="E113" s="19">
        <v>0.0</v>
      </c>
      <c r="F113" s="19">
        <v>0.0</v>
      </c>
      <c r="G113" s="19">
        <v>0.0</v>
      </c>
      <c r="H113" s="19">
        <v>0.0</v>
      </c>
      <c r="I113" s="19">
        <v>0.0</v>
      </c>
      <c r="J113" s="19">
        <v>0.0</v>
      </c>
      <c r="K113" s="19">
        <v>0.0</v>
      </c>
      <c r="L113" s="19">
        <v>0.0</v>
      </c>
      <c r="M113" s="19">
        <v>0.0</v>
      </c>
      <c r="N113" s="19">
        <v>0.0</v>
      </c>
      <c r="O113" s="19">
        <v>0.0</v>
      </c>
      <c r="P113" s="19">
        <v>0.0</v>
      </c>
      <c r="Q113" s="13">
        <f t="shared" si="17"/>
        <v>0</v>
      </c>
    </row>
    <row r="114" ht="12.75" customHeight="1">
      <c r="A114" s="30" t="s">
        <v>39</v>
      </c>
      <c r="B114" s="49">
        <v>4.0</v>
      </c>
      <c r="C114" s="50" t="s">
        <v>98</v>
      </c>
      <c r="D114" s="51"/>
      <c r="E114" s="19">
        <v>0.0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9">
        <v>0.0</v>
      </c>
      <c r="N114" s="19">
        <v>0.0</v>
      </c>
      <c r="O114" s="19">
        <v>0.0</v>
      </c>
      <c r="P114" s="19">
        <v>0.0</v>
      </c>
      <c r="Q114" s="13">
        <f t="shared" si="17"/>
        <v>0</v>
      </c>
    </row>
    <row r="115" ht="12.75" customHeight="1">
      <c r="A115" s="19" t="s">
        <v>15</v>
      </c>
      <c r="B115" s="47" t="s">
        <v>46</v>
      </c>
      <c r="C115" s="15"/>
      <c r="D115" s="16"/>
      <c r="E115" s="56">
        <f t="shared" ref="E115:P115" si="18">SUM(E110:E114)</f>
        <v>0</v>
      </c>
      <c r="F115" s="56">
        <f t="shared" si="18"/>
        <v>0</v>
      </c>
      <c r="G115" s="56">
        <f t="shared" si="18"/>
        <v>0</v>
      </c>
      <c r="H115" s="56">
        <f t="shared" si="18"/>
        <v>0</v>
      </c>
      <c r="I115" s="56">
        <f t="shared" si="18"/>
        <v>0</v>
      </c>
      <c r="J115" s="56">
        <f t="shared" si="18"/>
        <v>0</v>
      </c>
      <c r="K115" s="56">
        <f t="shared" si="18"/>
        <v>0</v>
      </c>
      <c r="L115" s="56">
        <f t="shared" si="18"/>
        <v>0</v>
      </c>
      <c r="M115" s="56">
        <f t="shared" si="18"/>
        <v>0</v>
      </c>
      <c r="N115" s="56">
        <f t="shared" si="18"/>
        <v>0</v>
      </c>
      <c r="O115" s="56">
        <f t="shared" si="18"/>
        <v>0</v>
      </c>
      <c r="P115" s="56">
        <f t="shared" si="18"/>
        <v>0</v>
      </c>
      <c r="Q115" s="13">
        <f t="shared" si="17"/>
        <v>0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13">
        <f t="shared" si="17"/>
        <v>0</v>
      </c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3">
        <f t="shared" si="17"/>
        <v>0</v>
      </c>
      <c r="R117" s="5"/>
      <c r="S117" s="5"/>
    </row>
    <row r="118" ht="12.75" customHeight="1">
      <c r="A118" s="30" t="s">
        <v>39</v>
      </c>
      <c r="B118" s="49">
        <v>1.0</v>
      </c>
      <c r="C118" s="50" t="s">
        <v>101</v>
      </c>
      <c r="D118" s="51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3">
        <f t="shared" si="17"/>
        <v>0</v>
      </c>
      <c r="R118" s="5"/>
      <c r="S118" s="5"/>
    </row>
    <row r="119" ht="12.75" customHeight="1">
      <c r="A119" s="18"/>
      <c r="B119" s="49">
        <v>2.0</v>
      </c>
      <c r="C119" s="50" t="s">
        <v>102</v>
      </c>
      <c r="D119" s="51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3">
        <f t="shared" si="17"/>
        <v>0</v>
      </c>
      <c r="R119" s="5"/>
      <c r="S119" s="5"/>
    </row>
    <row r="120" ht="12.75" customHeight="1">
      <c r="A120" s="18"/>
      <c r="B120" s="49">
        <v>3.0</v>
      </c>
      <c r="C120" s="50" t="s">
        <v>103</v>
      </c>
      <c r="D120" s="51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3">
        <f t="shared" si="17"/>
        <v>0</v>
      </c>
      <c r="R120" s="5"/>
      <c r="S120" s="5"/>
    </row>
    <row r="121" ht="12.75" customHeight="1">
      <c r="A121" s="18"/>
      <c r="B121" s="49">
        <v>4.0</v>
      </c>
      <c r="C121" s="50" t="s">
        <v>104</v>
      </c>
      <c r="D121" s="51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3">
        <f t="shared" si="17"/>
        <v>0</v>
      </c>
      <c r="R121" s="5"/>
      <c r="S121" s="5"/>
    </row>
    <row r="122" ht="12.75" customHeight="1">
      <c r="A122" s="18"/>
      <c r="B122" s="49">
        <v>5.0</v>
      </c>
      <c r="C122" s="50" t="s">
        <v>105</v>
      </c>
      <c r="D122" s="51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3">
        <f t="shared" si="17"/>
        <v>0</v>
      </c>
      <c r="R122" s="5"/>
      <c r="S122" s="5"/>
    </row>
    <row r="123" ht="12.75" customHeight="1">
      <c r="A123" s="18"/>
      <c r="B123" s="49">
        <v>6.0</v>
      </c>
      <c r="C123" s="50" t="s">
        <v>106</v>
      </c>
      <c r="D123" s="51"/>
      <c r="E123" s="19">
        <v>0.0</v>
      </c>
      <c r="F123" s="19">
        <v>0.0</v>
      </c>
      <c r="G123" s="19">
        <v>0.0</v>
      </c>
      <c r="H123" s="19">
        <v>0.0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3">
        <f t="shared" si="17"/>
        <v>0</v>
      </c>
      <c r="R123" s="5"/>
      <c r="S123" s="5"/>
    </row>
    <row r="124" ht="12.75" customHeight="1">
      <c r="A124" s="19" t="s">
        <v>15</v>
      </c>
      <c r="B124" s="47" t="s">
        <v>46</v>
      </c>
      <c r="C124" s="15"/>
      <c r="D124" s="16"/>
      <c r="E124" s="56">
        <f t="shared" ref="E124:P124" si="19">SUM(E117:E123)</f>
        <v>0</v>
      </c>
      <c r="F124" s="56">
        <f t="shared" si="19"/>
        <v>0</v>
      </c>
      <c r="G124" s="56">
        <f t="shared" si="19"/>
        <v>0</v>
      </c>
      <c r="H124" s="56">
        <f t="shared" si="19"/>
        <v>0</v>
      </c>
      <c r="I124" s="56">
        <f t="shared" si="19"/>
        <v>0</v>
      </c>
      <c r="J124" s="56">
        <f t="shared" si="19"/>
        <v>0</v>
      </c>
      <c r="K124" s="56">
        <f t="shared" si="19"/>
        <v>0</v>
      </c>
      <c r="L124" s="56">
        <f t="shared" si="19"/>
        <v>0</v>
      </c>
      <c r="M124" s="56">
        <f t="shared" si="19"/>
        <v>0</v>
      </c>
      <c r="N124" s="56">
        <f t="shared" si="19"/>
        <v>0</v>
      </c>
      <c r="O124" s="56">
        <f t="shared" si="19"/>
        <v>0</v>
      </c>
      <c r="P124" s="56">
        <f t="shared" si="19"/>
        <v>0</v>
      </c>
      <c r="Q124" s="13">
        <f t="shared" si="17"/>
        <v>0</v>
      </c>
      <c r="R124" s="5"/>
      <c r="S124" s="5"/>
    </row>
    <row r="125" ht="12.75" customHeight="1">
      <c r="A125" s="57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13">
        <f t="shared" si="17"/>
        <v>0</v>
      </c>
      <c r="R125" s="5"/>
      <c r="S125" s="5"/>
    </row>
    <row r="126" ht="12.75" customHeight="1">
      <c r="A126" s="30" t="s">
        <v>37</v>
      </c>
      <c r="B126" s="47" t="s">
        <v>107</v>
      </c>
      <c r="C126" s="48" t="s">
        <v>108</v>
      </c>
      <c r="D126" s="16"/>
      <c r="E126" s="19">
        <v>0.0</v>
      </c>
      <c r="F126" s="19">
        <v>0.0</v>
      </c>
      <c r="G126" s="19">
        <v>0.0</v>
      </c>
      <c r="H126" s="19">
        <v>0.0</v>
      </c>
      <c r="I126" s="19">
        <v>0.0</v>
      </c>
      <c r="J126" s="19">
        <v>0.0</v>
      </c>
      <c r="K126" s="19">
        <v>0.0</v>
      </c>
      <c r="L126" s="19">
        <v>0.0</v>
      </c>
      <c r="M126" s="19">
        <v>0.0</v>
      </c>
      <c r="N126" s="19">
        <v>0.0</v>
      </c>
      <c r="O126" s="19">
        <v>0.0</v>
      </c>
      <c r="P126" s="19">
        <v>0.0</v>
      </c>
      <c r="Q126" s="13">
        <f t="shared" si="17"/>
        <v>0</v>
      </c>
      <c r="R126" s="5"/>
      <c r="S126" s="5"/>
    </row>
    <row r="127" ht="15.0" customHeight="1">
      <c r="A127" s="30" t="s">
        <v>39</v>
      </c>
      <c r="B127" s="49"/>
      <c r="C127" s="50"/>
      <c r="D127" s="51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3">
        <f t="shared" si="17"/>
        <v>0</v>
      </c>
      <c r="R127" s="5"/>
      <c r="S127" s="5"/>
    </row>
    <row r="128" ht="12.75" customHeight="1">
      <c r="A128" s="19" t="s">
        <v>15</v>
      </c>
      <c r="B128" s="47" t="s">
        <v>46</v>
      </c>
      <c r="C128" s="15"/>
      <c r="D128" s="16"/>
      <c r="E128" s="56">
        <f t="shared" ref="E128:P128" si="20">SUM(E126:E127)</f>
        <v>0</v>
      </c>
      <c r="F128" s="56">
        <f t="shared" si="20"/>
        <v>0</v>
      </c>
      <c r="G128" s="56">
        <f t="shared" si="20"/>
        <v>0</v>
      </c>
      <c r="H128" s="56">
        <f t="shared" si="20"/>
        <v>0</v>
      </c>
      <c r="I128" s="56">
        <f t="shared" si="20"/>
        <v>0</v>
      </c>
      <c r="J128" s="56">
        <f t="shared" si="20"/>
        <v>0</v>
      </c>
      <c r="K128" s="56">
        <f t="shared" si="20"/>
        <v>0</v>
      </c>
      <c r="L128" s="56">
        <f t="shared" si="20"/>
        <v>0</v>
      </c>
      <c r="M128" s="56">
        <f t="shared" si="20"/>
        <v>0</v>
      </c>
      <c r="N128" s="56">
        <f t="shared" si="20"/>
        <v>0</v>
      </c>
      <c r="O128" s="56">
        <f t="shared" si="20"/>
        <v>0</v>
      </c>
      <c r="P128" s="56">
        <f t="shared" si="20"/>
        <v>0</v>
      </c>
      <c r="Q128" s="13">
        <f t="shared" si="17"/>
        <v>0</v>
      </c>
      <c r="R128" s="5"/>
      <c r="S128" s="5"/>
    </row>
    <row r="129" ht="12.75" customHeight="1">
      <c r="A129" s="57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13">
        <f t="shared" si="17"/>
        <v>0</v>
      </c>
      <c r="R129" s="5"/>
      <c r="S129" s="5"/>
    </row>
    <row r="130" ht="12.75" customHeight="1">
      <c r="A130" s="30" t="s">
        <v>37</v>
      </c>
      <c r="B130" s="47" t="s">
        <v>109</v>
      </c>
      <c r="C130" s="48" t="s">
        <v>110</v>
      </c>
      <c r="D130" s="16"/>
      <c r="E130" s="19">
        <v>0.0</v>
      </c>
      <c r="F130" s="19">
        <v>0.0</v>
      </c>
      <c r="G130" s="19">
        <v>0.0</v>
      </c>
      <c r="H130" s="19">
        <v>0.0</v>
      </c>
      <c r="I130" s="19">
        <v>0.0</v>
      </c>
      <c r="J130" s="19">
        <v>0.0</v>
      </c>
      <c r="K130" s="19">
        <v>0.0</v>
      </c>
      <c r="L130" s="19">
        <v>0.0</v>
      </c>
      <c r="M130" s="19">
        <v>0.0</v>
      </c>
      <c r="N130" s="19">
        <v>0.0</v>
      </c>
      <c r="O130" s="19">
        <v>0.0</v>
      </c>
      <c r="P130" s="19">
        <v>0.0</v>
      </c>
      <c r="Q130" s="13">
        <f t="shared" si="17"/>
        <v>0</v>
      </c>
      <c r="R130" s="1"/>
      <c r="S130" s="1"/>
    </row>
    <row r="131" ht="12.75" customHeight="1">
      <c r="A131" s="30" t="s">
        <v>39</v>
      </c>
      <c r="B131" s="49">
        <v>1.0</v>
      </c>
      <c r="C131" s="50" t="s">
        <v>111</v>
      </c>
      <c r="D131" s="51"/>
      <c r="E131" s="19">
        <v>0.0</v>
      </c>
      <c r="F131" s="19">
        <v>1.0</v>
      </c>
      <c r="G131" s="19">
        <v>1.0</v>
      </c>
      <c r="H131" s="19">
        <v>0.0</v>
      </c>
      <c r="I131" s="19">
        <v>1.0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3">
        <f t="shared" si="17"/>
        <v>3</v>
      </c>
      <c r="R131" s="53"/>
      <c r="S131" s="53"/>
    </row>
    <row r="132" ht="12.75" customHeight="1">
      <c r="A132" s="18"/>
      <c r="B132" s="49">
        <v>2.0</v>
      </c>
      <c r="C132" s="50" t="s">
        <v>112</v>
      </c>
      <c r="D132" s="51"/>
      <c r="E132" s="19">
        <v>1.0</v>
      </c>
      <c r="F132" s="19">
        <v>0.0</v>
      </c>
      <c r="G132" s="19">
        <v>0.0</v>
      </c>
      <c r="H132" s="19">
        <v>0.0</v>
      </c>
      <c r="I132" s="19">
        <v>0.0</v>
      </c>
      <c r="J132" s="19">
        <v>1.0</v>
      </c>
      <c r="K132" s="19">
        <v>0.0</v>
      </c>
      <c r="L132" s="19">
        <v>1.0</v>
      </c>
      <c r="M132" s="19">
        <v>0.0</v>
      </c>
      <c r="N132" s="19">
        <v>0.0</v>
      </c>
      <c r="O132" s="19">
        <v>1.0</v>
      </c>
      <c r="P132" s="19">
        <v>0.0</v>
      </c>
      <c r="Q132" s="13">
        <f t="shared" si="17"/>
        <v>4</v>
      </c>
      <c r="R132" s="5"/>
      <c r="S132" s="5"/>
    </row>
    <row r="133" ht="12.75" customHeight="1">
      <c r="A133" s="18"/>
      <c r="B133" s="49">
        <v>3.0</v>
      </c>
      <c r="C133" s="50" t="s">
        <v>113</v>
      </c>
      <c r="D133" s="51"/>
      <c r="E133" s="19">
        <v>1.0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3">
        <f t="shared" si="17"/>
        <v>1</v>
      </c>
      <c r="R133" s="5"/>
      <c r="S133" s="5"/>
    </row>
    <row r="134" ht="12.75" customHeight="1">
      <c r="A134" s="18"/>
      <c r="B134" s="49">
        <v>4.0</v>
      </c>
      <c r="C134" s="50" t="s">
        <v>114</v>
      </c>
      <c r="D134" s="51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3">
        <f t="shared" si="17"/>
        <v>0</v>
      </c>
      <c r="R134" s="5"/>
      <c r="S134" s="5"/>
    </row>
    <row r="135" ht="12.75" customHeight="1">
      <c r="A135" s="19" t="s">
        <v>15</v>
      </c>
      <c r="B135" s="47" t="s">
        <v>46</v>
      </c>
      <c r="C135" s="15"/>
      <c r="D135" s="16"/>
      <c r="E135" s="56">
        <f t="shared" ref="E135:P135" si="21">SUM(E130:E134)</f>
        <v>2</v>
      </c>
      <c r="F135" s="56">
        <f t="shared" si="21"/>
        <v>1</v>
      </c>
      <c r="G135" s="56">
        <f t="shared" si="21"/>
        <v>1</v>
      </c>
      <c r="H135" s="56">
        <f t="shared" si="21"/>
        <v>0</v>
      </c>
      <c r="I135" s="56">
        <f t="shared" si="21"/>
        <v>1</v>
      </c>
      <c r="J135" s="56">
        <f t="shared" si="21"/>
        <v>1</v>
      </c>
      <c r="K135" s="56">
        <f t="shared" si="21"/>
        <v>0</v>
      </c>
      <c r="L135" s="56">
        <f t="shared" si="21"/>
        <v>1</v>
      </c>
      <c r="M135" s="56">
        <f t="shared" si="21"/>
        <v>0</v>
      </c>
      <c r="N135" s="56">
        <f t="shared" si="21"/>
        <v>0</v>
      </c>
      <c r="O135" s="56">
        <f t="shared" si="21"/>
        <v>1</v>
      </c>
      <c r="P135" s="56">
        <f t="shared" si="21"/>
        <v>0</v>
      </c>
      <c r="Q135" s="13">
        <f t="shared" si="17"/>
        <v>8</v>
      </c>
      <c r="R135" s="5"/>
      <c r="S135" s="5"/>
    </row>
    <row r="136" ht="12.75" customHeight="1">
      <c r="A136" s="57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13">
        <f t="shared" si="17"/>
        <v>0</v>
      </c>
      <c r="R136" s="5"/>
      <c r="S136" s="5"/>
    </row>
    <row r="137" ht="12.75" customHeight="1">
      <c r="A137" s="30" t="s">
        <v>37</v>
      </c>
      <c r="B137" s="47" t="s">
        <v>115</v>
      </c>
      <c r="C137" s="48" t="s">
        <v>116</v>
      </c>
      <c r="D137" s="16"/>
      <c r="E137" s="19">
        <v>0.0</v>
      </c>
      <c r="F137" s="19">
        <v>0.0</v>
      </c>
      <c r="G137" s="19">
        <v>0.0</v>
      </c>
      <c r="H137" s="19">
        <v>0.0</v>
      </c>
      <c r="I137" s="19">
        <v>0.0</v>
      </c>
      <c r="J137" s="19">
        <v>0.0</v>
      </c>
      <c r="K137" s="19">
        <v>0.0</v>
      </c>
      <c r="L137" s="19">
        <v>0.0</v>
      </c>
      <c r="M137" s="19">
        <v>0.0</v>
      </c>
      <c r="N137" s="19">
        <v>0.0</v>
      </c>
      <c r="O137" s="19">
        <v>0.0</v>
      </c>
      <c r="P137" s="19">
        <v>0.0</v>
      </c>
      <c r="Q137" s="13">
        <f t="shared" si="17"/>
        <v>0</v>
      </c>
      <c r="R137" s="5"/>
      <c r="S137" s="5"/>
    </row>
    <row r="138" ht="12.75" customHeight="1">
      <c r="A138" s="30" t="s">
        <v>39</v>
      </c>
      <c r="B138" s="49">
        <v>1.0</v>
      </c>
      <c r="C138" s="50" t="s">
        <v>117</v>
      </c>
      <c r="D138" s="51"/>
      <c r="E138" s="19">
        <v>0.0</v>
      </c>
      <c r="F138" s="19">
        <v>0.0</v>
      </c>
      <c r="G138" s="19">
        <v>1.0</v>
      </c>
      <c r="H138" s="19">
        <v>0.0</v>
      </c>
      <c r="I138" s="19">
        <v>0.0</v>
      </c>
      <c r="J138" s="19">
        <v>0.0</v>
      </c>
      <c r="K138" s="19">
        <v>0.0</v>
      </c>
      <c r="L138" s="19">
        <v>0.0</v>
      </c>
      <c r="M138" s="19">
        <v>0.0</v>
      </c>
      <c r="N138" s="19">
        <v>0.0</v>
      </c>
      <c r="O138" s="19">
        <v>0.0</v>
      </c>
      <c r="P138" s="19">
        <v>0.0</v>
      </c>
      <c r="Q138" s="13">
        <f t="shared" si="17"/>
        <v>1</v>
      </c>
      <c r="R138" s="5"/>
      <c r="S138" s="5"/>
    </row>
    <row r="139" ht="15.0" customHeight="1">
      <c r="A139" s="18"/>
      <c r="B139" s="49">
        <v>2.0</v>
      </c>
      <c r="C139" s="50" t="s">
        <v>118</v>
      </c>
      <c r="D139" s="51"/>
      <c r="E139" s="19">
        <v>0.0</v>
      </c>
      <c r="F139" s="19">
        <v>0.0</v>
      </c>
      <c r="G139" s="19">
        <v>0.0</v>
      </c>
      <c r="H139" s="19">
        <v>0.0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19">
        <v>0.0</v>
      </c>
      <c r="Q139" s="13">
        <f t="shared" si="17"/>
        <v>0</v>
      </c>
      <c r="R139" s="5"/>
      <c r="S139" s="5"/>
    </row>
    <row r="140" ht="12.75" customHeight="1">
      <c r="A140" s="18"/>
      <c r="B140" s="49">
        <v>3.0</v>
      </c>
      <c r="C140" s="50" t="s">
        <v>119</v>
      </c>
      <c r="D140" s="51"/>
      <c r="E140" s="19">
        <v>0.0</v>
      </c>
      <c r="F140" s="19">
        <v>0.0</v>
      </c>
      <c r="G140" s="19">
        <v>0.0</v>
      </c>
      <c r="H140" s="19">
        <v>0.0</v>
      </c>
      <c r="I140" s="19">
        <v>0.0</v>
      </c>
      <c r="J140" s="19">
        <v>0.0</v>
      </c>
      <c r="K140" s="19">
        <v>0.0</v>
      </c>
      <c r="L140" s="19">
        <v>0.0</v>
      </c>
      <c r="M140" s="19">
        <v>0.0</v>
      </c>
      <c r="N140" s="19">
        <v>0.0</v>
      </c>
      <c r="O140" s="19">
        <v>0.0</v>
      </c>
      <c r="P140" s="19">
        <v>0.0</v>
      </c>
      <c r="Q140" s="13">
        <f t="shared" si="17"/>
        <v>0</v>
      </c>
      <c r="R140" s="5"/>
      <c r="S140" s="5"/>
    </row>
    <row r="141" ht="12.75" customHeight="1">
      <c r="A141" s="18"/>
      <c r="B141" s="49">
        <v>4.0</v>
      </c>
      <c r="C141" s="50" t="s">
        <v>120</v>
      </c>
      <c r="D141" s="51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3">
        <f t="shared" si="17"/>
        <v>0</v>
      </c>
      <c r="R141" s="1"/>
      <c r="S141" s="1"/>
    </row>
    <row r="142" ht="12.75" customHeight="1">
      <c r="A142" s="18"/>
      <c r="B142" s="49">
        <v>5.0</v>
      </c>
      <c r="C142" s="50" t="s">
        <v>121</v>
      </c>
      <c r="D142" s="5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3">
        <f t="shared" si="17"/>
        <v>0</v>
      </c>
      <c r="R142" s="53"/>
      <c r="S142" s="53"/>
    </row>
    <row r="143" ht="12.75" customHeight="1">
      <c r="A143" s="18"/>
      <c r="B143" s="49">
        <v>6.0</v>
      </c>
      <c r="C143" s="50" t="s">
        <v>122</v>
      </c>
      <c r="D143" s="5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3">
        <f t="shared" si="17"/>
        <v>0</v>
      </c>
      <c r="R143" s="5"/>
      <c r="S143" s="5"/>
    </row>
    <row r="144" ht="12.75" customHeight="1">
      <c r="A144" s="19" t="s">
        <v>15</v>
      </c>
      <c r="B144" s="47" t="s">
        <v>46</v>
      </c>
      <c r="C144" s="15"/>
      <c r="D144" s="16"/>
      <c r="E144" s="56">
        <f t="shared" ref="E144:P144" si="22">SUM(E137:E143)</f>
        <v>0</v>
      </c>
      <c r="F144" s="56">
        <f t="shared" si="22"/>
        <v>0</v>
      </c>
      <c r="G144" s="56">
        <f t="shared" si="22"/>
        <v>1</v>
      </c>
      <c r="H144" s="56">
        <f t="shared" si="22"/>
        <v>0</v>
      </c>
      <c r="I144" s="56">
        <f t="shared" si="22"/>
        <v>0</v>
      </c>
      <c r="J144" s="56">
        <f t="shared" si="22"/>
        <v>0</v>
      </c>
      <c r="K144" s="56">
        <f t="shared" si="22"/>
        <v>0</v>
      </c>
      <c r="L144" s="56">
        <f t="shared" si="22"/>
        <v>0</v>
      </c>
      <c r="M144" s="56">
        <f t="shared" si="22"/>
        <v>0</v>
      </c>
      <c r="N144" s="56">
        <f t="shared" si="22"/>
        <v>0</v>
      </c>
      <c r="O144" s="56">
        <f t="shared" si="22"/>
        <v>0</v>
      </c>
      <c r="P144" s="56">
        <f t="shared" si="22"/>
        <v>0</v>
      </c>
      <c r="Q144" s="13">
        <f t="shared" si="17"/>
        <v>1</v>
      </c>
      <c r="R144" s="5"/>
      <c r="S144" s="5"/>
    </row>
    <row r="145" ht="12.75" customHeight="1">
      <c r="A145" s="57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13">
        <f t="shared" si="17"/>
        <v>0</v>
      </c>
      <c r="R145" s="5"/>
      <c r="S145" s="5"/>
    </row>
    <row r="146" ht="12.75" customHeight="1">
      <c r="A146" s="30" t="s">
        <v>37</v>
      </c>
      <c r="B146" s="47" t="s">
        <v>123</v>
      </c>
      <c r="C146" s="48" t="s">
        <v>124</v>
      </c>
      <c r="D146" s="16"/>
      <c r="E146" s="19">
        <v>2.0</v>
      </c>
      <c r="F146" s="19">
        <v>1.0</v>
      </c>
      <c r="G146" s="19">
        <v>0.0</v>
      </c>
      <c r="H146" s="19">
        <v>1.0</v>
      </c>
      <c r="I146" s="19">
        <v>3.0</v>
      </c>
      <c r="J146" s="19">
        <v>0.0</v>
      </c>
      <c r="K146" s="19">
        <v>1.0</v>
      </c>
      <c r="L146" s="19">
        <v>1.0</v>
      </c>
      <c r="M146" s="19">
        <v>1.0</v>
      </c>
      <c r="N146" s="19">
        <v>0.0</v>
      </c>
      <c r="O146" s="19">
        <v>0.0</v>
      </c>
      <c r="P146" s="19">
        <v>0.0</v>
      </c>
      <c r="Q146" s="13">
        <f t="shared" si="17"/>
        <v>10</v>
      </c>
      <c r="R146" s="5"/>
      <c r="S146" s="5"/>
    </row>
    <row r="147" ht="12.75" customHeight="1">
      <c r="A147" s="30" t="s">
        <v>39</v>
      </c>
      <c r="B147" s="49">
        <v>1.0</v>
      </c>
      <c r="C147" s="50" t="s">
        <v>125</v>
      </c>
      <c r="D147" s="51"/>
      <c r="E147" s="19">
        <v>1.0</v>
      </c>
      <c r="F147" s="19">
        <v>1.0</v>
      </c>
      <c r="G147" s="19">
        <v>11.0</v>
      </c>
      <c r="H147" s="19">
        <v>4.0</v>
      </c>
      <c r="I147" s="19">
        <v>13.0</v>
      </c>
      <c r="J147" s="19">
        <v>2.0</v>
      </c>
      <c r="K147" s="19">
        <v>2.0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3">
        <f t="shared" si="17"/>
        <v>34</v>
      </c>
      <c r="R147" s="5"/>
      <c r="S147" s="5"/>
    </row>
    <row r="148" ht="12.75" customHeight="1">
      <c r="A148" s="18"/>
      <c r="B148" s="49">
        <v>2.0</v>
      </c>
      <c r="C148" s="50" t="s">
        <v>126</v>
      </c>
      <c r="D148" s="51"/>
      <c r="E148" s="19">
        <v>0.0</v>
      </c>
      <c r="F148" s="19">
        <v>0.0</v>
      </c>
      <c r="G148" s="19">
        <v>0.0</v>
      </c>
      <c r="H148" s="19">
        <v>0.0</v>
      </c>
      <c r="I148" s="19">
        <v>1.0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3">
        <f t="shared" si="17"/>
        <v>1</v>
      </c>
      <c r="R148" s="5"/>
      <c r="S148" s="5"/>
    </row>
    <row r="149" ht="12.75" customHeight="1">
      <c r="A149" s="18"/>
      <c r="B149" s="49">
        <v>3.0</v>
      </c>
      <c r="C149" s="50" t="s">
        <v>127</v>
      </c>
      <c r="D149" s="51"/>
      <c r="E149" s="19">
        <v>0.0</v>
      </c>
      <c r="F149" s="19">
        <v>0.0</v>
      </c>
      <c r="G149" s="19">
        <v>0.0</v>
      </c>
      <c r="H149" s="19">
        <v>1.0</v>
      </c>
      <c r="I149" s="19">
        <v>1.0</v>
      </c>
      <c r="J149" s="19">
        <v>0.0</v>
      </c>
      <c r="K149" s="19">
        <v>0.0</v>
      </c>
      <c r="L149" s="19">
        <v>0.0</v>
      </c>
      <c r="M149" s="19">
        <v>0.0</v>
      </c>
      <c r="N149" s="19">
        <v>0.0</v>
      </c>
      <c r="O149" s="19">
        <v>0.0</v>
      </c>
      <c r="P149" s="19">
        <v>0.0</v>
      </c>
      <c r="Q149" s="13">
        <f t="shared" si="17"/>
        <v>2</v>
      </c>
      <c r="R149" s="5"/>
      <c r="S149" s="5"/>
    </row>
    <row r="150" ht="12.75" customHeight="1">
      <c r="A150" s="18"/>
      <c r="B150" s="49">
        <v>4.0</v>
      </c>
      <c r="C150" s="50" t="s">
        <v>128</v>
      </c>
      <c r="D150" s="51"/>
      <c r="E150" s="19">
        <v>0.0</v>
      </c>
      <c r="F150" s="19">
        <v>0.0</v>
      </c>
      <c r="G150" s="19">
        <v>0.0</v>
      </c>
      <c r="H150" s="19">
        <v>0.0</v>
      </c>
      <c r="I150" s="19">
        <v>0.0</v>
      </c>
      <c r="J150" s="19">
        <v>0.0</v>
      </c>
      <c r="K150" s="19">
        <v>0.0</v>
      </c>
      <c r="L150" s="19">
        <v>0.0</v>
      </c>
      <c r="M150" s="19">
        <v>0.0</v>
      </c>
      <c r="N150" s="19">
        <v>0.0</v>
      </c>
      <c r="O150" s="19">
        <v>0.0</v>
      </c>
      <c r="P150" s="19">
        <v>0.0</v>
      </c>
      <c r="Q150" s="13">
        <f t="shared" si="17"/>
        <v>0</v>
      </c>
      <c r="R150" s="5"/>
      <c r="S150" s="5"/>
    </row>
    <row r="151" ht="12.75" customHeight="1">
      <c r="A151" s="18"/>
      <c r="B151" s="49">
        <v>5.0</v>
      </c>
      <c r="C151" s="50" t="s">
        <v>129</v>
      </c>
      <c r="D151" s="51"/>
      <c r="E151" s="19">
        <v>0.0</v>
      </c>
      <c r="F151" s="19">
        <v>0.0</v>
      </c>
      <c r="G151" s="19">
        <v>0.0</v>
      </c>
      <c r="H151" s="19">
        <v>0.0</v>
      </c>
      <c r="I151" s="19">
        <v>0.0</v>
      </c>
      <c r="J151" s="19">
        <v>0.0</v>
      </c>
      <c r="K151" s="19">
        <v>0.0</v>
      </c>
      <c r="L151" s="19">
        <v>0.0</v>
      </c>
      <c r="M151" s="19">
        <v>0.0</v>
      </c>
      <c r="N151" s="19">
        <v>0.0</v>
      </c>
      <c r="O151" s="19">
        <v>0.0</v>
      </c>
      <c r="P151" s="19">
        <v>0.0</v>
      </c>
      <c r="Q151" s="13">
        <f t="shared" si="17"/>
        <v>0</v>
      </c>
      <c r="R151" s="1"/>
      <c r="S151" s="1"/>
    </row>
    <row r="152" ht="12.75" customHeight="1">
      <c r="A152" s="18"/>
      <c r="B152" s="49">
        <v>6.0</v>
      </c>
      <c r="C152" s="50" t="s">
        <v>130</v>
      </c>
      <c r="D152" s="51"/>
      <c r="E152" s="19">
        <v>0.0</v>
      </c>
      <c r="F152" s="19">
        <v>2.0</v>
      </c>
      <c r="G152" s="19">
        <v>0.0</v>
      </c>
      <c r="H152" s="19">
        <v>1.0</v>
      </c>
      <c r="I152" s="19">
        <v>0.0</v>
      </c>
      <c r="J152" s="19">
        <v>0.0</v>
      </c>
      <c r="K152" s="19">
        <v>0.0</v>
      </c>
      <c r="L152" s="19">
        <v>0.0</v>
      </c>
      <c r="M152" s="19">
        <v>0.0</v>
      </c>
      <c r="N152" s="19">
        <v>0.0</v>
      </c>
      <c r="O152" s="19">
        <v>0.0</v>
      </c>
      <c r="P152" s="19">
        <v>0.0</v>
      </c>
      <c r="Q152" s="13">
        <f t="shared" si="17"/>
        <v>3</v>
      </c>
      <c r="R152" s="53"/>
      <c r="S152" s="53"/>
    </row>
    <row r="153" ht="12.75" customHeight="1">
      <c r="A153" s="19" t="s">
        <v>15</v>
      </c>
      <c r="B153" s="47" t="s">
        <v>46</v>
      </c>
      <c r="C153" s="15"/>
      <c r="D153" s="16"/>
      <c r="E153" s="56">
        <f t="shared" ref="E153:P153" si="23">SUM(E146:E152)</f>
        <v>3</v>
      </c>
      <c r="F153" s="56">
        <f t="shared" si="23"/>
        <v>4</v>
      </c>
      <c r="G153" s="56">
        <f t="shared" si="23"/>
        <v>11</v>
      </c>
      <c r="H153" s="56">
        <f t="shared" si="23"/>
        <v>7</v>
      </c>
      <c r="I153" s="56">
        <f t="shared" si="23"/>
        <v>18</v>
      </c>
      <c r="J153" s="56">
        <f t="shared" si="23"/>
        <v>2</v>
      </c>
      <c r="K153" s="56">
        <f t="shared" si="23"/>
        <v>3</v>
      </c>
      <c r="L153" s="56">
        <f t="shared" si="23"/>
        <v>1</v>
      </c>
      <c r="M153" s="56">
        <f t="shared" si="23"/>
        <v>1</v>
      </c>
      <c r="N153" s="56">
        <f t="shared" si="23"/>
        <v>0</v>
      </c>
      <c r="O153" s="56">
        <f t="shared" si="23"/>
        <v>0</v>
      </c>
      <c r="P153" s="56">
        <f t="shared" si="23"/>
        <v>0</v>
      </c>
      <c r="Q153" s="13">
        <f t="shared" si="17"/>
        <v>50</v>
      </c>
      <c r="R153" s="5"/>
      <c r="S153" s="5"/>
    </row>
    <row r="154" ht="12.75" customHeight="1">
      <c r="A154" s="57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13">
        <f t="shared" si="17"/>
        <v>0</v>
      </c>
      <c r="R154" s="5"/>
      <c r="S154" s="5"/>
    </row>
    <row r="155" ht="12.75" customHeight="1">
      <c r="A155" s="30" t="s">
        <v>37</v>
      </c>
      <c r="B155" s="47" t="s">
        <v>131</v>
      </c>
      <c r="C155" s="48" t="s">
        <v>132</v>
      </c>
      <c r="D155" s="16"/>
      <c r="E155" s="19">
        <v>1.0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1.0</v>
      </c>
      <c r="M155" s="19">
        <v>0.0</v>
      </c>
      <c r="N155" s="19">
        <v>1.0</v>
      </c>
      <c r="O155" s="19">
        <v>0.0</v>
      </c>
      <c r="P155" s="19">
        <v>0.0</v>
      </c>
      <c r="Q155" s="13">
        <f t="shared" si="17"/>
        <v>3</v>
      </c>
      <c r="R155" s="5"/>
      <c r="S155" s="5"/>
    </row>
    <row r="156" ht="12.75" customHeight="1">
      <c r="A156" s="30" t="s">
        <v>39</v>
      </c>
      <c r="B156" s="49"/>
      <c r="C156" s="50" t="s">
        <v>133</v>
      </c>
      <c r="D156" s="51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3">
        <f t="shared" si="17"/>
        <v>0</v>
      </c>
      <c r="R156" s="5"/>
      <c r="S156" s="5"/>
    </row>
    <row r="157" ht="12.75" customHeight="1">
      <c r="A157" s="19" t="s">
        <v>15</v>
      </c>
      <c r="B157" s="47" t="s">
        <v>46</v>
      </c>
      <c r="C157" s="15"/>
      <c r="D157" s="16"/>
      <c r="E157" s="56">
        <f t="shared" ref="E157:P157" si="24">SUM(E155:E156)</f>
        <v>1</v>
      </c>
      <c r="F157" s="56">
        <f t="shared" si="24"/>
        <v>0</v>
      </c>
      <c r="G157" s="56">
        <f t="shared" si="24"/>
        <v>0</v>
      </c>
      <c r="H157" s="56">
        <f t="shared" si="24"/>
        <v>0</v>
      </c>
      <c r="I157" s="56">
        <f t="shared" si="24"/>
        <v>0</v>
      </c>
      <c r="J157" s="56">
        <f t="shared" si="24"/>
        <v>0</v>
      </c>
      <c r="K157" s="56">
        <f t="shared" si="24"/>
        <v>0</v>
      </c>
      <c r="L157" s="56">
        <f t="shared" si="24"/>
        <v>1</v>
      </c>
      <c r="M157" s="56">
        <f t="shared" si="24"/>
        <v>0</v>
      </c>
      <c r="N157" s="56">
        <f t="shared" si="24"/>
        <v>1</v>
      </c>
      <c r="O157" s="56">
        <f t="shared" si="24"/>
        <v>0</v>
      </c>
      <c r="P157" s="56">
        <f t="shared" si="24"/>
        <v>0</v>
      </c>
      <c r="Q157" s="13">
        <f t="shared" si="17"/>
        <v>3</v>
      </c>
      <c r="R157" s="5"/>
      <c r="S157" s="5"/>
    </row>
    <row r="158" ht="12.75" customHeight="1">
      <c r="A158" s="57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13">
        <f t="shared" si="17"/>
        <v>0</v>
      </c>
      <c r="R158" s="5"/>
      <c r="S158" s="5"/>
    </row>
    <row r="159" ht="12.75" customHeight="1">
      <c r="A159" s="30" t="s">
        <v>37</v>
      </c>
      <c r="B159" s="47" t="s">
        <v>134</v>
      </c>
      <c r="C159" s="48" t="s">
        <v>135</v>
      </c>
      <c r="D159" s="16"/>
      <c r="E159" s="19">
        <v>0.0</v>
      </c>
      <c r="F159" s="19">
        <v>0.0</v>
      </c>
      <c r="G159" s="19">
        <v>0.0</v>
      </c>
      <c r="H159" s="19">
        <v>0.0</v>
      </c>
      <c r="I159" s="19">
        <v>0.0</v>
      </c>
      <c r="J159" s="19">
        <v>0.0</v>
      </c>
      <c r="K159" s="19">
        <v>0.0</v>
      </c>
      <c r="L159" s="19">
        <v>0.0</v>
      </c>
      <c r="M159" s="19">
        <v>0.0</v>
      </c>
      <c r="N159" s="19">
        <v>0.0</v>
      </c>
      <c r="O159" s="19">
        <v>0.0</v>
      </c>
      <c r="P159" s="19">
        <v>0.0</v>
      </c>
      <c r="Q159" s="13">
        <f t="shared" si="17"/>
        <v>0</v>
      </c>
      <c r="R159" s="5"/>
      <c r="S159" s="5"/>
    </row>
    <row r="160" ht="12.75" customHeight="1">
      <c r="A160" s="30"/>
      <c r="B160" s="49">
        <v>1.0</v>
      </c>
      <c r="C160" s="50" t="s">
        <v>136</v>
      </c>
      <c r="D160" s="59"/>
      <c r="E160" s="19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0.0</v>
      </c>
      <c r="P160" s="19">
        <v>0.0</v>
      </c>
      <c r="Q160" s="13">
        <f t="shared" si="17"/>
        <v>0</v>
      </c>
      <c r="R160" s="5"/>
      <c r="S160" s="5"/>
    </row>
    <row r="161" ht="12.75" customHeight="1">
      <c r="A161" s="30"/>
      <c r="B161" s="49">
        <v>2.0</v>
      </c>
      <c r="C161" s="50" t="s">
        <v>137</v>
      </c>
      <c r="D161" s="59"/>
      <c r="E161" s="19">
        <v>3.0</v>
      </c>
      <c r="F161" s="19">
        <v>0.0</v>
      </c>
      <c r="G161" s="19">
        <v>0.0</v>
      </c>
      <c r="H161" s="19">
        <v>0.0</v>
      </c>
      <c r="I161" s="19">
        <v>2.0</v>
      </c>
      <c r="J161" s="19">
        <v>0.0</v>
      </c>
      <c r="K161" s="19">
        <v>0.0</v>
      </c>
      <c r="L161" s="19">
        <v>0.0</v>
      </c>
      <c r="M161" s="19">
        <v>0.0</v>
      </c>
      <c r="N161" s="19">
        <v>0.0</v>
      </c>
      <c r="O161" s="19">
        <v>0.0</v>
      </c>
      <c r="P161" s="19">
        <v>0.0</v>
      </c>
      <c r="Q161" s="13">
        <f t="shared" si="17"/>
        <v>5</v>
      </c>
      <c r="R161" s="5"/>
      <c r="S161" s="5"/>
    </row>
    <row r="162" ht="12.75" customHeight="1">
      <c r="A162" s="30" t="s">
        <v>39</v>
      </c>
      <c r="B162" s="49">
        <v>3.0</v>
      </c>
      <c r="C162" s="50" t="s">
        <v>138</v>
      </c>
      <c r="D162" s="59"/>
      <c r="E162" s="19">
        <v>0.0</v>
      </c>
      <c r="F162" s="19">
        <v>0.0</v>
      </c>
      <c r="G162" s="19">
        <v>0.0</v>
      </c>
      <c r="H162" s="19">
        <v>0.0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0.0</v>
      </c>
      <c r="P162" s="19">
        <v>0.0</v>
      </c>
      <c r="Q162" s="13">
        <f t="shared" si="17"/>
        <v>0</v>
      </c>
      <c r="R162" s="5"/>
      <c r="S162" s="5"/>
    </row>
    <row r="163" ht="15.0" customHeight="1">
      <c r="A163" s="19" t="s">
        <v>15</v>
      </c>
      <c r="B163" s="47" t="s">
        <v>46</v>
      </c>
      <c r="C163" s="15"/>
      <c r="D163" s="16"/>
      <c r="E163" s="56">
        <f t="shared" ref="E163:P163" si="25">SUM(E159:E162)</f>
        <v>3</v>
      </c>
      <c r="F163" s="56">
        <f t="shared" si="25"/>
        <v>0</v>
      </c>
      <c r="G163" s="56">
        <f t="shared" si="25"/>
        <v>0</v>
      </c>
      <c r="H163" s="56">
        <f t="shared" si="25"/>
        <v>0</v>
      </c>
      <c r="I163" s="56">
        <f t="shared" si="25"/>
        <v>2</v>
      </c>
      <c r="J163" s="56">
        <f t="shared" si="25"/>
        <v>0</v>
      </c>
      <c r="K163" s="56">
        <f t="shared" si="25"/>
        <v>0</v>
      </c>
      <c r="L163" s="56">
        <f t="shared" si="25"/>
        <v>0</v>
      </c>
      <c r="M163" s="56">
        <f t="shared" si="25"/>
        <v>0</v>
      </c>
      <c r="N163" s="56">
        <f t="shared" si="25"/>
        <v>0</v>
      </c>
      <c r="O163" s="56">
        <f t="shared" si="25"/>
        <v>0</v>
      </c>
      <c r="P163" s="56">
        <f t="shared" si="25"/>
        <v>0</v>
      </c>
      <c r="Q163" s="13">
        <f t="shared" si="17"/>
        <v>5</v>
      </c>
      <c r="R163" s="5"/>
      <c r="S163" s="5"/>
    </row>
    <row r="164" ht="12.75" customHeight="1">
      <c r="A164" s="57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13">
        <f t="shared" si="17"/>
        <v>0</v>
      </c>
      <c r="R164" s="5"/>
      <c r="S164" s="5"/>
    </row>
    <row r="165" ht="12.75" customHeight="1">
      <c r="A165" s="30" t="s">
        <v>37</v>
      </c>
      <c r="B165" s="47" t="s">
        <v>139</v>
      </c>
      <c r="C165" s="48" t="s">
        <v>140</v>
      </c>
      <c r="D165" s="16"/>
      <c r="E165" s="19">
        <v>0.0</v>
      </c>
      <c r="F165" s="19">
        <v>5.0</v>
      </c>
      <c r="G165" s="19">
        <v>0.0</v>
      </c>
      <c r="H165" s="19">
        <v>1.0</v>
      </c>
      <c r="I165" s="19">
        <v>0.0</v>
      </c>
      <c r="J165" s="19">
        <v>1.0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3">
        <f t="shared" si="17"/>
        <v>7</v>
      </c>
      <c r="R165" s="1"/>
      <c r="S165" s="1"/>
    </row>
    <row r="166" ht="12.75" customHeight="1">
      <c r="A166" s="30" t="s">
        <v>39</v>
      </c>
      <c r="B166" s="49">
        <v>1.0</v>
      </c>
      <c r="C166" s="50" t="s">
        <v>141</v>
      </c>
      <c r="D166" s="51"/>
      <c r="E166" s="19">
        <v>3.0</v>
      </c>
      <c r="F166" s="19">
        <v>3.0</v>
      </c>
      <c r="G166" s="19">
        <v>6.0</v>
      </c>
      <c r="H166" s="19">
        <v>0.0</v>
      </c>
      <c r="I166" s="19">
        <v>1.0</v>
      </c>
      <c r="J166" s="19">
        <v>0.0</v>
      </c>
      <c r="K166" s="19">
        <v>0.0</v>
      </c>
      <c r="L166" s="19">
        <v>2.0</v>
      </c>
      <c r="M166" s="19">
        <v>0.0</v>
      </c>
      <c r="N166" s="19">
        <v>0.0</v>
      </c>
      <c r="O166" s="19">
        <v>0.0</v>
      </c>
      <c r="P166" s="19">
        <v>3.0</v>
      </c>
      <c r="Q166" s="13">
        <f t="shared" si="17"/>
        <v>18</v>
      </c>
      <c r="R166" s="53"/>
      <c r="S166" s="53"/>
    </row>
    <row r="167" ht="12.75" customHeight="1">
      <c r="A167" s="18"/>
      <c r="B167" s="49">
        <v>2.0</v>
      </c>
      <c r="C167" s="50" t="s">
        <v>142</v>
      </c>
      <c r="D167" s="51"/>
      <c r="E167" s="19">
        <v>9.0</v>
      </c>
      <c r="F167" s="19">
        <v>9.0</v>
      </c>
      <c r="G167" s="19">
        <v>4.0</v>
      </c>
      <c r="H167" s="19">
        <v>2.0</v>
      </c>
      <c r="I167" s="19">
        <v>10.0</v>
      </c>
      <c r="J167" s="19">
        <v>7.0</v>
      </c>
      <c r="K167" s="19">
        <v>6.0</v>
      </c>
      <c r="L167" s="19">
        <v>20.0</v>
      </c>
      <c r="M167" s="19">
        <v>53.0</v>
      </c>
      <c r="N167" s="19">
        <v>0.0</v>
      </c>
      <c r="O167" s="19">
        <v>0.0</v>
      </c>
      <c r="P167" s="19">
        <v>0.0</v>
      </c>
      <c r="Q167" s="13">
        <f t="shared" si="17"/>
        <v>120</v>
      </c>
      <c r="R167" s="5"/>
      <c r="S167" s="5"/>
    </row>
    <row r="168" ht="12.75" customHeight="1">
      <c r="A168" s="18"/>
      <c r="B168" s="49">
        <v>3.0</v>
      </c>
      <c r="C168" s="50" t="s">
        <v>143</v>
      </c>
      <c r="D168" s="51"/>
      <c r="E168" s="19">
        <v>1.0</v>
      </c>
      <c r="F168" s="19">
        <v>0.0</v>
      </c>
      <c r="G168" s="19">
        <v>0.0</v>
      </c>
      <c r="H168" s="19">
        <v>0.0</v>
      </c>
      <c r="I168" s="19">
        <v>1.0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3">
        <f t="shared" si="17"/>
        <v>2</v>
      </c>
      <c r="R168" s="5"/>
      <c r="S168" s="5"/>
    </row>
    <row r="169" ht="12.75" customHeight="1">
      <c r="A169" s="18"/>
      <c r="B169" s="49">
        <v>4.0</v>
      </c>
      <c r="C169" s="50" t="s">
        <v>144</v>
      </c>
      <c r="D169" s="51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1.0</v>
      </c>
      <c r="M169" s="19">
        <v>0.0</v>
      </c>
      <c r="N169" s="19">
        <v>0.0</v>
      </c>
      <c r="O169" s="19">
        <v>0.0</v>
      </c>
      <c r="P169" s="19">
        <v>0.0</v>
      </c>
      <c r="Q169" s="13">
        <f t="shared" si="17"/>
        <v>1</v>
      </c>
      <c r="R169" s="5"/>
      <c r="S169" s="5"/>
    </row>
    <row r="170" ht="12.75" customHeight="1">
      <c r="A170" s="18"/>
      <c r="B170" s="49">
        <v>5.0</v>
      </c>
      <c r="C170" s="50" t="s">
        <v>145</v>
      </c>
      <c r="D170" s="51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3">
        <f t="shared" si="17"/>
        <v>0</v>
      </c>
      <c r="R170" s="5"/>
      <c r="S170" s="5"/>
    </row>
    <row r="171" ht="12.75" customHeight="1">
      <c r="A171" s="18"/>
      <c r="B171" s="49">
        <v>6.0</v>
      </c>
      <c r="C171" s="50" t="s">
        <v>146</v>
      </c>
      <c r="D171" s="51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3">
        <f t="shared" si="17"/>
        <v>0</v>
      </c>
      <c r="R171" s="5"/>
      <c r="S171" s="5"/>
    </row>
    <row r="172" ht="12.75" customHeight="1">
      <c r="A172" s="19" t="s">
        <v>15</v>
      </c>
      <c r="B172" s="47" t="s">
        <v>46</v>
      </c>
      <c r="C172" s="15"/>
      <c r="D172" s="16"/>
      <c r="E172" s="56">
        <f t="shared" ref="E172:P172" si="26">SUM(E165:E171)</f>
        <v>13</v>
      </c>
      <c r="F172" s="56">
        <f t="shared" si="26"/>
        <v>17</v>
      </c>
      <c r="G172" s="56">
        <f t="shared" si="26"/>
        <v>10</v>
      </c>
      <c r="H172" s="56">
        <f t="shared" si="26"/>
        <v>3</v>
      </c>
      <c r="I172" s="56">
        <f t="shared" si="26"/>
        <v>12</v>
      </c>
      <c r="J172" s="56">
        <f t="shared" si="26"/>
        <v>8</v>
      </c>
      <c r="K172" s="56">
        <f t="shared" si="26"/>
        <v>6</v>
      </c>
      <c r="L172" s="56">
        <f t="shared" si="26"/>
        <v>23</v>
      </c>
      <c r="M172" s="56">
        <f t="shared" si="26"/>
        <v>53</v>
      </c>
      <c r="N172" s="56">
        <f t="shared" si="26"/>
        <v>0</v>
      </c>
      <c r="O172" s="56">
        <f t="shared" si="26"/>
        <v>0</v>
      </c>
      <c r="P172" s="56">
        <f t="shared" si="26"/>
        <v>3</v>
      </c>
      <c r="Q172" s="13">
        <f t="shared" si="17"/>
        <v>148</v>
      </c>
      <c r="R172" s="5"/>
      <c r="S172" s="5"/>
    </row>
    <row r="173" ht="12.75" customHeight="1">
      <c r="A173" s="57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13">
        <f t="shared" si="17"/>
        <v>0</v>
      </c>
      <c r="R173" s="5"/>
      <c r="S173" s="5"/>
    </row>
    <row r="174" ht="12.75" customHeight="1">
      <c r="A174" s="30" t="s">
        <v>37</v>
      </c>
      <c r="B174" s="47" t="s">
        <v>147</v>
      </c>
      <c r="C174" s="48" t="s">
        <v>148</v>
      </c>
      <c r="D174" s="16"/>
      <c r="E174" s="19">
        <v>0.0</v>
      </c>
      <c r="F174" s="19">
        <v>0.0</v>
      </c>
      <c r="G174" s="19">
        <v>0.0</v>
      </c>
      <c r="H174" s="19">
        <v>0.0</v>
      </c>
      <c r="I174" s="19">
        <v>0.0</v>
      </c>
      <c r="J174" s="19">
        <v>0.0</v>
      </c>
      <c r="K174" s="19">
        <v>0.0</v>
      </c>
      <c r="L174" s="19">
        <v>0.0</v>
      </c>
      <c r="M174" s="19">
        <v>0.0</v>
      </c>
      <c r="N174" s="19">
        <v>0.0</v>
      </c>
      <c r="O174" s="19">
        <v>0.0</v>
      </c>
      <c r="P174" s="19">
        <v>0.0</v>
      </c>
      <c r="Q174" s="13">
        <f t="shared" si="17"/>
        <v>0</v>
      </c>
      <c r="R174" s="5"/>
      <c r="S174" s="5"/>
    </row>
    <row r="175" ht="15.0" customHeight="1">
      <c r="A175" s="30"/>
      <c r="B175" s="49">
        <v>1.0</v>
      </c>
      <c r="C175" s="50" t="s">
        <v>149</v>
      </c>
      <c r="D175" s="59"/>
      <c r="E175" s="19">
        <v>1.0</v>
      </c>
      <c r="F175" s="19">
        <v>1.0</v>
      </c>
      <c r="G175" s="19">
        <v>0.0</v>
      </c>
      <c r="H175" s="19">
        <v>0.0</v>
      </c>
      <c r="I175" s="19">
        <v>0.0</v>
      </c>
      <c r="J175" s="19">
        <v>3.0</v>
      </c>
      <c r="K175" s="19">
        <v>0.0</v>
      </c>
      <c r="L175" s="19">
        <v>0.0</v>
      </c>
      <c r="M175" s="19">
        <v>0.0</v>
      </c>
      <c r="N175" s="19">
        <v>0.0</v>
      </c>
      <c r="O175" s="19">
        <v>0.0</v>
      </c>
      <c r="P175" s="19">
        <v>0.0</v>
      </c>
      <c r="Q175" s="13">
        <f t="shared" si="17"/>
        <v>5</v>
      </c>
      <c r="R175" s="5"/>
      <c r="S175" s="5"/>
    </row>
    <row r="176" ht="12.75" customHeight="1">
      <c r="A176" s="30" t="s">
        <v>39</v>
      </c>
      <c r="B176" s="49">
        <v>2.0</v>
      </c>
      <c r="C176" s="50" t="s">
        <v>150</v>
      </c>
      <c r="D176" s="51"/>
      <c r="E176" s="19">
        <v>0.0</v>
      </c>
      <c r="F176" s="19">
        <v>0.0</v>
      </c>
      <c r="G176" s="19">
        <v>0.0</v>
      </c>
      <c r="H176" s="19">
        <v>0.0</v>
      </c>
      <c r="I176" s="19">
        <v>0.0</v>
      </c>
      <c r="J176" s="19">
        <v>0.0</v>
      </c>
      <c r="K176" s="19">
        <v>0.0</v>
      </c>
      <c r="L176" s="19">
        <v>0.0</v>
      </c>
      <c r="M176" s="19">
        <v>0.0</v>
      </c>
      <c r="N176" s="19">
        <v>0.0</v>
      </c>
      <c r="O176" s="19">
        <v>0.0</v>
      </c>
      <c r="P176" s="19">
        <v>0.0</v>
      </c>
      <c r="Q176" s="13">
        <f t="shared" si="17"/>
        <v>0</v>
      </c>
      <c r="R176" s="1"/>
      <c r="S176" s="1"/>
    </row>
    <row r="177" ht="12.75" customHeight="1">
      <c r="A177" s="19" t="s">
        <v>15</v>
      </c>
      <c r="B177" s="47" t="s">
        <v>46</v>
      </c>
      <c r="C177" s="15"/>
      <c r="D177" s="16"/>
      <c r="E177" s="56">
        <f t="shared" ref="E177:P177" si="27">SUM(E174:E176)</f>
        <v>1</v>
      </c>
      <c r="F177" s="56">
        <f t="shared" si="27"/>
        <v>1</v>
      </c>
      <c r="G177" s="56">
        <f t="shared" si="27"/>
        <v>0</v>
      </c>
      <c r="H177" s="56">
        <f t="shared" si="27"/>
        <v>0</v>
      </c>
      <c r="I177" s="56">
        <f t="shared" si="27"/>
        <v>0</v>
      </c>
      <c r="J177" s="56">
        <f t="shared" si="27"/>
        <v>3</v>
      </c>
      <c r="K177" s="56">
        <f t="shared" si="27"/>
        <v>0</v>
      </c>
      <c r="L177" s="56">
        <f t="shared" si="27"/>
        <v>0</v>
      </c>
      <c r="M177" s="56">
        <f t="shared" si="27"/>
        <v>0</v>
      </c>
      <c r="N177" s="56">
        <f t="shared" si="27"/>
        <v>0</v>
      </c>
      <c r="O177" s="56">
        <f t="shared" si="27"/>
        <v>0</v>
      </c>
      <c r="P177" s="56">
        <f t="shared" si="27"/>
        <v>0</v>
      </c>
      <c r="Q177" s="13">
        <f t="shared" si="17"/>
        <v>5</v>
      </c>
    </row>
    <row r="178" ht="12.75" customHeight="1">
      <c r="A178" s="45"/>
      <c r="B178" s="44"/>
      <c r="C178" s="44"/>
      <c r="D178" s="28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13">
        <f t="shared" si="17"/>
        <v>0</v>
      </c>
      <c r="R178" s="5"/>
      <c r="S178" s="5"/>
    </row>
    <row r="179" ht="12.75" customHeight="1">
      <c r="A179" s="42" t="s">
        <v>151</v>
      </c>
      <c r="B179" s="14" t="s">
        <v>152</v>
      </c>
      <c r="C179" s="15"/>
      <c r="D179" s="16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13">
        <f t="shared" si="17"/>
        <v>0</v>
      </c>
      <c r="R179" s="5"/>
      <c r="S179" s="5"/>
    </row>
    <row r="180" ht="12.75" customHeight="1">
      <c r="A180" s="42"/>
      <c r="B180" s="60" t="s">
        <v>153</v>
      </c>
      <c r="C180" s="61" t="s">
        <v>154</v>
      </c>
      <c r="D180" s="16"/>
      <c r="E180" s="19">
        <f t="shared" ref="E180:P180" si="28">E177+E172+E163+E157+E153+E144+E135+E128+E124+E115+E108+E99+E94+E88+E79+E70+E61+E52</f>
        <v>181</v>
      </c>
      <c r="F180" s="19">
        <f t="shared" si="28"/>
        <v>220</v>
      </c>
      <c r="G180" s="19">
        <f t="shared" si="28"/>
        <v>215</v>
      </c>
      <c r="H180" s="19">
        <f t="shared" si="28"/>
        <v>231</v>
      </c>
      <c r="I180" s="19">
        <f t="shared" si="28"/>
        <v>231</v>
      </c>
      <c r="J180" s="19">
        <f t="shared" si="28"/>
        <v>228</v>
      </c>
      <c r="K180" s="19">
        <f t="shared" si="28"/>
        <v>194</v>
      </c>
      <c r="L180" s="19">
        <f t="shared" si="28"/>
        <v>185</v>
      </c>
      <c r="M180" s="19">
        <f t="shared" si="28"/>
        <v>145</v>
      </c>
      <c r="N180" s="19">
        <f t="shared" si="28"/>
        <v>199</v>
      </c>
      <c r="O180" s="19">
        <f t="shared" si="28"/>
        <v>237</v>
      </c>
      <c r="P180" s="19">
        <f t="shared" si="28"/>
        <v>235</v>
      </c>
      <c r="Q180" s="13">
        <f t="shared" si="17"/>
        <v>2501</v>
      </c>
      <c r="R180" s="5"/>
      <c r="S180" s="5"/>
    </row>
    <row r="181" ht="12.75" customHeight="1">
      <c r="A181" s="35"/>
      <c r="B181" s="60" t="s">
        <v>155</v>
      </c>
      <c r="C181" s="61" t="s">
        <v>156</v>
      </c>
      <c r="D181" s="16"/>
      <c r="E181" s="19">
        <v>15.0</v>
      </c>
      <c r="F181" s="19">
        <v>9.0</v>
      </c>
      <c r="G181" s="19">
        <v>11.0</v>
      </c>
      <c r="H181" s="19">
        <v>9.0</v>
      </c>
      <c r="I181" s="19">
        <v>15.0</v>
      </c>
      <c r="J181" s="19">
        <v>6.0</v>
      </c>
      <c r="K181" s="19">
        <v>6.0</v>
      </c>
      <c r="L181" s="19">
        <v>7.0</v>
      </c>
      <c r="M181" s="19">
        <v>6.0</v>
      </c>
      <c r="N181" s="19">
        <v>2.0</v>
      </c>
      <c r="O181" s="19">
        <v>5.0</v>
      </c>
      <c r="P181" s="19">
        <v>2.0</v>
      </c>
      <c r="Q181" s="13">
        <f t="shared" si="17"/>
        <v>93</v>
      </c>
      <c r="R181" s="5"/>
      <c r="S181" s="5"/>
    </row>
    <row r="182" ht="12.75" customHeight="1">
      <c r="A182" s="41"/>
      <c r="B182" s="60" t="s">
        <v>157</v>
      </c>
      <c r="C182" s="61" t="s">
        <v>158</v>
      </c>
      <c r="D182" s="16"/>
      <c r="E182" s="29">
        <f t="shared" ref="E182:P182" si="29">SUM(E180:E181)</f>
        <v>196</v>
      </c>
      <c r="F182" s="29">
        <f t="shared" si="29"/>
        <v>229</v>
      </c>
      <c r="G182" s="29">
        <f t="shared" si="29"/>
        <v>226</v>
      </c>
      <c r="H182" s="29">
        <f t="shared" si="29"/>
        <v>240</v>
      </c>
      <c r="I182" s="29">
        <f t="shared" si="29"/>
        <v>246</v>
      </c>
      <c r="J182" s="29">
        <f t="shared" si="29"/>
        <v>234</v>
      </c>
      <c r="K182" s="29">
        <f t="shared" si="29"/>
        <v>200</v>
      </c>
      <c r="L182" s="29">
        <f t="shared" si="29"/>
        <v>192</v>
      </c>
      <c r="M182" s="29">
        <f t="shared" si="29"/>
        <v>151</v>
      </c>
      <c r="N182" s="29">
        <f t="shared" si="29"/>
        <v>201</v>
      </c>
      <c r="O182" s="29">
        <f t="shared" si="29"/>
        <v>242</v>
      </c>
      <c r="P182" s="29">
        <f t="shared" si="29"/>
        <v>237</v>
      </c>
      <c r="Q182" s="13">
        <f t="shared" si="17"/>
        <v>2594</v>
      </c>
      <c r="R182" s="5"/>
      <c r="S182" s="5"/>
    </row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0">
    <mergeCell ref="B108:D108"/>
    <mergeCell ref="C110:D110"/>
    <mergeCell ref="B115:D115"/>
    <mergeCell ref="C117:D117"/>
    <mergeCell ref="B124:D124"/>
    <mergeCell ref="C126:D126"/>
    <mergeCell ref="B128:D128"/>
    <mergeCell ref="C130:D130"/>
    <mergeCell ref="B135:D135"/>
    <mergeCell ref="C137:D137"/>
    <mergeCell ref="B144:D144"/>
    <mergeCell ref="C146:D146"/>
    <mergeCell ref="B153:D153"/>
    <mergeCell ref="C155:D155"/>
    <mergeCell ref="A178:D178"/>
    <mergeCell ref="B179:D179"/>
    <mergeCell ref="C180:D180"/>
    <mergeCell ref="C181:D181"/>
    <mergeCell ref="C182:D182"/>
    <mergeCell ref="B157:D157"/>
    <mergeCell ref="C159:D159"/>
    <mergeCell ref="B163:D163"/>
    <mergeCell ref="C165:D165"/>
    <mergeCell ref="B172:D172"/>
    <mergeCell ref="C174:D174"/>
    <mergeCell ref="B177:D177"/>
    <mergeCell ref="B12:D12"/>
    <mergeCell ref="E12:P12"/>
    <mergeCell ref="Q12:Q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4:D94"/>
    <mergeCell ref="C96:D96"/>
    <mergeCell ref="B99:D99"/>
    <mergeCell ref="C101:D101"/>
  </mergeCells>
  <conditionalFormatting sqref="E14:P15">
    <cfRule type="containsBlanks" dxfId="1" priority="1">
      <formula>LEN(TRIM(E14))=0</formula>
    </cfRule>
  </conditionalFormatting>
  <conditionalFormatting sqref="E19:P20">
    <cfRule type="containsBlanks" dxfId="1" priority="2">
      <formula>LEN(TRIM(E19))=0</formula>
    </cfRule>
  </conditionalFormatting>
  <conditionalFormatting sqref="E22:P23 E25:P26 E33:P33 E35:P35 E39:P40">
    <cfRule type="containsBlanks" dxfId="1" priority="3">
      <formula>LEN(TRIM(E22))=0</formula>
    </cfRule>
  </conditionalFormatting>
  <conditionalFormatting sqref="E30:P30">
    <cfRule type="expression" dxfId="0" priority="4">
      <formula>E30&lt;&gt;E47</formula>
    </cfRule>
  </conditionalFormatting>
  <conditionalFormatting sqref="E30:P30">
    <cfRule type="expression" dxfId="0" priority="5">
      <formula>E30&lt;&gt;E34</formula>
    </cfRule>
  </conditionalFormatting>
  <conditionalFormatting sqref="E34:P34">
    <cfRule type="expression" dxfId="2" priority="6">
      <formula>E30&lt;&gt;E34</formula>
    </cfRule>
  </conditionalFormatting>
  <conditionalFormatting sqref="E34:P34">
    <cfRule type="expression" dxfId="3" priority="7">
      <formula>E30=E34</formula>
    </cfRule>
  </conditionalFormatting>
  <conditionalFormatting sqref="E34:P34">
    <cfRule type="expression" dxfId="0" priority="8">
      <formula>E34&lt;&gt;E30</formula>
    </cfRule>
  </conditionalFormatting>
  <conditionalFormatting sqref="E34:P34">
    <cfRule type="expression" dxfId="0" priority="9">
      <formula>E34&lt;&gt;E64</formula>
    </cfRule>
  </conditionalFormatting>
  <conditionalFormatting sqref="E45:P51">
    <cfRule type="containsBlanks" dxfId="1" priority="10">
      <formula>LEN(TRIM(E45))=0</formula>
    </cfRule>
  </conditionalFormatting>
  <conditionalFormatting sqref="E54:P60">
    <cfRule type="containsBlanks" dxfId="1" priority="11">
      <formula>LEN(TRIM(E54))=0</formula>
    </cfRule>
  </conditionalFormatting>
  <conditionalFormatting sqref="E63:P69">
    <cfRule type="containsBlanks" dxfId="1" priority="12">
      <formula>LEN(TRIM(E63))=0</formula>
    </cfRule>
  </conditionalFormatting>
  <conditionalFormatting sqref="E72:P78">
    <cfRule type="containsBlanks" dxfId="1" priority="13">
      <formula>LEN(TRIM(E72))=0</formula>
    </cfRule>
  </conditionalFormatting>
  <conditionalFormatting sqref="E81:P87">
    <cfRule type="containsBlanks" dxfId="1" priority="14">
      <formula>LEN(TRIM(E81))=0</formula>
    </cfRule>
  </conditionalFormatting>
  <conditionalFormatting sqref="E90:P93">
    <cfRule type="containsBlanks" dxfId="1" priority="15">
      <formula>LEN(TRIM(E90))=0</formula>
    </cfRule>
  </conditionalFormatting>
  <conditionalFormatting sqref="E96:P98">
    <cfRule type="containsBlanks" dxfId="1" priority="16">
      <formula>LEN(TRIM(E96))=0</formula>
    </cfRule>
  </conditionalFormatting>
  <conditionalFormatting sqref="E101:P107">
    <cfRule type="containsBlanks" dxfId="1" priority="17">
      <formula>LEN(TRIM(E101))=0</formula>
    </cfRule>
  </conditionalFormatting>
  <conditionalFormatting sqref="E110:P114">
    <cfRule type="containsBlanks" dxfId="1" priority="18">
      <formula>LEN(TRIM(E110))=0</formula>
    </cfRule>
  </conditionalFormatting>
  <conditionalFormatting sqref="E117:P123">
    <cfRule type="containsBlanks" dxfId="1" priority="19">
      <formula>LEN(TRIM(E117))=0</formula>
    </cfRule>
  </conditionalFormatting>
  <conditionalFormatting sqref="E126:P127">
    <cfRule type="containsBlanks" dxfId="1" priority="20">
      <formula>LEN(TRIM(E126))=0</formula>
    </cfRule>
  </conditionalFormatting>
  <conditionalFormatting sqref="E130:P134">
    <cfRule type="containsBlanks" dxfId="1" priority="21">
      <formula>LEN(TRIM(E130))=0</formula>
    </cfRule>
  </conditionalFormatting>
  <conditionalFormatting sqref="E137:P143">
    <cfRule type="containsBlanks" dxfId="1" priority="22">
      <formula>LEN(TRIM(E137))=0</formula>
    </cfRule>
  </conditionalFormatting>
  <conditionalFormatting sqref="E146:P152">
    <cfRule type="containsBlanks" dxfId="1" priority="23">
      <formula>LEN(TRIM(E146))=0</formula>
    </cfRule>
  </conditionalFormatting>
  <conditionalFormatting sqref="E155:P156">
    <cfRule type="containsBlanks" dxfId="1" priority="24">
      <formula>LEN(TRIM(E155))=0</formula>
    </cfRule>
  </conditionalFormatting>
  <conditionalFormatting sqref="E159:P162">
    <cfRule type="containsBlanks" dxfId="1" priority="25">
      <formula>LEN(TRIM(E159))=0</formula>
    </cfRule>
  </conditionalFormatting>
  <conditionalFormatting sqref="E165:P171">
    <cfRule type="containsBlanks" dxfId="1" priority="26">
      <formula>LEN(TRIM(E165))=0</formula>
    </cfRule>
  </conditionalFormatting>
  <conditionalFormatting sqref="E174:P176">
    <cfRule type="containsBlanks" dxfId="1" priority="27">
      <formula>LEN(TRIM(E174))=0</formula>
    </cfRule>
  </conditionalFormatting>
  <conditionalFormatting sqref="E180:P181">
    <cfRule type="containsBlanks" dxfId="1" priority="28">
      <formula>LEN(TRIM(E180))=0</formula>
    </cfRule>
  </conditionalFormatting>
  <conditionalFormatting sqref="E182:P182">
    <cfRule type="expression" dxfId="0" priority="29">
      <formula>E182&lt;&gt;E30</formula>
    </cfRule>
  </conditionalFormatting>
  <conditionalFormatting sqref="E182:P182">
    <cfRule type="expression" dxfId="0" priority="30">
      <formula>E182&lt;&gt;E34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0" width="8.71"/>
    <col customWidth="1" min="31" max="31" width="13.29"/>
    <col customWidth="1" min="32" max="33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159</v>
      </c>
      <c r="D9" s="8" t="s">
        <v>202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6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161</v>
      </c>
      <c r="F13" s="13" t="s">
        <v>162</v>
      </c>
      <c r="G13" s="13" t="s">
        <v>163</v>
      </c>
      <c r="H13" s="13" t="s">
        <v>164</v>
      </c>
      <c r="I13" s="13" t="s">
        <v>165</v>
      </c>
      <c r="J13" s="13" t="s">
        <v>166</v>
      </c>
      <c r="K13" s="13" t="s">
        <v>167</v>
      </c>
      <c r="L13" s="13" t="s">
        <v>168</v>
      </c>
      <c r="M13" s="13" t="s">
        <v>169</v>
      </c>
      <c r="N13" s="13" t="s">
        <v>170</v>
      </c>
      <c r="O13" s="13" t="s">
        <v>171</v>
      </c>
      <c r="P13" s="13" t="s">
        <v>172</v>
      </c>
      <c r="Q13" s="13" t="s">
        <v>173</v>
      </c>
      <c r="R13" s="13" t="s">
        <v>174</v>
      </c>
      <c r="S13" s="13" t="s">
        <v>175</v>
      </c>
      <c r="T13" s="13" t="s">
        <v>176</v>
      </c>
      <c r="U13" s="13" t="s">
        <v>177</v>
      </c>
      <c r="V13" s="13" t="s">
        <v>178</v>
      </c>
      <c r="W13" s="13" t="s">
        <v>179</v>
      </c>
      <c r="X13" s="13" t="s">
        <v>180</v>
      </c>
      <c r="Y13" s="13" t="s">
        <v>181</v>
      </c>
      <c r="Z13" s="13" t="s">
        <v>182</v>
      </c>
      <c r="AA13" s="13" t="s">
        <v>183</v>
      </c>
      <c r="AB13" s="13" t="s">
        <v>184</v>
      </c>
      <c r="AC13" s="13" t="s">
        <v>185</v>
      </c>
      <c r="AD13" s="13" t="s">
        <v>186</v>
      </c>
      <c r="AE13" s="36"/>
    </row>
    <row r="14" ht="12.75" customHeight="1">
      <c r="A14" s="18"/>
      <c r="B14" s="22" t="s">
        <v>11</v>
      </c>
      <c r="C14" s="23"/>
      <c r="D14" s="19" t="s">
        <v>12</v>
      </c>
      <c r="E14" s="19">
        <v>128.0</v>
      </c>
      <c r="F14" s="19">
        <v>141.0</v>
      </c>
      <c r="G14" s="19">
        <v>138.0</v>
      </c>
      <c r="H14" s="19">
        <v>130.0</v>
      </c>
      <c r="I14" s="19">
        <v>137.0</v>
      </c>
      <c r="J14" s="19">
        <v>101.0</v>
      </c>
      <c r="K14" s="19">
        <v>144.0</v>
      </c>
      <c r="L14" s="19">
        <v>119.0</v>
      </c>
      <c r="M14" s="19">
        <v>133.0</v>
      </c>
      <c r="N14" s="19">
        <v>116.0</v>
      </c>
      <c r="O14" s="19">
        <v>121.0</v>
      </c>
      <c r="P14" s="19">
        <v>145.0</v>
      </c>
      <c r="Q14" s="19">
        <v>148.0</v>
      </c>
      <c r="R14" s="19">
        <v>147.0</v>
      </c>
      <c r="S14" s="19">
        <v>130.0</v>
      </c>
      <c r="T14" s="19">
        <v>136.0</v>
      </c>
      <c r="U14" s="19">
        <v>150.0</v>
      </c>
      <c r="V14" s="19">
        <v>157.0</v>
      </c>
      <c r="W14" s="19">
        <v>148.0</v>
      </c>
      <c r="X14" s="19">
        <v>143.0</v>
      </c>
      <c r="Y14" s="19">
        <v>152.0</v>
      </c>
      <c r="Z14" s="19">
        <v>138.0</v>
      </c>
      <c r="AA14" s="19">
        <v>120.0</v>
      </c>
      <c r="AB14" s="19">
        <v>109.0</v>
      </c>
      <c r="AC14" s="19">
        <v>130.0</v>
      </c>
      <c r="AD14" s="19">
        <v>107.0</v>
      </c>
      <c r="AE14" s="13">
        <f t="shared" ref="AE14:AE16" si="1">SUM(E14:AD14)</f>
        <v>3468</v>
      </c>
    </row>
    <row r="15" ht="12.75" customHeight="1">
      <c r="A15" s="18"/>
      <c r="B15" s="26"/>
      <c r="C15" s="27"/>
      <c r="D15" s="19" t="s">
        <v>13</v>
      </c>
      <c r="E15" s="19">
        <v>130.0</v>
      </c>
      <c r="F15" s="19">
        <v>137.0</v>
      </c>
      <c r="G15" s="19">
        <v>148.0</v>
      </c>
      <c r="H15" s="19">
        <v>121.0</v>
      </c>
      <c r="I15" s="19">
        <v>128.0</v>
      </c>
      <c r="J15" s="19">
        <v>105.0</v>
      </c>
      <c r="K15" s="19">
        <v>140.0</v>
      </c>
      <c r="L15" s="19">
        <v>128.0</v>
      </c>
      <c r="M15" s="19">
        <v>134.0</v>
      </c>
      <c r="N15" s="19">
        <v>125.0</v>
      </c>
      <c r="O15" s="19">
        <v>122.0</v>
      </c>
      <c r="P15" s="19">
        <v>133.0</v>
      </c>
      <c r="Q15" s="19">
        <v>150.0</v>
      </c>
      <c r="R15" s="19">
        <v>145.0</v>
      </c>
      <c r="S15" s="19">
        <v>134.0</v>
      </c>
      <c r="T15" s="19">
        <v>141.0</v>
      </c>
      <c r="U15" s="19">
        <v>134.0</v>
      </c>
      <c r="V15" s="19">
        <v>141.0</v>
      </c>
      <c r="W15" s="19">
        <v>143.0</v>
      </c>
      <c r="X15" s="19">
        <v>151.0</v>
      </c>
      <c r="Y15" s="19">
        <v>143.0</v>
      </c>
      <c r="Z15" s="19">
        <v>150.0</v>
      </c>
      <c r="AA15" s="19">
        <v>128.0</v>
      </c>
      <c r="AB15" s="19">
        <v>109.0</v>
      </c>
      <c r="AC15" s="19">
        <v>139.0</v>
      </c>
      <c r="AD15" s="19">
        <v>119.0</v>
      </c>
      <c r="AE15" s="13">
        <f t="shared" si="1"/>
        <v>3478</v>
      </c>
    </row>
    <row r="16" ht="12.75" customHeight="1">
      <c r="A16" s="25"/>
      <c r="B16" s="21"/>
      <c r="C16" s="28"/>
      <c r="D16" s="13" t="s">
        <v>14</v>
      </c>
      <c r="E16" s="13">
        <f t="shared" ref="E16:AD16" si="2">SUM(E14:E15)</f>
        <v>258</v>
      </c>
      <c r="F16" s="13">
        <f t="shared" si="2"/>
        <v>278</v>
      </c>
      <c r="G16" s="13">
        <f t="shared" si="2"/>
        <v>286</v>
      </c>
      <c r="H16" s="13">
        <f t="shared" si="2"/>
        <v>251</v>
      </c>
      <c r="I16" s="13">
        <f t="shared" si="2"/>
        <v>265</v>
      </c>
      <c r="J16" s="13">
        <f t="shared" si="2"/>
        <v>206</v>
      </c>
      <c r="K16" s="13">
        <f t="shared" si="2"/>
        <v>284</v>
      </c>
      <c r="L16" s="13">
        <f t="shared" si="2"/>
        <v>247</v>
      </c>
      <c r="M16" s="13">
        <f t="shared" si="2"/>
        <v>267</v>
      </c>
      <c r="N16" s="13">
        <f t="shared" si="2"/>
        <v>241</v>
      </c>
      <c r="O16" s="13">
        <f t="shared" si="2"/>
        <v>243</v>
      </c>
      <c r="P16" s="13">
        <f t="shared" si="2"/>
        <v>278</v>
      </c>
      <c r="Q16" s="13">
        <f t="shared" si="2"/>
        <v>298</v>
      </c>
      <c r="R16" s="13">
        <f t="shared" si="2"/>
        <v>292</v>
      </c>
      <c r="S16" s="13">
        <f t="shared" si="2"/>
        <v>264</v>
      </c>
      <c r="T16" s="13">
        <f t="shared" si="2"/>
        <v>277</v>
      </c>
      <c r="U16" s="13">
        <f t="shared" si="2"/>
        <v>284</v>
      </c>
      <c r="V16" s="13">
        <f t="shared" si="2"/>
        <v>298</v>
      </c>
      <c r="W16" s="13">
        <f t="shared" si="2"/>
        <v>291</v>
      </c>
      <c r="X16" s="13">
        <f t="shared" si="2"/>
        <v>294</v>
      </c>
      <c r="Y16" s="13">
        <f t="shared" si="2"/>
        <v>295</v>
      </c>
      <c r="Z16" s="13">
        <f t="shared" si="2"/>
        <v>288</v>
      </c>
      <c r="AA16" s="13">
        <f t="shared" si="2"/>
        <v>248</v>
      </c>
      <c r="AB16" s="13">
        <f t="shared" si="2"/>
        <v>218</v>
      </c>
      <c r="AC16" s="13">
        <f t="shared" si="2"/>
        <v>269</v>
      </c>
      <c r="AD16" s="13">
        <f t="shared" si="2"/>
        <v>226</v>
      </c>
      <c r="AE16" s="13">
        <f t="shared" si="1"/>
        <v>6946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100.0</v>
      </c>
      <c r="F19" s="19">
        <v>106.0</v>
      </c>
      <c r="G19" s="19">
        <v>117.0</v>
      </c>
      <c r="H19" s="19">
        <v>94.0</v>
      </c>
      <c r="I19" s="19">
        <v>103.0</v>
      </c>
      <c r="J19" s="19">
        <v>80.0</v>
      </c>
      <c r="K19" s="19">
        <v>116.0</v>
      </c>
      <c r="L19" s="19">
        <v>89.0</v>
      </c>
      <c r="M19" s="19">
        <v>90.0</v>
      </c>
      <c r="N19" s="19">
        <v>93.0</v>
      </c>
      <c r="O19" s="19">
        <v>93.0</v>
      </c>
      <c r="P19" s="19">
        <v>109.0</v>
      </c>
      <c r="Q19" s="19">
        <v>114.0</v>
      </c>
      <c r="R19" s="19">
        <v>118.0</v>
      </c>
      <c r="S19" s="19">
        <v>96.0</v>
      </c>
      <c r="T19" s="19">
        <v>102.0</v>
      </c>
      <c r="U19" s="19">
        <v>106.0</v>
      </c>
      <c r="V19" s="19">
        <v>125.0</v>
      </c>
      <c r="W19" s="19">
        <v>119.0</v>
      </c>
      <c r="X19" s="19">
        <v>113.0</v>
      </c>
      <c r="Y19" s="19">
        <v>112.0</v>
      </c>
      <c r="Z19" s="19">
        <v>96.0</v>
      </c>
      <c r="AA19" s="19">
        <v>91.0</v>
      </c>
      <c r="AB19" s="19">
        <v>89.0</v>
      </c>
      <c r="AC19" s="19">
        <v>107.0</v>
      </c>
      <c r="AD19" s="19">
        <v>84.0</v>
      </c>
      <c r="AE19" s="13">
        <f t="shared" ref="AE19:AE30" si="3">SUM(E19:AD19)</f>
        <v>2662</v>
      </c>
    </row>
    <row r="20" ht="12.75" customHeight="1">
      <c r="A20" s="33"/>
      <c r="B20" s="27"/>
      <c r="C20" s="34"/>
      <c r="D20" s="19" t="s">
        <v>13</v>
      </c>
      <c r="E20" s="19">
        <v>108.0</v>
      </c>
      <c r="F20" s="19">
        <v>106.0</v>
      </c>
      <c r="G20" s="19">
        <v>117.0</v>
      </c>
      <c r="H20" s="19">
        <v>98.0</v>
      </c>
      <c r="I20" s="19">
        <v>105.0</v>
      </c>
      <c r="J20" s="19">
        <v>85.0</v>
      </c>
      <c r="K20" s="19">
        <v>119.0</v>
      </c>
      <c r="L20" s="19">
        <v>107.0</v>
      </c>
      <c r="M20" s="19">
        <v>110.0</v>
      </c>
      <c r="N20" s="19">
        <v>98.0</v>
      </c>
      <c r="O20" s="19">
        <v>100.0</v>
      </c>
      <c r="P20" s="19">
        <v>102.0</v>
      </c>
      <c r="Q20" s="19">
        <v>126.0</v>
      </c>
      <c r="R20" s="19">
        <v>114.0</v>
      </c>
      <c r="S20" s="19">
        <v>106.0</v>
      </c>
      <c r="T20" s="19">
        <v>106.0</v>
      </c>
      <c r="U20" s="19">
        <v>116.0</v>
      </c>
      <c r="V20" s="19">
        <v>110.0</v>
      </c>
      <c r="W20" s="19">
        <v>113.0</v>
      </c>
      <c r="X20" s="19">
        <v>107.0</v>
      </c>
      <c r="Y20" s="19">
        <v>101.0</v>
      </c>
      <c r="Z20" s="19">
        <v>113.0</v>
      </c>
      <c r="AA20" s="19">
        <v>97.0</v>
      </c>
      <c r="AB20" s="19">
        <v>86.0</v>
      </c>
      <c r="AC20" s="19">
        <v>112.0</v>
      </c>
      <c r="AD20" s="19">
        <v>96.0</v>
      </c>
      <c r="AE20" s="13">
        <f t="shared" si="3"/>
        <v>2758</v>
      </c>
    </row>
    <row r="21" ht="12.75" customHeight="1">
      <c r="A21" s="35"/>
      <c r="B21" s="28"/>
      <c r="C21" s="36"/>
      <c r="D21" s="13" t="s">
        <v>14</v>
      </c>
      <c r="E21" s="13">
        <v>208.0</v>
      </c>
      <c r="F21" s="13">
        <v>212.0</v>
      </c>
      <c r="G21" s="13">
        <v>234.0</v>
      </c>
      <c r="H21" s="13">
        <v>192.0</v>
      </c>
      <c r="I21" s="13">
        <v>208.0</v>
      </c>
      <c r="J21" s="13">
        <v>165.0</v>
      </c>
      <c r="K21" s="13">
        <v>235.0</v>
      </c>
      <c r="L21" s="13">
        <v>196.0</v>
      </c>
      <c r="M21" s="13">
        <v>200.0</v>
      </c>
      <c r="N21" s="13">
        <v>191.0</v>
      </c>
      <c r="O21" s="13">
        <v>193.0</v>
      </c>
      <c r="P21" s="13">
        <v>211.0</v>
      </c>
      <c r="Q21" s="13">
        <v>240.0</v>
      </c>
      <c r="R21" s="13">
        <v>232.0</v>
      </c>
      <c r="S21" s="13">
        <v>202.0</v>
      </c>
      <c r="T21" s="13">
        <v>208.0</v>
      </c>
      <c r="U21" s="13">
        <v>222.0</v>
      </c>
      <c r="V21" s="13">
        <v>235.0</v>
      </c>
      <c r="W21" s="13">
        <v>232.0</v>
      </c>
      <c r="X21" s="13">
        <v>220.0</v>
      </c>
      <c r="Y21" s="13">
        <v>213.0</v>
      </c>
      <c r="Z21" s="13">
        <v>209.0</v>
      </c>
      <c r="AA21" s="13">
        <v>188.0</v>
      </c>
      <c r="AB21" s="13">
        <v>175.0</v>
      </c>
      <c r="AC21" s="13">
        <v>219.0</v>
      </c>
      <c r="AD21" s="13">
        <v>180.0</v>
      </c>
      <c r="AE21" s="13">
        <f t="shared" si="3"/>
        <v>5420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1.0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1.0</v>
      </c>
      <c r="S22" s="19">
        <v>1.0</v>
      </c>
      <c r="T22" s="19">
        <v>0.0</v>
      </c>
      <c r="U22" s="19">
        <v>2.0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3">
        <f t="shared" si="3"/>
        <v>6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1.0</v>
      </c>
      <c r="L23" s="19">
        <v>0.0</v>
      </c>
      <c r="M23" s="19">
        <v>0.0</v>
      </c>
      <c r="N23" s="19">
        <v>1.0</v>
      </c>
      <c r="O23" s="19">
        <v>1.0</v>
      </c>
      <c r="P23" s="19">
        <v>0.0</v>
      </c>
      <c r="Q23" s="19">
        <v>0.0</v>
      </c>
      <c r="R23" s="19">
        <v>1.0</v>
      </c>
      <c r="S23" s="19">
        <v>0.0</v>
      </c>
      <c r="T23" s="19">
        <v>0.0</v>
      </c>
      <c r="U23" s="19">
        <v>0.0</v>
      </c>
      <c r="V23" s="19">
        <v>1.0</v>
      </c>
      <c r="W23" s="19">
        <v>1.0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v>0.0</v>
      </c>
      <c r="F24" s="13">
        <v>0.0</v>
      </c>
      <c r="G24" s="13">
        <v>0.0</v>
      </c>
      <c r="H24" s="13">
        <v>0.0</v>
      </c>
      <c r="I24" s="13">
        <v>0.0</v>
      </c>
      <c r="J24" s="13">
        <v>1.0</v>
      </c>
      <c r="K24" s="13">
        <v>2.0</v>
      </c>
      <c r="L24" s="13">
        <v>0.0</v>
      </c>
      <c r="M24" s="13">
        <v>0.0</v>
      </c>
      <c r="N24" s="13">
        <v>1.0</v>
      </c>
      <c r="O24" s="13">
        <v>1.0</v>
      </c>
      <c r="P24" s="13">
        <v>0.0</v>
      </c>
      <c r="Q24" s="13">
        <v>0.0</v>
      </c>
      <c r="R24" s="13">
        <v>2.0</v>
      </c>
      <c r="S24" s="13">
        <v>1.0</v>
      </c>
      <c r="T24" s="13">
        <v>0.0</v>
      </c>
      <c r="U24" s="13">
        <v>2.0</v>
      </c>
      <c r="V24" s="13">
        <v>1.0</v>
      </c>
      <c r="W24" s="13">
        <v>1.0</v>
      </c>
      <c r="X24" s="13">
        <v>0.0</v>
      </c>
      <c r="Y24" s="13">
        <v>0.0</v>
      </c>
      <c r="Z24" s="13">
        <v>0.0</v>
      </c>
      <c r="AA24" s="13">
        <v>0.0</v>
      </c>
      <c r="AB24" s="13">
        <v>0.0</v>
      </c>
      <c r="AC24" s="13">
        <v>0.0</v>
      </c>
      <c r="AD24" s="13">
        <v>0.0</v>
      </c>
      <c r="AE24" s="13">
        <f t="shared" si="3"/>
        <v>12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1.0</v>
      </c>
      <c r="H25" s="19">
        <v>0.0</v>
      </c>
      <c r="I25" s="19">
        <v>1.0</v>
      </c>
      <c r="J25" s="19">
        <v>0.0</v>
      </c>
      <c r="K25" s="19">
        <v>0.0</v>
      </c>
      <c r="L25" s="19">
        <v>0.0</v>
      </c>
      <c r="M25" s="19">
        <v>4.0</v>
      </c>
      <c r="N25" s="19">
        <v>1.0</v>
      </c>
      <c r="O25" s="19">
        <v>0.0</v>
      </c>
      <c r="P25" s="19">
        <v>1.0</v>
      </c>
      <c r="Q25" s="19">
        <v>0.0</v>
      </c>
      <c r="R25" s="19">
        <v>2.0</v>
      </c>
      <c r="S25" s="19">
        <v>2.0</v>
      </c>
      <c r="T25" s="19">
        <v>0.0</v>
      </c>
      <c r="U25" s="19">
        <v>0.0</v>
      </c>
      <c r="V25" s="19">
        <v>0.0</v>
      </c>
      <c r="W25" s="19">
        <v>1.0</v>
      </c>
      <c r="X25" s="19">
        <v>0.0</v>
      </c>
      <c r="Y25" s="19">
        <v>0.0</v>
      </c>
      <c r="Z25" s="19">
        <v>2.0</v>
      </c>
      <c r="AA25" s="19">
        <v>0.0</v>
      </c>
      <c r="AB25" s="19">
        <v>0.0</v>
      </c>
      <c r="AC25" s="19">
        <v>1.0</v>
      </c>
      <c r="AD25" s="19">
        <v>0.0</v>
      </c>
      <c r="AE25" s="13">
        <f t="shared" si="3"/>
        <v>18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1.0</v>
      </c>
      <c r="G26" s="19">
        <v>1.0</v>
      </c>
      <c r="H26" s="19">
        <v>0.0</v>
      </c>
      <c r="I26" s="19">
        <v>2.0</v>
      </c>
      <c r="J26" s="19">
        <v>0.0</v>
      </c>
      <c r="K26" s="19">
        <v>0.0</v>
      </c>
      <c r="L26" s="19">
        <v>0.0</v>
      </c>
      <c r="M26" s="19">
        <v>1.0</v>
      </c>
      <c r="N26" s="19">
        <v>0.0</v>
      </c>
      <c r="O26" s="19">
        <v>1.0</v>
      </c>
      <c r="P26" s="19">
        <v>0.0</v>
      </c>
      <c r="Q26" s="19">
        <v>0.0</v>
      </c>
      <c r="R26" s="19">
        <v>0.0</v>
      </c>
      <c r="S26" s="19">
        <v>4.0</v>
      </c>
      <c r="T26" s="19">
        <v>1.0</v>
      </c>
      <c r="U26" s="19">
        <v>0.0</v>
      </c>
      <c r="V26" s="19">
        <v>1.0</v>
      </c>
      <c r="W26" s="19">
        <v>0.0</v>
      </c>
      <c r="X26" s="19">
        <v>0.0</v>
      </c>
      <c r="Y26" s="19">
        <v>1.0</v>
      </c>
      <c r="Z26" s="19">
        <v>2.0</v>
      </c>
      <c r="AA26" s="19">
        <v>0.0</v>
      </c>
      <c r="AB26" s="19">
        <v>0.0</v>
      </c>
      <c r="AC26" s="19">
        <v>0.0</v>
      </c>
      <c r="AD26" s="19">
        <v>1.0</v>
      </c>
      <c r="AE26" s="13">
        <f t="shared" si="3"/>
        <v>17</v>
      </c>
    </row>
    <row r="27" ht="12.75" customHeight="1">
      <c r="A27" s="35"/>
      <c r="B27" s="28"/>
      <c r="C27" s="36"/>
      <c r="D27" s="13" t="s">
        <v>14</v>
      </c>
      <c r="E27" s="13">
        <v>2.0</v>
      </c>
      <c r="F27" s="13">
        <v>2.0</v>
      </c>
      <c r="G27" s="13">
        <v>2.0</v>
      </c>
      <c r="H27" s="13">
        <v>0.0</v>
      </c>
      <c r="I27" s="13">
        <v>3.0</v>
      </c>
      <c r="J27" s="13">
        <v>0.0</v>
      </c>
      <c r="K27" s="13">
        <v>0.0</v>
      </c>
      <c r="L27" s="13">
        <v>0.0</v>
      </c>
      <c r="M27" s="13">
        <v>5.0</v>
      </c>
      <c r="N27" s="13">
        <v>1.0</v>
      </c>
      <c r="O27" s="13">
        <v>1.0</v>
      </c>
      <c r="P27" s="13">
        <v>1.0</v>
      </c>
      <c r="Q27" s="13">
        <v>0.0</v>
      </c>
      <c r="R27" s="13">
        <v>2.0</v>
      </c>
      <c r="S27" s="13">
        <v>6.0</v>
      </c>
      <c r="T27" s="13">
        <v>1.0</v>
      </c>
      <c r="U27" s="13">
        <v>0.0</v>
      </c>
      <c r="V27" s="13">
        <v>1.0</v>
      </c>
      <c r="W27" s="13">
        <v>1.0</v>
      </c>
      <c r="X27" s="13">
        <v>0.0</v>
      </c>
      <c r="Y27" s="13">
        <v>1.0</v>
      </c>
      <c r="Z27" s="13">
        <v>4.0</v>
      </c>
      <c r="AA27" s="13">
        <v>0.0</v>
      </c>
      <c r="AB27" s="13">
        <v>0.0</v>
      </c>
      <c r="AC27" s="13">
        <v>1.0</v>
      </c>
      <c r="AD27" s="13">
        <v>1.0</v>
      </c>
      <c r="AE27" s="13">
        <f t="shared" si="3"/>
        <v>35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v>101.0</v>
      </c>
      <c r="F28" s="13">
        <v>107.0</v>
      </c>
      <c r="G28" s="13">
        <v>118.0</v>
      </c>
      <c r="H28" s="13">
        <v>94.0</v>
      </c>
      <c r="I28" s="13">
        <v>104.0</v>
      </c>
      <c r="J28" s="13">
        <v>81.0</v>
      </c>
      <c r="K28" s="13">
        <v>117.0</v>
      </c>
      <c r="L28" s="13">
        <v>89.0</v>
      </c>
      <c r="M28" s="13">
        <v>94.0</v>
      </c>
      <c r="N28" s="13">
        <v>94.0</v>
      </c>
      <c r="O28" s="13">
        <v>93.0</v>
      </c>
      <c r="P28" s="13">
        <v>110.0</v>
      </c>
      <c r="Q28" s="13">
        <v>114.0</v>
      </c>
      <c r="R28" s="13">
        <v>121.0</v>
      </c>
      <c r="S28" s="13">
        <v>99.0</v>
      </c>
      <c r="T28" s="13">
        <v>102.0</v>
      </c>
      <c r="U28" s="13">
        <v>108.0</v>
      </c>
      <c r="V28" s="13">
        <v>125.0</v>
      </c>
      <c r="W28" s="13">
        <v>120.0</v>
      </c>
      <c r="X28" s="13">
        <v>113.0</v>
      </c>
      <c r="Y28" s="13">
        <v>112.0</v>
      </c>
      <c r="Z28" s="13">
        <v>98.0</v>
      </c>
      <c r="AA28" s="13">
        <v>91.0</v>
      </c>
      <c r="AB28" s="13">
        <v>89.0</v>
      </c>
      <c r="AC28" s="13">
        <v>108.0</v>
      </c>
      <c r="AD28" s="13">
        <v>84.0</v>
      </c>
      <c r="AE28" s="13">
        <f t="shared" si="3"/>
        <v>2686</v>
      </c>
    </row>
    <row r="29" ht="12.75" customHeight="1">
      <c r="A29" s="35"/>
      <c r="B29" s="27"/>
      <c r="C29" s="34"/>
      <c r="D29" s="13" t="s">
        <v>13</v>
      </c>
      <c r="E29" s="13">
        <v>109.0</v>
      </c>
      <c r="F29" s="13">
        <v>107.0</v>
      </c>
      <c r="G29" s="13">
        <v>118.0</v>
      </c>
      <c r="H29" s="13">
        <v>98.0</v>
      </c>
      <c r="I29" s="13">
        <v>107.0</v>
      </c>
      <c r="J29" s="13">
        <v>85.0</v>
      </c>
      <c r="K29" s="13">
        <v>120.0</v>
      </c>
      <c r="L29" s="13">
        <v>107.0</v>
      </c>
      <c r="M29" s="13">
        <v>111.0</v>
      </c>
      <c r="N29" s="13">
        <v>99.0</v>
      </c>
      <c r="O29" s="13">
        <v>102.0</v>
      </c>
      <c r="P29" s="13">
        <v>102.0</v>
      </c>
      <c r="Q29" s="13">
        <v>126.0</v>
      </c>
      <c r="R29" s="13">
        <v>115.0</v>
      </c>
      <c r="S29" s="13">
        <v>110.0</v>
      </c>
      <c r="T29" s="13">
        <v>107.0</v>
      </c>
      <c r="U29" s="13">
        <v>116.0</v>
      </c>
      <c r="V29" s="13">
        <v>112.0</v>
      </c>
      <c r="W29" s="13">
        <v>114.0</v>
      </c>
      <c r="X29" s="13">
        <v>107.0</v>
      </c>
      <c r="Y29" s="13">
        <v>102.0</v>
      </c>
      <c r="Z29" s="13">
        <v>115.0</v>
      </c>
      <c r="AA29" s="13">
        <v>97.0</v>
      </c>
      <c r="AB29" s="13">
        <v>86.0</v>
      </c>
      <c r="AC29" s="13">
        <v>112.0</v>
      </c>
      <c r="AD29" s="13">
        <v>97.0</v>
      </c>
      <c r="AE29" s="13">
        <f t="shared" si="3"/>
        <v>2781</v>
      </c>
    </row>
    <row r="30" ht="12.75" customHeight="1">
      <c r="A30" s="35"/>
      <c r="B30" s="28"/>
      <c r="C30" s="36"/>
      <c r="D30" s="13" t="s">
        <v>14</v>
      </c>
      <c r="E30" s="13">
        <f t="shared" ref="E30:AD30" si="4">SUM(E28:E29)</f>
        <v>210</v>
      </c>
      <c r="F30" s="13">
        <f t="shared" si="4"/>
        <v>214</v>
      </c>
      <c r="G30" s="13">
        <f t="shared" si="4"/>
        <v>236</v>
      </c>
      <c r="H30" s="13">
        <f t="shared" si="4"/>
        <v>192</v>
      </c>
      <c r="I30" s="13">
        <f t="shared" si="4"/>
        <v>211</v>
      </c>
      <c r="J30" s="13">
        <f t="shared" si="4"/>
        <v>166</v>
      </c>
      <c r="K30" s="13">
        <f t="shared" si="4"/>
        <v>237</v>
      </c>
      <c r="L30" s="13">
        <f t="shared" si="4"/>
        <v>196</v>
      </c>
      <c r="M30" s="13">
        <f t="shared" si="4"/>
        <v>205</v>
      </c>
      <c r="N30" s="13">
        <f t="shared" si="4"/>
        <v>193</v>
      </c>
      <c r="O30" s="13">
        <f t="shared" si="4"/>
        <v>195</v>
      </c>
      <c r="P30" s="13">
        <f t="shared" si="4"/>
        <v>212</v>
      </c>
      <c r="Q30" s="13">
        <f t="shared" si="4"/>
        <v>240</v>
      </c>
      <c r="R30" s="13">
        <f t="shared" si="4"/>
        <v>236</v>
      </c>
      <c r="S30" s="13">
        <f t="shared" si="4"/>
        <v>209</v>
      </c>
      <c r="T30" s="13">
        <f t="shared" si="4"/>
        <v>209</v>
      </c>
      <c r="U30" s="13">
        <f t="shared" si="4"/>
        <v>224</v>
      </c>
      <c r="V30" s="13">
        <f t="shared" si="4"/>
        <v>237</v>
      </c>
      <c r="W30" s="13">
        <f t="shared" si="4"/>
        <v>234</v>
      </c>
      <c r="X30" s="13">
        <f t="shared" si="4"/>
        <v>220</v>
      </c>
      <c r="Y30" s="13">
        <f t="shared" si="4"/>
        <v>214</v>
      </c>
      <c r="Z30" s="13">
        <f t="shared" si="4"/>
        <v>213</v>
      </c>
      <c r="AA30" s="13">
        <f t="shared" si="4"/>
        <v>188</v>
      </c>
      <c r="AB30" s="13">
        <f t="shared" si="4"/>
        <v>175</v>
      </c>
      <c r="AC30" s="13">
        <f t="shared" si="4"/>
        <v>220</v>
      </c>
      <c r="AD30" s="13">
        <f t="shared" si="4"/>
        <v>181</v>
      </c>
      <c r="AE30" s="13">
        <f t="shared" si="3"/>
        <v>5467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6"/>
    </row>
    <row r="33" ht="12.75" customHeight="1">
      <c r="A33" s="19">
        <v>1.0</v>
      </c>
      <c r="B33" s="20" t="s">
        <v>27</v>
      </c>
      <c r="C33" s="15"/>
      <c r="D33" s="16"/>
      <c r="E33" s="19">
        <v>264.0</v>
      </c>
      <c r="F33" s="19">
        <v>284.0</v>
      </c>
      <c r="G33" s="19">
        <v>292.0</v>
      </c>
      <c r="H33" s="19">
        <v>257.0</v>
      </c>
      <c r="I33" s="19">
        <v>271.0</v>
      </c>
      <c r="J33" s="19">
        <v>211.0</v>
      </c>
      <c r="K33" s="19">
        <v>290.0</v>
      </c>
      <c r="L33" s="19">
        <v>252.0</v>
      </c>
      <c r="M33" s="19">
        <v>273.0</v>
      </c>
      <c r="N33" s="19">
        <v>246.0</v>
      </c>
      <c r="O33" s="19">
        <v>240.0</v>
      </c>
      <c r="P33" s="19">
        <v>284.0</v>
      </c>
      <c r="Q33" s="19">
        <v>304.0</v>
      </c>
      <c r="R33" s="19">
        <v>298.0</v>
      </c>
      <c r="S33" s="19">
        <v>270.0</v>
      </c>
      <c r="T33" s="19">
        <v>283.0</v>
      </c>
      <c r="U33" s="19">
        <v>290.0</v>
      </c>
      <c r="V33" s="19">
        <v>304.0</v>
      </c>
      <c r="W33" s="19">
        <v>297.0</v>
      </c>
      <c r="X33" s="19">
        <v>300.0</v>
      </c>
      <c r="Y33" s="19">
        <v>301.0</v>
      </c>
      <c r="Z33" s="19">
        <v>294.0</v>
      </c>
      <c r="AA33" s="19">
        <v>253.0</v>
      </c>
      <c r="AB33" s="19">
        <v>223.0</v>
      </c>
      <c r="AC33" s="19">
        <v>275.0</v>
      </c>
      <c r="AD33" s="19">
        <v>231.0</v>
      </c>
      <c r="AE33" s="13">
        <f t="shared" ref="AE33:AE36" si="5">SUM(E33:AD33)</f>
        <v>7087</v>
      </c>
    </row>
    <row r="34" ht="12.75" customHeight="1">
      <c r="A34" s="19">
        <v>2.0</v>
      </c>
      <c r="B34" s="20" t="s">
        <v>28</v>
      </c>
      <c r="C34" s="15"/>
      <c r="D34" s="16"/>
      <c r="E34" s="13">
        <v>210.0</v>
      </c>
      <c r="F34" s="13">
        <v>214.0</v>
      </c>
      <c r="G34" s="13">
        <v>236.0</v>
      </c>
      <c r="H34" s="13">
        <v>192.0</v>
      </c>
      <c r="I34" s="13">
        <v>211.0</v>
      </c>
      <c r="J34" s="13">
        <v>166.0</v>
      </c>
      <c r="K34" s="13">
        <v>237.0</v>
      </c>
      <c r="L34" s="13">
        <v>196.0</v>
      </c>
      <c r="M34" s="13">
        <v>205.0</v>
      </c>
      <c r="N34" s="13">
        <v>193.0</v>
      </c>
      <c r="O34" s="13">
        <v>195.0</v>
      </c>
      <c r="P34" s="13">
        <v>212.0</v>
      </c>
      <c r="Q34" s="13">
        <v>240.0</v>
      </c>
      <c r="R34" s="13">
        <v>236.0</v>
      </c>
      <c r="S34" s="13">
        <v>209.0</v>
      </c>
      <c r="T34" s="13">
        <v>209.0</v>
      </c>
      <c r="U34" s="13">
        <v>224.0</v>
      </c>
      <c r="V34" s="13">
        <v>237.0</v>
      </c>
      <c r="W34" s="13">
        <v>234.0</v>
      </c>
      <c r="X34" s="13">
        <v>220.0</v>
      </c>
      <c r="Y34" s="13">
        <v>214.0</v>
      </c>
      <c r="Z34" s="13">
        <v>213.0</v>
      </c>
      <c r="AA34" s="13">
        <v>188.0</v>
      </c>
      <c r="AB34" s="13">
        <v>175.0</v>
      </c>
      <c r="AC34" s="13">
        <v>220.0</v>
      </c>
      <c r="AD34" s="13">
        <v>181.0</v>
      </c>
      <c r="AE34" s="13">
        <f t="shared" si="5"/>
        <v>5467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5.0</v>
      </c>
      <c r="H35" s="19">
        <v>1.0</v>
      </c>
      <c r="I35" s="19">
        <v>0.0</v>
      </c>
      <c r="J35" s="19">
        <v>0.0</v>
      </c>
      <c r="K35" s="19">
        <v>3.0</v>
      </c>
      <c r="L35" s="19">
        <v>0.0</v>
      </c>
      <c r="M35" s="19">
        <v>0.0</v>
      </c>
      <c r="N35" s="19">
        <v>2.0</v>
      </c>
      <c r="O35" s="19">
        <v>2.0</v>
      </c>
      <c r="P35" s="19">
        <v>5.0</v>
      </c>
      <c r="Q35" s="19">
        <v>2.0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1.0</v>
      </c>
      <c r="X35" s="19">
        <v>0.0</v>
      </c>
      <c r="Y35" s="19">
        <v>3.0</v>
      </c>
      <c r="Z35" s="19">
        <v>1.0</v>
      </c>
      <c r="AA35" s="19">
        <v>0.0</v>
      </c>
      <c r="AB35" s="19">
        <v>1.0</v>
      </c>
      <c r="AC35" s="19">
        <v>0.0</v>
      </c>
      <c r="AD35" s="19">
        <v>1.0</v>
      </c>
      <c r="AE35" s="13">
        <f t="shared" si="5"/>
        <v>27</v>
      </c>
    </row>
    <row r="36" ht="12.75" customHeight="1">
      <c r="A36" s="19">
        <v>4.0</v>
      </c>
      <c r="B36" s="20" t="s">
        <v>30</v>
      </c>
      <c r="C36" s="15"/>
      <c r="D36" s="16"/>
      <c r="E36" s="13">
        <v>54.0</v>
      </c>
      <c r="F36" s="13">
        <v>70.0</v>
      </c>
      <c r="G36" s="13">
        <v>51.0</v>
      </c>
      <c r="H36" s="13">
        <v>64.0</v>
      </c>
      <c r="I36" s="13">
        <v>60.0</v>
      </c>
      <c r="J36" s="13">
        <v>45.0</v>
      </c>
      <c r="K36" s="13">
        <v>50.0</v>
      </c>
      <c r="L36" s="13">
        <v>56.0</v>
      </c>
      <c r="M36" s="13">
        <v>68.0</v>
      </c>
      <c r="N36" s="13">
        <v>51.0</v>
      </c>
      <c r="O36" s="13">
        <v>43.0</v>
      </c>
      <c r="P36" s="13">
        <v>67.0</v>
      </c>
      <c r="Q36" s="13">
        <v>62.0</v>
      </c>
      <c r="R36" s="13">
        <v>62.0</v>
      </c>
      <c r="S36" s="13">
        <v>61.0</v>
      </c>
      <c r="T36" s="13">
        <v>74.0</v>
      </c>
      <c r="U36" s="13">
        <v>66.0</v>
      </c>
      <c r="V36" s="13">
        <v>67.0</v>
      </c>
      <c r="W36" s="13">
        <v>62.0</v>
      </c>
      <c r="X36" s="13">
        <v>80.0</v>
      </c>
      <c r="Y36" s="13">
        <v>84.0</v>
      </c>
      <c r="Z36" s="13">
        <v>80.0</v>
      </c>
      <c r="AA36" s="13">
        <v>65.0</v>
      </c>
      <c r="AB36" s="13">
        <v>47.0</v>
      </c>
      <c r="AC36" s="13">
        <v>55.0</v>
      </c>
      <c r="AD36" s="13">
        <v>49.0</v>
      </c>
      <c r="AE36" s="13">
        <f t="shared" si="5"/>
        <v>1593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5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6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5.0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1.0</v>
      </c>
      <c r="AC39" s="19">
        <v>0.0</v>
      </c>
      <c r="AD39" s="19">
        <v>0.0</v>
      </c>
      <c r="AE39" s="13">
        <f t="shared" ref="AE39:AE41" si="6">SUM(E39:AD39)</f>
        <v>7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4.0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3.0</v>
      </c>
      <c r="AC40" s="19">
        <v>0.0</v>
      </c>
      <c r="AD40" s="19">
        <v>0.0</v>
      </c>
      <c r="AE40" s="13">
        <f t="shared" si="6"/>
        <v>7</v>
      </c>
    </row>
    <row r="41" ht="12.75" customHeight="1">
      <c r="A41" s="41"/>
      <c r="B41" s="44"/>
      <c r="C41" s="28"/>
      <c r="D41" s="13" t="s">
        <v>14</v>
      </c>
      <c r="E41" s="13">
        <f t="shared" ref="E41:AD41" si="7">SUM(E39:E40)</f>
        <v>1</v>
      </c>
      <c r="F41" s="13">
        <f t="shared" si="7"/>
        <v>0</v>
      </c>
      <c r="G41" s="13">
        <f t="shared" si="7"/>
        <v>0</v>
      </c>
      <c r="H41" s="13">
        <f t="shared" si="7"/>
        <v>0</v>
      </c>
      <c r="I41" s="13">
        <f t="shared" si="7"/>
        <v>0</v>
      </c>
      <c r="J41" s="13">
        <f t="shared" si="7"/>
        <v>0</v>
      </c>
      <c r="K41" s="13">
        <f t="shared" si="7"/>
        <v>0</v>
      </c>
      <c r="L41" s="13">
        <f t="shared" si="7"/>
        <v>0</v>
      </c>
      <c r="M41" s="13">
        <f t="shared" si="7"/>
        <v>0</v>
      </c>
      <c r="N41" s="13">
        <f t="shared" si="7"/>
        <v>0</v>
      </c>
      <c r="O41" s="13">
        <f t="shared" si="7"/>
        <v>0</v>
      </c>
      <c r="P41" s="13">
        <f t="shared" si="7"/>
        <v>0</v>
      </c>
      <c r="Q41" s="13">
        <f t="shared" si="7"/>
        <v>9</v>
      </c>
      <c r="R41" s="13">
        <f t="shared" si="7"/>
        <v>0</v>
      </c>
      <c r="S41" s="13">
        <f t="shared" si="7"/>
        <v>0</v>
      </c>
      <c r="T41" s="13">
        <f t="shared" si="7"/>
        <v>0</v>
      </c>
      <c r="U41" s="13">
        <f t="shared" si="7"/>
        <v>0</v>
      </c>
      <c r="V41" s="13">
        <f t="shared" si="7"/>
        <v>0</v>
      </c>
      <c r="W41" s="13">
        <f t="shared" si="7"/>
        <v>0</v>
      </c>
      <c r="X41" s="13">
        <f t="shared" si="7"/>
        <v>0</v>
      </c>
      <c r="Y41" s="13">
        <f t="shared" si="7"/>
        <v>0</v>
      </c>
      <c r="Z41" s="13">
        <f t="shared" si="7"/>
        <v>0</v>
      </c>
      <c r="AA41" s="13">
        <f t="shared" si="7"/>
        <v>0</v>
      </c>
      <c r="AB41" s="13">
        <f t="shared" si="7"/>
        <v>4</v>
      </c>
      <c r="AC41" s="13">
        <f t="shared" si="7"/>
        <v>0</v>
      </c>
      <c r="AD41" s="13">
        <f t="shared" si="7"/>
        <v>0</v>
      </c>
      <c r="AE41" s="13">
        <f t="shared" si="6"/>
        <v>14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5"/>
      <c r="O42" s="19"/>
      <c r="P42" s="65"/>
      <c r="Q42" s="19"/>
      <c r="R42" s="65"/>
      <c r="S42" s="19"/>
      <c r="T42" s="65"/>
      <c r="U42" s="19"/>
      <c r="V42" s="65"/>
      <c r="W42" s="19"/>
      <c r="X42" s="65"/>
      <c r="Y42" s="19"/>
      <c r="Z42" s="65"/>
      <c r="AA42" s="19"/>
      <c r="AB42" s="65"/>
      <c r="AC42" s="19"/>
      <c r="AD42" s="65"/>
      <c r="AE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7"/>
      <c r="O43" s="13"/>
      <c r="P43" s="67"/>
      <c r="Q43" s="13"/>
      <c r="R43" s="67"/>
      <c r="S43" s="13"/>
      <c r="T43" s="67"/>
      <c r="U43" s="13"/>
      <c r="V43" s="67"/>
      <c r="W43" s="13"/>
      <c r="X43" s="67"/>
      <c r="Y43" s="13"/>
      <c r="Z43" s="67"/>
      <c r="AA43" s="13"/>
      <c r="AB43" s="67"/>
      <c r="AC43" s="13"/>
      <c r="AD43" s="67"/>
      <c r="AE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5"/>
      <c r="O44" s="19"/>
      <c r="P44" s="65"/>
      <c r="Q44" s="19"/>
      <c r="R44" s="65"/>
      <c r="S44" s="19"/>
      <c r="T44" s="65"/>
      <c r="U44" s="19"/>
      <c r="V44" s="65"/>
      <c r="W44" s="19"/>
      <c r="X44" s="65"/>
      <c r="Y44" s="19"/>
      <c r="Z44" s="65"/>
      <c r="AA44" s="19"/>
      <c r="AB44" s="65"/>
      <c r="AC44" s="19"/>
      <c r="AD44" s="65"/>
      <c r="AE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5.0</v>
      </c>
      <c r="F45" s="19">
        <v>4.0</v>
      </c>
      <c r="G45" s="19">
        <v>4.0</v>
      </c>
      <c r="H45" s="19">
        <v>2.0</v>
      </c>
      <c r="I45" s="19">
        <v>1.0</v>
      </c>
      <c r="J45" s="19">
        <v>1.0</v>
      </c>
      <c r="K45" s="19">
        <v>4.0</v>
      </c>
      <c r="L45" s="19">
        <v>10.0</v>
      </c>
      <c r="M45" s="19">
        <v>4.0</v>
      </c>
      <c r="N45" s="19">
        <v>9.0</v>
      </c>
      <c r="O45" s="19">
        <v>5.0</v>
      </c>
      <c r="P45" s="19">
        <v>5.0</v>
      </c>
      <c r="Q45" s="19">
        <v>0.0</v>
      </c>
      <c r="R45" s="19">
        <v>6.0</v>
      </c>
      <c r="S45" s="19">
        <v>12.0</v>
      </c>
      <c r="T45" s="19">
        <v>8.0</v>
      </c>
      <c r="U45" s="19">
        <v>8.0</v>
      </c>
      <c r="V45" s="19">
        <v>1.0</v>
      </c>
      <c r="W45" s="19">
        <v>3.0</v>
      </c>
      <c r="X45" s="19">
        <v>7.0</v>
      </c>
      <c r="Y45" s="19">
        <v>5.0</v>
      </c>
      <c r="Z45" s="19">
        <v>9.0</v>
      </c>
      <c r="AA45" s="19">
        <v>13.0</v>
      </c>
      <c r="AB45" s="19">
        <v>2.0</v>
      </c>
      <c r="AC45" s="19">
        <v>11.0</v>
      </c>
      <c r="AD45" s="19">
        <v>2.0</v>
      </c>
      <c r="AE45" s="13">
        <f t="shared" ref="AE45:AE182" si="8">SUM(E45:AD45)</f>
        <v>141</v>
      </c>
    </row>
    <row r="46" ht="12.75" customHeight="1">
      <c r="A46" s="30" t="s">
        <v>39</v>
      </c>
      <c r="B46" s="49">
        <v>1.0</v>
      </c>
      <c r="C46" s="50" t="s">
        <v>40</v>
      </c>
      <c r="D46" s="51"/>
      <c r="E46" s="19">
        <v>0.0</v>
      </c>
      <c r="F46" s="19">
        <v>0.0</v>
      </c>
      <c r="G46" s="19">
        <v>1.0</v>
      </c>
      <c r="H46" s="19">
        <v>0.0</v>
      </c>
      <c r="I46" s="19">
        <v>1.0</v>
      </c>
      <c r="J46" s="19">
        <v>0.0</v>
      </c>
      <c r="K46" s="19">
        <v>1.0</v>
      </c>
      <c r="L46" s="19">
        <v>9.0</v>
      </c>
      <c r="M46" s="19">
        <v>14.0</v>
      </c>
      <c r="N46" s="19">
        <v>8.0</v>
      </c>
      <c r="O46" s="19">
        <v>5.0</v>
      </c>
      <c r="P46" s="19">
        <v>0.0</v>
      </c>
      <c r="Q46" s="19">
        <v>2.0</v>
      </c>
      <c r="R46" s="19">
        <v>3.0</v>
      </c>
      <c r="S46" s="19">
        <v>8.0</v>
      </c>
      <c r="T46" s="19">
        <v>8.0</v>
      </c>
      <c r="U46" s="19">
        <v>7.0</v>
      </c>
      <c r="V46" s="19">
        <v>1.0</v>
      </c>
      <c r="W46" s="19">
        <v>1.0</v>
      </c>
      <c r="X46" s="19">
        <v>6.0</v>
      </c>
      <c r="Y46" s="19">
        <v>2.0</v>
      </c>
      <c r="Z46" s="19">
        <v>5.0</v>
      </c>
      <c r="AA46" s="19">
        <v>6.0</v>
      </c>
      <c r="AB46" s="19">
        <v>0.0</v>
      </c>
      <c r="AC46" s="19">
        <v>4.0</v>
      </c>
      <c r="AD46" s="19">
        <v>4.0</v>
      </c>
      <c r="AE46" s="13">
        <f t="shared" si="8"/>
        <v>96</v>
      </c>
    </row>
    <row r="47" ht="12.75" customHeight="1">
      <c r="A47" s="18"/>
      <c r="B47" s="49">
        <v>2.0</v>
      </c>
      <c r="C47" s="50" t="s">
        <v>41</v>
      </c>
      <c r="D47" s="51"/>
      <c r="E47" s="19">
        <v>49.0</v>
      </c>
      <c r="F47" s="19">
        <v>14.0</v>
      </c>
      <c r="G47" s="19">
        <v>16.0</v>
      </c>
      <c r="H47" s="19">
        <v>21.0</v>
      </c>
      <c r="I47" s="19">
        <v>22.0</v>
      </c>
      <c r="J47" s="19">
        <v>14.0</v>
      </c>
      <c r="K47" s="19">
        <v>19.0</v>
      </c>
      <c r="L47" s="19">
        <v>40.0</v>
      </c>
      <c r="M47" s="19">
        <v>54.0</v>
      </c>
      <c r="N47" s="19">
        <v>51.0</v>
      </c>
      <c r="O47" s="19">
        <v>43.0</v>
      </c>
      <c r="P47" s="19">
        <v>7.0</v>
      </c>
      <c r="Q47" s="19">
        <v>7.0</v>
      </c>
      <c r="R47" s="19">
        <v>22.0</v>
      </c>
      <c r="S47" s="19">
        <v>44.0</v>
      </c>
      <c r="T47" s="19">
        <v>60.0</v>
      </c>
      <c r="U47" s="19">
        <v>65.0</v>
      </c>
      <c r="V47" s="19">
        <v>11.0</v>
      </c>
      <c r="W47" s="19">
        <v>38.0</v>
      </c>
      <c r="X47" s="19">
        <v>40.0</v>
      </c>
      <c r="Y47" s="19">
        <v>34.0</v>
      </c>
      <c r="Z47" s="19">
        <v>113.0</v>
      </c>
      <c r="AA47" s="19">
        <v>111.0</v>
      </c>
      <c r="AB47" s="19">
        <v>29.0</v>
      </c>
      <c r="AC47" s="19">
        <v>140.0</v>
      </c>
      <c r="AD47" s="19">
        <v>86.0</v>
      </c>
      <c r="AE47" s="13">
        <f t="shared" si="8"/>
        <v>1150</v>
      </c>
    </row>
    <row r="48" ht="12.75" customHeight="1">
      <c r="A48" s="18"/>
      <c r="B48" s="49">
        <v>3.0</v>
      </c>
      <c r="C48" s="50" t="s">
        <v>42</v>
      </c>
      <c r="D48" s="51"/>
      <c r="E48" s="19">
        <v>1.0</v>
      </c>
      <c r="F48" s="19">
        <v>0.0</v>
      </c>
      <c r="G48" s="19">
        <v>0.0</v>
      </c>
      <c r="H48" s="19">
        <v>0.0</v>
      </c>
      <c r="I48" s="19">
        <v>0.0</v>
      </c>
      <c r="J48" s="19">
        <v>0.0</v>
      </c>
      <c r="K48" s="19">
        <v>1.0</v>
      </c>
      <c r="L48" s="19">
        <v>0.0</v>
      </c>
      <c r="M48" s="19">
        <v>0.0</v>
      </c>
      <c r="N48" s="19">
        <v>1.0</v>
      </c>
      <c r="O48" s="19">
        <v>0.0</v>
      </c>
      <c r="P48" s="19">
        <v>0.0</v>
      </c>
      <c r="Q48" s="19">
        <v>0.0</v>
      </c>
      <c r="R48" s="19">
        <v>0.0</v>
      </c>
      <c r="S48" s="19">
        <v>0.0</v>
      </c>
      <c r="T48" s="19">
        <v>0.0</v>
      </c>
      <c r="U48" s="19">
        <v>1.0</v>
      </c>
      <c r="V48" s="19">
        <v>1.0</v>
      </c>
      <c r="W48" s="19">
        <v>1.0</v>
      </c>
      <c r="X48" s="19">
        <v>1.0</v>
      </c>
      <c r="Y48" s="19">
        <v>0.0</v>
      </c>
      <c r="Z48" s="19">
        <v>1.0</v>
      </c>
      <c r="AA48" s="19">
        <v>2.0</v>
      </c>
      <c r="AB48" s="19">
        <v>1.0</v>
      </c>
      <c r="AC48" s="19">
        <v>2.0</v>
      </c>
      <c r="AD48" s="19">
        <v>1.0</v>
      </c>
      <c r="AE48" s="13">
        <f t="shared" si="8"/>
        <v>14</v>
      </c>
    </row>
    <row r="49" ht="12.75" customHeight="1">
      <c r="A49" s="18"/>
      <c r="B49" s="49">
        <v>4.0</v>
      </c>
      <c r="C49" s="50" t="s">
        <v>43</v>
      </c>
      <c r="D49" s="51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1.0</v>
      </c>
      <c r="L49" s="19">
        <v>0.0</v>
      </c>
      <c r="M49" s="19">
        <v>0.0</v>
      </c>
      <c r="N49" s="19">
        <v>1.0</v>
      </c>
      <c r="O49" s="19">
        <v>0.0</v>
      </c>
      <c r="P49" s="19">
        <v>0.0</v>
      </c>
      <c r="Q49" s="19">
        <v>0.0</v>
      </c>
      <c r="R49" s="19">
        <v>0.0</v>
      </c>
      <c r="S49" s="19">
        <v>1.0</v>
      </c>
      <c r="T49" s="19">
        <v>0.0</v>
      </c>
      <c r="U49" s="19">
        <v>1.0</v>
      </c>
      <c r="V49" s="19">
        <v>0.0</v>
      </c>
      <c r="W49" s="19">
        <v>0.0</v>
      </c>
      <c r="X49" s="19">
        <v>0.0</v>
      </c>
      <c r="Y49" s="19">
        <v>0.0</v>
      </c>
      <c r="Z49" s="19">
        <v>0.0</v>
      </c>
      <c r="AA49" s="19">
        <v>0.0</v>
      </c>
      <c r="AB49" s="19">
        <v>0.0</v>
      </c>
      <c r="AC49" s="19">
        <v>0.0</v>
      </c>
      <c r="AD49" s="19">
        <v>0.0</v>
      </c>
      <c r="AE49" s="13">
        <f t="shared" si="8"/>
        <v>4</v>
      </c>
    </row>
    <row r="50" ht="12.75" customHeight="1">
      <c r="A50" s="18"/>
      <c r="B50" s="49">
        <v>5.0</v>
      </c>
      <c r="C50" s="50" t="s">
        <v>44</v>
      </c>
      <c r="D50" s="51"/>
      <c r="E50" s="19">
        <v>0.0</v>
      </c>
      <c r="F50" s="19">
        <v>0.0</v>
      </c>
      <c r="G50" s="19">
        <v>0.0</v>
      </c>
      <c r="H50" s="19">
        <v>0.0</v>
      </c>
      <c r="I50" s="19">
        <v>1.0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1.0</v>
      </c>
      <c r="Q50" s="19">
        <v>0.0</v>
      </c>
      <c r="R50" s="19">
        <v>1.0</v>
      </c>
      <c r="S50" s="19">
        <v>0.0</v>
      </c>
      <c r="T50" s="19">
        <v>0.0</v>
      </c>
      <c r="U50" s="19">
        <v>0.0</v>
      </c>
      <c r="V50" s="19">
        <v>0.0</v>
      </c>
      <c r="W50" s="19">
        <v>0.0</v>
      </c>
      <c r="X50" s="19">
        <v>0.0</v>
      </c>
      <c r="Y50" s="19">
        <v>0.0</v>
      </c>
      <c r="Z50" s="19">
        <v>0.0</v>
      </c>
      <c r="AA50" s="19">
        <v>0.0</v>
      </c>
      <c r="AB50" s="19">
        <v>0.0</v>
      </c>
      <c r="AC50" s="19">
        <v>0.0</v>
      </c>
      <c r="AD50" s="19">
        <v>0.0</v>
      </c>
      <c r="AE50" s="13">
        <f t="shared" si="8"/>
        <v>3</v>
      </c>
    </row>
    <row r="51" ht="12.75" customHeight="1">
      <c r="A51" s="18"/>
      <c r="B51" s="49">
        <v>6.0</v>
      </c>
      <c r="C51" s="50" t="s">
        <v>45</v>
      </c>
      <c r="D51" s="51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1.0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1.0</v>
      </c>
      <c r="V51" s="19">
        <v>3.0</v>
      </c>
      <c r="W51" s="19">
        <v>0.0</v>
      </c>
      <c r="X51" s="19">
        <v>0.0</v>
      </c>
      <c r="Y51" s="19">
        <v>0.0</v>
      </c>
      <c r="Z51" s="19">
        <v>1.0</v>
      </c>
      <c r="AA51" s="19">
        <v>0.0</v>
      </c>
      <c r="AB51" s="19">
        <v>0.0</v>
      </c>
      <c r="AC51" s="19">
        <v>0.0</v>
      </c>
      <c r="AD51" s="19">
        <v>0.0</v>
      </c>
      <c r="AE51" s="13">
        <f t="shared" si="8"/>
        <v>6</v>
      </c>
    </row>
    <row r="52" ht="12.75" customHeight="1">
      <c r="A52" s="19" t="s">
        <v>15</v>
      </c>
      <c r="B52" s="47" t="s">
        <v>46</v>
      </c>
      <c r="C52" s="15"/>
      <c r="D52" s="16"/>
      <c r="E52" s="56">
        <f t="shared" ref="E52:AD52" si="9">SUM(E45:E51)</f>
        <v>55</v>
      </c>
      <c r="F52" s="56">
        <f t="shared" si="9"/>
        <v>18</v>
      </c>
      <c r="G52" s="56">
        <f t="shared" si="9"/>
        <v>21</v>
      </c>
      <c r="H52" s="56">
        <f t="shared" si="9"/>
        <v>23</v>
      </c>
      <c r="I52" s="56">
        <f t="shared" si="9"/>
        <v>25</v>
      </c>
      <c r="J52" s="56">
        <f t="shared" si="9"/>
        <v>15</v>
      </c>
      <c r="K52" s="56">
        <f t="shared" si="9"/>
        <v>26</v>
      </c>
      <c r="L52" s="56">
        <f t="shared" si="9"/>
        <v>59</v>
      </c>
      <c r="M52" s="56">
        <f t="shared" si="9"/>
        <v>72</v>
      </c>
      <c r="N52" s="56">
        <f t="shared" si="9"/>
        <v>70</v>
      </c>
      <c r="O52" s="56">
        <f t="shared" si="9"/>
        <v>54</v>
      </c>
      <c r="P52" s="56">
        <f t="shared" si="9"/>
        <v>13</v>
      </c>
      <c r="Q52" s="56">
        <f t="shared" si="9"/>
        <v>9</v>
      </c>
      <c r="R52" s="56">
        <f t="shared" si="9"/>
        <v>32</v>
      </c>
      <c r="S52" s="56">
        <f t="shared" si="9"/>
        <v>65</v>
      </c>
      <c r="T52" s="56">
        <f t="shared" si="9"/>
        <v>76</v>
      </c>
      <c r="U52" s="56">
        <f t="shared" si="9"/>
        <v>83</v>
      </c>
      <c r="V52" s="56">
        <f t="shared" si="9"/>
        <v>17</v>
      </c>
      <c r="W52" s="56">
        <f t="shared" si="9"/>
        <v>43</v>
      </c>
      <c r="X52" s="56">
        <f t="shared" si="9"/>
        <v>54</v>
      </c>
      <c r="Y52" s="56">
        <f t="shared" si="9"/>
        <v>41</v>
      </c>
      <c r="Z52" s="56">
        <f t="shared" si="9"/>
        <v>129</v>
      </c>
      <c r="AA52" s="56">
        <f t="shared" si="9"/>
        <v>132</v>
      </c>
      <c r="AB52" s="56">
        <f t="shared" si="9"/>
        <v>32</v>
      </c>
      <c r="AC52" s="56">
        <f t="shared" si="9"/>
        <v>157</v>
      </c>
      <c r="AD52" s="56">
        <f t="shared" si="9"/>
        <v>93</v>
      </c>
      <c r="AE52" s="13">
        <f t="shared" si="8"/>
        <v>1414</v>
      </c>
    </row>
    <row r="53" ht="12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13">
        <f t="shared" si="8"/>
        <v>0</v>
      </c>
    </row>
    <row r="54" ht="12.75" customHeight="1">
      <c r="A54" s="30" t="s">
        <v>37</v>
      </c>
      <c r="B54" s="47" t="s">
        <v>19</v>
      </c>
      <c r="C54" s="48" t="s">
        <v>47</v>
      </c>
      <c r="D54" s="16"/>
      <c r="E54" s="19">
        <v>6.0</v>
      </c>
      <c r="F54" s="19">
        <v>3.0</v>
      </c>
      <c r="G54" s="19">
        <v>5.0</v>
      </c>
      <c r="H54" s="19">
        <v>2.0</v>
      </c>
      <c r="I54" s="19">
        <v>5.0</v>
      </c>
      <c r="J54" s="19">
        <v>2.0</v>
      </c>
      <c r="K54" s="19">
        <v>6.0</v>
      </c>
      <c r="L54" s="19">
        <v>2.0</v>
      </c>
      <c r="M54" s="19">
        <v>3.0</v>
      </c>
      <c r="N54" s="19">
        <v>3.0</v>
      </c>
      <c r="O54" s="19">
        <v>2.0</v>
      </c>
      <c r="P54" s="19">
        <v>8.0</v>
      </c>
      <c r="Q54" s="19">
        <v>5.0</v>
      </c>
      <c r="R54" s="19">
        <v>1.0</v>
      </c>
      <c r="S54" s="19">
        <v>11.0</v>
      </c>
      <c r="T54" s="19">
        <v>10.0</v>
      </c>
      <c r="U54" s="19">
        <v>7.0</v>
      </c>
      <c r="V54" s="19">
        <v>3.0</v>
      </c>
      <c r="W54" s="19">
        <v>6.0</v>
      </c>
      <c r="X54" s="19">
        <v>6.0</v>
      </c>
      <c r="Y54" s="19">
        <v>4.0</v>
      </c>
      <c r="Z54" s="19">
        <v>7.0</v>
      </c>
      <c r="AA54" s="19">
        <v>6.0</v>
      </c>
      <c r="AB54" s="19">
        <v>2.0</v>
      </c>
      <c r="AC54" s="19">
        <v>8.0</v>
      </c>
      <c r="AD54" s="19">
        <v>3.0</v>
      </c>
      <c r="AE54" s="13">
        <f t="shared" si="8"/>
        <v>126</v>
      </c>
    </row>
    <row r="55" ht="15.0" customHeight="1">
      <c r="A55" s="30" t="s">
        <v>39</v>
      </c>
      <c r="B55" s="49">
        <v>1.0</v>
      </c>
      <c r="C55" s="50" t="s">
        <v>48</v>
      </c>
      <c r="D55" s="51"/>
      <c r="E55" s="19">
        <v>4.0</v>
      </c>
      <c r="F55" s="19">
        <v>6.0</v>
      </c>
      <c r="G55" s="19">
        <v>2.0</v>
      </c>
      <c r="H55" s="19">
        <v>6.0</v>
      </c>
      <c r="I55" s="19">
        <v>5.0</v>
      </c>
      <c r="J55" s="19">
        <v>4.0</v>
      </c>
      <c r="K55" s="19">
        <v>17.0</v>
      </c>
      <c r="L55" s="19">
        <v>1.0</v>
      </c>
      <c r="M55" s="19">
        <v>2.0</v>
      </c>
      <c r="N55" s="19">
        <v>7.0</v>
      </c>
      <c r="O55" s="19">
        <v>1.0</v>
      </c>
      <c r="P55" s="19">
        <v>4.0</v>
      </c>
      <c r="Q55" s="19">
        <v>5.0</v>
      </c>
      <c r="R55" s="19">
        <v>4.0</v>
      </c>
      <c r="S55" s="19">
        <v>2.0</v>
      </c>
      <c r="T55" s="19">
        <v>13.0</v>
      </c>
      <c r="U55" s="19">
        <v>20.0</v>
      </c>
      <c r="V55" s="19">
        <v>11.0</v>
      </c>
      <c r="W55" s="19">
        <v>40.0</v>
      </c>
      <c r="X55" s="19">
        <v>7.0</v>
      </c>
      <c r="Y55" s="19">
        <v>4.0</v>
      </c>
      <c r="Z55" s="19">
        <v>5.0</v>
      </c>
      <c r="AA55" s="19">
        <v>1.0</v>
      </c>
      <c r="AB55" s="19">
        <v>5.0</v>
      </c>
      <c r="AC55" s="19">
        <v>8.0</v>
      </c>
      <c r="AD55" s="19">
        <v>21.0</v>
      </c>
      <c r="AE55" s="13">
        <f t="shared" si="8"/>
        <v>205</v>
      </c>
    </row>
    <row r="56" ht="12.75" customHeight="1">
      <c r="A56" s="18"/>
      <c r="B56" s="49">
        <v>2.0</v>
      </c>
      <c r="C56" s="50" t="s">
        <v>49</v>
      </c>
      <c r="D56" s="51"/>
      <c r="E56" s="19">
        <v>1.0</v>
      </c>
      <c r="F56" s="19">
        <v>1.0</v>
      </c>
      <c r="G56" s="19">
        <v>0.0</v>
      </c>
      <c r="H56" s="19">
        <v>1.0</v>
      </c>
      <c r="I56" s="19">
        <v>2.0</v>
      </c>
      <c r="J56" s="19">
        <v>0.0</v>
      </c>
      <c r="K56" s="19">
        <v>2.0</v>
      </c>
      <c r="L56" s="19">
        <v>0.0</v>
      </c>
      <c r="M56" s="19">
        <v>2.0</v>
      </c>
      <c r="N56" s="19">
        <v>1.0</v>
      </c>
      <c r="O56" s="19">
        <v>0.0</v>
      </c>
      <c r="P56" s="19">
        <v>0.0</v>
      </c>
      <c r="Q56" s="19">
        <v>0.0</v>
      </c>
      <c r="R56" s="19">
        <v>0.0</v>
      </c>
      <c r="S56" s="19">
        <v>0.0</v>
      </c>
      <c r="T56" s="19">
        <v>0.0</v>
      </c>
      <c r="U56" s="19">
        <v>0.0</v>
      </c>
      <c r="V56" s="19">
        <v>3.0</v>
      </c>
      <c r="W56" s="19">
        <v>0.0</v>
      </c>
      <c r="X56" s="19">
        <v>3.0</v>
      </c>
      <c r="Y56" s="19">
        <v>0.0</v>
      </c>
      <c r="Z56" s="19">
        <v>0.0</v>
      </c>
      <c r="AA56" s="19">
        <v>1.0</v>
      </c>
      <c r="AB56" s="19">
        <v>6.0</v>
      </c>
      <c r="AC56" s="19">
        <v>2.0</v>
      </c>
      <c r="AD56" s="19">
        <v>2.0</v>
      </c>
      <c r="AE56" s="13">
        <f t="shared" si="8"/>
        <v>27</v>
      </c>
    </row>
    <row r="57" ht="12.75" customHeight="1">
      <c r="A57" s="18"/>
      <c r="B57" s="49">
        <v>3.0</v>
      </c>
      <c r="C57" s="50" t="s">
        <v>50</v>
      </c>
      <c r="D57" s="51"/>
      <c r="E57" s="19">
        <v>1.0</v>
      </c>
      <c r="F57" s="19">
        <v>0.0</v>
      </c>
      <c r="G57" s="19">
        <v>1.0</v>
      </c>
      <c r="H57" s="19">
        <v>0.0</v>
      </c>
      <c r="I57" s="19">
        <v>0.0</v>
      </c>
      <c r="J57" s="19">
        <v>1.0</v>
      </c>
      <c r="K57" s="19">
        <v>0.0</v>
      </c>
      <c r="L57" s="19">
        <v>0.0</v>
      </c>
      <c r="M57" s="19">
        <v>3.0</v>
      </c>
      <c r="N57" s="19">
        <v>1.0</v>
      </c>
      <c r="O57" s="19">
        <v>1.0</v>
      </c>
      <c r="P57" s="19">
        <v>0.0</v>
      </c>
      <c r="Q57" s="19">
        <v>0.0</v>
      </c>
      <c r="R57" s="19">
        <v>0.0</v>
      </c>
      <c r="S57" s="19">
        <v>0.0</v>
      </c>
      <c r="T57" s="19">
        <v>0.0</v>
      </c>
      <c r="U57" s="19">
        <v>1.0</v>
      </c>
      <c r="V57" s="19">
        <v>0.0</v>
      </c>
      <c r="W57" s="19">
        <v>0.0</v>
      </c>
      <c r="X57" s="19">
        <v>1.0</v>
      </c>
      <c r="Y57" s="19">
        <v>0.0</v>
      </c>
      <c r="Z57" s="19">
        <v>1.0</v>
      </c>
      <c r="AA57" s="19">
        <v>0.0</v>
      </c>
      <c r="AB57" s="19">
        <v>0.0</v>
      </c>
      <c r="AC57" s="19">
        <v>1.0</v>
      </c>
      <c r="AD57" s="19">
        <v>0.0</v>
      </c>
      <c r="AE57" s="13">
        <f t="shared" si="8"/>
        <v>12</v>
      </c>
    </row>
    <row r="58" ht="12.75" customHeight="1">
      <c r="A58" s="18"/>
      <c r="B58" s="49">
        <v>4.0</v>
      </c>
      <c r="C58" s="50" t="s">
        <v>51</v>
      </c>
      <c r="D58" s="51"/>
      <c r="E58" s="19">
        <v>0.0</v>
      </c>
      <c r="F58" s="19">
        <v>0.0</v>
      </c>
      <c r="G58" s="19">
        <v>0.0</v>
      </c>
      <c r="H58" s="19">
        <v>0.0</v>
      </c>
      <c r="I58" s="19">
        <v>1.0</v>
      </c>
      <c r="J58" s="19">
        <v>0.0</v>
      </c>
      <c r="K58" s="19">
        <v>1.0</v>
      </c>
      <c r="L58" s="19">
        <v>0.0</v>
      </c>
      <c r="M58" s="19">
        <v>0.0</v>
      </c>
      <c r="N58" s="19">
        <v>0.0</v>
      </c>
      <c r="O58" s="19">
        <v>0.0</v>
      </c>
      <c r="P58" s="19">
        <v>0.0</v>
      </c>
      <c r="Q58" s="19">
        <v>0.0</v>
      </c>
      <c r="R58" s="19">
        <v>0.0</v>
      </c>
      <c r="S58" s="19">
        <v>1.0</v>
      </c>
      <c r="T58" s="19">
        <v>0.0</v>
      </c>
      <c r="U58" s="19">
        <v>0.0</v>
      </c>
      <c r="V58" s="19">
        <v>0.0</v>
      </c>
      <c r="W58" s="19">
        <v>0.0</v>
      </c>
      <c r="X58" s="19">
        <v>0.0</v>
      </c>
      <c r="Y58" s="19">
        <v>0.0</v>
      </c>
      <c r="Z58" s="19">
        <v>1.0</v>
      </c>
      <c r="AA58" s="19">
        <v>1.0</v>
      </c>
      <c r="AB58" s="19">
        <v>0.0</v>
      </c>
      <c r="AC58" s="19">
        <v>0.0</v>
      </c>
      <c r="AD58" s="19">
        <v>0.0</v>
      </c>
      <c r="AE58" s="13">
        <f t="shared" si="8"/>
        <v>5</v>
      </c>
    </row>
    <row r="59" ht="12.75" customHeight="1">
      <c r="A59" s="18"/>
      <c r="B59" s="49">
        <v>5.0</v>
      </c>
      <c r="C59" s="50" t="s">
        <v>52</v>
      </c>
      <c r="D59" s="51"/>
      <c r="E59" s="19">
        <v>0.0</v>
      </c>
      <c r="F59" s="19">
        <v>0.0</v>
      </c>
      <c r="G59" s="19">
        <v>0.0</v>
      </c>
      <c r="H59" s="19">
        <v>0.0</v>
      </c>
      <c r="I59" s="19">
        <v>0.0</v>
      </c>
      <c r="J59" s="19">
        <v>0.0</v>
      </c>
      <c r="K59" s="19">
        <v>0.0</v>
      </c>
      <c r="L59" s="19">
        <v>1.0</v>
      </c>
      <c r="M59" s="19">
        <v>0.0</v>
      </c>
      <c r="N59" s="19">
        <v>0.0</v>
      </c>
      <c r="O59" s="19">
        <v>0.0</v>
      </c>
      <c r="P59" s="19">
        <v>1.0</v>
      </c>
      <c r="Q59" s="19">
        <v>0.0</v>
      </c>
      <c r="R59" s="19">
        <v>0.0</v>
      </c>
      <c r="S59" s="19">
        <v>0.0</v>
      </c>
      <c r="T59" s="19">
        <v>0.0</v>
      </c>
      <c r="U59" s="19">
        <v>0.0</v>
      </c>
      <c r="V59" s="19">
        <v>0.0</v>
      </c>
      <c r="W59" s="19">
        <v>0.0</v>
      </c>
      <c r="X59" s="19">
        <v>0.0</v>
      </c>
      <c r="Y59" s="19">
        <v>0.0</v>
      </c>
      <c r="Z59" s="19">
        <v>0.0</v>
      </c>
      <c r="AA59" s="19">
        <v>1.0</v>
      </c>
      <c r="AB59" s="19">
        <v>0.0</v>
      </c>
      <c r="AC59" s="19">
        <v>0.0</v>
      </c>
      <c r="AD59" s="19">
        <v>0.0</v>
      </c>
      <c r="AE59" s="13">
        <f t="shared" si="8"/>
        <v>3</v>
      </c>
    </row>
    <row r="60" ht="12.75" customHeight="1">
      <c r="A60" s="18"/>
      <c r="B60" s="49">
        <v>6.0</v>
      </c>
      <c r="C60" s="50" t="s">
        <v>53</v>
      </c>
      <c r="D60" s="51"/>
      <c r="E60" s="19">
        <v>0.0</v>
      </c>
      <c r="F60" s="19">
        <v>0.0</v>
      </c>
      <c r="G60" s="19">
        <v>1.0</v>
      </c>
      <c r="H60" s="19">
        <v>0.0</v>
      </c>
      <c r="I60" s="19">
        <v>2.0</v>
      </c>
      <c r="J60" s="19">
        <v>0.0</v>
      </c>
      <c r="K60" s="19">
        <v>0.0</v>
      </c>
      <c r="L60" s="19">
        <v>0.0</v>
      </c>
      <c r="M60" s="19">
        <v>0.0</v>
      </c>
      <c r="N60" s="19">
        <v>0.0</v>
      </c>
      <c r="O60" s="19">
        <v>1.0</v>
      </c>
      <c r="P60" s="19">
        <v>0.0</v>
      </c>
      <c r="Q60" s="19">
        <v>0.0</v>
      </c>
      <c r="R60" s="19">
        <v>0.0</v>
      </c>
      <c r="S60" s="19">
        <v>0.0</v>
      </c>
      <c r="T60" s="19">
        <v>0.0</v>
      </c>
      <c r="U60" s="19">
        <v>0.0</v>
      </c>
      <c r="V60" s="19">
        <v>0.0</v>
      </c>
      <c r="W60" s="19">
        <v>0.0</v>
      </c>
      <c r="X60" s="19">
        <v>0.0</v>
      </c>
      <c r="Y60" s="19">
        <v>0.0</v>
      </c>
      <c r="Z60" s="19">
        <v>1.0</v>
      </c>
      <c r="AA60" s="19">
        <v>0.0</v>
      </c>
      <c r="AB60" s="19">
        <v>0.0</v>
      </c>
      <c r="AC60" s="19">
        <v>0.0</v>
      </c>
      <c r="AD60" s="19">
        <v>0.0</v>
      </c>
      <c r="AE60" s="13">
        <f t="shared" si="8"/>
        <v>5</v>
      </c>
    </row>
    <row r="61" ht="12.75" customHeight="1">
      <c r="A61" s="19" t="s">
        <v>15</v>
      </c>
      <c r="B61" s="47" t="s">
        <v>46</v>
      </c>
      <c r="C61" s="15"/>
      <c r="D61" s="16"/>
      <c r="E61" s="56">
        <f t="shared" ref="E61:AD61" si="10">SUM(E54:E60)</f>
        <v>12</v>
      </c>
      <c r="F61" s="56">
        <f t="shared" si="10"/>
        <v>10</v>
      </c>
      <c r="G61" s="56">
        <f t="shared" si="10"/>
        <v>9</v>
      </c>
      <c r="H61" s="56">
        <f t="shared" si="10"/>
        <v>9</v>
      </c>
      <c r="I61" s="56">
        <f t="shared" si="10"/>
        <v>15</v>
      </c>
      <c r="J61" s="56">
        <f t="shared" si="10"/>
        <v>7</v>
      </c>
      <c r="K61" s="56">
        <f t="shared" si="10"/>
        <v>26</v>
      </c>
      <c r="L61" s="56">
        <f t="shared" si="10"/>
        <v>4</v>
      </c>
      <c r="M61" s="56">
        <f t="shared" si="10"/>
        <v>10</v>
      </c>
      <c r="N61" s="56">
        <f t="shared" si="10"/>
        <v>12</v>
      </c>
      <c r="O61" s="56">
        <f t="shared" si="10"/>
        <v>5</v>
      </c>
      <c r="P61" s="56">
        <f t="shared" si="10"/>
        <v>13</v>
      </c>
      <c r="Q61" s="56">
        <f t="shared" si="10"/>
        <v>10</v>
      </c>
      <c r="R61" s="56">
        <f t="shared" si="10"/>
        <v>5</v>
      </c>
      <c r="S61" s="56">
        <f t="shared" si="10"/>
        <v>14</v>
      </c>
      <c r="T61" s="56">
        <f t="shared" si="10"/>
        <v>23</v>
      </c>
      <c r="U61" s="56">
        <f t="shared" si="10"/>
        <v>28</v>
      </c>
      <c r="V61" s="56">
        <f t="shared" si="10"/>
        <v>17</v>
      </c>
      <c r="W61" s="56">
        <f t="shared" si="10"/>
        <v>46</v>
      </c>
      <c r="X61" s="56">
        <f t="shared" si="10"/>
        <v>17</v>
      </c>
      <c r="Y61" s="56">
        <f t="shared" si="10"/>
        <v>8</v>
      </c>
      <c r="Z61" s="56">
        <f t="shared" si="10"/>
        <v>15</v>
      </c>
      <c r="AA61" s="56">
        <f t="shared" si="10"/>
        <v>10</v>
      </c>
      <c r="AB61" s="56">
        <f t="shared" si="10"/>
        <v>13</v>
      </c>
      <c r="AC61" s="56">
        <f t="shared" si="10"/>
        <v>19</v>
      </c>
      <c r="AD61" s="56">
        <f t="shared" si="10"/>
        <v>26</v>
      </c>
      <c r="AE61" s="13">
        <f t="shared" si="8"/>
        <v>383</v>
      </c>
    </row>
    <row r="62" ht="12.75" customHeight="1">
      <c r="A62" s="57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13">
        <f t="shared" si="8"/>
        <v>0</v>
      </c>
    </row>
    <row r="63" ht="12.75" customHeight="1">
      <c r="A63" s="30" t="s">
        <v>37</v>
      </c>
      <c r="B63" s="47" t="s">
        <v>21</v>
      </c>
      <c r="C63" s="48" t="s">
        <v>54</v>
      </c>
      <c r="D63" s="16"/>
      <c r="E63" s="19">
        <v>22.0</v>
      </c>
      <c r="F63" s="19">
        <v>15.0</v>
      </c>
      <c r="G63" s="19">
        <v>15.0</v>
      </c>
      <c r="H63" s="19">
        <v>15.0</v>
      </c>
      <c r="I63" s="19">
        <v>7.0</v>
      </c>
      <c r="J63" s="19">
        <v>8.0</v>
      </c>
      <c r="K63" s="19">
        <v>10.0</v>
      </c>
      <c r="L63" s="19">
        <v>1.0</v>
      </c>
      <c r="M63" s="19">
        <v>5.0</v>
      </c>
      <c r="N63" s="19">
        <v>3.0</v>
      </c>
      <c r="O63" s="19">
        <v>6.0</v>
      </c>
      <c r="P63" s="19">
        <v>9.0</v>
      </c>
      <c r="Q63" s="19">
        <v>14.0</v>
      </c>
      <c r="R63" s="19">
        <v>20.0</v>
      </c>
      <c r="S63" s="19">
        <v>6.0</v>
      </c>
      <c r="T63" s="19">
        <v>12.0</v>
      </c>
      <c r="U63" s="19">
        <v>3.0</v>
      </c>
      <c r="V63" s="19">
        <v>4.0</v>
      </c>
      <c r="W63" s="19">
        <v>3.0</v>
      </c>
      <c r="X63" s="19">
        <v>19.0</v>
      </c>
      <c r="Y63" s="19">
        <v>22.0</v>
      </c>
      <c r="Z63" s="19">
        <v>10.0</v>
      </c>
      <c r="AA63" s="19">
        <v>4.0</v>
      </c>
      <c r="AB63" s="19">
        <v>13.0</v>
      </c>
      <c r="AC63" s="19">
        <v>4.0</v>
      </c>
      <c r="AD63" s="19">
        <v>5.0</v>
      </c>
      <c r="AE63" s="13">
        <f t="shared" si="8"/>
        <v>255</v>
      </c>
    </row>
    <row r="64" ht="12.75" customHeight="1">
      <c r="A64" s="30" t="s">
        <v>39</v>
      </c>
      <c r="B64" s="49">
        <v>1.0</v>
      </c>
      <c r="C64" s="50" t="s">
        <v>55</v>
      </c>
      <c r="D64" s="51"/>
      <c r="E64" s="19">
        <v>7.0</v>
      </c>
      <c r="F64" s="19">
        <v>1.0</v>
      </c>
      <c r="G64" s="19">
        <v>0.0</v>
      </c>
      <c r="H64" s="19">
        <v>4.0</v>
      </c>
      <c r="I64" s="19">
        <v>2.0</v>
      </c>
      <c r="J64" s="19">
        <v>2.0</v>
      </c>
      <c r="K64" s="19">
        <v>7.0</v>
      </c>
      <c r="L64" s="19">
        <v>5.0</v>
      </c>
      <c r="M64" s="19">
        <v>1.0</v>
      </c>
      <c r="N64" s="19">
        <v>1.0</v>
      </c>
      <c r="O64" s="19">
        <v>6.0</v>
      </c>
      <c r="P64" s="19">
        <v>2.0</v>
      </c>
      <c r="Q64" s="19">
        <v>2.0</v>
      </c>
      <c r="R64" s="19">
        <v>2.0</v>
      </c>
      <c r="S64" s="19">
        <v>8.0</v>
      </c>
      <c r="T64" s="19">
        <v>3.0</v>
      </c>
      <c r="U64" s="19">
        <v>1.0</v>
      </c>
      <c r="V64" s="19">
        <v>9.0</v>
      </c>
      <c r="W64" s="19">
        <v>5.0</v>
      </c>
      <c r="X64" s="19">
        <v>8.0</v>
      </c>
      <c r="Y64" s="19">
        <v>18.0</v>
      </c>
      <c r="Z64" s="19">
        <v>2.0</v>
      </c>
      <c r="AA64" s="19">
        <v>0.0</v>
      </c>
      <c r="AB64" s="19">
        <v>9.0</v>
      </c>
      <c r="AC64" s="19">
        <v>2.0</v>
      </c>
      <c r="AD64" s="19">
        <v>14.0</v>
      </c>
      <c r="AE64" s="13">
        <f t="shared" si="8"/>
        <v>121</v>
      </c>
    </row>
    <row r="65" ht="12.75" customHeight="1">
      <c r="A65" s="18"/>
      <c r="B65" s="49">
        <v>2.0</v>
      </c>
      <c r="C65" s="50" t="s">
        <v>56</v>
      </c>
      <c r="D65" s="51"/>
      <c r="E65" s="19">
        <v>27.0</v>
      </c>
      <c r="F65" s="19">
        <v>2.0</v>
      </c>
      <c r="G65" s="19">
        <v>4.0</v>
      </c>
      <c r="H65" s="19">
        <v>4.0</v>
      </c>
      <c r="I65" s="19">
        <v>3.0</v>
      </c>
      <c r="J65" s="19">
        <v>42.0</v>
      </c>
      <c r="K65" s="19">
        <v>5.0</v>
      </c>
      <c r="L65" s="19">
        <v>5.0</v>
      </c>
      <c r="M65" s="19">
        <v>3.0</v>
      </c>
      <c r="N65" s="19">
        <v>2.0</v>
      </c>
      <c r="O65" s="19">
        <v>2.0</v>
      </c>
      <c r="P65" s="19">
        <v>2.0</v>
      </c>
      <c r="Q65" s="19">
        <v>3.0</v>
      </c>
      <c r="R65" s="19">
        <v>5.0</v>
      </c>
      <c r="S65" s="19">
        <v>10.0</v>
      </c>
      <c r="T65" s="19">
        <v>3.0</v>
      </c>
      <c r="U65" s="19">
        <v>1.0</v>
      </c>
      <c r="V65" s="19">
        <v>37.0</v>
      </c>
      <c r="W65" s="19">
        <v>5.0</v>
      </c>
      <c r="X65" s="19">
        <v>24.0</v>
      </c>
      <c r="Y65" s="19">
        <v>10.0</v>
      </c>
      <c r="Z65" s="19">
        <v>6.0</v>
      </c>
      <c r="AA65" s="19">
        <v>2.0</v>
      </c>
      <c r="AB65" s="19">
        <v>4.0</v>
      </c>
      <c r="AC65" s="19">
        <v>5.0</v>
      </c>
      <c r="AD65" s="19">
        <v>9.0</v>
      </c>
      <c r="AE65" s="13">
        <f t="shared" si="8"/>
        <v>225</v>
      </c>
    </row>
    <row r="66" ht="12.75" customHeight="1">
      <c r="A66" s="18"/>
      <c r="B66" s="49">
        <v>3.0</v>
      </c>
      <c r="C66" s="50" t="s">
        <v>57</v>
      </c>
      <c r="D66" s="51"/>
      <c r="E66" s="19">
        <v>61.0</v>
      </c>
      <c r="F66" s="19">
        <v>130.0</v>
      </c>
      <c r="G66" s="19">
        <v>172.0</v>
      </c>
      <c r="H66" s="19">
        <v>86.0</v>
      </c>
      <c r="I66" s="19">
        <v>58.0</v>
      </c>
      <c r="J66" s="19">
        <v>66.0</v>
      </c>
      <c r="K66" s="19">
        <v>51.0</v>
      </c>
      <c r="L66" s="19">
        <v>53.0</v>
      </c>
      <c r="M66" s="19">
        <v>36.0</v>
      </c>
      <c r="N66" s="19">
        <v>38.0</v>
      </c>
      <c r="O66" s="19">
        <v>45.0</v>
      </c>
      <c r="P66" s="19">
        <v>87.0</v>
      </c>
      <c r="Q66" s="19">
        <v>148.0</v>
      </c>
      <c r="R66" s="19">
        <v>52.0</v>
      </c>
      <c r="S66" s="19">
        <v>48.0</v>
      </c>
      <c r="T66" s="19">
        <v>31.0</v>
      </c>
      <c r="U66" s="19">
        <v>23.0</v>
      </c>
      <c r="V66" s="19">
        <v>56.0</v>
      </c>
      <c r="W66" s="19">
        <v>13.0</v>
      </c>
      <c r="X66" s="19">
        <v>58.0</v>
      </c>
      <c r="Y66" s="19">
        <v>77.0</v>
      </c>
      <c r="Z66" s="19">
        <v>15.0</v>
      </c>
      <c r="AA66" s="19">
        <v>5.0</v>
      </c>
      <c r="AB66" s="19">
        <v>80.0</v>
      </c>
      <c r="AC66" s="19">
        <v>6.0</v>
      </c>
      <c r="AD66" s="19">
        <v>2.0</v>
      </c>
      <c r="AE66" s="13">
        <f t="shared" si="8"/>
        <v>1497</v>
      </c>
    </row>
    <row r="67" ht="15.0" customHeight="1">
      <c r="A67" s="18"/>
      <c r="B67" s="49">
        <v>4.0</v>
      </c>
      <c r="C67" s="50" t="s">
        <v>58</v>
      </c>
      <c r="D67" s="51"/>
      <c r="E67" s="19">
        <v>1.0</v>
      </c>
      <c r="F67" s="19">
        <v>1.0</v>
      </c>
      <c r="G67" s="19">
        <v>0.0</v>
      </c>
      <c r="H67" s="19">
        <v>0.0</v>
      </c>
      <c r="I67" s="19">
        <v>0.0</v>
      </c>
      <c r="J67" s="19">
        <v>0.0</v>
      </c>
      <c r="K67" s="19">
        <v>0.0</v>
      </c>
      <c r="L67" s="19">
        <v>0.0</v>
      </c>
      <c r="M67" s="19">
        <v>0.0</v>
      </c>
      <c r="N67" s="19">
        <v>0.0</v>
      </c>
      <c r="O67" s="19">
        <v>0.0</v>
      </c>
      <c r="P67" s="19">
        <v>1.0</v>
      </c>
      <c r="Q67" s="19">
        <v>0.0</v>
      </c>
      <c r="R67" s="19">
        <v>0.0</v>
      </c>
      <c r="S67" s="19">
        <v>0.0</v>
      </c>
      <c r="T67" s="19">
        <v>1.0</v>
      </c>
      <c r="U67" s="19">
        <v>2.0</v>
      </c>
      <c r="V67" s="19">
        <v>1.0</v>
      </c>
      <c r="W67" s="19">
        <v>0.0</v>
      </c>
      <c r="X67" s="19">
        <v>1.0</v>
      </c>
      <c r="Y67" s="19">
        <v>0.0</v>
      </c>
      <c r="Z67" s="19">
        <v>2.0</v>
      </c>
      <c r="AA67" s="19">
        <v>0.0</v>
      </c>
      <c r="AB67" s="19">
        <v>1.0</v>
      </c>
      <c r="AC67" s="19">
        <v>0.0</v>
      </c>
      <c r="AD67" s="19">
        <v>0.0</v>
      </c>
      <c r="AE67" s="13">
        <f t="shared" si="8"/>
        <v>11</v>
      </c>
    </row>
    <row r="68" ht="12.75" customHeight="1">
      <c r="A68" s="18"/>
      <c r="B68" s="49">
        <v>5.0</v>
      </c>
      <c r="C68" s="50" t="s">
        <v>59</v>
      </c>
      <c r="D68" s="51"/>
      <c r="E68" s="19">
        <v>0.0</v>
      </c>
      <c r="F68" s="19">
        <v>2.0</v>
      </c>
      <c r="G68" s="19">
        <v>0.0</v>
      </c>
      <c r="H68" s="19">
        <v>0.0</v>
      </c>
      <c r="I68" s="19">
        <v>0.0</v>
      </c>
      <c r="J68" s="19">
        <v>1.0</v>
      </c>
      <c r="K68" s="19">
        <v>0.0</v>
      </c>
      <c r="L68" s="19">
        <v>0.0</v>
      </c>
      <c r="M68" s="19">
        <v>0.0</v>
      </c>
      <c r="N68" s="19">
        <v>0.0</v>
      </c>
      <c r="O68" s="19">
        <v>0.0</v>
      </c>
      <c r="P68" s="19">
        <v>0.0</v>
      </c>
      <c r="Q68" s="19">
        <v>0.0</v>
      </c>
      <c r="R68" s="19">
        <v>0.0</v>
      </c>
      <c r="S68" s="19">
        <v>0.0</v>
      </c>
      <c r="T68" s="19">
        <v>0.0</v>
      </c>
      <c r="U68" s="19">
        <v>0.0</v>
      </c>
      <c r="V68" s="19">
        <v>0.0</v>
      </c>
      <c r="W68" s="19">
        <v>0.0</v>
      </c>
      <c r="X68" s="19">
        <v>1.0</v>
      </c>
      <c r="Y68" s="19">
        <v>0.0</v>
      </c>
      <c r="Z68" s="19">
        <v>0.0</v>
      </c>
      <c r="AA68" s="19">
        <v>0.0</v>
      </c>
      <c r="AB68" s="19">
        <v>0.0</v>
      </c>
      <c r="AC68" s="19">
        <v>0.0</v>
      </c>
      <c r="AD68" s="19">
        <v>1.0</v>
      </c>
      <c r="AE68" s="13">
        <f t="shared" si="8"/>
        <v>5</v>
      </c>
    </row>
    <row r="69" ht="12.75" customHeight="1">
      <c r="A69" s="18"/>
      <c r="B69" s="49">
        <v>6.0</v>
      </c>
      <c r="C69" s="50" t="s">
        <v>60</v>
      </c>
      <c r="D69" s="51"/>
      <c r="E69" s="19">
        <v>0.0</v>
      </c>
      <c r="F69" s="19">
        <v>0.0</v>
      </c>
      <c r="G69" s="19">
        <v>0.0</v>
      </c>
      <c r="H69" s="19">
        <v>1.0</v>
      </c>
      <c r="I69" s="19">
        <v>0.0</v>
      </c>
      <c r="J69" s="19">
        <v>0.0</v>
      </c>
      <c r="K69" s="19">
        <v>0.0</v>
      </c>
      <c r="L69" s="19">
        <v>0.0</v>
      </c>
      <c r="M69" s="19">
        <v>0.0</v>
      </c>
      <c r="N69" s="19">
        <v>0.0</v>
      </c>
      <c r="O69" s="19">
        <v>0.0</v>
      </c>
      <c r="P69" s="19">
        <v>0.0</v>
      </c>
      <c r="Q69" s="19">
        <v>0.0</v>
      </c>
      <c r="R69" s="19">
        <v>0.0</v>
      </c>
      <c r="S69" s="19">
        <v>0.0</v>
      </c>
      <c r="T69" s="19">
        <v>0.0</v>
      </c>
      <c r="U69" s="19">
        <v>0.0</v>
      </c>
      <c r="V69" s="19">
        <v>0.0</v>
      </c>
      <c r="W69" s="19">
        <v>0.0</v>
      </c>
      <c r="X69" s="19">
        <v>0.0</v>
      </c>
      <c r="Y69" s="19">
        <v>0.0</v>
      </c>
      <c r="Z69" s="19">
        <v>1.0</v>
      </c>
      <c r="AA69" s="19">
        <v>0.0</v>
      </c>
      <c r="AB69" s="19">
        <v>0.0</v>
      </c>
      <c r="AC69" s="19">
        <v>0.0</v>
      </c>
      <c r="AD69" s="19">
        <v>0.0</v>
      </c>
      <c r="AE69" s="13">
        <f t="shared" si="8"/>
        <v>2</v>
      </c>
    </row>
    <row r="70" ht="12.75" customHeight="1">
      <c r="A70" s="19" t="s">
        <v>15</v>
      </c>
      <c r="B70" s="47" t="s">
        <v>46</v>
      </c>
      <c r="C70" s="15"/>
      <c r="D70" s="16"/>
      <c r="E70" s="56">
        <f t="shared" ref="E70:AD70" si="11">SUM(E63:E69)</f>
        <v>118</v>
      </c>
      <c r="F70" s="56">
        <f t="shared" si="11"/>
        <v>151</v>
      </c>
      <c r="G70" s="56">
        <f t="shared" si="11"/>
        <v>191</v>
      </c>
      <c r="H70" s="56">
        <f t="shared" si="11"/>
        <v>110</v>
      </c>
      <c r="I70" s="56">
        <f t="shared" si="11"/>
        <v>70</v>
      </c>
      <c r="J70" s="56">
        <f t="shared" si="11"/>
        <v>119</v>
      </c>
      <c r="K70" s="56">
        <f t="shared" si="11"/>
        <v>73</v>
      </c>
      <c r="L70" s="56">
        <f t="shared" si="11"/>
        <v>64</v>
      </c>
      <c r="M70" s="56">
        <f t="shared" si="11"/>
        <v>45</v>
      </c>
      <c r="N70" s="56">
        <f t="shared" si="11"/>
        <v>44</v>
      </c>
      <c r="O70" s="56">
        <f t="shared" si="11"/>
        <v>59</v>
      </c>
      <c r="P70" s="56">
        <f t="shared" si="11"/>
        <v>101</v>
      </c>
      <c r="Q70" s="56">
        <f t="shared" si="11"/>
        <v>167</v>
      </c>
      <c r="R70" s="56">
        <f t="shared" si="11"/>
        <v>79</v>
      </c>
      <c r="S70" s="56">
        <f t="shared" si="11"/>
        <v>72</v>
      </c>
      <c r="T70" s="56">
        <f t="shared" si="11"/>
        <v>50</v>
      </c>
      <c r="U70" s="56">
        <f t="shared" si="11"/>
        <v>30</v>
      </c>
      <c r="V70" s="56">
        <f t="shared" si="11"/>
        <v>107</v>
      </c>
      <c r="W70" s="56">
        <f t="shared" si="11"/>
        <v>26</v>
      </c>
      <c r="X70" s="56">
        <f t="shared" si="11"/>
        <v>111</v>
      </c>
      <c r="Y70" s="56">
        <f t="shared" si="11"/>
        <v>127</v>
      </c>
      <c r="Z70" s="56">
        <f t="shared" si="11"/>
        <v>36</v>
      </c>
      <c r="AA70" s="56">
        <f t="shared" si="11"/>
        <v>11</v>
      </c>
      <c r="AB70" s="56">
        <f t="shared" si="11"/>
        <v>107</v>
      </c>
      <c r="AC70" s="56">
        <f t="shared" si="11"/>
        <v>17</v>
      </c>
      <c r="AD70" s="56">
        <f t="shared" si="11"/>
        <v>31</v>
      </c>
      <c r="AE70" s="13">
        <f t="shared" si="8"/>
        <v>2116</v>
      </c>
    </row>
    <row r="71" ht="12.75" customHeight="1">
      <c r="A71" s="57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13">
        <f t="shared" si="8"/>
        <v>0</v>
      </c>
    </row>
    <row r="72" ht="12.75" customHeight="1">
      <c r="A72" s="30" t="s">
        <v>37</v>
      </c>
      <c r="B72" s="47" t="s">
        <v>23</v>
      </c>
      <c r="C72" s="48" t="s">
        <v>61</v>
      </c>
      <c r="D72" s="16"/>
      <c r="E72" s="19">
        <v>1.0</v>
      </c>
      <c r="F72" s="19">
        <v>5.0</v>
      </c>
      <c r="G72" s="19">
        <v>1.0</v>
      </c>
      <c r="H72" s="19">
        <v>2.0</v>
      </c>
      <c r="I72" s="19">
        <v>5.0</v>
      </c>
      <c r="J72" s="19">
        <v>1.0</v>
      </c>
      <c r="K72" s="19">
        <v>2.0</v>
      </c>
      <c r="L72" s="19">
        <v>4.0</v>
      </c>
      <c r="M72" s="19">
        <v>1.0</v>
      </c>
      <c r="N72" s="19">
        <v>1.0</v>
      </c>
      <c r="O72" s="19">
        <v>3.0</v>
      </c>
      <c r="P72" s="19">
        <v>9.0</v>
      </c>
      <c r="Q72" s="19">
        <v>4.0</v>
      </c>
      <c r="R72" s="19">
        <v>20.0</v>
      </c>
      <c r="S72" s="19">
        <v>6.0</v>
      </c>
      <c r="T72" s="19">
        <v>3.0</v>
      </c>
      <c r="U72" s="19">
        <v>5.0</v>
      </c>
      <c r="V72" s="19">
        <v>1.0</v>
      </c>
      <c r="W72" s="19">
        <v>1.0</v>
      </c>
      <c r="X72" s="19">
        <v>3.0</v>
      </c>
      <c r="Y72" s="19">
        <v>2.0</v>
      </c>
      <c r="Z72" s="19">
        <v>2.0</v>
      </c>
      <c r="AA72" s="19">
        <v>0.0</v>
      </c>
      <c r="AB72" s="19">
        <v>1.0</v>
      </c>
      <c r="AC72" s="19">
        <v>4.0</v>
      </c>
      <c r="AD72" s="19">
        <v>0.0</v>
      </c>
      <c r="AE72" s="13">
        <f t="shared" si="8"/>
        <v>87</v>
      </c>
    </row>
    <row r="73" ht="12.75" customHeight="1">
      <c r="A73" s="30" t="s">
        <v>39</v>
      </c>
      <c r="B73" s="49">
        <v>1.0</v>
      </c>
      <c r="C73" s="50" t="s">
        <v>62</v>
      </c>
      <c r="D73" s="51"/>
      <c r="E73" s="19">
        <v>5.0</v>
      </c>
      <c r="F73" s="19">
        <v>17.0</v>
      </c>
      <c r="G73" s="19">
        <v>0.0</v>
      </c>
      <c r="H73" s="19">
        <v>4.0</v>
      </c>
      <c r="I73" s="19">
        <v>51.0</v>
      </c>
      <c r="J73" s="19">
        <v>5.0</v>
      </c>
      <c r="K73" s="19">
        <v>36.0</v>
      </c>
      <c r="L73" s="19">
        <v>32.0</v>
      </c>
      <c r="M73" s="19">
        <v>6.0</v>
      </c>
      <c r="N73" s="19">
        <v>17.0</v>
      </c>
      <c r="O73" s="19">
        <v>23.0</v>
      </c>
      <c r="P73" s="19">
        <v>54.0</v>
      </c>
      <c r="Q73" s="19">
        <v>36.0</v>
      </c>
      <c r="R73" s="19">
        <v>82.0</v>
      </c>
      <c r="S73" s="19">
        <v>26.0</v>
      </c>
      <c r="T73" s="19">
        <v>11.0</v>
      </c>
      <c r="U73" s="19">
        <v>13.0</v>
      </c>
      <c r="V73" s="19">
        <v>32.0</v>
      </c>
      <c r="W73" s="19">
        <v>0.0</v>
      </c>
      <c r="X73" s="19">
        <v>13.0</v>
      </c>
      <c r="Y73" s="19">
        <v>9.0</v>
      </c>
      <c r="Z73" s="19">
        <v>9.0</v>
      </c>
      <c r="AA73" s="19">
        <v>5.0</v>
      </c>
      <c r="AB73" s="19">
        <v>2.0</v>
      </c>
      <c r="AC73" s="19">
        <v>2.0</v>
      </c>
      <c r="AD73" s="19">
        <v>3.0</v>
      </c>
      <c r="AE73" s="13">
        <f t="shared" si="8"/>
        <v>493</v>
      </c>
    </row>
    <row r="74" ht="12.75" customHeight="1">
      <c r="A74" s="18"/>
      <c r="B74" s="49">
        <v>2.0</v>
      </c>
      <c r="C74" s="50" t="s">
        <v>63</v>
      </c>
      <c r="D74" s="51"/>
      <c r="E74" s="19">
        <v>0.0</v>
      </c>
      <c r="F74" s="19">
        <v>0.0</v>
      </c>
      <c r="G74" s="19">
        <v>0.0</v>
      </c>
      <c r="H74" s="19">
        <v>0.0</v>
      </c>
      <c r="I74" s="19">
        <v>0.0</v>
      </c>
      <c r="J74" s="19">
        <v>0.0</v>
      </c>
      <c r="K74" s="19">
        <v>2.0</v>
      </c>
      <c r="L74" s="19">
        <v>0.0</v>
      </c>
      <c r="M74" s="19">
        <v>0.0</v>
      </c>
      <c r="N74" s="19">
        <v>0.0</v>
      </c>
      <c r="O74" s="19">
        <v>0.0</v>
      </c>
      <c r="P74" s="19">
        <v>1.0</v>
      </c>
      <c r="Q74" s="19">
        <v>1.0</v>
      </c>
      <c r="R74" s="19">
        <v>1.0</v>
      </c>
      <c r="S74" s="19">
        <v>3.0</v>
      </c>
      <c r="T74" s="19">
        <v>0.0</v>
      </c>
      <c r="U74" s="19">
        <v>0.0</v>
      </c>
      <c r="V74" s="19">
        <v>1.0</v>
      </c>
      <c r="W74" s="19">
        <v>1.0</v>
      </c>
      <c r="X74" s="19">
        <v>1.0</v>
      </c>
      <c r="Y74" s="19">
        <v>0.0</v>
      </c>
      <c r="Z74" s="19">
        <v>0.0</v>
      </c>
      <c r="AA74" s="19">
        <v>1.0</v>
      </c>
      <c r="AB74" s="19">
        <v>0.0</v>
      </c>
      <c r="AC74" s="19">
        <v>1.0</v>
      </c>
      <c r="AD74" s="19">
        <v>0.0</v>
      </c>
      <c r="AE74" s="13">
        <f t="shared" si="8"/>
        <v>13</v>
      </c>
    </row>
    <row r="75" ht="12.75" customHeight="1">
      <c r="A75" s="18"/>
      <c r="B75" s="49">
        <v>3.0</v>
      </c>
      <c r="C75" s="50" t="s">
        <v>64</v>
      </c>
      <c r="D75" s="51"/>
      <c r="E75" s="19">
        <v>0.0</v>
      </c>
      <c r="F75" s="19">
        <v>0.0</v>
      </c>
      <c r="G75" s="19">
        <v>0.0</v>
      </c>
      <c r="H75" s="19">
        <v>0.0</v>
      </c>
      <c r="I75" s="19">
        <v>1.0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1.0</v>
      </c>
      <c r="P75" s="19">
        <v>2.0</v>
      </c>
      <c r="Q75" s="19">
        <v>1.0</v>
      </c>
      <c r="R75" s="19">
        <v>0.0</v>
      </c>
      <c r="S75" s="19">
        <v>2.0</v>
      </c>
      <c r="T75" s="19">
        <v>0.0</v>
      </c>
      <c r="U75" s="19">
        <v>0.0</v>
      </c>
      <c r="V75" s="19">
        <v>0.0</v>
      </c>
      <c r="W75" s="19">
        <v>1.0</v>
      </c>
      <c r="X75" s="19">
        <v>0.0</v>
      </c>
      <c r="Y75" s="19">
        <v>0.0</v>
      </c>
      <c r="Z75" s="19">
        <v>0.0</v>
      </c>
      <c r="AA75" s="19">
        <v>0.0</v>
      </c>
      <c r="AB75" s="19">
        <v>0.0</v>
      </c>
      <c r="AC75" s="19">
        <v>0.0</v>
      </c>
      <c r="AD75" s="19">
        <v>0.0</v>
      </c>
      <c r="AE75" s="13">
        <f t="shared" si="8"/>
        <v>8</v>
      </c>
    </row>
    <row r="76" ht="12.75" customHeight="1">
      <c r="A76" s="18"/>
      <c r="B76" s="49">
        <v>4.0</v>
      </c>
      <c r="C76" s="50" t="s">
        <v>65</v>
      </c>
      <c r="D76" s="51"/>
      <c r="E76" s="19">
        <v>0.0</v>
      </c>
      <c r="F76" s="19">
        <v>0.0</v>
      </c>
      <c r="G76" s="19">
        <v>0.0</v>
      </c>
      <c r="H76" s="19">
        <v>1.0</v>
      </c>
      <c r="I76" s="19">
        <v>0.0</v>
      </c>
      <c r="J76" s="19">
        <v>1.0</v>
      </c>
      <c r="K76" s="19">
        <v>0.0</v>
      </c>
      <c r="L76" s="19">
        <v>0.0</v>
      </c>
      <c r="M76" s="19">
        <v>0.0</v>
      </c>
      <c r="N76" s="19">
        <v>1.0</v>
      </c>
      <c r="O76" s="19">
        <v>0.0</v>
      </c>
      <c r="P76" s="19">
        <v>1.0</v>
      </c>
      <c r="Q76" s="19">
        <v>0.0</v>
      </c>
      <c r="R76" s="19">
        <v>0.0</v>
      </c>
      <c r="S76" s="19">
        <v>0.0</v>
      </c>
      <c r="T76" s="19">
        <v>0.0</v>
      </c>
      <c r="U76" s="19">
        <v>0.0</v>
      </c>
      <c r="V76" s="19">
        <v>0.0</v>
      </c>
      <c r="W76" s="19">
        <v>0.0</v>
      </c>
      <c r="X76" s="19">
        <v>0.0</v>
      </c>
      <c r="Y76" s="19">
        <v>0.0</v>
      </c>
      <c r="Z76" s="19">
        <v>0.0</v>
      </c>
      <c r="AA76" s="19">
        <v>0.0</v>
      </c>
      <c r="AB76" s="19">
        <v>0.0</v>
      </c>
      <c r="AC76" s="19">
        <v>0.0</v>
      </c>
      <c r="AD76" s="19">
        <v>1.0</v>
      </c>
      <c r="AE76" s="13">
        <f t="shared" si="8"/>
        <v>5</v>
      </c>
    </row>
    <row r="77" ht="12.75" customHeight="1">
      <c r="A77" s="18"/>
      <c r="B77" s="49">
        <v>5.0</v>
      </c>
      <c r="C77" s="50" t="s">
        <v>66</v>
      </c>
      <c r="D77" s="51"/>
      <c r="E77" s="19">
        <v>0.0</v>
      </c>
      <c r="F77" s="19">
        <v>0.0</v>
      </c>
      <c r="G77" s="19">
        <v>0.0</v>
      </c>
      <c r="H77" s="19">
        <v>0.0</v>
      </c>
      <c r="I77" s="19">
        <v>0.0</v>
      </c>
      <c r="J77" s="19">
        <v>0.0</v>
      </c>
      <c r="K77" s="19">
        <v>0.0</v>
      </c>
      <c r="L77" s="19">
        <v>0.0</v>
      </c>
      <c r="M77" s="19">
        <v>0.0</v>
      </c>
      <c r="N77" s="19">
        <v>0.0</v>
      </c>
      <c r="O77" s="19">
        <v>0.0</v>
      </c>
      <c r="P77" s="19">
        <v>0.0</v>
      </c>
      <c r="Q77" s="19">
        <v>0.0</v>
      </c>
      <c r="R77" s="19">
        <v>0.0</v>
      </c>
      <c r="S77" s="19">
        <v>0.0</v>
      </c>
      <c r="T77" s="19">
        <v>0.0</v>
      </c>
      <c r="U77" s="19">
        <v>0.0</v>
      </c>
      <c r="V77" s="19">
        <v>0.0</v>
      </c>
      <c r="W77" s="19">
        <v>0.0</v>
      </c>
      <c r="X77" s="19">
        <v>0.0</v>
      </c>
      <c r="Y77" s="19">
        <v>0.0</v>
      </c>
      <c r="Z77" s="19">
        <v>0.0</v>
      </c>
      <c r="AA77" s="19">
        <v>0.0</v>
      </c>
      <c r="AB77" s="19">
        <v>0.0</v>
      </c>
      <c r="AC77" s="19">
        <v>0.0</v>
      </c>
      <c r="AD77" s="19">
        <v>0.0</v>
      </c>
      <c r="AE77" s="13">
        <f t="shared" si="8"/>
        <v>0</v>
      </c>
    </row>
    <row r="78" ht="12.75" customHeight="1">
      <c r="A78" s="18"/>
      <c r="B78" s="49">
        <v>6.0</v>
      </c>
      <c r="C78" s="50" t="s">
        <v>67</v>
      </c>
      <c r="D78" s="51"/>
      <c r="E78" s="19">
        <v>0.0</v>
      </c>
      <c r="F78" s="19">
        <v>0.0</v>
      </c>
      <c r="G78" s="19">
        <v>0.0</v>
      </c>
      <c r="H78" s="19">
        <v>2.0</v>
      </c>
      <c r="I78" s="19">
        <v>0.0</v>
      </c>
      <c r="J78" s="19">
        <v>0.0</v>
      </c>
      <c r="K78" s="19">
        <v>0.0</v>
      </c>
      <c r="L78" s="19">
        <v>0.0</v>
      </c>
      <c r="M78" s="19">
        <v>0.0</v>
      </c>
      <c r="N78" s="19">
        <v>0.0</v>
      </c>
      <c r="O78" s="19">
        <v>0.0</v>
      </c>
      <c r="P78" s="19">
        <v>0.0</v>
      </c>
      <c r="Q78" s="19">
        <v>0.0</v>
      </c>
      <c r="R78" s="19">
        <v>0.0</v>
      </c>
      <c r="S78" s="19">
        <v>0.0</v>
      </c>
      <c r="T78" s="19">
        <v>0.0</v>
      </c>
      <c r="U78" s="19">
        <v>0.0</v>
      </c>
      <c r="V78" s="19">
        <v>0.0</v>
      </c>
      <c r="W78" s="19">
        <v>0.0</v>
      </c>
      <c r="X78" s="19">
        <v>0.0</v>
      </c>
      <c r="Y78" s="19">
        <v>0.0</v>
      </c>
      <c r="Z78" s="19">
        <v>0.0</v>
      </c>
      <c r="AA78" s="19">
        <v>0.0</v>
      </c>
      <c r="AB78" s="19">
        <v>0.0</v>
      </c>
      <c r="AC78" s="19">
        <v>0.0</v>
      </c>
      <c r="AD78" s="19">
        <v>0.0</v>
      </c>
      <c r="AE78" s="13">
        <f t="shared" si="8"/>
        <v>2</v>
      </c>
    </row>
    <row r="79" ht="15.0" customHeight="1">
      <c r="A79" s="19" t="s">
        <v>15</v>
      </c>
      <c r="B79" s="47" t="s">
        <v>46</v>
      </c>
      <c r="C79" s="15"/>
      <c r="D79" s="16"/>
      <c r="E79" s="56">
        <f t="shared" ref="E79:AD79" si="12">SUM(E72:E78)</f>
        <v>6</v>
      </c>
      <c r="F79" s="56">
        <f t="shared" si="12"/>
        <v>22</v>
      </c>
      <c r="G79" s="56">
        <f t="shared" si="12"/>
        <v>1</v>
      </c>
      <c r="H79" s="56">
        <f t="shared" si="12"/>
        <v>9</v>
      </c>
      <c r="I79" s="56">
        <f t="shared" si="12"/>
        <v>57</v>
      </c>
      <c r="J79" s="56">
        <f t="shared" si="12"/>
        <v>7</v>
      </c>
      <c r="K79" s="56">
        <f t="shared" si="12"/>
        <v>40</v>
      </c>
      <c r="L79" s="56">
        <f t="shared" si="12"/>
        <v>36</v>
      </c>
      <c r="M79" s="56">
        <f t="shared" si="12"/>
        <v>7</v>
      </c>
      <c r="N79" s="56">
        <f t="shared" si="12"/>
        <v>19</v>
      </c>
      <c r="O79" s="56">
        <f t="shared" si="12"/>
        <v>27</v>
      </c>
      <c r="P79" s="56">
        <f t="shared" si="12"/>
        <v>67</v>
      </c>
      <c r="Q79" s="56">
        <f t="shared" si="12"/>
        <v>42</v>
      </c>
      <c r="R79" s="56">
        <f t="shared" si="12"/>
        <v>103</v>
      </c>
      <c r="S79" s="56">
        <f t="shared" si="12"/>
        <v>37</v>
      </c>
      <c r="T79" s="56">
        <f t="shared" si="12"/>
        <v>14</v>
      </c>
      <c r="U79" s="56">
        <f t="shared" si="12"/>
        <v>18</v>
      </c>
      <c r="V79" s="56">
        <f t="shared" si="12"/>
        <v>34</v>
      </c>
      <c r="W79" s="56">
        <f t="shared" si="12"/>
        <v>3</v>
      </c>
      <c r="X79" s="56">
        <f t="shared" si="12"/>
        <v>17</v>
      </c>
      <c r="Y79" s="56">
        <f t="shared" si="12"/>
        <v>11</v>
      </c>
      <c r="Z79" s="56">
        <f t="shared" si="12"/>
        <v>11</v>
      </c>
      <c r="AA79" s="56">
        <f t="shared" si="12"/>
        <v>6</v>
      </c>
      <c r="AB79" s="56">
        <f t="shared" si="12"/>
        <v>3</v>
      </c>
      <c r="AC79" s="56">
        <f t="shared" si="12"/>
        <v>7</v>
      </c>
      <c r="AD79" s="56">
        <f t="shared" si="12"/>
        <v>4</v>
      </c>
      <c r="AE79" s="13">
        <f t="shared" si="8"/>
        <v>608</v>
      </c>
    </row>
    <row r="80" ht="12.75" customHeight="1">
      <c r="A80" s="57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13">
        <f t="shared" si="8"/>
        <v>0</v>
      </c>
    </row>
    <row r="81" ht="12.75" customHeight="1">
      <c r="A81" s="30" t="s">
        <v>37</v>
      </c>
      <c r="B81" s="47" t="s">
        <v>68</v>
      </c>
      <c r="C81" s="48" t="s">
        <v>69</v>
      </c>
      <c r="D81" s="16"/>
      <c r="E81" s="19">
        <v>2.0</v>
      </c>
      <c r="F81" s="19">
        <v>1.0</v>
      </c>
      <c r="G81" s="19">
        <v>0.0</v>
      </c>
      <c r="H81" s="19">
        <v>1.0</v>
      </c>
      <c r="I81" s="19">
        <v>0.0</v>
      </c>
      <c r="J81" s="19">
        <v>1.0</v>
      </c>
      <c r="K81" s="19">
        <v>2.0</v>
      </c>
      <c r="L81" s="19">
        <v>1.0</v>
      </c>
      <c r="M81" s="19">
        <v>0.0</v>
      </c>
      <c r="N81" s="19">
        <v>0.0</v>
      </c>
      <c r="O81" s="19">
        <v>1.0</v>
      </c>
      <c r="P81" s="19">
        <v>1.0</v>
      </c>
      <c r="Q81" s="19">
        <v>0.0</v>
      </c>
      <c r="R81" s="19">
        <v>0.0</v>
      </c>
      <c r="S81" s="19">
        <v>0.0</v>
      </c>
      <c r="T81" s="19">
        <v>0.0</v>
      </c>
      <c r="U81" s="19">
        <v>0.0</v>
      </c>
      <c r="V81" s="19">
        <v>0.0</v>
      </c>
      <c r="W81" s="19">
        <v>0.0</v>
      </c>
      <c r="X81" s="19">
        <v>0.0</v>
      </c>
      <c r="Y81" s="19">
        <v>0.0</v>
      </c>
      <c r="Z81" s="19">
        <v>0.0</v>
      </c>
      <c r="AA81" s="19">
        <v>1.0</v>
      </c>
      <c r="AB81" s="19">
        <v>0.0</v>
      </c>
      <c r="AC81" s="19">
        <v>1.0</v>
      </c>
      <c r="AD81" s="19">
        <v>1.0</v>
      </c>
      <c r="AE81" s="13">
        <f t="shared" si="8"/>
        <v>13</v>
      </c>
    </row>
    <row r="82" ht="12.75" customHeight="1">
      <c r="A82" s="30" t="s">
        <v>39</v>
      </c>
      <c r="B82" s="49">
        <v>1.0</v>
      </c>
      <c r="C82" s="50" t="s">
        <v>70</v>
      </c>
      <c r="D82" s="51"/>
      <c r="E82" s="19">
        <v>2.0</v>
      </c>
      <c r="F82" s="19">
        <v>2.0</v>
      </c>
      <c r="G82" s="19">
        <v>0.0</v>
      </c>
      <c r="H82" s="19">
        <v>0.0</v>
      </c>
      <c r="I82" s="19">
        <v>0.0</v>
      </c>
      <c r="J82" s="19">
        <v>1.0</v>
      </c>
      <c r="K82" s="19">
        <v>4.0</v>
      </c>
      <c r="L82" s="19">
        <v>0.0</v>
      </c>
      <c r="M82" s="19">
        <v>0.0</v>
      </c>
      <c r="N82" s="19">
        <v>0.0</v>
      </c>
      <c r="O82" s="19">
        <v>0.0</v>
      </c>
      <c r="P82" s="19">
        <v>4.0</v>
      </c>
      <c r="Q82" s="19">
        <v>1.0</v>
      </c>
      <c r="R82" s="19">
        <v>0.0</v>
      </c>
      <c r="S82" s="19">
        <v>0.0</v>
      </c>
      <c r="T82" s="19">
        <v>2.0</v>
      </c>
      <c r="U82" s="19">
        <v>0.0</v>
      </c>
      <c r="V82" s="19">
        <v>1.0</v>
      </c>
      <c r="W82" s="19">
        <v>1.0</v>
      </c>
      <c r="X82" s="19">
        <v>0.0</v>
      </c>
      <c r="Y82" s="19">
        <v>0.0</v>
      </c>
      <c r="Z82" s="19">
        <v>0.0</v>
      </c>
      <c r="AA82" s="19">
        <v>0.0</v>
      </c>
      <c r="AB82" s="19">
        <v>0.0</v>
      </c>
      <c r="AC82" s="19">
        <v>0.0</v>
      </c>
      <c r="AD82" s="19">
        <v>11.0</v>
      </c>
      <c r="AE82" s="13">
        <f t="shared" si="8"/>
        <v>29</v>
      </c>
    </row>
    <row r="83" ht="12.75" customHeight="1">
      <c r="A83" s="18"/>
      <c r="B83" s="49">
        <v>2.0</v>
      </c>
      <c r="C83" s="50" t="s">
        <v>71</v>
      </c>
      <c r="D83" s="51"/>
      <c r="E83" s="19">
        <v>0.0</v>
      </c>
      <c r="F83" s="19">
        <v>0.0</v>
      </c>
      <c r="G83" s="19">
        <v>1.0</v>
      </c>
      <c r="H83" s="19">
        <v>0.0</v>
      </c>
      <c r="I83" s="19">
        <v>1.0</v>
      </c>
      <c r="J83" s="19">
        <v>0.0</v>
      </c>
      <c r="K83" s="19">
        <v>0.0</v>
      </c>
      <c r="L83" s="19">
        <v>0.0</v>
      </c>
      <c r="M83" s="19">
        <v>0.0</v>
      </c>
      <c r="N83" s="19">
        <v>0.0</v>
      </c>
      <c r="O83" s="19">
        <v>0.0</v>
      </c>
      <c r="P83" s="19">
        <v>0.0</v>
      </c>
      <c r="Q83" s="19">
        <v>1.0</v>
      </c>
      <c r="R83" s="19">
        <v>0.0</v>
      </c>
      <c r="S83" s="19">
        <v>0.0</v>
      </c>
      <c r="T83" s="19">
        <v>0.0</v>
      </c>
      <c r="U83" s="19">
        <v>0.0</v>
      </c>
      <c r="V83" s="19">
        <v>0.0</v>
      </c>
      <c r="W83" s="19">
        <v>0.0</v>
      </c>
      <c r="X83" s="19">
        <v>0.0</v>
      </c>
      <c r="Y83" s="19">
        <v>0.0</v>
      </c>
      <c r="Z83" s="19">
        <v>0.0</v>
      </c>
      <c r="AA83" s="19">
        <v>0.0</v>
      </c>
      <c r="AB83" s="19">
        <v>0.0</v>
      </c>
      <c r="AC83" s="19">
        <v>0.0</v>
      </c>
      <c r="AD83" s="19">
        <v>0.0</v>
      </c>
      <c r="AE83" s="13">
        <f t="shared" si="8"/>
        <v>3</v>
      </c>
    </row>
    <row r="84" ht="12.75" customHeight="1">
      <c r="A84" s="18"/>
      <c r="B84" s="49">
        <v>3.0</v>
      </c>
      <c r="C84" s="50" t="s">
        <v>72</v>
      </c>
      <c r="D84" s="51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1.0</v>
      </c>
      <c r="S84" s="19">
        <v>0.0</v>
      </c>
      <c r="T84" s="19">
        <v>0.0</v>
      </c>
      <c r="U84" s="19">
        <v>0.0</v>
      </c>
      <c r="V84" s="19">
        <v>0.0</v>
      </c>
      <c r="W84" s="19">
        <v>0.0</v>
      </c>
      <c r="X84" s="19">
        <v>0.0</v>
      </c>
      <c r="Y84" s="19">
        <v>0.0</v>
      </c>
      <c r="Z84" s="19">
        <v>0.0</v>
      </c>
      <c r="AA84" s="19">
        <v>0.0</v>
      </c>
      <c r="AB84" s="19">
        <v>0.0</v>
      </c>
      <c r="AC84" s="19">
        <v>0.0</v>
      </c>
      <c r="AD84" s="19">
        <v>0.0</v>
      </c>
      <c r="AE84" s="13">
        <f t="shared" si="8"/>
        <v>1</v>
      </c>
    </row>
    <row r="85" ht="12.75" customHeight="1">
      <c r="A85" s="18"/>
      <c r="B85" s="49">
        <v>4.0</v>
      </c>
      <c r="C85" s="50" t="s">
        <v>73</v>
      </c>
      <c r="D85" s="51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1.0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9">
        <v>0.0</v>
      </c>
      <c r="V85" s="19">
        <v>0.0</v>
      </c>
      <c r="W85" s="19">
        <v>0.0</v>
      </c>
      <c r="X85" s="19">
        <v>0.0</v>
      </c>
      <c r="Y85" s="19">
        <v>0.0</v>
      </c>
      <c r="Z85" s="19">
        <v>0.0</v>
      </c>
      <c r="AA85" s="19">
        <v>0.0</v>
      </c>
      <c r="AB85" s="19">
        <v>0.0</v>
      </c>
      <c r="AC85" s="19">
        <v>0.0</v>
      </c>
      <c r="AD85" s="19">
        <v>0.0</v>
      </c>
      <c r="AE85" s="13">
        <f t="shared" si="8"/>
        <v>1</v>
      </c>
    </row>
    <row r="86" ht="12.75" customHeight="1">
      <c r="A86" s="18"/>
      <c r="B86" s="49">
        <v>5.0</v>
      </c>
      <c r="C86" s="50" t="s">
        <v>74</v>
      </c>
      <c r="D86" s="51"/>
      <c r="E86" s="19">
        <v>0.0</v>
      </c>
      <c r="F86" s="19">
        <v>0.0</v>
      </c>
      <c r="G86" s="19">
        <v>1.0</v>
      </c>
      <c r="H86" s="19">
        <v>0.0</v>
      </c>
      <c r="I86" s="19">
        <v>0.0</v>
      </c>
      <c r="J86" s="19">
        <v>1.0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0.0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1.0</v>
      </c>
      <c r="W86" s="19">
        <v>0.0</v>
      </c>
      <c r="X86" s="19">
        <v>0.0</v>
      </c>
      <c r="Y86" s="19">
        <v>0.0</v>
      </c>
      <c r="Z86" s="19">
        <v>1.0</v>
      </c>
      <c r="AA86" s="19">
        <v>0.0</v>
      </c>
      <c r="AB86" s="19">
        <v>0.0</v>
      </c>
      <c r="AC86" s="19">
        <v>0.0</v>
      </c>
      <c r="AD86" s="19">
        <v>0.0</v>
      </c>
      <c r="AE86" s="13">
        <f t="shared" si="8"/>
        <v>4</v>
      </c>
    </row>
    <row r="87" ht="12.75" customHeight="1">
      <c r="A87" s="18"/>
      <c r="B87" s="49">
        <v>6.0</v>
      </c>
      <c r="C87" s="50" t="s">
        <v>75</v>
      </c>
      <c r="D87" s="51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2.0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3">
        <f t="shared" si="8"/>
        <v>2</v>
      </c>
    </row>
    <row r="88" ht="12.75" customHeight="1">
      <c r="A88" s="19" t="s">
        <v>15</v>
      </c>
      <c r="B88" s="47" t="s">
        <v>46</v>
      </c>
      <c r="C88" s="15"/>
      <c r="D88" s="16"/>
      <c r="E88" s="56">
        <f t="shared" ref="E88:AD88" si="13">SUM(E81:E87)</f>
        <v>4</v>
      </c>
      <c r="F88" s="56">
        <f t="shared" si="13"/>
        <v>3</v>
      </c>
      <c r="G88" s="56">
        <f t="shared" si="13"/>
        <v>2</v>
      </c>
      <c r="H88" s="56">
        <f t="shared" si="13"/>
        <v>1</v>
      </c>
      <c r="I88" s="56">
        <f t="shared" si="13"/>
        <v>1</v>
      </c>
      <c r="J88" s="56">
        <f t="shared" si="13"/>
        <v>3</v>
      </c>
      <c r="K88" s="56">
        <f t="shared" si="13"/>
        <v>7</v>
      </c>
      <c r="L88" s="56">
        <f t="shared" si="13"/>
        <v>1</v>
      </c>
      <c r="M88" s="56">
        <f t="shared" si="13"/>
        <v>0</v>
      </c>
      <c r="N88" s="56">
        <f t="shared" si="13"/>
        <v>0</v>
      </c>
      <c r="O88" s="56">
        <f t="shared" si="13"/>
        <v>1</v>
      </c>
      <c r="P88" s="56">
        <f t="shared" si="13"/>
        <v>7</v>
      </c>
      <c r="Q88" s="56">
        <f t="shared" si="13"/>
        <v>2</v>
      </c>
      <c r="R88" s="56">
        <f t="shared" si="13"/>
        <v>1</v>
      </c>
      <c r="S88" s="56">
        <f t="shared" si="13"/>
        <v>0</v>
      </c>
      <c r="T88" s="56">
        <f t="shared" si="13"/>
        <v>2</v>
      </c>
      <c r="U88" s="56">
        <f t="shared" si="13"/>
        <v>0</v>
      </c>
      <c r="V88" s="56">
        <f t="shared" si="13"/>
        <v>2</v>
      </c>
      <c r="W88" s="56">
        <f t="shared" si="13"/>
        <v>1</v>
      </c>
      <c r="X88" s="56">
        <f t="shared" si="13"/>
        <v>0</v>
      </c>
      <c r="Y88" s="56">
        <f t="shared" si="13"/>
        <v>0</v>
      </c>
      <c r="Z88" s="56">
        <f t="shared" si="13"/>
        <v>1</v>
      </c>
      <c r="AA88" s="56">
        <f t="shared" si="13"/>
        <v>1</v>
      </c>
      <c r="AB88" s="56">
        <f t="shared" si="13"/>
        <v>0</v>
      </c>
      <c r="AC88" s="56">
        <f t="shared" si="13"/>
        <v>1</v>
      </c>
      <c r="AD88" s="56">
        <f t="shared" si="13"/>
        <v>12</v>
      </c>
      <c r="AE88" s="13">
        <f t="shared" si="8"/>
        <v>53</v>
      </c>
    </row>
    <row r="89" ht="12.75" customHeight="1">
      <c r="A89" s="57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13">
        <f t="shared" si="8"/>
        <v>0</v>
      </c>
    </row>
    <row r="90" ht="12.75" customHeight="1">
      <c r="A90" s="30" t="s">
        <v>37</v>
      </c>
      <c r="B90" s="47" t="s">
        <v>76</v>
      </c>
      <c r="C90" s="48" t="s">
        <v>77</v>
      </c>
      <c r="D90" s="16"/>
      <c r="E90" s="19">
        <v>0.0</v>
      </c>
      <c r="F90" s="19">
        <v>0.0</v>
      </c>
      <c r="G90" s="19">
        <v>0.0</v>
      </c>
      <c r="H90" s="19">
        <v>1.0</v>
      </c>
      <c r="I90" s="19">
        <v>0.0</v>
      </c>
      <c r="J90" s="19">
        <v>0.0</v>
      </c>
      <c r="K90" s="19">
        <v>0.0</v>
      </c>
      <c r="L90" s="19">
        <v>0.0</v>
      </c>
      <c r="M90" s="19">
        <v>0.0</v>
      </c>
      <c r="N90" s="19">
        <v>1.0</v>
      </c>
      <c r="O90" s="19">
        <v>0.0</v>
      </c>
      <c r="P90" s="19">
        <v>0.0</v>
      </c>
      <c r="Q90" s="19">
        <v>1.0</v>
      </c>
      <c r="R90" s="19">
        <v>0.0</v>
      </c>
      <c r="S90" s="19">
        <v>0.0</v>
      </c>
      <c r="T90" s="19">
        <v>0.0</v>
      </c>
      <c r="U90" s="19">
        <v>0.0</v>
      </c>
      <c r="V90" s="19">
        <v>0.0</v>
      </c>
      <c r="W90" s="19">
        <v>0.0</v>
      </c>
      <c r="X90" s="19">
        <v>0.0</v>
      </c>
      <c r="Y90" s="19">
        <v>0.0</v>
      </c>
      <c r="Z90" s="19">
        <v>1.0</v>
      </c>
      <c r="AA90" s="19">
        <v>0.0</v>
      </c>
      <c r="AB90" s="19">
        <v>0.0</v>
      </c>
      <c r="AC90" s="19">
        <v>0.0</v>
      </c>
      <c r="AD90" s="19">
        <v>0.0</v>
      </c>
      <c r="AE90" s="13">
        <f t="shared" si="8"/>
        <v>4</v>
      </c>
    </row>
    <row r="91" ht="15.0" customHeight="1">
      <c r="A91" s="30"/>
      <c r="B91" s="49">
        <v>1.0</v>
      </c>
      <c r="C91" s="50" t="s">
        <v>78</v>
      </c>
      <c r="D91" s="59"/>
      <c r="E91" s="19">
        <v>0.0</v>
      </c>
      <c r="F91" s="19">
        <v>1.0</v>
      </c>
      <c r="G91" s="19">
        <v>0.0</v>
      </c>
      <c r="H91" s="19">
        <v>0.0</v>
      </c>
      <c r="I91" s="19">
        <v>0.0</v>
      </c>
      <c r="J91" s="19">
        <v>0.0</v>
      </c>
      <c r="K91" s="19">
        <v>0.0</v>
      </c>
      <c r="L91" s="19">
        <v>0.0</v>
      </c>
      <c r="M91" s="19">
        <v>0.0</v>
      </c>
      <c r="N91" s="19">
        <v>0.0</v>
      </c>
      <c r="O91" s="19">
        <v>0.0</v>
      </c>
      <c r="P91" s="19">
        <v>0.0</v>
      </c>
      <c r="Q91" s="19">
        <v>0.0</v>
      </c>
      <c r="R91" s="19">
        <v>0.0</v>
      </c>
      <c r="S91" s="19">
        <v>0.0</v>
      </c>
      <c r="T91" s="19">
        <v>0.0</v>
      </c>
      <c r="U91" s="19">
        <v>0.0</v>
      </c>
      <c r="V91" s="19">
        <v>0.0</v>
      </c>
      <c r="W91" s="19">
        <v>0.0</v>
      </c>
      <c r="X91" s="19">
        <v>0.0</v>
      </c>
      <c r="Y91" s="19">
        <v>0.0</v>
      </c>
      <c r="Z91" s="19">
        <v>0.0</v>
      </c>
      <c r="AA91" s="19">
        <v>0.0</v>
      </c>
      <c r="AB91" s="19">
        <v>0.0</v>
      </c>
      <c r="AC91" s="19">
        <v>0.0</v>
      </c>
      <c r="AD91" s="19">
        <v>0.0</v>
      </c>
      <c r="AE91" s="13">
        <f t="shared" si="8"/>
        <v>1</v>
      </c>
    </row>
    <row r="92" ht="12.75" customHeight="1">
      <c r="A92" s="30"/>
      <c r="B92" s="49">
        <v>2.0</v>
      </c>
      <c r="C92" s="50" t="s">
        <v>79</v>
      </c>
      <c r="D92" s="59"/>
      <c r="E92" s="19">
        <v>0.0</v>
      </c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19">
        <v>1.0</v>
      </c>
      <c r="L92" s="19">
        <v>0.0</v>
      </c>
      <c r="M92" s="19">
        <v>0.0</v>
      </c>
      <c r="N92" s="19">
        <v>0.0</v>
      </c>
      <c r="O92" s="19">
        <v>1.0</v>
      </c>
      <c r="P92" s="19">
        <v>0.0</v>
      </c>
      <c r="Q92" s="19">
        <v>0.0</v>
      </c>
      <c r="R92" s="19">
        <v>0.0</v>
      </c>
      <c r="S92" s="19">
        <v>0.0</v>
      </c>
      <c r="T92" s="19">
        <v>0.0</v>
      </c>
      <c r="U92" s="19">
        <v>0.0</v>
      </c>
      <c r="V92" s="19">
        <v>0.0</v>
      </c>
      <c r="W92" s="19">
        <v>0.0</v>
      </c>
      <c r="X92" s="19">
        <v>0.0</v>
      </c>
      <c r="Y92" s="19">
        <v>0.0</v>
      </c>
      <c r="Z92" s="19">
        <v>0.0</v>
      </c>
      <c r="AA92" s="19">
        <v>0.0</v>
      </c>
      <c r="AB92" s="19">
        <v>0.0</v>
      </c>
      <c r="AC92" s="19">
        <v>0.0</v>
      </c>
      <c r="AD92" s="19">
        <v>0.0</v>
      </c>
      <c r="AE92" s="13">
        <f t="shared" si="8"/>
        <v>2</v>
      </c>
    </row>
    <row r="93" ht="12.75" customHeight="1">
      <c r="A93" s="30" t="s">
        <v>39</v>
      </c>
      <c r="B93" s="49">
        <v>3.0</v>
      </c>
      <c r="C93" s="50" t="s">
        <v>80</v>
      </c>
      <c r="D93" s="59"/>
      <c r="E93" s="19">
        <v>0.0</v>
      </c>
      <c r="F93" s="19">
        <v>0.0</v>
      </c>
      <c r="G93" s="19">
        <v>0.0</v>
      </c>
      <c r="H93" s="19">
        <v>0.0</v>
      </c>
      <c r="I93" s="19">
        <v>0.0</v>
      </c>
      <c r="J93" s="19">
        <v>0.0</v>
      </c>
      <c r="K93" s="19">
        <v>0.0</v>
      </c>
      <c r="L93" s="19">
        <v>0.0</v>
      </c>
      <c r="M93" s="19">
        <v>0.0</v>
      </c>
      <c r="N93" s="19">
        <v>0.0</v>
      </c>
      <c r="O93" s="19">
        <v>0.0</v>
      </c>
      <c r="P93" s="19">
        <v>0.0</v>
      </c>
      <c r="Q93" s="19">
        <v>0.0</v>
      </c>
      <c r="R93" s="19">
        <v>0.0</v>
      </c>
      <c r="S93" s="19">
        <v>0.0</v>
      </c>
      <c r="T93" s="19">
        <v>0.0</v>
      </c>
      <c r="U93" s="19">
        <v>0.0</v>
      </c>
      <c r="V93" s="19">
        <v>0.0</v>
      </c>
      <c r="W93" s="19">
        <v>0.0</v>
      </c>
      <c r="X93" s="19">
        <v>0.0</v>
      </c>
      <c r="Y93" s="19">
        <v>0.0</v>
      </c>
      <c r="Z93" s="19">
        <v>0.0</v>
      </c>
      <c r="AA93" s="19">
        <v>0.0</v>
      </c>
      <c r="AB93" s="19">
        <v>0.0</v>
      </c>
      <c r="AC93" s="19">
        <v>0.0</v>
      </c>
      <c r="AD93" s="19">
        <v>0.0</v>
      </c>
      <c r="AE93" s="13">
        <f t="shared" si="8"/>
        <v>0</v>
      </c>
    </row>
    <row r="94" ht="12.75" customHeight="1">
      <c r="A94" s="19" t="s">
        <v>15</v>
      </c>
      <c r="B94" s="47" t="s">
        <v>46</v>
      </c>
      <c r="C94" s="15"/>
      <c r="D94" s="16"/>
      <c r="E94" s="56">
        <f t="shared" ref="E94:AD94" si="14">SUM(E90:E93)</f>
        <v>0</v>
      </c>
      <c r="F94" s="56">
        <f t="shared" si="14"/>
        <v>1</v>
      </c>
      <c r="G94" s="56">
        <f t="shared" si="14"/>
        <v>0</v>
      </c>
      <c r="H94" s="56">
        <f t="shared" si="14"/>
        <v>1</v>
      </c>
      <c r="I94" s="56">
        <f t="shared" si="14"/>
        <v>0</v>
      </c>
      <c r="J94" s="56">
        <f t="shared" si="14"/>
        <v>0</v>
      </c>
      <c r="K94" s="56">
        <f t="shared" si="14"/>
        <v>1</v>
      </c>
      <c r="L94" s="56">
        <f t="shared" si="14"/>
        <v>0</v>
      </c>
      <c r="M94" s="56">
        <f t="shared" si="14"/>
        <v>0</v>
      </c>
      <c r="N94" s="56">
        <f t="shared" si="14"/>
        <v>1</v>
      </c>
      <c r="O94" s="56">
        <f t="shared" si="14"/>
        <v>1</v>
      </c>
      <c r="P94" s="56">
        <f t="shared" si="14"/>
        <v>0</v>
      </c>
      <c r="Q94" s="56">
        <f t="shared" si="14"/>
        <v>1</v>
      </c>
      <c r="R94" s="56">
        <f t="shared" si="14"/>
        <v>0</v>
      </c>
      <c r="S94" s="56">
        <f t="shared" si="14"/>
        <v>0</v>
      </c>
      <c r="T94" s="56">
        <f t="shared" si="14"/>
        <v>0</v>
      </c>
      <c r="U94" s="56">
        <f t="shared" si="14"/>
        <v>0</v>
      </c>
      <c r="V94" s="56">
        <f t="shared" si="14"/>
        <v>0</v>
      </c>
      <c r="W94" s="56">
        <f t="shared" si="14"/>
        <v>0</v>
      </c>
      <c r="X94" s="56">
        <f t="shared" si="14"/>
        <v>0</v>
      </c>
      <c r="Y94" s="56">
        <f t="shared" si="14"/>
        <v>0</v>
      </c>
      <c r="Z94" s="56">
        <f t="shared" si="14"/>
        <v>1</v>
      </c>
      <c r="AA94" s="56">
        <f t="shared" si="14"/>
        <v>0</v>
      </c>
      <c r="AB94" s="56">
        <f t="shared" si="14"/>
        <v>0</v>
      </c>
      <c r="AC94" s="56">
        <f t="shared" si="14"/>
        <v>0</v>
      </c>
      <c r="AD94" s="56">
        <f t="shared" si="14"/>
        <v>0</v>
      </c>
      <c r="AE94" s="13">
        <f t="shared" si="8"/>
        <v>7</v>
      </c>
    </row>
    <row r="95" ht="12.75" customHeight="1">
      <c r="A95" s="57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13">
        <f t="shared" si="8"/>
        <v>0</v>
      </c>
    </row>
    <row r="96" ht="12.75" customHeight="1">
      <c r="A96" s="30" t="s">
        <v>37</v>
      </c>
      <c r="B96" s="47" t="s">
        <v>81</v>
      </c>
      <c r="C96" s="48" t="s">
        <v>82</v>
      </c>
      <c r="D96" s="16"/>
      <c r="E96" s="19">
        <v>1.0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3">
        <f t="shared" si="8"/>
        <v>1</v>
      </c>
    </row>
    <row r="97" ht="12.75" customHeight="1">
      <c r="A97" s="30" t="s">
        <v>39</v>
      </c>
      <c r="B97" s="49">
        <v>1.0</v>
      </c>
      <c r="C97" s="50" t="s">
        <v>83</v>
      </c>
      <c r="D97" s="51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2.0</v>
      </c>
      <c r="Z97" s="19">
        <v>0.0</v>
      </c>
      <c r="AA97" s="19">
        <v>0.0</v>
      </c>
      <c r="AB97" s="19">
        <v>0.0</v>
      </c>
      <c r="AC97" s="19">
        <v>0.0</v>
      </c>
      <c r="AD97" s="19">
        <v>0.0</v>
      </c>
      <c r="AE97" s="13">
        <f t="shared" si="8"/>
        <v>2</v>
      </c>
    </row>
    <row r="98" ht="12.75" customHeight="1">
      <c r="A98" s="30"/>
      <c r="B98" s="49">
        <v>2.0</v>
      </c>
      <c r="C98" s="50" t="s">
        <v>84</v>
      </c>
      <c r="D98" s="51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3">
        <f t="shared" si="8"/>
        <v>0</v>
      </c>
    </row>
    <row r="99" ht="12.75" customHeight="1">
      <c r="A99" s="19" t="s">
        <v>15</v>
      </c>
      <c r="B99" s="47" t="s">
        <v>46</v>
      </c>
      <c r="C99" s="15"/>
      <c r="D99" s="16"/>
      <c r="E99" s="56">
        <f t="shared" ref="E99:AD99" si="15">SUM(E96:E98)</f>
        <v>1</v>
      </c>
      <c r="F99" s="56">
        <f t="shared" si="15"/>
        <v>0</v>
      </c>
      <c r="G99" s="56">
        <f t="shared" si="15"/>
        <v>0</v>
      </c>
      <c r="H99" s="56">
        <f t="shared" si="15"/>
        <v>0</v>
      </c>
      <c r="I99" s="56">
        <f t="shared" si="15"/>
        <v>0</v>
      </c>
      <c r="J99" s="56">
        <f t="shared" si="15"/>
        <v>0</v>
      </c>
      <c r="K99" s="56">
        <f t="shared" si="15"/>
        <v>0</v>
      </c>
      <c r="L99" s="56">
        <f t="shared" si="15"/>
        <v>0</v>
      </c>
      <c r="M99" s="56">
        <f t="shared" si="15"/>
        <v>0</v>
      </c>
      <c r="N99" s="56">
        <f t="shared" si="15"/>
        <v>0</v>
      </c>
      <c r="O99" s="56">
        <f t="shared" si="15"/>
        <v>0</v>
      </c>
      <c r="P99" s="56">
        <f t="shared" si="15"/>
        <v>0</v>
      </c>
      <c r="Q99" s="56">
        <f t="shared" si="15"/>
        <v>0</v>
      </c>
      <c r="R99" s="56">
        <f t="shared" si="15"/>
        <v>0</v>
      </c>
      <c r="S99" s="56">
        <f t="shared" si="15"/>
        <v>0</v>
      </c>
      <c r="T99" s="56">
        <f t="shared" si="15"/>
        <v>0</v>
      </c>
      <c r="U99" s="56">
        <f t="shared" si="15"/>
        <v>0</v>
      </c>
      <c r="V99" s="56">
        <f t="shared" si="15"/>
        <v>0</v>
      </c>
      <c r="W99" s="56">
        <f t="shared" si="15"/>
        <v>0</v>
      </c>
      <c r="X99" s="56">
        <f t="shared" si="15"/>
        <v>0</v>
      </c>
      <c r="Y99" s="56">
        <f t="shared" si="15"/>
        <v>2</v>
      </c>
      <c r="Z99" s="56">
        <f t="shared" si="15"/>
        <v>0</v>
      </c>
      <c r="AA99" s="56">
        <f t="shared" si="15"/>
        <v>0</v>
      </c>
      <c r="AB99" s="56">
        <f t="shared" si="15"/>
        <v>0</v>
      </c>
      <c r="AC99" s="56">
        <f t="shared" si="15"/>
        <v>0</v>
      </c>
      <c r="AD99" s="56">
        <f t="shared" si="15"/>
        <v>0</v>
      </c>
      <c r="AE99" s="13">
        <f t="shared" si="8"/>
        <v>3</v>
      </c>
    </row>
    <row r="100" ht="12.75" customHeight="1">
      <c r="A100" s="57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13">
        <f t="shared" si="8"/>
        <v>0</v>
      </c>
    </row>
    <row r="101" ht="12.75" customHeight="1">
      <c r="A101" s="30" t="s">
        <v>37</v>
      </c>
      <c r="B101" s="47" t="s">
        <v>85</v>
      </c>
      <c r="C101" s="48" t="s">
        <v>86</v>
      </c>
      <c r="D101" s="16"/>
      <c r="E101" s="19">
        <v>0.0</v>
      </c>
      <c r="F101" s="19">
        <v>0.0</v>
      </c>
      <c r="G101" s="19">
        <v>0.0</v>
      </c>
      <c r="H101" s="19">
        <v>0.0</v>
      </c>
      <c r="I101" s="19">
        <v>0.0</v>
      </c>
      <c r="J101" s="19">
        <v>0.0</v>
      </c>
      <c r="K101" s="19">
        <v>1.0</v>
      </c>
      <c r="L101" s="19">
        <v>0.0</v>
      </c>
      <c r="M101" s="19">
        <v>0.0</v>
      </c>
      <c r="N101" s="19">
        <v>0.0</v>
      </c>
      <c r="O101" s="19">
        <v>0.0</v>
      </c>
      <c r="P101" s="19">
        <v>0.0</v>
      </c>
      <c r="Q101" s="19">
        <v>0.0</v>
      </c>
      <c r="R101" s="19">
        <v>0.0</v>
      </c>
      <c r="S101" s="19">
        <v>1.0</v>
      </c>
      <c r="T101" s="19">
        <v>0.0</v>
      </c>
      <c r="U101" s="19">
        <v>1.0</v>
      </c>
      <c r="V101" s="19">
        <v>0.0</v>
      </c>
      <c r="W101" s="19">
        <v>1.0</v>
      </c>
      <c r="X101" s="19">
        <v>0.0</v>
      </c>
      <c r="Y101" s="19">
        <v>0.0</v>
      </c>
      <c r="Z101" s="19">
        <v>1.0</v>
      </c>
      <c r="AA101" s="19">
        <v>0.0</v>
      </c>
      <c r="AB101" s="19">
        <v>0.0</v>
      </c>
      <c r="AC101" s="19">
        <v>0.0</v>
      </c>
      <c r="AD101" s="19">
        <v>0.0</v>
      </c>
      <c r="AE101" s="13">
        <f t="shared" si="8"/>
        <v>5</v>
      </c>
    </row>
    <row r="102" ht="12.75" customHeight="1">
      <c r="A102" s="30" t="s">
        <v>39</v>
      </c>
      <c r="B102" s="49">
        <v>1.0</v>
      </c>
      <c r="C102" s="50" t="s">
        <v>87</v>
      </c>
      <c r="D102" s="51"/>
      <c r="E102" s="19">
        <v>0.0</v>
      </c>
      <c r="F102" s="19">
        <v>0.0</v>
      </c>
      <c r="G102" s="19">
        <v>0.0</v>
      </c>
      <c r="H102" s="19">
        <v>0.0</v>
      </c>
      <c r="I102" s="19">
        <v>0.0</v>
      </c>
      <c r="J102" s="19">
        <v>1.0</v>
      </c>
      <c r="K102" s="19">
        <v>0.0</v>
      </c>
      <c r="L102" s="19">
        <v>0.0</v>
      </c>
      <c r="M102" s="19">
        <v>0.0</v>
      </c>
      <c r="N102" s="19">
        <v>0.0</v>
      </c>
      <c r="O102" s="19">
        <v>0.0</v>
      </c>
      <c r="P102" s="19">
        <v>0.0</v>
      </c>
      <c r="Q102" s="19">
        <v>0.0</v>
      </c>
      <c r="R102" s="19">
        <v>1.0</v>
      </c>
      <c r="S102" s="19">
        <v>3.0</v>
      </c>
      <c r="T102" s="19">
        <v>0.0</v>
      </c>
      <c r="U102" s="19">
        <v>0.0</v>
      </c>
      <c r="V102" s="19">
        <v>0.0</v>
      </c>
      <c r="W102" s="19">
        <v>0.0</v>
      </c>
      <c r="X102" s="19">
        <v>0.0</v>
      </c>
      <c r="Y102" s="19">
        <v>0.0</v>
      </c>
      <c r="Z102" s="19">
        <v>0.0</v>
      </c>
      <c r="AA102" s="19">
        <v>0.0</v>
      </c>
      <c r="AB102" s="19">
        <v>0.0</v>
      </c>
      <c r="AC102" s="19">
        <v>0.0</v>
      </c>
      <c r="AD102" s="19">
        <v>1.0</v>
      </c>
      <c r="AE102" s="13">
        <f t="shared" si="8"/>
        <v>6</v>
      </c>
    </row>
    <row r="103" ht="15.0" customHeight="1">
      <c r="A103" s="18"/>
      <c r="B103" s="49">
        <v>2.0</v>
      </c>
      <c r="C103" s="50" t="s">
        <v>88</v>
      </c>
      <c r="D103" s="51"/>
      <c r="E103" s="19">
        <v>0.0</v>
      </c>
      <c r="F103" s="19">
        <v>0.0</v>
      </c>
      <c r="G103" s="19">
        <v>0.0</v>
      </c>
      <c r="H103" s="19">
        <v>0.0</v>
      </c>
      <c r="I103" s="19">
        <v>0.0</v>
      </c>
      <c r="J103" s="19">
        <v>0.0</v>
      </c>
      <c r="K103" s="19">
        <v>0.0</v>
      </c>
      <c r="L103" s="19">
        <v>0.0</v>
      </c>
      <c r="M103" s="19">
        <v>0.0</v>
      </c>
      <c r="N103" s="19">
        <v>0.0</v>
      </c>
      <c r="O103" s="19">
        <v>0.0</v>
      </c>
      <c r="P103" s="19">
        <v>0.0</v>
      </c>
      <c r="Q103" s="19">
        <v>0.0</v>
      </c>
      <c r="R103" s="19">
        <v>0.0</v>
      </c>
      <c r="S103" s="19">
        <v>0.0</v>
      </c>
      <c r="T103" s="19">
        <v>0.0</v>
      </c>
      <c r="U103" s="19">
        <v>0.0</v>
      </c>
      <c r="V103" s="19">
        <v>0.0</v>
      </c>
      <c r="W103" s="19">
        <v>1.0</v>
      </c>
      <c r="X103" s="19">
        <v>0.0</v>
      </c>
      <c r="Y103" s="19">
        <v>0.0</v>
      </c>
      <c r="Z103" s="19">
        <v>0.0</v>
      </c>
      <c r="AA103" s="19">
        <v>0.0</v>
      </c>
      <c r="AB103" s="19">
        <v>0.0</v>
      </c>
      <c r="AC103" s="19">
        <v>0.0</v>
      </c>
      <c r="AD103" s="19">
        <v>0.0</v>
      </c>
      <c r="AE103" s="13">
        <f t="shared" si="8"/>
        <v>1</v>
      </c>
    </row>
    <row r="104" ht="12.75" customHeight="1">
      <c r="A104" s="18"/>
      <c r="B104" s="49">
        <v>3.0</v>
      </c>
      <c r="C104" s="50" t="s">
        <v>89</v>
      </c>
      <c r="D104" s="51"/>
      <c r="E104" s="19">
        <v>0.0</v>
      </c>
      <c r="F104" s="19">
        <v>0.0</v>
      </c>
      <c r="G104" s="19">
        <v>0.0</v>
      </c>
      <c r="H104" s="19">
        <v>0.0</v>
      </c>
      <c r="I104" s="19">
        <v>0.0</v>
      </c>
      <c r="J104" s="19">
        <v>0.0</v>
      </c>
      <c r="K104" s="19">
        <v>0.0</v>
      </c>
      <c r="L104" s="19">
        <v>1.0</v>
      </c>
      <c r="M104" s="19">
        <v>0.0</v>
      </c>
      <c r="N104" s="19">
        <v>0.0</v>
      </c>
      <c r="O104" s="19">
        <v>0.0</v>
      </c>
      <c r="P104" s="19">
        <v>0.0</v>
      </c>
      <c r="Q104" s="19">
        <v>0.0</v>
      </c>
      <c r="R104" s="19">
        <v>0.0</v>
      </c>
      <c r="S104" s="19">
        <v>0.0</v>
      </c>
      <c r="T104" s="19">
        <v>0.0</v>
      </c>
      <c r="U104" s="19">
        <v>0.0</v>
      </c>
      <c r="V104" s="19">
        <v>0.0</v>
      </c>
      <c r="W104" s="19">
        <v>0.0</v>
      </c>
      <c r="X104" s="19">
        <v>0.0</v>
      </c>
      <c r="Y104" s="19">
        <v>0.0</v>
      </c>
      <c r="Z104" s="19">
        <v>0.0</v>
      </c>
      <c r="AA104" s="19">
        <v>1.0</v>
      </c>
      <c r="AB104" s="19">
        <v>0.0</v>
      </c>
      <c r="AC104" s="19">
        <v>0.0</v>
      </c>
      <c r="AD104" s="19">
        <v>0.0</v>
      </c>
      <c r="AE104" s="13">
        <f t="shared" si="8"/>
        <v>2</v>
      </c>
    </row>
    <row r="105" ht="12.75" customHeight="1">
      <c r="A105" s="18"/>
      <c r="B105" s="49">
        <v>4.0</v>
      </c>
      <c r="C105" s="50" t="s">
        <v>90</v>
      </c>
      <c r="D105" s="51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3">
        <f t="shared" si="8"/>
        <v>0</v>
      </c>
    </row>
    <row r="106" ht="12.75" customHeight="1">
      <c r="A106" s="18"/>
      <c r="B106" s="49">
        <v>5.0</v>
      </c>
      <c r="C106" s="50" t="s">
        <v>91</v>
      </c>
      <c r="D106" s="51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1.0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3">
        <f t="shared" si="8"/>
        <v>1</v>
      </c>
    </row>
    <row r="107" ht="12.75" customHeight="1">
      <c r="A107" s="18"/>
      <c r="B107" s="49">
        <v>6.0</v>
      </c>
      <c r="C107" s="50" t="s">
        <v>92</v>
      </c>
      <c r="D107" s="51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3">
        <f t="shared" si="8"/>
        <v>0</v>
      </c>
    </row>
    <row r="108" ht="12.75" customHeight="1">
      <c r="A108" s="19" t="s">
        <v>15</v>
      </c>
      <c r="B108" s="47" t="s">
        <v>46</v>
      </c>
      <c r="C108" s="15"/>
      <c r="D108" s="16"/>
      <c r="E108" s="56">
        <f t="shared" ref="E108:AD108" si="16">SUM(E101:E107)</f>
        <v>0</v>
      </c>
      <c r="F108" s="56">
        <f t="shared" si="16"/>
        <v>0</v>
      </c>
      <c r="G108" s="56">
        <f t="shared" si="16"/>
        <v>0</v>
      </c>
      <c r="H108" s="56">
        <f t="shared" si="16"/>
        <v>0</v>
      </c>
      <c r="I108" s="56">
        <f t="shared" si="16"/>
        <v>0</v>
      </c>
      <c r="J108" s="56">
        <f t="shared" si="16"/>
        <v>1</v>
      </c>
      <c r="K108" s="56">
        <f t="shared" si="16"/>
        <v>1</v>
      </c>
      <c r="L108" s="56">
        <f t="shared" si="16"/>
        <v>1</v>
      </c>
      <c r="M108" s="56">
        <f t="shared" si="16"/>
        <v>0</v>
      </c>
      <c r="N108" s="56">
        <f t="shared" si="16"/>
        <v>0</v>
      </c>
      <c r="O108" s="56">
        <f t="shared" si="16"/>
        <v>0</v>
      </c>
      <c r="P108" s="56">
        <f t="shared" si="16"/>
        <v>0</v>
      </c>
      <c r="Q108" s="56">
        <f t="shared" si="16"/>
        <v>0</v>
      </c>
      <c r="R108" s="56">
        <f t="shared" si="16"/>
        <v>1</v>
      </c>
      <c r="S108" s="56">
        <f t="shared" si="16"/>
        <v>4</v>
      </c>
      <c r="T108" s="56">
        <f t="shared" si="16"/>
        <v>1</v>
      </c>
      <c r="U108" s="56">
        <f t="shared" si="16"/>
        <v>1</v>
      </c>
      <c r="V108" s="56">
        <f t="shared" si="16"/>
        <v>0</v>
      </c>
      <c r="W108" s="56">
        <f t="shared" si="16"/>
        <v>2</v>
      </c>
      <c r="X108" s="56">
        <f t="shared" si="16"/>
        <v>0</v>
      </c>
      <c r="Y108" s="56">
        <f t="shared" si="16"/>
        <v>0</v>
      </c>
      <c r="Z108" s="56">
        <f t="shared" si="16"/>
        <v>1</v>
      </c>
      <c r="AA108" s="56">
        <f t="shared" si="16"/>
        <v>1</v>
      </c>
      <c r="AB108" s="56">
        <f t="shared" si="16"/>
        <v>0</v>
      </c>
      <c r="AC108" s="56">
        <f t="shared" si="16"/>
        <v>0</v>
      </c>
      <c r="AD108" s="56">
        <f t="shared" si="16"/>
        <v>1</v>
      </c>
      <c r="AE108" s="13">
        <f t="shared" si="8"/>
        <v>15</v>
      </c>
    </row>
    <row r="109" ht="12.75" customHeight="1">
      <c r="A109" s="57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13">
        <f t="shared" si="8"/>
        <v>0</v>
      </c>
    </row>
    <row r="110" ht="12.75" customHeight="1">
      <c r="A110" s="30" t="s">
        <v>37</v>
      </c>
      <c r="B110" s="47" t="s">
        <v>93</v>
      </c>
      <c r="C110" s="48" t="s">
        <v>94</v>
      </c>
      <c r="D110" s="16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3">
        <f t="shared" si="8"/>
        <v>0</v>
      </c>
    </row>
    <row r="111" ht="12.75" customHeight="1">
      <c r="A111" s="30"/>
      <c r="B111" s="47">
        <v>1.0</v>
      </c>
      <c r="C111" s="50" t="s">
        <v>95</v>
      </c>
      <c r="D111" s="59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3">
        <f t="shared" si="8"/>
        <v>0</v>
      </c>
    </row>
    <row r="112" ht="12.75" customHeight="1">
      <c r="A112" s="30"/>
      <c r="B112" s="47">
        <v>2.0</v>
      </c>
      <c r="C112" s="50" t="s">
        <v>96</v>
      </c>
      <c r="D112" s="59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3">
        <f t="shared" si="8"/>
        <v>0</v>
      </c>
    </row>
    <row r="113" ht="12.75" customHeight="1">
      <c r="A113" s="30"/>
      <c r="B113" s="47">
        <v>3.0</v>
      </c>
      <c r="C113" s="50" t="s">
        <v>97</v>
      </c>
      <c r="D113" s="59"/>
      <c r="E113" s="19">
        <v>0.0</v>
      </c>
      <c r="F113" s="19">
        <v>0.0</v>
      </c>
      <c r="G113" s="19">
        <v>0.0</v>
      </c>
      <c r="H113" s="19">
        <v>0.0</v>
      </c>
      <c r="I113" s="19">
        <v>0.0</v>
      </c>
      <c r="J113" s="19">
        <v>0.0</v>
      </c>
      <c r="K113" s="19">
        <v>0.0</v>
      </c>
      <c r="L113" s="19">
        <v>0.0</v>
      </c>
      <c r="M113" s="19">
        <v>0.0</v>
      </c>
      <c r="N113" s="19">
        <v>0.0</v>
      </c>
      <c r="O113" s="19">
        <v>0.0</v>
      </c>
      <c r="P113" s="19">
        <v>0.0</v>
      </c>
      <c r="Q113" s="19">
        <v>0.0</v>
      </c>
      <c r="R113" s="19">
        <v>0.0</v>
      </c>
      <c r="S113" s="19">
        <v>0.0</v>
      </c>
      <c r="T113" s="19">
        <v>0.0</v>
      </c>
      <c r="U113" s="19">
        <v>0.0</v>
      </c>
      <c r="V113" s="19">
        <v>0.0</v>
      </c>
      <c r="W113" s="19">
        <v>0.0</v>
      </c>
      <c r="X113" s="19">
        <v>0.0</v>
      </c>
      <c r="Y113" s="19">
        <v>0.0</v>
      </c>
      <c r="Z113" s="19">
        <v>0.0</v>
      </c>
      <c r="AA113" s="19">
        <v>0.0</v>
      </c>
      <c r="AB113" s="19">
        <v>0.0</v>
      </c>
      <c r="AC113" s="19">
        <v>0.0</v>
      </c>
      <c r="AD113" s="19">
        <v>0.0</v>
      </c>
      <c r="AE113" s="13">
        <f t="shared" si="8"/>
        <v>0</v>
      </c>
    </row>
    <row r="114" ht="12.75" customHeight="1">
      <c r="A114" s="30" t="s">
        <v>39</v>
      </c>
      <c r="B114" s="49">
        <v>4.0</v>
      </c>
      <c r="C114" s="50" t="s">
        <v>98</v>
      </c>
      <c r="D114" s="51"/>
      <c r="E114" s="19">
        <v>0.0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9">
        <v>0.0</v>
      </c>
      <c r="N114" s="19">
        <v>0.0</v>
      </c>
      <c r="O114" s="19">
        <v>0.0</v>
      </c>
      <c r="P114" s="19">
        <v>0.0</v>
      </c>
      <c r="Q114" s="19">
        <v>0.0</v>
      </c>
      <c r="R114" s="19">
        <v>0.0</v>
      </c>
      <c r="S114" s="19">
        <v>0.0</v>
      </c>
      <c r="T114" s="19">
        <v>0.0</v>
      </c>
      <c r="U114" s="19">
        <v>0.0</v>
      </c>
      <c r="V114" s="19">
        <v>0.0</v>
      </c>
      <c r="W114" s="19">
        <v>0.0</v>
      </c>
      <c r="X114" s="19">
        <v>0.0</v>
      </c>
      <c r="Y114" s="19">
        <v>0.0</v>
      </c>
      <c r="Z114" s="19">
        <v>0.0</v>
      </c>
      <c r="AA114" s="19">
        <v>0.0</v>
      </c>
      <c r="AB114" s="19">
        <v>0.0</v>
      </c>
      <c r="AC114" s="19">
        <v>0.0</v>
      </c>
      <c r="AD114" s="19">
        <v>0.0</v>
      </c>
      <c r="AE114" s="13">
        <f t="shared" si="8"/>
        <v>0</v>
      </c>
    </row>
    <row r="115" ht="12.75" customHeight="1">
      <c r="A115" s="19" t="s">
        <v>15</v>
      </c>
      <c r="B115" s="47" t="s">
        <v>46</v>
      </c>
      <c r="C115" s="15"/>
      <c r="D115" s="16"/>
      <c r="E115" s="56">
        <f t="shared" ref="E115:AD115" si="17">SUM(E110:E114)</f>
        <v>0</v>
      </c>
      <c r="F115" s="56">
        <f t="shared" si="17"/>
        <v>0</v>
      </c>
      <c r="G115" s="56">
        <f t="shared" si="17"/>
        <v>0</v>
      </c>
      <c r="H115" s="56">
        <f t="shared" si="17"/>
        <v>0</v>
      </c>
      <c r="I115" s="56">
        <f t="shared" si="17"/>
        <v>0</v>
      </c>
      <c r="J115" s="56">
        <f t="shared" si="17"/>
        <v>0</v>
      </c>
      <c r="K115" s="56">
        <f t="shared" si="17"/>
        <v>0</v>
      </c>
      <c r="L115" s="56">
        <f t="shared" si="17"/>
        <v>0</v>
      </c>
      <c r="M115" s="56">
        <f t="shared" si="17"/>
        <v>0</v>
      </c>
      <c r="N115" s="56">
        <f t="shared" si="17"/>
        <v>0</v>
      </c>
      <c r="O115" s="56">
        <f t="shared" si="17"/>
        <v>0</v>
      </c>
      <c r="P115" s="56">
        <f t="shared" si="17"/>
        <v>0</v>
      </c>
      <c r="Q115" s="56">
        <f t="shared" si="17"/>
        <v>0</v>
      </c>
      <c r="R115" s="56">
        <f t="shared" si="17"/>
        <v>0</v>
      </c>
      <c r="S115" s="56">
        <f t="shared" si="17"/>
        <v>0</v>
      </c>
      <c r="T115" s="56">
        <f t="shared" si="17"/>
        <v>0</v>
      </c>
      <c r="U115" s="56">
        <f t="shared" si="17"/>
        <v>0</v>
      </c>
      <c r="V115" s="56">
        <f t="shared" si="17"/>
        <v>0</v>
      </c>
      <c r="W115" s="56">
        <f t="shared" si="17"/>
        <v>0</v>
      </c>
      <c r="X115" s="56">
        <f t="shared" si="17"/>
        <v>0</v>
      </c>
      <c r="Y115" s="56">
        <f t="shared" si="17"/>
        <v>0</v>
      </c>
      <c r="Z115" s="56">
        <f t="shared" si="17"/>
        <v>0</v>
      </c>
      <c r="AA115" s="56">
        <f t="shared" si="17"/>
        <v>0</v>
      </c>
      <c r="AB115" s="56">
        <f t="shared" si="17"/>
        <v>0</v>
      </c>
      <c r="AC115" s="56">
        <f t="shared" si="17"/>
        <v>0</v>
      </c>
      <c r="AD115" s="56">
        <f t="shared" si="17"/>
        <v>0</v>
      </c>
      <c r="AE115" s="13">
        <f t="shared" si="8"/>
        <v>0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13">
        <f t="shared" si="8"/>
        <v>0</v>
      </c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0.0</v>
      </c>
      <c r="AD117" s="19">
        <v>0.0</v>
      </c>
      <c r="AE117" s="13">
        <f t="shared" si="8"/>
        <v>0</v>
      </c>
      <c r="AF117" s="5"/>
      <c r="AG117" s="5"/>
    </row>
    <row r="118" ht="12.75" customHeight="1">
      <c r="A118" s="30" t="s">
        <v>39</v>
      </c>
      <c r="B118" s="49">
        <v>1.0</v>
      </c>
      <c r="C118" s="50" t="s">
        <v>101</v>
      </c>
      <c r="D118" s="51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1.0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1.0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3">
        <f t="shared" si="8"/>
        <v>2</v>
      </c>
      <c r="AF118" s="5"/>
      <c r="AG118" s="5"/>
    </row>
    <row r="119" ht="12.75" customHeight="1">
      <c r="A119" s="18"/>
      <c r="B119" s="49">
        <v>2.0</v>
      </c>
      <c r="C119" s="50" t="s">
        <v>102</v>
      </c>
      <c r="D119" s="51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1.0</v>
      </c>
      <c r="AA119" s="19">
        <v>0.0</v>
      </c>
      <c r="AB119" s="19">
        <v>0.0</v>
      </c>
      <c r="AC119" s="19">
        <v>0.0</v>
      </c>
      <c r="AD119" s="19">
        <v>0.0</v>
      </c>
      <c r="AE119" s="13">
        <f t="shared" si="8"/>
        <v>1</v>
      </c>
      <c r="AF119" s="5"/>
      <c r="AG119" s="5"/>
    </row>
    <row r="120" ht="12.75" customHeight="1">
      <c r="A120" s="18"/>
      <c r="B120" s="49">
        <v>3.0</v>
      </c>
      <c r="C120" s="50" t="s">
        <v>103</v>
      </c>
      <c r="D120" s="51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1.0</v>
      </c>
      <c r="AC120" s="19">
        <v>0.0</v>
      </c>
      <c r="AD120" s="19">
        <v>0.0</v>
      </c>
      <c r="AE120" s="13">
        <f t="shared" si="8"/>
        <v>1</v>
      </c>
      <c r="AF120" s="5"/>
      <c r="AG120" s="5"/>
    </row>
    <row r="121" ht="12.75" customHeight="1">
      <c r="A121" s="18"/>
      <c r="B121" s="49">
        <v>4.0</v>
      </c>
      <c r="C121" s="50" t="s">
        <v>104</v>
      </c>
      <c r="D121" s="51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0.0</v>
      </c>
      <c r="U121" s="19">
        <v>0.0</v>
      </c>
      <c r="V121" s="19">
        <v>0.0</v>
      </c>
      <c r="W121" s="19">
        <v>0.0</v>
      </c>
      <c r="X121" s="19">
        <v>0.0</v>
      </c>
      <c r="Y121" s="19">
        <v>0.0</v>
      </c>
      <c r="Z121" s="19">
        <v>0.0</v>
      </c>
      <c r="AA121" s="19">
        <v>0.0</v>
      </c>
      <c r="AB121" s="19">
        <v>0.0</v>
      </c>
      <c r="AC121" s="19">
        <v>0.0</v>
      </c>
      <c r="AD121" s="19">
        <v>0.0</v>
      </c>
      <c r="AE121" s="13">
        <f t="shared" si="8"/>
        <v>0</v>
      </c>
      <c r="AF121" s="5"/>
      <c r="AG121" s="5"/>
    </row>
    <row r="122" ht="12.75" customHeight="1">
      <c r="A122" s="18"/>
      <c r="B122" s="49">
        <v>5.0</v>
      </c>
      <c r="C122" s="50" t="s">
        <v>105</v>
      </c>
      <c r="D122" s="51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9">
        <v>0.0</v>
      </c>
      <c r="S122" s="19">
        <v>0.0</v>
      </c>
      <c r="T122" s="19">
        <v>0.0</v>
      </c>
      <c r="U122" s="19">
        <v>0.0</v>
      </c>
      <c r="V122" s="19">
        <v>0.0</v>
      </c>
      <c r="W122" s="19">
        <v>0.0</v>
      </c>
      <c r="X122" s="19">
        <v>0.0</v>
      </c>
      <c r="Y122" s="19">
        <v>0.0</v>
      </c>
      <c r="Z122" s="19">
        <v>0.0</v>
      </c>
      <c r="AA122" s="19">
        <v>0.0</v>
      </c>
      <c r="AB122" s="19">
        <v>0.0</v>
      </c>
      <c r="AC122" s="19">
        <v>0.0</v>
      </c>
      <c r="AD122" s="19">
        <v>0.0</v>
      </c>
      <c r="AE122" s="13">
        <f t="shared" si="8"/>
        <v>0</v>
      </c>
      <c r="AF122" s="5"/>
      <c r="AG122" s="5"/>
    </row>
    <row r="123" ht="12.75" customHeight="1">
      <c r="A123" s="18"/>
      <c r="B123" s="49">
        <v>6.0</v>
      </c>
      <c r="C123" s="50" t="s">
        <v>106</v>
      </c>
      <c r="D123" s="51"/>
      <c r="E123" s="19">
        <v>0.0</v>
      </c>
      <c r="F123" s="19">
        <v>0.0</v>
      </c>
      <c r="G123" s="19">
        <v>0.0</v>
      </c>
      <c r="H123" s="19">
        <v>0.0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9">
        <v>0.0</v>
      </c>
      <c r="S123" s="19">
        <v>0.0</v>
      </c>
      <c r="T123" s="19">
        <v>0.0</v>
      </c>
      <c r="U123" s="19">
        <v>0.0</v>
      </c>
      <c r="V123" s="19">
        <v>0.0</v>
      </c>
      <c r="W123" s="19">
        <v>0.0</v>
      </c>
      <c r="X123" s="19">
        <v>0.0</v>
      </c>
      <c r="Y123" s="19">
        <v>0.0</v>
      </c>
      <c r="Z123" s="19">
        <v>0.0</v>
      </c>
      <c r="AA123" s="19">
        <v>0.0</v>
      </c>
      <c r="AB123" s="19">
        <v>0.0</v>
      </c>
      <c r="AC123" s="19">
        <v>0.0</v>
      </c>
      <c r="AD123" s="19">
        <v>0.0</v>
      </c>
      <c r="AE123" s="13">
        <f t="shared" si="8"/>
        <v>0</v>
      </c>
      <c r="AF123" s="5"/>
      <c r="AG123" s="5"/>
    </row>
    <row r="124" ht="12.75" customHeight="1">
      <c r="A124" s="19" t="s">
        <v>15</v>
      </c>
      <c r="B124" s="47" t="s">
        <v>46</v>
      </c>
      <c r="C124" s="15"/>
      <c r="D124" s="16"/>
      <c r="E124" s="56">
        <f t="shared" ref="E124:AD124" si="18">SUM(E117:E123)</f>
        <v>0</v>
      </c>
      <c r="F124" s="56">
        <f t="shared" si="18"/>
        <v>0</v>
      </c>
      <c r="G124" s="56">
        <f t="shared" si="18"/>
        <v>0</v>
      </c>
      <c r="H124" s="56">
        <f t="shared" si="18"/>
        <v>0</v>
      </c>
      <c r="I124" s="56">
        <f t="shared" si="18"/>
        <v>0</v>
      </c>
      <c r="J124" s="56">
        <f t="shared" si="18"/>
        <v>0</v>
      </c>
      <c r="K124" s="56">
        <f t="shared" si="18"/>
        <v>1</v>
      </c>
      <c r="L124" s="56">
        <f t="shared" si="18"/>
        <v>0</v>
      </c>
      <c r="M124" s="56">
        <f t="shared" si="18"/>
        <v>0</v>
      </c>
      <c r="N124" s="56">
        <f t="shared" si="18"/>
        <v>0</v>
      </c>
      <c r="O124" s="56">
        <f t="shared" si="18"/>
        <v>0</v>
      </c>
      <c r="P124" s="56">
        <f t="shared" si="18"/>
        <v>0</v>
      </c>
      <c r="Q124" s="56">
        <f t="shared" si="18"/>
        <v>0</v>
      </c>
      <c r="R124" s="56">
        <f t="shared" si="18"/>
        <v>0</v>
      </c>
      <c r="S124" s="56">
        <f t="shared" si="18"/>
        <v>0</v>
      </c>
      <c r="T124" s="56">
        <f t="shared" si="18"/>
        <v>0</v>
      </c>
      <c r="U124" s="56">
        <f t="shared" si="18"/>
        <v>0</v>
      </c>
      <c r="V124" s="56">
        <f t="shared" si="18"/>
        <v>0</v>
      </c>
      <c r="W124" s="56">
        <f t="shared" si="18"/>
        <v>1</v>
      </c>
      <c r="X124" s="56">
        <f t="shared" si="18"/>
        <v>0</v>
      </c>
      <c r="Y124" s="56">
        <f t="shared" si="18"/>
        <v>0</v>
      </c>
      <c r="Z124" s="56">
        <f t="shared" si="18"/>
        <v>1</v>
      </c>
      <c r="AA124" s="56">
        <f t="shared" si="18"/>
        <v>0</v>
      </c>
      <c r="AB124" s="56">
        <f t="shared" si="18"/>
        <v>1</v>
      </c>
      <c r="AC124" s="56">
        <f t="shared" si="18"/>
        <v>0</v>
      </c>
      <c r="AD124" s="56">
        <f t="shared" si="18"/>
        <v>0</v>
      </c>
      <c r="AE124" s="13">
        <f t="shared" si="8"/>
        <v>4</v>
      </c>
      <c r="AF124" s="5"/>
      <c r="AG124" s="5"/>
    </row>
    <row r="125" ht="12.75" customHeight="1">
      <c r="A125" s="57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13">
        <f t="shared" si="8"/>
        <v>0</v>
      </c>
      <c r="AF125" s="5"/>
      <c r="AG125" s="5"/>
    </row>
    <row r="126" ht="12.75" customHeight="1">
      <c r="A126" s="30" t="s">
        <v>37</v>
      </c>
      <c r="B126" s="47" t="s">
        <v>107</v>
      </c>
      <c r="C126" s="48" t="s">
        <v>108</v>
      </c>
      <c r="D126" s="16"/>
      <c r="E126" s="19">
        <v>0.0</v>
      </c>
      <c r="F126" s="19">
        <v>0.0</v>
      </c>
      <c r="G126" s="19">
        <v>0.0</v>
      </c>
      <c r="H126" s="19">
        <v>0.0</v>
      </c>
      <c r="I126" s="19">
        <v>0.0</v>
      </c>
      <c r="J126" s="19">
        <v>0.0</v>
      </c>
      <c r="K126" s="19">
        <v>0.0</v>
      </c>
      <c r="L126" s="19">
        <v>0.0</v>
      </c>
      <c r="M126" s="19">
        <v>0.0</v>
      </c>
      <c r="N126" s="19">
        <v>0.0</v>
      </c>
      <c r="O126" s="19">
        <v>0.0</v>
      </c>
      <c r="P126" s="19">
        <v>0.0</v>
      </c>
      <c r="Q126" s="19">
        <v>0.0</v>
      </c>
      <c r="R126" s="19">
        <v>0.0</v>
      </c>
      <c r="S126" s="19">
        <v>0.0</v>
      </c>
      <c r="T126" s="19">
        <v>3.0</v>
      </c>
      <c r="U126" s="19">
        <v>0.0</v>
      </c>
      <c r="V126" s="19">
        <v>0.0</v>
      </c>
      <c r="W126" s="19">
        <v>1.0</v>
      </c>
      <c r="X126" s="19">
        <v>0.0</v>
      </c>
      <c r="Y126" s="19">
        <v>0.0</v>
      </c>
      <c r="Z126" s="19">
        <v>0.0</v>
      </c>
      <c r="AA126" s="19">
        <v>0.0</v>
      </c>
      <c r="AB126" s="19">
        <v>0.0</v>
      </c>
      <c r="AC126" s="19">
        <v>0.0</v>
      </c>
      <c r="AD126" s="19">
        <v>0.0</v>
      </c>
      <c r="AE126" s="13">
        <f t="shared" si="8"/>
        <v>4</v>
      </c>
      <c r="AF126" s="5"/>
      <c r="AG126" s="5"/>
    </row>
    <row r="127" ht="15.0" customHeight="1">
      <c r="A127" s="30" t="s">
        <v>39</v>
      </c>
      <c r="B127" s="49"/>
      <c r="C127" s="50"/>
      <c r="D127" s="51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3">
        <f t="shared" si="8"/>
        <v>0</v>
      </c>
      <c r="AF127" s="5"/>
      <c r="AG127" s="5"/>
    </row>
    <row r="128" ht="12.75" customHeight="1">
      <c r="A128" s="19" t="s">
        <v>15</v>
      </c>
      <c r="B128" s="47" t="s">
        <v>46</v>
      </c>
      <c r="C128" s="15"/>
      <c r="D128" s="16"/>
      <c r="E128" s="56">
        <f t="shared" ref="E128:AD128" si="19">SUM(E126:E127)</f>
        <v>0</v>
      </c>
      <c r="F128" s="56">
        <f t="shared" si="19"/>
        <v>0</v>
      </c>
      <c r="G128" s="56">
        <f t="shared" si="19"/>
        <v>0</v>
      </c>
      <c r="H128" s="56">
        <f t="shared" si="19"/>
        <v>0</v>
      </c>
      <c r="I128" s="56">
        <f t="shared" si="19"/>
        <v>0</v>
      </c>
      <c r="J128" s="56">
        <f t="shared" si="19"/>
        <v>0</v>
      </c>
      <c r="K128" s="56">
        <f t="shared" si="19"/>
        <v>0</v>
      </c>
      <c r="L128" s="56">
        <f t="shared" si="19"/>
        <v>0</v>
      </c>
      <c r="M128" s="56">
        <f t="shared" si="19"/>
        <v>0</v>
      </c>
      <c r="N128" s="56">
        <f t="shared" si="19"/>
        <v>0</v>
      </c>
      <c r="O128" s="56">
        <f t="shared" si="19"/>
        <v>0</v>
      </c>
      <c r="P128" s="56">
        <f t="shared" si="19"/>
        <v>0</v>
      </c>
      <c r="Q128" s="56">
        <f t="shared" si="19"/>
        <v>0</v>
      </c>
      <c r="R128" s="56">
        <f t="shared" si="19"/>
        <v>0</v>
      </c>
      <c r="S128" s="56">
        <f t="shared" si="19"/>
        <v>0</v>
      </c>
      <c r="T128" s="56">
        <f t="shared" si="19"/>
        <v>3</v>
      </c>
      <c r="U128" s="56">
        <f t="shared" si="19"/>
        <v>0</v>
      </c>
      <c r="V128" s="56">
        <f t="shared" si="19"/>
        <v>0</v>
      </c>
      <c r="W128" s="56">
        <f t="shared" si="19"/>
        <v>1</v>
      </c>
      <c r="X128" s="56">
        <f t="shared" si="19"/>
        <v>0</v>
      </c>
      <c r="Y128" s="56">
        <f t="shared" si="19"/>
        <v>0</v>
      </c>
      <c r="Z128" s="56">
        <f t="shared" si="19"/>
        <v>0</v>
      </c>
      <c r="AA128" s="56">
        <f t="shared" si="19"/>
        <v>0</v>
      </c>
      <c r="AB128" s="56">
        <f t="shared" si="19"/>
        <v>0</v>
      </c>
      <c r="AC128" s="56">
        <f t="shared" si="19"/>
        <v>0</v>
      </c>
      <c r="AD128" s="56">
        <f t="shared" si="19"/>
        <v>0</v>
      </c>
      <c r="AE128" s="13">
        <f t="shared" si="8"/>
        <v>4</v>
      </c>
      <c r="AF128" s="5"/>
      <c r="AG128" s="5"/>
    </row>
    <row r="129" ht="12.75" customHeight="1">
      <c r="A129" s="57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13">
        <f t="shared" si="8"/>
        <v>0</v>
      </c>
      <c r="AF129" s="5"/>
      <c r="AG129" s="5"/>
    </row>
    <row r="130" ht="12.75" customHeight="1">
      <c r="A130" s="30" t="s">
        <v>37</v>
      </c>
      <c r="B130" s="47" t="s">
        <v>109</v>
      </c>
      <c r="C130" s="48" t="s">
        <v>110</v>
      </c>
      <c r="D130" s="16"/>
      <c r="E130" s="19">
        <v>0.0</v>
      </c>
      <c r="F130" s="19">
        <v>0.0</v>
      </c>
      <c r="G130" s="19">
        <v>0.0</v>
      </c>
      <c r="H130" s="19">
        <v>0.0</v>
      </c>
      <c r="I130" s="19">
        <v>1.0</v>
      </c>
      <c r="J130" s="19">
        <v>0.0</v>
      </c>
      <c r="K130" s="19">
        <v>0.0</v>
      </c>
      <c r="L130" s="19">
        <v>0.0</v>
      </c>
      <c r="M130" s="19">
        <v>1.0</v>
      </c>
      <c r="N130" s="19">
        <v>0.0</v>
      </c>
      <c r="O130" s="19">
        <v>0.0</v>
      </c>
      <c r="P130" s="19">
        <v>2.0</v>
      </c>
      <c r="Q130" s="19">
        <v>0.0</v>
      </c>
      <c r="R130" s="19">
        <v>0.0</v>
      </c>
      <c r="S130" s="19">
        <v>0.0</v>
      </c>
      <c r="T130" s="19">
        <v>0.0</v>
      </c>
      <c r="U130" s="19">
        <v>1.0</v>
      </c>
      <c r="V130" s="19">
        <v>0.0</v>
      </c>
      <c r="W130" s="19">
        <v>0.0</v>
      </c>
      <c r="X130" s="19">
        <v>1.0</v>
      </c>
      <c r="Y130" s="19">
        <v>0.0</v>
      </c>
      <c r="Z130" s="19">
        <v>0.0</v>
      </c>
      <c r="AA130" s="19">
        <v>0.0</v>
      </c>
      <c r="AB130" s="19">
        <v>0.0</v>
      </c>
      <c r="AC130" s="19">
        <v>0.0</v>
      </c>
      <c r="AD130" s="19">
        <v>0.0</v>
      </c>
      <c r="AE130" s="13">
        <f t="shared" si="8"/>
        <v>6</v>
      </c>
      <c r="AF130" s="1"/>
      <c r="AG130" s="1"/>
    </row>
    <row r="131" ht="12.75" customHeight="1">
      <c r="A131" s="30" t="s">
        <v>39</v>
      </c>
      <c r="B131" s="49">
        <v>1.0</v>
      </c>
      <c r="C131" s="50" t="s">
        <v>111</v>
      </c>
      <c r="D131" s="51"/>
      <c r="E131" s="19">
        <v>0.0</v>
      </c>
      <c r="F131" s="19">
        <v>0.0</v>
      </c>
      <c r="G131" s="19">
        <v>0.0</v>
      </c>
      <c r="H131" s="19">
        <v>1.0</v>
      </c>
      <c r="I131" s="19">
        <v>1.0</v>
      </c>
      <c r="J131" s="19">
        <v>0.0</v>
      </c>
      <c r="K131" s="19">
        <v>0.0</v>
      </c>
      <c r="L131" s="19">
        <v>1.0</v>
      </c>
      <c r="M131" s="19">
        <v>3.0</v>
      </c>
      <c r="N131" s="19">
        <v>1.0</v>
      </c>
      <c r="O131" s="19">
        <v>2.0</v>
      </c>
      <c r="P131" s="19">
        <v>0.0</v>
      </c>
      <c r="Q131" s="19">
        <v>0.0</v>
      </c>
      <c r="R131" s="19">
        <v>0.0</v>
      </c>
      <c r="S131" s="19">
        <v>0.0</v>
      </c>
      <c r="T131" s="19">
        <v>1.0</v>
      </c>
      <c r="U131" s="19">
        <v>0.0</v>
      </c>
      <c r="V131" s="19">
        <v>3.0</v>
      </c>
      <c r="W131" s="19">
        <v>0.0</v>
      </c>
      <c r="X131" s="19">
        <v>0.0</v>
      </c>
      <c r="Y131" s="19">
        <v>1.0</v>
      </c>
      <c r="Z131" s="19">
        <v>0.0</v>
      </c>
      <c r="AA131" s="19">
        <v>0.0</v>
      </c>
      <c r="AB131" s="19">
        <v>2.0</v>
      </c>
      <c r="AC131" s="19">
        <v>0.0</v>
      </c>
      <c r="AD131" s="19">
        <v>0.0</v>
      </c>
      <c r="AE131" s="13">
        <f t="shared" si="8"/>
        <v>16</v>
      </c>
      <c r="AF131" s="53"/>
      <c r="AG131" s="53"/>
    </row>
    <row r="132" ht="12.75" customHeight="1">
      <c r="A132" s="18"/>
      <c r="B132" s="49">
        <v>2.0</v>
      </c>
      <c r="C132" s="50" t="s">
        <v>112</v>
      </c>
      <c r="D132" s="51"/>
      <c r="E132" s="19">
        <v>0.0</v>
      </c>
      <c r="F132" s="19">
        <v>0.0</v>
      </c>
      <c r="G132" s="19">
        <v>1.0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1.0</v>
      </c>
      <c r="N132" s="19">
        <v>0.0</v>
      </c>
      <c r="O132" s="19">
        <v>0.0</v>
      </c>
      <c r="P132" s="19">
        <v>0.0</v>
      </c>
      <c r="Q132" s="19">
        <v>0.0</v>
      </c>
      <c r="R132" s="19">
        <v>2.0</v>
      </c>
      <c r="S132" s="19">
        <v>1.0</v>
      </c>
      <c r="T132" s="19">
        <v>0.0</v>
      </c>
      <c r="U132" s="19">
        <v>0.0</v>
      </c>
      <c r="V132" s="19">
        <v>0.0</v>
      </c>
      <c r="W132" s="19">
        <v>0.0</v>
      </c>
      <c r="X132" s="19">
        <v>1.0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1.0</v>
      </c>
      <c r="AE132" s="13">
        <f t="shared" si="8"/>
        <v>7</v>
      </c>
      <c r="AF132" s="5"/>
      <c r="AG132" s="5"/>
    </row>
    <row r="133" ht="12.75" customHeight="1">
      <c r="A133" s="18"/>
      <c r="B133" s="49">
        <v>3.0</v>
      </c>
      <c r="C133" s="50" t="s">
        <v>113</v>
      </c>
      <c r="D133" s="5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1.0</v>
      </c>
      <c r="K133" s="19">
        <v>0.0</v>
      </c>
      <c r="L133" s="19">
        <v>0.0</v>
      </c>
      <c r="M133" s="19">
        <v>0.0</v>
      </c>
      <c r="N133" s="19">
        <v>0.0</v>
      </c>
      <c r="O133" s="19">
        <v>1.0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3">
        <f t="shared" si="8"/>
        <v>2</v>
      </c>
      <c r="AF133" s="5"/>
      <c r="AG133" s="5"/>
    </row>
    <row r="134" ht="12.75" customHeight="1">
      <c r="A134" s="18"/>
      <c r="B134" s="49">
        <v>4.0</v>
      </c>
      <c r="C134" s="50" t="s">
        <v>114</v>
      </c>
      <c r="D134" s="51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1.0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3">
        <f t="shared" si="8"/>
        <v>1</v>
      </c>
      <c r="AF134" s="5"/>
      <c r="AG134" s="5"/>
    </row>
    <row r="135" ht="12.75" customHeight="1">
      <c r="A135" s="19" t="s">
        <v>15</v>
      </c>
      <c r="B135" s="47" t="s">
        <v>46</v>
      </c>
      <c r="C135" s="15"/>
      <c r="D135" s="16"/>
      <c r="E135" s="56">
        <f t="shared" ref="E135:AD135" si="20">SUM(E130:E134)</f>
        <v>0</v>
      </c>
      <c r="F135" s="56">
        <f t="shared" si="20"/>
        <v>0</v>
      </c>
      <c r="G135" s="56">
        <f t="shared" si="20"/>
        <v>1</v>
      </c>
      <c r="H135" s="56">
        <f t="shared" si="20"/>
        <v>1</v>
      </c>
      <c r="I135" s="56">
        <f t="shared" si="20"/>
        <v>2</v>
      </c>
      <c r="J135" s="56">
        <f t="shared" si="20"/>
        <v>1</v>
      </c>
      <c r="K135" s="56">
        <f t="shared" si="20"/>
        <v>0</v>
      </c>
      <c r="L135" s="56">
        <f t="shared" si="20"/>
        <v>1</v>
      </c>
      <c r="M135" s="56">
        <f t="shared" si="20"/>
        <v>5</v>
      </c>
      <c r="N135" s="56">
        <f t="shared" si="20"/>
        <v>1</v>
      </c>
      <c r="O135" s="56">
        <f t="shared" si="20"/>
        <v>3</v>
      </c>
      <c r="P135" s="56">
        <f t="shared" si="20"/>
        <v>2</v>
      </c>
      <c r="Q135" s="56">
        <f t="shared" si="20"/>
        <v>0</v>
      </c>
      <c r="R135" s="56">
        <f t="shared" si="20"/>
        <v>2</v>
      </c>
      <c r="S135" s="56">
        <f t="shared" si="20"/>
        <v>2</v>
      </c>
      <c r="T135" s="56">
        <f t="shared" si="20"/>
        <v>1</v>
      </c>
      <c r="U135" s="56">
        <f t="shared" si="20"/>
        <v>1</v>
      </c>
      <c r="V135" s="56">
        <f t="shared" si="20"/>
        <v>3</v>
      </c>
      <c r="W135" s="56">
        <f t="shared" si="20"/>
        <v>0</v>
      </c>
      <c r="X135" s="56">
        <f t="shared" si="20"/>
        <v>2</v>
      </c>
      <c r="Y135" s="56">
        <f t="shared" si="20"/>
        <v>1</v>
      </c>
      <c r="Z135" s="56">
        <f t="shared" si="20"/>
        <v>0</v>
      </c>
      <c r="AA135" s="56">
        <f t="shared" si="20"/>
        <v>0</v>
      </c>
      <c r="AB135" s="56">
        <f t="shared" si="20"/>
        <v>2</v>
      </c>
      <c r="AC135" s="56">
        <f t="shared" si="20"/>
        <v>0</v>
      </c>
      <c r="AD135" s="56">
        <f t="shared" si="20"/>
        <v>1</v>
      </c>
      <c r="AE135" s="13">
        <f t="shared" si="8"/>
        <v>32</v>
      </c>
      <c r="AF135" s="5"/>
      <c r="AG135" s="5"/>
    </row>
    <row r="136" ht="12.75" customHeight="1">
      <c r="A136" s="57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13">
        <f t="shared" si="8"/>
        <v>0</v>
      </c>
      <c r="AF136" s="5"/>
      <c r="AG136" s="5"/>
    </row>
    <row r="137" ht="12.75" customHeight="1">
      <c r="A137" s="30" t="s">
        <v>37</v>
      </c>
      <c r="B137" s="47" t="s">
        <v>115</v>
      </c>
      <c r="C137" s="48" t="s">
        <v>116</v>
      </c>
      <c r="D137" s="16"/>
      <c r="E137" s="19">
        <v>0.0</v>
      </c>
      <c r="F137" s="19">
        <v>0.0</v>
      </c>
      <c r="G137" s="19">
        <v>0.0</v>
      </c>
      <c r="H137" s="19">
        <v>0.0</v>
      </c>
      <c r="I137" s="19">
        <v>0.0</v>
      </c>
      <c r="J137" s="19">
        <v>0.0</v>
      </c>
      <c r="K137" s="19">
        <v>0.0</v>
      </c>
      <c r="L137" s="19">
        <v>0.0</v>
      </c>
      <c r="M137" s="19">
        <v>1.0</v>
      </c>
      <c r="N137" s="19">
        <v>0.0</v>
      </c>
      <c r="O137" s="19">
        <v>0.0</v>
      </c>
      <c r="P137" s="19">
        <v>0.0</v>
      </c>
      <c r="Q137" s="19">
        <v>0.0</v>
      </c>
      <c r="R137" s="19">
        <v>0.0</v>
      </c>
      <c r="S137" s="19">
        <v>0.0</v>
      </c>
      <c r="T137" s="19">
        <v>1.0</v>
      </c>
      <c r="U137" s="19">
        <v>0.0</v>
      </c>
      <c r="V137" s="19">
        <v>0.0</v>
      </c>
      <c r="W137" s="19">
        <v>0.0</v>
      </c>
      <c r="X137" s="19">
        <v>0.0</v>
      </c>
      <c r="Y137" s="19">
        <v>0.0</v>
      </c>
      <c r="Z137" s="19">
        <v>0.0</v>
      </c>
      <c r="AA137" s="19">
        <v>0.0</v>
      </c>
      <c r="AB137" s="19">
        <v>0.0</v>
      </c>
      <c r="AC137" s="19">
        <v>0.0</v>
      </c>
      <c r="AD137" s="19">
        <v>0.0</v>
      </c>
      <c r="AE137" s="13">
        <f t="shared" si="8"/>
        <v>2</v>
      </c>
      <c r="AF137" s="5"/>
      <c r="AG137" s="5"/>
    </row>
    <row r="138" ht="12.75" customHeight="1">
      <c r="A138" s="30" t="s">
        <v>39</v>
      </c>
      <c r="B138" s="49">
        <v>1.0</v>
      </c>
      <c r="C138" s="50" t="s">
        <v>117</v>
      </c>
      <c r="D138" s="51"/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0.0</v>
      </c>
      <c r="K138" s="19">
        <v>0.0</v>
      </c>
      <c r="L138" s="19">
        <v>0.0</v>
      </c>
      <c r="M138" s="19">
        <v>0.0</v>
      </c>
      <c r="N138" s="19">
        <v>0.0</v>
      </c>
      <c r="O138" s="19">
        <v>0.0</v>
      </c>
      <c r="P138" s="19">
        <v>0.0</v>
      </c>
      <c r="Q138" s="19">
        <v>0.0</v>
      </c>
      <c r="R138" s="19">
        <v>0.0</v>
      </c>
      <c r="S138" s="19">
        <v>0.0</v>
      </c>
      <c r="T138" s="19">
        <v>0.0</v>
      </c>
      <c r="U138" s="19">
        <v>0.0</v>
      </c>
      <c r="V138" s="19">
        <v>0.0</v>
      </c>
      <c r="W138" s="19">
        <v>0.0</v>
      </c>
      <c r="X138" s="19">
        <v>0.0</v>
      </c>
      <c r="Y138" s="19">
        <v>0.0</v>
      </c>
      <c r="Z138" s="19">
        <v>0.0</v>
      </c>
      <c r="AA138" s="19">
        <v>0.0</v>
      </c>
      <c r="AB138" s="19">
        <v>0.0</v>
      </c>
      <c r="AC138" s="19">
        <v>0.0</v>
      </c>
      <c r="AD138" s="19">
        <v>0.0</v>
      </c>
      <c r="AE138" s="13">
        <f t="shared" si="8"/>
        <v>0</v>
      </c>
      <c r="AF138" s="5"/>
      <c r="AG138" s="5"/>
    </row>
    <row r="139" ht="15.0" customHeight="1">
      <c r="A139" s="18"/>
      <c r="B139" s="49">
        <v>2.0</v>
      </c>
      <c r="C139" s="50" t="s">
        <v>118</v>
      </c>
      <c r="D139" s="51"/>
      <c r="E139" s="19">
        <v>0.0</v>
      </c>
      <c r="F139" s="19">
        <v>0.0</v>
      </c>
      <c r="G139" s="19">
        <v>0.0</v>
      </c>
      <c r="H139" s="19">
        <v>0.0</v>
      </c>
      <c r="I139" s="19">
        <v>1.0</v>
      </c>
      <c r="J139" s="19">
        <v>0.0</v>
      </c>
      <c r="K139" s="19">
        <v>1.0</v>
      </c>
      <c r="L139" s="19">
        <v>1.0</v>
      </c>
      <c r="M139" s="19">
        <v>1.0</v>
      </c>
      <c r="N139" s="19">
        <v>0.0</v>
      </c>
      <c r="O139" s="19">
        <v>0.0</v>
      </c>
      <c r="P139" s="19">
        <v>1.0</v>
      </c>
      <c r="Q139" s="19">
        <v>0.0</v>
      </c>
      <c r="R139" s="19">
        <v>0.0</v>
      </c>
      <c r="S139" s="19">
        <v>1.0</v>
      </c>
      <c r="T139" s="19">
        <v>0.0</v>
      </c>
      <c r="U139" s="19">
        <v>0.0</v>
      </c>
      <c r="V139" s="19">
        <v>0.0</v>
      </c>
      <c r="W139" s="19">
        <v>0.0</v>
      </c>
      <c r="X139" s="19">
        <v>0.0</v>
      </c>
      <c r="Y139" s="19">
        <v>0.0</v>
      </c>
      <c r="Z139" s="19">
        <v>0.0</v>
      </c>
      <c r="AA139" s="19">
        <v>0.0</v>
      </c>
      <c r="AB139" s="19">
        <v>0.0</v>
      </c>
      <c r="AC139" s="19">
        <v>0.0</v>
      </c>
      <c r="AD139" s="19">
        <v>0.0</v>
      </c>
      <c r="AE139" s="13">
        <f t="shared" si="8"/>
        <v>6</v>
      </c>
      <c r="AF139" s="5"/>
      <c r="AG139" s="5"/>
    </row>
    <row r="140" ht="12.75" customHeight="1">
      <c r="A140" s="18"/>
      <c r="B140" s="49">
        <v>3.0</v>
      </c>
      <c r="C140" s="50" t="s">
        <v>119</v>
      </c>
      <c r="D140" s="51"/>
      <c r="E140" s="19">
        <v>0.0</v>
      </c>
      <c r="F140" s="19">
        <v>0.0</v>
      </c>
      <c r="G140" s="19">
        <v>0.0</v>
      </c>
      <c r="H140" s="19">
        <v>0.0</v>
      </c>
      <c r="I140" s="19">
        <v>0.0</v>
      </c>
      <c r="J140" s="19">
        <v>0.0</v>
      </c>
      <c r="K140" s="19">
        <v>1.0</v>
      </c>
      <c r="L140" s="19">
        <v>0.0</v>
      </c>
      <c r="M140" s="19">
        <v>0.0</v>
      </c>
      <c r="N140" s="19">
        <v>0.0</v>
      </c>
      <c r="O140" s="19">
        <v>0.0</v>
      </c>
      <c r="P140" s="19">
        <v>0.0</v>
      </c>
      <c r="Q140" s="19">
        <v>0.0</v>
      </c>
      <c r="R140" s="19">
        <v>0.0</v>
      </c>
      <c r="S140" s="19">
        <v>0.0</v>
      </c>
      <c r="T140" s="19">
        <v>0.0</v>
      </c>
      <c r="U140" s="19">
        <v>0.0</v>
      </c>
      <c r="V140" s="19">
        <v>0.0</v>
      </c>
      <c r="W140" s="19">
        <v>0.0</v>
      </c>
      <c r="X140" s="19">
        <v>0.0</v>
      </c>
      <c r="Y140" s="19">
        <v>0.0</v>
      </c>
      <c r="Z140" s="19">
        <v>0.0</v>
      </c>
      <c r="AA140" s="19">
        <v>0.0</v>
      </c>
      <c r="AB140" s="19">
        <v>0.0</v>
      </c>
      <c r="AC140" s="19">
        <v>0.0</v>
      </c>
      <c r="AD140" s="19">
        <v>0.0</v>
      </c>
      <c r="AE140" s="13">
        <f t="shared" si="8"/>
        <v>1</v>
      </c>
      <c r="AF140" s="5"/>
      <c r="AG140" s="5"/>
    </row>
    <row r="141" ht="12.75" customHeight="1">
      <c r="A141" s="18"/>
      <c r="B141" s="49">
        <v>4.0</v>
      </c>
      <c r="C141" s="50" t="s">
        <v>120</v>
      </c>
      <c r="D141" s="51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3">
        <f t="shared" si="8"/>
        <v>0</v>
      </c>
      <c r="AF141" s="1"/>
      <c r="AG141" s="1"/>
    </row>
    <row r="142" ht="12.75" customHeight="1">
      <c r="A142" s="18"/>
      <c r="B142" s="49">
        <v>5.0</v>
      </c>
      <c r="C142" s="50" t="s">
        <v>121</v>
      </c>
      <c r="D142" s="5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3">
        <f t="shared" si="8"/>
        <v>0</v>
      </c>
      <c r="AF142" s="53"/>
      <c r="AG142" s="53"/>
    </row>
    <row r="143" ht="12.75" customHeight="1">
      <c r="A143" s="18"/>
      <c r="B143" s="49">
        <v>6.0</v>
      </c>
      <c r="C143" s="50" t="s">
        <v>122</v>
      </c>
      <c r="D143" s="5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3">
        <f t="shared" si="8"/>
        <v>0</v>
      </c>
      <c r="AF143" s="5"/>
      <c r="AG143" s="5"/>
    </row>
    <row r="144" ht="12.75" customHeight="1">
      <c r="A144" s="19" t="s">
        <v>15</v>
      </c>
      <c r="B144" s="47" t="s">
        <v>46</v>
      </c>
      <c r="C144" s="15"/>
      <c r="D144" s="16"/>
      <c r="E144" s="56">
        <f t="shared" ref="E144:AD144" si="21">SUM(E137:E143)</f>
        <v>0</v>
      </c>
      <c r="F144" s="56">
        <f t="shared" si="21"/>
        <v>0</v>
      </c>
      <c r="G144" s="56">
        <f t="shared" si="21"/>
        <v>0</v>
      </c>
      <c r="H144" s="56">
        <f t="shared" si="21"/>
        <v>0</v>
      </c>
      <c r="I144" s="56">
        <f t="shared" si="21"/>
        <v>1</v>
      </c>
      <c r="J144" s="56">
        <f t="shared" si="21"/>
        <v>0</v>
      </c>
      <c r="K144" s="56">
        <f t="shared" si="21"/>
        <v>2</v>
      </c>
      <c r="L144" s="56">
        <f t="shared" si="21"/>
        <v>1</v>
      </c>
      <c r="M144" s="56">
        <f t="shared" si="21"/>
        <v>2</v>
      </c>
      <c r="N144" s="56">
        <f t="shared" si="21"/>
        <v>0</v>
      </c>
      <c r="O144" s="56">
        <f t="shared" si="21"/>
        <v>0</v>
      </c>
      <c r="P144" s="56">
        <f t="shared" si="21"/>
        <v>1</v>
      </c>
      <c r="Q144" s="56">
        <f t="shared" si="21"/>
        <v>0</v>
      </c>
      <c r="R144" s="56">
        <f t="shared" si="21"/>
        <v>0</v>
      </c>
      <c r="S144" s="56">
        <f t="shared" si="21"/>
        <v>1</v>
      </c>
      <c r="T144" s="56">
        <f t="shared" si="21"/>
        <v>1</v>
      </c>
      <c r="U144" s="56">
        <f t="shared" si="21"/>
        <v>0</v>
      </c>
      <c r="V144" s="56">
        <f t="shared" si="21"/>
        <v>0</v>
      </c>
      <c r="W144" s="56">
        <f t="shared" si="21"/>
        <v>0</v>
      </c>
      <c r="X144" s="56">
        <f t="shared" si="21"/>
        <v>0</v>
      </c>
      <c r="Y144" s="56">
        <f t="shared" si="21"/>
        <v>0</v>
      </c>
      <c r="Z144" s="56">
        <f t="shared" si="21"/>
        <v>0</v>
      </c>
      <c r="AA144" s="56">
        <f t="shared" si="21"/>
        <v>0</v>
      </c>
      <c r="AB144" s="56">
        <f t="shared" si="21"/>
        <v>0</v>
      </c>
      <c r="AC144" s="56">
        <f t="shared" si="21"/>
        <v>0</v>
      </c>
      <c r="AD144" s="56">
        <f t="shared" si="21"/>
        <v>0</v>
      </c>
      <c r="AE144" s="13">
        <f t="shared" si="8"/>
        <v>9</v>
      </c>
      <c r="AF144" s="5"/>
      <c r="AG144" s="5"/>
    </row>
    <row r="145" ht="12.75" customHeight="1">
      <c r="A145" s="57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13">
        <f t="shared" si="8"/>
        <v>0</v>
      </c>
      <c r="AF145" s="5"/>
      <c r="AG145" s="5"/>
    </row>
    <row r="146" ht="12.75" customHeight="1">
      <c r="A146" s="30" t="s">
        <v>37</v>
      </c>
      <c r="B146" s="47" t="s">
        <v>123</v>
      </c>
      <c r="C146" s="48" t="s">
        <v>124</v>
      </c>
      <c r="D146" s="16"/>
      <c r="E146" s="19">
        <v>0.0</v>
      </c>
      <c r="F146" s="19">
        <v>2.0</v>
      </c>
      <c r="G146" s="19">
        <v>0.0</v>
      </c>
      <c r="H146" s="19">
        <v>1.0</v>
      </c>
      <c r="I146" s="19">
        <v>1.0</v>
      </c>
      <c r="J146" s="19">
        <v>1.0</v>
      </c>
      <c r="K146" s="19">
        <v>2.0</v>
      </c>
      <c r="L146" s="19">
        <v>1.0</v>
      </c>
      <c r="M146" s="19">
        <v>0.0</v>
      </c>
      <c r="N146" s="19">
        <v>0.0</v>
      </c>
      <c r="O146" s="19">
        <v>1.0</v>
      </c>
      <c r="P146" s="19">
        <v>0.0</v>
      </c>
      <c r="Q146" s="19">
        <v>0.0</v>
      </c>
      <c r="R146" s="19">
        <v>0.0</v>
      </c>
      <c r="S146" s="19">
        <v>1.0</v>
      </c>
      <c r="T146" s="19">
        <v>4.0</v>
      </c>
      <c r="U146" s="19">
        <v>8.0</v>
      </c>
      <c r="V146" s="19">
        <v>2.0</v>
      </c>
      <c r="W146" s="19">
        <v>1.0</v>
      </c>
      <c r="X146" s="19">
        <v>1.0</v>
      </c>
      <c r="Y146" s="19">
        <v>0.0</v>
      </c>
      <c r="Z146" s="19">
        <v>2.0</v>
      </c>
      <c r="AA146" s="19">
        <v>1.0</v>
      </c>
      <c r="AB146" s="19">
        <v>0.0</v>
      </c>
      <c r="AC146" s="19">
        <v>0.0</v>
      </c>
      <c r="AD146" s="19">
        <v>1.0</v>
      </c>
      <c r="AE146" s="13">
        <f t="shared" si="8"/>
        <v>30</v>
      </c>
      <c r="AF146" s="5"/>
      <c r="AG146" s="5"/>
    </row>
    <row r="147" ht="12.75" customHeight="1">
      <c r="A147" s="30" t="s">
        <v>39</v>
      </c>
      <c r="B147" s="49">
        <v>1.0</v>
      </c>
      <c r="C147" s="50" t="s">
        <v>125</v>
      </c>
      <c r="D147" s="51"/>
      <c r="E147" s="19">
        <v>2.0</v>
      </c>
      <c r="F147" s="19">
        <v>2.0</v>
      </c>
      <c r="G147" s="19">
        <v>0.0</v>
      </c>
      <c r="H147" s="19">
        <v>0.0</v>
      </c>
      <c r="I147" s="19">
        <v>2.0</v>
      </c>
      <c r="J147" s="19">
        <v>0.0</v>
      </c>
      <c r="K147" s="19">
        <v>0.0</v>
      </c>
      <c r="L147" s="19">
        <v>1.0</v>
      </c>
      <c r="M147" s="19">
        <v>0.0</v>
      </c>
      <c r="N147" s="19">
        <v>2.0</v>
      </c>
      <c r="O147" s="19">
        <v>5.0</v>
      </c>
      <c r="P147" s="19">
        <v>1.0</v>
      </c>
      <c r="Q147" s="19">
        <v>1.0</v>
      </c>
      <c r="R147" s="19">
        <v>0.0</v>
      </c>
      <c r="S147" s="19">
        <v>1.0</v>
      </c>
      <c r="T147" s="19">
        <v>4.0</v>
      </c>
      <c r="U147" s="19">
        <v>26.0</v>
      </c>
      <c r="V147" s="19">
        <v>2.0</v>
      </c>
      <c r="W147" s="19">
        <v>6.0</v>
      </c>
      <c r="X147" s="19">
        <v>2.0</v>
      </c>
      <c r="Y147" s="19">
        <v>0.0</v>
      </c>
      <c r="Z147" s="19">
        <v>2.0</v>
      </c>
      <c r="AA147" s="19">
        <v>8.0</v>
      </c>
      <c r="AB147" s="19">
        <v>1.0</v>
      </c>
      <c r="AC147" s="19">
        <v>2.0</v>
      </c>
      <c r="AD147" s="19">
        <v>1.0</v>
      </c>
      <c r="AE147" s="13">
        <f t="shared" si="8"/>
        <v>71</v>
      </c>
      <c r="AF147" s="5"/>
      <c r="AG147" s="5"/>
    </row>
    <row r="148" ht="12.75" customHeight="1">
      <c r="A148" s="18"/>
      <c r="B148" s="49">
        <v>2.0</v>
      </c>
      <c r="C148" s="50" t="s">
        <v>126</v>
      </c>
      <c r="D148" s="51"/>
      <c r="E148" s="19">
        <v>0.0</v>
      </c>
      <c r="F148" s="19">
        <v>0.0</v>
      </c>
      <c r="G148" s="19">
        <v>0.0</v>
      </c>
      <c r="H148" s="19">
        <v>0.0</v>
      </c>
      <c r="I148" s="19">
        <v>1.0</v>
      </c>
      <c r="J148" s="19">
        <v>0.0</v>
      </c>
      <c r="K148" s="19">
        <v>0.0</v>
      </c>
      <c r="L148" s="19">
        <v>1.0</v>
      </c>
      <c r="M148" s="19">
        <v>0.0</v>
      </c>
      <c r="N148" s="19">
        <v>2.0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1.0</v>
      </c>
      <c r="V148" s="19">
        <v>1.0</v>
      </c>
      <c r="W148" s="19">
        <v>1.0</v>
      </c>
      <c r="X148" s="19">
        <v>1.0</v>
      </c>
      <c r="Y148" s="19">
        <v>0.0</v>
      </c>
      <c r="Z148" s="19">
        <v>1.0</v>
      </c>
      <c r="AA148" s="19">
        <v>0.0</v>
      </c>
      <c r="AB148" s="19">
        <v>1.0</v>
      </c>
      <c r="AC148" s="19">
        <v>0.0</v>
      </c>
      <c r="AD148" s="19">
        <v>1.0</v>
      </c>
      <c r="AE148" s="13">
        <f t="shared" si="8"/>
        <v>11</v>
      </c>
      <c r="AF148" s="5"/>
      <c r="AG148" s="5"/>
    </row>
    <row r="149" ht="12.75" customHeight="1">
      <c r="A149" s="18"/>
      <c r="B149" s="49">
        <v>3.0</v>
      </c>
      <c r="C149" s="50" t="s">
        <v>127</v>
      </c>
      <c r="D149" s="51"/>
      <c r="E149" s="19">
        <v>1.0</v>
      </c>
      <c r="F149" s="19">
        <v>1.0</v>
      </c>
      <c r="G149" s="19">
        <v>3.0</v>
      </c>
      <c r="H149" s="19">
        <v>25.0</v>
      </c>
      <c r="I149" s="19">
        <v>2.0</v>
      </c>
      <c r="J149" s="19">
        <v>0.0</v>
      </c>
      <c r="K149" s="19">
        <v>28.0</v>
      </c>
      <c r="L149" s="19">
        <v>1.0</v>
      </c>
      <c r="M149" s="19">
        <v>0.0</v>
      </c>
      <c r="N149" s="19">
        <v>0.0</v>
      </c>
      <c r="O149" s="19">
        <v>1.0</v>
      </c>
      <c r="P149" s="19">
        <v>0.0</v>
      </c>
      <c r="Q149" s="19">
        <v>1.0</v>
      </c>
      <c r="R149" s="19">
        <v>0.0</v>
      </c>
      <c r="S149" s="19">
        <v>0.0</v>
      </c>
      <c r="T149" s="19">
        <v>0.0</v>
      </c>
      <c r="U149" s="19">
        <v>0.0</v>
      </c>
      <c r="V149" s="19">
        <v>8.0</v>
      </c>
      <c r="W149" s="19">
        <v>0.0</v>
      </c>
      <c r="X149" s="19">
        <v>0.0</v>
      </c>
      <c r="Y149" s="19">
        <v>0.0</v>
      </c>
      <c r="Z149" s="19">
        <v>0.0</v>
      </c>
      <c r="AA149" s="19">
        <v>0.0</v>
      </c>
      <c r="AB149" s="19">
        <v>0.0</v>
      </c>
      <c r="AC149" s="19">
        <v>3.0</v>
      </c>
      <c r="AD149" s="19">
        <v>0.0</v>
      </c>
      <c r="AE149" s="13">
        <f t="shared" si="8"/>
        <v>74</v>
      </c>
      <c r="AF149" s="5"/>
      <c r="AG149" s="5"/>
    </row>
    <row r="150" ht="12.75" customHeight="1">
      <c r="A150" s="18"/>
      <c r="B150" s="49">
        <v>4.0</v>
      </c>
      <c r="C150" s="50" t="s">
        <v>128</v>
      </c>
      <c r="D150" s="51"/>
      <c r="E150" s="19">
        <v>0.0</v>
      </c>
      <c r="F150" s="19">
        <v>0.0</v>
      </c>
      <c r="G150" s="19">
        <v>0.0</v>
      </c>
      <c r="H150" s="19">
        <v>0.0</v>
      </c>
      <c r="I150" s="19">
        <v>0.0</v>
      </c>
      <c r="J150" s="19">
        <v>0.0</v>
      </c>
      <c r="K150" s="19">
        <v>0.0</v>
      </c>
      <c r="L150" s="19">
        <v>0.0</v>
      </c>
      <c r="M150" s="19">
        <v>0.0</v>
      </c>
      <c r="N150" s="19">
        <v>0.0</v>
      </c>
      <c r="O150" s="19">
        <v>0.0</v>
      </c>
      <c r="P150" s="19">
        <v>0.0</v>
      </c>
      <c r="Q150" s="19">
        <v>1.0</v>
      </c>
      <c r="R150" s="19">
        <v>0.0</v>
      </c>
      <c r="S150" s="19">
        <v>0.0</v>
      </c>
      <c r="T150" s="19">
        <v>0.0</v>
      </c>
      <c r="U150" s="19">
        <v>0.0</v>
      </c>
      <c r="V150" s="19">
        <v>0.0</v>
      </c>
      <c r="W150" s="19">
        <v>0.0</v>
      </c>
      <c r="X150" s="19">
        <v>0.0</v>
      </c>
      <c r="Y150" s="19">
        <v>0.0</v>
      </c>
      <c r="Z150" s="19">
        <v>1.0</v>
      </c>
      <c r="AA150" s="19">
        <v>0.0</v>
      </c>
      <c r="AB150" s="19">
        <v>0.0</v>
      </c>
      <c r="AC150" s="19">
        <v>0.0</v>
      </c>
      <c r="AD150" s="19">
        <v>0.0</v>
      </c>
      <c r="AE150" s="13">
        <f t="shared" si="8"/>
        <v>2</v>
      </c>
      <c r="AF150" s="5"/>
      <c r="AG150" s="5"/>
    </row>
    <row r="151" ht="12.75" customHeight="1">
      <c r="A151" s="18"/>
      <c r="B151" s="49">
        <v>5.0</v>
      </c>
      <c r="C151" s="50" t="s">
        <v>129</v>
      </c>
      <c r="D151" s="51"/>
      <c r="E151" s="19">
        <v>0.0</v>
      </c>
      <c r="F151" s="19">
        <v>0.0</v>
      </c>
      <c r="G151" s="19">
        <v>0.0</v>
      </c>
      <c r="H151" s="19">
        <v>0.0</v>
      </c>
      <c r="I151" s="19">
        <v>0.0</v>
      </c>
      <c r="J151" s="19">
        <v>0.0</v>
      </c>
      <c r="K151" s="19">
        <v>0.0</v>
      </c>
      <c r="L151" s="19">
        <v>0.0</v>
      </c>
      <c r="M151" s="19">
        <v>0.0</v>
      </c>
      <c r="N151" s="19">
        <v>0.0</v>
      </c>
      <c r="O151" s="19">
        <v>1.0</v>
      </c>
      <c r="P151" s="19">
        <v>0.0</v>
      </c>
      <c r="Q151" s="19">
        <v>0.0</v>
      </c>
      <c r="R151" s="19">
        <v>0.0</v>
      </c>
      <c r="S151" s="19">
        <v>0.0</v>
      </c>
      <c r="T151" s="19">
        <v>0.0</v>
      </c>
      <c r="U151" s="19">
        <v>0.0</v>
      </c>
      <c r="V151" s="19">
        <v>0.0</v>
      </c>
      <c r="W151" s="19">
        <v>0.0</v>
      </c>
      <c r="X151" s="19">
        <v>0.0</v>
      </c>
      <c r="Y151" s="19">
        <v>0.0</v>
      </c>
      <c r="Z151" s="19">
        <v>1.0</v>
      </c>
      <c r="AA151" s="19">
        <v>0.0</v>
      </c>
      <c r="AB151" s="19">
        <v>0.0</v>
      </c>
      <c r="AC151" s="19">
        <v>0.0</v>
      </c>
      <c r="AD151" s="19">
        <v>0.0</v>
      </c>
      <c r="AE151" s="13">
        <f t="shared" si="8"/>
        <v>2</v>
      </c>
      <c r="AF151" s="1"/>
      <c r="AG151" s="1"/>
    </row>
    <row r="152" ht="12.75" customHeight="1">
      <c r="A152" s="18"/>
      <c r="B152" s="49">
        <v>6.0</v>
      </c>
      <c r="C152" s="50" t="s">
        <v>130</v>
      </c>
      <c r="D152" s="51"/>
      <c r="E152" s="19">
        <v>0.0</v>
      </c>
      <c r="F152" s="19">
        <v>0.0</v>
      </c>
      <c r="G152" s="19">
        <v>0.0</v>
      </c>
      <c r="H152" s="19">
        <v>1.0</v>
      </c>
      <c r="I152" s="19">
        <v>1.0</v>
      </c>
      <c r="J152" s="19">
        <v>0.0</v>
      </c>
      <c r="K152" s="19">
        <v>0.0</v>
      </c>
      <c r="L152" s="19">
        <v>0.0</v>
      </c>
      <c r="M152" s="19">
        <v>0.0</v>
      </c>
      <c r="N152" s="19">
        <v>0.0</v>
      </c>
      <c r="O152" s="19">
        <v>2.0</v>
      </c>
      <c r="P152" s="19">
        <v>0.0</v>
      </c>
      <c r="Q152" s="19">
        <v>0.0</v>
      </c>
      <c r="R152" s="19">
        <v>0.0</v>
      </c>
      <c r="S152" s="19">
        <v>0.0</v>
      </c>
      <c r="T152" s="19">
        <v>0.0</v>
      </c>
      <c r="U152" s="19">
        <v>0.0</v>
      </c>
      <c r="V152" s="19">
        <v>0.0</v>
      </c>
      <c r="W152" s="19">
        <v>1.0</v>
      </c>
      <c r="X152" s="19">
        <v>10.0</v>
      </c>
      <c r="Y152" s="19">
        <v>16.0</v>
      </c>
      <c r="Z152" s="19">
        <v>2.0</v>
      </c>
      <c r="AA152" s="19">
        <v>0.0</v>
      </c>
      <c r="AB152" s="19">
        <v>0.0</v>
      </c>
      <c r="AC152" s="19">
        <v>0.0</v>
      </c>
      <c r="AD152" s="19">
        <v>0.0</v>
      </c>
      <c r="AE152" s="13">
        <f t="shared" si="8"/>
        <v>33</v>
      </c>
      <c r="AF152" s="53"/>
      <c r="AG152" s="53"/>
    </row>
    <row r="153" ht="12.75" customHeight="1">
      <c r="A153" s="19" t="s">
        <v>15</v>
      </c>
      <c r="B153" s="47" t="s">
        <v>46</v>
      </c>
      <c r="C153" s="15"/>
      <c r="D153" s="16"/>
      <c r="E153" s="56">
        <f t="shared" ref="E153:AD153" si="22">SUM(E146:E152)</f>
        <v>3</v>
      </c>
      <c r="F153" s="56">
        <f t="shared" si="22"/>
        <v>5</v>
      </c>
      <c r="G153" s="56">
        <f t="shared" si="22"/>
        <v>3</v>
      </c>
      <c r="H153" s="56">
        <f t="shared" si="22"/>
        <v>27</v>
      </c>
      <c r="I153" s="56">
        <f t="shared" si="22"/>
        <v>7</v>
      </c>
      <c r="J153" s="56">
        <f t="shared" si="22"/>
        <v>1</v>
      </c>
      <c r="K153" s="56">
        <f t="shared" si="22"/>
        <v>30</v>
      </c>
      <c r="L153" s="56">
        <f t="shared" si="22"/>
        <v>4</v>
      </c>
      <c r="M153" s="56">
        <f t="shared" si="22"/>
        <v>0</v>
      </c>
      <c r="N153" s="56">
        <f t="shared" si="22"/>
        <v>4</v>
      </c>
      <c r="O153" s="56">
        <f t="shared" si="22"/>
        <v>10</v>
      </c>
      <c r="P153" s="56">
        <f t="shared" si="22"/>
        <v>1</v>
      </c>
      <c r="Q153" s="56">
        <f t="shared" si="22"/>
        <v>3</v>
      </c>
      <c r="R153" s="56">
        <f t="shared" si="22"/>
        <v>0</v>
      </c>
      <c r="S153" s="56">
        <f t="shared" si="22"/>
        <v>2</v>
      </c>
      <c r="T153" s="56">
        <f t="shared" si="22"/>
        <v>8</v>
      </c>
      <c r="U153" s="56">
        <f t="shared" si="22"/>
        <v>35</v>
      </c>
      <c r="V153" s="56">
        <f t="shared" si="22"/>
        <v>13</v>
      </c>
      <c r="W153" s="56">
        <f t="shared" si="22"/>
        <v>9</v>
      </c>
      <c r="X153" s="56">
        <f t="shared" si="22"/>
        <v>14</v>
      </c>
      <c r="Y153" s="56">
        <f t="shared" si="22"/>
        <v>16</v>
      </c>
      <c r="Z153" s="56">
        <f t="shared" si="22"/>
        <v>9</v>
      </c>
      <c r="AA153" s="56">
        <f t="shared" si="22"/>
        <v>9</v>
      </c>
      <c r="AB153" s="56">
        <f t="shared" si="22"/>
        <v>2</v>
      </c>
      <c r="AC153" s="56">
        <f t="shared" si="22"/>
        <v>5</v>
      </c>
      <c r="AD153" s="56">
        <f t="shared" si="22"/>
        <v>3</v>
      </c>
      <c r="AE153" s="13">
        <f t="shared" si="8"/>
        <v>223</v>
      </c>
      <c r="AF153" s="5"/>
      <c r="AG153" s="5"/>
    </row>
    <row r="154" ht="12.75" customHeight="1">
      <c r="A154" s="57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13">
        <f t="shared" si="8"/>
        <v>0</v>
      </c>
      <c r="AF154" s="5"/>
      <c r="AG154" s="5"/>
    </row>
    <row r="155" ht="12.75" customHeight="1">
      <c r="A155" s="30" t="s">
        <v>37</v>
      </c>
      <c r="B155" s="47" t="s">
        <v>131</v>
      </c>
      <c r="C155" s="48" t="s">
        <v>132</v>
      </c>
      <c r="D155" s="16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1.0</v>
      </c>
      <c r="K155" s="19">
        <v>0.0</v>
      </c>
      <c r="L155" s="19">
        <v>0.0</v>
      </c>
      <c r="M155" s="19">
        <v>1.0</v>
      </c>
      <c r="N155" s="19">
        <v>0.0</v>
      </c>
      <c r="O155" s="19">
        <v>2.0</v>
      </c>
      <c r="P155" s="19">
        <v>0.0</v>
      </c>
      <c r="Q155" s="19">
        <v>0.0</v>
      </c>
      <c r="R155" s="19">
        <v>0.0</v>
      </c>
      <c r="S155" s="19">
        <v>0.0</v>
      </c>
      <c r="T155" s="19">
        <v>1.0</v>
      </c>
      <c r="U155" s="19">
        <v>0.0</v>
      </c>
      <c r="V155" s="19">
        <v>0.0</v>
      </c>
      <c r="W155" s="19">
        <v>4.0</v>
      </c>
      <c r="X155" s="19">
        <v>1.0</v>
      </c>
      <c r="Y155" s="19">
        <v>0.0</v>
      </c>
      <c r="Z155" s="19">
        <v>3.0</v>
      </c>
      <c r="AA155" s="19">
        <v>1.0</v>
      </c>
      <c r="AB155" s="19">
        <v>2.0</v>
      </c>
      <c r="AC155" s="19">
        <v>0.0</v>
      </c>
      <c r="AD155" s="19">
        <v>1.0</v>
      </c>
      <c r="AE155" s="13">
        <f t="shared" si="8"/>
        <v>17</v>
      </c>
      <c r="AF155" s="5"/>
      <c r="AG155" s="5"/>
    </row>
    <row r="156" ht="12.75" customHeight="1">
      <c r="A156" s="30" t="s">
        <v>39</v>
      </c>
      <c r="B156" s="49"/>
      <c r="C156" s="50" t="s">
        <v>133</v>
      </c>
      <c r="D156" s="51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3">
        <f t="shared" si="8"/>
        <v>0</v>
      </c>
      <c r="AF156" s="5"/>
      <c r="AG156" s="5"/>
    </row>
    <row r="157" ht="12.75" customHeight="1">
      <c r="A157" s="19" t="s">
        <v>15</v>
      </c>
      <c r="B157" s="47" t="s">
        <v>46</v>
      </c>
      <c r="C157" s="15"/>
      <c r="D157" s="16"/>
      <c r="E157" s="56">
        <f t="shared" ref="E157:AD157" si="23">SUM(E155:E156)</f>
        <v>0</v>
      </c>
      <c r="F157" s="56">
        <f t="shared" si="23"/>
        <v>0</v>
      </c>
      <c r="G157" s="56">
        <f t="shared" si="23"/>
        <v>0</v>
      </c>
      <c r="H157" s="56">
        <f t="shared" si="23"/>
        <v>0</v>
      </c>
      <c r="I157" s="56">
        <f t="shared" si="23"/>
        <v>0</v>
      </c>
      <c r="J157" s="56">
        <f t="shared" si="23"/>
        <v>1</v>
      </c>
      <c r="K157" s="56">
        <f t="shared" si="23"/>
        <v>0</v>
      </c>
      <c r="L157" s="56">
        <f t="shared" si="23"/>
        <v>0</v>
      </c>
      <c r="M157" s="56">
        <f t="shared" si="23"/>
        <v>1</v>
      </c>
      <c r="N157" s="56">
        <f t="shared" si="23"/>
        <v>0</v>
      </c>
      <c r="O157" s="56">
        <f t="shared" si="23"/>
        <v>2</v>
      </c>
      <c r="P157" s="56">
        <f t="shared" si="23"/>
        <v>0</v>
      </c>
      <c r="Q157" s="56">
        <f t="shared" si="23"/>
        <v>0</v>
      </c>
      <c r="R157" s="56">
        <f t="shared" si="23"/>
        <v>0</v>
      </c>
      <c r="S157" s="56">
        <f t="shared" si="23"/>
        <v>0</v>
      </c>
      <c r="T157" s="56">
        <f t="shared" si="23"/>
        <v>1</v>
      </c>
      <c r="U157" s="56">
        <f t="shared" si="23"/>
        <v>0</v>
      </c>
      <c r="V157" s="56">
        <f t="shared" si="23"/>
        <v>0</v>
      </c>
      <c r="W157" s="56">
        <f t="shared" si="23"/>
        <v>4</v>
      </c>
      <c r="X157" s="56">
        <f t="shared" si="23"/>
        <v>1</v>
      </c>
      <c r="Y157" s="56">
        <f t="shared" si="23"/>
        <v>0</v>
      </c>
      <c r="Z157" s="56">
        <f t="shared" si="23"/>
        <v>3</v>
      </c>
      <c r="AA157" s="56">
        <f t="shared" si="23"/>
        <v>1</v>
      </c>
      <c r="AB157" s="56">
        <f t="shared" si="23"/>
        <v>2</v>
      </c>
      <c r="AC157" s="56">
        <f t="shared" si="23"/>
        <v>0</v>
      </c>
      <c r="AD157" s="56">
        <f t="shared" si="23"/>
        <v>1</v>
      </c>
      <c r="AE157" s="13">
        <f t="shared" si="8"/>
        <v>17</v>
      </c>
      <c r="AF157" s="5"/>
      <c r="AG157" s="5"/>
    </row>
    <row r="158" ht="12.75" customHeight="1">
      <c r="A158" s="57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13">
        <f t="shared" si="8"/>
        <v>0</v>
      </c>
      <c r="AF158" s="5"/>
      <c r="AG158" s="5"/>
    </row>
    <row r="159" ht="12.75" customHeight="1">
      <c r="A159" s="30" t="s">
        <v>37</v>
      </c>
      <c r="B159" s="47" t="s">
        <v>134</v>
      </c>
      <c r="C159" s="48" t="s">
        <v>135</v>
      </c>
      <c r="D159" s="16"/>
      <c r="E159" s="19">
        <v>0.0</v>
      </c>
      <c r="F159" s="19">
        <v>0.0</v>
      </c>
      <c r="G159" s="19">
        <v>0.0</v>
      </c>
      <c r="H159" s="19">
        <v>0.0</v>
      </c>
      <c r="I159" s="19">
        <v>0.0</v>
      </c>
      <c r="J159" s="19">
        <v>0.0</v>
      </c>
      <c r="K159" s="19">
        <v>0.0</v>
      </c>
      <c r="L159" s="19">
        <v>0.0</v>
      </c>
      <c r="M159" s="19">
        <v>0.0</v>
      </c>
      <c r="N159" s="19">
        <v>0.0</v>
      </c>
      <c r="O159" s="19">
        <v>1.0</v>
      </c>
      <c r="P159" s="19">
        <v>0.0</v>
      </c>
      <c r="Q159" s="19">
        <v>0.0</v>
      </c>
      <c r="R159" s="19">
        <v>0.0</v>
      </c>
      <c r="S159" s="19">
        <v>0.0</v>
      </c>
      <c r="T159" s="19">
        <v>0.0</v>
      </c>
      <c r="U159" s="19">
        <v>0.0</v>
      </c>
      <c r="V159" s="19">
        <v>0.0</v>
      </c>
      <c r="W159" s="19">
        <v>0.0</v>
      </c>
      <c r="X159" s="19">
        <v>0.0</v>
      </c>
      <c r="Y159" s="19">
        <v>0.0</v>
      </c>
      <c r="Z159" s="19">
        <v>0.0</v>
      </c>
      <c r="AA159" s="19">
        <v>0.0</v>
      </c>
      <c r="AB159" s="19">
        <v>0.0</v>
      </c>
      <c r="AC159" s="19">
        <v>1.0</v>
      </c>
      <c r="AD159" s="19">
        <v>0.0</v>
      </c>
      <c r="AE159" s="13">
        <f t="shared" si="8"/>
        <v>2</v>
      </c>
      <c r="AF159" s="5"/>
      <c r="AG159" s="5"/>
    </row>
    <row r="160" ht="12.75" customHeight="1">
      <c r="A160" s="30"/>
      <c r="B160" s="49">
        <v>1.0</v>
      </c>
      <c r="C160" s="50" t="s">
        <v>136</v>
      </c>
      <c r="D160" s="59"/>
      <c r="E160" s="19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1.0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9">
        <v>0.0</v>
      </c>
      <c r="S160" s="19">
        <v>0.0</v>
      </c>
      <c r="T160" s="19">
        <v>0.0</v>
      </c>
      <c r="U160" s="19">
        <v>0.0</v>
      </c>
      <c r="V160" s="19">
        <v>0.0</v>
      </c>
      <c r="W160" s="19">
        <v>0.0</v>
      </c>
      <c r="X160" s="19">
        <v>0.0</v>
      </c>
      <c r="Y160" s="19">
        <v>0.0</v>
      </c>
      <c r="Z160" s="19">
        <v>0.0</v>
      </c>
      <c r="AA160" s="19">
        <v>0.0</v>
      </c>
      <c r="AB160" s="19">
        <v>0.0</v>
      </c>
      <c r="AC160" s="19">
        <v>0.0</v>
      </c>
      <c r="AD160" s="19">
        <v>0.0</v>
      </c>
      <c r="AE160" s="13">
        <f t="shared" si="8"/>
        <v>1</v>
      </c>
      <c r="AF160" s="5"/>
      <c r="AG160" s="5"/>
    </row>
    <row r="161" ht="12.75" customHeight="1">
      <c r="A161" s="30"/>
      <c r="B161" s="49">
        <v>2.0</v>
      </c>
      <c r="C161" s="50" t="s">
        <v>137</v>
      </c>
      <c r="D161" s="59"/>
      <c r="E161" s="19">
        <v>0.0</v>
      </c>
      <c r="F161" s="19">
        <v>0.0</v>
      </c>
      <c r="G161" s="19">
        <v>0.0</v>
      </c>
      <c r="H161" s="19">
        <v>1.0</v>
      </c>
      <c r="I161" s="19">
        <v>0.0</v>
      </c>
      <c r="J161" s="19">
        <v>0.0</v>
      </c>
      <c r="K161" s="19">
        <v>0.0</v>
      </c>
      <c r="L161" s="19">
        <v>0.0</v>
      </c>
      <c r="M161" s="19">
        <v>0.0</v>
      </c>
      <c r="N161" s="19">
        <v>0.0</v>
      </c>
      <c r="O161" s="19">
        <v>0.0</v>
      </c>
      <c r="P161" s="19">
        <v>0.0</v>
      </c>
      <c r="Q161" s="19">
        <v>0.0</v>
      </c>
      <c r="R161" s="19">
        <v>0.0</v>
      </c>
      <c r="S161" s="19">
        <v>0.0</v>
      </c>
      <c r="T161" s="19">
        <v>0.0</v>
      </c>
      <c r="U161" s="19">
        <v>0.0</v>
      </c>
      <c r="V161" s="19">
        <v>0.0</v>
      </c>
      <c r="W161" s="19">
        <v>0.0</v>
      </c>
      <c r="X161" s="19">
        <v>0.0</v>
      </c>
      <c r="Y161" s="19">
        <v>0.0</v>
      </c>
      <c r="Z161" s="19">
        <v>0.0</v>
      </c>
      <c r="AA161" s="19">
        <v>0.0</v>
      </c>
      <c r="AB161" s="19">
        <v>0.0</v>
      </c>
      <c r="AC161" s="19">
        <v>0.0</v>
      </c>
      <c r="AD161" s="19">
        <v>0.0</v>
      </c>
      <c r="AE161" s="13">
        <f t="shared" si="8"/>
        <v>1</v>
      </c>
      <c r="AF161" s="5"/>
      <c r="AG161" s="5"/>
    </row>
    <row r="162" ht="12.75" customHeight="1">
      <c r="A162" s="30" t="s">
        <v>39</v>
      </c>
      <c r="B162" s="49">
        <v>3.0</v>
      </c>
      <c r="C162" s="50" t="s">
        <v>138</v>
      </c>
      <c r="D162" s="59"/>
      <c r="E162" s="19">
        <v>0.0</v>
      </c>
      <c r="F162" s="19">
        <v>0.0</v>
      </c>
      <c r="G162" s="19">
        <v>1.0</v>
      </c>
      <c r="H162" s="19">
        <v>0.0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1.0</v>
      </c>
      <c r="P162" s="19">
        <v>0.0</v>
      </c>
      <c r="Q162" s="19">
        <v>0.0</v>
      </c>
      <c r="R162" s="19">
        <v>0.0</v>
      </c>
      <c r="S162" s="19">
        <v>0.0</v>
      </c>
      <c r="T162" s="19">
        <v>0.0</v>
      </c>
      <c r="U162" s="19">
        <v>0.0</v>
      </c>
      <c r="V162" s="19">
        <v>0.0</v>
      </c>
      <c r="W162" s="19">
        <v>0.0</v>
      </c>
      <c r="X162" s="19">
        <v>0.0</v>
      </c>
      <c r="Y162" s="19">
        <v>0.0</v>
      </c>
      <c r="Z162" s="19">
        <v>0.0</v>
      </c>
      <c r="AA162" s="19">
        <v>0.0</v>
      </c>
      <c r="AB162" s="19">
        <v>0.0</v>
      </c>
      <c r="AC162" s="19">
        <v>0.0</v>
      </c>
      <c r="AD162" s="19">
        <v>0.0</v>
      </c>
      <c r="AE162" s="13">
        <f t="shared" si="8"/>
        <v>2</v>
      </c>
      <c r="AF162" s="5"/>
      <c r="AG162" s="5"/>
    </row>
    <row r="163" ht="15.0" customHeight="1">
      <c r="A163" s="19" t="s">
        <v>15</v>
      </c>
      <c r="B163" s="47" t="s">
        <v>46</v>
      </c>
      <c r="C163" s="15"/>
      <c r="D163" s="16"/>
      <c r="E163" s="56">
        <f t="shared" ref="E163:AD163" si="24">SUM(E159:E162)</f>
        <v>0</v>
      </c>
      <c r="F163" s="56">
        <f t="shared" si="24"/>
        <v>0</v>
      </c>
      <c r="G163" s="56">
        <f t="shared" si="24"/>
        <v>1</v>
      </c>
      <c r="H163" s="56">
        <f t="shared" si="24"/>
        <v>1</v>
      </c>
      <c r="I163" s="56">
        <f t="shared" si="24"/>
        <v>0</v>
      </c>
      <c r="J163" s="56">
        <f t="shared" si="24"/>
        <v>0</v>
      </c>
      <c r="K163" s="56">
        <f t="shared" si="24"/>
        <v>0</v>
      </c>
      <c r="L163" s="56">
        <f t="shared" si="24"/>
        <v>1</v>
      </c>
      <c r="M163" s="56">
        <f t="shared" si="24"/>
        <v>0</v>
      </c>
      <c r="N163" s="56">
        <f t="shared" si="24"/>
        <v>0</v>
      </c>
      <c r="O163" s="56">
        <f t="shared" si="24"/>
        <v>2</v>
      </c>
      <c r="P163" s="56">
        <f t="shared" si="24"/>
        <v>0</v>
      </c>
      <c r="Q163" s="56">
        <f t="shared" si="24"/>
        <v>0</v>
      </c>
      <c r="R163" s="56">
        <f t="shared" si="24"/>
        <v>0</v>
      </c>
      <c r="S163" s="56">
        <f t="shared" si="24"/>
        <v>0</v>
      </c>
      <c r="T163" s="56">
        <f t="shared" si="24"/>
        <v>0</v>
      </c>
      <c r="U163" s="56">
        <f t="shared" si="24"/>
        <v>0</v>
      </c>
      <c r="V163" s="56">
        <f t="shared" si="24"/>
        <v>0</v>
      </c>
      <c r="W163" s="56">
        <f t="shared" si="24"/>
        <v>0</v>
      </c>
      <c r="X163" s="56">
        <f t="shared" si="24"/>
        <v>0</v>
      </c>
      <c r="Y163" s="56">
        <f t="shared" si="24"/>
        <v>0</v>
      </c>
      <c r="Z163" s="56">
        <f t="shared" si="24"/>
        <v>0</v>
      </c>
      <c r="AA163" s="56">
        <f t="shared" si="24"/>
        <v>0</v>
      </c>
      <c r="AB163" s="56">
        <f t="shared" si="24"/>
        <v>0</v>
      </c>
      <c r="AC163" s="56">
        <f t="shared" si="24"/>
        <v>1</v>
      </c>
      <c r="AD163" s="56">
        <f t="shared" si="24"/>
        <v>0</v>
      </c>
      <c r="AE163" s="13">
        <f t="shared" si="8"/>
        <v>6</v>
      </c>
      <c r="AF163" s="5"/>
      <c r="AG163" s="5"/>
    </row>
    <row r="164" ht="12.75" customHeight="1">
      <c r="A164" s="57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13">
        <f t="shared" si="8"/>
        <v>0</v>
      </c>
      <c r="AF164" s="5"/>
      <c r="AG164" s="5"/>
    </row>
    <row r="165" ht="12.75" customHeight="1">
      <c r="A165" s="30" t="s">
        <v>37</v>
      </c>
      <c r="B165" s="47" t="s">
        <v>139</v>
      </c>
      <c r="C165" s="48" t="s">
        <v>140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3.0</v>
      </c>
      <c r="J165" s="19">
        <v>0.0</v>
      </c>
      <c r="K165" s="19">
        <v>2.0</v>
      </c>
      <c r="L165" s="19">
        <v>0.0</v>
      </c>
      <c r="M165" s="19">
        <v>4.0</v>
      </c>
      <c r="N165" s="19">
        <v>1.0</v>
      </c>
      <c r="O165" s="19">
        <v>4.0</v>
      </c>
      <c r="P165" s="19">
        <v>0.0</v>
      </c>
      <c r="Q165" s="19">
        <v>0.0</v>
      </c>
      <c r="R165" s="19">
        <v>0.0</v>
      </c>
      <c r="S165" s="19">
        <v>1.0</v>
      </c>
      <c r="T165" s="19">
        <v>0.0</v>
      </c>
      <c r="U165" s="19">
        <v>0.0</v>
      </c>
      <c r="V165" s="19">
        <v>0.0</v>
      </c>
      <c r="W165" s="19">
        <v>1.0</v>
      </c>
      <c r="X165" s="19">
        <v>0.0</v>
      </c>
      <c r="Y165" s="19">
        <v>0.0</v>
      </c>
      <c r="Z165" s="19">
        <v>1.0</v>
      </c>
      <c r="AA165" s="19">
        <v>2.0</v>
      </c>
      <c r="AB165" s="19">
        <v>0.0</v>
      </c>
      <c r="AC165" s="19">
        <v>0.0</v>
      </c>
      <c r="AD165" s="19">
        <v>0.0</v>
      </c>
      <c r="AE165" s="13">
        <f t="shared" si="8"/>
        <v>19</v>
      </c>
      <c r="AF165" s="1"/>
      <c r="AG165" s="1"/>
    </row>
    <row r="166" ht="12.75" customHeight="1">
      <c r="A166" s="30" t="s">
        <v>39</v>
      </c>
      <c r="B166" s="49">
        <v>1.0</v>
      </c>
      <c r="C166" s="50" t="s">
        <v>141</v>
      </c>
      <c r="D166" s="51"/>
      <c r="E166" s="19">
        <v>0.0</v>
      </c>
      <c r="F166" s="19">
        <v>0.0</v>
      </c>
      <c r="G166" s="19">
        <v>0.0</v>
      </c>
      <c r="H166" s="19">
        <v>0.0</v>
      </c>
      <c r="I166" s="19">
        <v>1.0</v>
      </c>
      <c r="J166" s="19">
        <v>9.0</v>
      </c>
      <c r="K166" s="19">
        <v>0.0</v>
      </c>
      <c r="L166" s="19">
        <v>13.0</v>
      </c>
      <c r="M166" s="19">
        <v>2.0</v>
      </c>
      <c r="N166" s="19">
        <v>2.0</v>
      </c>
      <c r="O166" s="19">
        <v>0.0</v>
      </c>
      <c r="P166" s="19">
        <v>0.0</v>
      </c>
      <c r="Q166" s="19">
        <v>0.0</v>
      </c>
      <c r="R166" s="19">
        <v>0.0</v>
      </c>
      <c r="S166" s="19">
        <v>1.0</v>
      </c>
      <c r="T166" s="19">
        <v>0.0</v>
      </c>
      <c r="U166" s="19">
        <v>2.0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1.0</v>
      </c>
      <c r="AB166" s="19">
        <v>3.0</v>
      </c>
      <c r="AC166" s="19">
        <v>0.0</v>
      </c>
      <c r="AD166" s="19">
        <v>0.0</v>
      </c>
      <c r="AE166" s="13">
        <f t="shared" si="8"/>
        <v>34</v>
      </c>
      <c r="AF166" s="53"/>
      <c r="AG166" s="53"/>
    </row>
    <row r="167" ht="12.75" customHeight="1">
      <c r="A167" s="18"/>
      <c r="B167" s="49">
        <v>2.0</v>
      </c>
      <c r="C167" s="50" t="s">
        <v>142</v>
      </c>
      <c r="D167" s="51"/>
      <c r="E167" s="19">
        <v>3.0</v>
      </c>
      <c r="F167" s="19">
        <v>0.0</v>
      </c>
      <c r="G167" s="19">
        <v>3.0</v>
      </c>
      <c r="H167" s="19">
        <v>3.0</v>
      </c>
      <c r="I167" s="19">
        <v>27.0</v>
      </c>
      <c r="J167" s="19">
        <v>0.0</v>
      </c>
      <c r="K167" s="19">
        <v>22.0</v>
      </c>
      <c r="L167" s="19">
        <v>6.0</v>
      </c>
      <c r="M167" s="19">
        <v>53.0</v>
      </c>
      <c r="N167" s="19">
        <v>27.0</v>
      </c>
      <c r="O167" s="19">
        <v>17.0</v>
      </c>
      <c r="P167" s="19">
        <v>0.0</v>
      </c>
      <c r="Q167" s="19">
        <v>1.0</v>
      </c>
      <c r="R167" s="19">
        <v>0.0</v>
      </c>
      <c r="S167" s="19">
        <v>5.0</v>
      </c>
      <c r="T167" s="19">
        <v>13.0</v>
      </c>
      <c r="U167" s="19">
        <v>10.0</v>
      </c>
      <c r="V167" s="19">
        <v>32.0</v>
      </c>
      <c r="W167" s="19">
        <v>39.0</v>
      </c>
      <c r="X167" s="19">
        <v>0.0</v>
      </c>
      <c r="Y167" s="19">
        <v>2.0</v>
      </c>
      <c r="Z167" s="19">
        <v>0.0</v>
      </c>
      <c r="AA167" s="19">
        <v>4.0</v>
      </c>
      <c r="AB167" s="19">
        <v>3.0</v>
      </c>
      <c r="AC167" s="19">
        <v>0.0</v>
      </c>
      <c r="AD167" s="19">
        <v>0.0</v>
      </c>
      <c r="AE167" s="13">
        <f t="shared" si="8"/>
        <v>270</v>
      </c>
      <c r="AF167" s="5"/>
      <c r="AG167" s="5"/>
    </row>
    <row r="168" ht="12.75" customHeight="1">
      <c r="A168" s="18"/>
      <c r="B168" s="49">
        <v>3.0</v>
      </c>
      <c r="C168" s="50" t="s">
        <v>143</v>
      </c>
      <c r="D168" s="51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1.0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1.0</v>
      </c>
      <c r="AE168" s="13">
        <f t="shared" si="8"/>
        <v>2</v>
      </c>
      <c r="AF168" s="5"/>
      <c r="AG168" s="5"/>
    </row>
    <row r="169" ht="12.75" customHeight="1">
      <c r="A169" s="18"/>
      <c r="B169" s="49">
        <v>4.0</v>
      </c>
      <c r="C169" s="50" t="s">
        <v>144</v>
      </c>
      <c r="D169" s="51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1.0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1.0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3">
        <f t="shared" si="8"/>
        <v>2</v>
      </c>
      <c r="AF169" s="5"/>
      <c r="AG169" s="5"/>
    </row>
    <row r="170" ht="12.75" customHeight="1">
      <c r="A170" s="18"/>
      <c r="B170" s="49">
        <v>5.0</v>
      </c>
      <c r="C170" s="50" t="s">
        <v>145</v>
      </c>
      <c r="D170" s="51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3">
        <f t="shared" si="8"/>
        <v>0</v>
      </c>
      <c r="AF170" s="5"/>
      <c r="AG170" s="5"/>
    </row>
    <row r="171" ht="12.75" customHeight="1">
      <c r="A171" s="18"/>
      <c r="B171" s="49">
        <v>6.0</v>
      </c>
      <c r="C171" s="50" t="s">
        <v>146</v>
      </c>
      <c r="D171" s="51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1.0</v>
      </c>
      <c r="AB171" s="19">
        <v>0.0</v>
      </c>
      <c r="AC171" s="19">
        <v>0.0</v>
      </c>
      <c r="AD171" s="19">
        <v>0.0</v>
      </c>
      <c r="AE171" s="13">
        <f t="shared" si="8"/>
        <v>1</v>
      </c>
      <c r="AF171" s="5"/>
      <c r="AG171" s="5"/>
    </row>
    <row r="172" ht="12.75" customHeight="1">
      <c r="A172" s="19" t="s">
        <v>15</v>
      </c>
      <c r="B172" s="47" t="s">
        <v>46</v>
      </c>
      <c r="C172" s="15"/>
      <c r="D172" s="16"/>
      <c r="E172" s="56">
        <f t="shared" ref="E172:AD172" si="25">SUM(E165:E171)</f>
        <v>3</v>
      </c>
      <c r="F172" s="56">
        <f t="shared" si="25"/>
        <v>0</v>
      </c>
      <c r="G172" s="56">
        <f t="shared" si="25"/>
        <v>3</v>
      </c>
      <c r="H172" s="56">
        <f t="shared" si="25"/>
        <v>3</v>
      </c>
      <c r="I172" s="56">
        <f t="shared" si="25"/>
        <v>31</v>
      </c>
      <c r="J172" s="56">
        <f t="shared" si="25"/>
        <v>9</v>
      </c>
      <c r="K172" s="56">
        <f t="shared" si="25"/>
        <v>25</v>
      </c>
      <c r="L172" s="56">
        <f t="shared" si="25"/>
        <v>19</v>
      </c>
      <c r="M172" s="56">
        <f t="shared" si="25"/>
        <v>59</v>
      </c>
      <c r="N172" s="56">
        <f t="shared" si="25"/>
        <v>30</v>
      </c>
      <c r="O172" s="56">
        <f t="shared" si="25"/>
        <v>21</v>
      </c>
      <c r="P172" s="56">
        <f t="shared" si="25"/>
        <v>0</v>
      </c>
      <c r="Q172" s="56">
        <f t="shared" si="25"/>
        <v>1</v>
      </c>
      <c r="R172" s="56">
        <f t="shared" si="25"/>
        <v>0</v>
      </c>
      <c r="S172" s="56">
        <f t="shared" si="25"/>
        <v>7</v>
      </c>
      <c r="T172" s="56">
        <f t="shared" si="25"/>
        <v>13</v>
      </c>
      <c r="U172" s="56">
        <f t="shared" si="25"/>
        <v>12</v>
      </c>
      <c r="V172" s="56">
        <f t="shared" si="25"/>
        <v>33</v>
      </c>
      <c r="W172" s="56">
        <f t="shared" si="25"/>
        <v>41</v>
      </c>
      <c r="X172" s="56">
        <f t="shared" si="25"/>
        <v>0</v>
      </c>
      <c r="Y172" s="56">
        <f t="shared" si="25"/>
        <v>2</v>
      </c>
      <c r="Z172" s="56">
        <f t="shared" si="25"/>
        <v>1</v>
      </c>
      <c r="AA172" s="56">
        <f t="shared" si="25"/>
        <v>8</v>
      </c>
      <c r="AB172" s="56">
        <f t="shared" si="25"/>
        <v>6</v>
      </c>
      <c r="AC172" s="56">
        <f t="shared" si="25"/>
        <v>0</v>
      </c>
      <c r="AD172" s="56">
        <f t="shared" si="25"/>
        <v>1</v>
      </c>
      <c r="AE172" s="13">
        <f t="shared" si="8"/>
        <v>328</v>
      </c>
      <c r="AF172" s="5"/>
      <c r="AG172" s="5"/>
    </row>
    <row r="173" ht="12.75" customHeight="1">
      <c r="A173" s="57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13">
        <f t="shared" si="8"/>
        <v>0</v>
      </c>
      <c r="AF173" s="5"/>
      <c r="AG173" s="5"/>
    </row>
    <row r="174" ht="12.75" customHeight="1">
      <c r="A174" s="30" t="s">
        <v>37</v>
      </c>
      <c r="B174" s="47" t="s">
        <v>147</v>
      </c>
      <c r="C174" s="48" t="s">
        <v>148</v>
      </c>
      <c r="D174" s="16"/>
      <c r="E174" s="19">
        <v>0.0</v>
      </c>
      <c r="F174" s="19">
        <v>0.0</v>
      </c>
      <c r="G174" s="19">
        <v>0.0</v>
      </c>
      <c r="H174" s="19">
        <v>0.0</v>
      </c>
      <c r="I174" s="19">
        <v>0.0</v>
      </c>
      <c r="J174" s="19">
        <v>0.0</v>
      </c>
      <c r="K174" s="19">
        <v>0.0</v>
      </c>
      <c r="L174" s="19">
        <v>0.0</v>
      </c>
      <c r="M174" s="19">
        <v>0.0</v>
      </c>
      <c r="N174" s="19">
        <v>1.0</v>
      </c>
      <c r="O174" s="19">
        <v>0.0</v>
      </c>
      <c r="P174" s="19">
        <v>0.0</v>
      </c>
      <c r="Q174" s="19">
        <v>1.0</v>
      </c>
      <c r="R174" s="19">
        <v>0.0</v>
      </c>
      <c r="S174" s="19">
        <v>0.0</v>
      </c>
      <c r="T174" s="19">
        <v>0.0</v>
      </c>
      <c r="U174" s="19">
        <v>0.0</v>
      </c>
      <c r="V174" s="19">
        <v>1.0</v>
      </c>
      <c r="W174" s="19">
        <v>0.0</v>
      </c>
      <c r="X174" s="19">
        <v>0.0</v>
      </c>
      <c r="Y174" s="19">
        <v>0.0</v>
      </c>
      <c r="Z174" s="19">
        <v>0.0</v>
      </c>
      <c r="AA174" s="19">
        <v>1.0</v>
      </c>
      <c r="AB174" s="19">
        <v>0.0</v>
      </c>
      <c r="AC174" s="19">
        <v>0.0</v>
      </c>
      <c r="AD174" s="19">
        <v>1.0</v>
      </c>
      <c r="AE174" s="13">
        <f t="shared" si="8"/>
        <v>5</v>
      </c>
      <c r="AF174" s="5"/>
      <c r="AG174" s="5"/>
    </row>
    <row r="175" ht="15.0" customHeight="1">
      <c r="A175" s="30"/>
      <c r="B175" s="49">
        <v>1.0</v>
      </c>
      <c r="C175" s="50" t="s">
        <v>149</v>
      </c>
      <c r="D175" s="59"/>
      <c r="E175" s="19">
        <v>1.0</v>
      </c>
      <c r="F175" s="19">
        <v>0.0</v>
      </c>
      <c r="G175" s="19">
        <v>1.0</v>
      </c>
      <c r="H175" s="19">
        <v>0.0</v>
      </c>
      <c r="I175" s="19">
        <v>0.0</v>
      </c>
      <c r="J175" s="19">
        <v>0.0</v>
      </c>
      <c r="K175" s="19">
        <v>0.0</v>
      </c>
      <c r="L175" s="19">
        <v>0.0</v>
      </c>
      <c r="M175" s="19">
        <v>0.0</v>
      </c>
      <c r="N175" s="19">
        <v>0.0</v>
      </c>
      <c r="O175" s="19">
        <v>0.0</v>
      </c>
      <c r="P175" s="19">
        <v>0.0</v>
      </c>
      <c r="Q175" s="19">
        <v>0.0</v>
      </c>
      <c r="R175" s="19">
        <v>0.0</v>
      </c>
      <c r="S175" s="19">
        <v>1.0</v>
      </c>
      <c r="T175" s="19">
        <v>0.0</v>
      </c>
      <c r="U175" s="19">
        <v>0.0</v>
      </c>
      <c r="V175" s="19">
        <v>0.0</v>
      </c>
      <c r="W175" s="19">
        <v>0.0</v>
      </c>
      <c r="X175" s="19">
        <v>0.0</v>
      </c>
      <c r="Y175" s="19">
        <v>0.0</v>
      </c>
      <c r="Z175" s="19">
        <v>0.0</v>
      </c>
      <c r="AA175" s="19">
        <v>0.0</v>
      </c>
      <c r="AB175" s="19">
        <v>0.0</v>
      </c>
      <c r="AC175" s="19">
        <v>0.0</v>
      </c>
      <c r="AD175" s="19">
        <v>2.0</v>
      </c>
      <c r="AE175" s="13">
        <f t="shared" si="8"/>
        <v>5</v>
      </c>
      <c r="AF175" s="5"/>
      <c r="AG175" s="5"/>
    </row>
    <row r="176" ht="12.75" customHeight="1">
      <c r="A176" s="30" t="s">
        <v>39</v>
      </c>
      <c r="B176" s="49">
        <v>2.0</v>
      </c>
      <c r="C176" s="50" t="s">
        <v>150</v>
      </c>
      <c r="D176" s="51"/>
      <c r="E176" s="19">
        <v>0.0</v>
      </c>
      <c r="F176" s="19">
        <v>0.0</v>
      </c>
      <c r="G176" s="19">
        <v>0.0</v>
      </c>
      <c r="H176" s="19">
        <v>0.0</v>
      </c>
      <c r="I176" s="19">
        <v>0.0</v>
      </c>
      <c r="J176" s="19">
        <v>0.0</v>
      </c>
      <c r="K176" s="19">
        <v>0.0</v>
      </c>
      <c r="L176" s="19">
        <v>0.0</v>
      </c>
      <c r="M176" s="19">
        <v>0.0</v>
      </c>
      <c r="N176" s="19">
        <v>0.0</v>
      </c>
      <c r="O176" s="19">
        <v>0.0</v>
      </c>
      <c r="P176" s="19">
        <v>0.0</v>
      </c>
      <c r="Q176" s="19">
        <v>0.0</v>
      </c>
      <c r="R176" s="19">
        <v>0.0</v>
      </c>
      <c r="S176" s="19">
        <v>0.0</v>
      </c>
      <c r="T176" s="19">
        <v>0.0</v>
      </c>
      <c r="U176" s="19">
        <v>0.0</v>
      </c>
      <c r="V176" s="19">
        <v>0.0</v>
      </c>
      <c r="W176" s="19">
        <v>0.0</v>
      </c>
      <c r="X176" s="19">
        <v>0.0</v>
      </c>
      <c r="Y176" s="19">
        <v>0.0</v>
      </c>
      <c r="Z176" s="19">
        <v>0.0</v>
      </c>
      <c r="AA176" s="19">
        <v>0.0</v>
      </c>
      <c r="AB176" s="19">
        <v>0.0</v>
      </c>
      <c r="AC176" s="19">
        <v>0.0</v>
      </c>
      <c r="AD176" s="19">
        <v>0.0</v>
      </c>
      <c r="AE176" s="13">
        <f t="shared" si="8"/>
        <v>0</v>
      </c>
      <c r="AF176" s="1"/>
      <c r="AG176" s="1"/>
    </row>
    <row r="177" ht="12.75" customHeight="1">
      <c r="A177" s="19" t="s">
        <v>15</v>
      </c>
      <c r="B177" s="47" t="s">
        <v>46</v>
      </c>
      <c r="C177" s="15"/>
      <c r="D177" s="16"/>
      <c r="E177" s="56">
        <f t="shared" ref="E177:AD177" si="26">SUM(E174:E176)</f>
        <v>1</v>
      </c>
      <c r="F177" s="56">
        <f t="shared" si="26"/>
        <v>0</v>
      </c>
      <c r="G177" s="56">
        <f t="shared" si="26"/>
        <v>1</v>
      </c>
      <c r="H177" s="56">
        <f t="shared" si="26"/>
        <v>0</v>
      </c>
      <c r="I177" s="56">
        <f t="shared" si="26"/>
        <v>0</v>
      </c>
      <c r="J177" s="56">
        <f t="shared" si="26"/>
        <v>0</v>
      </c>
      <c r="K177" s="56">
        <f t="shared" si="26"/>
        <v>0</v>
      </c>
      <c r="L177" s="56">
        <f t="shared" si="26"/>
        <v>0</v>
      </c>
      <c r="M177" s="56">
        <f t="shared" si="26"/>
        <v>0</v>
      </c>
      <c r="N177" s="56">
        <f t="shared" si="26"/>
        <v>1</v>
      </c>
      <c r="O177" s="56">
        <f t="shared" si="26"/>
        <v>0</v>
      </c>
      <c r="P177" s="56">
        <f t="shared" si="26"/>
        <v>0</v>
      </c>
      <c r="Q177" s="56">
        <f t="shared" si="26"/>
        <v>1</v>
      </c>
      <c r="R177" s="56">
        <f t="shared" si="26"/>
        <v>0</v>
      </c>
      <c r="S177" s="56">
        <f t="shared" si="26"/>
        <v>1</v>
      </c>
      <c r="T177" s="56">
        <f t="shared" si="26"/>
        <v>0</v>
      </c>
      <c r="U177" s="56">
        <f t="shared" si="26"/>
        <v>0</v>
      </c>
      <c r="V177" s="56">
        <f t="shared" si="26"/>
        <v>1</v>
      </c>
      <c r="W177" s="56">
        <f t="shared" si="26"/>
        <v>0</v>
      </c>
      <c r="X177" s="56">
        <f t="shared" si="26"/>
        <v>0</v>
      </c>
      <c r="Y177" s="56">
        <f t="shared" si="26"/>
        <v>0</v>
      </c>
      <c r="Z177" s="56">
        <f t="shared" si="26"/>
        <v>0</v>
      </c>
      <c r="AA177" s="56">
        <f t="shared" si="26"/>
        <v>1</v>
      </c>
      <c r="AB177" s="56">
        <f t="shared" si="26"/>
        <v>0</v>
      </c>
      <c r="AC177" s="56">
        <f t="shared" si="26"/>
        <v>0</v>
      </c>
      <c r="AD177" s="56">
        <f t="shared" si="26"/>
        <v>3</v>
      </c>
      <c r="AE177" s="13">
        <f t="shared" si="8"/>
        <v>10</v>
      </c>
    </row>
    <row r="178" ht="12.75" customHeight="1">
      <c r="A178" s="45"/>
      <c r="B178" s="44"/>
      <c r="C178" s="44"/>
      <c r="D178" s="28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13">
        <f t="shared" si="8"/>
        <v>0</v>
      </c>
      <c r="AF178" s="5"/>
      <c r="AG178" s="5"/>
    </row>
    <row r="179" ht="12.75" customHeight="1">
      <c r="A179" s="42" t="s">
        <v>151</v>
      </c>
      <c r="B179" s="14" t="s">
        <v>152</v>
      </c>
      <c r="C179" s="15"/>
      <c r="D179" s="16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13">
        <f t="shared" si="8"/>
        <v>0</v>
      </c>
      <c r="AF179" s="5"/>
      <c r="AG179" s="5"/>
    </row>
    <row r="180" ht="12.75" customHeight="1">
      <c r="A180" s="42"/>
      <c r="B180" s="60" t="s">
        <v>153</v>
      </c>
      <c r="C180" s="61" t="s">
        <v>154</v>
      </c>
      <c r="D180" s="16"/>
      <c r="E180" s="19">
        <f t="shared" ref="E180:AD180" si="27">E177+E172+E163+E157+E153+E144+E135+E128+E124+E115+E108+E99+E94+E88+E79+E70+E61+E52</f>
        <v>203</v>
      </c>
      <c r="F180" s="19">
        <f t="shared" si="27"/>
        <v>210</v>
      </c>
      <c r="G180" s="19">
        <f t="shared" si="27"/>
        <v>233</v>
      </c>
      <c r="H180" s="19">
        <f t="shared" si="27"/>
        <v>185</v>
      </c>
      <c r="I180" s="19">
        <f t="shared" si="27"/>
        <v>209</v>
      </c>
      <c r="J180" s="19">
        <f t="shared" si="27"/>
        <v>164</v>
      </c>
      <c r="K180" s="19">
        <f t="shared" si="27"/>
        <v>232</v>
      </c>
      <c r="L180" s="19">
        <f t="shared" si="27"/>
        <v>191</v>
      </c>
      <c r="M180" s="19">
        <f t="shared" si="27"/>
        <v>201</v>
      </c>
      <c r="N180" s="19">
        <f t="shared" si="27"/>
        <v>182</v>
      </c>
      <c r="O180" s="19">
        <f t="shared" si="27"/>
        <v>185</v>
      </c>
      <c r="P180" s="19">
        <f t="shared" si="27"/>
        <v>205</v>
      </c>
      <c r="Q180" s="19">
        <f t="shared" si="27"/>
        <v>236</v>
      </c>
      <c r="R180" s="19">
        <f t="shared" si="27"/>
        <v>223</v>
      </c>
      <c r="S180" s="19">
        <f t="shared" si="27"/>
        <v>205</v>
      </c>
      <c r="T180" s="19">
        <f t="shared" si="27"/>
        <v>193</v>
      </c>
      <c r="U180" s="19">
        <f t="shared" si="27"/>
        <v>208</v>
      </c>
      <c r="V180" s="19">
        <f t="shared" si="27"/>
        <v>227</v>
      </c>
      <c r="W180" s="19">
        <f t="shared" si="27"/>
        <v>177</v>
      </c>
      <c r="X180" s="19">
        <f t="shared" si="27"/>
        <v>216</v>
      </c>
      <c r="Y180" s="19">
        <f t="shared" si="27"/>
        <v>208</v>
      </c>
      <c r="Z180" s="19">
        <f t="shared" si="27"/>
        <v>208</v>
      </c>
      <c r="AA180" s="19">
        <f t="shared" si="27"/>
        <v>180</v>
      </c>
      <c r="AB180" s="19">
        <f t="shared" si="27"/>
        <v>168</v>
      </c>
      <c r="AC180" s="19">
        <f t="shared" si="27"/>
        <v>207</v>
      </c>
      <c r="AD180" s="19">
        <f t="shared" si="27"/>
        <v>176</v>
      </c>
      <c r="AE180" s="13">
        <f t="shared" si="8"/>
        <v>5232</v>
      </c>
      <c r="AF180" s="5"/>
      <c r="AG180" s="5"/>
    </row>
    <row r="181" ht="12.75" customHeight="1">
      <c r="A181" s="35"/>
      <c r="B181" s="60" t="s">
        <v>155</v>
      </c>
      <c r="C181" s="61" t="s">
        <v>156</v>
      </c>
      <c r="D181" s="16"/>
      <c r="E181" s="19">
        <v>7.0</v>
      </c>
      <c r="F181" s="19">
        <v>4.0</v>
      </c>
      <c r="G181" s="19">
        <v>3.0</v>
      </c>
      <c r="H181" s="19">
        <v>7.0</v>
      </c>
      <c r="I181" s="19">
        <v>2.0</v>
      </c>
      <c r="J181" s="19">
        <v>2.0</v>
      </c>
      <c r="K181" s="19">
        <v>5.0</v>
      </c>
      <c r="L181" s="19">
        <v>5.0</v>
      </c>
      <c r="M181" s="19">
        <v>4.0</v>
      </c>
      <c r="N181" s="19">
        <v>8.0</v>
      </c>
      <c r="O181" s="19">
        <v>11.0</v>
      </c>
      <c r="P181" s="19">
        <v>7.0</v>
      </c>
      <c r="Q181" s="19">
        <v>4.0</v>
      </c>
      <c r="R181" s="19">
        <v>13.0</v>
      </c>
      <c r="S181" s="19">
        <v>4.0</v>
      </c>
      <c r="T181" s="19">
        <v>16.0</v>
      </c>
      <c r="U181" s="19">
        <v>14.0</v>
      </c>
      <c r="V181" s="19">
        <v>9.0</v>
      </c>
      <c r="W181" s="19">
        <v>11.0</v>
      </c>
      <c r="X181" s="19">
        <v>3.0</v>
      </c>
      <c r="Y181" s="19">
        <v>7.0</v>
      </c>
      <c r="Z181" s="19">
        <v>5.0</v>
      </c>
      <c r="AA181" s="19">
        <v>8.0</v>
      </c>
      <c r="AB181" s="19">
        <v>7.0</v>
      </c>
      <c r="AC181" s="19">
        <v>13.0</v>
      </c>
      <c r="AD181" s="19">
        <v>5.0</v>
      </c>
      <c r="AE181" s="13">
        <f t="shared" si="8"/>
        <v>184</v>
      </c>
      <c r="AF181" s="5"/>
      <c r="AG181" s="5"/>
    </row>
    <row r="182" ht="12.75" customHeight="1">
      <c r="A182" s="41"/>
      <c r="B182" s="60" t="s">
        <v>157</v>
      </c>
      <c r="C182" s="61" t="s">
        <v>158</v>
      </c>
      <c r="D182" s="16"/>
      <c r="E182" s="29">
        <f t="shared" ref="E182:AD182" si="28">SUM(E180:E181)</f>
        <v>210</v>
      </c>
      <c r="F182" s="29">
        <f t="shared" si="28"/>
        <v>214</v>
      </c>
      <c r="G182" s="29">
        <f t="shared" si="28"/>
        <v>236</v>
      </c>
      <c r="H182" s="29">
        <f t="shared" si="28"/>
        <v>192</v>
      </c>
      <c r="I182" s="29">
        <f t="shared" si="28"/>
        <v>211</v>
      </c>
      <c r="J182" s="29">
        <f t="shared" si="28"/>
        <v>166</v>
      </c>
      <c r="K182" s="29">
        <f t="shared" si="28"/>
        <v>237</v>
      </c>
      <c r="L182" s="29">
        <f t="shared" si="28"/>
        <v>196</v>
      </c>
      <c r="M182" s="29">
        <f t="shared" si="28"/>
        <v>205</v>
      </c>
      <c r="N182" s="29">
        <f t="shared" si="28"/>
        <v>190</v>
      </c>
      <c r="O182" s="29">
        <f t="shared" si="28"/>
        <v>196</v>
      </c>
      <c r="P182" s="29">
        <f t="shared" si="28"/>
        <v>212</v>
      </c>
      <c r="Q182" s="29">
        <f t="shared" si="28"/>
        <v>240</v>
      </c>
      <c r="R182" s="29">
        <f t="shared" si="28"/>
        <v>236</v>
      </c>
      <c r="S182" s="29">
        <f t="shared" si="28"/>
        <v>209</v>
      </c>
      <c r="T182" s="29">
        <f t="shared" si="28"/>
        <v>209</v>
      </c>
      <c r="U182" s="29">
        <f t="shared" si="28"/>
        <v>222</v>
      </c>
      <c r="V182" s="29">
        <f t="shared" si="28"/>
        <v>236</v>
      </c>
      <c r="W182" s="29">
        <f t="shared" si="28"/>
        <v>188</v>
      </c>
      <c r="X182" s="29">
        <f t="shared" si="28"/>
        <v>219</v>
      </c>
      <c r="Y182" s="29">
        <f t="shared" si="28"/>
        <v>215</v>
      </c>
      <c r="Z182" s="29">
        <f t="shared" si="28"/>
        <v>213</v>
      </c>
      <c r="AA182" s="29">
        <f t="shared" si="28"/>
        <v>188</v>
      </c>
      <c r="AB182" s="29">
        <f t="shared" si="28"/>
        <v>175</v>
      </c>
      <c r="AC182" s="29">
        <f t="shared" si="28"/>
        <v>220</v>
      </c>
      <c r="AD182" s="29">
        <f t="shared" si="28"/>
        <v>181</v>
      </c>
      <c r="AE182" s="13">
        <f t="shared" si="8"/>
        <v>5416</v>
      </c>
      <c r="AF182" s="5"/>
      <c r="AG182" s="5"/>
    </row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0">
    <mergeCell ref="B108:D108"/>
    <mergeCell ref="C110:D110"/>
    <mergeCell ref="B115:D115"/>
    <mergeCell ref="C117:D117"/>
    <mergeCell ref="B124:D124"/>
    <mergeCell ref="C126:D126"/>
    <mergeCell ref="B128:D128"/>
    <mergeCell ref="C130:D130"/>
    <mergeCell ref="B135:D135"/>
    <mergeCell ref="C137:D137"/>
    <mergeCell ref="B144:D144"/>
    <mergeCell ref="C146:D146"/>
    <mergeCell ref="B153:D153"/>
    <mergeCell ref="C155:D155"/>
    <mergeCell ref="A178:D178"/>
    <mergeCell ref="B179:D179"/>
    <mergeCell ref="C180:D180"/>
    <mergeCell ref="C181:D181"/>
    <mergeCell ref="C182:D182"/>
    <mergeCell ref="B157:D157"/>
    <mergeCell ref="C159:D159"/>
    <mergeCell ref="B163:D163"/>
    <mergeCell ref="C165:D165"/>
    <mergeCell ref="B172:D172"/>
    <mergeCell ref="C174:D174"/>
    <mergeCell ref="B177:D177"/>
    <mergeCell ref="B12:D12"/>
    <mergeCell ref="E12:AD12"/>
    <mergeCell ref="AE12:AE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4:D94"/>
    <mergeCell ref="C96:D96"/>
    <mergeCell ref="B99:D99"/>
    <mergeCell ref="C101:D101"/>
  </mergeCells>
  <conditionalFormatting sqref="E34:T34">
    <cfRule type="expression" dxfId="0" priority="1">
      <formula>E34&lt;&gt;E64</formula>
    </cfRule>
  </conditionalFormatting>
  <conditionalFormatting sqref="E14:AD15">
    <cfRule type="containsBlanks" dxfId="1" priority="2">
      <formula>LEN(TRIM(E14))=0</formula>
    </cfRule>
  </conditionalFormatting>
  <conditionalFormatting sqref="E19:AD20">
    <cfRule type="containsBlanks" dxfId="1" priority="3">
      <formula>LEN(TRIM(E19))=0</formula>
    </cfRule>
  </conditionalFormatting>
  <conditionalFormatting sqref="E22:AD23 E25:AD26 E33:AD33 E35:AD35 E39:AD40">
    <cfRule type="containsBlanks" dxfId="1" priority="4">
      <formula>LEN(TRIM(E22))=0</formula>
    </cfRule>
  </conditionalFormatting>
  <conditionalFormatting sqref="E30:AD30">
    <cfRule type="expression" dxfId="0" priority="5">
      <formula>E30&lt;&gt;E47</formula>
    </cfRule>
  </conditionalFormatting>
  <conditionalFormatting sqref="E30:AD30">
    <cfRule type="expression" dxfId="0" priority="6">
      <formula>E30&lt;&gt;E34</formula>
    </cfRule>
  </conditionalFormatting>
  <conditionalFormatting sqref="E34:AD34">
    <cfRule type="expression" dxfId="2" priority="7">
      <formula>E30&lt;&gt;E34</formula>
    </cfRule>
  </conditionalFormatting>
  <conditionalFormatting sqref="E34:AD34">
    <cfRule type="expression" dxfId="3" priority="8">
      <formula>E30=E34</formula>
    </cfRule>
  </conditionalFormatting>
  <conditionalFormatting sqref="E34:AD34">
    <cfRule type="expression" dxfId="0" priority="9">
      <formula>E34&lt;&gt;E30</formula>
    </cfRule>
  </conditionalFormatting>
  <conditionalFormatting sqref="E45:AD51">
    <cfRule type="containsBlanks" dxfId="1" priority="10">
      <formula>LEN(TRIM(E45))=0</formula>
    </cfRule>
  </conditionalFormatting>
  <conditionalFormatting sqref="E54:AD60">
    <cfRule type="containsBlanks" dxfId="1" priority="11">
      <formula>LEN(TRIM(E54))=0</formula>
    </cfRule>
  </conditionalFormatting>
  <conditionalFormatting sqref="E63:AD69">
    <cfRule type="containsBlanks" dxfId="1" priority="12">
      <formula>LEN(TRIM(E63))=0</formula>
    </cfRule>
  </conditionalFormatting>
  <conditionalFormatting sqref="E72:AD78">
    <cfRule type="containsBlanks" dxfId="1" priority="13">
      <formula>LEN(TRIM(E72))=0</formula>
    </cfRule>
  </conditionalFormatting>
  <conditionalFormatting sqref="E81:AD87">
    <cfRule type="containsBlanks" dxfId="1" priority="14">
      <formula>LEN(TRIM(E81))=0</formula>
    </cfRule>
  </conditionalFormatting>
  <conditionalFormatting sqref="E90:AD93">
    <cfRule type="containsBlanks" dxfId="1" priority="15">
      <formula>LEN(TRIM(E90))=0</formula>
    </cfRule>
  </conditionalFormatting>
  <conditionalFormatting sqref="E96:AD98">
    <cfRule type="containsBlanks" dxfId="1" priority="16">
      <formula>LEN(TRIM(E96))=0</formula>
    </cfRule>
  </conditionalFormatting>
  <conditionalFormatting sqref="E101:AD107">
    <cfRule type="containsBlanks" dxfId="1" priority="17">
      <formula>LEN(TRIM(E101))=0</formula>
    </cfRule>
  </conditionalFormatting>
  <conditionalFormatting sqref="E110:AD114">
    <cfRule type="containsBlanks" dxfId="1" priority="18">
      <formula>LEN(TRIM(E110))=0</formula>
    </cfRule>
  </conditionalFormatting>
  <conditionalFormatting sqref="E117:AD123">
    <cfRule type="containsBlanks" dxfId="1" priority="19">
      <formula>LEN(TRIM(E117))=0</formula>
    </cfRule>
  </conditionalFormatting>
  <conditionalFormatting sqref="E126:AD127">
    <cfRule type="containsBlanks" dxfId="1" priority="20">
      <formula>LEN(TRIM(E126))=0</formula>
    </cfRule>
  </conditionalFormatting>
  <conditionalFormatting sqref="E130:AD134">
    <cfRule type="containsBlanks" dxfId="1" priority="21">
      <formula>LEN(TRIM(E130))=0</formula>
    </cfRule>
  </conditionalFormatting>
  <conditionalFormatting sqref="E137:AD143">
    <cfRule type="containsBlanks" dxfId="1" priority="22">
      <formula>LEN(TRIM(E137))=0</formula>
    </cfRule>
  </conditionalFormatting>
  <conditionalFormatting sqref="E146:AD152">
    <cfRule type="containsBlanks" dxfId="1" priority="23">
      <formula>LEN(TRIM(E146))=0</formula>
    </cfRule>
  </conditionalFormatting>
  <conditionalFormatting sqref="E155:AD156">
    <cfRule type="containsBlanks" dxfId="1" priority="24">
      <formula>LEN(TRIM(E155))=0</formula>
    </cfRule>
  </conditionalFormatting>
  <conditionalFormatting sqref="E159:AD162">
    <cfRule type="containsBlanks" dxfId="1" priority="25">
      <formula>LEN(TRIM(E159))=0</formula>
    </cfRule>
  </conditionalFormatting>
  <conditionalFormatting sqref="E165:AD171">
    <cfRule type="containsBlanks" dxfId="1" priority="26">
      <formula>LEN(TRIM(E165))=0</formula>
    </cfRule>
  </conditionalFormatting>
  <conditionalFormatting sqref="E174:AD176">
    <cfRule type="containsBlanks" dxfId="1" priority="27">
      <formula>LEN(TRIM(E174))=0</formula>
    </cfRule>
  </conditionalFormatting>
  <conditionalFormatting sqref="E180:AD181">
    <cfRule type="containsBlanks" dxfId="1" priority="28">
      <formula>LEN(TRIM(E180))=0</formula>
    </cfRule>
  </conditionalFormatting>
  <conditionalFormatting sqref="E182:AD182">
    <cfRule type="expression" dxfId="0" priority="29">
      <formula>E182&lt;&gt;E30</formula>
    </cfRule>
  </conditionalFormatting>
  <conditionalFormatting sqref="E182:AD182">
    <cfRule type="expression" dxfId="0" priority="30">
      <formula>E182&lt;&gt;E34</formula>
    </cfRule>
  </conditionalFormatting>
  <conditionalFormatting sqref="U34:AD34">
    <cfRule type="expression" dxfId="0" priority="31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  <col customWidth="1" min="28" max="2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159</v>
      </c>
      <c r="D9" s="8" t="s">
        <v>203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6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161</v>
      </c>
      <c r="F13" s="13" t="s">
        <v>162</v>
      </c>
      <c r="G13" s="13" t="s">
        <v>163</v>
      </c>
      <c r="H13" s="13" t="s">
        <v>164</v>
      </c>
      <c r="I13" s="13" t="s">
        <v>165</v>
      </c>
      <c r="J13" s="13" t="s">
        <v>166</v>
      </c>
      <c r="K13" s="13" t="s">
        <v>167</v>
      </c>
      <c r="L13" s="13" t="s">
        <v>168</v>
      </c>
      <c r="M13" s="13" t="s">
        <v>169</v>
      </c>
      <c r="N13" s="13" t="s">
        <v>170</v>
      </c>
      <c r="O13" s="13" t="s">
        <v>171</v>
      </c>
      <c r="P13" s="13" t="s">
        <v>172</v>
      </c>
      <c r="Q13" s="13" t="s">
        <v>173</v>
      </c>
      <c r="R13" s="13" t="s">
        <v>174</v>
      </c>
      <c r="S13" s="13" t="s">
        <v>175</v>
      </c>
      <c r="T13" s="13" t="s">
        <v>176</v>
      </c>
      <c r="U13" s="13" t="s">
        <v>177</v>
      </c>
      <c r="V13" s="13" t="s">
        <v>178</v>
      </c>
      <c r="W13" s="13" t="s">
        <v>179</v>
      </c>
      <c r="X13" s="13" t="s">
        <v>180</v>
      </c>
      <c r="Y13" s="13" t="s">
        <v>181</v>
      </c>
      <c r="Z13" s="13" t="s">
        <v>182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69">
        <v>143.0</v>
      </c>
      <c r="F14" s="69">
        <v>118.0</v>
      </c>
      <c r="G14" s="69">
        <v>113.0</v>
      </c>
      <c r="H14" s="69">
        <v>127.0</v>
      </c>
      <c r="I14" s="69">
        <v>135.0</v>
      </c>
      <c r="J14" s="69">
        <v>129.0</v>
      </c>
      <c r="K14" s="69">
        <v>128.0</v>
      </c>
      <c r="L14" s="69">
        <v>102.0</v>
      </c>
      <c r="M14" s="69">
        <v>122.0</v>
      </c>
      <c r="N14" s="69">
        <v>114.0</v>
      </c>
      <c r="O14" s="69">
        <v>136.0</v>
      </c>
      <c r="P14" s="69">
        <v>113.0</v>
      </c>
      <c r="Q14" s="69">
        <v>124.0</v>
      </c>
      <c r="R14" s="69">
        <v>135.0</v>
      </c>
      <c r="S14" s="69">
        <v>125.0</v>
      </c>
      <c r="T14" s="69">
        <v>110.0</v>
      </c>
      <c r="U14" s="69">
        <v>115.0</v>
      </c>
      <c r="V14" s="69">
        <v>126.0</v>
      </c>
      <c r="W14" s="69">
        <v>143.0</v>
      </c>
      <c r="X14" s="69">
        <v>155.0</v>
      </c>
      <c r="Y14" s="69">
        <v>143.0</v>
      </c>
      <c r="Z14" s="69">
        <v>137.0</v>
      </c>
      <c r="AA14" s="13">
        <f t="shared" ref="AA14:AA16" si="1">SUM(E14:Z14)</f>
        <v>2793</v>
      </c>
    </row>
    <row r="15" ht="12.75" customHeight="1">
      <c r="A15" s="18"/>
      <c r="B15" s="26"/>
      <c r="C15" s="27"/>
      <c r="D15" s="19" t="s">
        <v>13</v>
      </c>
      <c r="E15" s="69">
        <v>125.0</v>
      </c>
      <c r="F15" s="69">
        <v>134.0</v>
      </c>
      <c r="G15" s="69">
        <v>114.0</v>
      </c>
      <c r="H15" s="69">
        <v>133.0</v>
      </c>
      <c r="I15" s="69">
        <v>137.0</v>
      </c>
      <c r="J15" s="69">
        <v>152.0</v>
      </c>
      <c r="K15" s="69">
        <v>136.0</v>
      </c>
      <c r="L15" s="69">
        <v>110.0</v>
      </c>
      <c r="M15" s="69">
        <v>120.0</v>
      </c>
      <c r="N15" s="69">
        <v>117.0</v>
      </c>
      <c r="O15" s="69">
        <v>129.0</v>
      </c>
      <c r="P15" s="69">
        <v>135.0</v>
      </c>
      <c r="Q15" s="69">
        <v>118.0</v>
      </c>
      <c r="R15" s="69">
        <v>137.0</v>
      </c>
      <c r="S15" s="69">
        <v>122.0</v>
      </c>
      <c r="T15" s="69">
        <v>115.0</v>
      </c>
      <c r="U15" s="69">
        <v>114.0</v>
      </c>
      <c r="V15" s="69">
        <v>139.0</v>
      </c>
      <c r="W15" s="69">
        <v>137.0</v>
      </c>
      <c r="X15" s="69">
        <v>142.0</v>
      </c>
      <c r="Y15" s="69">
        <v>149.0</v>
      </c>
      <c r="Z15" s="69">
        <v>132.0</v>
      </c>
      <c r="AA15" s="13">
        <f t="shared" si="1"/>
        <v>2847</v>
      </c>
    </row>
    <row r="16" ht="12.75" customHeight="1">
      <c r="A16" s="25"/>
      <c r="B16" s="21"/>
      <c r="C16" s="28"/>
      <c r="D16" s="13" t="s">
        <v>14</v>
      </c>
      <c r="E16" s="70">
        <f t="shared" ref="E16:Z16" si="2">SUM(E14:E15)</f>
        <v>268</v>
      </c>
      <c r="F16" s="70">
        <f t="shared" si="2"/>
        <v>252</v>
      </c>
      <c r="G16" s="70">
        <f t="shared" si="2"/>
        <v>227</v>
      </c>
      <c r="H16" s="70">
        <f t="shared" si="2"/>
        <v>260</v>
      </c>
      <c r="I16" s="70">
        <f t="shared" si="2"/>
        <v>272</v>
      </c>
      <c r="J16" s="70">
        <f t="shared" si="2"/>
        <v>281</v>
      </c>
      <c r="K16" s="70">
        <f t="shared" si="2"/>
        <v>264</v>
      </c>
      <c r="L16" s="70">
        <f t="shared" si="2"/>
        <v>212</v>
      </c>
      <c r="M16" s="70">
        <f t="shared" si="2"/>
        <v>242</v>
      </c>
      <c r="N16" s="70">
        <f t="shared" si="2"/>
        <v>231</v>
      </c>
      <c r="O16" s="70">
        <f t="shared" si="2"/>
        <v>265</v>
      </c>
      <c r="P16" s="70">
        <f t="shared" si="2"/>
        <v>248</v>
      </c>
      <c r="Q16" s="70">
        <f t="shared" si="2"/>
        <v>242</v>
      </c>
      <c r="R16" s="70">
        <f t="shared" si="2"/>
        <v>272</v>
      </c>
      <c r="S16" s="70">
        <f t="shared" si="2"/>
        <v>247</v>
      </c>
      <c r="T16" s="70">
        <f t="shared" si="2"/>
        <v>225</v>
      </c>
      <c r="U16" s="70">
        <f t="shared" si="2"/>
        <v>229</v>
      </c>
      <c r="V16" s="70">
        <f t="shared" si="2"/>
        <v>265</v>
      </c>
      <c r="W16" s="70">
        <f t="shared" si="2"/>
        <v>280</v>
      </c>
      <c r="X16" s="70">
        <f t="shared" si="2"/>
        <v>297</v>
      </c>
      <c r="Y16" s="70">
        <f t="shared" si="2"/>
        <v>292</v>
      </c>
      <c r="Z16" s="70">
        <f t="shared" si="2"/>
        <v>269</v>
      </c>
      <c r="AA16" s="13">
        <f t="shared" si="1"/>
        <v>5640</v>
      </c>
    </row>
    <row r="17" ht="12.75" customHeight="1">
      <c r="A17" s="24"/>
      <c r="B17" s="15"/>
      <c r="C17" s="15"/>
      <c r="D17" s="16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66"/>
    </row>
    <row r="18" ht="12.75" customHeight="1">
      <c r="A18" s="30" t="s">
        <v>15</v>
      </c>
      <c r="B18" s="20" t="s">
        <v>16</v>
      </c>
      <c r="C18" s="15"/>
      <c r="D18" s="16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6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9">
        <v>103.0</v>
      </c>
      <c r="F19" s="69">
        <v>93.0</v>
      </c>
      <c r="G19" s="69">
        <v>79.0</v>
      </c>
      <c r="H19" s="69">
        <v>82.0</v>
      </c>
      <c r="I19" s="69">
        <v>98.0</v>
      </c>
      <c r="J19" s="69">
        <v>95.0</v>
      </c>
      <c r="K19" s="69">
        <v>91.0</v>
      </c>
      <c r="L19" s="69">
        <v>71.0</v>
      </c>
      <c r="M19" s="69">
        <v>92.0</v>
      </c>
      <c r="N19" s="69">
        <v>78.0</v>
      </c>
      <c r="O19" s="69">
        <v>103.0</v>
      </c>
      <c r="P19" s="69">
        <v>94.0</v>
      </c>
      <c r="Q19" s="69">
        <v>96.0</v>
      </c>
      <c r="R19" s="69">
        <v>96.0</v>
      </c>
      <c r="S19" s="69">
        <v>88.0</v>
      </c>
      <c r="T19" s="69">
        <v>78.0</v>
      </c>
      <c r="U19" s="69">
        <v>94.0</v>
      </c>
      <c r="V19" s="69">
        <v>85.0</v>
      </c>
      <c r="W19" s="69">
        <v>96.0</v>
      </c>
      <c r="X19" s="69">
        <v>119.0</v>
      </c>
      <c r="Y19" s="69">
        <v>103.0</v>
      </c>
      <c r="Z19" s="69">
        <v>115.0</v>
      </c>
      <c r="AA19" s="13">
        <f t="shared" ref="AA19:AA30" si="3">SUM(E19:Z19)</f>
        <v>2049</v>
      </c>
    </row>
    <row r="20" ht="12.75" customHeight="1">
      <c r="A20" s="33"/>
      <c r="B20" s="27"/>
      <c r="C20" s="34"/>
      <c r="D20" s="19" t="s">
        <v>13</v>
      </c>
      <c r="E20" s="69">
        <v>104.0</v>
      </c>
      <c r="F20" s="69">
        <v>113.0</v>
      </c>
      <c r="G20" s="69">
        <v>88.0</v>
      </c>
      <c r="H20" s="69">
        <v>106.0</v>
      </c>
      <c r="I20" s="69">
        <v>104.0</v>
      </c>
      <c r="J20" s="69">
        <v>124.0</v>
      </c>
      <c r="K20" s="69">
        <v>107.0</v>
      </c>
      <c r="L20" s="69">
        <v>74.0</v>
      </c>
      <c r="M20" s="69">
        <v>101.0</v>
      </c>
      <c r="N20" s="69">
        <v>84.0</v>
      </c>
      <c r="O20" s="69">
        <v>103.0</v>
      </c>
      <c r="P20" s="69">
        <v>113.0</v>
      </c>
      <c r="Q20" s="69">
        <v>97.0</v>
      </c>
      <c r="R20" s="69">
        <v>111.0</v>
      </c>
      <c r="S20" s="69">
        <v>94.0</v>
      </c>
      <c r="T20" s="69">
        <v>87.0</v>
      </c>
      <c r="U20" s="69">
        <v>87.0</v>
      </c>
      <c r="V20" s="69">
        <v>118.0</v>
      </c>
      <c r="W20" s="69">
        <v>104.0</v>
      </c>
      <c r="X20" s="69">
        <v>122.0</v>
      </c>
      <c r="Y20" s="69">
        <v>122.0</v>
      </c>
      <c r="Z20" s="69">
        <v>113.0</v>
      </c>
      <c r="AA20" s="13">
        <f t="shared" si="3"/>
        <v>2276</v>
      </c>
    </row>
    <row r="21" ht="12.75" customHeight="1">
      <c r="A21" s="35"/>
      <c r="B21" s="28"/>
      <c r="C21" s="36"/>
      <c r="D21" s="13" t="s">
        <v>14</v>
      </c>
      <c r="E21" s="70">
        <f t="shared" ref="E21:Z21" si="4">SUM(E19:E20)</f>
        <v>207</v>
      </c>
      <c r="F21" s="70">
        <f t="shared" si="4"/>
        <v>206</v>
      </c>
      <c r="G21" s="70">
        <f t="shared" si="4"/>
        <v>167</v>
      </c>
      <c r="H21" s="70">
        <f t="shared" si="4"/>
        <v>188</v>
      </c>
      <c r="I21" s="70">
        <f t="shared" si="4"/>
        <v>202</v>
      </c>
      <c r="J21" s="70">
        <f t="shared" si="4"/>
        <v>219</v>
      </c>
      <c r="K21" s="70">
        <f t="shared" si="4"/>
        <v>198</v>
      </c>
      <c r="L21" s="70">
        <f t="shared" si="4"/>
        <v>145</v>
      </c>
      <c r="M21" s="70">
        <f t="shared" si="4"/>
        <v>193</v>
      </c>
      <c r="N21" s="70">
        <f t="shared" si="4"/>
        <v>162</v>
      </c>
      <c r="O21" s="70">
        <f t="shared" si="4"/>
        <v>206</v>
      </c>
      <c r="P21" s="70">
        <f t="shared" si="4"/>
        <v>207</v>
      </c>
      <c r="Q21" s="70">
        <f t="shared" si="4"/>
        <v>193</v>
      </c>
      <c r="R21" s="70">
        <f t="shared" si="4"/>
        <v>207</v>
      </c>
      <c r="S21" s="70">
        <f t="shared" si="4"/>
        <v>182</v>
      </c>
      <c r="T21" s="70">
        <f t="shared" si="4"/>
        <v>165</v>
      </c>
      <c r="U21" s="70">
        <f t="shared" si="4"/>
        <v>181</v>
      </c>
      <c r="V21" s="70">
        <f t="shared" si="4"/>
        <v>203</v>
      </c>
      <c r="W21" s="70">
        <f t="shared" si="4"/>
        <v>200</v>
      </c>
      <c r="X21" s="70">
        <f t="shared" si="4"/>
        <v>241</v>
      </c>
      <c r="Y21" s="70">
        <f t="shared" si="4"/>
        <v>225</v>
      </c>
      <c r="Z21" s="70">
        <f t="shared" si="4"/>
        <v>228</v>
      </c>
      <c r="AA21" s="13">
        <f t="shared" si="3"/>
        <v>4325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9">
        <v>0.0</v>
      </c>
      <c r="F22" s="69">
        <v>0.0</v>
      </c>
      <c r="G22" s="69">
        <v>0.0</v>
      </c>
      <c r="H22" s="69">
        <v>0.0</v>
      </c>
      <c r="I22" s="69">
        <v>0.0</v>
      </c>
      <c r="J22" s="69">
        <v>0.0</v>
      </c>
      <c r="K22" s="69">
        <v>1.0</v>
      </c>
      <c r="L22" s="69">
        <v>0.0</v>
      </c>
      <c r="M22" s="69">
        <v>0.0</v>
      </c>
      <c r="N22" s="69">
        <v>0.0</v>
      </c>
      <c r="O22" s="69">
        <v>0.0</v>
      </c>
      <c r="P22" s="69">
        <v>0.0</v>
      </c>
      <c r="Q22" s="69">
        <v>0.0</v>
      </c>
      <c r="R22" s="69">
        <v>0.0</v>
      </c>
      <c r="S22" s="69">
        <v>0.0</v>
      </c>
      <c r="T22" s="69">
        <v>0.0</v>
      </c>
      <c r="U22" s="69">
        <v>0.0</v>
      </c>
      <c r="V22" s="69">
        <v>0.0</v>
      </c>
      <c r="W22" s="69">
        <v>0.0</v>
      </c>
      <c r="X22" s="69">
        <v>0.0</v>
      </c>
      <c r="Y22" s="69">
        <v>0.0</v>
      </c>
      <c r="Z22" s="69">
        <v>0.0</v>
      </c>
      <c r="AA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69">
        <v>0.0</v>
      </c>
      <c r="F23" s="69">
        <v>0.0</v>
      </c>
      <c r="G23" s="69">
        <v>0.0</v>
      </c>
      <c r="H23" s="69">
        <v>0.0</v>
      </c>
      <c r="I23" s="69">
        <v>0.0</v>
      </c>
      <c r="J23" s="69">
        <v>0.0</v>
      </c>
      <c r="K23" s="69">
        <v>0.0</v>
      </c>
      <c r="L23" s="69">
        <v>0.0</v>
      </c>
      <c r="M23" s="69">
        <v>0.0</v>
      </c>
      <c r="N23" s="69">
        <v>0.0</v>
      </c>
      <c r="O23" s="69">
        <v>0.0</v>
      </c>
      <c r="P23" s="69">
        <v>0.0</v>
      </c>
      <c r="Q23" s="69">
        <v>0.0</v>
      </c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9">
        <v>0.0</v>
      </c>
      <c r="Y23" s="69">
        <v>0.0</v>
      </c>
      <c r="Z23" s="69">
        <v>0.0</v>
      </c>
      <c r="AA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70">
        <f t="shared" ref="E24:Z24" si="5">SUM(E22:E23)</f>
        <v>0</v>
      </c>
      <c r="F24" s="70">
        <f t="shared" si="5"/>
        <v>0</v>
      </c>
      <c r="G24" s="70">
        <f t="shared" si="5"/>
        <v>0</v>
      </c>
      <c r="H24" s="70">
        <f t="shared" si="5"/>
        <v>0</v>
      </c>
      <c r="I24" s="70">
        <f t="shared" si="5"/>
        <v>0</v>
      </c>
      <c r="J24" s="70">
        <f t="shared" si="5"/>
        <v>0</v>
      </c>
      <c r="K24" s="70">
        <f t="shared" si="5"/>
        <v>1</v>
      </c>
      <c r="L24" s="70">
        <f t="shared" si="5"/>
        <v>0</v>
      </c>
      <c r="M24" s="70">
        <f t="shared" si="5"/>
        <v>0</v>
      </c>
      <c r="N24" s="70">
        <f t="shared" si="5"/>
        <v>0</v>
      </c>
      <c r="O24" s="70">
        <f t="shared" si="5"/>
        <v>0</v>
      </c>
      <c r="P24" s="70">
        <f t="shared" si="5"/>
        <v>0</v>
      </c>
      <c r="Q24" s="70">
        <f t="shared" si="5"/>
        <v>0</v>
      </c>
      <c r="R24" s="70">
        <f t="shared" si="5"/>
        <v>0</v>
      </c>
      <c r="S24" s="70">
        <f t="shared" si="5"/>
        <v>0</v>
      </c>
      <c r="T24" s="70">
        <f t="shared" si="5"/>
        <v>0</v>
      </c>
      <c r="U24" s="70">
        <f t="shared" si="5"/>
        <v>0</v>
      </c>
      <c r="V24" s="70">
        <f t="shared" si="5"/>
        <v>0</v>
      </c>
      <c r="W24" s="70">
        <f t="shared" si="5"/>
        <v>0</v>
      </c>
      <c r="X24" s="70">
        <f t="shared" si="5"/>
        <v>0</v>
      </c>
      <c r="Y24" s="70">
        <f t="shared" si="5"/>
        <v>0</v>
      </c>
      <c r="Z24" s="70">
        <f t="shared" si="5"/>
        <v>0</v>
      </c>
      <c r="AA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9">
        <v>3.0</v>
      </c>
      <c r="F25" s="69">
        <v>1.0</v>
      </c>
      <c r="G25" s="69">
        <v>2.0</v>
      </c>
      <c r="H25" s="69">
        <v>0.0</v>
      </c>
      <c r="I25" s="69">
        <v>2.0</v>
      </c>
      <c r="J25" s="69">
        <v>3.0</v>
      </c>
      <c r="K25" s="69">
        <v>1.0</v>
      </c>
      <c r="L25" s="69">
        <v>1.0</v>
      </c>
      <c r="M25" s="69">
        <v>1.0</v>
      </c>
      <c r="N25" s="69">
        <v>2.0</v>
      </c>
      <c r="O25" s="69">
        <v>0.0</v>
      </c>
      <c r="P25" s="69">
        <v>0.0</v>
      </c>
      <c r="Q25" s="69">
        <v>2.0</v>
      </c>
      <c r="R25" s="69">
        <v>3.0</v>
      </c>
      <c r="S25" s="69">
        <v>2.0</v>
      </c>
      <c r="T25" s="69">
        <v>0.0</v>
      </c>
      <c r="U25" s="69">
        <v>1.0</v>
      </c>
      <c r="V25" s="69">
        <v>2.0</v>
      </c>
      <c r="W25" s="69">
        <v>2.0</v>
      </c>
      <c r="X25" s="69">
        <v>0.0</v>
      </c>
      <c r="Y25" s="69">
        <v>0.0</v>
      </c>
      <c r="Z25" s="69">
        <v>0.0</v>
      </c>
      <c r="AA25" s="13">
        <f t="shared" si="3"/>
        <v>28</v>
      </c>
    </row>
    <row r="26" ht="12.75" customHeight="1">
      <c r="A26" s="33"/>
      <c r="B26" s="27"/>
      <c r="C26" s="34"/>
      <c r="D26" s="19" t="s">
        <v>13</v>
      </c>
      <c r="E26" s="69">
        <v>2.0</v>
      </c>
      <c r="F26" s="69">
        <v>3.0</v>
      </c>
      <c r="G26" s="69">
        <v>2.0</v>
      </c>
      <c r="H26" s="69">
        <v>1.0</v>
      </c>
      <c r="I26" s="69">
        <v>2.0</v>
      </c>
      <c r="J26" s="69">
        <v>2.0</v>
      </c>
      <c r="K26" s="69">
        <v>0.0</v>
      </c>
      <c r="L26" s="69">
        <v>3.0</v>
      </c>
      <c r="M26" s="69">
        <v>4.0</v>
      </c>
      <c r="N26" s="69">
        <v>3.0</v>
      </c>
      <c r="O26" s="69">
        <v>3.0</v>
      </c>
      <c r="P26" s="69">
        <v>3.0</v>
      </c>
      <c r="Q26" s="69">
        <v>2.0</v>
      </c>
      <c r="R26" s="69">
        <v>3.0</v>
      </c>
      <c r="S26" s="69">
        <v>4.0</v>
      </c>
      <c r="T26" s="69">
        <v>0.0</v>
      </c>
      <c r="U26" s="69">
        <v>4.0</v>
      </c>
      <c r="V26" s="69">
        <v>2.0</v>
      </c>
      <c r="W26" s="69">
        <v>0.0</v>
      </c>
      <c r="X26" s="69">
        <v>0.0</v>
      </c>
      <c r="Y26" s="69">
        <v>0.0</v>
      </c>
      <c r="Z26" s="69">
        <v>0.0</v>
      </c>
      <c r="AA26" s="13">
        <f t="shared" si="3"/>
        <v>43</v>
      </c>
    </row>
    <row r="27" ht="12.75" customHeight="1">
      <c r="A27" s="35"/>
      <c r="B27" s="28"/>
      <c r="C27" s="36"/>
      <c r="D27" s="13" t="s">
        <v>14</v>
      </c>
      <c r="E27" s="70">
        <f t="shared" ref="E27:Z27" si="6">SUM(E25:E26)</f>
        <v>5</v>
      </c>
      <c r="F27" s="70">
        <f t="shared" si="6"/>
        <v>4</v>
      </c>
      <c r="G27" s="70">
        <f t="shared" si="6"/>
        <v>4</v>
      </c>
      <c r="H27" s="70">
        <f t="shared" si="6"/>
        <v>1</v>
      </c>
      <c r="I27" s="70">
        <f t="shared" si="6"/>
        <v>4</v>
      </c>
      <c r="J27" s="70">
        <f t="shared" si="6"/>
        <v>5</v>
      </c>
      <c r="K27" s="70">
        <f t="shared" si="6"/>
        <v>1</v>
      </c>
      <c r="L27" s="70">
        <f t="shared" si="6"/>
        <v>4</v>
      </c>
      <c r="M27" s="70">
        <f t="shared" si="6"/>
        <v>5</v>
      </c>
      <c r="N27" s="70">
        <f t="shared" si="6"/>
        <v>5</v>
      </c>
      <c r="O27" s="70">
        <f t="shared" si="6"/>
        <v>3</v>
      </c>
      <c r="P27" s="70">
        <f t="shared" si="6"/>
        <v>3</v>
      </c>
      <c r="Q27" s="70">
        <f t="shared" si="6"/>
        <v>4</v>
      </c>
      <c r="R27" s="70">
        <f t="shared" si="6"/>
        <v>6</v>
      </c>
      <c r="S27" s="70">
        <f t="shared" si="6"/>
        <v>6</v>
      </c>
      <c r="T27" s="70">
        <f t="shared" si="6"/>
        <v>0</v>
      </c>
      <c r="U27" s="70">
        <f t="shared" si="6"/>
        <v>5</v>
      </c>
      <c r="V27" s="70">
        <f t="shared" si="6"/>
        <v>4</v>
      </c>
      <c r="W27" s="70">
        <f t="shared" si="6"/>
        <v>2</v>
      </c>
      <c r="X27" s="70">
        <f t="shared" si="6"/>
        <v>0</v>
      </c>
      <c r="Y27" s="70">
        <f t="shared" si="6"/>
        <v>0</v>
      </c>
      <c r="Z27" s="70">
        <f t="shared" si="6"/>
        <v>0</v>
      </c>
      <c r="AA27" s="13">
        <f t="shared" si="3"/>
        <v>71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70">
        <f t="shared" ref="E28:Z28" si="7">E19+E22+E25</f>
        <v>106</v>
      </c>
      <c r="F28" s="70">
        <f t="shared" si="7"/>
        <v>94</v>
      </c>
      <c r="G28" s="70">
        <f t="shared" si="7"/>
        <v>81</v>
      </c>
      <c r="H28" s="70">
        <f t="shared" si="7"/>
        <v>82</v>
      </c>
      <c r="I28" s="70">
        <f t="shared" si="7"/>
        <v>100</v>
      </c>
      <c r="J28" s="70">
        <f t="shared" si="7"/>
        <v>98</v>
      </c>
      <c r="K28" s="70">
        <f t="shared" si="7"/>
        <v>93</v>
      </c>
      <c r="L28" s="70">
        <f t="shared" si="7"/>
        <v>72</v>
      </c>
      <c r="M28" s="70">
        <f t="shared" si="7"/>
        <v>93</v>
      </c>
      <c r="N28" s="70">
        <f t="shared" si="7"/>
        <v>80</v>
      </c>
      <c r="O28" s="70">
        <f t="shared" si="7"/>
        <v>103</v>
      </c>
      <c r="P28" s="70">
        <f t="shared" si="7"/>
        <v>94</v>
      </c>
      <c r="Q28" s="70">
        <f t="shared" si="7"/>
        <v>98</v>
      </c>
      <c r="R28" s="70">
        <f t="shared" si="7"/>
        <v>99</v>
      </c>
      <c r="S28" s="70">
        <f t="shared" si="7"/>
        <v>90</v>
      </c>
      <c r="T28" s="70">
        <f t="shared" si="7"/>
        <v>78</v>
      </c>
      <c r="U28" s="70">
        <f t="shared" si="7"/>
        <v>95</v>
      </c>
      <c r="V28" s="70">
        <f t="shared" si="7"/>
        <v>87</v>
      </c>
      <c r="W28" s="70">
        <f t="shared" si="7"/>
        <v>98</v>
      </c>
      <c r="X28" s="70">
        <f t="shared" si="7"/>
        <v>119</v>
      </c>
      <c r="Y28" s="70">
        <f t="shared" si="7"/>
        <v>103</v>
      </c>
      <c r="Z28" s="70">
        <f t="shared" si="7"/>
        <v>115</v>
      </c>
      <c r="AA28" s="13">
        <f t="shared" si="3"/>
        <v>2078</v>
      </c>
    </row>
    <row r="29" ht="12.75" customHeight="1">
      <c r="A29" s="35"/>
      <c r="B29" s="27"/>
      <c r="C29" s="34"/>
      <c r="D29" s="13" t="s">
        <v>13</v>
      </c>
      <c r="E29" s="70">
        <f t="shared" ref="E29:Z29" si="8">E20+E23+E26</f>
        <v>106</v>
      </c>
      <c r="F29" s="70">
        <f t="shared" si="8"/>
        <v>116</v>
      </c>
      <c r="G29" s="70">
        <f t="shared" si="8"/>
        <v>90</v>
      </c>
      <c r="H29" s="70">
        <f t="shared" si="8"/>
        <v>107</v>
      </c>
      <c r="I29" s="70">
        <f t="shared" si="8"/>
        <v>106</v>
      </c>
      <c r="J29" s="70">
        <f t="shared" si="8"/>
        <v>126</v>
      </c>
      <c r="K29" s="70">
        <f t="shared" si="8"/>
        <v>107</v>
      </c>
      <c r="L29" s="70">
        <f t="shared" si="8"/>
        <v>77</v>
      </c>
      <c r="M29" s="70">
        <f t="shared" si="8"/>
        <v>105</v>
      </c>
      <c r="N29" s="70">
        <f t="shared" si="8"/>
        <v>87</v>
      </c>
      <c r="O29" s="70">
        <f t="shared" si="8"/>
        <v>106</v>
      </c>
      <c r="P29" s="70">
        <f t="shared" si="8"/>
        <v>116</v>
      </c>
      <c r="Q29" s="70">
        <f t="shared" si="8"/>
        <v>99</v>
      </c>
      <c r="R29" s="70">
        <f t="shared" si="8"/>
        <v>114</v>
      </c>
      <c r="S29" s="70">
        <f t="shared" si="8"/>
        <v>98</v>
      </c>
      <c r="T29" s="70">
        <f t="shared" si="8"/>
        <v>87</v>
      </c>
      <c r="U29" s="70">
        <f t="shared" si="8"/>
        <v>91</v>
      </c>
      <c r="V29" s="70">
        <f t="shared" si="8"/>
        <v>120</v>
      </c>
      <c r="W29" s="70">
        <f t="shared" si="8"/>
        <v>104</v>
      </c>
      <c r="X29" s="70">
        <f t="shared" si="8"/>
        <v>122</v>
      </c>
      <c r="Y29" s="70">
        <f t="shared" si="8"/>
        <v>122</v>
      </c>
      <c r="Z29" s="70">
        <f t="shared" si="8"/>
        <v>113</v>
      </c>
      <c r="AA29" s="13">
        <f t="shared" si="3"/>
        <v>2319</v>
      </c>
    </row>
    <row r="30" ht="12.75" customHeight="1">
      <c r="A30" s="35"/>
      <c r="B30" s="28"/>
      <c r="C30" s="36"/>
      <c r="D30" s="13" t="s">
        <v>14</v>
      </c>
      <c r="E30" s="72">
        <f t="shared" ref="E30:Z30" si="9">SUM(E28:E29)</f>
        <v>212</v>
      </c>
      <c r="F30" s="72">
        <f t="shared" si="9"/>
        <v>210</v>
      </c>
      <c r="G30" s="72">
        <f t="shared" si="9"/>
        <v>171</v>
      </c>
      <c r="H30" s="72">
        <f t="shared" si="9"/>
        <v>189</v>
      </c>
      <c r="I30" s="72">
        <f t="shared" si="9"/>
        <v>206</v>
      </c>
      <c r="J30" s="72">
        <f t="shared" si="9"/>
        <v>224</v>
      </c>
      <c r="K30" s="72">
        <f t="shared" si="9"/>
        <v>200</v>
      </c>
      <c r="L30" s="72">
        <f t="shared" si="9"/>
        <v>149</v>
      </c>
      <c r="M30" s="72">
        <f t="shared" si="9"/>
        <v>198</v>
      </c>
      <c r="N30" s="72">
        <f t="shared" si="9"/>
        <v>167</v>
      </c>
      <c r="O30" s="72">
        <f t="shared" si="9"/>
        <v>209</v>
      </c>
      <c r="P30" s="72">
        <f t="shared" si="9"/>
        <v>210</v>
      </c>
      <c r="Q30" s="72">
        <f t="shared" si="9"/>
        <v>197</v>
      </c>
      <c r="R30" s="72">
        <f t="shared" si="9"/>
        <v>213</v>
      </c>
      <c r="S30" s="72">
        <f t="shared" si="9"/>
        <v>188</v>
      </c>
      <c r="T30" s="72">
        <f t="shared" si="9"/>
        <v>165</v>
      </c>
      <c r="U30" s="72">
        <f t="shared" si="9"/>
        <v>186</v>
      </c>
      <c r="V30" s="72">
        <f t="shared" si="9"/>
        <v>207</v>
      </c>
      <c r="W30" s="72">
        <f t="shared" si="9"/>
        <v>202</v>
      </c>
      <c r="X30" s="72">
        <f t="shared" si="9"/>
        <v>241</v>
      </c>
      <c r="Y30" s="72">
        <f t="shared" si="9"/>
        <v>225</v>
      </c>
      <c r="Z30" s="72">
        <f t="shared" si="9"/>
        <v>228</v>
      </c>
      <c r="AA30" s="13">
        <f t="shared" si="3"/>
        <v>4397</v>
      </c>
    </row>
    <row r="31" ht="12.75" customHeight="1">
      <c r="A31" s="24"/>
      <c r="B31" s="15"/>
      <c r="C31" s="15"/>
      <c r="D31" s="16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66"/>
    </row>
    <row r="32" ht="12.75" customHeight="1">
      <c r="A32" s="41" t="s">
        <v>25</v>
      </c>
      <c r="B32" s="14" t="s">
        <v>26</v>
      </c>
      <c r="C32" s="15"/>
      <c r="D32" s="16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66"/>
    </row>
    <row r="33" ht="12.75" customHeight="1">
      <c r="A33" s="19">
        <v>1.0</v>
      </c>
      <c r="B33" s="20" t="s">
        <v>27</v>
      </c>
      <c r="C33" s="15"/>
      <c r="D33" s="16"/>
      <c r="E33" s="69">
        <v>272.0</v>
      </c>
      <c r="F33" s="69">
        <v>256.0</v>
      </c>
      <c r="G33" s="69">
        <v>232.0</v>
      </c>
      <c r="H33" s="69">
        <v>264.0</v>
      </c>
      <c r="I33" s="69">
        <v>276.0</v>
      </c>
      <c r="J33" s="69">
        <v>287.0</v>
      </c>
      <c r="K33" s="69">
        <v>270.0</v>
      </c>
      <c r="L33" s="69">
        <v>217.0</v>
      </c>
      <c r="M33" s="69">
        <v>248.0</v>
      </c>
      <c r="N33" s="69">
        <v>233.0</v>
      </c>
      <c r="O33" s="69">
        <v>269.0</v>
      </c>
      <c r="P33" s="69">
        <v>251.0</v>
      </c>
      <c r="Q33" s="69">
        <v>247.0</v>
      </c>
      <c r="R33" s="69">
        <v>276.0</v>
      </c>
      <c r="S33" s="69">
        <v>252.0</v>
      </c>
      <c r="T33" s="69">
        <v>230.0</v>
      </c>
      <c r="U33" s="69">
        <v>234.0</v>
      </c>
      <c r="V33" s="69">
        <v>278.0</v>
      </c>
      <c r="W33" s="69">
        <v>286.0</v>
      </c>
      <c r="X33" s="69">
        <v>300.0</v>
      </c>
      <c r="Y33" s="69">
        <v>298.0</v>
      </c>
      <c r="Z33" s="69">
        <v>275.0</v>
      </c>
      <c r="AA33" s="13">
        <f t="shared" ref="AA33:AA36" si="10">SUM(E33:Z33)</f>
        <v>5751</v>
      </c>
    </row>
    <row r="34" ht="12.75" customHeight="1">
      <c r="A34" s="19">
        <v>2.0</v>
      </c>
      <c r="B34" s="20" t="s">
        <v>28</v>
      </c>
      <c r="C34" s="15"/>
      <c r="D34" s="16"/>
      <c r="E34" s="73">
        <v>212.0</v>
      </c>
      <c r="F34" s="73">
        <v>210.0</v>
      </c>
      <c r="G34" s="73">
        <v>171.0</v>
      </c>
      <c r="H34" s="73">
        <v>189.0</v>
      </c>
      <c r="I34" s="73">
        <v>206.0</v>
      </c>
      <c r="J34" s="73">
        <v>224.0</v>
      </c>
      <c r="K34" s="73">
        <v>200.0</v>
      </c>
      <c r="L34" s="73">
        <v>149.0</v>
      </c>
      <c r="M34" s="73">
        <v>198.0</v>
      </c>
      <c r="N34" s="73">
        <v>167.0</v>
      </c>
      <c r="O34" s="73">
        <v>209.0</v>
      </c>
      <c r="P34" s="73">
        <v>210.0</v>
      </c>
      <c r="Q34" s="73">
        <v>197.0</v>
      </c>
      <c r="R34" s="73">
        <v>213.0</v>
      </c>
      <c r="S34" s="73">
        <v>188.0</v>
      </c>
      <c r="T34" s="73">
        <v>165.0</v>
      </c>
      <c r="U34" s="73">
        <v>186.0</v>
      </c>
      <c r="V34" s="73">
        <v>207.0</v>
      </c>
      <c r="W34" s="73">
        <v>202.0</v>
      </c>
      <c r="X34" s="73">
        <v>241.0</v>
      </c>
      <c r="Y34" s="73">
        <v>225.0</v>
      </c>
      <c r="Z34" s="73">
        <v>228.0</v>
      </c>
      <c r="AA34" s="13">
        <f t="shared" si="10"/>
        <v>4397</v>
      </c>
    </row>
    <row r="35" ht="12.75" customHeight="1">
      <c r="A35" s="19">
        <v>3.0</v>
      </c>
      <c r="B35" s="20" t="s">
        <v>29</v>
      </c>
      <c r="C35" s="15"/>
      <c r="D35" s="16"/>
      <c r="E35" s="69">
        <v>2.0</v>
      </c>
      <c r="F35" s="69">
        <v>0.0</v>
      </c>
      <c r="G35" s="69">
        <v>0.0</v>
      </c>
      <c r="H35" s="69">
        <v>0.0</v>
      </c>
      <c r="I35" s="69">
        <v>0.0</v>
      </c>
      <c r="J35" s="69">
        <v>0.0</v>
      </c>
      <c r="K35" s="69">
        <v>0.0</v>
      </c>
      <c r="L35" s="69">
        <v>0.0</v>
      </c>
      <c r="M35" s="69">
        <v>0.0</v>
      </c>
      <c r="N35" s="69">
        <v>0.0</v>
      </c>
      <c r="O35" s="69">
        <v>0.0</v>
      </c>
      <c r="P35" s="69">
        <v>1.0</v>
      </c>
      <c r="Q35" s="69">
        <v>1.0</v>
      </c>
      <c r="R35" s="69">
        <v>0.0</v>
      </c>
      <c r="S35" s="69">
        <v>0.0</v>
      </c>
      <c r="T35" s="69">
        <v>0.0</v>
      </c>
      <c r="U35" s="69">
        <v>0.0</v>
      </c>
      <c r="V35" s="69">
        <v>2.0</v>
      </c>
      <c r="W35" s="69">
        <v>0.0</v>
      </c>
      <c r="X35" s="69">
        <v>2.0</v>
      </c>
      <c r="Y35" s="69">
        <v>0.0</v>
      </c>
      <c r="Z35" s="69">
        <v>0.0</v>
      </c>
      <c r="AA35" s="13">
        <f t="shared" si="10"/>
        <v>8</v>
      </c>
    </row>
    <row r="36" ht="12.75" customHeight="1">
      <c r="A36" s="19">
        <v>4.0</v>
      </c>
      <c r="B36" s="20" t="s">
        <v>30</v>
      </c>
      <c r="C36" s="15"/>
      <c r="D36" s="16"/>
      <c r="E36" s="70">
        <f t="shared" ref="E36:Z36" si="11">E33-E34-E35</f>
        <v>58</v>
      </c>
      <c r="F36" s="70">
        <f t="shared" si="11"/>
        <v>46</v>
      </c>
      <c r="G36" s="70">
        <f t="shared" si="11"/>
        <v>61</v>
      </c>
      <c r="H36" s="70">
        <f t="shared" si="11"/>
        <v>75</v>
      </c>
      <c r="I36" s="70">
        <f t="shared" si="11"/>
        <v>70</v>
      </c>
      <c r="J36" s="70">
        <f t="shared" si="11"/>
        <v>63</v>
      </c>
      <c r="K36" s="70">
        <f t="shared" si="11"/>
        <v>70</v>
      </c>
      <c r="L36" s="70">
        <f t="shared" si="11"/>
        <v>68</v>
      </c>
      <c r="M36" s="70">
        <f t="shared" si="11"/>
        <v>50</v>
      </c>
      <c r="N36" s="70">
        <f t="shared" si="11"/>
        <v>66</v>
      </c>
      <c r="O36" s="70">
        <f t="shared" si="11"/>
        <v>60</v>
      </c>
      <c r="P36" s="70">
        <f t="shared" si="11"/>
        <v>40</v>
      </c>
      <c r="Q36" s="70">
        <f t="shared" si="11"/>
        <v>49</v>
      </c>
      <c r="R36" s="70">
        <f t="shared" si="11"/>
        <v>63</v>
      </c>
      <c r="S36" s="70">
        <f t="shared" si="11"/>
        <v>64</v>
      </c>
      <c r="T36" s="70">
        <f t="shared" si="11"/>
        <v>65</v>
      </c>
      <c r="U36" s="70">
        <f t="shared" si="11"/>
        <v>48</v>
      </c>
      <c r="V36" s="70">
        <f t="shared" si="11"/>
        <v>69</v>
      </c>
      <c r="W36" s="70">
        <f t="shared" si="11"/>
        <v>84</v>
      </c>
      <c r="X36" s="70">
        <f t="shared" si="11"/>
        <v>57</v>
      </c>
      <c r="Y36" s="70">
        <f t="shared" si="11"/>
        <v>73</v>
      </c>
      <c r="Z36" s="70">
        <f t="shared" si="11"/>
        <v>47</v>
      </c>
      <c r="AA36" s="13">
        <f t="shared" si="10"/>
        <v>1346</v>
      </c>
    </row>
    <row r="37" ht="12.75" customHeight="1">
      <c r="A37" s="24"/>
      <c r="B37" s="15"/>
      <c r="C37" s="15"/>
      <c r="D37" s="15"/>
      <c r="E37" s="74"/>
      <c r="F37" s="15"/>
      <c r="G37" s="15"/>
      <c r="H37" s="15"/>
      <c r="I37" s="16"/>
      <c r="J37" s="71"/>
      <c r="K37" s="71"/>
      <c r="L37" s="71"/>
      <c r="M37" s="71"/>
      <c r="N37" s="71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66"/>
    </row>
    <row r="38" ht="12.75" customHeight="1">
      <c r="A38" s="42" t="s">
        <v>31</v>
      </c>
      <c r="B38" s="14" t="s">
        <v>32</v>
      </c>
      <c r="C38" s="15"/>
      <c r="D38" s="16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66"/>
    </row>
    <row r="39" ht="12.75" customHeight="1">
      <c r="A39" s="30"/>
      <c r="B39" s="43" t="s">
        <v>33</v>
      </c>
      <c r="C39" s="23"/>
      <c r="D39" s="19" t="s">
        <v>12</v>
      </c>
      <c r="E39" s="69">
        <v>0.0</v>
      </c>
      <c r="F39" s="69">
        <v>0.0</v>
      </c>
      <c r="G39" s="69">
        <v>0.0</v>
      </c>
      <c r="H39" s="69">
        <v>0.0</v>
      </c>
      <c r="I39" s="69">
        <v>0.0</v>
      </c>
      <c r="J39" s="69">
        <v>0.0</v>
      </c>
      <c r="K39" s="69">
        <v>0.0</v>
      </c>
      <c r="L39" s="69">
        <v>0.0</v>
      </c>
      <c r="M39" s="69">
        <v>0.0</v>
      </c>
      <c r="N39" s="69">
        <v>0.0</v>
      </c>
      <c r="O39" s="69">
        <v>0.0</v>
      </c>
      <c r="P39" s="69">
        <v>0.0</v>
      </c>
      <c r="Q39" s="69">
        <v>0.0</v>
      </c>
      <c r="R39" s="69">
        <v>0.0</v>
      </c>
      <c r="S39" s="69">
        <v>0.0</v>
      </c>
      <c r="T39" s="69">
        <v>0.0</v>
      </c>
      <c r="U39" s="69">
        <v>0.0</v>
      </c>
      <c r="V39" s="69">
        <v>0.0</v>
      </c>
      <c r="W39" s="69">
        <v>0.0</v>
      </c>
      <c r="X39" s="69">
        <v>0.0</v>
      </c>
      <c r="Y39" s="69">
        <v>0.0</v>
      </c>
      <c r="Z39" s="69">
        <v>0.0</v>
      </c>
      <c r="AA39" s="13">
        <f t="shared" ref="AA39:AA41" si="12">SUM(E39:Z39)</f>
        <v>0</v>
      </c>
    </row>
    <row r="40" ht="12.75" customHeight="1">
      <c r="A40" s="33"/>
      <c r="C40" s="27"/>
      <c r="D40" s="19" t="s">
        <v>13</v>
      </c>
      <c r="E40" s="69">
        <v>0.0</v>
      </c>
      <c r="F40" s="69">
        <v>0.0</v>
      </c>
      <c r="G40" s="69">
        <v>0.0</v>
      </c>
      <c r="H40" s="69">
        <v>0.0</v>
      </c>
      <c r="I40" s="69">
        <v>0.0</v>
      </c>
      <c r="J40" s="69">
        <v>0.0</v>
      </c>
      <c r="K40" s="69">
        <v>0.0</v>
      </c>
      <c r="L40" s="69">
        <v>0.0</v>
      </c>
      <c r="M40" s="69">
        <v>0.0</v>
      </c>
      <c r="N40" s="69">
        <v>0.0</v>
      </c>
      <c r="O40" s="69">
        <v>0.0</v>
      </c>
      <c r="P40" s="69">
        <v>0.0</v>
      </c>
      <c r="Q40" s="69">
        <v>0.0</v>
      </c>
      <c r="R40" s="69">
        <v>2.0</v>
      </c>
      <c r="S40" s="69">
        <v>0.0</v>
      </c>
      <c r="T40" s="69">
        <v>0.0</v>
      </c>
      <c r="U40" s="69">
        <v>0.0</v>
      </c>
      <c r="V40" s="69">
        <v>0.0</v>
      </c>
      <c r="W40" s="69">
        <v>0.0</v>
      </c>
      <c r="X40" s="69">
        <v>0.0</v>
      </c>
      <c r="Y40" s="69">
        <v>0.0</v>
      </c>
      <c r="Z40" s="69">
        <v>0.0</v>
      </c>
      <c r="AA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Z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2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5"/>
      <c r="O42" s="19"/>
      <c r="P42" s="65"/>
      <c r="Q42" s="19"/>
      <c r="R42" s="65"/>
      <c r="S42" s="19"/>
      <c r="T42" s="65"/>
      <c r="U42" s="19"/>
      <c r="V42" s="65"/>
      <c r="W42" s="19"/>
      <c r="X42" s="65"/>
      <c r="Y42" s="19"/>
      <c r="Z42" s="65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7"/>
      <c r="O43" s="13"/>
      <c r="P43" s="67"/>
      <c r="Q43" s="13"/>
      <c r="R43" s="67"/>
      <c r="S43" s="13"/>
      <c r="T43" s="67"/>
      <c r="U43" s="13"/>
      <c r="V43" s="67"/>
      <c r="W43" s="13"/>
      <c r="X43" s="67"/>
      <c r="Y43" s="13"/>
      <c r="Z43" s="67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5"/>
      <c r="O44" s="19"/>
      <c r="P44" s="65"/>
      <c r="Q44" s="19"/>
      <c r="R44" s="65"/>
      <c r="S44" s="19"/>
      <c r="T44" s="65"/>
      <c r="U44" s="19"/>
      <c r="V44" s="65"/>
      <c r="W44" s="19"/>
      <c r="X44" s="65"/>
      <c r="Y44" s="19"/>
      <c r="Z44" s="65"/>
      <c r="AA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11.0</v>
      </c>
      <c r="F45" s="19">
        <v>3.0</v>
      </c>
      <c r="G45" s="19">
        <v>7.0</v>
      </c>
      <c r="H45" s="19">
        <v>8.0</v>
      </c>
      <c r="I45" s="19">
        <v>8.0</v>
      </c>
      <c r="J45" s="19">
        <v>10.0</v>
      </c>
      <c r="K45" s="19">
        <v>3.0</v>
      </c>
      <c r="L45" s="19">
        <v>3.0</v>
      </c>
      <c r="M45" s="19">
        <v>4.0</v>
      </c>
      <c r="N45" s="19">
        <v>4.0</v>
      </c>
      <c r="O45" s="19">
        <v>5.0</v>
      </c>
      <c r="P45" s="19">
        <v>2.0</v>
      </c>
      <c r="Q45" s="19">
        <v>2.0</v>
      </c>
      <c r="R45" s="19">
        <v>5.0</v>
      </c>
      <c r="S45" s="19">
        <v>1.0</v>
      </c>
      <c r="T45" s="19">
        <v>3.0</v>
      </c>
      <c r="U45" s="19">
        <v>3.0</v>
      </c>
      <c r="V45" s="19">
        <v>11.0</v>
      </c>
      <c r="W45" s="19">
        <v>8.0</v>
      </c>
      <c r="X45" s="19">
        <v>4.0</v>
      </c>
      <c r="Y45" s="19">
        <v>6.0</v>
      </c>
      <c r="Z45" s="19">
        <v>4.0</v>
      </c>
      <c r="AA45" s="13">
        <f t="shared" ref="AA45:AA182" si="14">SUM(E45:Z45)</f>
        <v>115</v>
      </c>
    </row>
    <row r="46" ht="12.75" customHeight="1">
      <c r="A46" s="30" t="s">
        <v>39</v>
      </c>
      <c r="B46" s="49">
        <v>1.0</v>
      </c>
      <c r="C46" s="50" t="s">
        <v>40</v>
      </c>
      <c r="D46" s="51"/>
      <c r="E46" s="19">
        <v>7.0</v>
      </c>
      <c r="F46" s="19">
        <v>2.0</v>
      </c>
      <c r="G46" s="19">
        <v>4.0</v>
      </c>
      <c r="H46" s="19">
        <v>4.0</v>
      </c>
      <c r="I46" s="19">
        <v>9.0</v>
      </c>
      <c r="J46" s="19">
        <v>3.0</v>
      </c>
      <c r="K46" s="19">
        <v>11.0</v>
      </c>
      <c r="L46" s="19">
        <v>2.0</v>
      </c>
      <c r="M46" s="19">
        <v>3.0</v>
      </c>
      <c r="N46" s="19">
        <v>2.0</v>
      </c>
      <c r="O46" s="19">
        <v>5.0</v>
      </c>
      <c r="P46" s="19">
        <v>1.0</v>
      </c>
      <c r="Q46" s="19">
        <v>2.0</v>
      </c>
      <c r="R46" s="19">
        <v>0.0</v>
      </c>
      <c r="S46" s="19">
        <v>1.0</v>
      </c>
      <c r="T46" s="19">
        <v>4.0</v>
      </c>
      <c r="U46" s="19">
        <v>4.0</v>
      </c>
      <c r="V46" s="19">
        <v>3.0</v>
      </c>
      <c r="W46" s="19">
        <v>5.0</v>
      </c>
      <c r="X46" s="19">
        <v>8.0</v>
      </c>
      <c r="Y46" s="19">
        <v>4.0</v>
      </c>
      <c r="Z46" s="19">
        <v>5.0</v>
      </c>
      <c r="AA46" s="13">
        <f t="shared" si="14"/>
        <v>89</v>
      </c>
    </row>
    <row r="47" ht="12.75" customHeight="1">
      <c r="A47" s="18"/>
      <c r="B47" s="49">
        <v>2.0</v>
      </c>
      <c r="C47" s="50" t="s">
        <v>41</v>
      </c>
      <c r="D47" s="51"/>
      <c r="E47" s="19">
        <v>76.0</v>
      </c>
      <c r="F47" s="19">
        <v>31.0</v>
      </c>
      <c r="G47" s="19">
        <v>63.0</v>
      </c>
      <c r="H47" s="19">
        <v>68.0</v>
      </c>
      <c r="I47" s="19">
        <v>44.0</v>
      </c>
      <c r="J47" s="19">
        <v>52.0</v>
      </c>
      <c r="K47" s="19">
        <v>20.0</v>
      </c>
      <c r="L47" s="19">
        <v>45.0</v>
      </c>
      <c r="M47" s="19">
        <v>22.0</v>
      </c>
      <c r="N47" s="19">
        <v>38.0</v>
      </c>
      <c r="O47" s="19">
        <v>39.0</v>
      </c>
      <c r="P47" s="19">
        <v>17.0</v>
      </c>
      <c r="Q47" s="19">
        <v>11.0</v>
      </c>
      <c r="R47" s="19">
        <v>14.0</v>
      </c>
      <c r="S47" s="19">
        <v>33.0</v>
      </c>
      <c r="T47" s="19">
        <v>27.0</v>
      </c>
      <c r="U47" s="19">
        <v>42.0</v>
      </c>
      <c r="V47" s="19">
        <v>124.0</v>
      </c>
      <c r="W47" s="19">
        <v>96.0</v>
      </c>
      <c r="X47" s="19">
        <v>78.0</v>
      </c>
      <c r="Y47" s="19">
        <v>38.0</v>
      </c>
      <c r="Z47" s="19">
        <v>16.0</v>
      </c>
      <c r="AA47" s="13">
        <f t="shared" si="14"/>
        <v>994</v>
      </c>
    </row>
    <row r="48" ht="12.75" customHeight="1">
      <c r="A48" s="18"/>
      <c r="B48" s="49">
        <v>3.0</v>
      </c>
      <c r="C48" s="50" t="s">
        <v>42</v>
      </c>
      <c r="D48" s="51"/>
      <c r="E48" s="19">
        <v>29.0</v>
      </c>
      <c r="F48" s="19">
        <v>15.0</v>
      </c>
      <c r="G48" s="19">
        <v>1.0</v>
      </c>
      <c r="H48" s="19">
        <v>14.0</v>
      </c>
      <c r="I48" s="19">
        <v>1.0</v>
      </c>
      <c r="J48" s="19">
        <v>1.0</v>
      </c>
      <c r="K48" s="19">
        <v>1.0</v>
      </c>
      <c r="L48" s="19">
        <v>0.0</v>
      </c>
      <c r="M48" s="19">
        <v>0.0</v>
      </c>
      <c r="N48" s="19">
        <v>0.0</v>
      </c>
      <c r="O48" s="19">
        <v>1.0</v>
      </c>
      <c r="P48" s="19">
        <v>0.0</v>
      </c>
      <c r="Q48" s="19">
        <v>0.0</v>
      </c>
      <c r="R48" s="19">
        <v>0.0</v>
      </c>
      <c r="S48" s="19">
        <v>0.0</v>
      </c>
      <c r="T48" s="19">
        <v>0.0</v>
      </c>
      <c r="U48" s="19">
        <v>2.0</v>
      </c>
      <c r="V48" s="19">
        <v>0.0</v>
      </c>
      <c r="W48" s="19">
        <v>2.0</v>
      </c>
      <c r="X48" s="19">
        <v>3.0</v>
      </c>
      <c r="Y48" s="19">
        <v>0.0</v>
      </c>
      <c r="Z48" s="19">
        <v>1.0</v>
      </c>
      <c r="AA48" s="13">
        <f t="shared" si="14"/>
        <v>71</v>
      </c>
    </row>
    <row r="49" ht="12.75" customHeight="1">
      <c r="A49" s="18"/>
      <c r="B49" s="49">
        <v>4.0</v>
      </c>
      <c r="C49" s="50" t="s">
        <v>43</v>
      </c>
      <c r="D49" s="51"/>
      <c r="E49" s="19">
        <v>0.0</v>
      </c>
      <c r="F49" s="19">
        <v>0.0</v>
      </c>
      <c r="G49" s="19">
        <v>0.0</v>
      </c>
      <c r="H49" s="19">
        <v>1.0</v>
      </c>
      <c r="I49" s="19">
        <v>0.0</v>
      </c>
      <c r="J49" s="19">
        <v>0.0</v>
      </c>
      <c r="K49" s="19">
        <v>0.0</v>
      </c>
      <c r="L49" s="19">
        <v>0.0</v>
      </c>
      <c r="M49" s="19">
        <v>0.0</v>
      </c>
      <c r="N49" s="19">
        <v>0.0</v>
      </c>
      <c r="O49" s="19">
        <v>0.0</v>
      </c>
      <c r="P49" s="19">
        <v>0.0</v>
      </c>
      <c r="Q49" s="19">
        <v>0.0</v>
      </c>
      <c r="R49" s="19">
        <v>0.0</v>
      </c>
      <c r="S49" s="19">
        <v>1.0</v>
      </c>
      <c r="T49" s="19">
        <v>0.0</v>
      </c>
      <c r="U49" s="19">
        <v>0.0</v>
      </c>
      <c r="V49" s="19">
        <v>0.0</v>
      </c>
      <c r="W49" s="19">
        <v>0.0</v>
      </c>
      <c r="X49" s="19">
        <v>0.0</v>
      </c>
      <c r="Y49" s="19">
        <v>0.0</v>
      </c>
      <c r="Z49" s="19">
        <v>0.0</v>
      </c>
      <c r="AA49" s="13">
        <f t="shared" si="14"/>
        <v>2</v>
      </c>
    </row>
    <row r="50" ht="12.75" customHeight="1">
      <c r="A50" s="18"/>
      <c r="B50" s="49">
        <v>5.0</v>
      </c>
      <c r="C50" s="50" t="s">
        <v>44</v>
      </c>
      <c r="D50" s="51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1.0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0.0</v>
      </c>
      <c r="V50" s="19">
        <v>0.0</v>
      </c>
      <c r="W50" s="19">
        <v>0.0</v>
      </c>
      <c r="X50" s="19">
        <v>0.0</v>
      </c>
      <c r="Y50" s="19">
        <v>0.0</v>
      </c>
      <c r="Z50" s="19">
        <v>0.0</v>
      </c>
      <c r="AA50" s="13">
        <f t="shared" si="14"/>
        <v>1</v>
      </c>
    </row>
    <row r="51" ht="12.75" customHeight="1">
      <c r="A51" s="18"/>
      <c r="B51" s="49">
        <v>6.0</v>
      </c>
      <c r="C51" s="50" t="s">
        <v>45</v>
      </c>
      <c r="D51" s="51"/>
      <c r="E51" s="19">
        <v>2.0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1.0</v>
      </c>
      <c r="L51" s="19">
        <v>0.0</v>
      </c>
      <c r="M51" s="19">
        <v>0.0</v>
      </c>
      <c r="N51" s="19">
        <v>1.0</v>
      </c>
      <c r="O51" s="19">
        <v>4.0</v>
      </c>
      <c r="P51" s="19">
        <v>4.0</v>
      </c>
      <c r="Q51" s="19">
        <v>0.0</v>
      </c>
      <c r="R51" s="19">
        <v>1.0</v>
      </c>
      <c r="S51" s="19">
        <v>0.0</v>
      </c>
      <c r="T51" s="19">
        <v>3.0</v>
      </c>
      <c r="U51" s="19">
        <v>1.0</v>
      </c>
      <c r="V51" s="19">
        <v>0.0</v>
      </c>
      <c r="W51" s="19">
        <v>1.0</v>
      </c>
      <c r="X51" s="19">
        <v>0.0</v>
      </c>
      <c r="Y51" s="19">
        <v>0.0</v>
      </c>
      <c r="Z51" s="19">
        <v>0.0</v>
      </c>
      <c r="AA51" s="13">
        <f t="shared" si="14"/>
        <v>18</v>
      </c>
    </row>
    <row r="52" ht="12.75" customHeight="1">
      <c r="A52" s="19" t="s">
        <v>15</v>
      </c>
      <c r="B52" s="47" t="s">
        <v>46</v>
      </c>
      <c r="C52" s="15"/>
      <c r="D52" s="16"/>
      <c r="E52" s="56">
        <f t="shared" ref="E52:Z52" si="15">SUM(E45:E51)</f>
        <v>125</v>
      </c>
      <c r="F52" s="56">
        <f t="shared" si="15"/>
        <v>51</v>
      </c>
      <c r="G52" s="56">
        <f t="shared" si="15"/>
        <v>75</v>
      </c>
      <c r="H52" s="56">
        <f t="shared" si="15"/>
        <v>95</v>
      </c>
      <c r="I52" s="56">
        <f t="shared" si="15"/>
        <v>62</v>
      </c>
      <c r="J52" s="56">
        <f t="shared" si="15"/>
        <v>66</v>
      </c>
      <c r="K52" s="56">
        <f t="shared" si="15"/>
        <v>36</v>
      </c>
      <c r="L52" s="56">
        <f t="shared" si="15"/>
        <v>50</v>
      </c>
      <c r="M52" s="56">
        <f t="shared" si="15"/>
        <v>29</v>
      </c>
      <c r="N52" s="56">
        <f t="shared" si="15"/>
        <v>45</v>
      </c>
      <c r="O52" s="56">
        <f t="shared" si="15"/>
        <v>55</v>
      </c>
      <c r="P52" s="56">
        <f t="shared" si="15"/>
        <v>24</v>
      </c>
      <c r="Q52" s="56">
        <f t="shared" si="15"/>
        <v>15</v>
      </c>
      <c r="R52" s="56">
        <f t="shared" si="15"/>
        <v>20</v>
      </c>
      <c r="S52" s="56">
        <f t="shared" si="15"/>
        <v>36</v>
      </c>
      <c r="T52" s="56">
        <f t="shared" si="15"/>
        <v>37</v>
      </c>
      <c r="U52" s="56">
        <f t="shared" si="15"/>
        <v>52</v>
      </c>
      <c r="V52" s="56">
        <f t="shared" si="15"/>
        <v>138</v>
      </c>
      <c r="W52" s="56">
        <f t="shared" si="15"/>
        <v>112</v>
      </c>
      <c r="X52" s="56">
        <f t="shared" si="15"/>
        <v>93</v>
      </c>
      <c r="Y52" s="56">
        <f t="shared" si="15"/>
        <v>48</v>
      </c>
      <c r="Z52" s="56">
        <f t="shared" si="15"/>
        <v>26</v>
      </c>
      <c r="AA52" s="13">
        <f t="shared" si="14"/>
        <v>1290</v>
      </c>
    </row>
    <row r="53" ht="12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13">
        <f t="shared" si="14"/>
        <v>0</v>
      </c>
    </row>
    <row r="54" ht="12.75" customHeight="1">
      <c r="A54" s="30" t="s">
        <v>37</v>
      </c>
      <c r="B54" s="47" t="s">
        <v>19</v>
      </c>
      <c r="C54" s="48" t="s">
        <v>47</v>
      </c>
      <c r="D54" s="16"/>
      <c r="E54" s="19">
        <v>10.0</v>
      </c>
      <c r="F54" s="19">
        <v>5.0</v>
      </c>
      <c r="G54" s="19">
        <v>6.0</v>
      </c>
      <c r="H54" s="19">
        <v>10.0</v>
      </c>
      <c r="I54" s="19">
        <v>20.0</v>
      </c>
      <c r="J54" s="19">
        <v>8.0</v>
      </c>
      <c r="K54" s="19">
        <v>7.0</v>
      </c>
      <c r="L54" s="19">
        <v>12.0</v>
      </c>
      <c r="M54" s="19">
        <v>3.0</v>
      </c>
      <c r="N54" s="19">
        <v>5.0</v>
      </c>
      <c r="O54" s="19">
        <v>7.0</v>
      </c>
      <c r="P54" s="19">
        <v>8.0</v>
      </c>
      <c r="Q54" s="19">
        <v>9.0</v>
      </c>
      <c r="R54" s="19">
        <v>6.0</v>
      </c>
      <c r="S54" s="19">
        <v>9.0</v>
      </c>
      <c r="T54" s="19">
        <v>6.0</v>
      </c>
      <c r="U54" s="19">
        <v>4.0</v>
      </c>
      <c r="V54" s="19">
        <v>10.0</v>
      </c>
      <c r="W54" s="19">
        <v>22.0</v>
      </c>
      <c r="X54" s="19">
        <v>3.0</v>
      </c>
      <c r="Y54" s="19">
        <v>3.0</v>
      </c>
      <c r="Z54" s="19">
        <v>7.0</v>
      </c>
      <c r="AA54" s="13">
        <f t="shared" si="14"/>
        <v>180</v>
      </c>
    </row>
    <row r="55" ht="15.0" customHeight="1">
      <c r="A55" s="30" t="s">
        <v>39</v>
      </c>
      <c r="B55" s="49">
        <v>1.0</v>
      </c>
      <c r="C55" s="50" t="s">
        <v>48</v>
      </c>
      <c r="D55" s="51"/>
      <c r="E55" s="19">
        <v>1.0</v>
      </c>
      <c r="F55" s="19">
        <v>2.0</v>
      </c>
      <c r="G55" s="19">
        <v>2.0</v>
      </c>
      <c r="H55" s="19">
        <v>2.0</v>
      </c>
      <c r="I55" s="19">
        <v>7.0</v>
      </c>
      <c r="J55" s="19">
        <v>10.0</v>
      </c>
      <c r="K55" s="19">
        <v>9.0</v>
      </c>
      <c r="L55" s="19">
        <v>4.0</v>
      </c>
      <c r="M55" s="19">
        <v>2.0</v>
      </c>
      <c r="N55" s="19">
        <v>4.0</v>
      </c>
      <c r="O55" s="19">
        <v>5.0</v>
      </c>
      <c r="P55" s="19">
        <v>8.0</v>
      </c>
      <c r="Q55" s="19">
        <v>5.0</v>
      </c>
      <c r="R55" s="19">
        <v>7.0</v>
      </c>
      <c r="S55" s="19">
        <v>5.0</v>
      </c>
      <c r="T55" s="19">
        <v>5.0</v>
      </c>
      <c r="U55" s="19">
        <v>3.0</v>
      </c>
      <c r="V55" s="19">
        <v>7.0</v>
      </c>
      <c r="W55" s="19">
        <v>4.0</v>
      </c>
      <c r="X55" s="19">
        <v>5.0</v>
      </c>
      <c r="Y55" s="19">
        <v>11.0</v>
      </c>
      <c r="Z55" s="19">
        <v>2.0</v>
      </c>
      <c r="AA55" s="13">
        <f t="shared" si="14"/>
        <v>110</v>
      </c>
    </row>
    <row r="56" ht="12.75" customHeight="1">
      <c r="A56" s="18"/>
      <c r="B56" s="49">
        <v>2.0</v>
      </c>
      <c r="C56" s="50" t="s">
        <v>49</v>
      </c>
      <c r="D56" s="51"/>
      <c r="E56" s="19">
        <v>2.0</v>
      </c>
      <c r="F56" s="19">
        <v>1.0</v>
      </c>
      <c r="G56" s="19">
        <v>1.0</v>
      </c>
      <c r="H56" s="19">
        <v>2.0</v>
      </c>
      <c r="I56" s="19">
        <v>2.0</v>
      </c>
      <c r="J56" s="19">
        <v>2.0</v>
      </c>
      <c r="K56" s="19">
        <v>1.0</v>
      </c>
      <c r="L56" s="19">
        <v>1.0</v>
      </c>
      <c r="M56" s="19">
        <v>2.0</v>
      </c>
      <c r="N56" s="19">
        <v>5.0</v>
      </c>
      <c r="O56" s="19">
        <v>2.0</v>
      </c>
      <c r="P56" s="19">
        <v>0.0</v>
      </c>
      <c r="Q56" s="19">
        <v>3.0</v>
      </c>
      <c r="R56" s="19">
        <v>4.0</v>
      </c>
      <c r="S56" s="19">
        <v>0.0</v>
      </c>
      <c r="T56" s="19">
        <v>2.0</v>
      </c>
      <c r="U56" s="19">
        <v>7.0</v>
      </c>
      <c r="V56" s="19">
        <v>4.0</v>
      </c>
      <c r="W56" s="19">
        <v>5.0</v>
      </c>
      <c r="X56" s="19">
        <v>7.0</v>
      </c>
      <c r="Y56" s="19">
        <v>2.0</v>
      </c>
      <c r="Z56" s="19">
        <v>4.0</v>
      </c>
      <c r="AA56" s="13">
        <f t="shared" si="14"/>
        <v>59</v>
      </c>
    </row>
    <row r="57" ht="12.75" customHeight="1">
      <c r="A57" s="18"/>
      <c r="B57" s="49">
        <v>3.0</v>
      </c>
      <c r="C57" s="50" t="s">
        <v>50</v>
      </c>
      <c r="D57" s="51"/>
      <c r="E57" s="19">
        <v>0.0</v>
      </c>
      <c r="F57" s="19">
        <v>0.0</v>
      </c>
      <c r="G57" s="19">
        <v>0.0</v>
      </c>
      <c r="H57" s="19">
        <v>1.0</v>
      </c>
      <c r="I57" s="19">
        <v>0.0</v>
      </c>
      <c r="J57" s="19">
        <v>1.0</v>
      </c>
      <c r="K57" s="19">
        <v>3.0</v>
      </c>
      <c r="L57" s="19">
        <v>0.0</v>
      </c>
      <c r="M57" s="19">
        <v>0.0</v>
      </c>
      <c r="N57" s="19">
        <v>2.0</v>
      </c>
      <c r="O57" s="19">
        <v>2.0</v>
      </c>
      <c r="P57" s="19">
        <v>0.0</v>
      </c>
      <c r="Q57" s="19">
        <v>0.0</v>
      </c>
      <c r="R57" s="19">
        <v>0.0</v>
      </c>
      <c r="S57" s="19">
        <v>1.0</v>
      </c>
      <c r="T57" s="19">
        <v>1.0</v>
      </c>
      <c r="U57" s="19">
        <v>1.0</v>
      </c>
      <c r="V57" s="19">
        <v>3.0</v>
      </c>
      <c r="W57" s="19">
        <v>2.0</v>
      </c>
      <c r="X57" s="19">
        <v>0.0</v>
      </c>
      <c r="Y57" s="19">
        <v>0.0</v>
      </c>
      <c r="Z57" s="19">
        <v>0.0</v>
      </c>
      <c r="AA57" s="13">
        <f t="shared" si="14"/>
        <v>17</v>
      </c>
    </row>
    <row r="58" ht="12.75" customHeight="1">
      <c r="A58" s="18"/>
      <c r="B58" s="49">
        <v>4.0</v>
      </c>
      <c r="C58" s="50" t="s">
        <v>51</v>
      </c>
      <c r="D58" s="51"/>
      <c r="E58" s="19">
        <v>1.0</v>
      </c>
      <c r="F58" s="19">
        <v>0.0</v>
      </c>
      <c r="G58" s="19">
        <v>1.0</v>
      </c>
      <c r="H58" s="19">
        <v>1.0</v>
      </c>
      <c r="I58" s="19">
        <v>1.0</v>
      </c>
      <c r="J58" s="19">
        <v>0.0</v>
      </c>
      <c r="K58" s="19">
        <v>1.0</v>
      </c>
      <c r="L58" s="19">
        <v>1.0</v>
      </c>
      <c r="M58" s="19">
        <v>0.0</v>
      </c>
      <c r="N58" s="19">
        <v>1.0</v>
      </c>
      <c r="O58" s="19">
        <v>0.0</v>
      </c>
      <c r="P58" s="19">
        <v>0.0</v>
      </c>
      <c r="Q58" s="19">
        <v>0.0</v>
      </c>
      <c r="R58" s="19">
        <v>1.0</v>
      </c>
      <c r="S58" s="19">
        <v>0.0</v>
      </c>
      <c r="T58" s="19">
        <v>0.0</v>
      </c>
      <c r="U58" s="19">
        <v>0.0</v>
      </c>
      <c r="V58" s="19">
        <v>0.0</v>
      </c>
      <c r="W58" s="19">
        <v>1.0</v>
      </c>
      <c r="X58" s="19">
        <v>0.0</v>
      </c>
      <c r="Y58" s="19">
        <v>0.0</v>
      </c>
      <c r="Z58" s="19">
        <v>0.0</v>
      </c>
      <c r="AA58" s="13">
        <f t="shared" si="14"/>
        <v>9</v>
      </c>
    </row>
    <row r="59" ht="12.75" customHeight="1">
      <c r="A59" s="18"/>
      <c r="B59" s="49">
        <v>5.0</v>
      </c>
      <c r="C59" s="50" t="s">
        <v>52</v>
      </c>
      <c r="D59" s="51"/>
      <c r="E59" s="19">
        <v>1.0</v>
      </c>
      <c r="F59" s="19">
        <v>0.0</v>
      </c>
      <c r="G59" s="19">
        <v>0.0</v>
      </c>
      <c r="H59" s="19">
        <v>0.0</v>
      </c>
      <c r="I59" s="19">
        <v>3.0</v>
      </c>
      <c r="J59" s="19">
        <v>1.0</v>
      </c>
      <c r="K59" s="19">
        <v>1.0</v>
      </c>
      <c r="L59" s="19">
        <v>1.0</v>
      </c>
      <c r="M59" s="19">
        <v>0.0</v>
      </c>
      <c r="N59" s="19">
        <v>2.0</v>
      </c>
      <c r="O59" s="19">
        <v>1.0</v>
      </c>
      <c r="P59" s="19">
        <v>0.0</v>
      </c>
      <c r="Q59" s="19">
        <v>0.0</v>
      </c>
      <c r="R59" s="19">
        <v>0.0</v>
      </c>
      <c r="S59" s="19">
        <v>0.0</v>
      </c>
      <c r="T59" s="19">
        <v>1.0</v>
      </c>
      <c r="U59" s="19">
        <v>0.0</v>
      </c>
      <c r="V59" s="19">
        <v>0.0</v>
      </c>
      <c r="W59" s="19">
        <v>1.0</v>
      </c>
      <c r="X59" s="19">
        <v>0.0</v>
      </c>
      <c r="Y59" s="19">
        <v>0.0</v>
      </c>
      <c r="Z59" s="19">
        <v>0.0</v>
      </c>
      <c r="AA59" s="13">
        <f t="shared" si="14"/>
        <v>12</v>
      </c>
    </row>
    <row r="60" ht="12.75" customHeight="1">
      <c r="A60" s="18"/>
      <c r="B60" s="49">
        <v>6.0</v>
      </c>
      <c r="C60" s="50" t="s">
        <v>53</v>
      </c>
      <c r="D60" s="51"/>
      <c r="E60" s="19">
        <v>0.0</v>
      </c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19">
        <v>0.0</v>
      </c>
      <c r="L60" s="19">
        <v>0.0</v>
      </c>
      <c r="M60" s="19">
        <v>0.0</v>
      </c>
      <c r="N60" s="19">
        <v>2.0</v>
      </c>
      <c r="O60" s="19">
        <v>0.0</v>
      </c>
      <c r="P60" s="19">
        <v>0.0</v>
      </c>
      <c r="Q60" s="19">
        <v>0.0</v>
      </c>
      <c r="R60" s="19">
        <v>0.0</v>
      </c>
      <c r="S60" s="19">
        <v>0.0</v>
      </c>
      <c r="T60" s="19">
        <v>1.0</v>
      </c>
      <c r="U60" s="19">
        <v>1.0</v>
      </c>
      <c r="V60" s="19">
        <v>1.0</v>
      </c>
      <c r="W60" s="19">
        <v>0.0</v>
      </c>
      <c r="X60" s="19">
        <v>0.0</v>
      </c>
      <c r="Y60" s="19">
        <v>0.0</v>
      </c>
      <c r="Z60" s="19">
        <v>0.0</v>
      </c>
      <c r="AA60" s="13">
        <f t="shared" si="14"/>
        <v>5</v>
      </c>
    </row>
    <row r="61" ht="12.75" customHeight="1">
      <c r="A61" s="19" t="s">
        <v>15</v>
      </c>
      <c r="B61" s="47" t="s">
        <v>46</v>
      </c>
      <c r="C61" s="15"/>
      <c r="D61" s="16"/>
      <c r="E61" s="56">
        <f t="shared" ref="E61:Z61" si="16">SUM(E54:E60)</f>
        <v>15</v>
      </c>
      <c r="F61" s="56">
        <f t="shared" si="16"/>
        <v>8</v>
      </c>
      <c r="G61" s="56">
        <f t="shared" si="16"/>
        <v>10</v>
      </c>
      <c r="H61" s="56">
        <f t="shared" si="16"/>
        <v>16</v>
      </c>
      <c r="I61" s="56">
        <f t="shared" si="16"/>
        <v>33</v>
      </c>
      <c r="J61" s="56">
        <f t="shared" si="16"/>
        <v>22</v>
      </c>
      <c r="K61" s="56">
        <f t="shared" si="16"/>
        <v>22</v>
      </c>
      <c r="L61" s="56">
        <f t="shared" si="16"/>
        <v>19</v>
      </c>
      <c r="M61" s="56">
        <f t="shared" si="16"/>
        <v>7</v>
      </c>
      <c r="N61" s="56">
        <f t="shared" si="16"/>
        <v>21</v>
      </c>
      <c r="O61" s="56">
        <f t="shared" si="16"/>
        <v>17</v>
      </c>
      <c r="P61" s="56">
        <f t="shared" si="16"/>
        <v>16</v>
      </c>
      <c r="Q61" s="56">
        <f t="shared" si="16"/>
        <v>17</v>
      </c>
      <c r="R61" s="56">
        <f t="shared" si="16"/>
        <v>18</v>
      </c>
      <c r="S61" s="56">
        <f t="shared" si="16"/>
        <v>15</v>
      </c>
      <c r="T61" s="56">
        <f t="shared" si="16"/>
        <v>16</v>
      </c>
      <c r="U61" s="56">
        <f t="shared" si="16"/>
        <v>16</v>
      </c>
      <c r="V61" s="56">
        <f t="shared" si="16"/>
        <v>25</v>
      </c>
      <c r="W61" s="56">
        <f t="shared" si="16"/>
        <v>35</v>
      </c>
      <c r="X61" s="56">
        <f t="shared" si="16"/>
        <v>15</v>
      </c>
      <c r="Y61" s="56">
        <f t="shared" si="16"/>
        <v>16</v>
      </c>
      <c r="Z61" s="56">
        <f t="shared" si="16"/>
        <v>13</v>
      </c>
      <c r="AA61" s="13">
        <f t="shared" si="14"/>
        <v>392</v>
      </c>
    </row>
    <row r="62" ht="12.75" customHeight="1">
      <c r="A62" s="57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13">
        <f t="shared" si="14"/>
        <v>0</v>
      </c>
    </row>
    <row r="63" ht="12.75" customHeight="1">
      <c r="A63" s="30" t="s">
        <v>37</v>
      </c>
      <c r="B63" s="47" t="s">
        <v>21</v>
      </c>
      <c r="C63" s="48" t="s">
        <v>54</v>
      </c>
      <c r="D63" s="16"/>
      <c r="E63" s="19">
        <v>8.0</v>
      </c>
      <c r="F63" s="19">
        <v>2.0</v>
      </c>
      <c r="G63" s="19">
        <v>1.0</v>
      </c>
      <c r="H63" s="19">
        <v>5.0</v>
      </c>
      <c r="I63" s="19">
        <v>5.0</v>
      </c>
      <c r="J63" s="19">
        <v>7.0</v>
      </c>
      <c r="K63" s="19">
        <v>4.0</v>
      </c>
      <c r="L63" s="19">
        <v>3.0</v>
      </c>
      <c r="M63" s="19">
        <v>0.0</v>
      </c>
      <c r="N63" s="19">
        <v>3.0</v>
      </c>
      <c r="O63" s="19">
        <v>7.0</v>
      </c>
      <c r="P63" s="19">
        <v>2.0</v>
      </c>
      <c r="Q63" s="19">
        <v>12.0</v>
      </c>
      <c r="R63" s="19">
        <v>16.0</v>
      </c>
      <c r="S63" s="19">
        <v>5.0</v>
      </c>
      <c r="T63" s="19">
        <v>7.0</v>
      </c>
      <c r="U63" s="19">
        <v>6.0</v>
      </c>
      <c r="V63" s="19">
        <v>4.0</v>
      </c>
      <c r="W63" s="19">
        <v>12.0</v>
      </c>
      <c r="X63" s="19">
        <v>2.0</v>
      </c>
      <c r="Y63" s="19">
        <v>3.0</v>
      </c>
      <c r="Z63" s="19">
        <v>7.0</v>
      </c>
      <c r="AA63" s="13">
        <f t="shared" si="14"/>
        <v>121</v>
      </c>
    </row>
    <row r="64" ht="12.75" customHeight="1">
      <c r="A64" s="30" t="s">
        <v>39</v>
      </c>
      <c r="B64" s="49">
        <v>1.0</v>
      </c>
      <c r="C64" s="50" t="s">
        <v>55</v>
      </c>
      <c r="D64" s="51"/>
      <c r="E64" s="19">
        <v>2.0</v>
      </c>
      <c r="F64" s="19">
        <v>0.0</v>
      </c>
      <c r="G64" s="19">
        <v>1.0</v>
      </c>
      <c r="H64" s="19">
        <v>0.0</v>
      </c>
      <c r="I64" s="19">
        <v>0.0</v>
      </c>
      <c r="J64" s="19">
        <v>3.0</v>
      </c>
      <c r="K64" s="19">
        <v>11.0</v>
      </c>
      <c r="L64" s="19">
        <v>2.0</v>
      </c>
      <c r="M64" s="19">
        <v>1.0</v>
      </c>
      <c r="N64" s="19">
        <v>5.0</v>
      </c>
      <c r="O64" s="19">
        <v>1.0</v>
      </c>
      <c r="P64" s="19">
        <v>0.0</v>
      </c>
      <c r="Q64" s="19">
        <v>2.0</v>
      </c>
      <c r="R64" s="19">
        <v>2.0</v>
      </c>
      <c r="S64" s="19">
        <v>5.0</v>
      </c>
      <c r="T64" s="19">
        <v>3.0</v>
      </c>
      <c r="U64" s="19">
        <v>1.0</v>
      </c>
      <c r="V64" s="19">
        <v>0.0</v>
      </c>
      <c r="W64" s="19">
        <v>0.0</v>
      </c>
      <c r="X64" s="19">
        <v>1.0</v>
      </c>
      <c r="Y64" s="19">
        <v>1.0</v>
      </c>
      <c r="Z64" s="19">
        <v>0.0</v>
      </c>
      <c r="AA64" s="13">
        <f t="shared" si="14"/>
        <v>41</v>
      </c>
    </row>
    <row r="65" ht="12.75" customHeight="1">
      <c r="A65" s="18"/>
      <c r="B65" s="49">
        <v>2.0</v>
      </c>
      <c r="C65" s="50" t="s">
        <v>56</v>
      </c>
      <c r="D65" s="51"/>
      <c r="E65" s="19">
        <v>15.0</v>
      </c>
      <c r="F65" s="19">
        <v>3.0</v>
      </c>
      <c r="G65" s="19">
        <v>11.0</v>
      </c>
      <c r="H65" s="19">
        <v>6.0</v>
      </c>
      <c r="I65" s="19">
        <v>14.0</v>
      </c>
      <c r="J65" s="19">
        <v>9.0</v>
      </c>
      <c r="K65" s="19">
        <v>5.0</v>
      </c>
      <c r="L65" s="19">
        <v>1.0</v>
      </c>
      <c r="M65" s="19">
        <v>1.0</v>
      </c>
      <c r="N65" s="19">
        <v>12.0</v>
      </c>
      <c r="O65" s="19">
        <v>4.0</v>
      </c>
      <c r="P65" s="19">
        <v>2.0</v>
      </c>
      <c r="Q65" s="19">
        <v>1.0</v>
      </c>
      <c r="R65" s="19">
        <v>4.0</v>
      </c>
      <c r="S65" s="19">
        <v>4.0</v>
      </c>
      <c r="T65" s="19">
        <v>16.0</v>
      </c>
      <c r="U65" s="19">
        <v>17.0</v>
      </c>
      <c r="V65" s="19">
        <v>1.0</v>
      </c>
      <c r="W65" s="19">
        <v>12.0</v>
      </c>
      <c r="X65" s="19">
        <v>20.0</v>
      </c>
      <c r="Y65" s="19">
        <v>7.0</v>
      </c>
      <c r="Z65" s="19">
        <v>16.0</v>
      </c>
      <c r="AA65" s="13">
        <f t="shared" si="14"/>
        <v>181</v>
      </c>
    </row>
    <row r="66" ht="12.75" customHeight="1">
      <c r="A66" s="18"/>
      <c r="B66" s="49">
        <v>3.0</v>
      </c>
      <c r="C66" s="50" t="s">
        <v>57</v>
      </c>
      <c r="D66" s="51"/>
      <c r="E66" s="19">
        <v>1.0</v>
      </c>
      <c r="F66" s="19">
        <v>1.0</v>
      </c>
      <c r="G66" s="19">
        <v>1.0</v>
      </c>
      <c r="H66" s="19">
        <v>0.0</v>
      </c>
      <c r="I66" s="19">
        <v>16.0</v>
      </c>
      <c r="J66" s="19">
        <v>6.0</v>
      </c>
      <c r="K66" s="19">
        <v>4.0</v>
      </c>
      <c r="L66" s="19">
        <v>3.0</v>
      </c>
      <c r="M66" s="19">
        <v>1.0</v>
      </c>
      <c r="N66" s="19">
        <v>4.0</v>
      </c>
      <c r="O66" s="19">
        <v>21.0</v>
      </c>
      <c r="P66" s="19">
        <v>13.0</v>
      </c>
      <c r="Q66" s="19">
        <v>110.0</v>
      </c>
      <c r="R66" s="19">
        <v>43.0</v>
      </c>
      <c r="S66" s="19">
        <v>16.0</v>
      </c>
      <c r="T66" s="19">
        <v>10.0</v>
      </c>
      <c r="U66" s="19">
        <v>11.0</v>
      </c>
      <c r="V66" s="19">
        <v>4.0</v>
      </c>
      <c r="W66" s="19">
        <v>5.0</v>
      </c>
      <c r="X66" s="19">
        <v>4.0</v>
      </c>
      <c r="Y66" s="19">
        <v>6.0</v>
      </c>
      <c r="Z66" s="19">
        <v>2.0</v>
      </c>
      <c r="AA66" s="13">
        <f t="shared" si="14"/>
        <v>282</v>
      </c>
    </row>
    <row r="67" ht="15.0" customHeight="1">
      <c r="A67" s="18"/>
      <c r="B67" s="49">
        <v>4.0</v>
      </c>
      <c r="C67" s="50" t="s">
        <v>58</v>
      </c>
      <c r="D67" s="51"/>
      <c r="E67" s="19">
        <v>8.0</v>
      </c>
      <c r="F67" s="19">
        <v>0.0</v>
      </c>
      <c r="G67" s="19">
        <v>0.0</v>
      </c>
      <c r="H67" s="19">
        <v>0.0</v>
      </c>
      <c r="I67" s="19">
        <v>1.0</v>
      </c>
      <c r="J67" s="19">
        <v>0.0</v>
      </c>
      <c r="K67" s="19">
        <v>0.0</v>
      </c>
      <c r="L67" s="19">
        <v>0.0</v>
      </c>
      <c r="M67" s="19">
        <v>0.0</v>
      </c>
      <c r="N67" s="19">
        <v>1.0</v>
      </c>
      <c r="O67" s="19">
        <v>0.0</v>
      </c>
      <c r="P67" s="19">
        <v>0.0</v>
      </c>
      <c r="Q67" s="19">
        <v>0.0</v>
      </c>
      <c r="R67" s="19">
        <v>2.0</v>
      </c>
      <c r="S67" s="19">
        <v>0.0</v>
      </c>
      <c r="T67" s="19">
        <v>1.0</v>
      </c>
      <c r="U67" s="19">
        <v>1.0</v>
      </c>
      <c r="V67" s="19">
        <v>1.0</v>
      </c>
      <c r="W67" s="19">
        <v>0.0</v>
      </c>
      <c r="X67" s="19">
        <v>0.0</v>
      </c>
      <c r="Y67" s="19">
        <v>1.0</v>
      </c>
      <c r="Z67" s="19">
        <v>0.0</v>
      </c>
      <c r="AA67" s="13">
        <f t="shared" si="14"/>
        <v>16</v>
      </c>
    </row>
    <row r="68" ht="12.75" customHeight="1">
      <c r="A68" s="18"/>
      <c r="B68" s="49">
        <v>5.0</v>
      </c>
      <c r="C68" s="50" t="s">
        <v>59</v>
      </c>
      <c r="D68" s="51"/>
      <c r="E68" s="19">
        <v>0.0</v>
      </c>
      <c r="F68" s="19">
        <v>0.0</v>
      </c>
      <c r="G68" s="19">
        <v>0.0</v>
      </c>
      <c r="H68" s="19">
        <v>0.0</v>
      </c>
      <c r="I68" s="19">
        <v>1.0</v>
      </c>
      <c r="J68" s="19">
        <v>0.0</v>
      </c>
      <c r="K68" s="19">
        <v>1.0</v>
      </c>
      <c r="L68" s="19">
        <v>0.0</v>
      </c>
      <c r="M68" s="19">
        <v>0.0</v>
      </c>
      <c r="N68" s="19">
        <v>0.0</v>
      </c>
      <c r="O68" s="19">
        <v>0.0</v>
      </c>
      <c r="P68" s="19">
        <v>0.0</v>
      </c>
      <c r="Q68" s="19">
        <v>1.0</v>
      </c>
      <c r="R68" s="19">
        <v>0.0</v>
      </c>
      <c r="S68" s="19">
        <v>0.0</v>
      </c>
      <c r="T68" s="19">
        <v>0.0</v>
      </c>
      <c r="U68" s="19">
        <v>1.0</v>
      </c>
      <c r="V68" s="19">
        <v>0.0</v>
      </c>
      <c r="W68" s="19">
        <v>0.0</v>
      </c>
      <c r="X68" s="19">
        <v>0.0</v>
      </c>
      <c r="Y68" s="19">
        <v>0.0</v>
      </c>
      <c r="Z68" s="19">
        <v>0.0</v>
      </c>
      <c r="AA68" s="13">
        <f t="shared" si="14"/>
        <v>4</v>
      </c>
    </row>
    <row r="69" ht="12.75" customHeight="1">
      <c r="A69" s="18"/>
      <c r="B69" s="49">
        <v>6.0</v>
      </c>
      <c r="C69" s="50" t="s">
        <v>60</v>
      </c>
      <c r="D69" s="51"/>
      <c r="E69" s="19">
        <v>0.0</v>
      </c>
      <c r="F69" s="19">
        <v>0.0</v>
      </c>
      <c r="G69" s="19">
        <v>0.0</v>
      </c>
      <c r="H69" s="19">
        <v>0.0</v>
      </c>
      <c r="I69" s="19">
        <v>0.0</v>
      </c>
      <c r="J69" s="19">
        <v>0.0</v>
      </c>
      <c r="K69" s="19">
        <v>0.0</v>
      </c>
      <c r="L69" s="19">
        <v>0.0</v>
      </c>
      <c r="M69" s="19">
        <v>0.0</v>
      </c>
      <c r="N69" s="19">
        <v>0.0</v>
      </c>
      <c r="O69" s="19">
        <v>0.0</v>
      </c>
      <c r="P69" s="19">
        <v>0.0</v>
      </c>
      <c r="Q69" s="19">
        <v>0.0</v>
      </c>
      <c r="R69" s="19">
        <v>0.0</v>
      </c>
      <c r="S69" s="19">
        <v>0.0</v>
      </c>
      <c r="T69" s="19">
        <v>1.0</v>
      </c>
      <c r="U69" s="19">
        <v>0.0</v>
      </c>
      <c r="V69" s="19">
        <v>0.0</v>
      </c>
      <c r="W69" s="19">
        <v>0.0</v>
      </c>
      <c r="X69" s="19">
        <v>1.0</v>
      </c>
      <c r="Y69" s="19">
        <v>0.0</v>
      </c>
      <c r="Z69" s="19">
        <v>0.0</v>
      </c>
      <c r="AA69" s="13">
        <f t="shared" si="14"/>
        <v>2</v>
      </c>
    </row>
    <row r="70" ht="12.75" customHeight="1">
      <c r="A70" s="19" t="s">
        <v>15</v>
      </c>
      <c r="B70" s="47" t="s">
        <v>46</v>
      </c>
      <c r="C70" s="15"/>
      <c r="D70" s="16"/>
      <c r="E70" s="56">
        <f t="shared" ref="E70:Z70" si="17">SUM(E63:E69)</f>
        <v>34</v>
      </c>
      <c r="F70" s="56">
        <f t="shared" si="17"/>
        <v>6</v>
      </c>
      <c r="G70" s="56">
        <f t="shared" si="17"/>
        <v>14</v>
      </c>
      <c r="H70" s="56">
        <f t="shared" si="17"/>
        <v>11</v>
      </c>
      <c r="I70" s="56">
        <f t="shared" si="17"/>
        <v>37</v>
      </c>
      <c r="J70" s="56">
        <f t="shared" si="17"/>
        <v>25</v>
      </c>
      <c r="K70" s="56">
        <f t="shared" si="17"/>
        <v>25</v>
      </c>
      <c r="L70" s="56">
        <f t="shared" si="17"/>
        <v>9</v>
      </c>
      <c r="M70" s="56">
        <f t="shared" si="17"/>
        <v>3</v>
      </c>
      <c r="N70" s="56">
        <f t="shared" si="17"/>
        <v>25</v>
      </c>
      <c r="O70" s="56">
        <f t="shared" si="17"/>
        <v>33</v>
      </c>
      <c r="P70" s="56">
        <f t="shared" si="17"/>
        <v>17</v>
      </c>
      <c r="Q70" s="56">
        <f t="shared" si="17"/>
        <v>126</v>
      </c>
      <c r="R70" s="56">
        <f t="shared" si="17"/>
        <v>67</v>
      </c>
      <c r="S70" s="56">
        <f t="shared" si="17"/>
        <v>30</v>
      </c>
      <c r="T70" s="56">
        <f t="shared" si="17"/>
        <v>38</v>
      </c>
      <c r="U70" s="56">
        <f t="shared" si="17"/>
        <v>37</v>
      </c>
      <c r="V70" s="56">
        <f t="shared" si="17"/>
        <v>10</v>
      </c>
      <c r="W70" s="56">
        <f t="shared" si="17"/>
        <v>29</v>
      </c>
      <c r="X70" s="56">
        <f t="shared" si="17"/>
        <v>28</v>
      </c>
      <c r="Y70" s="56">
        <f t="shared" si="17"/>
        <v>18</v>
      </c>
      <c r="Z70" s="56">
        <f t="shared" si="17"/>
        <v>25</v>
      </c>
      <c r="AA70" s="13">
        <f t="shared" si="14"/>
        <v>647</v>
      </c>
    </row>
    <row r="71" ht="12.75" customHeight="1">
      <c r="A71" s="57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13">
        <f t="shared" si="14"/>
        <v>0</v>
      </c>
    </row>
    <row r="72" ht="12.75" customHeight="1">
      <c r="A72" s="30" t="s">
        <v>37</v>
      </c>
      <c r="B72" s="47" t="s">
        <v>23</v>
      </c>
      <c r="C72" s="48" t="s">
        <v>61</v>
      </c>
      <c r="D72" s="16"/>
      <c r="E72" s="19">
        <v>1.0</v>
      </c>
      <c r="F72" s="19">
        <v>9.0</v>
      </c>
      <c r="G72" s="19">
        <v>2.0</v>
      </c>
      <c r="H72" s="19">
        <v>6.0</v>
      </c>
      <c r="I72" s="19">
        <v>4.0</v>
      </c>
      <c r="J72" s="19">
        <v>6.0</v>
      </c>
      <c r="K72" s="19">
        <v>7.0</v>
      </c>
      <c r="L72" s="19">
        <v>3.0</v>
      </c>
      <c r="M72" s="19">
        <v>7.0</v>
      </c>
      <c r="N72" s="19">
        <v>5.0</v>
      </c>
      <c r="O72" s="19">
        <v>1.0</v>
      </c>
      <c r="P72" s="19">
        <v>16.0</v>
      </c>
      <c r="Q72" s="19">
        <v>2.0</v>
      </c>
      <c r="R72" s="19">
        <v>7.0</v>
      </c>
      <c r="S72" s="19">
        <v>1.0</v>
      </c>
      <c r="T72" s="19">
        <v>1.0</v>
      </c>
      <c r="U72" s="19">
        <v>0.0</v>
      </c>
      <c r="V72" s="19">
        <v>1.0</v>
      </c>
      <c r="W72" s="19">
        <v>0.0</v>
      </c>
      <c r="X72" s="19">
        <v>12.0</v>
      </c>
      <c r="Y72" s="19">
        <v>13.0</v>
      </c>
      <c r="Z72" s="19">
        <v>22.0</v>
      </c>
      <c r="AA72" s="13">
        <f t="shared" si="14"/>
        <v>126</v>
      </c>
    </row>
    <row r="73" ht="12.75" customHeight="1">
      <c r="A73" s="30" t="s">
        <v>39</v>
      </c>
      <c r="B73" s="49">
        <v>1.0</v>
      </c>
      <c r="C73" s="50" t="s">
        <v>62</v>
      </c>
      <c r="D73" s="51"/>
      <c r="E73" s="19">
        <v>6.0</v>
      </c>
      <c r="F73" s="19">
        <v>40.0</v>
      </c>
      <c r="G73" s="19">
        <v>32.0</v>
      </c>
      <c r="H73" s="19">
        <v>29.0</v>
      </c>
      <c r="I73" s="19">
        <v>35.0</v>
      </c>
      <c r="J73" s="19">
        <v>69.0</v>
      </c>
      <c r="K73" s="19">
        <v>2.0</v>
      </c>
      <c r="L73" s="19">
        <v>46.0</v>
      </c>
      <c r="M73" s="19">
        <v>93.0</v>
      </c>
      <c r="N73" s="19">
        <v>44.0</v>
      </c>
      <c r="O73" s="19">
        <v>15.0</v>
      </c>
      <c r="P73" s="19">
        <v>84.0</v>
      </c>
      <c r="Q73" s="19">
        <v>5.0</v>
      </c>
      <c r="R73" s="19">
        <v>73.0</v>
      </c>
      <c r="S73" s="19">
        <v>5.0</v>
      </c>
      <c r="T73" s="19">
        <v>0.0</v>
      </c>
      <c r="U73" s="19">
        <v>9.0</v>
      </c>
      <c r="V73" s="19">
        <v>0.0</v>
      </c>
      <c r="W73" s="19">
        <v>3.0</v>
      </c>
      <c r="X73" s="19">
        <v>79.0</v>
      </c>
      <c r="Y73" s="19">
        <v>121.0</v>
      </c>
      <c r="Z73" s="19">
        <v>81.0</v>
      </c>
      <c r="AA73" s="13">
        <f t="shared" si="14"/>
        <v>871</v>
      </c>
    </row>
    <row r="74" ht="12.75" customHeight="1">
      <c r="A74" s="18"/>
      <c r="B74" s="49">
        <v>2.0</v>
      </c>
      <c r="C74" s="50" t="s">
        <v>63</v>
      </c>
      <c r="D74" s="51"/>
      <c r="E74" s="19">
        <v>0.0</v>
      </c>
      <c r="F74" s="19">
        <v>1.0</v>
      </c>
      <c r="G74" s="19">
        <v>1.0</v>
      </c>
      <c r="H74" s="19">
        <v>0.0</v>
      </c>
      <c r="I74" s="19">
        <v>1.0</v>
      </c>
      <c r="J74" s="19">
        <v>0.0</v>
      </c>
      <c r="K74" s="19">
        <v>1.0</v>
      </c>
      <c r="L74" s="19">
        <v>1.0</v>
      </c>
      <c r="M74" s="19">
        <v>0.0</v>
      </c>
      <c r="N74" s="19">
        <v>1.0</v>
      </c>
      <c r="O74" s="19">
        <v>0.0</v>
      </c>
      <c r="P74" s="19">
        <v>0.0</v>
      </c>
      <c r="Q74" s="19">
        <v>1.0</v>
      </c>
      <c r="R74" s="19">
        <v>0.0</v>
      </c>
      <c r="S74" s="19">
        <v>0.0</v>
      </c>
      <c r="T74" s="19">
        <v>0.0</v>
      </c>
      <c r="U74" s="19">
        <v>0.0</v>
      </c>
      <c r="V74" s="19">
        <v>0.0</v>
      </c>
      <c r="W74" s="19">
        <v>0.0</v>
      </c>
      <c r="X74" s="19">
        <v>0.0</v>
      </c>
      <c r="Y74" s="19">
        <v>2.0</v>
      </c>
      <c r="Z74" s="19">
        <v>6.0</v>
      </c>
      <c r="AA74" s="13">
        <f t="shared" si="14"/>
        <v>15</v>
      </c>
    </row>
    <row r="75" ht="12.75" customHeight="1">
      <c r="A75" s="18"/>
      <c r="B75" s="49">
        <v>3.0</v>
      </c>
      <c r="C75" s="50" t="s">
        <v>64</v>
      </c>
      <c r="D75" s="51"/>
      <c r="E75" s="19">
        <v>0.0</v>
      </c>
      <c r="F75" s="19">
        <v>0.0</v>
      </c>
      <c r="G75" s="19">
        <v>0.0</v>
      </c>
      <c r="H75" s="19">
        <v>0.0</v>
      </c>
      <c r="I75" s="19">
        <v>1.0</v>
      </c>
      <c r="J75" s="19">
        <v>0.0</v>
      </c>
      <c r="K75" s="19">
        <v>1.0</v>
      </c>
      <c r="L75" s="19">
        <v>1.0</v>
      </c>
      <c r="M75" s="19">
        <v>1.0</v>
      </c>
      <c r="N75" s="19">
        <v>1.0</v>
      </c>
      <c r="O75" s="19">
        <v>0.0</v>
      </c>
      <c r="P75" s="19">
        <v>0.0</v>
      </c>
      <c r="Q75" s="19">
        <v>0.0</v>
      </c>
      <c r="R75" s="19">
        <v>0.0</v>
      </c>
      <c r="S75" s="19">
        <v>0.0</v>
      </c>
      <c r="T75" s="19">
        <v>0.0</v>
      </c>
      <c r="U75" s="19">
        <v>0.0</v>
      </c>
      <c r="V75" s="19">
        <v>0.0</v>
      </c>
      <c r="W75" s="19">
        <v>0.0</v>
      </c>
      <c r="X75" s="19">
        <v>0.0</v>
      </c>
      <c r="Y75" s="19">
        <v>0.0</v>
      </c>
      <c r="Z75" s="19">
        <v>1.0</v>
      </c>
      <c r="AA75" s="13">
        <f t="shared" si="14"/>
        <v>6</v>
      </c>
    </row>
    <row r="76" ht="12.75" customHeight="1">
      <c r="A76" s="18"/>
      <c r="B76" s="49">
        <v>4.0</v>
      </c>
      <c r="C76" s="50" t="s">
        <v>65</v>
      </c>
      <c r="D76" s="51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1.0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19">
        <v>0.0</v>
      </c>
      <c r="U76" s="19">
        <v>0.0</v>
      </c>
      <c r="V76" s="19">
        <v>0.0</v>
      </c>
      <c r="W76" s="19">
        <v>0.0</v>
      </c>
      <c r="X76" s="19">
        <v>0.0</v>
      </c>
      <c r="Y76" s="19">
        <v>0.0</v>
      </c>
      <c r="Z76" s="19">
        <v>2.0</v>
      </c>
      <c r="AA76" s="13">
        <f t="shared" si="14"/>
        <v>3</v>
      </c>
    </row>
    <row r="77" ht="12.75" customHeight="1">
      <c r="A77" s="18"/>
      <c r="B77" s="49">
        <v>5.0</v>
      </c>
      <c r="C77" s="50" t="s">
        <v>66</v>
      </c>
      <c r="D77" s="51"/>
      <c r="E77" s="19">
        <v>0.0</v>
      </c>
      <c r="F77" s="19">
        <v>0.0</v>
      </c>
      <c r="G77" s="19">
        <v>0.0</v>
      </c>
      <c r="H77" s="19">
        <v>0.0</v>
      </c>
      <c r="I77" s="19">
        <v>0.0</v>
      </c>
      <c r="J77" s="19">
        <v>0.0</v>
      </c>
      <c r="K77" s="19">
        <v>1.0</v>
      </c>
      <c r="L77" s="19">
        <v>0.0</v>
      </c>
      <c r="M77" s="19">
        <v>0.0</v>
      </c>
      <c r="N77" s="19">
        <v>0.0</v>
      </c>
      <c r="O77" s="19">
        <v>0.0</v>
      </c>
      <c r="P77" s="19">
        <v>0.0</v>
      </c>
      <c r="Q77" s="19">
        <v>0.0</v>
      </c>
      <c r="R77" s="19">
        <v>0.0</v>
      </c>
      <c r="S77" s="19">
        <v>0.0</v>
      </c>
      <c r="T77" s="19">
        <v>0.0</v>
      </c>
      <c r="U77" s="19">
        <v>0.0</v>
      </c>
      <c r="V77" s="19">
        <v>0.0</v>
      </c>
      <c r="W77" s="19">
        <v>0.0</v>
      </c>
      <c r="X77" s="19">
        <v>0.0</v>
      </c>
      <c r="Y77" s="19">
        <v>0.0</v>
      </c>
      <c r="Z77" s="19">
        <v>0.0</v>
      </c>
      <c r="AA77" s="13">
        <f t="shared" si="14"/>
        <v>1</v>
      </c>
    </row>
    <row r="78" ht="12.75" customHeight="1">
      <c r="A78" s="18"/>
      <c r="B78" s="49">
        <v>6.0</v>
      </c>
      <c r="C78" s="50" t="s">
        <v>67</v>
      </c>
      <c r="D78" s="51"/>
      <c r="E78" s="19">
        <v>0.0</v>
      </c>
      <c r="F78" s="19">
        <v>0.0</v>
      </c>
      <c r="G78" s="19">
        <v>0.0</v>
      </c>
      <c r="H78" s="19">
        <v>0.0</v>
      </c>
      <c r="I78" s="19">
        <v>0.0</v>
      </c>
      <c r="J78" s="19">
        <v>0.0</v>
      </c>
      <c r="K78" s="19">
        <v>0.0</v>
      </c>
      <c r="L78" s="19">
        <v>1.0</v>
      </c>
      <c r="M78" s="19">
        <v>0.0</v>
      </c>
      <c r="N78" s="19">
        <v>0.0</v>
      </c>
      <c r="O78" s="19">
        <v>0.0</v>
      </c>
      <c r="P78" s="19">
        <v>0.0</v>
      </c>
      <c r="Q78" s="19">
        <v>0.0</v>
      </c>
      <c r="R78" s="19">
        <v>0.0</v>
      </c>
      <c r="S78" s="19">
        <v>0.0</v>
      </c>
      <c r="T78" s="19">
        <v>0.0</v>
      </c>
      <c r="U78" s="19">
        <v>0.0</v>
      </c>
      <c r="V78" s="19">
        <v>0.0</v>
      </c>
      <c r="W78" s="19">
        <v>0.0</v>
      </c>
      <c r="X78" s="19">
        <v>0.0</v>
      </c>
      <c r="Y78" s="19">
        <v>0.0</v>
      </c>
      <c r="Z78" s="19">
        <v>0.0</v>
      </c>
      <c r="AA78" s="13">
        <f t="shared" si="14"/>
        <v>1</v>
      </c>
    </row>
    <row r="79" ht="15.0" customHeight="1">
      <c r="A79" s="19" t="s">
        <v>15</v>
      </c>
      <c r="B79" s="47" t="s">
        <v>46</v>
      </c>
      <c r="C79" s="15"/>
      <c r="D79" s="16"/>
      <c r="E79" s="56">
        <f t="shared" ref="E79:Z79" si="18">SUM(E72:E78)</f>
        <v>7</v>
      </c>
      <c r="F79" s="56">
        <f t="shared" si="18"/>
        <v>50</v>
      </c>
      <c r="G79" s="56">
        <f t="shared" si="18"/>
        <v>35</v>
      </c>
      <c r="H79" s="56">
        <f t="shared" si="18"/>
        <v>35</v>
      </c>
      <c r="I79" s="56">
        <f t="shared" si="18"/>
        <v>41</v>
      </c>
      <c r="J79" s="56">
        <f t="shared" si="18"/>
        <v>76</v>
      </c>
      <c r="K79" s="56">
        <f t="shared" si="18"/>
        <v>12</v>
      </c>
      <c r="L79" s="56">
        <f t="shared" si="18"/>
        <v>52</v>
      </c>
      <c r="M79" s="56">
        <f t="shared" si="18"/>
        <v>101</v>
      </c>
      <c r="N79" s="56">
        <f t="shared" si="18"/>
        <v>51</v>
      </c>
      <c r="O79" s="56">
        <f t="shared" si="18"/>
        <v>16</v>
      </c>
      <c r="P79" s="56">
        <f t="shared" si="18"/>
        <v>100</v>
      </c>
      <c r="Q79" s="56">
        <f t="shared" si="18"/>
        <v>8</v>
      </c>
      <c r="R79" s="56">
        <f t="shared" si="18"/>
        <v>80</v>
      </c>
      <c r="S79" s="56">
        <f t="shared" si="18"/>
        <v>6</v>
      </c>
      <c r="T79" s="56">
        <f t="shared" si="18"/>
        <v>1</v>
      </c>
      <c r="U79" s="56">
        <f t="shared" si="18"/>
        <v>9</v>
      </c>
      <c r="V79" s="56">
        <f t="shared" si="18"/>
        <v>1</v>
      </c>
      <c r="W79" s="56">
        <f t="shared" si="18"/>
        <v>3</v>
      </c>
      <c r="X79" s="56">
        <f t="shared" si="18"/>
        <v>91</v>
      </c>
      <c r="Y79" s="56">
        <f t="shared" si="18"/>
        <v>136</v>
      </c>
      <c r="Z79" s="56">
        <f t="shared" si="18"/>
        <v>112</v>
      </c>
      <c r="AA79" s="13">
        <f t="shared" si="14"/>
        <v>1023</v>
      </c>
    </row>
    <row r="80" ht="12.75" customHeight="1">
      <c r="A80" s="57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13">
        <f t="shared" si="14"/>
        <v>0</v>
      </c>
    </row>
    <row r="81" ht="12.75" customHeight="1">
      <c r="A81" s="30" t="s">
        <v>37</v>
      </c>
      <c r="B81" s="47" t="s">
        <v>68</v>
      </c>
      <c r="C81" s="48" t="s">
        <v>69</v>
      </c>
      <c r="D81" s="16"/>
      <c r="E81" s="19">
        <v>0.0</v>
      </c>
      <c r="F81" s="19">
        <v>0.0</v>
      </c>
      <c r="G81" s="19">
        <v>0.0</v>
      </c>
      <c r="H81" s="19">
        <v>0.0</v>
      </c>
      <c r="I81" s="19">
        <v>0.0</v>
      </c>
      <c r="J81" s="19">
        <v>0.0</v>
      </c>
      <c r="K81" s="19">
        <v>2.0</v>
      </c>
      <c r="L81" s="19">
        <v>0.0</v>
      </c>
      <c r="M81" s="19">
        <v>0.0</v>
      </c>
      <c r="N81" s="19">
        <v>0.0</v>
      </c>
      <c r="O81" s="19">
        <v>1.0</v>
      </c>
      <c r="P81" s="19">
        <v>2.0</v>
      </c>
      <c r="Q81" s="19">
        <v>0.0</v>
      </c>
      <c r="R81" s="19">
        <v>1.0</v>
      </c>
      <c r="S81" s="19">
        <v>1.0</v>
      </c>
      <c r="T81" s="19">
        <v>0.0</v>
      </c>
      <c r="U81" s="19">
        <v>0.0</v>
      </c>
      <c r="V81" s="19">
        <v>1.0</v>
      </c>
      <c r="W81" s="19">
        <v>1.0</v>
      </c>
      <c r="X81" s="19">
        <v>0.0</v>
      </c>
      <c r="Y81" s="19">
        <v>0.0</v>
      </c>
      <c r="Z81" s="19">
        <v>1.0</v>
      </c>
      <c r="AA81" s="13">
        <f t="shared" si="14"/>
        <v>10</v>
      </c>
    </row>
    <row r="82" ht="12.75" customHeight="1">
      <c r="A82" s="30" t="s">
        <v>39</v>
      </c>
      <c r="B82" s="49">
        <v>1.0</v>
      </c>
      <c r="C82" s="50" t="s">
        <v>70</v>
      </c>
      <c r="D82" s="51"/>
      <c r="E82" s="19">
        <v>2.0</v>
      </c>
      <c r="F82" s="19">
        <v>0.0</v>
      </c>
      <c r="G82" s="19">
        <v>0.0</v>
      </c>
      <c r="H82" s="19">
        <v>0.0</v>
      </c>
      <c r="I82" s="19">
        <v>0.0</v>
      </c>
      <c r="J82" s="19">
        <v>0.0</v>
      </c>
      <c r="K82" s="19">
        <v>1.0</v>
      </c>
      <c r="L82" s="19">
        <v>1.0</v>
      </c>
      <c r="M82" s="19">
        <v>2.0</v>
      </c>
      <c r="N82" s="19">
        <v>0.0</v>
      </c>
      <c r="O82" s="19">
        <v>3.0</v>
      </c>
      <c r="P82" s="19">
        <v>4.0</v>
      </c>
      <c r="Q82" s="19">
        <v>5.0</v>
      </c>
      <c r="R82" s="19">
        <v>1.0</v>
      </c>
      <c r="S82" s="19">
        <v>0.0</v>
      </c>
      <c r="T82" s="19">
        <v>0.0</v>
      </c>
      <c r="U82" s="19">
        <v>1.0</v>
      </c>
      <c r="V82" s="19">
        <v>1.0</v>
      </c>
      <c r="W82" s="19">
        <v>0.0</v>
      </c>
      <c r="X82" s="19">
        <v>1.0</v>
      </c>
      <c r="Y82" s="19">
        <v>1.0</v>
      </c>
      <c r="Z82" s="19">
        <v>7.0</v>
      </c>
      <c r="AA82" s="13">
        <f t="shared" si="14"/>
        <v>30</v>
      </c>
    </row>
    <row r="83" ht="12.75" customHeight="1">
      <c r="A83" s="18"/>
      <c r="B83" s="49">
        <v>2.0</v>
      </c>
      <c r="C83" s="50" t="s">
        <v>71</v>
      </c>
      <c r="D83" s="51"/>
      <c r="E83" s="19">
        <v>0.0</v>
      </c>
      <c r="F83" s="19">
        <v>0.0</v>
      </c>
      <c r="G83" s="19">
        <v>0.0</v>
      </c>
      <c r="H83" s="19">
        <v>1.0</v>
      </c>
      <c r="I83" s="19">
        <v>0.0</v>
      </c>
      <c r="J83" s="19">
        <v>1.0</v>
      </c>
      <c r="K83" s="19">
        <v>0.0</v>
      </c>
      <c r="L83" s="19">
        <v>1.0</v>
      </c>
      <c r="M83" s="19">
        <v>0.0</v>
      </c>
      <c r="N83" s="19">
        <v>0.0</v>
      </c>
      <c r="O83" s="19">
        <v>1.0</v>
      </c>
      <c r="P83" s="19">
        <v>0.0</v>
      </c>
      <c r="Q83" s="19">
        <v>0.0</v>
      </c>
      <c r="R83" s="19">
        <v>0.0</v>
      </c>
      <c r="S83" s="19">
        <v>0.0</v>
      </c>
      <c r="T83" s="19">
        <v>0.0</v>
      </c>
      <c r="U83" s="19">
        <v>1.0</v>
      </c>
      <c r="V83" s="19">
        <v>0.0</v>
      </c>
      <c r="W83" s="19">
        <v>1.0</v>
      </c>
      <c r="X83" s="19">
        <v>0.0</v>
      </c>
      <c r="Y83" s="19">
        <v>0.0</v>
      </c>
      <c r="Z83" s="19">
        <v>0.0</v>
      </c>
      <c r="AA83" s="13">
        <f t="shared" si="14"/>
        <v>6</v>
      </c>
    </row>
    <row r="84" ht="12.75" customHeight="1">
      <c r="A84" s="18"/>
      <c r="B84" s="49">
        <v>3.0</v>
      </c>
      <c r="C84" s="50" t="s">
        <v>72</v>
      </c>
      <c r="D84" s="51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1.0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0.0</v>
      </c>
      <c r="S84" s="19">
        <v>1.0</v>
      </c>
      <c r="T84" s="19">
        <v>0.0</v>
      </c>
      <c r="U84" s="19">
        <v>0.0</v>
      </c>
      <c r="V84" s="19">
        <v>0.0</v>
      </c>
      <c r="W84" s="19">
        <v>0.0</v>
      </c>
      <c r="X84" s="19">
        <v>0.0</v>
      </c>
      <c r="Y84" s="19">
        <v>0.0</v>
      </c>
      <c r="Z84" s="19">
        <v>0.0</v>
      </c>
      <c r="AA84" s="13">
        <f t="shared" si="14"/>
        <v>2</v>
      </c>
    </row>
    <row r="85" ht="12.75" customHeight="1">
      <c r="A85" s="18"/>
      <c r="B85" s="49">
        <v>4.0</v>
      </c>
      <c r="C85" s="50" t="s">
        <v>73</v>
      </c>
      <c r="D85" s="51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0.0</v>
      </c>
      <c r="O85" s="19">
        <v>1.0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9">
        <v>0.0</v>
      </c>
      <c r="V85" s="19">
        <v>0.0</v>
      </c>
      <c r="W85" s="19">
        <v>0.0</v>
      </c>
      <c r="X85" s="19">
        <v>0.0</v>
      </c>
      <c r="Y85" s="19">
        <v>0.0</v>
      </c>
      <c r="Z85" s="19">
        <v>0.0</v>
      </c>
      <c r="AA85" s="13">
        <f t="shared" si="14"/>
        <v>1</v>
      </c>
    </row>
    <row r="86" ht="12.75" customHeight="1">
      <c r="A86" s="18"/>
      <c r="B86" s="49">
        <v>5.0</v>
      </c>
      <c r="C86" s="50" t="s">
        <v>74</v>
      </c>
      <c r="D86" s="51"/>
      <c r="E86" s="19">
        <v>1.0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3.0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9">
        <v>0.0</v>
      </c>
      <c r="Z86" s="19">
        <v>0.0</v>
      </c>
      <c r="AA86" s="13">
        <f t="shared" si="14"/>
        <v>4</v>
      </c>
    </row>
    <row r="87" ht="12.75" customHeight="1">
      <c r="A87" s="18"/>
      <c r="B87" s="49">
        <v>6.0</v>
      </c>
      <c r="C87" s="50" t="s">
        <v>75</v>
      </c>
      <c r="D87" s="51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3">
        <f t="shared" si="14"/>
        <v>0</v>
      </c>
    </row>
    <row r="88" ht="12.75" customHeight="1">
      <c r="A88" s="19" t="s">
        <v>15</v>
      </c>
      <c r="B88" s="47" t="s">
        <v>46</v>
      </c>
      <c r="C88" s="15"/>
      <c r="D88" s="16"/>
      <c r="E88" s="56">
        <f t="shared" ref="E88:Z88" si="19">SUM(E81:E87)</f>
        <v>3</v>
      </c>
      <c r="F88" s="56">
        <f t="shared" si="19"/>
        <v>0</v>
      </c>
      <c r="G88" s="56">
        <f t="shared" si="19"/>
        <v>0</v>
      </c>
      <c r="H88" s="56">
        <f t="shared" si="19"/>
        <v>1</v>
      </c>
      <c r="I88" s="56">
        <f t="shared" si="19"/>
        <v>0</v>
      </c>
      <c r="J88" s="56">
        <f t="shared" si="19"/>
        <v>2</v>
      </c>
      <c r="K88" s="56">
        <f t="shared" si="19"/>
        <v>3</v>
      </c>
      <c r="L88" s="56">
        <f t="shared" si="19"/>
        <v>2</v>
      </c>
      <c r="M88" s="56">
        <f t="shared" si="19"/>
        <v>2</v>
      </c>
      <c r="N88" s="56">
        <f t="shared" si="19"/>
        <v>0</v>
      </c>
      <c r="O88" s="56">
        <f t="shared" si="19"/>
        <v>6</v>
      </c>
      <c r="P88" s="56">
        <f t="shared" si="19"/>
        <v>9</v>
      </c>
      <c r="Q88" s="56">
        <f t="shared" si="19"/>
        <v>5</v>
      </c>
      <c r="R88" s="56">
        <f t="shared" si="19"/>
        <v>2</v>
      </c>
      <c r="S88" s="56">
        <f t="shared" si="19"/>
        <v>2</v>
      </c>
      <c r="T88" s="56">
        <f t="shared" si="19"/>
        <v>0</v>
      </c>
      <c r="U88" s="56">
        <f t="shared" si="19"/>
        <v>2</v>
      </c>
      <c r="V88" s="56">
        <f t="shared" si="19"/>
        <v>2</v>
      </c>
      <c r="W88" s="56">
        <f t="shared" si="19"/>
        <v>2</v>
      </c>
      <c r="X88" s="56">
        <f t="shared" si="19"/>
        <v>1</v>
      </c>
      <c r="Y88" s="56">
        <f t="shared" si="19"/>
        <v>1</v>
      </c>
      <c r="Z88" s="56">
        <f t="shared" si="19"/>
        <v>8</v>
      </c>
      <c r="AA88" s="13">
        <f t="shared" si="14"/>
        <v>53</v>
      </c>
    </row>
    <row r="89" ht="12.75" customHeight="1">
      <c r="A89" s="57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13">
        <f t="shared" si="14"/>
        <v>0</v>
      </c>
    </row>
    <row r="90" ht="12.75" customHeight="1">
      <c r="A90" s="30" t="s">
        <v>37</v>
      </c>
      <c r="B90" s="47" t="s">
        <v>76</v>
      </c>
      <c r="C90" s="48" t="s">
        <v>77</v>
      </c>
      <c r="D90" s="16"/>
      <c r="E90" s="19">
        <v>0.0</v>
      </c>
      <c r="F90" s="19">
        <v>1.0</v>
      </c>
      <c r="G90" s="19">
        <v>0.0</v>
      </c>
      <c r="H90" s="19">
        <v>1.0</v>
      </c>
      <c r="I90" s="19">
        <v>0.0</v>
      </c>
      <c r="J90" s="19">
        <v>0.0</v>
      </c>
      <c r="K90" s="19">
        <v>1.0</v>
      </c>
      <c r="L90" s="19">
        <v>0.0</v>
      </c>
      <c r="M90" s="19">
        <v>0.0</v>
      </c>
      <c r="N90" s="19">
        <v>0.0</v>
      </c>
      <c r="O90" s="19">
        <v>1.0</v>
      </c>
      <c r="P90" s="19">
        <v>0.0</v>
      </c>
      <c r="Q90" s="19">
        <v>0.0</v>
      </c>
      <c r="R90" s="19">
        <v>0.0</v>
      </c>
      <c r="S90" s="19">
        <v>0.0</v>
      </c>
      <c r="T90" s="19">
        <v>0.0</v>
      </c>
      <c r="U90" s="19">
        <v>0.0</v>
      </c>
      <c r="V90" s="19">
        <v>0.0</v>
      </c>
      <c r="W90" s="19">
        <v>0.0</v>
      </c>
      <c r="X90" s="19">
        <v>0.0</v>
      </c>
      <c r="Y90" s="19">
        <v>0.0</v>
      </c>
      <c r="Z90" s="19">
        <v>0.0</v>
      </c>
      <c r="AA90" s="13">
        <f t="shared" si="14"/>
        <v>4</v>
      </c>
    </row>
    <row r="91" ht="15.0" customHeight="1">
      <c r="A91" s="30"/>
      <c r="B91" s="49">
        <v>1.0</v>
      </c>
      <c r="C91" s="50" t="s">
        <v>78</v>
      </c>
      <c r="D91" s="59"/>
      <c r="E91" s="19">
        <v>0.0</v>
      </c>
      <c r="F91" s="19">
        <v>0.0</v>
      </c>
      <c r="G91" s="19">
        <v>0.0</v>
      </c>
      <c r="H91" s="19">
        <v>1.0</v>
      </c>
      <c r="I91" s="19">
        <v>0.0</v>
      </c>
      <c r="J91" s="19">
        <v>0.0</v>
      </c>
      <c r="K91" s="19">
        <v>0.0</v>
      </c>
      <c r="L91" s="19">
        <v>0.0</v>
      </c>
      <c r="M91" s="19">
        <v>0.0</v>
      </c>
      <c r="N91" s="19">
        <v>1.0</v>
      </c>
      <c r="O91" s="19">
        <v>0.0</v>
      </c>
      <c r="P91" s="19">
        <v>0.0</v>
      </c>
      <c r="Q91" s="19">
        <v>0.0</v>
      </c>
      <c r="R91" s="19">
        <v>1.0</v>
      </c>
      <c r="S91" s="19">
        <v>0.0</v>
      </c>
      <c r="T91" s="19">
        <v>0.0</v>
      </c>
      <c r="U91" s="19">
        <v>0.0</v>
      </c>
      <c r="V91" s="19">
        <v>0.0</v>
      </c>
      <c r="W91" s="19">
        <v>0.0</v>
      </c>
      <c r="X91" s="19">
        <v>0.0</v>
      </c>
      <c r="Y91" s="19">
        <v>0.0</v>
      </c>
      <c r="Z91" s="19">
        <v>0.0</v>
      </c>
      <c r="AA91" s="13">
        <f t="shared" si="14"/>
        <v>3</v>
      </c>
    </row>
    <row r="92" ht="12.75" customHeight="1">
      <c r="A92" s="30"/>
      <c r="B92" s="49">
        <v>2.0</v>
      </c>
      <c r="C92" s="50" t="s">
        <v>79</v>
      </c>
      <c r="D92" s="59"/>
      <c r="E92" s="19">
        <v>0.0</v>
      </c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19">
        <v>0.0</v>
      </c>
      <c r="L92" s="19">
        <v>0.0</v>
      </c>
      <c r="M92" s="19">
        <v>0.0</v>
      </c>
      <c r="N92" s="19">
        <v>0.0</v>
      </c>
      <c r="O92" s="19">
        <v>1.0</v>
      </c>
      <c r="P92" s="19">
        <v>0.0</v>
      </c>
      <c r="Q92" s="19">
        <v>0.0</v>
      </c>
      <c r="R92" s="19">
        <v>0.0</v>
      </c>
      <c r="S92" s="19">
        <v>0.0</v>
      </c>
      <c r="T92" s="19">
        <v>0.0</v>
      </c>
      <c r="U92" s="19">
        <v>1.0</v>
      </c>
      <c r="V92" s="19">
        <v>0.0</v>
      </c>
      <c r="W92" s="19">
        <v>0.0</v>
      </c>
      <c r="X92" s="19">
        <v>0.0</v>
      </c>
      <c r="Y92" s="19">
        <v>0.0</v>
      </c>
      <c r="Z92" s="19">
        <v>0.0</v>
      </c>
      <c r="AA92" s="13">
        <f t="shared" si="14"/>
        <v>2</v>
      </c>
    </row>
    <row r="93" ht="12.75" customHeight="1">
      <c r="A93" s="30" t="s">
        <v>39</v>
      </c>
      <c r="B93" s="49">
        <v>3.0</v>
      </c>
      <c r="C93" s="50" t="s">
        <v>80</v>
      </c>
      <c r="D93" s="59"/>
      <c r="E93" s="19">
        <v>0.0</v>
      </c>
      <c r="F93" s="19">
        <v>0.0</v>
      </c>
      <c r="G93" s="19">
        <v>0.0</v>
      </c>
      <c r="H93" s="19">
        <v>0.0</v>
      </c>
      <c r="I93" s="19">
        <v>0.0</v>
      </c>
      <c r="J93" s="19">
        <v>0.0</v>
      </c>
      <c r="K93" s="19">
        <v>0.0</v>
      </c>
      <c r="L93" s="19">
        <v>0.0</v>
      </c>
      <c r="M93" s="19">
        <v>0.0</v>
      </c>
      <c r="N93" s="19">
        <v>0.0</v>
      </c>
      <c r="O93" s="19">
        <v>0.0</v>
      </c>
      <c r="P93" s="19">
        <v>0.0</v>
      </c>
      <c r="Q93" s="19">
        <v>0.0</v>
      </c>
      <c r="R93" s="19">
        <v>0.0</v>
      </c>
      <c r="S93" s="19">
        <v>0.0</v>
      </c>
      <c r="T93" s="19">
        <v>0.0</v>
      </c>
      <c r="U93" s="19">
        <v>0.0</v>
      </c>
      <c r="V93" s="19">
        <v>0.0</v>
      </c>
      <c r="W93" s="19">
        <v>0.0</v>
      </c>
      <c r="X93" s="19">
        <v>0.0</v>
      </c>
      <c r="Y93" s="19">
        <v>0.0</v>
      </c>
      <c r="Z93" s="19">
        <v>0.0</v>
      </c>
      <c r="AA93" s="13">
        <f t="shared" si="14"/>
        <v>0</v>
      </c>
    </row>
    <row r="94" ht="12.75" customHeight="1">
      <c r="A94" s="19" t="s">
        <v>15</v>
      </c>
      <c r="B94" s="47" t="s">
        <v>46</v>
      </c>
      <c r="C94" s="15"/>
      <c r="D94" s="16"/>
      <c r="E94" s="56">
        <f t="shared" ref="E94:Z94" si="20">SUM(E90:E93)</f>
        <v>0</v>
      </c>
      <c r="F94" s="56">
        <f t="shared" si="20"/>
        <v>1</v>
      </c>
      <c r="G94" s="56">
        <f t="shared" si="20"/>
        <v>0</v>
      </c>
      <c r="H94" s="56">
        <f t="shared" si="20"/>
        <v>2</v>
      </c>
      <c r="I94" s="56">
        <f t="shared" si="20"/>
        <v>0</v>
      </c>
      <c r="J94" s="56">
        <f t="shared" si="20"/>
        <v>0</v>
      </c>
      <c r="K94" s="56">
        <f t="shared" si="20"/>
        <v>1</v>
      </c>
      <c r="L94" s="56">
        <f t="shared" si="20"/>
        <v>0</v>
      </c>
      <c r="M94" s="56">
        <f t="shared" si="20"/>
        <v>0</v>
      </c>
      <c r="N94" s="56">
        <f t="shared" si="20"/>
        <v>1</v>
      </c>
      <c r="O94" s="56">
        <f t="shared" si="20"/>
        <v>2</v>
      </c>
      <c r="P94" s="56">
        <f t="shared" si="20"/>
        <v>0</v>
      </c>
      <c r="Q94" s="56">
        <f t="shared" si="20"/>
        <v>0</v>
      </c>
      <c r="R94" s="56">
        <f t="shared" si="20"/>
        <v>1</v>
      </c>
      <c r="S94" s="56">
        <f t="shared" si="20"/>
        <v>0</v>
      </c>
      <c r="T94" s="56">
        <f t="shared" si="20"/>
        <v>0</v>
      </c>
      <c r="U94" s="56">
        <f t="shared" si="20"/>
        <v>1</v>
      </c>
      <c r="V94" s="56">
        <f t="shared" si="20"/>
        <v>0</v>
      </c>
      <c r="W94" s="56">
        <f t="shared" si="20"/>
        <v>0</v>
      </c>
      <c r="X94" s="56">
        <f t="shared" si="20"/>
        <v>0</v>
      </c>
      <c r="Y94" s="56">
        <f t="shared" si="20"/>
        <v>0</v>
      </c>
      <c r="Z94" s="56">
        <f t="shared" si="20"/>
        <v>0</v>
      </c>
      <c r="AA94" s="13">
        <f t="shared" si="14"/>
        <v>9</v>
      </c>
    </row>
    <row r="95" ht="12.75" customHeight="1">
      <c r="A95" s="57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13">
        <f t="shared" si="14"/>
        <v>0</v>
      </c>
    </row>
    <row r="96" ht="12.75" customHeight="1">
      <c r="A96" s="30" t="s">
        <v>37</v>
      </c>
      <c r="B96" s="47" t="s">
        <v>81</v>
      </c>
      <c r="C96" s="48" t="s">
        <v>82</v>
      </c>
      <c r="D96" s="16"/>
      <c r="E96" s="19">
        <v>0.0</v>
      </c>
      <c r="F96" s="19">
        <v>1.0</v>
      </c>
      <c r="G96" s="19">
        <v>0.0</v>
      </c>
      <c r="H96" s="19">
        <v>0.0</v>
      </c>
      <c r="I96" s="19">
        <v>1.0</v>
      </c>
      <c r="J96" s="19">
        <v>0.0</v>
      </c>
      <c r="K96" s="19">
        <v>0.0</v>
      </c>
      <c r="L96" s="19">
        <v>0.0</v>
      </c>
      <c r="M96" s="19">
        <v>1.0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3">
        <f t="shared" si="14"/>
        <v>3</v>
      </c>
    </row>
    <row r="97" ht="12.75" customHeight="1">
      <c r="A97" s="30" t="s">
        <v>39</v>
      </c>
      <c r="B97" s="49">
        <v>1.0</v>
      </c>
      <c r="C97" s="50" t="s">
        <v>83</v>
      </c>
      <c r="D97" s="51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1.0</v>
      </c>
      <c r="Z97" s="19">
        <v>1.0</v>
      </c>
      <c r="AA97" s="13">
        <f t="shared" si="14"/>
        <v>2</v>
      </c>
    </row>
    <row r="98" ht="12.75" customHeight="1">
      <c r="A98" s="30"/>
      <c r="B98" s="49">
        <v>2.0</v>
      </c>
      <c r="C98" s="50" t="s">
        <v>84</v>
      </c>
      <c r="D98" s="51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1.0</v>
      </c>
      <c r="Q98" s="19">
        <v>0.0</v>
      </c>
      <c r="R98" s="19">
        <v>0.0</v>
      </c>
      <c r="S98" s="19">
        <v>0.0</v>
      </c>
      <c r="T98" s="19">
        <v>1.0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3">
        <f t="shared" si="14"/>
        <v>2</v>
      </c>
    </row>
    <row r="99" ht="12.75" customHeight="1">
      <c r="A99" s="19" t="s">
        <v>15</v>
      </c>
      <c r="B99" s="47" t="s">
        <v>46</v>
      </c>
      <c r="C99" s="15"/>
      <c r="D99" s="16"/>
      <c r="E99" s="56">
        <f t="shared" ref="E99:Z99" si="21">SUM(E96:E98)</f>
        <v>0</v>
      </c>
      <c r="F99" s="56">
        <f t="shared" si="21"/>
        <v>1</v>
      </c>
      <c r="G99" s="56">
        <f t="shared" si="21"/>
        <v>0</v>
      </c>
      <c r="H99" s="56">
        <f t="shared" si="21"/>
        <v>0</v>
      </c>
      <c r="I99" s="56">
        <f t="shared" si="21"/>
        <v>1</v>
      </c>
      <c r="J99" s="56">
        <f t="shared" si="21"/>
        <v>0</v>
      </c>
      <c r="K99" s="56">
        <f t="shared" si="21"/>
        <v>0</v>
      </c>
      <c r="L99" s="56">
        <f t="shared" si="21"/>
        <v>0</v>
      </c>
      <c r="M99" s="56">
        <f t="shared" si="21"/>
        <v>1</v>
      </c>
      <c r="N99" s="56">
        <f t="shared" si="21"/>
        <v>0</v>
      </c>
      <c r="O99" s="56">
        <f t="shared" si="21"/>
        <v>0</v>
      </c>
      <c r="P99" s="56">
        <f t="shared" si="21"/>
        <v>1</v>
      </c>
      <c r="Q99" s="56">
        <f t="shared" si="21"/>
        <v>0</v>
      </c>
      <c r="R99" s="56">
        <f t="shared" si="21"/>
        <v>0</v>
      </c>
      <c r="S99" s="56">
        <f t="shared" si="21"/>
        <v>0</v>
      </c>
      <c r="T99" s="56">
        <f t="shared" si="21"/>
        <v>1</v>
      </c>
      <c r="U99" s="56">
        <f t="shared" si="21"/>
        <v>0</v>
      </c>
      <c r="V99" s="56">
        <f t="shared" si="21"/>
        <v>0</v>
      </c>
      <c r="W99" s="56">
        <f t="shared" si="21"/>
        <v>0</v>
      </c>
      <c r="X99" s="56">
        <f t="shared" si="21"/>
        <v>0</v>
      </c>
      <c r="Y99" s="56">
        <f t="shared" si="21"/>
        <v>1</v>
      </c>
      <c r="Z99" s="56">
        <f t="shared" si="21"/>
        <v>1</v>
      </c>
      <c r="AA99" s="13">
        <f t="shared" si="14"/>
        <v>7</v>
      </c>
    </row>
    <row r="100" ht="12.75" customHeight="1">
      <c r="A100" s="57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13">
        <f t="shared" si="14"/>
        <v>0</v>
      </c>
    </row>
    <row r="101" ht="12.75" customHeight="1">
      <c r="A101" s="30" t="s">
        <v>37</v>
      </c>
      <c r="B101" s="47" t="s">
        <v>85</v>
      </c>
      <c r="C101" s="48" t="s">
        <v>86</v>
      </c>
      <c r="D101" s="16"/>
      <c r="E101" s="19">
        <v>1.0</v>
      </c>
      <c r="F101" s="19">
        <v>0.0</v>
      </c>
      <c r="G101" s="19">
        <v>0.0</v>
      </c>
      <c r="H101" s="19">
        <v>1.0</v>
      </c>
      <c r="I101" s="19">
        <v>0.0</v>
      </c>
      <c r="J101" s="19">
        <v>0.0</v>
      </c>
      <c r="K101" s="19">
        <v>1.0</v>
      </c>
      <c r="L101" s="19">
        <v>0.0</v>
      </c>
      <c r="M101" s="19">
        <v>0.0</v>
      </c>
      <c r="N101" s="19">
        <v>0.0</v>
      </c>
      <c r="O101" s="19">
        <v>0.0</v>
      </c>
      <c r="P101" s="19">
        <v>1.0</v>
      </c>
      <c r="Q101" s="19">
        <v>0.0</v>
      </c>
      <c r="R101" s="19">
        <v>0.0</v>
      </c>
      <c r="S101" s="19">
        <v>0.0</v>
      </c>
      <c r="T101" s="19">
        <v>0.0</v>
      </c>
      <c r="U101" s="19">
        <v>1.0</v>
      </c>
      <c r="V101" s="19">
        <v>1.0</v>
      </c>
      <c r="W101" s="19">
        <v>0.0</v>
      </c>
      <c r="X101" s="19">
        <v>0.0</v>
      </c>
      <c r="Y101" s="19">
        <v>0.0</v>
      </c>
      <c r="Z101" s="19">
        <v>0.0</v>
      </c>
      <c r="AA101" s="13">
        <f t="shared" si="14"/>
        <v>6</v>
      </c>
    </row>
    <row r="102" ht="12.75" customHeight="1">
      <c r="A102" s="30" t="s">
        <v>39</v>
      </c>
      <c r="B102" s="49">
        <v>1.0</v>
      </c>
      <c r="C102" s="50" t="s">
        <v>87</v>
      </c>
      <c r="D102" s="51"/>
      <c r="E102" s="19">
        <v>3.0</v>
      </c>
      <c r="F102" s="19">
        <v>17.0</v>
      </c>
      <c r="G102" s="19">
        <v>2.0</v>
      </c>
      <c r="H102" s="19">
        <v>7.0</v>
      </c>
      <c r="I102" s="19">
        <v>6.0</v>
      </c>
      <c r="J102" s="19">
        <v>0.0</v>
      </c>
      <c r="K102" s="19">
        <v>5.0</v>
      </c>
      <c r="L102" s="19">
        <v>0.0</v>
      </c>
      <c r="M102" s="19">
        <v>0.0</v>
      </c>
      <c r="N102" s="19">
        <v>3.0</v>
      </c>
      <c r="O102" s="19">
        <v>0.0</v>
      </c>
      <c r="P102" s="19">
        <v>0.0</v>
      </c>
      <c r="Q102" s="19">
        <v>0.0</v>
      </c>
      <c r="R102" s="19">
        <v>0.0</v>
      </c>
      <c r="S102" s="19">
        <v>0.0</v>
      </c>
      <c r="T102" s="19">
        <v>0.0</v>
      </c>
      <c r="U102" s="19">
        <v>2.0</v>
      </c>
      <c r="V102" s="19">
        <v>0.0</v>
      </c>
      <c r="W102" s="19">
        <v>1.0</v>
      </c>
      <c r="X102" s="19">
        <v>1.0</v>
      </c>
      <c r="Y102" s="19">
        <v>2.0</v>
      </c>
      <c r="Z102" s="19">
        <v>0.0</v>
      </c>
      <c r="AA102" s="13">
        <f t="shared" si="14"/>
        <v>49</v>
      </c>
    </row>
    <row r="103" ht="15.0" customHeight="1">
      <c r="A103" s="18"/>
      <c r="B103" s="49">
        <v>2.0</v>
      </c>
      <c r="C103" s="50" t="s">
        <v>88</v>
      </c>
      <c r="D103" s="51"/>
      <c r="E103" s="19">
        <v>0.0</v>
      </c>
      <c r="F103" s="19">
        <v>0.0</v>
      </c>
      <c r="G103" s="19">
        <v>0.0</v>
      </c>
      <c r="H103" s="19">
        <v>0.0</v>
      </c>
      <c r="I103" s="19">
        <v>0.0</v>
      </c>
      <c r="J103" s="19">
        <v>0.0</v>
      </c>
      <c r="K103" s="19">
        <v>3.0</v>
      </c>
      <c r="L103" s="19">
        <v>0.0</v>
      </c>
      <c r="M103" s="19">
        <v>0.0</v>
      </c>
      <c r="N103" s="19">
        <v>1.0</v>
      </c>
      <c r="O103" s="19">
        <v>0.0</v>
      </c>
      <c r="P103" s="19">
        <v>0.0</v>
      </c>
      <c r="Q103" s="19">
        <v>0.0</v>
      </c>
      <c r="R103" s="19">
        <v>0.0</v>
      </c>
      <c r="S103" s="19">
        <v>0.0</v>
      </c>
      <c r="T103" s="19">
        <v>0.0</v>
      </c>
      <c r="U103" s="19">
        <v>0.0</v>
      </c>
      <c r="V103" s="19">
        <v>0.0</v>
      </c>
      <c r="W103" s="19">
        <v>0.0</v>
      </c>
      <c r="X103" s="19">
        <v>0.0</v>
      </c>
      <c r="Y103" s="19">
        <v>0.0</v>
      </c>
      <c r="Z103" s="19">
        <v>0.0</v>
      </c>
      <c r="AA103" s="13">
        <f t="shared" si="14"/>
        <v>4</v>
      </c>
    </row>
    <row r="104" ht="12.75" customHeight="1">
      <c r="A104" s="18"/>
      <c r="B104" s="49">
        <v>3.0</v>
      </c>
      <c r="C104" s="50" t="s">
        <v>89</v>
      </c>
      <c r="D104" s="51"/>
      <c r="E104" s="19">
        <v>0.0</v>
      </c>
      <c r="F104" s="19">
        <v>0.0</v>
      </c>
      <c r="G104" s="19">
        <v>0.0</v>
      </c>
      <c r="H104" s="19">
        <v>0.0</v>
      </c>
      <c r="I104" s="19">
        <v>0.0</v>
      </c>
      <c r="J104" s="19">
        <v>0.0</v>
      </c>
      <c r="K104" s="19">
        <v>0.0</v>
      </c>
      <c r="L104" s="19">
        <v>0.0</v>
      </c>
      <c r="M104" s="19">
        <v>0.0</v>
      </c>
      <c r="N104" s="19">
        <v>1.0</v>
      </c>
      <c r="O104" s="19">
        <v>0.0</v>
      </c>
      <c r="P104" s="19">
        <v>0.0</v>
      </c>
      <c r="Q104" s="19">
        <v>0.0</v>
      </c>
      <c r="R104" s="19">
        <v>0.0</v>
      </c>
      <c r="S104" s="19">
        <v>0.0</v>
      </c>
      <c r="T104" s="19">
        <v>0.0</v>
      </c>
      <c r="U104" s="19">
        <v>0.0</v>
      </c>
      <c r="V104" s="19">
        <v>0.0</v>
      </c>
      <c r="W104" s="19">
        <v>0.0</v>
      </c>
      <c r="X104" s="19">
        <v>0.0</v>
      </c>
      <c r="Y104" s="19">
        <v>0.0</v>
      </c>
      <c r="Z104" s="19">
        <v>0.0</v>
      </c>
      <c r="AA104" s="13">
        <f t="shared" si="14"/>
        <v>1</v>
      </c>
    </row>
    <row r="105" ht="12.75" customHeight="1">
      <c r="A105" s="18"/>
      <c r="B105" s="49">
        <v>4.0</v>
      </c>
      <c r="C105" s="50" t="s">
        <v>90</v>
      </c>
      <c r="D105" s="51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3">
        <f t="shared" si="14"/>
        <v>0</v>
      </c>
    </row>
    <row r="106" ht="12.75" customHeight="1">
      <c r="A106" s="18"/>
      <c r="B106" s="49">
        <v>5.0</v>
      </c>
      <c r="C106" s="50" t="s">
        <v>91</v>
      </c>
      <c r="D106" s="51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3">
        <f t="shared" si="14"/>
        <v>0</v>
      </c>
    </row>
    <row r="107" ht="12.75" customHeight="1">
      <c r="A107" s="18"/>
      <c r="B107" s="49">
        <v>6.0</v>
      </c>
      <c r="C107" s="50" t="s">
        <v>92</v>
      </c>
      <c r="D107" s="51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3">
        <f t="shared" si="14"/>
        <v>0</v>
      </c>
    </row>
    <row r="108" ht="12.75" customHeight="1">
      <c r="A108" s="19" t="s">
        <v>15</v>
      </c>
      <c r="B108" s="47" t="s">
        <v>46</v>
      </c>
      <c r="C108" s="15"/>
      <c r="D108" s="16"/>
      <c r="E108" s="56">
        <f t="shared" ref="E108:Z108" si="22">SUM(E101:E107)</f>
        <v>4</v>
      </c>
      <c r="F108" s="56">
        <f t="shared" si="22"/>
        <v>17</v>
      </c>
      <c r="G108" s="56">
        <f t="shared" si="22"/>
        <v>2</v>
      </c>
      <c r="H108" s="56">
        <f t="shared" si="22"/>
        <v>8</v>
      </c>
      <c r="I108" s="56">
        <f t="shared" si="22"/>
        <v>6</v>
      </c>
      <c r="J108" s="56">
        <f t="shared" si="22"/>
        <v>0</v>
      </c>
      <c r="K108" s="56">
        <f t="shared" si="22"/>
        <v>9</v>
      </c>
      <c r="L108" s="56">
        <f t="shared" si="22"/>
        <v>0</v>
      </c>
      <c r="M108" s="56">
        <f t="shared" si="22"/>
        <v>0</v>
      </c>
      <c r="N108" s="56">
        <f t="shared" si="22"/>
        <v>5</v>
      </c>
      <c r="O108" s="56">
        <f t="shared" si="22"/>
        <v>0</v>
      </c>
      <c r="P108" s="56">
        <f t="shared" si="22"/>
        <v>1</v>
      </c>
      <c r="Q108" s="56">
        <f t="shared" si="22"/>
        <v>0</v>
      </c>
      <c r="R108" s="56">
        <f t="shared" si="22"/>
        <v>0</v>
      </c>
      <c r="S108" s="56">
        <f t="shared" si="22"/>
        <v>0</v>
      </c>
      <c r="T108" s="56">
        <f t="shared" si="22"/>
        <v>0</v>
      </c>
      <c r="U108" s="56">
        <f t="shared" si="22"/>
        <v>3</v>
      </c>
      <c r="V108" s="56">
        <f t="shared" si="22"/>
        <v>1</v>
      </c>
      <c r="W108" s="56">
        <f t="shared" si="22"/>
        <v>1</v>
      </c>
      <c r="X108" s="56">
        <f t="shared" si="22"/>
        <v>1</v>
      </c>
      <c r="Y108" s="56">
        <f t="shared" si="22"/>
        <v>2</v>
      </c>
      <c r="Z108" s="56">
        <f t="shared" si="22"/>
        <v>0</v>
      </c>
      <c r="AA108" s="13">
        <f t="shared" si="14"/>
        <v>60</v>
      </c>
    </row>
    <row r="109" ht="12.75" customHeight="1">
      <c r="A109" s="57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13">
        <f t="shared" si="14"/>
        <v>0</v>
      </c>
    </row>
    <row r="110" ht="12.75" customHeight="1">
      <c r="A110" s="30" t="s">
        <v>37</v>
      </c>
      <c r="B110" s="47" t="s">
        <v>93</v>
      </c>
      <c r="C110" s="48" t="s">
        <v>94</v>
      </c>
      <c r="D110" s="16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2.0</v>
      </c>
      <c r="W110" s="19">
        <v>0.0</v>
      </c>
      <c r="X110" s="19">
        <v>0.0</v>
      </c>
      <c r="Y110" s="19">
        <v>0.0</v>
      </c>
      <c r="Z110" s="19">
        <v>0.0</v>
      </c>
      <c r="AA110" s="13">
        <f t="shared" si="14"/>
        <v>2</v>
      </c>
    </row>
    <row r="111" ht="12.75" customHeight="1">
      <c r="A111" s="30"/>
      <c r="B111" s="47">
        <v>1.0</v>
      </c>
      <c r="C111" s="50" t="s">
        <v>95</v>
      </c>
      <c r="D111" s="59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3">
        <f t="shared" si="14"/>
        <v>0</v>
      </c>
    </row>
    <row r="112" ht="12.75" customHeight="1">
      <c r="A112" s="30"/>
      <c r="B112" s="47">
        <v>2.0</v>
      </c>
      <c r="C112" s="50" t="s">
        <v>96</v>
      </c>
      <c r="D112" s="59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1.0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3">
        <f t="shared" si="14"/>
        <v>1</v>
      </c>
    </row>
    <row r="113" ht="12.75" customHeight="1">
      <c r="A113" s="30"/>
      <c r="B113" s="47">
        <v>3.0</v>
      </c>
      <c r="C113" s="50" t="s">
        <v>97</v>
      </c>
      <c r="D113" s="59"/>
      <c r="E113" s="19">
        <v>0.0</v>
      </c>
      <c r="F113" s="19">
        <v>0.0</v>
      </c>
      <c r="G113" s="19">
        <v>0.0</v>
      </c>
      <c r="H113" s="19">
        <v>0.0</v>
      </c>
      <c r="I113" s="19">
        <v>0.0</v>
      </c>
      <c r="J113" s="19">
        <v>0.0</v>
      </c>
      <c r="K113" s="19">
        <v>0.0</v>
      </c>
      <c r="L113" s="19">
        <v>0.0</v>
      </c>
      <c r="M113" s="19">
        <v>0.0</v>
      </c>
      <c r="N113" s="19">
        <v>0.0</v>
      </c>
      <c r="O113" s="19">
        <v>0.0</v>
      </c>
      <c r="P113" s="19">
        <v>0.0</v>
      </c>
      <c r="Q113" s="19">
        <v>0.0</v>
      </c>
      <c r="R113" s="19">
        <v>0.0</v>
      </c>
      <c r="S113" s="19">
        <v>0.0</v>
      </c>
      <c r="T113" s="19">
        <v>0.0</v>
      </c>
      <c r="U113" s="19">
        <v>0.0</v>
      </c>
      <c r="V113" s="19">
        <v>0.0</v>
      </c>
      <c r="W113" s="19">
        <v>0.0</v>
      </c>
      <c r="X113" s="19">
        <v>0.0</v>
      </c>
      <c r="Y113" s="19">
        <v>0.0</v>
      </c>
      <c r="Z113" s="19">
        <v>0.0</v>
      </c>
      <c r="AA113" s="13">
        <f t="shared" si="14"/>
        <v>0</v>
      </c>
    </row>
    <row r="114" ht="12.75" customHeight="1">
      <c r="A114" s="30" t="s">
        <v>39</v>
      </c>
      <c r="B114" s="49">
        <v>4.0</v>
      </c>
      <c r="C114" s="50" t="s">
        <v>98</v>
      </c>
      <c r="D114" s="51"/>
      <c r="E114" s="19">
        <v>0.0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9">
        <v>0.0</v>
      </c>
      <c r="N114" s="19">
        <v>0.0</v>
      </c>
      <c r="O114" s="19">
        <v>0.0</v>
      </c>
      <c r="P114" s="19">
        <v>0.0</v>
      </c>
      <c r="Q114" s="19">
        <v>0.0</v>
      </c>
      <c r="R114" s="19">
        <v>0.0</v>
      </c>
      <c r="S114" s="19">
        <v>0.0</v>
      </c>
      <c r="T114" s="19">
        <v>0.0</v>
      </c>
      <c r="U114" s="19">
        <v>0.0</v>
      </c>
      <c r="V114" s="19">
        <v>0.0</v>
      </c>
      <c r="W114" s="19">
        <v>0.0</v>
      </c>
      <c r="X114" s="19">
        <v>0.0</v>
      </c>
      <c r="Y114" s="19">
        <v>0.0</v>
      </c>
      <c r="Z114" s="19">
        <v>0.0</v>
      </c>
      <c r="AA114" s="13">
        <f t="shared" si="14"/>
        <v>0</v>
      </c>
    </row>
    <row r="115" ht="12.75" customHeight="1">
      <c r="A115" s="19" t="s">
        <v>15</v>
      </c>
      <c r="B115" s="47" t="s">
        <v>46</v>
      </c>
      <c r="C115" s="15"/>
      <c r="D115" s="16"/>
      <c r="E115" s="56">
        <f t="shared" ref="E115:Z115" si="23">SUM(E110:E114)</f>
        <v>0</v>
      </c>
      <c r="F115" s="56">
        <f t="shared" si="23"/>
        <v>0</v>
      </c>
      <c r="G115" s="56">
        <f t="shared" si="23"/>
        <v>0</v>
      </c>
      <c r="H115" s="56">
        <f t="shared" si="23"/>
        <v>0</v>
      </c>
      <c r="I115" s="56">
        <f t="shared" si="23"/>
        <v>0</v>
      </c>
      <c r="J115" s="56">
        <f t="shared" si="23"/>
        <v>0</v>
      </c>
      <c r="K115" s="56">
        <f t="shared" si="23"/>
        <v>0</v>
      </c>
      <c r="L115" s="56">
        <f t="shared" si="23"/>
        <v>0</v>
      </c>
      <c r="M115" s="56">
        <f t="shared" si="23"/>
        <v>0</v>
      </c>
      <c r="N115" s="56">
        <f t="shared" si="23"/>
        <v>0</v>
      </c>
      <c r="O115" s="56">
        <f t="shared" si="23"/>
        <v>1</v>
      </c>
      <c r="P115" s="56">
        <f t="shared" si="23"/>
        <v>0</v>
      </c>
      <c r="Q115" s="56">
        <f t="shared" si="23"/>
        <v>0</v>
      </c>
      <c r="R115" s="56">
        <f t="shared" si="23"/>
        <v>0</v>
      </c>
      <c r="S115" s="56">
        <f t="shared" si="23"/>
        <v>0</v>
      </c>
      <c r="T115" s="56">
        <f t="shared" si="23"/>
        <v>0</v>
      </c>
      <c r="U115" s="56">
        <f t="shared" si="23"/>
        <v>0</v>
      </c>
      <c r="V115" s="56">
        <f t="shared" si="23"/>
        <v>2</v>
      </c>
      <c r="W115" s="56">
        <f t="shared" si="23"/>
        <v>0</v>
      </c>
      <c r="X115" s="56">
        <f t="shared" si="23"/>
        <v>0</v>
      </c>
      <c r="Y115" s="56">
        <f t="shared" si="23"/>
        <v>0</v>
      </c>
      <c r="Z115" s="56">
        <f t="shared" si="23"/>
        <v>0</v>
      </c>
      <c r="AA115" s="13">
        <f t="shared" si="14"/>
        <v>3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13">
        <f t="shared" si="14"/>
        <v>0</v>
      </c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1.0</v>
      </c>
      <c r="W117" s="19">
        <v>0.0</v>
      </c>
      <c r="X117" s="19">
        <v>0.0</v>
      </c>
      <c r="Y117" s="19">
        <v>0.0</v>
      </c>
      <c r="Z117" s="19">
        <v>0.0</v>
      </c>
      <c r="AA117" s="13">
        <f t="shared" si="14"/>
        <v>1</v>
      </c>
      <c r="AB117" s="5"/>
      <c r="AC117" s="5"/>
    </row>
    <row r="118" ht="12.75" customHeight="1">
      <c r="A118" s="30" t="s">
        <v>39</v>
      </c>
      <c r="B118" s="49">
        <v>1.0</v>
      </c>
      <c r="C118" s="50" t="s">
        <v>101</v>
      </c>
      <c r="D118" s="51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3">
        <f t="shared" si="14"/>
        <v>0</v>
      </c>
      <c r="AB118" s="5"/>
      <c r="AC118" s="5"/>
    </row>
    <row r="119" ht="12.75" customHeight="1">
      <c r="A119" s="18"/>
      <c r="B119" s="49">
        <v>2.0</v>
      </c>
      <c r="C119" s="50" t="s">
        <v>102</v>
      </c>
      <c r="D119" s="51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3">
        <f t="shared" si="14"/>
        <v>0</v>
      </c>
      <c r="AB119" s="5"/>
      <c r="AC119" s="5"/>
    </row>
    <row r="120" ht="12.75" customHeight="1">
      <c r="A120" s="18"/>
      <c r="B120" s="49">
        <v>3.0</v>
      </c>
      <c r="C120" s="50" t="s">
        <v>103</v>
      </c>
      <c r="D120" s="51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3">
        <f t="shared" si="14"/>
        <v>0</v>
      </c>
      <c r="AB120" s="5"/>
      <c r="AC120" s="5"/>
    </row>
    <row r="121" ht="12.75" customHeight="1">
      <c r="A121" s="18"/>
      <c r="B121" s="49">
        <v>4.0</v>
      </c>
      <c r="C121" s="50" t="s">
        <v>104</v>
      </c>
      <c r="D121" s="51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1.0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0.0</v>
      </c>
      <c r="U121" s="19">
        <v>0.0</v>
      </c>
      <c r="V121" s="19">
        <v>0.0</v>
      </c>
      <c r="W121" s="19">
        <v>0.0</v>
      </c>
      <c r="X121" s="19">
        <v>0.0</v>
      </c>
      <c r="Y121" s="19">
        <v>0.0</v>
      </c>
      <c r="Z121" s="19">
        <v>0.0</v>
      </c>
      <c r="AA121" s="13">
        <f t="shared" si="14"/>
        <v>1</v>
      </c>
      <c r="AB121" s="5"/>
      <c r="AC121" s="5"/>
    </row>
    <row r="122" ht="12.75" customHeight="1">
      <c r="A122" s="18"/>
      <c r="B122" s="49">
        <v>5.0</v>
      </c>
      <c r="C122" s="50" t="s">
        <v>105</v>
      </c>
      <c r="D122" s="51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4.0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9">
        <v>0.0</v>
      </c>
      <c r="S122" s="19">
        <v>0.0</v>
      </c>
      <c r="T122" s="19">
        <v>0.0</v>
      </c>
      <c r="U122" s="19">
        <v>0.0</v>
      </c>
      <c r="V122" s="19">
        <v>0.0</v>
      </c>
      <c r="W122" s="19">
        <v>0.0</v>
      </c>
      <c r="X122" s="19">
        <v>0.0</v>
      </c>
      <c r="Y122" s="19">
        <v>0.0</v>
      </c>
      <c r="Z122" s="19">
        <v>0.0</v>
      </c>
      <c r="AA122" s="13">
        <f t="shared" si="14"/>
        <v>4</v>
      </c>
      <c r="AB122" s="5"/>
      <c r="AC122" s="5"/>
    </row>
    <row r="123" ht="12.75" customHeight="1">
      <c r="A123" s="18"/>
      <c r="B123" s="49">
        <v>6.0</v>
      </c>
      <c r="C123" s="50" t="s">
        <v>106</v>
      </c>
      <c r="D123" s="51"/>
      <c r="E123" s="19">
        <v>0.0</v>
      </c>
      <c r="F123" s="19">
        <v>0.0</v>
      </c>
      <c r="G123" s="19">
        <v>0.0</v>
      </c>
      <c r="H123" s="19">
        <v>0.0</v>
      </c>
      <c r="I123" s="19">
        <v>1.0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1.0</v>
      </c>
      <c r="Q123" s="19">
        <v>0.0</v>
      </c>
      <c r="R123" s="19">
        <v>0.0</v>
      </c>
      <c r="S123" s="19">
        <v>0.0</v>
      </c>
      <c r="T123" s="19">
        <v>0.0</v>
      </c>
      <c r="U123" s="19">
        <v>0.0</v>
      </c>
      <c r="V123" s="19">
        <v>0.0</v>
      </c>
      <c r="W123" s="19">
        <v>0.0</v>
      </c>
      <c r="X123" s="19">
        <v>0.0</v>
      </c>
      <c r="Y123" s="19">
        <v>0.0</v>
      </c>
      <c r="Z123" s="19">
        <v>0.0</v>
      </c>
      <c r="AA123" s="13">
        <f t="shared" si="14"/>
        <v>2</v>
      </c>
      <c r="AB123" s="5"/>
      <c r="AC123" s="5"/>
    </row>
    <row r="124" ht="12.75" customHeight="1">
      <c r="A124" s="19" t="s">
        <v>15</v>
      </c>
      <c r="B124" s="47" t="s">
        <v>46</v>
      </c>
      <c r="C124" s="15"/>
      <c r="D124" s="16"/>
      <c r="E124" s="56">
        <f t="shared" ref="E124:Z124" si="24">SUM(E117:E123)</f>
        <v>0</v>
      </c>
      <c r="F124" s="56">
        <f t="shared" si="24"/>
        <v>0</v>
      </c>
      <c r="G124" s="56">
        <f t="shared" si="24"/>
        <v>0</v>
      </c>
      <c r="H124" s="56">
        <f t="shared" si="24"/>
        <v>0</v>
      </c>
      <c r="I124" s="56">
        <f t="shared" si="24"/>
        <v>1</v>
      </c>
      <c r="J124" s="56">
        <f t="shared" si="24"/>
        <v>0</v>
      </c>
      <c r="K124" s="56">
        <f t="shared" si="24"/>
        <v>5</v>
      </c>
      <c r="L124" s="56">
        <f t="shared" si="24"/>
        <v>0</v>
      </c>
      <c r="M124" s="56">
        <f t="shared" si="24"/>
        <v>0</v>
      </c>
      <c r="N124" s="56">
        <f t="shared" si="24"/>
        <v>0</v>
      </c>
      <c r="O124" s="56">
        <f t="shared" si="24"/>
        <v>0</v>
      </c>
      <c r="P124" s="56">
        <f t="shared" si="24"/>
        <v>1</v>
      </c>
      <c r="Q124" s="56">
        <f t="shared" si="24"/>
        <v>0</v>
      </c>
      <c r="R124" s="56">
        <f t="shared" si="24"/>
        <v>0</v>
      </c>
      <c r="S124" s="56">
        <f t="shared" si="24"/>
        <v>0</v>
      </c>
      <c r="T124" s="56">
        <f t="shared" si="24"/>
        <v>0</v>
      </c>
      <c r="U124" s="56">
        <f t="shared" si="24"/>
        <v>0</v>
      </c>
      <c r="V124" s="56">
        <f t="shared" si="24"/>
        <v>1</v>
      </c>
      <c r="W124" s="56">
        <f t="shared" si="24"/>
        <v>0</v>
      </c>
      <c r="X124" s="56">
        <f t="shared" si="24"/>
        <v>0</v>
      </c>
      <c r="Y124" s="56">
        <f t="shared" si="24"/>
        <v>0</v>
      </c>
      <c r="Z124" s="56">
        <f t="shared" si="24"/>
        <v>0</v>
      </c>
      <c r="AA124" s="13">
        <f t="shared" si="14"/>
        <v>8</v>
      </c>
      <c r="AB124" s="5"/>
      <c r="AC124" s="5"/>
    </row>
    <row r="125" ht="12.75" customHeight="1">
      <c r="A125" s="57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13">
        <f t="shared" si="14"/>
        <v>0</v>
      </c>
      <c r="AB125" s="5"/>
      <c r="AC125" s="5"/>
    </row>
    <row r="126" ht="12.75" customHeight="1">
      <c r="A126" s="30" t="s">
        <v>37</v>
      </c>
      <c r="B126" s="47" t="s">
        <v>107</v>
      </c>
      <c r="C126" s="48" t="s">
        <v>108</v>
      </c>
      <c r="D126" s="16"/>
      <c r="E126" s="19">
        <v>0.0</v>
      </c>
      <c r="F126" s="19">
        <v>0.0</v>
      </c>
      <c r="G126" s="19">
        <v>0.0</v>
      </c>
      <c r="H126" s="19">
        <v>0.0</v>
      </c>
      <c r="I126" s="19">
        <v>0.0</v>
      </c>
      <c r="J126" s="19">
        <v>0.0</v>
      </c>
      <c r="K126" s="19">
        <v>0.0</v>
      </c>
      <c r="L126" s="19">
        <v>0.0</v>
      </c>
      <c r="M126" s="19">
        <v>0.0</v>
      </c>
      <c r="N126" s="19">
        <v>0.0</v>
      </c>
      <c r="O126" s="19">
        <v>1.0</v>
      </c>
      <c r="P126" s="19">
        <v>0.0</v>
      </c>
      <c r="Q126" s="19">
        <v>0.0</v>
      </c>
      <c r="R126" s="19">
        <v>0.0</v>
      </c>
      <c r="S126" s="19">
        <v>0.0</v>
      </c>
      <c r="T126" s="19">
        <v>0.0</v>
      </c>
      <c r="U126" s="19">
        <v>1.0</v>
      </c>
      <c r="V126" s="19">
        <v>0.0</v>
      </c>
      <c r="W126" s="19">
        <v>0.0</v>
      </c>
      <c r="X126" s="19">
        <v>0.0</v>
      </c>
      <c r="Y126" s="19">
        <v>0.0</v>
      </c>
      <c r="Z126" s="19">
        <v>0.0</v>
      </c>
      <c r="AA126" s="13">
        <f t="shared" si="14"/>
        <v>2</v>
      </c>
      <c r="AB126" s="5"/>
      <c r="AC126" s="5"/>
    </row>
    <row r="127" ht="15.0" customHeight="1">
      <c r="A127" s="30" t="s">
        <v>39</v>
      </c>
      <c r="B127" s="49"/>
      <c r="C127" s="50"/>
      <c r="D127" s="51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3">
        <f t="shared" si="14"/>
        <v>0</v>
      </c>
      <c r="AB127" s="5"/>
      <c r="AC127" s="5"/>
    </row>
    <row r="128" ht="12.75" customHeight="1">
      <c r="A128" s="19" t="s">
        <v>15</v>
      </c>
      <c r="B128" s="47" t="s">
        <v>46</v>
      </c>
      <c r="C128" s="15"/>
      <c r="D128" s="16"/>
      <c r="E128" s="56">
        <f t="shared" ref="E128:Z128" si="25">SUM(E126:E127)</f>
        <v>0</v>
      </c>
      <c r="F128" s="56">
        <f t="shared" si="25"/>
        <v>0</v>
      </c>
      <c r="G128" s="56">
        <f t="shared" si="25"/>
        <v>0</v>
      </c>
      <c r="H128" s="56">
        <f t="shared" si="25"/>
        <v>0</v>
      </c>
      <c r="I128" s="56">
        <f t="shared" si="25"/>
        <v>0</v>
      </c>
      <c r="J128" s="56">
        <f t="shared" si="25"/>
        <v>0</v>
      </c>
      <c r="K128" s="56">
        <f t="shared" si="25"/>
        <v>0</v>
      </c>
      <c r="L128" s="56">
        <f t="shared" si="25"/>
        <v>0</v>
      </c>
      <c r="M128" s="56">
        <f t="shared" si="25"/>
        <v>0</v>
      </c>
      <c r="N128" s="56">
        <f t="shared" si="25"/>
        <v>0</v>
      </c>
      <c r="O128" s="56">
        <f t="shared" si="25"/>
        <v>1</v>
      </c>
      <c r="P128" s="56">
        <f t="shared" si="25"/>
        <v>0</v>
      </c>
      <c r="Q128" s="56">
        <f t="shared" si="25"/>
        <v>0</v>
      </c>
      <c r="R128" s="56">
        <f t="shared" si="25"/>
        <v>0</v>
      </c>
      <c r="S128" s="56">
        <f t="shared" si="25"/>
        <v>0</v>
      </c>
      <c r="T128" s="56">
        <f t="shared" si="25"/>
        <v>0</v>
      </c>
      <c r="U128" s="56">
        <f t="shared" si="25"/>
        <v>1</v>
      </c>
      <c r="V128" s="56">
        <f t="shared" si="25"/>
        <v>0</v>
      </c>
      <c r="W128" s="56">
        <f t="shared" si="25"/>
        <v>0</v>
      </c>
      <c r="X128" s="56">
        <f t="shared" si="25"/>
        <v>0</v>
      </c>
      <c r="Y128" s="56">
        <f t="shared" si="25"/>
        <v>0</v>
      </c>
      <c r="Z128" s="56">
        <f t="shared" si="25"/>
        <v>0</v>
      </c>
      <c r="AA128" s="13">
        <f t="shared" si="14"/>
        <v>2</v>
      </c>
      <c r="AB128" s="5"/>
      <c r="AC128" s="5"/>
    </row>
    <row r="129" ht="12.75" customHeight="1">
      <c r="A129" s="57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13">
        <f t="shared" si="14"/>
        <v>0</v>
      </c>
      <c r="AB129" s="5"/>
      <c r="AC129" s="5"/>
    </row>
    <row r="130" ht="12.75" customHeight="1">
      <c r="A130" s="30" t="s">
        <v>37</v>
      </c>
      <c r="B130" s="47" t="s">
        <v>109</v>
      </c>
      <c r="C130" s="48" t="s">
        <v>110</v>
      </c>
      <c r="D130" s="16"/>
      <c r="E130" s="19">
        <v>0.0</v>
      </c>
      <c r="F130" s="19">
        <v>1.0</v>
      </c>
      <c r="G130" s="19">
        <v>0.0</v>
      </c>
      <c r="H130" s="19">
        <v>1.0</v>
      </c>
      <c r="I130" s="19">
        <v>0.0</v>
      </c>
      <c r="J130" s="19">
        <v>0.0</v>
      </c>
      <c r="K130" s="19">
        <v>1.0</v>
      </c>
      <c r="L130" s="19">
        <v>2.0</v>
      </c>
      <c r="M130" s="19">
        <v>1.0</v>
      </c>
      <c r="N130" s="19">
        <v>1.0</v>
      </c>
      <c r="O130" s="19">
        <v>2.0</v>
      </c>
      <c r="P130" s="19">
        <v>1.0</v>
      </c>
      <c r="Q130" s="19">
        <v>1.0</v>
      </c>
      <c r="R130" s="19">
        <v>1.0</v>
      </c>
      <c r="S130" s="19">
        <v>1.0</v>
      </c>
      <c r="T130" s="19">
        <v>0.0</v>
      </c>
      <c r="U130" s="19">
        <v>0.0</v>
      </c>
      <c r="V130" s="19">
        <v>0.0</v>
      </c>
      <c r="W130" s="19">
        <v>0.0</v>
      </c>
      <c r="X130" s="19">
        <v>0.0</v>
      </c>
      <c r="Y130" s="19">
        <v>0.0</v>
      </c>
      <c r="Z130" s="19">
        <v>0.0</v>
      </c>
      <c r="AA130" s="13">
        <f t="shared" si="14"/>
        <v>13</v>
      </c>
      <c r="AB130" s="1"/>
      <c r="AC130" s="1"/>
    </row>
    <row r="131" ht="12.75" customHeight="1">
      <c r="A131" s="30" t="s">
        <v>39</v>
      </c>
      <c r="B131" s="49">
        <v>1.0</v>
      </c>
      <c r="C131" s="50" t="s">
        <v>111</v>
      </c>
      <c r="D131" s="51"/>
      <c r="E131" s="19">
        <v>0.0</v>
      </c>
      <c r="F131" s="19">
        <v>0.0</v>
      </c>
      <c r="G131" s="19">
        <v>0.0</v>
      </c>
      <c r="H131" s="19">
        <v>1.0</v>
      </c>
      <c r="I131" s="19">
        <v>0.0</v>
      </c>
      <c r="J131" s="19">
        <v>1.0</v>
      </c>
      <c r="K131" s="19">
        <v>2.0</v>
      </c>
      <c r="L131" s="19">
        <v>0.0</v>
      </c>
      <c r="M131" s="19">
        <v>9.0</v>
      </c>
      <c r="N131" s="19">
        <v>0.0</v>
      </c>
      <c r="O131" s="19">
        <v>1.0</v>
      </c>
      <c r="P131" s="19">
        <v>0.0</v>
      </c>
      <c r="Q131" s="19">
        <v>0.0</v>
      </c>
      <c r="R131" s="19">
        <v>1.0</v>
      </c>
      <c r="S131" s="19">
        <v>3.0</v>
      </c>
      <c r="T131" s="19">
        <v>6.0</v>
      </c>
      <c r="U131" s="19">
        <v>0.0</v>
      </c>
      <c r="V131" s="19">
        <v>1.0</v>
      </c>
      <c r="W131" s="19">
        <v>1.0</v>
      </c>
      <c r="X131" s="19">
        <v>0.0</v>
      </c>
      <c r="Y131" s="19">
        <v>0.0</v>
      </c>
      <c r="Z131" s="19">
        <v>0.0</v>
      </c>
      <c r="AA131" s="13">
        <f t="shared" si="14"/>
        <v>26</v>
      </c>
      <c r="AB131" s="53"/>
      <c r="AC131" s="53"/>
    </row>
    <row r="132" ht="12.75" customHeight="1">
      <c r="A132" s="18"/>
      <c r="B132" s="49">
        <v>2.0</v>
      </c>
      <c r="C132" s="50" t="s">
        <v>112</v>
      </c>
      <c r="D132" s="51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1.0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1.0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3">
        <f t="shared" si="14"/>
        <v>2</v>
      </c>
      <c r="AB132" s="5"/>
      <c r="AC132" s="5"/>
    </row>
    <row r="133" ht="12.75" customHeight="1">
      <c r="A133" s="18"/>
      <c r="B133" s="49">
        <v>3.0</v>
      </c>
      <c r="C133" s="50" t="s">
        <v>113</v>
      </c>
      <c r="D133" s="51"/>
      <c r="E133" s="19">
        <v>0.0</v>
      </c>
      <c r="F133" s="19">
        <v>0.0</v>
      </c>
      <c r="G133" s="19">
        <v>1.0</v>
      </c>
      <c r="H133" s="19">
        <v>0.0</v>
      </c>
      <c r="I133" s="19">
        <v>0.0</v>
      </c>
      <c r="J133" s="19">
        <v>0.0</v>
      </c>
      <c r="K133" s="19">
        <v>2.0</v>
      </c>
      <c r="L133" s="19">
        <v>0.0</v>
      </c>
      <c r="M133" s="19">
        <v>0.0</v>
      </c>
      <c r="N133" s="19">
        <v>0.0</v>
      </c>
      <c r="O133" s="19">
        <v>1.0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3">
        <f t="shared" si="14"/>
        <v>4</v>
      </c>
      <c r="AB133" s="5"/>
      <c r="AC133" s="5"/>
    </row>
    <row r="134" ht="12.75" customHeight="1">
      <c r="A134" s="18"/>
      <c r="B134" s="49">
        <v>4.0</v>
      </c>
      <c r="C134" s="50" t="s">
        <v>114</v>
      </c>
      <c r="D134" s="51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3">
        <f t="shared" si="14"/>
        <v>0</v>
      </c>
      <c r="AB134" s="5"/>
      <c r="AC134" s="5"/>
    </row>
    <row r="135" ht="12.75" customHeight="1">
      <c r="A135" s="19" t="s">
        <v>15</v>
      </c>
      <c r="B135" s="47" t="s">
        <v>46</v>
      </c>
      <c r="C135" s="15"/>
      <c r="D135" s="16"/>
      <c r="E135" s="56">
        <f t="shared" ref="E135:Z135" si="26">SUM(E130:E134)</f>
        <v>0</v>
      </c>
      <c r="F135" s="56">
        <f t="shared" si="26"/>
        <v>1</v>
      </c>
      <c r="G135" s="56">
        <f t="shared" si="26"/>
        <v>1</v>
      </c>
      <c r="H135" s="56">
        <f t="shared" si="26"/>
        <v>2</v>
      </c>
      <c r="I135" s="56">
        <f t="shared" si="26"/>
        <v>0</v>
      </c>
      <c r="J135" s="56">
        <f t="shared" si="26"/>
        <v>1</v>
      </c>
      <c r="K135" s="56">
        <f t="shared" si="26"/>
        <v>5</v>
      </c>
      <c r="L135" s="56">
        <f t="shared" si="26"/>
        <v>3</v>
      </c>
      <c r="M135" s="56">
        <f t="shared" si="26"/>
        <v>10</v>
      </c>
      <c r="N135" s="56">
        <f t="shared" si="26"/>
        <v>1</v>
      </c>
      <c r="O135" s="56">
        <f t="shared" si="26"/>
        <v>4</v>
      </c>
      <c r="P135" s="56">
        <f t="shared" si="26"/>
        <v>1</v>
      </c>
      <c r="Q135" s="56">
        <f t="shared" si="26"/>
        <v>1</v>
      </c>
      <c r="R135" s="56">
        <f t="shared" si="26"/>
        <v>2</v>
      </c>
      <c r="S135" s="56">
        <f t="shared" si="26"/>
        <v>4</v>
      </c>
      <c r="T135" s="56">
        <f t="shared" si="26"/>
        <v>7</v>
      </c>
      <c r="U135" s="56">
        <f t="shared" si="26"/>
        <v>0</v>
      </c>
      <c r="V135" s="56">
        <f t="shared" si="26"/>
        <v>1</v>
      </c>
      <c r="W135" s="56">
        <f t="shared" si="26"/>
        <v>1</v>
      </c>
      <c r="X135" s="56">
        <f t="shared" si="26"/>
        <v>0</v>
      </c>
      <c r="Y135" s="56">
        <f t="shared" si="26"/>
        <v>0</v>
      </c>
      <c r="Z135" s="56">
        <f t="shared" si="26"/>
        <v>0</v>
      </c>
      <c r="AA135" s="13">
        <f t="shared" si="14"/>
        <v>45</v>
      </c>
      <c r="AB135" s="5"/>
      <c r="AC135" s="5"/>
    </row>
    <row r="136" ht="12.75" customHeight="1">
      <c r="A136" s="57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13">
        <f t="shared" si="14"/>
        <v>0</v>
      </c>
      <c r="AB136" s="5"/>
      <c r="AC136" s="5"/>
    </row>
    <row r="137" ht="12.75" customHeight="1">
      <c r="A137" s="30" t="s">
        <v>37</v>
      </c>
      <c r="B137" s="47" t="s">
        <v>115</v>
      </c>
      <c r="C137" s="48" t="s">
        <v>116</v>
      </c>
      <c r="D137" s="16"/>
      <c r="E137" s="19">
        <v>0.0</v>
      </c>
      <c r="F137" s="19">
        <v>0.0</v>
      </c>
      <c r="G137" s="19">
        <v>0.0</v>
      </c>
      <c r="H137" s="19">
        <v>0.0</v>
      </c>
      <c r="I137" s="19">
        <v>0.0</v>
      </c>
      <c r="J137" s="19">
        <v>0.0</v>
      </c>
      <c r="K137" s="19">
        <v>0.0</v>
      </c>
      <c r="L137" s="19">
        <v>0.0</v>
      </c>
      <c r="M137" s="19">
        <v>0.0</v>
      </c>
      <c r="N137" s="19">
        <v>0.0</v>
      </c>
      <c r="O137" s="19">
        <v>1.0</v>
      </c>
      <c r="P137" s="19">
        <v>0.0</v>
      </c>
      <c r="Q137" s="19">
        <v>0.0</v>
      </c>
      <c r="R137" s="19">
        <v>0.0</v>
      </c>
      <c r="S137" s="19">
        <v>0.0</v>
      </c>
      <c r="T137" s="19">
        <v>0.0</v>
      </c>
      <c r="U137" s="19">
        <v>0.0</v>
      </c>
      <c r="V137" s="19">
        <v>0.0</v>
      </c>
      <c r="W137" s="19">
        <v>0.0</v>
      </c>
      <c r="X137" s="19">
        <v>0.0</v>
      </c>
      <c r="Y137" s="19">
        <v>0.0</v>
      </c>
      <c r="Z137" s="19">
        <v>0.0</v>
      </c>
      <c r="AA137" s="13">
        <f t="shared" si="14"/>
        <v>1</v>
      </c>
      <c r="AB137" s="5"/>
      <c r="AC137" s="5"/>
    </row>
    <row r="138" ht="12.75" customHeight="1">
      <c r="A138" s="30" t="s">
        <v>39</v>
      </c>
      <c r="B138" s="49">
        <v>1.0</v>
      </c>
      <c r="C138" s="50" t="s">
        <v>117</v>
      </c>
      <c r="D138" s="51"/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0.0</v>
      </c>
      <c r="K138" s="19">
        <v>0.0</v>
      </c>
      <c r="L138" s="19">
        <v>0.0</v>
      </c>
      <c r="M138" s="19">
        <v>0.0</v>
      </c>
      <c r="N138" s="19">
        <v>0.0</v>
      </c>
      <c r="O138" s="19">
        <v>0.0</v>
      </c>
      <c r="P138" s="19">
        <v>0.0</v>
      </c>
      <c r="Q138" s="19">
        <v>0.0</v>
      </c>
      <c r="R138" s="19">
        <v>0.0</v>
      </c>
      <c r="S138" s="19">
        <v>0.0</v>
      </c>
      <c r="T138" s="19">
        <v>0.0</v>
      </c>
      <c r="U138" s="19">
        <v>0.0</v>
      </c>
      <c r="V138" s="19">
        <v>0.0</v>
      </c>
      <c r="W138" s="19">
        <v>0.0</v>
      </c>
      <c r="X138" s="19">
        <v>0.0</v>
      </c>
      <c r="Y138" s="19">
        <v>0.0</v>
      </c>
      <c r="Z138" s="19">
        <v>0.0</v>
      </c>
      <c r="AA138" s="13">
        <f t="shared" si="14"/>
        <v>0</v>
      </c>
      <c r="AB138" s="5"/>
      <c r="AC138" s="5"/>
    </row>
    <row r="139" ht="15.0" customHeight="1">
      <c r="A139" s="18"/>
      <c r="B139" s="49">
        <v>2.0</v>
      </c>
      <c r="C139" s="50" t="s">
        <v>118</v>
      </c>
      <c r="D139" s="51"/>
      <c r="E139" s="19">
        <v>0.0</v>
      </c>
      <c r="F139" s="19">
        <v>0.0</v>
      </c>
      <c r="G139" s="19">
        <v>0.0</v>
      </c>
      <c r="H139" s="19">
        <v>1.0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19">
        <v>1.0</v>
      </c>
      <c r="Q139" s="19">
        <v>0.0</v>
      </c>
      <c r="R139" s="19">
        <v>0.0</v>
      </c>
      <c r="S139" s="19">
        <v>0.0</v>
      </c>
      <c r="T139" s="19">
        <v>0.0</v>
      </c>
      <c r="U139" s="19">
        <v>0.0</v>
      </c>
      <c r="V139" s="19">
        <v>0.0</v>
      </c>
      <c r="W139" s="19">
        <v>0.0</v>
      </c>
      <c r="X139" s="19">
        <v>0.0</v>
      </c>
      <c r="Y139" s="19">
        <v>0.0</v>
      </c>
      <c r="Z139" s="19">
        <v>0.0</v>
      </c>
      <c r="AA139" s="13">
        <f t="shared" si="14"/>
        <v>2</v>
      </c>
      <c r="AB139" s="5"/>
      <c r="AC139" s="5"/>
    </row>
    <row r="140" ht="12.75" customHeight="1">
      <c r="A140" s="18"/>
      <c r="B140" s="49">
        <v>3.0</v>
      </c>
      <c r="C140" s="50" t="s">
        <v>119</v>
      </c>
      <c r="D140" s="51"/>
      <c r="E140" s="19">
        <v>0.0</v>
      </c>
      <c r="F140" s="19">
        <v>0.0</v>
      </c>
      <c r="G140" s="19">
        <v>0.0</v>
      </c>
      <c r="H140" s="19">
        <v>0.0</v>
      </c>
      <c r="I140" s="19">
        <v>0.0</v>
      </c>
      <c r="J140" s="19">
        <v>0.0</v>
      </c>
      <c r="K140" s="19">
        <v>0.0</v>
      </c>
      <c r="L140" s="19">
        <v>0.0</v>
      </c>
      <c r="M140" s="19">
        <v>0.0</v>
      </c>
      <c r="N140" s="19">
        <v>0.0</v>
      </c>
      <c r="O140" s="19">
        <v>0.0</v>
      </c>
      <c r="P140" s="19">
        <v>0.0</v>
      </c>
      <c r="Q140" s="19">
        <v>0.0</v>
      </c>
      <c r="R140" s="19">
        <v>0.0</v>
      </c>
      <c r="S140" s="19">
        <v>0.0</v>
      </c>
      <c r="T140" s="19">
        <v>0.0</v>
      </c>
      <c r="U140" s="19">
        <v>0.0</v>
      </c>
      <c r="V140" s="19">
        <v>0.0</v>
      </c>
      <c r="W140" s="19">
        <v>1.0</v>
      </c>
      <c r="X140" s="19">
        <v>0.0</v>
      </c>
      <c r="Y140" s="19">
        <v>0.0</v>
      </c>
      <c r="Z140" s="19">
        <v>0.0</v>
      </c>
      <c r="AA140" s="13">
        <f t="shared" si="14"/>
        <v>1</v>
      </c>
      <c r="AB140" s="5"/>
      <c r="AC140" s="5"/>
    </row>
    <row r="141" ht="12.75" customHeight="1">
      <c r="A141" s="18"/>
      <c r="B141" s="49">
        <v>4.0</v>
      </c>
      <c r="C141" s="50" t="s">
        <v>120</v>
      </c>
      <c r="D141" s="51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3">
        <f t="shared" si="14"/>
        <v>0</v>
      </c>
      <c r="AB141" s="1"/>
      <c r="AC141" s="1"/>
    </row>
    <row r="142" ht="12.75" customHeight="1">
      <c r="A142" s="18"/>
      <c r="B142" s="49">
        <v>5.0</v>
      </c>
      <c r="C142" s="50" t="s">
        <v>121</v>
      </c>
      <c r="D142" s="5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3">
        <f t="shared" si="14"/>
        <v>0</v>
      </c>
      <c r="AB142" s="53"/>
      <c r="AC142" s="53"/>
    </row>
    <row r="143" ht="12.75" customHeight="1">
      <c r="A143" s="18"/>
      <c r="B143" s="49">
        <v>6.0</v>
      </c>
      <c r="C143" s="50" t="s">
        <v>122</v>
      </c>
      <c r="D143" s="5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1.0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3">
        <f t="shared" si="14"/>
        <v>1</v>
      </c>
      <c r="AB143" s="5"/>
      <c r="AC143" s="5"/>
    </row>
    <row r="144" ht="12.75" customHeight="1">
      <c r="A144" s="19" t="s">
        <v>15</v>
      </c>
      <c r="B144" s="47" t="s">
        <v>46</v>
      </c>
      <c r="C144" s="15"/>
      <c r="D144" s="16"/>
      <c r="E144" s="56">
        <f t="shared" ref="E144:Z144" si="27">SUM(E137:E143)</f>
        <v>0</v>
      </c>
      <c r="F144" s="56">
        <f t="shared" si="27"/>
        <v>0</v>
      </c>
      <c r="G144" s="56">
        <f t="shared" si="27"/>
        <v>0</v>
      </c>
      <c r="H144" s="56">
        <f t="shared" si="27"/>
        <v>1</v>
      </c>
      <c r="I144" s="56">
        <f t="shared" si="27"/>
        <v>0</v>
      </c>
      <c r="J144" s="56">
        <f t="shared" si="27"/>
        <v>0</v>
      </c>
      <c r="K144" s="56">
        <f t="shared" si="27"/>
        <v>0</v>
      </c>
      <c r="L144" s="56">
        <f t="shared" si="27"/>
        <v>0</v>
      </c>
      <c r="M144" s="56">
        <f t="shared" si="27"/>
        <v>0</v>
      </c>
      <c r="N144" s="56">
        <f t="shared" si="27"/>
        <v>1</v>
      </c>
      <c r="O144" s="56">
        <f t="shared" si="27"/>
        <v>1</v>
      </c>
      <c r="P144" s="56">
        <f t="shared" si="27"/>
        <v>1</v>
      </c>
      <c r="Q144" s="56">
        <f t="shared" si="27"/>
        <v>0</v>
      </c>
      <c r="R144" s="56">
        <f t="shared" si="27"/>
        <v>0</v>
      </c>
      <c r="S144" s="56">
        <f t="shared" si="27"/>
        <v>0</v>
      </c>
      <c r="T144" s="56">
        <f t="shared" si="27"/>
        <v>0</v>
      </c>
      <c r="U144" s="56">
        <f t="shared" si="27"/>
        <v>0</v>
      </c>
      <c r="V144" s="56">
        <f t="shared" si="27"/>
        <v>0</v>
      </c>
      <c r="W144" s="56">
        <f t="shared" si="27"/>
        <v>1</v>
      </c>
      <c r="X144" s="56">
        <f t="shared" si="27"/>
        <v>0</v>
      </c>
      <c r="Y144" s="56">
        <f t="shared" si="27"/>
        <v>0</v>
      </c>
      <c r="Z144" s="56">
        <f t="shared" si="27"/>
        <v>0</v>
      </c>
      <c r="AA144" s="13">
        <f t="shared" si="14"/>
        <v>5</v>
      </c>
      <c r="AB144" s="5"/>
      <c r="AC144" s="5"/>
    </row>
    <row r="145" ht="12.75" customHeight="1">
      <c r="A145" s="57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13">
        <f t="shared" si="14"/>
        <v>0</v>
      </c>
      <c r="AB145" s="5"/>
      <c r="AC145" s="5"/>
    </row>
    <row r="146" ht="12.75" customHeight="1">
      <c r="A146" s="30" t="s">
        <v>37</v>
      </c>
      <c r="B146" s="47" t="s">
        <v>123</v>
      </c>
      <c r="C146" s="48" t="s">
        <v>124</v>
      </c>
      <c r="D146" s="16"/>
      <c r="E146" s="19">
        <v>4.0</v>
      </c>
      <c r="F146" s="19">
        <v>2.0</v>
      </c>
      <c r="G146" s="19">
        <v>1.0</v>
      </c>
      <c r="H146" s="19">
        <v>0.0</v>
      </c>
      <c r="I146" s="19">
        <v>5.0</v>
      </c>
      <c r="J146" s="19">
        <v>3.0</v>
      </c>
      <c r="K146" s="19">
        <v>3.0</v>
      </c>
      <c r="L146" s="19">
        <v>2.0</v>
      </c>
      <c r="M146" s="19">
        <v>0.0</v>
      </c>
      <c r="N146" s="19">
        <v>3.0</v>
      </c>
      <c r="O146" s="19">
        <v>6.0</v>
      </c>
      <c r="P146" s="19">
        <v>1.0</v>
      </c>
      <c r="Q146" s="19">
        <v>1.0</v>
      </c>
      <c r="R146" s="19">
        <v>1.0</v>
      </c>
      <c r="S146" s="19">
        <v>1.0</v>
      </c>
      <c r="T146" s="19">
        <v>1.0</v>
      </c>
      <c r="U146" s="19">
        <v>0.0</v>
      </c>
      <c r="V146" s="19">
        <v>3.0</v>
      </c>
      <c r="W146" s="19">
        <v>1.0</v>
      </c>
      <c r="X146" s="19">
        <v>1.0</v>
      </c>
      <c r="Y146" s="19">
        <v>0.0</v>
      </c>
      <c r="Z146" s="19">
        <v>2.0</v>
      </c>
      <c r="AA146" s="13">
        <f t="shared" si="14"/>
        <v>41</v>
      </c>
      <c r="AB146" s="5"/>
      <c r="AC146" s="5"/>
    </row>
    <row r="147" ht="12.75" customHeight="1">
      <c r="A147" s="30" t="s">
        <v>39</v>
      </c>
      <c r="B147" s="49">
        <v>1.0</v>
      </c>
      <c r="C147" s="50" t="s">
        <v>125</v>
      </c>
      <c r="D147" s="51"/>
      <c r="E147" s="19">
        <v>7.0</v>
      </c>
      <c r="F147" s="19">
        <v>42.0</v>
      </c>
      <c r="G147" s="19">
        <v>6.0</v>
      </c>
      <c r="H147" s="19">
        <v>1.0</v>
      </c>
      <c r="I147" s="19">
        <v>11.0</v>
      </c>
      <c r="J147" s="19">
        <v>3.0</v>
      </c>
      <c r="K147" s="19">
        <v>3.0</v>
      </c>
      <c r="L147" s="19">
        <v>0.0</v>
      </c>
      <c r="M147" s="19">
        <v>2.0</v>
      </c>
      <c r="N147" s="19">
        <v>1.0</v>
      </c>
      <c r="O147" s="19">
        <v>6.0</v>
      </c>
      <c r="P147" s="19">
        <v>0.0</v>
      </c>
      <c r="Q147" s="19">
        <v>1.0</v>
      </c>
      <c r="R147" s="19">
        <v>0.0</v>
      </c>
      <c r="S147" s="19">
        <v>1.0</v>
      </c>
      <c r="T147" s="19">
        <v>2.0</v>
      </c>
      <c r="U147" s="19">
        <v>1.0</v>
      </c>
      <c r="V147" s="19">
        <v>0.0</v>
      </c>
      <c r="W147" s="19">
        <v>0.0</v>
      </c>
      <c r="X147" s="19">
        <v>2.0</v>
      </c>
      <c r="Y147" s="19">
        <v>0.0</v>
      </c>
      <c r="Z147" s="19">
        <v>4.0</v>
      </c>
      <c r="AA147" s="13">
        <f t="shared" si="14"/>
        <v>93</v>
      </c>
      <c r="AB147" s="5"/>
      <c r="AC147" s="5"/>
    </row>
    <row r="148" ht="12.75" customHeight="1">
      <c r="A148" s="18"/>
      <c r="B148" s="49">
        <v>2.0</v>
      </c>
      <c r="C148" s="50" t="s">
        <v>126</v>
      </c>
      <c r="D148" s="51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2.0</v>
      </c>
      <c r="K148" s="19">
        <v>2.0</v>
      </c>
      <c r="L148" s="19">
        <v>0.0</v>
      </c>
      <c r="M148" s="19">
        <v>0.0</v>
      </c>
      <c r="N148" s="19">
        <v>1.0</v>
      </c>
      <c r="O148" s="19">
        <v>2.0</v>
      </c>
      <c r="P148" s="19">
        <v>0.0</v>
      </c>
      <c r="Q148" s="19">
        <v>0.0</v>
      </c>
      <c r="R148" s="19">
        <v>0.0</v>
      </c>
      <c r="S148" s="19">
        <v>1.0</v>
      </c>
      <c r="T148" s="19">
        <v>2.0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3">
        <f t="shared" si="14"/>
        <v>10</v>
      </c>
      <c r="AB148" s="5"/>
      <c r="AC148" s="5"/>
    </row>
    <row r="149" ht="12.75" customHeight="1">
      <c r="A149" s="18"/>
      <c r="B149" s="49">
        <v>3.0</v>
      </c>
      <c r="C149" s="50" t="s">
        <v>127</v>
      </c>
      <c r="D149" s="51"/>
      <c r="E149" s="19">
        <v>0.0</v>
      </c>
      <c r="F149" s="19">
        <v>0.0</v>
      </c>
      <c r="G149" s="19">
        <v>1.0</v>
      </c>
      <c r="H149" s="19">
        <v>0.0</v>
      </c>
      <c r="I149" s="19">
        <v>0.0</v>
      </c>
      <c r="J149" s="19">
        <v>1.0</v>
      </c>
      <c r="K149" s="19">
        <v>0.0</v>
      </c>
      <c r="L149" s="19">
        <v>0.0</v>
      </c>
      <c r="M149" s="19">
        <v>0.0</v>
      </c>
      <c r="N149" s="19">
        <v>1.0</v>
      </c>
      <c r="O149" s="19">
        <v>0.0</v>
      </c>
      <c r="P149" s="19">
        <v>0.0</v>
      </c>
      <c r="Q149" s="19">
        <v>1.0</v>
      </c>
      <c r="R149" s="19">
        <v>0.0</v>
      </c>
      <c r="S149" s="19">
        <v>0.0</v>
      </c>
      <c r="T149" s="19">
        <v>0.0</v>
      </c>
      <c r="U149" s="19">
        <v>0.0</v>
      </c>
      <c r="V149" s="19">
        <v>0.0</v>
      </c>
      <c r="W149" s="19">
        <v>0.0</v>
      </c>
      <c r="X149" s="19">
        <v>0.0</v>
      </c>
      <c r="Y149" s="19">
        <v>0.0</v>
      </c>
      <c r="Z149" s="19">
        <v>1.0</v>
      </c>
      <c r="AA149" s="13">
        <f t="shared" si="14"/>
        <v>5</v>
      </c>
      <c r="AB149" s="5"/>
      <c r="AC149" s="5"/>
    </row>
    <row r="150" ht="12.75" customHeight="1">
      <c r="A150" s="18"/>
      <c r="B150" s="49">
        <v>4.0</v>
      </c>
      <c r="C150" s="50" t="s">
        <v>128</v>
      </c>
      <c r="D150" s="51"/>
      <c r="E150" s="19">
        <v>0.0</v>
      </c>
      <c r="F150" s="19">
        <v>1.0</v>
      </c>
      <c r="G150" s="19">
        <v>0.0</v>
      </c>
      <c r="H150" s="19">
        <v>0.0</v>
      </c>
      <c r="I150" s="19">
        <v>0.0</v>
      </c>
      <c r="J150" s="19">
        <v>0.0</v>
      </c>
      <c r="K150" s="19">
        <v>0.0</v>
      </c>
      <c r="L150" s="19">
        <v>0.0</v>
      </c>
      <c r="M150" s="19">
        <v>0.0</v>
      </c>
      <c r="N150" s="19">
        <v>0.0</v>
      </c>
      <c r="O150" s="19">
        <v>1.0</v>
      </c>
      <c r="P150" s="19">
        <v>0.0</v>
      </c>
      <c r="Q150" s="19">
        <v>0.0</v>
      </c>
      <c r="R150" s="19">
        <v>0.0</v>
      </c>
      <c r="S150" s="19">
        <v>0.0</v>
      </c>
      <c r="T150" s="19">
        <v>0.0</v>
      </c>
      <c r="U150" s="19">
        <v>0.0</v>
      </c>
      <c r="V150" s="19">
        <v>1.0</v>
      </c>
      <c r="W150" s="19">
        <v>0.0</v>
      </c>
      <c r="X150" s="19">
        <v>0.0</v>
      </c>
      <c r="Y150" s="19">
        <v>0.0</v>
      </c>
      <c r="Z150" s="19">
        <v>0.0</v>
      </c>
      <c r="AA150" s="13">
        <f t="shared" si="14"/>
        <v>3</v>
      </c>
      <c r="AB150" s="5"/>
      <c r="AC150" s="5"/>
    </row>
    <row r="151" ht="12.75" customHeight="1">
      <c r="A151" s="18"/>
      <c r="B151" s="49">
        <v>5.0</v>
      </c>
      <c r="C151" s="50" t="s">
        <v>129</v>
      </c>
      <c r="D151" s="51"/>
      <c r="E151" s="19">
        <v>0.0</v>
      </c>
      <c r="F151" s="19">
        <v>0.0</v>
      </c>
      <c r="G151" s="19">
        <v>0.0</v>
      </c>
      <c r="H151" s="19">
        <v>0.0</v>
      </c>
      <c r="I151" s="19">
        <v>0.0</v>
      </c>
      <c r="J151" s="19">
        <v>0.0</v>
      </c>
      <c r="K151" s="19">
        <v>0.0</v>
      </c>
      <c r="L151" s="19">
        <v>0.0</v>
      </c>
      <c r="M151" s="19">
        <v>0.0</v>
      </c>
      <c r="N151" s="19">
        <v>0.0</v>
      </c>
      <c r="O151" s="19">
        <v>0.0</v>
      </c>
      <c r="P151" s="19">
        <v>0.0</v>
      </c>
      <c r="Q151" s="19">
        <v>0.0</v>
      </c>
      <c r="R151" s="19">
        <v>1.0</v>
      </c>
      <c r="S151" s="19">
        <v>0.0</v>
      </c>
      <c r="T151" s="19">
        <v>0.0</v>
      </c>
      <c r="U151" s="19">
        <v>0.0</v>
      </c>
      <c r="V151" s="19">
        <v>0.0</v>
      </c>
      <c r="W151" s="19">
        <v>0.0</v>
      </c>
      <c r="X151" s="19">
        <v>0.0</v>
      </c>
      <c r="Y151" s="19">
        <v>0.0</v>
      </c>
      <c r="Z151" s="19">
        <v>0.0</v>
      </c>
      <c r="AA151" s="13">
        <f t="shared" si="14"/>
        <v>1</v>
      </c>
      <c r="AB151" s="1"/>
      <c r="AC151" s="1"/>
    </row>
    <row r="152" ht="12.75" customHeight="1">
      <c r="A152" s="18"/>
      <c r="B152" s="49">
        <v>6.0</v>
      </c>
      <c r="C152" s="50" t="s">
        <v>130</v>
      </c>
      <c r="D152" s="51"/>
      <c r="E152" s="19">
        <v>0.0</v>
      </c>
      <c r="F152" s="19">
        <v>0.0</v>
      </c>
      <c r="G152" s="19">
        <v>0.0</v>
      </c>
      <c r="H152" s="19">
        <v>0.0</v>
      </c>
      <c r="I152" s="19">
        <v>0.0</v>
      </c>
      <c r="J152" s="19">
        <v>0.0</v>
      </c>
      <c r="K152" s="19">
        <v>0.0</v>
      </c>
      <c r="L152" s="19">
        <v>1.0</v>
      </c>
      <c r="M152" s="19">
        <v>0.0</v>
      </c>
      <c r="N152" s="19">
        <v>0.0</v>
      </c>
      <c r="O152" s="19">
        <v>0.0</v>
      </c>
      <c r="P152" s="19">
        <v>0.0</v>
      </c>
      <c r="Q152" s="19">
        <v>0.0</v>
      </c>
      <c r="R152" s="19">
        <v>0.0</v>
      </c>
      <c r="S152" s="19">
        <v>0.0</v>
      </c>
      <c r="T152" s="19">
        <v>2.0</v>
      </c>
      <c r="U152" s="19">
        <v>0.0</v>
      </c>
      <c r="V152" s="19">
        <v>0.0</v>
      </c>
      <c r="W152" s="19">
        <v>0.0</v>
      </c>
      <c r="X152" s="19">
        <v>0.0</v>
      </c>
      <c r="Y152" s="19">
        <v>0.0</v>
      </c>
      <c r="Z152" s="19">
        <v>0.0</v>
      </c>
      <c r="AA152" s="13">
        <f t="shared" si="14"/>
        <v>3</v>
      </c>
      <c r="AB152" s="53"/>
      <c r="AC152" s="53"/>
    </row>
    <row r="153" ht="12.75" customHeight="1">
      <c r="A153" s="19" t="s">
        <v>15</v>
      </c>
      <c r="B153" s="47" t="s">
        <v>46</v>
      </c>
      <c r="C153" s="15"/>
      <c r="D153" s="16"/>
      <c r="E153" s="56">
        <f t="shared" ref="E153:Z153" si="28">SUM(E146:E152)</f>
        <v>11</v>
      </c>
      <c r="F153" s="56">
        <f t="shared" si="28"/>
        <v>45</v>
      </c>
      <c r="G153" s="56">
        <f t="shared" si="28"/>
        <v>8</v>
      </c>
      <c r="H153" s="56">
        <f t="shared" si="28"/>
        <v>1</v>
      </c>
      <c r="I153" s="56">
        <f t="shared" si="28"/>
        <v>16</v>
      </c>
      <c r="J153" s="56">
        <f t="shared" si="28"/>
        <v>9</v>
      </c>
      <c r="K153" s="56">
        <f t="shared" si="28"/>
        <v>8</v>
      </c>
      <c r="L153" s="56">
        <f t="shared" si="28"/>
        <v>3</v>
      </c>
      <c r="M153" s="56">
        <f t="shared" si="28"/>
        <v>2</v>
      </c>
      <c r="N153" s="56">
        <f t="shared" si="28"/>
        <v>6</v>
      </c>
      <c r="O153" s="56">
        <f t="shared" si="28"/>
        <v>15</v>
      </c>
      <c r="P153" s="56">
        <f t="shared" si="28"/>
        <v>1</v>
      </c>
      <c r="Q153" s="56">
        <f t="shared" si="28"/>
        <v>3</v>
      </c>
      <c r="R153" s="56">
        <f t="shared" si="28"/>
        <v>2</v>
      </c>
      <c r="S153" s="56">
        <f t="shared" si="28"/>
        <v>3</v>
      </c>
      <c r="T153" s="56">
        <f t="shared" si="28"/>
        <v>7</v>
      </c>
      <c r="U153" s="56">
        <f t="shared" si="28"/>
        <v>1</v>
      </c>
      <c r="V153" s="56">
        <f t="shared" si="28"/>
        <v>4</v>
      </c>
      <c r="W153" s="56">
        <f t="shared" si="28"/>
        <v>1</v>
      </c>
      <c r="X153" s="56">
        <f t="shared" si="28"/>
        <v>3</v>
      </c>
      <c r="Y153" s="56">
        <f t="shared" si="28"/>
        <v>0</v>
      </c>
      <c r="Z153" s="56">
        <f t="shared" si="28"/>
        <v>7</v>
      </c>
      <c r="AA153" s="13">
        <f t="shared" si="14"/>
        <v>156</v>
      </c>
      <c r="AB153" s="5"/>
      <c r="AC153" s="5"/>
    </row>
    <row r="154" ht="12.75" customHeight="1">
      <c r="A154" s="57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13">
        <f t="shared" si="14"/>
        <v>0</v>
      </c>
      <c r="AB154" s="5"/>
      <c r="AC154" s="5"/>
    </row>
    <row r="155" ht="12.75" customHeight="1">
      <c r="A155" s="30" t="s">
        <v>37</v>
      </c>
      <c r="B155" s="47" t="s">
        <v>131</v>
      </c>
      <c r="C155" s="48" t="s">
        <v>132</v>
      </c>
      <c r="D155" s="16"/>
      <c r="E155" s="19">
        <v>0.0</v>
      </c>
      <c r="F155" s="19">
        <v>0.0</v>
      </c>
      <c r="G155" s="19">
        <v>0.0</v>
      </c>
      <c r="H155" s="19">
        <v>2.0</v>
      </c>
      <c r="I155" s="19">
        <v>0.0</v>
      </c>
      <c r="J155" s="19">
        <v>0.0</v>
      </c>
      <c r="K155" s="19">
        <v>2.0</v>
      </c>
      <c r="L155" s="19">
        <v>1.0</v>
      </c>
      <c r="M155" s="19">
        <v>1.0</v>
      </c>
      <c r="N155" s="19">
        <v>1.0</v>
      </c>
      <c r="O155" s="19">
        <v>3.0</v>
      </c>
      <c r="P155" s="19">
        <v>1.0</v>
      </c>
      <c r="Q155" s="19">
        <v>1.0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2.0</v>
      </c>
      <c r="X155" s="19">
        <v>0.0</v>
      </c>
      <c r="Y155" s="19">
        <v>0.0</v>
      </c>
      <c r="Z155" s="19">
        <v>0.0</v>
      </c>
      <c r="AA155" s="13">
        <f t="shared" si="14"/>
        <v>14</v>
      </c>
      <c r="AB155" s="5"/>
      <c r="AC155" s="5"/>
    </row>
    <row r="156" ht="12.75" customHeight="1">
      <c r="A156" s="30" t="s">
        <v>39</v>
      </c>
      <c r="B156" s="49"/>
      <c r="C156" s="50" t="s">
        <v>133</v>
      </c>
      <c r="D156" s="51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3">
        <f t="shared" si="14"/>
        <v>0</v>
      </c>
      <c r="AB156" s="5"/>
      <c r="AC156" s="5"/>
    </row>
    <row r="157" ht="12.75" customHeight="1">
      <c r="A157" s="19" t="s">
        <v>15</v>
      </c>
      <c r="B157" s="47" t="s">
        <v>46</v>
      </c>
      <c r="C157" s="15"/>
      <c r="D157" s="16"/>
      <c r="E157" s="56">
        <f t="shared" ref="E157:Z157" si="29">SUM(E155:E156)</f>
        <v>0</v>
      </c>
      <c r="F157" s="56">
        <f t="shared" si="29"/>
        <v>0</v>
      </c>
      <c r="G157" s="56">
        <f t="shared" si="29"/>
        <v>0</v>
      </c>
      <c r="H157" s="56">
        <f t="shared" si="29"/>
        <v>2</v>
      </c>
      <c r="I157" s="56">
        <f t="shared" si="29"/>
        <v>0</v>
      </c>
      <c r="J157" s="56">
        <f t="shared" si="29"/>
        <v>0</v>
      </c>
      <c r="K157" s="56">
        <f t="shared" si="29"/>
        <v>2</v>
      </c>
      <c r="L157" s="56">
        <f t="shared" si="29"/>
        <v>1</v>
      </c>
      <c r="M157" s="56">
        <f t="shared" si="29"/>
        <v>1</v>
      </c>
      <c r="N157" s="56">
        <f t="shared" si="29"/>
        <v>1</v>
      </c>
      <c r="O157" s="56">
        <f t="shared" si="29"/>
        <v>3</v>
      </c>
      <c r="P157" s="56">
        <f t="shared" si="29"/>
        <v>1</v>
      </c>
      <c r="Q157" s="56">
        <f t="shared" si="29"/>
        <v>1</v>
      </c>
      <c r="R157" s="56">
        <f t="shared" si="29"/>
        <v>0</v>
      </c>
      <c r="S157" s="56">
        <f t="shared" si="29"/>
        <v>0</v>
      </c>
      <c r="T157" s="56">
        <f t="shared" si="29"/>
        <v>0</v>
      </c>
      <c r="U157" s="56">
        <f t="shared" si="29"/>
        <v>0</v>
      </c>
      <c r="V157" s="56">
        <f t="shared" si="29"/>
        <v>0</v>
      </c>
      <c r="W157" s="56">
        <f t="shared" si="29"/>
        <v>2</v>
      </c>
      <c r="X157" s="56">
        <f t="shared" si="29"/>
        <v>0</v>
      </c>
      <c r="Y157" s="56">
        <f t="shared" si="29"/>
        <v>0</v>
      </c>
      <c r="Z157" s="56">
        <f t="shared" si="29"/>
        <v>0</v>
      </c>
      <c r="AA157" s="13">
        <f t="shared" si="14"/>
        <v>14</v>
      </c>
      <c r="AB157" s="5"/>
      <c r="AC157" s="5"/>
    </row>
    <row r="158" ht="12.75" customHeight="1">
      <c r="A158" s="57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13">
        <f t="shared" si="14"/>
        <v>0</v>
      </c>
      <c r="AB158" s="5"/>
      <c r="AC158" s="5"/>
    </row>
    <row r="159" ht="12.75" customHeight="1">
      <c r="A159" s="30" t="s">
        <v>37</v>
      </c>
      <c r="B159" s="47" t="s">
        <v>134</v>
      </c>
      <c r="C159" s="48" t="s">
        <v>135</v>
      </c>
      <c r="D159" s="16"/>
      <c r="E159" s="19">
        <v>0.0</v>
      </c>
      <c r="F159" s="19">
        <v>0.0</v>
      </c>
      <c r="G159" s="19">
        <v>0.0</v>
      </c>
      <c r="H159" s="19">
        <v>0.0</v>
      </c>
      <c r="I159" s="19">
        <v>0.0</v>
      </c>
      <c r="J159" s="19">
        <v>0.0</v>
      </c>
      <c r="K159" s="19">
        <v>0.0</v>
      </c>
      <c r="L159" s="19">
        <v>1.0</v>
      </c>
      <c r="M159" s="19">
        <v>0.0</v>
      </c>
      <c r="N159" s="19">
        <v>0.0</v>
      </c>
      <c r="O159" s="19">
        <v>0.0</v>
      </c>
      <c r="P159" s="19">
        <v>0.0</v>
      </c>
      <c r="Q159" s="19">
        <v>0.0</v>
      </c>
      <c r="R159" s="19">
        <v>0.0</v>
      </c>
      <c r="S159" s="19">
        <v>0.0</v>
      </c>
      <c r="T159" s="19">
        <v>0.0</v>
      </c>
      <c r="U159" s="19">
        <v>0.0</v>
      </c>
      <c r="V159" s="19">
        <v>0.0</v>
      </c>
      <c r="W159" s="19">
        <v>0.0</v>
      </c>
      <c r="X159" s="19">
        <v>0.0</v>
      </c>
      <c r="Y159" s="19">
        <v>0.0</v>
      </c>
      <c r="Z159" s="19">
        <v>0.0</v>
      </c>
      <c r="AA159" s="13">
        <f t="shared" si="14"/>
        <v>1</v>
      </c>
      <c r="AB159" s="5"/>
      <c r="AC159" s="5"/>
    </row>
    <row r="160" ht="12.75" customHeight="1">
      <c r="A160" s="30"/>
      <c r="B160" s="49">
        <v>1.0</v>
      </c>
      <c r="C160" s="50" t="s">
        <v>136</v>
      </c>
      <c r="D160" s="59"/>
      <c r="E160" s="19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2.0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9">
        <v>0.0</v>
      </c>
      <c r="S160" s="19">
        <v>1.0</v>
      </c>
      <c r="T160" s="19">
        <v>0.0</v>
      </c>
      <c r="U160" s="19">
        <v>0.0</v>
      </c>
      <c r="V160" s="19">
        <v>0.0</v>
      </c>
      <c r="W160" s="19">
        <v>0.0</v>
      </c>
      <c r="X160" s="19">
        <v>0.0</v>
      </c>
      <c r="Y160" s="19">
        <v>0.0</v>
      </c>
      <c r="Z160" s="19">
        <v>0.0</v>
      </c>
      <c r="AA160" s="13">
        <f t="shared" si="14"/>
        <v>3</v>
      </c>
      <c r="AB160" s="5"/>
      <c r="AC160" s="5"/>
    </row>
    <row r="161" ht="12.75" customHeight="1">
      <c r="A161" s="30"/>
      <c r="B161" s="49">
        <v>2.0</v>
      </c>
      <c r="C161" s="50" t="s">
        <v>137</v>
      </c>
      <c r="D161" s="59"/>
      <c r="E161" s="19">
        <v>0.0</v>
      </c>
      <c r="F161" s="19">
        <v>0.0</v>
      </c>
      <c r="G161" s="19">
        <v>0.0</v>
      </c>
      <c r="H161" s="19">
        <v>0.0</v>
      </c>
      <c r="I161" s="19">
        <v>0.0</v>
      </c>
      <c r="J161" s="19">
        <v>0.0</v>
      </c>
      <c r="K161" s="19">
        <v>0.0</v>
      </c>
      <c r="L161" s="19">
        <v>0.0</v>
      </c>
      <c r="M161" s="19">
        <v>0.0</v>
      </c>
      <c r="N161" s="19">
        <v>0.0</v>
      </c>
      <c r="O161" s="19">
        <v>0.0</v>
      </c>
      <c r="P161" s="19">
        <v>0.0</v>
      </c>
      <c r="Q161" s="19">
        <v>0.0</v>
      </c>
      <c r="R161" s="19">
        <v>0.0</v>
      </c>
      <c r="S161" s="19">
        <v>1.0</v>
      </c>
      <c r="T161" s="19">
        <v>2.0</v>
      </c>
      <c r="U161" s="19">
        <v>2.0</v>
      </c>
      <c r="V161" s="19">
        <v>0.0</v>
      </c>
      <c r="W161" s="19">
        <v>0.0</v>
      </c>
      <c r="X161" s="19">
        <v>0.0</v>
      </c>
      <c r="Y161" s="19">
        <v>0.0</v>
      </c>
      <c r="Z161" s="19">
        <v>0.0</v>
      </c>
      <c r="AA161" s="13">
        <f t="shared" si="14"/>
        <v>5</v>
      </c>
      <c r="AB161" s="5"/>
      <c r="AC161" s="5"/>
    </row>
    <row r="162" ht="12.75" customHeight="1">
      <c r="A162" s="30" t="s">
        <v>39</v>
      </c>
      <c r="B162" s="49">
        <v>3.0</v>
      </c>
      <c r="C162" s="50" t="s">
        <v>138</v>
      </c>
      <c r="D162" s="59"/>
      <c r="E162" s="19">
        <v>0.0</v>
      </c>
      <c r="F162" s="19">
        <v>0.0</v>
      </c>
      <c r="G162" s="19">
        <v>0.0</v>
      </c>
      <c r="H162" s="19">
        <v>1.0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0.0</v>
      </c>
      <c r="P162" s="19">
        <v>0.0</v>
      </c>
      <c r="Q162" s="19">
        <v>0.0</v>
      </c>
      <c r="R162" s="19">
        <v>0.0</v>
      </c>
      <c r="S162" s="19">
        <v>0.0</v>
      </c>
      <c r="T162" s="19">
        <v>0.0</v>
      </c>
      <c r="U162" s="19">
        <v>0.0</v>
      </c>
      <c r="V162" s="19">
        <v>0.0</v>
      </c>
      <c r="W162" s="19">
        <v>0.0</v>
      </c>
      <c r="X162" s="19">
        <v>0.0</v>
      </c>
      <c r="Y162" s="19">
        <v>0.0</v>
      </c>
      <c r="Z162" s="19">
        <v>0.0</v>
      </c>
      <c r="AA162" s="13">
        <f t="shared" si="14"/>
        <v>1</v>
      </c>
      <c r="AB162" s="5"/>
      <c r="AC162" s="5"/>
    </row>
    <row r="163" ht="15.0" customHeight="1">
      <c r="A163" s="19" t="s">
        <v>15</v>
      </c>
      <c r="B163" s="47" t="s">
        <v>46</v>
      </c>
      <c r="C163" s="15"/>
      <c r="D163" s="16"/>
      <c r="E163" s="56">
        <f t="shared" ref="E163:Z163" si="30">SUM(E159:E162)</f>
        <v>0</v>
      </c>
      <c r="F163" s="56">
        <f t="shared" si="30"/>
        <v>0</v>
      </c>
      <c r="G163" s="56">
        <f t="shared" si="30"/>
        <v>0</v>
      </c>
      <c r="H163" s="56">
        <f t="shared" si="30"/>
        <v>1</v>
      </c>
      <c r="I163" s="56">
        <f t="shared" si="30"/>
        <v>0</v>
      </c>
      <c r="J163" s="56">
        <f t="shared" si="30"/>
        <v>0</v>
      </c>
      <c r="K163" s="56">
        <f t="shared" si="30"/>
        <v>0</v>
      </c>
      <c r="L163" s="56">
        <f t="shared" si="30"/>
        <v>3</v>
      </c>
      <c r="M163" s="56">
        <f t="shared" si="30"/>
        <v>0</v>
      </c>
      <c r="N163" s="56">
        <f t="shared" si="30"/>
        <v>0</v>
      </c>
      <c r="O163" s="56">
        <f t="shared" si="30"/>
        <v>0</v>
      </c>
      <c r="P163" s="56">
        <f t="shared" si="30"/>
        <v>0</v>
      </c>
      <c r="Q163" s="56">
        <f t="shared" si="30"/>
        <v>0</v>
      </c>
      <c r="R163" s="56">
        <f t="shared" si="30"/>
        <v>0</v>
      </c>
      <c r="S163" s="56">
        <f t="shared" si="30"/>
        <v>2</v>
      </c>
      <c r="T163" s="56">
        <f t="shared" si="30"/>
        <v>2</v>
      </c>
      <c r="U163" s="56">
        <f t="shared" si="30"/>
        <v>2</v>
      </c>
      <c r="V163" s="56">
        <f t="shared" si="30"/>
        <v>0</v>
      </c>
      <c r="W163" s="56">
        <f t="shared" si="30"/>
        <v>0</v>
      </c>
      <c r="X163" s="56">
        <f t="shared" si="30"/>
        <v>0</v>
      </c>
      <c r="Y163" s="56">
        <f t="shared" si="30"/>
        <v>0</v>
      </c>
      <c r="Z163" s="56">
        <f t="shared" si="30"/>
        <v>0</v>
      </c>
      <c r="AA163" s="13">
        <f t="shared" si="14"/>
        <v>10</v>
      </c>
      <c r="AB163" s="5"/>
      <c r="AC163" s="5"/>
    </row>
    <row r="164" ht="12.75" customHeight="1">
      <c r="A164" s="57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13">
        <f t="shared" si="14"/>
        <v>0</v>
      </c>
      <c r="AB164" s="5"/>
      <c r="AC164" s="5"/>
    </row>
    <row r="165" ht="12.75" customHeight="1">
      <c r="A165" s="30" t="s">
        <v>37</v>
      </c>
      <c r="B165" s="47" t="s">
        <v>139</v>
      </c>
      <c r="C165" s="48" t="s">
        <v>140</v>
      </c>
      <c r="D165" s="16"/>
      <c r="E165" s="19">
        <v>1.0</v>
      </c>
      <c r="F165" s="19">
        <v>2.0</v>
      </c>
      <c r="G165" s="19">
        <v>1.0</v>
      </c>
      <c r="H165" s="19">
        <v>1.0</v>
      </c>
      <c r="I165" s="19">
        <v>1.0</v>
      </c>
      <c r="J165" s="19">
        <v>0.0</v>
      </c>
      <c r="K165" s="19">
        <v>8.0</v>
      </c>
      <c r="L165" s="19">
        <v>0.0</v>
      </c>
      <c r="M165" s="19">
        <v>0.0</v>
      </c>
      <c r="N165" s="19">
        <v>0.0</v>
      </c>
      <c r="O165" s="19">
        <v>3.0</v>
      </c>
      <c r="P165" s="19">
        <v>1.0</v>
      </c>
      <c r="Q165" s="19">
        <v>1.0</v>
      </c>
      <c r="R165" s="19">
        <v>1.0</v>
      </c>
      <c r="S165" s="19">
        <v>3.0</v>
      </c>
      <c r="T165" s="19">
        <v>4.0</v>
      </c>
      <c r="U165" s="19">
        <v>1.0</v>
      </c>
      <c r="V165" s="19">
        <v>2.0</v>
      </c>
      <c r="W165" s="19">
        <v>1.0</v>
      </c>
      <c r="X165" s="19">
        <v>0.0</v>
      </c>
      <c r="Y165" s="19">
        <v>0.0</v>
      </c>
      <c r="Z165" s="19">
        <v>1.0</v>
      </c>
      <c r="AA165" s="13">
        <f t="shared" si="14"/>
        <v>32</v>
      </c>
      <c r="AB165" s="1"/>
      <c r="AC165" s="1"/>
    </row>
    <row r="166" ht="12.75" customHeight="1">
      <c r="A166" s="30" t="s">
        <v>39</v>
      </c>
      <c r="B166" s="49">
        <v>1.0</v>
      </c>
      <c r="C166" s="50" t="s">
        <v>141</v>
      </c>
      <c r="D166" s="51"/>
      <c r="E166" s="19">
        <v>5.0</v>
      </c>
      <c r="F166" s="19">
        <v>4.0</v>
      </c>
      <c r="G166" s="19">
        <v>20.0</v>
      </c>
      <c r="H166" s="19">
        <v>1.0</v>
      </c>
      <c r="I166" s="19">
        <v>3.0</v>
      </c>
      <c r="J166" s="19">
        <v>2.0</v>
      </c>
      <c r="K166" s="19">
        <v>30.0</v>
      </c>
      <c r="L166" s="19">
        <v>0.0</v>
      </c>
      <c r="M166" s="19">
        <v>9.0</v>
      </c>
      <c r="N166" s="19">
        <v>0.0</v>
      </c>
      <c r="O166" s="19">
        <v>0.0</v>
      </c>
      <c r="P166" s="19">
        <v>2.0</v>
      </c>
      <c r="Q166" s="19">
        <v>0.0</v>
      </c>
      <c r="R166" s="19">
        <v>2.0</v>
      </c>
      <c r="S166" s="19">
        <v>5.0</v>
      </c>
      <c r="T166" s="19">
        <v>1.0</v>
      </c>
      <c r="U166" s="19">
        <v>0.0</v>
      </c>
      <c r="V166" s="19">
        <v>1.0</v>
      </c>
      <c r="W166" s="19">
        <v>0.0</v>
      </c>
      <c r="X166" s="19">
        <v>0.0</v>
      </c>
      <c r="Y166" s="19">
        <v>1.0</v>
      </c>
      <c r="Z166" s="19">
        <v>0.0</v>
      </c>
      <c r="AA166" s="13">
        <f t="shared" si="14"/>
        <v>86</v>
      </c>
      <c r="AB166" s="53"/>
      <c r="AC166" s="53"/>
    </row>
    <row r="167" ht="12.75" customHeight="1">
      <c r="A167" s="18"/>
      <c r="B167" s="49">
        <v>2.0</v>
      </c>
      <c r="C167" s="50" t="s">
        <v>142</v>
      </c>
      <c r="D167" s="51"/>
      <c r="E167" s="19">
        <v>2.0</v>
      </c>
      <c r="F167" s="19">
        <v>10.0</v>
      </c>
      <c r="G167" s="19">
        <v>0.0</v>
      </c>
      <c r="H167" s="19">
        <v>1.0</v>
      </c>
      <c r="I167" s="19">
        <v>0.0</v>
      </c>
      <c r="J167" s="19">
        <v>0.0</v>
      </c>
      <c r="K167" s="19">
        <v>15.0</v>
      </c>
      <c r="L167" s="19">
        <v>0.0</v>
      </c>
      <c r="M167" s="19">
        <v>23.0</v>
      </c>
      <c r="N167" s="19">
        <v>1.0</v>
      </c>
      <c r="O167" s="19">
        <v>24.0</v>
      </c>
      <c r="P167" s="19">
        <v>20.0</v>
      </c>
      <c r="Q167" s="19">
        <v>12.0</v>
      </c>
      <c r="R167" s="19">
        <v>10.0</v>
      </c>
      <c r="S167" s="19">
        <v>64.0</v>
      </c>
      <c r="T167" s="19">
        <v>36.0</v>
      </c>
      <c r="U167" s="19">
        <v>51.0</v>
      </c>
      <c r="V167" s="19">
        <v>9.0</v>
      </c>
      <c r="W167" s="19">
        <v>5.0</v>
      </c>
      <c r="X167" s="19">
        <v>4.0</v>
      </c>
      <c r="Y167" s="19">
        <v>0.0</v>
      </c>
      <c r="Z167" s="19">
        <v>21.0</v>
      </c>
      <c r="AA167" s="13">
        <f t="shared" si="14"/>
        <v>308</v>
      </c>
      <c r="AB167" s="5"/>
      <c r="AC167" s="5"/>
    </row>
    <row r="168" ht="12.75" customHeight="1">
      <c r="A168" s="18"/>
      <c r="B168" s="49">
        <v>3.0</v>
      </c>
      <c r="C168" s="50" t="s">
        <v>143</v>
      </c>
      <c r="D168" s="51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1.0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1.0</v>
      </c>
      <c r="X168" s="19">
        <v>0.0</v>
      </c>
      <c r="Y168" s="19">
        <v>0.0</v>
      </c>
      <c r="Z168" s="19">
        <v>0.0</v>
      </c>
      <c r="AA168" s="13">
        <f t="shared" si="14"/>
        <v>2</v>
      </c>
      <c r="AB168" s="5"/>
      <c r="AC168" s="5"/>
    </row>
    <row r="169" ht="12.75" customHeight="1">
      <c r="A169" s="18"/>
      <c r="B169" s="49">
        <v>4.0</v>
      </c>
      <c r="C169" s="50" t="s">
        <v>144</v>
      </c>
      <c r="D169" s="51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1.0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3">
        <f t="shared" si="14"/>
        <v>1</v>
      </c>
      <c r="AB169" s="5"/>
      <c r="AC169" s="5"/>
    </row>
    <row r="170" ht="12.75" customHeight="1">
      <c r="A170" s="18"/>
      <c r="B170" s="49">
        <v>5.0</v>
      </c>
      <c r="C170" s="50" t="s">
        <v>145</v>
      </c>
      <c r="D170" s="51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1.0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3">
        <f t="shared" si="14"/>
        <v>1</v>
      </c>
      <c r="AB170" s="5"/>
      <c r="AC170" s="5"/>
    </row>
    <row r="171" ht="12.75" customHeight="1">
      <c r="A171" s="18"/>
      <c r="B171" s="49">
        <v>6.0</v>
      </c>
      <c r="C171" s="50" t="s">
        <v>146</v>
      </c>
      <c r="D171" s="51"/>
      <c r="E171" s="19">
        <v>0.0</v>
      </c>
      <c r="F171" s="19">
        <v>0.0</v>
      </c>
      <c r="G171" s="19">
        <v>3.0</v>
      </c>
      <c r="H171" s="19">
        <v>0.0</v>
      </c>
      <c r="I171" s="19">
        <v>0.0</v>
      </c>
      <c r="J171" s="19">
        <v>0.0</v>
      </c>
      <c r="K171" s="19">
        <v>0.0</v>
      </c>
      <c r="L171" s="19">
        <v>1.0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1.0</v>
      </c>
      <c r="Z171" s="19">
        <v>0.0</v>
      </c>
      <c r="AA171" s="13">
        <f t="shared" si="14"/>
        <v>5</v>
      </c>
      <c r="AB171" s="5"/>
      <c r="AC171" s="5"/>
    </row>
    <row r="172" ht="12.75" customHeight="1">
      <c r="A172" s="19" t="s">
        <v>15</v>
      </c>
      <c r="B172" s="47" t="s">
        <v>46</v>
      </c>
      <c r="C172" s="15"/>
      <c r="D172" s="16"/>
      <c r="E172" s="56">
        <f t="shared" ref="E172:Z172" si="31">SUM(E165:E171)</f>
        <v>8</v>
      </c>
      <c r="F172" s="56">
        <f t="shared" si="31"/>
        <v>16</v>
      </c>
      <c r="G172" s="56">
        <f t="shared" si="31"/>
        <v>24</v>
      </c>
      <c r="H172" s="56">
        <f t="shared" si="31"/>
        <v>3</v>
      </c>
      <c r="I172" s="56">
        <f t="shared" si="31"/>
        <v>4</v>
      </c>
      <c r="J172" s="56">
        <f t="shared" si="31"/>
        <v>2</v>
      </c>
      <c r="K172" s="56">
        <f t="shared" si="31"/>
        <v>53</v>
      </c>
      <c r="L172" s="56">
        <f t="shared" si="31"/>
        <v>1</v>
      </c>
      <c r="M172" s="56">
        <f t="shared" si="31"/>
        <v>32</v>
      </c>
      <c r="N172" s="56">
        <f t="shared" si="31"/>
        <v>1</v>
      </c>
      <c r="O172" s="56">
        <f t="shared" si="31"/>
        <v>27</v>
      </c>
      <c r="P172" s="56">
        <f t="shared" si="31"/>
        <v>25</v>
      </c>
      <c r="Q172" s="56">
        <f t="shared" si="31"/>
        <v>13</v>
      </c>
      <c r="R172" s="56">
        <f t="shared" si="31"/>
        <v>13</v>
      </c>
      <c r="S172" s="56">
        <f t="shared" si="31"/>
        <v>73</v>
      </c>
      <c r="T172" s="56">
        <f t="shared" si="31"/>
        <v>41</v>
      </c>
      <c r="U172" s="56">
        <f t="shared" si="31"/>
        <v>52</v>
      </c>
      <c r="V172" s="56">
        <f t="shared" si="31"/>
        <v>12</v>
      </c>
      <c r="W172" s="56">
        <f t="shared" si="31"/>
        <v>7</v>
      </c>
      <c r="X172" s="56">
        <f t="shared" si="31"/>
        <v>4</v>
      </c>
      <c r="Y172" s="56">
        <f t="shared" si="31"/>
        <v>2</v>
      </c>
      <c r="Z172" s="56">
        <f t="shared" si="31"/>
        <v>22</v>
      </c>
      <c r="AA172" s="13">
        <f t="shared" si="14"/>
        <v>435</v>
      </c>
      <c r="AB172" s="5"/>
      <c r="AC172" s="5"/>
    </row>
    <row r="173" ht="12.75" customHeight="1">
      <c r="A173" s="57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13">
        <f t="shared" si="14"/>
        <v>0</v>
      </c>
      <c r="AB173" s="5"/>
      <c r="AC173" s="5"/>
    </row>
    <row r="174" ht="12.75" customHeight="1">
      <c r="A174" s="30" t="s">
        <v>37</v>
      </c>
      <c r="B174" s="47" t="s">
        <v>147</v>
      </c>
      <c r="C174" s="48" t="s">
        <v>148</v>
      </c>
      <c r="D174" s="16"/>
      <c r="E174" s="19">
        <v>0.0</v>
      </c>
      <c r="F174" s="19">
        <v>0.0</v>
      </c>
      <c r="G174" s="19">
        <v>0.0</v>
      </c>
      <c r="H174" s="19">
        <v>0.0</v>
      </c>
      <c r="I174" s="19">
        <v>0.0</v>
      </c>
      <c r="J174" s="19">
        <v>0.0</v>
      </c>
      <c r="K174" s="19">
        <v>0.0</v>
      </c>
      <c r="L174" s="19">
        <v>0.0</v>
      </c>
      <c r="M174" s="19">
        <v>0.0</v>
      </c>
      <c r="N174" s="19">
        <v>0.0</v>
      </c>
      <c r="O174" s="19">
        <v>0.0</v>
      </c>
      <c r="P174" s="19">
        <v>0.0</v>
      </c>
      <c r="Q174" s="19">
        <v>0.0</v>
      </c>
      <c r="R174" s="19">
        <v>0.0</v>
      </c>
      <c r="S174" s="19">
        <v>0.0</v>
      </c>
      <c r="T174" s="19">
        <v>0.0</v>
      </c>
      <c r="U174" s="19">
        <v>0.0</v>
      </c>
      <c r="V174" s="19">
        <v>0.0</v>
      </c>
      <c r="W174" s="19">
        <v>0.0</v>
      </c>
      <c r="X174" s="19">
        <v>0.0</v>
      </c>
      <c r="Y174" s="19">
        <v>0.0</v>
      </c>
      <c r="Z174" s="19">
        <v>0.0</v>
      </c>
      <c r="AA174" s="13">
        <f t="shared" si="14"/>
        <v>0</v>
      </c>
      <c r="AB174" s="5"/>
      <c r="AC174" s="5"/>
    </row>
    <row r="175" ht="15.0" customHeight="1">
      <c r="A175" s="30"/>
      <c r="B175" s="49">
        <v>1.0</v>
      </c>
      <c r="C175" s="50" t="s">
        <v>149</v>
      </c>
      <c r="D175" s="59"/>
      <c r="E175" s="19">
        <v>0.0</v>
      </c>
      <c r="F175" s="19">
        <v>0.0</v>
      </c>
      <c r="G175" s="19">
        <v>0.0</v>
      </c>
      <c r="H175" s="19">
        <v>0.0</v>
      </c>
      <c r="I175" s="19">
        <v>0.0</v>
      </c>
      <c r="J175" s="19">
        <v>1.0</v>
      </c>
      <c r="K175" s="19">
        <v>4.0</v>
      </c>
      <c r="L175" s="19">
        <v>0.0</v>
      </c>
      <c r="M175" s="19">
        <v>1.0</v>
      </c>
      <c r="N175" s="19">
        <v>0.0</v>
      </c>
      <c r="O175" s="19">
        <v>0.0</v>
      </c>
      <c r="P175" s="19">
        <v>0.0</v>
      </c>
      <c r="Q175" s="19">
        <v>0.0</v>
      </c>
      <c r="R175" s="19">
        <v>0.0</v>
      </c>
      <c r="S175" s="19">
        <v>0.0</v>
      </c>
      <c r="T175" s="19">
        <v>0.0</v>
      </c>
      <c r="U175" s="19">
        <v>0.0</v>
      </c>
      <c r="V175" s="19">
        <v>0.0</v>
      </c>
      <c r="W175" s="19">
        <v>0.0</v>
      </c>
      <c r="X175" s="19">
        <v>0.0</v>
      </c>
      <c r="Y175" s="19">
        <v>0.0</v>
      </c>
      <c r="Z175" s="19">
        <v>0.0</v>
      </c>
      <c r="AA175" s="13">
        <f t="shared" si="14"/>
        <v>6</v>
      </c>
      <c r="AB175" s="5"/>
      <c r="AC175" s="5"/>
    </row>
    <row r="176" ht="12.75" customHeight="1">
      <c r="A176" s="30" t="s">
        <v>39</v>
      </c>
      <c r="B176" s="49">
        <v>2.0</v>
      </c>
      <c r="C176" s="50" t="s">
        <v>150</v>
      </c>
      <c r="D176" s="51"/>
      <c r="E176" s="19">
        <v>0.0</v>
      </c>
      <c r="F176" s="19">
        <v>1.0</v>
      </c>
      <c r="G176" s="19">
        <v>0.0</v>
      </c>
      <c r="H176" s="19">
        <v>0.0</v>
      </c>
      <c r="I176" s="19">
        <v>0.0</v>
      </c>
      <c r="J176" s="19">
        <v>0.0</v>
      </c>
      <c r="K176" s="19">
        <v>0.0</v>
      </c>
      <c r="L176" s="19">
        <v>0.0</v>
      </c>
      <c r="M176" s="19">
        <v>1.0</v>
      </c>
      <c r="N176" s="19">
        <v>0.0</v>
      </c>
      <c r="O176" s="19">
        <v>0.0</v>
      </c>
      <c r="P176" s="19">
        <v>0.0</v>
      </c>
      <c r="Q176" s="19">
        <v>0.0</v>
      </c>
      <c r="R176" s="19">
        <v>0.0</v>
      </c>
      <c r="S176" s="19">
        <v>0.0</v>
      </c>
      <c r="T176" s="19">
        <v>0.0</v>
      </c>
      <c r="U176" s="19">
        <v>0.0</v>
      </c>
      <c r="V176" s="19">
        <v>0.0</v>
      </c>
      <c r="W176" s="19">
        <v>0.0</v>
      </c>
      <c r="X176" s="19">
        <v>0.0</v>
      </c>
      <c r="Y176" s="19">
        <v>0.0</v>
      </c>
      <c r="Z176" s="19">
        <v>0.0</v>
      </c>
      <c r="AA176" s="13">
        <f t="shared" si="14"/>
        <v>2</v>
      </c>
      <c r="AB176" s="1"/>
      <c r="AC176" s="1"/>
    </row>
    <row r="177" ht="12.75" customHeight="1">
      <c r="A177" s="19" t="s">
        <v>15</v>
      </c>
      <c r="B177" s="47" t="s">
        <v>46</v>
      </c>
      <c r="C177" s="15"/>
      <c r="D177" s="16"/>
      <c r="E177" s="56">
        <f t="shared" ref="E177:Z177" si="32">SUM(E174:E176)</f>
        <v>0</v>
      </c>
      <c r="F177" s="56">
        <f t="shared" si="32"/>
        <v>1</v>
      </c>
      <c r="G177" s="56">
        <f t="shared" si="32"/>
        <v>0</v>
      </c>
      <c r="H177" s="56">
        <f t="shared" si="32"/>
        <v>0</v>
      </c>
      <c r="I177" s="56">
        <f t="shared" si="32"/>
        <v>0</v>
      </c>
      <c r="J177" s="56">
        <f t="shared" si="32"/>
        <v>1</v>
      </c>
      <c r="K177" s="56">
        <f t="shared" si="32"/>
        <v>4</v>
      </c>
      <c r="L177" s="56">
        <f t="shared" si="32"/>
        <v>0</v>
      </c>
      <c r="M177" s="56">
        <f t="shared" si="32"/>
        <v>2</v>
      </c>
      <c r="N177" s="56">
        <f t="shared" si="32"/>
        <v>0</v>
      </c>
      <c r="O177" s="56">
        <f t="shared" si="32"/>
        <v>0</v>
      </c>
      <c r="P177" s="56">
        <f t="shared" si="32"/>
        <v>0</v>
      </c>
      <c r="Q177" s="56">
        <f t="shared" si="32"/>
        <v>0</v>
      </c>
      <c r="R177" s="56">
        <f t="shared" si="32"/>
        <v>0</v>
      </c>
      <c r="S177" s="56">
        <f t="shared" si="32"/>
        <v>0</v>
      </c>
      <c r="T177" s="56">
        <f t="shared" si="32"/>
        <v>0</v>
      </c>
      <c r="U177" s="56">
        <f t="shared" si="32"/>
        <v>0</v>
      </c>
      <c r="V177" s="56">
        <f t="shared" si="32"/>
        <v>0</v>
      </c>
      <c r="W177" s="56">
        <f t="shared" si="32"/>
        <v>0</v>
      </c>
      <c r="X177" s="56">
        <f t="shared" si="32"/>
        <v>0</v>
      </c>
      <c r="Y177" s="56">
        <f t="shared" si="32"/>
        <v>0</v>
      </c>
      <c r="Z177" s="56">
        <f t="shared" si="32"/>
        <v>0</v>
      </c>
      <c r="AA177" s="13">
        <f t="shared" si="14"/>
        <v>8</v>
      </c>
    </row>
    <row r="178" ht="12.75" customHeight="1">
      <c r="A178" s="45"/>
      <c r="B178" s="44"/>
      <c r="C178" s="44"/>
      <c r="D178" s="28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13">
        <f t="shared" si="14"/>
        <v>0</v>
      </c>
      <c r="AB178" s="5"/>
      <c r="AC178" s="5"/>
    </row>
    <row r="179" ht="12.75" customHeight="1">
      <c r="A179" s="42" t="s">
        <v>151</v>
      </c>
      <c r="B179" s="14" t="s">
        <v>152</v>
      </c>
      <c r="C179" s="15"/>
      <c r="D179" s="16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13">
        <f t="shared" si="14"/>
        <v>0</v>
      </c>
      <c r="AB179" s="5"/>
      <c r="AC179" s="5"/>
    </row>
    <row r="180" ht="12.75" customHeight="1">
      <c r="A180" s="42"/>
      <c r="B180" s="60" t="s">
        <v>153</v>
      </c>
      <c r="C180" s="61" t="s">
        <v>154</v>
      </c>
      <c r="D180" s="16"/>
      <c r="E180" s="19">
        <f t="shared" ref="E180:Z180" si="33">E177+E172+E163+E157+E153+E144+E135+E128+E124+E115+E108+E99+E94+E88+E79+E70+E61+E52</f>
        <v>207</v>
      </c>
      <c r="F180" s="19">
        <f t="shared" si="33"/>
        <v>197</v>
      </c>
      <c r="G180" s="19">
        <f t="shared" si="33"/>
        <v>169</v>
      </c>
      <c r="H180" s="19">
        <f t="shared" si="33"/>
        <v>178</v>
      </c>
      <c r="I180" s="19">
        <f t="shared" si="33"/>
        <v>201</v>
      </c>
      <c r="J180" s="19">
        <f t="shared" si="33"/>
        <v>204</v>
      </c>
      <c r="K180" s="19">
        <f t="shared" si="33"/>
        <v>185</v>
      </c>
      <c r="L180" s="19">
        <f t="shared" si="33"/>
        <v>143</v>
      </c>
      <c r="M180" s="19">
        <f t="shared" si="33"/>
        <v>190</v>
      </c>
      <c r="N180" s="19">
        <f t="shared" si="33"/>
        <v>158</v>
      </c>
      <c r="O180" s="19">
        <f t="shared" si="33"/>
        <v>181</v>
      </c>
      <c r="P180" s="19">
        <f t="shared" si="33"/>
        <v>198</v>
      </c>
      <c r="Q180" s="19">
        <f t="shared" si="33"/>
        <v>189</v>
      </c>
      <c r="R180" s="19">
        <f t="shared" si="33"/>
        <v>205</v>
      </c>
      <c r="S180" s="19">
        <f t="shared" si="33"/>
        <v>171</v>
      </c>
      <c r="T180" s="19">
        <f t="shared" si="33"/>
        <v>150</v>
      </c>
      <c r="U180" s="19">
        <f t="shared" si="33"/>
        <v>176</v>
      </c>
      <c r="V180" s="19">
        <f t="shared" si="33"/>
        <v>197</v>
      </c>
      <c r="W180" s="19">
        <f t="shared" si="33"/>
        <v>194</v>
      </c>
      <c r="X180" s="19">
        <f t="shared" si="33"/>
        <v>236</v>
      </c>
      <c r="Y180" s="19">
        <f t="shared" si="33"/>
        <v>224</v>
      </c>
      <c r="Z180" s="19">
        <f t="shared" si="33"/>
        <v>214</v>
      </c>
      <c r="AA180" s="13">
        <f t="shared" si="14"/>
        <v>4167</v>
      </c>
      <c r="AB180" s="5"/>
      <c r="AC180" s="5"/>
    </row>
    <row r="181" ht="12.75" customHeight="1">
      <c r="A181" s="35"/>
      <c r="B181" s="60" t="s">
        <v>155</v>
      </c>
      <c r="C181" s="61" t="s">
        <v>156</v>
      </c>
      <c r="D181" s="16"/>
      <c r="E181" s="19">
        <v>5.0</v>
      </c>
      <c r="F181" s="19">
        <v>13.0</v>
      </c>
      <c r="G181" s="19">
        <v>2.0</v>
      </c>
      <c r="H181" s="19">
        <v>11.0</v>
      </c>
      <c r="I181" s="19">
        <v>5.0</v>
      </c>
      <c r="J181" s="19">
        <v>20.0</v>
      </c>
      <c r="K181" s="19">
        <v>15.0</v>
      </c>
      <c r="L181" s="19">
        <v>6.0</v>
      </c>
      <c r="M181" s="19">
        <v>8.0</v>
      </c>
      <c r="N181" s="19">
        <v>9.0</v>
      </c>
      <c r="O181" s="19">
        <v>28.0</v>
      </c>
      <c r="P181" s="19">
        <v>12.0</v>
      </c>
      <c r="Q181" s="19">
        <v>8.0</v>
      </c>
      <c r="R181" s="19">
        <v>8.0</v>
      </c>
      <c r="S181" s="19">
        <v>17.0</v>
      </c>
      <c r="T181" s="19">
        <v>15.0</v>
      </c>
      <c r="U181" s="19">
        <v>8.0</v>
      </c>
      <c r="V181" s="19">
        <v>12.0</v>
      </c>
      <c r="W181" s="19">
        <v>8.0</v>
      </c>
      <c r="X181" s="19">
        <v>5.0</v>
      </c>
      <c r="Y181" s="19">
        <v>1.0</v>
      </c>
      <c r="Z181" s="19">
        <v>14.0</v>
      </c>
      <c r="AA181" s="13">
        <f t="shared" si="14"/>
        <v>230</v>
      </c>
      <c r="AB181" s="5"/>
      <c r="AC181" s="5"/>
    </row>
    <row r="182" ht="12.75" customHeight="1">
      <c r="A182" s="41"/>
      <c r="B182" s="60" t="s">
        <v>157</v>
      </c>
      <c r="C182" s="61" t="s">
        <v>158</v>
      </c>
      <c r="D182" s="16"/>
      <c r="E182" s="29">
        <f t="shared" ref="E182:Z182" si="34">SUM(E180:E181)</f>
        <v>212</v>
      </c>
      <c r="F182" s="29">
        <f t="shared" si="34"/>
        <v>210</v>
      </c>
      <c r="G182" s="29">
        <f t="shared" si="34"/>
        <v>171</v>
      </c>
      <c r="H182" s="29">
        <f t="shared" si="34"/>
        <v>189</v>
      </c>
      <c r="I182" s="29">
        <f t="shared" si="34"/>
        <v>206</v>
      </c>
      <c r="J182" s="29">
        <f t="shared" si="34"/>
        <v>224</v>
      </c>
      <c r="K182" s="29">
        <f t="shared" si="34"/>
        <v>200</v>
      </c>
      <c r="L182" s="29">
        <f t="shared" si="34"/>
        <v>149</v>
      </c>
      <c r="M182" s="29">
        <f t="shared" si="34"/>
        <v>198</v>
      </c>
      <c r="N182" s="29">
        <f t="shared" si="34"/>
        <v>167</v>
      </c>
      <c r="O182" s="29">
        <f t="shared" si="34"/>
        <v>209</v>
      </c>
      <c r="P182" s="29">
        <f t="shared" si="34"/>
        <v>210</v>
      </c>
      <c r="Q182" s="29">
        <f t="shared" si="34"/>
        <v>197</v>
      </c>
      <c r="R182" s="29">
        <f t="shared" si="34"/>
        <v>213</v>
      </c>
      <c r="S182" s="29">
        <f t="shared" si="34"/>
        <v>188</v>
      </c>
      <c r="T182" s="29">
        <f t="shared" si="34"/>
        <v>165</v>
      </c>
      <c r="U182" s="29">
        <f t="shared" si="34"/>
        <v>184</v>
      </c>
      <c r="V182" s="29">
        <f t="shared" si="34"/>
        <v>209</v>
      </c>
      <c r="W182" s="29">
        <f t="shared" si="34"/>
        <v>202</v>
      </c>
      <c r="X182" s="29">
        <f t="shared" si="34"/>
        <v>241</v>
      </c>
      <c r="Y182" s="29">
        <f t="shared" si="34"/>
        <v>225</v>
      </c>
      <c r="Z182" s="29">
        <f t="shared" si="34"/>
        <v>228</v>
      </c>
      <c r="AA182" s="13">
        <f t="shared" si="14"/>
        <v>4397</v>
      </c>
      <c r="AB182" s="5"/>
      <c r="AC182" s="5"/>
    </row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0">
    <mergeCell ref="B108:D108"/>
    <mergeCell ref="C110:D110"/>
    <mergeCell ref="B115:D115"/>
    <mergeCell ref="C117:D117"/>
    <mergeCell ref="B124:D124"/>
    <mergeCell ref="C126:D126"/>
    <mergeCell ref="B128:D128"/>
    <mergeCell ref="C130:D130"/>
    <mergeCell ref="B135:D135"/>
    <mergeCell ref="C137:D137"/>
    <mergeCell ref="B144:D144"/>
    <mergeCell ref="C146:D146"/>
    <mergeCell ref="B153:D153"/>
    <mergeCell ref="C155:D155"/>
    <mergeCell ref="A178:D178"/>
    <mergeCell ref="B179:D179"/>
    <mergeCell ref="C180:D180"/>
    <mergeCell ref="C181:D181"/>
    <mergeCell ref="C182:D182"/>
    <mergeCell ref="B157:D157"/>
    <mergeCell ref="C159:D159"/>
    <mergeCell ref="B163:D163"/>
    <mergeCell ref="C165:D165"/>
    <mergeCell ref="B172:D172"/>
    <mergeCell ref="C174:D174"/>
    <mergeCell ref="B177:D177"/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4:D94"/>
    <mergeCell ref="C96:D96"/>
    <mergeCell ref="B99:D99"/>
    <mergeCell ref="C101:D101"/>
  </mergeCells>
  <conditionalFormatting sqref="E34:T34">
    <cfRule type="expression" dxfId="0" priority="1">
      <formula>E34&lt;&gt;E64</formula>
    </cfRule>
  </conditionalFormatting>
  <conditionalFormatting sqref="E14:Z15">
    <cfRule type="containsBlanks" dxfId="1" priority="2">
      <formula>LEN(TRIM(E14))=0</formula>
    </cfRule>
  </conditionalFormatting>
  <conditionalFormatting sqref="E19:Z20">
    <cfRule type="containsBlanks" dxfId="1" priority="3">
      <formula>LEN(TRIM(E19))=0</formula>
    </cfRule>
  </conditionalFormatting>
  <conditionalFormatting sqref="E22:Z23 E25:Z26 E33:Z33 E35:Z35 E39:Z40">
    <cfRule type="containsBlanks" dxfId="1" priority="4">
      <formula>LEN(TRIM(E22))=0</formula>
    </cfRule>
  </conditionalFormatting>
  <conditionalFormatting sqref="E30:Z30">
    <cfRule type="expression" dxfId="0" priority="5">
      <formula>E30&lt;&gt;E47</formula>
    </cfRule>
  </conditionalFormatting>
  <conditionalFormatting sqref="E30:Z30">
    <cfRule type="expression" dxfId="0" priority="6">
      <formula>E30&lt;&gt;E34</formula>
    </cfRule>
  </conditionalFormatting>
  <conditionalFormatting sqref="E34:Z34">
    <cfRule type="expression" dxfId="2" priority="7">
      <formula>E30&lt;&gt;E34</formula>
    </cfRule>
  </conditionalFormatting>
  <conditionalFormatting sqref="E34:Z34">
    <cfRule type="expression" dxfId="3" priority="8">
      <formula>E30=E34</formula>
    </cfRule>
  </conditionalFormatting>
  <conditionalFormatting sqref="E34:Z34">
    <cfRule type="expression" dxfId="0" priority="9">
      <formula>E34&lt;&gt;E30</formula>
    </cfRule>
  </conditionalFormatting>
  <conditionalFormatting sqref="E45:Z51">
    <cfRule type="containsBlanks" dxfId="1" priority="10">
      <formula>LEN(TRIM(E45))=0</formula>
    </cfRule>
  </conditionalFormatting>
  <conditionalFormatting sqref="E54:Z60">
    <cfRule type="containsBlanks" dxfId="1" priority="11">
      <formula>LEN(TRIM(E54))=0</formula>
    </cfRule>
  </conditionalFormatting>
  <conditionalFormatting sqref="E63:Z69">
    <cfRule type="containsBlanks" dxfId="1" priority="12">
      <formula>LEN(TRIM(E63))=0</formula>
    </cfRule>
  </conditionalFormatting>
  <conditionalFormatting sqref="E72:Z78">
    <cfRule type="containsBlanks" dxfId="1" priority="13">
      <formula>LEN(TRIM(E72))=0</formula>
    </cfRule>
  </conditionalFormatting>
  <conditionalFormatting sqref="E81:Z87">
    <cfRule type="containsBlanks" dxfId="1" priority="14">
      <formula>LEN(TRIM(E81))=0</formula>
    </cfRule>
  </conditionalFormatting>
  <conditionalFormatting sqref="E90:Z93">
    <cfRule type="containsBlanks" dxfId="1" priority="15">
      <formula>LEN(TRIM(E90))=0</formula>
    </cfRule>
  </conditionalFormatting>
  <conditionalFormatting sqref="E96:Z98">
    <cfRule type="containsBlanks" dxfId="1" priority="16">
      <formula>LEN(TRIM(E96))=0</formula>
    </cfRule>
  </conditionalFormatting>
  <conditionalFormatting sqref="E101:Z107">
    <cfRule type="containsBlanks" dxfId="1" priority="17">
      <formula>LEN(TRIM(E101))=0</formula>
    </cfRule>
  </conditionalFormatting>
  <conditionalFormatting sqref="E110:Z114">
    <cfRule type="containsBlanks" dxfId="1" priority="18">
      <formula>LEN(TRIM(E110))=0</formula>
    </cfRule>
  </conditionalFormatting>
  <conditionalFormatting sqref="E117:Z123">
    <cfRule type="containsBlanks" dxfId="1" priority="19">
      <formula>LEN(TRIM(E117))=0</formula>
    </cfRule>
  </conditionalFormatting>
  <conditionalFormatting sqref="E126:Z127">
    <cfRule type="containsBlanks" dxfId="1" priority="20">
      <formula>LEN(TRIM(E126))=0</formula>
    </cfRule>
  </conditionalFormatting>
  <conditionalFormatting sqref="E130:Z134">
    <cfRule type="containsBlanks" dxfId="1" priority="21">
      <formula>LEN(TRIM(E130))=0</formula>
    </cfRule>
  </conditionalFormatting>
  <conditionalFormatting sqref="E137:Z143">
    <cfRule type="containsBlanks" dxfId="1" priority="22">
      <formula>LEN(TRIM(E137))=0</formula>
    </cfRule>
  </conditionalFormatting>
  <conditionalFormatting sqref="E146:Z152">
    <cfRule type="containsBlanks" dxfId="1" priority="23">
      <formula>LEN(TRIM(E146))=0</formula>
    </cfRule>
  </conditionalFormatting>
  <conditionalFormatting sqref="E155:Z156">
    <cfRule type="containsBlanks" dxfId="1" priority="24">
      <formula>LEN(TRIM(E155))=0</formula>
    </cfRule>
  </conditionalFormatting>
  <conditionalFormatting sqref="E159:Z162">
    <cfRule type="containsBlanks" dxfId="1" priority="25">
      <formula>LEN(TRIM(E159))=0</formula>
    </cfRule>
  </conditionalFormatting>
  <conditionalFormatting sqref="E165:Z171">
    <cfRule type="containsBlanks" dxfId="1" priority="26">
      <formula>LEN(TRIM(E165))=0</formula>
    </cfRule>
  </conditionalFormatting>
  <conditionalFormatting sqref="E174:Z176">
    <cfRule type="containsBlanks" dxfId="1" priority="27">
      <formula>LEN(TRIM(E174))=0</formula>
    </cfRule>
  </conditionalFormatting>
  <conditionalFormatting sqref="E180:Z181">
    <cfRule type="containsBlanks" dxfId="1" priority="28">
      <formula>LEN(TRIM(E180))=0</formula>
    </cfRule>
  </conditionalFormatting>
  <conditionalFormatting sqref="E182:Z182">
    <cfRule type="expression" dxfId="0" priority="29">
      <formula>E182&lt;&gt;E30</formula>
    </cfRule>
  </conditionalFormatting>
  <conditionalFormatting sqref="E182:Z182">
    <cfRule type="expression" dxfId="0" priority="30">
      <formula>E182&lt;&gt;E34</formula>
    </cfRule>
  </conditionalFormatting>
  <conditionalFormatting sqref="U34:Z34">
    <cfRule type="expression" dxfId="0" priority="31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13.29"/>
    <col customWidth="1" min="30" max="31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159</v>
      </c>
      <c r="D9" s="8" t="s">
        <v>204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6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161</v>
      </c>
      <c r="F13" s="13" t="s">
        <v>162</v>
      </c>
      <c r="G13" s="13" t="s">
        <v>163</v>
      </c>
      <c r="H13" s="13" t="s">
        <v>164</v>
      </c>
      <c r="I13" s="13" t="s">
        <v>165</v>
      </c>
      <c r="J13" s="13" t="s">
        <v>166</v>
      </c>
      <c r="K13" s="13" t="s">
        <v>167</v>
      </c>
      <c r="L13" s="13" t="s">
        <v>168</v>
      </c>
      <c r="M13" s="13" t="s">
        <v>169</v>
      </c>
      <c r="N13" s="13" t="s">
        <v>170</v>
      </c>
      <c r="O13" s="13" t="s">
        <v>171</v>
      </c>
      <c r="P13" s="13" t="s">
        <v>172</v>
      </c>
      <c r="Q13" s="13" t="s">
        <v>173</v>
      </c>
      <c r="R13" s="13" t="s">
        <v>174</v>
      </c>
      <c r="S13" s="13" t="s">
        <v>175</v>
      </c>
      <c r="T13" s="13" t="s">
        <v>176</v>
      </c>
      <c r="U13" s="13" t="s">
        <v>177</v>
      </c>
      <c r="V13" s="13" t="s">
        <v>178</v>
      </c>
      <c r="W13" s="13" t="s">
        <v>179</v>
      </c>
      <c r="X13" s="13" t="s">
        <v>180</v>
      </c>
      <c r="Y13" s="13" t="s">
        <v>181</v>
      </c>
      <c r="Z13" s="13" t="s">
        <v>182</v>
      </c>
      <c r="AA13" s="13" t="s">
        <v>183</v>
      </c>
      <c r="AB13" s="13" t="s">
        <v>184</v>
      </c>
      <c r="AC13" s="36"/>
    </row>
    <row r="14" ht="12.75" customHeight="1">
      <c r="A14" s="18"/>
      <c r="B14" s="22" t="s">
        <v>11</v>
      </c>
      <c r="C14" s="23"/>
      <c r="D14" s="19" t="s">
        <v>12</v>
      </c>
      <c r="E14" s="69">
        <v>123.0</v>
      </c>
      <c r="F14" s="69">
        <v>126.0</v>
      </c>
      <c r="G14" s="69">
        <v>140.0</v>
      </c>
      <c r="H14" s="69">
        <v>149.0</v>
      </c>
      <c r="I14" s="69">
        <v>141.0</v>
      </c>
      <c r="J14" s="69">
        <v>133.0</v>
      </c>
      <c r="K14" s="69">
        <v>140.0</v>
      </c>
      <c r="L14" s="69">
        <v>143.0</v>
      </c>
      <c r="M14" s="69">
        <v>128.0</v>
      </c>
      <c r="N14" s="69">
        <v>131.0</v>
      </c>
      <c r="O14" s="69">
        <v>126.0</v>
      </c>
      <c r="P14" s="69">
        <v>120.0</v>
      </c>
      <c r="Q14" s="69">
        <v>133.0</v>
      </c>
      <c r="R14" s="69">
        <v>139.0</v>
      </c>
      <c r="S14" s="69">
        <v>136.0</v>
      </c>
      <c r="T14" s="69">
        <v>139.0</v>
      </c>
      <c r="U14" s="69">
        <v>134.0</v>
      </c>
      <c r="V14" s="69">
        <v>136.0</v>
      </c>
      <c r="W14" s="69">
        <v>146.0</v>
      </c>
      <c r="X14" s="69">
        <v>127.0</v>
      </c>
      <c r="Y14" s="69">
        <v>128.0</v>
      </c>
      <c r="Z14" s="69">
        <v>132.0</v>
      </c>
      <c r="AA14" s="69">
        <v>133.0</v>
      </c>
      <c r="AB14" s="69">
        <v>122.0</v>
      </c>
      <c r="AC14" s="13">
        <f t="shared" ref="AC14:AC16" si="1">SUM(E14:AB14)</f>
        <v>3205</v>
      </c>
    </row>
    <row r="15" ht="12.75" customHeight="1">
      <c r="A15" s="18"/>
      <c r="B15" s="26"/>
      <c r="C15" s="27"/>
      <c r="D15" s="19" t="s">
        <v>13</v>
      </c>
      <c r="E15" s="69">
        <v>146.0</v>
      </c>
      <c r="F15" s="69">
        <v>131.0</v>
      </c>
      <c r="G15" s="69">
        <v>129.0</v>
      </c>
      <c r="H15" s="69">
        <v>138.0</v>
      </c>
      <c r="I15" s="69">
        <v>132.0</v>
      </c>
      <c r="J15" s="69">
        <v>144.0</v>
      </c>
      <c r="K15" s="69">
        <v>136.0</v>
      </c>
      <c r="L15" s="69">
        <v>148.0</v>
      </c>
      <c r="M15" s="69">
        <v>127.0</v>
      </c>
      <c r="N15" s="69">
        <v>123.0</v>
      </c>
      <c r="O15" s="69">
        <v>129.0</v>
      </c>
      <c r="P15" s="69">
        <v>117.0</v>
      </c>
      <c r="Q15" s="69">
        <v>120.0</v>
      </c>
      <c r="R15" s="69">
        <v>153.0</v>
      </c>
      <c r="S15" s="69">
        <v>135.0</v>
      </c>
      <c r="T15" s="69">
        <v>142.0</v>
      </c>
      <c r="U15" s="69">
        <v>130.0</v>
      </c>
      <c r="V15" s="69">
        <v>157.0</v>
      </c>
      <c r="W15" s="69">
        <v>133.0</v>
      </c>
      <c r="X15" s="69">
        <v>162.0</v>
      </c>
      <c r="Y15" s="69">
        <v>127.0</v>
      </c>
      <c r="Z15" s="69">
        <v>145.0</v>
      </c>
      <c r="AA15" s="69">
        <v>124.0</v>
      </c>
      <c r="AB15" s="69">
        <v>112.0</v>
      </c>
      <c r="AC15" s="13">
        <f t="shared" si="1"/>
        <v>3240</v>
      </c>
    </row>
    <row r="16" ht="12.75" customHeight="1">
      <c r="A16" s="25"/>
      <c r="B16" s="21"/>
      <c r="C16" s="28"/>
      <c r="D16" s="13" t="s">
        <v>14</v>
      </c>
      <c r="E16" s="70">
        <f t="shared" ref="E16:AB16" si="2">SUM(E14:E15)</f>
        <v>269</v>
      </c>
      <c r="F16" s="70">
        <f t="shared" si="2"/>
        <v>257</v>
      </c>
      <c r="G16" s="70">
        <f t="shared" si="2"/>
        <v>269</v>
      </c>
      <c r="H16" s="70">
        <f t="shared" si="2"/>
        <v>287</v>
      </c>
      <c r="I16" s="70">
        <f t="shared" si="2"/>
        <v>273</v>
      </c>
      <c r="J16" s="70">
        <f t="shared" si="2"/>
        <v>277</v>
      </c>
      <c r="K16" s="70">
        <f t="shared" si="2"/>
        <v>276</v>
      </c>
      <c r="L16" s="70">
        <f t="shared" si="2"/>
        <v>291</v>
      </c>
      <c r="M16" s="70">
        <f t="shared" si="2"/>
        <v>255</v>
      </c>
      <c r="N16" s="70">
        <f t="shared" si="2"/>
        <v>254</v>
      </c>
      <c r="O16" s="70">
        <f t="shared" si="2"/>
        <v>255</v>
      </c>
      <c r="P16" s="70">
        <f t="shared" si="2"/>
        <v>237</v>
      </c>
      <c r="Q16" s="70">
        <f t="shared" si="2"/>
        <v>253</v>
      </c>
      <c r="R16" s="70">
        <f t="shared" si="2"/>
        <v>292</v>
      </c>
      <c r="S16" s="70">
        <f t="shared" si="2"/>
        <v>271</v>
      </c>
      <c r="T16" s="70">
        <f t="shared" si="2"/>
        <v>281</v>
      </c>
      <c r="U16" s="70">
        <f t="shared" si="2"/>
        <v>264</v>
      </c>
      <c r="V16" s="70">
        <f t="shared" si="2"/>
        <v>293</v>
      </c>
      <c r="W16" s="70">
        <f t="shared" si="2"/>
        <v>279</v>
      </c>
      <c r="X16" s="70">
        <f t="shared" si="2"/>
        <v>289</v>
      </c>
      <c r="Y16" s="70">
        <f t="shared" si="2"/>
        <v>255</v>
      </c>
      <c r="Z16" s="70">
        <f t="shared" si="2"/>
        <v>277</v>
      </c>
      <c r="AA16" s="70">
        <f t="shared" si="2"/>
        <v>257</v>
      </c>
      <c r="AB16" s="70">
        <f t="shared" si="2"/>
        <v>234</v>
      </c>
      <c r="AC16" s="13">
        <f t="shared" si="1"/>
        <v>6445</v>
      </c>
    </row>
    <row r="17" ht="12.75" customHeight="1">
      <c r="A17" s="24"/>
      <c r="B17" s="15"/>
      <c r="C17" s="15"/>
      <c r="D17" s="16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66"/>
    </row>
    <row r="18" ht="12.75" customHeight="1">
      <c r="A18" s="30" t="s">
        <v>15</v>
      </c>
      <c r="B18" s="20" t="s">
        <v>16</v>
      </c>
      <c r="C18" s="15"/>
      <c r="D18" s="16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6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9">
        <v>89.0</v>
      </c>
      <c r="F19" s="69">
        <v>100.0</v>
      </c>
      <c r="G19" s="69">
        <v>104.0</v>
      </c>
      <c r="H19" s="69">
        <v>110.0</v>
      </c>
      <c r="I19" s="69">
        <v>120.0</v>
      </c>
      <c r="J19" s="69">
        <v>101.0</v>
      </c>
      <c r="K19" s="69">
        <v>105.0</v>
      </c>
      <c r="L19" s="69">
        <v>112.0</v>
      </c>
      <c r="M19" s="69">
        <v>104.0</v>
      </c>
      <c r="N19" s="69">
        <v>99.0</v>
      </c>
      <c r="O19" s="69">
        <v>95.0</v>
      </c>
      <c r="P19" s="69">
        <v>92.0</v>
      </c>
      <c r="Q19" s="69">
        <v>91.0</v>
      </c>
      <c r="R19" s="69">
        <v>106.0</v>
      </c>
      <c r="S19" s="69">
        <v>91.0</v>
      </c>
      <c r="T19" s="69">
        <v>100.0</v>
      </c>
      <c r="U19" s="69">
        <v>102.0</v>
      </c>
      <c r="V19" s="69">
        <v>104.0</v>
      </c>
      <c r="W19" s="69">
        <v>116.0</v>
      </c>
      <c r="X19" s="69">
        <v>106.0</v>
      </c>
      <c r="Y19" s="69">
        <v>93.0</v>
      </c>
      <c r="Z19" s="69">
        <v>102.0</v>
      </c>
      <c r="AA19" s="69">
        <v>101.0</v>
      </c>
      <c r="AB19" s="69">
        <v>97.0</v>
      </c>
      <c r="AC19" s="13">
        <f t="shared" ref="AC19:AC30" si="3">SUM(E19:AB19)</f>
        <v>2440</v>
      </c>
    </row>
    <row r="20" ht="12.75" customHeight="1">
      <c r="A20" s="33"/>
      <c r="B20" s="27"/>
      <c r="C20" s="34"/>
      <c r="D20" s="19" t="s">
        <v>13</v>
      </c>
      <c r="E20" s="69">
        <v>115.0</v>
      </c>
      <c r="F20" s="69">
        <v>107.0</v>
      </c>
      <c r="G20" s="69">
        <v>103.0</v>
      </c>
      <c r="H20" s="69">
        <v>110.0</v>
      </c>
      <c r="I20" s="69">
        <v>114.0</v>
      </c>
      <c r="J20" s="69">
        <v>116.0</v>
      </c>
      <c r="K20" s="69">
        <v>112.0</v>
      </c>
      <c r="L20" s="69">
        <v>123.0</v>
      </c>
      <c r="M20" s="69">
        <v>110.0</v>
      </c>
      <c r="N20" s="69">
        <v>98.0</v>
      </c>
      <c r="O20" s="69">
        <v>102.0</v>
      </c>
      <c r="P20" s="69">
        <v>93.0</v>
      </c>
      <c r="Q20" s="69">
        <v>86.0</v>
      </c>
      <c r="R20" s="69">
        <v>121.0</v>
      </c>
      <c r="S20" s="69">
        <v>107.0</v>
      </c>
      <c r="T20" s="69">
        <v>109.0</v>
      </c>
      <c r="U20" s="69">
        <v>106.0</v>
      </c>
      <c r="V20" s="69">
        <v>119.0</v>
      </c>
      <c r="W20" s="69">
        <v>110.0</v>
      </c>
      <c r="X20" s="69">
        <v>133.0</v>
      </c>
      <c r="Y20" s="69">
        <v>99.0</v>
      </c>
      <c r="Z20" s="69">
        <v>107.0</v>
      </c>
      <c r="AA20" s="69">
        <v>110.0</v>
      </c>
      <c r="AB20" s="69">
        <v>87.0</v>
      </c>
      <c r="AC20" s="13">
        <f t="shared" si="3"/>
        <v>2597</v>
      </c>
    </row>
    <row r="21" ht="12.75" customHeight="1">
      <c r="A21" s="35"/>
      <c r="B21" s="28"/>
      <c r="C21" s="36"/>
      <c r="D21" s="13" t="s">
        <v>14</v>
      </c>
      <c r="E21" s="70">
        <v>204.0</v>
      </c>
      <c r="F21" s="70">
        <v>207.0</v>
      </c>
      <c r="G21" s="70">
        <v>207.0</v>
      </c>
      <c r="H21" s="70">
        <v>220.0</v>
      </c>
      <c r="I21" s="70">
        <v>234.0</v>
      </c>
      <c r="J21" s="70">
        <v>217.0</v>
      </c>
      <c r="K21" s="70">
        <v>217.0</v>
      </c>
      <c r="L21" s="70">
        <v>235.0</v>
      </c>
      <c r="M21" s="70">
        <v>214.0</v>
      </c>
      <c r="N21" s="70">
        <v>197.0</v>
      </c>
      <c r="O21" s="70">
        <v>197.0</v>
      </c>
      <c r="P21" s="70">
        <v>185.0</v>
      </c>
      <c r="Q21" s="70">
        <v>177.0</v>
      </c>
      <c r="R21" s="70">
        <v>227.0</v>
      </c>
      <c r="S21" s="70">
        <v>198.0</v>
      </c>
      <c r="T21" s="70">
        <v>209.0</v>
      </c>
      <c r="U21" s="70">
        <v>208.0</v>
      </c>
      <c r="V21" s="70">
        <v>223.0</v>
      </c>
      <c r="W21" s="70">
        <v>226.0</v>
      </c>
      <c r="X21" s="70">
        <v>239.0</v>
      </c>
      <c r="Y21" s="70">
        <v>192.0</v>
      </c>
      <c r="Z21" s="70">
        <v>209.0</v>
      </c>
      <c r="AA21" s="70">
        <v>211.0</v>
      </c>
      <c r="AB21" s="70">
        <v>184.0</v>
      </c>
      <c r="AC21" s="13">
        <f t="shared" si="3"/>
        <v>5037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9">
        <v>0.0</v>
      </c>
      <c r="F22" s="69">
        <v>0.0</v>
      </c>
      <c r="G22" s="69">
        <v>0.0</v>
      </c>
      <c r="H22" s="69">
        <v>0.0</v>
      </c>
      <c r="I22" s="69">
        <v>0.0</v>
      </c>
      <c r="J22" s="69">
        <v>0.0</v>
      </c>
      <c r="K22" s="69">
        <v>0.0</v>
      </c>
      <c r="L22" s="69">
        <v>0.0</v>
      </c>
      <c r="M22" s="69">
        <v>0.0</v>
      </c>
      <c r="N22" s="69">
        <v>0.0</v>
      </c>
      <c r="O22" s="69">
        <v>0.0</v>
      </c>
      <c r="P22" s="69">
        <v>0.0</v>
      </c>
      <c r="Q22" s="69">
        <v>0.0</v>
      </c>
      <c r="R22" s="69">
        <v>0.0</v>
      </c>
      <c r="S22" s="69">
        <v>0.0</v>
      </c>
      <c r="T22" s="69">
        <v>0.0</v>
      </c>
      <c r="U22" s="69">
        <v>0.0</v>
      </c>
      <c r="V22" s="69">
        <v>0.0</v>
      </c>
      <c r="W22" s="69">
        <v>0.0</v>
      </c>
      <c r="X22" s="69">
        <v>0.0</v>
      </c>
      <c r="Y22" s="69">
        <v>0.0</v>
      </c>
      <c r="Z22" s="69">
        <v>0.0</v>
      </c>
      <c r="AA22" s="69">
        <v>0.0</v>
      </c>
      <c r="AB22" s="69">
        <v>1.0</v>
      </c>
      <c r="AC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69">
        <v>0.0</v>
      </c>
      <c r="F23" s="69">
        <v>1.0</v>
      </c>
      <c r="G23" s="69">
        <v>0.0</v>
      </c>
      <c r="H23" s="69">
        <v>0.0</v>
      </c>
      <c r="I23" s="69">
        <v>0.0</v>
      </c>
      <c r="J23" s="69">
        <v>0.0</v>
      </c>
      <c r="K23" s="69">
        <v>0.0</v>
      </c>
      <c r="L23" s="69">
        <v>0.0</v>
      </c>
      <c r="M23" s="69">
        <v>0.0</v>
      </c>
      <c r="N23" s="69">
        <v>0.0</v>
      </c>
      <c r="O23" s="69">
        <v>0.0</v>
      </c>
      <c r="P23" s="69">
        <v>0.0</v>
      </c>
      <c r="Q23" s="69">
        <v>0.0</v>
      </c>
      <c r="R23" s="69">
        <v>1.0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9">
        <v>0.0</v>
      </c>
      <c r="Y23" s="69">
        <v>0.0</v>
      </c>
      <c r="Z23" s="69">
        <v>0.0</v>
      </c>
      <c r="AA23" s="69">
        <v>0.0</v>
      </c>
      <c r="AB23" s="69">
        <v>0.0</v>
      </c>
      <c r="AC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70">
        <v>0.0</v>
      </c>
      <c r="F24" s="70">
        <v>1.0</v>
      </c>
      <c r="G24" s="70">
        <v>0.0</v>
      </c>
      <c r="H24" s="70">
        <v>0.0</v>
      </c>
      <c r="I24" s="70">
        <v>0.0</v>
      </c>
      <c r="J24" s="70">
        <v>0.0</v>
      </c>
      <c r="K24" s="70">
        <v>0.0</v>
      </c>
      <c r="L24" s="70">
        <v>0.0</v>
      </c>
      <c r="M24" s="70">
        <v>0.0</v>
      </c>
      <c r="N24" s="70">
        <v>0.0</v>
      </c>
      <c r="O24" s="70">
        <v>0.0</v>
      </c>
      <c r="P24" s="70">
        <v>0.0</v>
      </c>
      <c r="Q24" s="70">
        <v>0.0</v>
      </c>
      <c r="R24" s="70">
        <v>1.0</v>
      </c>
      <c r="S24" s="70">
        <v>0.0</v>
      </c>
      <c r="T24" s="70">
        <v>0.0</v>
      </c>
      <c r="U24" s="70">
        <v>0.0</v>
      </c>
      <c r="V24" s="70">
        <v>0.0</v>
      </c>
      <c r="W24" s="70">
        <v>0.0</v>
      </c>
      <c r="X24" s="70">
        <v>0.0</v>
      </c>
      <c r="Y24" s="70">
        <v>0.0</v>
      </c>
      <c r="Z24" s="70">
        <v>0.0</v>
      </c>
      <c r="AA24" s="70">
        <v>0.0</v>
      </c>
      <c r="AB24" s="70">
        <v>1.0</v>
      </c>
      <c r="AC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9">
        <v>0.0</v>
      </c>
      <c r="F25" s="69">
        <v>1.0</v>
      </c>
      <c r="G25" s="69">
        <v>1.0</v>
      </c>
      <c r="H25" s="69">
        <v>1.0</v>
      </c>
      <c r="I25" s="69">
        <v>0.0</v>
      </c>
      <c r="J25" s="69">
        <v>0.0</v>
      </c>
      <c r="K25" s="69">
        <v>0.0</v>
      </c>
      <c r="L25" s="69">
        <v>1.0</v>
      </c>
      <c r="M25" s="69">
        <v>0.0</v>
      </c>
      <c r="N25" s="69">
        <v>0.0</v>
      </c>
      <c r="O25" s="69">
        <v>3.0</v>
      </c>
      <c r="P25" s="69">
        <v>1.0</v>
      </c>
      <c r="Q25" s="69">
        <v>2.0</v>
      </c>
      <c r="R25" s="69">
        <v>3.0</v>
      </c>
      <c r="S25" s="69">
        <v>0.0</v>
      </c>
      <c r="T25" s="69">
        <v>0.0</v>
      </c>
      <c r="U25" s="69">
        <v>0.0</v>
      </c>
      <c r="V25" s="69">
        <v>1.0</v>
      </c>
      <c r="W25" s="69">
        <v>0.0</v>
      </c>
      <c r="X25" s="69">
        <v>0.0</v>
      </c>
      <c r="Y25" s="69">
        <v>0.0</v>
      </c>
      <c r="Z25" s="69">
        <v>0.0</v>
      </c>
      <c r="AA25" s="69">
        <v>1.0</v>
      </c>
      <c r="AB25" s="69">
        <v>0.0</v>
      </c>
      <c r="AC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69">
        <v>0.0</v>
      </c>
      <c r="F26" s="69">
        <v>1.0</v>
      </c>
      <c r="G26" s="69">
        <v>0.0</v>
      </c>
      <c r="H26" s="69">
        <v>1.0</v>
      </c>
      <c r="I26" s="69">
        <v>0.0</v>
      </c>
      <c r="J26" s="69">
        <v>2.0</v>
      </c>
      <c r="K26" s="69">
        <v>0.0</v>
      </c>
      <c r="L26" s="69">
        <v>0.0</v>
      </c>
      <c r="M26" s="69">
        <v>0.0</v>
      </c>
      <c r="N26" s="69">
        <v>0.0</v>
      </c>
      <c r="O26" s="69">
        <v>1.0</v>
      </c>
      <c r="P26" s="69">
        <v>0.0</v>
      </c>
      <c r="Q26" s="69">
        <v>1.0</v>
      </c>
      <c r="R26" s="69">
        <v>0.0</v>
      </c>
      <c r="S26" s="69">
        <v>0.0</v>
      </c>
      <c r="T26" s="69">
        <v>1.0</v>
      </c>
      <c r="U26" s="69">
        <v>0.0</v>
      </c>
      <c r="V26" s="69">
        <v>0.0</v>
      </c>
      <c r="W26" s="69">
        <v>1.0</v>
      </c>
      <c r="X26" s="69">
        <v>0.0</v>
      </c>
      <c r="Y26" s="69">
        <v>0.0</v>
      </c>
      <c r="Z26" s="69">
        <v>1.0</v>
      </c>
      <c r="AA26" s="69">
        <v>1.0</v>
      </c>
      <c r="AB26" s="69">
        <v>2.0</v>
      </c>
      <c r="AC26" s="13">
        <f t="shared" si="3"/>
        <v>12</v>
      </c>
    </row>
    <row r="27" ht="12.75" customHeight="1">
      <c r="A27" s="35"/>
      <c r="B27" s="28"/>
      <c r="C27" s="36"/>
      <c r="D27" s="13" t="s">
        <v>14</v>
      </c>
      <c r="E27" s="70">
        <v>0.0</v>
      </c>
      <c r="F27" s="70">
        <v>2.0</v>
      </c>
      <c r="G27" s="70">
        <v>1.0</v>
      </c>
      <c r="H27" s="70">
        <v>2.0</v>
      </c>
      <c r="I27" s="70">
        <v>0.0</v>
      </c>
      <c r="J27" s="70">
        <v>2.0</v>
      </c>
      <c r="K27" s="70">
        <v>0.0</v>
      </c>
      <c r="L27" s="70">
        <v>1.0</v>
      </c>
      <c r="M27" s="70">
        <v>0.0</v>
      </c>
      <c r="N27" s="70">
        <v>0.0</v>
      </c>
      <c r="O27" s="70">
        <v>4.0</v>
      </c>
      <c r="P27" s="70">
        <v>1.0</v>
      </c>
      <c r="Q27" s="70">
        <v>3.0</v>
      </c>
      <c r="R27" s="70">
        <v>3.0</v>
      </c>
      <c r="S27" s="70">
        <v>0.0</v>
      </c>
      <c r="T27" s="70">
        <v>1.0</v>
      </c>
      <c r="U27" s="70">
        <v>0.0</v>
      </c>
      <c r="V27" s="70">
        <v>1.0</v>
      </c>
      <c r="W27" s="70">
        <v>1.0</v>
      </c>
      <c r="X27" s="70">
        <v>0.0</v>
      </c>
      <c r="Y27" s="70">
        <v>0.0</v>
      </c>
      <c r="Z27" s="70">
        <v>1.0</v>
      </c>
      <c r="AA27" s="70">
        <v>2.0</v>
      </c>
      <c r="AB27" s="70">
        <v>2.0</v>
      </c>
      <c r="AC27" s="13">
        <f t="shared" si="3"/>
        <v>27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70">
        <v>89.0</v>
      </c>
      <c r="F28" s="70">
        <v>101.0</v>
      </c>
      <c r="G28" s="70">
        <v>105.0</v>
      </c>
      <c r="H28" s="70">
        <v>111.0</v>
      </c>
      <c r="I28" s="70">
        <v>120.0</v>
      </c>
      <c r="J28" s="70">
        <v>101.0</v>
      </c>
      <c r="K28" s="70">
        <v>105.0</v>
      </c>
      <c r="L28" s="70">
        <v>113.0</v>
      </c>
      <c r="M28" s="70">
        <v>104.0</v>
      </c>
      <c r="N28" s="70">
        <v>99.0</v>
      </c>
      <c r="O28" s="70">
        <v>98.0</v>
      </c>
      <c r="P28" s="70">
        <v>93.0</v>
      </c>
      <c r="Q28" s="70">
        <v>93.0</v>
      </c>
      <c r="R28" s="70">
        <v>109.0</v>
      </c>
      <c r="S28" s="70">
        <v>91.0</v>
      </c>
      <c r="T28" s="70">
        <v>100.0</v>
      </c>
      <c r="U28" s="70">
        <v>102.0</v>
      </c>
      <c r="V28" s="70">
        <v>105.0</v>
      </c>
      <c r="W28" s="70">
        <v>116.0</v>
      </c>
      <c r="X28" s="70">
        <v>106.0</v>
      </c>
      <c r="Y28" s="70">
        <v>93.0</v>
      </c>
      <c r="Z28" s="70">
        <v>102.0</v>
      </c>
      <c r="AA28" s="70">
        <v>102.0</v>
      </c>
      <c r="AB28" s="70">
        <v>98.0</v>
      </c>
      <c r="AC28" s="13">
        <f t="shared" si="3"/>
        <v>2456</v>
      </c>
    </row>
    <row r="29" ht="12.75" customHeight="1">
      <c r="A29" s="35"/>
      <c r="B29" s="27"/>
      <c r="C29" s="34"/>
      <c r="D29" s="13" t="s">
        <v>13</v>
      </c>
      <c r="E29" s="70">
        <v>115.0</v>
      </c>
      <c r="F29" s="70">
        <v>109.0</v>
      </c>
      <c r="G29" s="70">
        <v>103.0</v>
      </c>
      <c r="H29" s="70">
        <v>111.0</v>
      </c>
      <c r="I29" s="70">
        <v>114.0</v>
      </c>
      <c r="J29" s="70">
        <v>118.0</v>
      </c>
      <c r="K29" s="70">
        <v>112.0</v>
      </c>
      <c r="L29" s="70">
        <v>123.0</v>
      </c>
      <c r="M29" s="70">
        <v>110.0</v>
      </c>
      <c r="N29" s="70">
        <v>98.0</v>
      </c>
      <c r="O29" s="70">
        <v>103.0</v>
      </c>
      <c r="P29" s="70">
        <v>93.0</v>
      </c>
      <c r="Q29" s="70">
        <v>87.0</v>
      </c>
      <c r="R29" s="70">
        <v>122.0</v>
      </c>
      <c r="S29" s="70">
        <v>107.0</v>
      </c>
      <c r="T29" s="70">
        <v>110.0</v>
      </c>
      <c r="U29" s="70">
        <v>106.0</v>
      </c>
      <c r="V29" s="70">
        <v>119.0</v>
      </c>
      <c r="W29" s="70">
        <v>111.0</v>
      </c>
      <c r="X29" s="70">
        <v>133.0</v>
      </c>
      <c r="Y29" s="70">
        <v>99.0</v>
      </c>
      <c r="Z29" s="70">
        <v>108.0</v>
      </c>
      <c r="AA29" s="70">
        <v>111.0</v>
      </c>
      <c r="AB29" s="70">
        <v>89.0</v>
      </c>
      <c r="AC29" s="13">
        <f t="shared" si="3"/>
        <v>2611</v>
      </c>
    </row>
    <row r="30" ht="12.75" customHeight="1">
      <c r="A30" s="35"/>
      <c r="B30" s="28"/>
      <c r="C30" s="36"/>
      <c r="D30" s="13" t="s">
        <v>14</v>
      </c>
      <c r="E30" s="72">
        <f t="shared" ref="E30:AB30" si="4">SUM(E28:E29)</f>
        <v>204</v>
      </c>
      <c r="F30" s="72">
        <f t="shared" si="4"/>
        <v>210</v>
      </c>
      <c r="G30" s="72">
        <f t="shared" si="4"/>
        <v>208</v>
      </c>
      <c r="H30" s="72">
        <f t="shared" si="4"/>
        <v>222</v>
      </c>
      <c r="I30" s="72">
        <f t="shared" si="4"/>
        <v>234</v>
      </c>
      <c r="J30" s="72">
        <f t="shared" si="4"/>
        <v>219</v>
      </c>
      <c r="K30" s="72">
        <f t="shared" si="4"/>
        <v>217</v>
      </c>
      <c r="L30" s="72">
        <f t="shared" si="4"/>
        <v>236</v>
      </c>
      <c r="M30" s="72">
        <f t="shared" si="4"/>
        <v>214</v>
      </c>
      <c r="N30" s="72">
        <f t="shared" si="4"/>
        <v>197</v>
      </c>
      <c r="O30" s="72">
        <f t="shared" si="4"/>
        <v>201</v>
      </c>
      <c r="P30" s="72">
        <f t="shared" si="4"/>
        <v>186</v>
      </c>
      <c r="Q30" s="72">
        <f t="shared" si="4"/>
        <v>180</v>
      </c>
      <c r="R30" s="72">
        <f t="shared" si="4"/>
        <v>231</v>
      </c>
      <c r="S30" s="72">
        <f t="shared" si="4"/>
        <v>198</v>
      </c>
      <c r="T30" s="72">
        <f t="shared" si="4"/>
        <v>210</v>
      </c>
      <c r="U30" s="72">
        <f t="shared" si="4"/>
        <v>208</v>
      </c>
      <c r="V30" s="72">
        <f t="shared" si="4"/>
        <v>224</v>
      </c>
      <c r="W30" s="72">
        <f t="shared" si="4"/>
        <v>227</v>
      </c>
      <c r="X30" s="72">
        <f t="shared" si="4"/>
        <v>239</v>
      </c>
      <c r="Y30" s="72">
        <f t="shared" si="4"/>
        <v>192</v>
      </c>
      <c r="Z30" s="72">
        <f t="shared" si="4"/>
        <v>210</v>
      </c>
      <c r="AA30" s="72">
        <f t="shared" si="4"/>
        <v>213</v>
      </c>
      <c r="AB30" s="72">
        <f t="shared" si="4"/>
        <v>187</v>
      </c>
      <c r="AC30" s="13">
        <f t="shared" si="3"/>
        <v>5067</v>
      </c>
    </row>
    <row r="31" ht="12.75" customHeight="1">
      <c r="A31" s="24"/>
      <c r="B31" s="15"/>
      <c r="C31" s="15"/>
      <c r="D31" s="16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66"/>
    </row>
    <row r="32" ht="12.75" customHeight="1">
      <c r="A32" s="41" t="s">
        <v>25</v>
      </c>
      <c r="B32" s="14" t="s">
        <v>26</v>
      </c>
      <c r="C32" s="15"/>
      <c r="D32" s="16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66"/>
    </row>
    <row r="33" ht="12.75" customHeight="1">
      <c r="A33" s="19">
        <v>1.0</v>
      </c>
      <c r="B33" s="20" t="s">
        <v>27</v>
      </c>
      <c r="C33" s="15"/>
      <c r="D33" s="16"/>
      <c r="E33" s="69">
        <v>273.0</v>
      </c>
      <c r="F33" s="69">
        <v>263.0</v>
      </c>
      <c r="G33" s="69">
        <v>275.0</v>
      </c>
      <c r="H33" s="69">
        <v>292.0</v>
      </c>
      <c r="I33" s="69">
        <v>279.0</v>
      </c>
      <c r="J33" s="69">
        <v>281.0</v>
      </c>
      <c r="K33" s="69">
        <v>282.0</v>
      </c>
      <c r="L33" s="69">
        <v>295.0</v>
      </c>
      <c r="M33" s="69">
        <v>259.0</v>
      </c>
      <c r="N33" s="69">
        <v>258.0</v>
      </c>
      <c r="O33" s="69">
        <v>261.0</v>
      </c>
      <c r="P33" s="69">
        <v>242.0</v>
      </c>
      <c r="Q33" s="69">
        <v>256.0</v>
      </c>
      <c r="R33" s="69">
        <v>298.0</v>
      </c>
      <c r="S33" s="69">
        <v>277.0</v>
      </c>
      <c r="T33" s="69">
        <v>287.0</v>
      </c>
      <c r="U33" s="69">
        <v>271.0</v>
      </c>
      <c r="V33" s="69">
        <v>299.0</v>
      </c>
      <c r="W33" s="69">
        <v>285.0</v>
      </c>
      <c r="X33" s="69">
        <v>292.0</v>
      </c>
      <c r="Y33" s="69">
        <v>259.0</v>
      </c>
      <c r="Z33" s="69">
        <v>279.0</v>
      </c>
      <c r="AA33" s="69">
        <v>263.0</v>
      </c>
      <c r="AB33" s="69">
        <v>239.0</v>
      </c>
      <c r="AC33" s="13">
        <f t="shared" ref="AC33:AC36" si="5">SUM(E33:AB33)</f>
        <v>6565</v>
      </c>
    </row>
    <row r="34" ht="12.75" customHeight="1">
      <c r="A34" s="19">
        <v>2.0</v>
      </c>
      <c r="B34" s="20" t="s">
        <v>28</v>
      </c>
      <c r="C34" s="15"/>
      <c r="D34" s="16"/>
      <c r="E34" s="73">
        <v>204.0</v>
      </c>
      <c r="F34" s="73">
        <v>210.0</v>
      </c>
      <c r="G34" s="73">
        <v>208.0</v>
      </c>
      <c r="H34" s="73">
        <v>222.0</v>
      </c>
      <c r="I34" s="73">
        <v>234.0</v>
      </c>
      <c r="J34" s="73">
        <v>219.0</v>
      </c>
      <c r="K34" s="73">
        <v>217.0</v>
      </c>
      <c r="L34" s="73">
        <v>236.0</v>
      </c>
      <c r="M34" s="73">
        <v>214.0</v>
      </c>
      <c r="N34" s="73">
        <v>197.0</v>
      </c>
      <c r="O34" s="73">
        <v>201.0</v>
      </c>
      <c r="P34" s="73">
        <v>186.0</v>
      </c>
      <c r="Q34" s="73">
        <v>180.0</v>
      </c>
      <c r="R34" s="73">
        <v>231.0</v>
      </c>
      <c r="S34" s="73">
        <v>198.0</v>
      </c>
      <c r="T34" s="73">
        <v>210.0</v>
      </c>
      <c r="U34" s="73">
        <v>208.0</v>
      </c>
      <c r="V34" s="73">
        <v>224.0</v>
      </c>
      <c r="W34" s="73">
        <v>227.0</v>
      </c>
      <c r="X34" s="73">
        <v>239.0</v>
      </c>
      <c r="Y34" s="73">
        <v>192.0</v>
      </c>
      <c r="Z34" s="73">
        <v>210.0</v>
      </c>
      <c r="AA34" s="73">
        <v>213.0</v>
      </c>
      <c r="AB34" s="73">
        <v>187.0</v>
      </c>
      <c r="AC34" s="13">
        <f t="shared" si="5"/>
        <v>5067</v>
      </c>
    </row>
    <row r="35" ht="12.75" customHeight="1">
      <c r="A35" s="19">
        <v>3.0</v>
      </c>
      <c r="B35" s="20" t="s">
        <v>29</v>
      </c>
      <c r="C35" s="15"/>
      <c r="D35" s="16"/>
      <c r="E35" s="69">
        <v>0.0</v>
      </c>
      <c r="F35" s="69">
        <v>0.0</v>
      </c>
      <c r="G35" s="69">
        <v>0.0</v>
      </c>
      <c r="H35" s="69">
        <v>0.0</v>
      </c>
      <c r="I35" s="69">
        <v>0.0</v>
      </c>
      <c r="J35" s="69">
        <v>0.0</v>
      </c>
      <c r="K35" s="69">
        <v>0.0</v>
      </c>
      <c r="L35" s="69">
        <v>0.0</v>
      </c>
      <c r="M35" s="69">
        <v>0.0</v>
      </c>
      <c r="N35" s="69">
        <v>2.0</v>
      </c>
      <c r="O35" s="69">
        <v>0.0</v>
      </c>
      <c r="P35" s="69">
        <v>0.0</v>
      </c>
      <c r="Q35" s="69">
        <v>1.0</v>
      </c>
      <c r="R35" s="69">
        <v>0.0</v>
      </c>
      <c r="S35" s="69">
        <v>0.0</v>
      </c>
      <c r="T35" s="69">
        <v>2.0</v>
      </c>
      <c r="U35" s="69">
        <v>0.0</v>
      </c>
      <c r="V35" s="69">
        <v>0.0</v>
      </c>
      <c r="W35" s="69">
        <v>0.0</v>
      </c>
      <c r="X35" s="69">
        <v>1.0</v>
      </c>
      <c r="Y35" s="69">
        <v>0.0</v>
      </c>
      <c r="Z35" s="69">
        <v>0.0</v>
      </c>
      <c r="AA35" s="69">
        <v>3.0</v>
      </c>
      <c r="AB35" s="69">
        <v>1.0</v>
      </c>
      <c r="AC35" s="13">
        <f t="shared" si="5"/>
        <v>10</v>
      </c>
    </row>
    <row r="36" ht="12.75" customHeight="1">
      <c r="A36" s="19">
        <v>4.0</v>
      </c>
      <c r="B36" s="20" t="s">
        <v>30</v>
      </c>
      <c r="C36" s="15"/>
      <c r="D36" s="16"/>
      <c r="E36" s="70">
        <f t="shared" ref="E36:AB36" si="6">E33-(E34+E35)</f>
        <v>69</v>
      </c>
      <c r="F36" s="70">
        <f t="shared" si="6"/>
        <v>53</v>
      </c>
      <c r="G36" s="70">
        <f t="shared" si="6"/>
        <v>67</v>
      </c>
      <c r="H36" s="70">
        <f t="shared" si="6"/>
        <v>70</v>
      </c>
      <c r="I36" s="70">
        <f t="shared" si="6"/>
        <v>45</v>
      </c>
      <c r="J36" s="70">
        <f t="shared" si="6"/>
        <v>62</v>
      </c>
      <c r="K36" s="70">
        <f t="shared" si="6"/>
        <v>65</v>
      </c>
      <c r="L36" s="70">
        <f t="shared" si="6"/>
        <v>59</v>
      </c>
      <c r="M36" s="70">
        <f t="shared" si="6"/>
        <v>45</v>
      </c>
      <c r="N36" s="70">
        <f t="shared" si="6"/>
        <v>59</v>
      </c>
      <c r="O36" s="70">
        <f t="shared" si="6"/>
        <v>60</v>
      </c>
      <c r="P36" s="70">
        <f t="shared" si="6"/>
        <v>56</v>
      </c>
      <c r="Q36" s="70">
        <f t="shared" si="6"/>
        <v>75</v>
      </c>
      <c r="R36" s="70">
        <f t="shared" si="6"/>
        <v>67</v>
      </c>
      <c r="S36" s="70">
        <f t="shared" si="6"/>
        <v>79</v>
      </c>
      <c r="T36" s="70">
        <f t="shared" si="6"/>
        <v>75</v>
      </c>
      <c r="U36" s="70">
        <f t="shared" si="6"/>
        <v>63</v>
      </c>
      <c r="V36" s="70">
        <f t="shared" si="6"/>
        <v>75</v>
      </c>
      <c r="W36" s="70">
        <f t="shared" si="6"/>
        <v>58</v>
      </c>
      <c r="X36" s="70">
        <f t="shared" si="6"/>
        <v>52</v>
      </c>
      <c r="Y36" s="70">
        <f t="shared" si="6"/>
        <v>67</v>
      </c>
      <c r="Z36" s="70">
        <f t="shared" si="6"/>
        <v>69</v>
      </c>
      <c r="AA36" s="70">
        <f t="shared" si="6"/>
        <v>47</v>
      </c>
      <c r="AB36" s="70">
        <f t="shared" si="6"/>
        <v>51</v>
      </c>
      <c r="AC36" s="13">
        <f t="shared" si="5"/>
        <v>1488</v>
      </c>
    </row>
    <row r="37" ht="12.75" customHeight="1">
      <c r="A37" s="24"/>
      <c r="B37" s="15"/>
      <c r="C37" s="15"/>
      <c r="D37" s="15"/>
      <c r="E37" s="74"/>
      <c r="F37" s="15"/>
      <c r="G37" s="15"/>
      <c r="H37" s="15"/>
      <c r="I37" s="16"/>
      <c r="J37" s="71"/>
      <c r="K37" s="71"/>
      <c r="L37" s="71"/>
      <c r="M37" s="71"/>
      <c r="N37" s="71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66"/>
    </row>
    <row r="38" ht="12.75" customHeight="1">
      <c r="A38" s="42" t="s">
        <v>31</v>
      </c>
      <c r="B38" s="14" t="s">
        <v>32</v>
      </c>
      <c r="C38" s="15"/>
      <c r="D38" s="16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66"/>
    </row>
    <row r="39" ht="12.75" customHeight="1">
      <c r="A39" s="30"/>
      <c r="B39" s="43" t="s">
        <v>33</v>
      </c>
      <c r="C39" s="23"/>
      <c r="D39" s="19" t="s">
        <v>12</v>
      </c>
      <c r="E39" s="69">
        <v>0.0</v>
      </c>
      <c r="F39" s="69">
        <v>0.0</v>
      </c>
      <c r="G39" s="69">
        <v>0.0</v>
      </c>
      <c r="H39" s="69">
        <v>0.0</v>
      </c>
      <c r="I39" s="69">
        <v>0.0</v>
      </c>
      <c r="J39" s="69">
        <v>0.0</v>
      </c>
      <c r="K39" s="69">
        <v>0.0</v>
      </c>
      <c r="L39" s="69">
        <v>0.0</v>
      </c>
      <c r="M39" s="69">
        <v>0.0</v>
      </c>
      <c r="N39" s="69">
        <v>0.0</v>
      </c>
      <c r="O39" s="69">
        <v>0.0</v>
      </c>
      <c r="P39" s="69">
        <v>0.0</v>
      </c>
      <c r="Q39" s="69">
        <v>0.0</v>
      </c>
      <c r="R39" s="69">
        <v>0.0</v>
      </c>
      <c r="S39" s="69">
        <v>0.0</v>
      </c>
      <c r="T39" s="69">
        <v>0.0</v>
      </c>
      <c r="U39" s="69">
        <v>0.0</v>
      </c>
      <c r="V39" s="69">
        <v>0.0</v>
      </c>
      <c r="W39" s="69">
        <v>2.0</v>
      </c>
      <c r="X39" s="69">
        <v>0.0</v>
      </c>
      <c r="Y39" s="69">
        <v>1.0</v>
      </c>
      <c r="Z39" s="69">
        <v>0.0</v>
      </c>
      <c r="AA39" s="69">
        <v>0.0</v>
      </c>
      <c r="AB39" s="69">
        <v>0.0</v>
      </c>
      <c r="AC39" s="13">
        <f t="shared" ref="AC39:AC41" si="7">SUM(E39:AB39)</f>
        <v>3</v>
      </c>
    </row>
    <row r="40" ht="12.75" customHeight="1">
      <c r="A40" s="33"/>
      <c r="C40" s="27"/>
      <c r="D40" s="19" t="s">
        <v>13</v>
      </c>
      <c r="E40" s="69">
        <v>0.0</v>
      </c>
      <c r="F40" s="69">
        <v>0.0</v>
      </c>
      <c r="G40" s="69">
        <v>0.0</v>
      </c>
      <c r="H40" s="69">
        <v>0.0</v>
      </c>
      <c r="I40" s="69">
        <v>0.0</v>
      </c>
      <c r="J40" s="69">
        <v>0.0</v>
      </c>
      <c r="K40" s="69">
        <v>0.0</v>
      </c>
      <c r="L40" s="69">
        <v>0.0</v>
      </c>
      <c r="M40" s="69">
        <v>0.0</v>
      </c>
      <c r="N40" s="69">
        <v>0.0</v>
      </c>
      <c r="O40" s="69">
        <v>0.0</v>
      </c>
      <c r="P40" s="69">
        <v>0.0</v>
      </c>
      <c r="Q40" s="69">
        <v>0.0</v>
      </c>
      <c r="R40" s="69">
        <v>0.0</v>
      </c>
      <c r="S40" s="69">
        <v>1.0</v>
      </c>
      <c r="T40" s="69">
        <v>0.0</v>
      </c>
      <c r="U40" s="69">
        <v>0.0</v>
      </c>
      <c r="V40" s="69">
        <v>1.0</v>
      </c>
      <c r="W40" s="69">
        <v>1.0</v>
      </c>
      <c r="X40" s="69">
        <v>0.0</v>
      </c>
      <c r="Y40" s="69">
        <v>0.0</v>
      </c>
      <c r="Z40" s="69">
        <v>0.0</v>
      </c>
      <c r="AA40" s="69">
        <v>0.0</v>
      </c>
      <c r="AB40" s="69">
        <v>0.0</v>
      </c>
      <c r="AC40" s="13">
        <f t="shared" si="7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B41" si="8">SUM(E39:E40)</f>
        <v>0</v>
      </c>
      <c r="F41" s="13">
        <f t="shared" si="8"/>
        <v>0</v>
      </c>
      <c r="G41" s="13">
        <f t="shared" si="8"/>
        <v>0</v>
      </c>
      <c r="H41" s="13">
        <f t="shared" si="8"/>
        <v>0</v>
      </c>
      <c r="I41" s="13">
        <f t="shared" si="8"/>
        <v>0</v>
      </c>
      <c r="J41" s="13">
        <f t="shared" si="8"/>
        <v>0</v>
      </c>
      <c r="K41" s="13">
        <f t="shared" si="8"/>
        <v>0</v>
      </c>
      <c r="L41" s="13">
        <f t="shared" si="8"/>
        <v>0</v>
      </c>
      <c r="M41" s="13">
        <f t="shared" si="8"/>
        <v>0</v>
      </c>
      <c r="N41" s="13">
        <f t="shared" si="8"/>
        <v>0</v>
      </c>
      <c r="O41" s="13">
        <f t="shared" si="8"/>
        <v>0</v>
      </c>
      <c r="P41" s="13">
        <f t="shared" si="8"/>
        <v>0</v>
      </c>
      <c r="Q41" s="13">
        <f t="shared" si="8"/>
        <v>0</v>
      </c>
      <c r="R41" s="13">
        <f t="shared" si="8"/>
        <v>0</v>
      </c>
      <c r="S41" s="13">
        <f t="shared" si="8"/>
        <v>1</v>
      </c>
      <c r="T41" s="13">
        <f t="shared" si="8"/>
        <v>0</v>
      </c>
      <c r="U41" s="13">
        <f t="shared" si="8"/>
        <v>0</v>
      </c>
      <c r="V41" s="13">
        <f t="shared" si="8"/>
        <v>1</v>
      </c>
      <c r="W41" s="13">
        <f t="shared" si="8"/>
        <v>3</v>
      </c>
      <c r="X41" s="13">
        <f t="shared" si="8"/>
        <v>0</v>
      </c>
      <c r="Y41" s="13">
        <f t="shared" si="8"/>
        <v>1</v>
      </c>
      <c r="Z41" s="13">
        <f t="shared" si="8"/>
        <v>0</v>
      </c>
      <c r="AA41" s="13">
        <f t="shared" si="8"/>
        <v>0</v>
      </c>
      <c r="AB41" s="13">
        <f t="shared" si="8"/>
        <v>0</v>
      </c>
      <c r="AC41" s="13">
        <f t="shared" si="7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5"/>
      <c r="O42" s="19"/>
      <c r="P42" s="65"/>
      <c r="Q42" s="19"/>
      <c r="R42" s="65"/>
      <c r="S42" s="19"/>
      <c r="T42" s="65"/>
      <c r="U42" s="19"/>
      <c r="V42" s="65"/>
      <c r="W42" s="19"/>
      <c r="X42" s="65"/>
      <c r="Y42" s="19"/>
      <c r="Z42" s="65"/>
      <c r="AA42" s="65"/>
      <c r="AB42" s="19"/>
      <c r="AC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7"/>
      <c r="O43" s="13"/>
      <c r="P43" s="67"/>
      <c r="Q43" s="13"/>
      <c r="R43" s="67"/>
      <c r="S43" s="13"/>
      <c r="T43" s="67"/>
      <c r="U43" s="13"/>
      <c r="V43" s="67"/>
      <c r="W43" s="13"/>
      <c r="X43" s="67"/>
      <c r="Y43" s="13"/>
      <c r="Z43" s="67"/>
      <c r="AA43" s="67"/>
      <c r="AB43" s="13"/>
      <c r="AC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5"/>
      <c r="O44" s="19"/>
      <c r="P44" s="65"/>
      <c r="Q44" s="19"/>
      <c r="R44" s="65"/>
      <c r="S44" s="19"/>
      <c r="T44" s="65"/>
      <c r="U44" s="19"/>
      <c r="V44" s="65"/>
      <c r="W44" s="19"/>
      <c r="X44" s="65"/>
      <c r="Y44" s="19"/>
      <c r="Z44" s="65"/>
      <c r="AA44" s="65"/>
      <c r="AB44" s="19"/>
      <c r="AC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7.0</v>
      </c>
      <c r="F45" s="19">
        <v>6.0</v>
      </c>
      <c r="G45" s="19">
        <v>4.0</v>
      </c>
      <c r="H45" s="19">
        <v>8.0</v>
      </c>
      <c r="I45" s="19">
        <v>5.0</v>
      </c>
      <c r="J45" s="19">
        <v>6.0</v>
      </c>
      <c r="K45" s="19">
        <v>4.0</v>
      </c>
      <c r="L45" s="19">
        <v>11.0</v>
      </c>
      <c r="M45" s="19">
        <v>5.0</v>
      </c>
      <c r="N45" s="19">
        <v>5.0</v>
      </c>
      <c r="O45" s="19">
        <v>2.0</v>
      </c>
      <c r="P45" s="19">
        <v>7.0</v>
      </c>
      <c r="Q45" s="19">
        <v>8.0</v>
      </c>
      <c r="R45" s="19">
        <v>5.0</v>
      </c>
      <c r="S45" s="19">
        <v>4.0</v>
      </c>
      <c r="T45" s="19">
        <v>5.0</v>
      </c>
      <c r="U45" s="19">
        <v>11.0</v>
      </c>
      <c r="V45" s="19">
        <v>10.0</v>
      </c>
      <c r="W45" s="19">
        <v>8.0</v>
      </c>
      <c r="X45" s="19">
        <v>9.0</v>
      </c>
      <c r="Y45" s="19">
        <v>1.0</v>
      </c>
      <c r="Z45" s="19">
        <v>5.0</v>
      </c>
      <c r="AA45" s="19">
        <v>2.0</v>
      </c>
      <c r="AB45" s="19">
        <v>11.0</v>
      </c>
      <c r="AC45" s="13">
        <f t="shared" ref="AC45:AC182" si="9">SUM(E45:AB45)</f>
        <v>149</v>
      </c>
    </row>
    <row r="46" ht="12.75" customHeight="1">
      <c r="A46" s="30" t="s">
        <v>39</v>
      </c>
      <c r="B46" s="49">
        <v>1.0</v>
      </c>
      <c r="C46" s="50" t="s">
        <v>40</v>
      </c>
      <c r="D46" s="51"/>
      <c r="E46" s="19">
        <v>7.0</v>
      </c>
      <c r="F46" s="19">
        <v>8.0</v>
      </c>
      <c r="G46" s="19">
        <v>8.0</v>
      </c>
      <c r="H46" s="19">
        <v>6.0</v>
      </c>
      <c r="I46" s="19">
        <v>4.0</v>
      </c>
      <c r="J46" s="19">
        <v>10.0</v>
      </c>
      <c r="K46" s="19">
        <v>7.0</v>
      </c>
      <c r="L46" s="19">
        <v>5.0</v>
      </c>
      <c r="M46" s="19">
        <v>4.0</v>
      </c>
      <c r="N46" s="19">
        <v>1.0</v>
      </c>
      <c r="O46" s="19">
        <v>2.0</v>
      </c>
      <c r="P46" s="19">
        <v>6.0</v>
      </c>
      <c r="Q46" s="19">
        <v>2.0</v>
      </c>
      <c r="R46" s="19">
        <v>7.0</v>
      </c>
      <c r="S46" s="19">
        <v>3.0</v>
      </c>
      <c r="T46" s="19">
        <v>7.0</v>
      </c>
      <c r="U46" s="19">
        <v>0.0</v>
      </c>
      <c r="V46" s="19">
        <v>8.0</v>
      </c>
      <c r="W46" s="19">
        <v>6.0</v>
      </c>
      <c r="X46" s="19">
        <v>13.0</v>
      </c>
      <c r="Y46" s="19">
        <v>7.0</v>
      </c>
      <c r="Z46" s="19">
        <v>6.0</v>
      </c>
      <c r="AA46" s="19">
        <v>2.0</v>
      </c>
      <c r="AB46" s="19">
        <v>10.0</v>
      </c>
      <c r="AC46" s="13">
        <f t="shared" si="9"/>
        <v>139</v>
      </c>
    </row>
    <row r="47" ht="12.75" customHeight="1">
      <c r="A47" s="18"/>
      <c r="B47" s="49">
        <v>2.0</v>
      </c>
      <c r="C47" s="50" t="s">
        <v>41</v>
      </c>
      <c r="D47" s="51"/>
      <c r="E47" s="19">
        <v>25.0</v>
      </c>
      <c r="F47" s="19">
        <v>17.0</v>
      </c>
      <c r="G47" s="19">
        <v>25.0</v>
      </c>
      <c r="H47" s="19">
        <v>10.0</v>
      </c>
      <c r="I47" s="19">
        <v>3.0</v>
      </c>
      <c r="J47" s="19">
        <v>25.0</v>
      </c>
      <c r="K47" s="19">
        <v>21.0</v>
      </c>
      <c r="L47" s="19">
        <v>14.0</v>
      </c>
      <c r="M47" s="19">
        <v>13.0</v>
      </c>
      <c r="N47" s="19">
        <v>11.0</v>
      </c>
      <c r="O47" s="19">
        <v>10.0</v>
      </c>
      <c r="P47" s="19">
        <v>29.0</v>
      </c>
      <c r="Q47" s="19">
        <v>6.0</v>
      </c>
      <c r="R47" s="19">
        <v>7.0</v>
      </c>
      <c r="S47" s="19">
        <v>6.0</v>
      </c>
      <c r="T47" s="19">
        <v>9.0</v>
      </c>
      <c r="U47" s="19">
        <v>29.0</v>
      </c>
      <c r="V47" s="19">
        <v>18.0</v>
      </c>
      <c r="W47" s="19">
        <v>28.0</v>
      </c>
      <c r="X47" s="19">
        <v>17.0</v>
      </c>
      <c r="Y47" s="19">
        <v>11.0</v>
      </c>
      <c r="Z47" s="19">
        <v>31.0</v>
      </c>
      <c r="AA47" s="19">
        <v>12.0</v>
      </c>
      <c r="AB47" s="19">
        <v>40.0</v>
      </c>
      <c r="AC47" s="13">
        <f t="shared" si="9"/>
        <v>417</v>
      </c>
    </row>
    <row r="48" ht="12.75" customHeight="1">
      <c r="A48" s="18"/>
      <c r="B48" s="49">
        <v>3.0</v>
      </c>
      <c r="C48" s="50" t="s">
        <v>42</v>
      </c>
      <c r="D48" s="51"/>
      <c r="E48" s="19">
        <v>4.0</v>
      </c>
      <c r="F48" s="19">
        <v>1.0</v>
      </c>
      <c r="G48" s="19">
        <v>0.0</v>
      </c>
      <c r="H48" s="19">
        <v>0.0</v>
      </c>
      <c r="I48" s="19">
        <v>0.0</v>
      </c>
      <c r="J48" s="19">
        <v>0.0</v>
      </c>
      <c r="K48" s="19">
        <v>3.0</v>
      </c>
      <c r="L48" s="19">
        <v>0.0</v>
      </c>
      <c r="M48" s="19">
        <v>1.0</v>
      </c>
      <c r="N48" s="19">
        <v>0.0</v>
      </c>
      <c r="O48" s="19">
        <v>0.0</v>
      </c>
      <c r="P48" s="19">
        <v>0.0</v>
      </c>
      <c r="Q48" s="19">
        <v>0.0</v>
      </c>
      <c r="R48" s="19">
        <v>0.0</v>
      </c>
      <c r="S48" s="19">
        <v>1.0</v>
      </c>
      <c r="T48" s="19">
        <v>2.0</v>
      </c>
      <c r="U48" s="19">
        <v>3.0</v>
      </c>
      <c r="V48" s="19">
        <v>0.0</v>
      </c>
      <c r="W48" s="19">
        <v>0.0</v>
      </c>
      <c r="X48" s="19">
        <v>0.0</v>
      </c>
      <c r="Y48" s="19">
        <v>2.0</v>
      </c>
      <c r="Z48" s="19">
        <v>0.0</v>
      </c>
      <c r="AA48" s="19">
        <v>0.0</v>
      </c>
      <c r="AB48" s="19">
        <v>0.0</v>
      </c>
      <c r="AC48" s="13">
        <f t="shared" si="9"/>
        <v>17</v>
      </c>
    </row>
    <row r="49" ht="12.75" customHeight="1">
      <c r="A49" s="18"/>
      <c r="B49" s="49">
        <v>4.0</v>
      </c>
      <c r="C49" s="50" t="s">
        <v>43</v>
      </c>
      <c r="D49" s="51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0.0</v>
      </c>
      <c r="N49" s="19">
        <v>0.0</v>
      </c>
      <c r="O49" s="19">
        <v>0.0</v>
      </c>
      <c r="P49" s="19">
        <v>0.0</v>
      </c>
      <c r="Q49" s="19">
        <v>0.0</v>
      </c>
      <c r="R49" s="19">
        <v>0.0</v>
      </c>
      <c r="S49" s="19">
        <v>0.0</v>
      </c>
      <c r="T49" s="19">
        <v>0.0</v>
      </c>
      <c r="U49" s="19">
        <v>0.0</v>
      </c>
      <c r="V49" s="19">
        <v>0.0</v>
      </c>
      <c r="W49" s="19">
        <v>0.0</v>
      </c>
      <c r="X49" s="19">
        <v>0.0</v>
      </c>
      <c r="Y49" s="19">
        <v>0.0</v>
      </c>
      <c r="Z49" s="19">
        <v>0.0</v>
      </c>
      <c r="AA49" s="19">
        <v>0.0</v>
      </c>
      <c r="AB49" s="19">
        <v>0.0</v>
      </c>
      <c r="AC49" s="13">
        <f t="shared" si="9"/>
        <v>0</v>
      </c>
    </row>
    <row r="50" ht="12.75" customHeight="1">
      <c r="A50" s="18"/>
      <c r="B50" s="49">
        <v>5.0</v>
      </c>
      <c r="C50" s="50" t="s">
        <v>44</v>
      </c>
      <c r="D50" s="51"/>
      <c r="E50" s="19">
        <v>0.0</v>
      </c>
      <c r="F50" s="19">
        <v>0.0</v>
      </c>
      <c r="G50" s="19">
        <v>1.0</v>
      </c>
      <c r="H50" s="19">
        <v>1.0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1.0</v>
      </c>
      <c r="U50" s="19">
        <v>0.0</v>
      </c>
      <c r="V50" s="19">
        <v>1.0</v>
      </c>
      <c r="W50" s="19">
        <v>0.0</v>
      </c>
      <c r="X50" s="19">
        <v>1.0</v>
      </c>
      <c r="Y50" s="19">
        <v>0.0</v>
      </c>
      <c r="Z50" s="19">
        <v>0.0</v>
      </c>
      <c r="AA50" s="19">
        <v>0.0</v>
      </c>
      <c r="AB50" s="19">
        <v>0.0</v>
      </c>
      <c r="AC50" s="13">
        <f t="shared" si="9"/>
        <v>5</v>
      </c>
    </row>
    <row r="51" ht="12.75" customHeight="1">
      <c r="A51" s="18"/>
      <c r="B51" s="49">
        <v>6.0</v>
      </c>
      <c r="C51" s="50" t="s">
        <v>45</v>
      </c>
      <c r="D51" s="51"/>
      <c r="E51" s="19">
        <v>3.0</v>
      </c>
      <c r="F51" s="19">
        <v>10.0</v>
      </c>
      <c r="G51" s="19">
        <v>12.0</v>
      </c>
      <c r="H51" s="19">
        <v>5.0</v>
      </c>
      <c r="I51" s="19">
        <v>2.0</v>
      </c>
      <c r="J51" s="19">
        <v>16.0</v>
      </c>
      <c r="K51" s="19">
        <v>21.0</v>
      </c>
      <c r="L51" s="19">
        <v>3.0</v>
      </c>
      <c r="M51" s="19">
        <v>21.0</v>
      </c>
      <c r="N51" s="19">
        <v>4.0</v>
      </c>
      <c r="O51" s="19">
        <v>31.0</v>
      </c>
      <c r="P51" s="19">
        <v>16.0</v>
      </c>
      <c r="Q51" s="19">
        <v>8.0</v>
      </c>
      <c r="R51" s="19">
        <v>5.0</v>
      </c>
      <c r="S51" s="19">
        <v>5.0</v>
      </c>
      <c r="T51" s="19">
        <v>5.0</v>
      </c>
      <c r="U51" s="19">
        <v>2.0</v>
      </c>
      <c r="V51" s="19">
        <v>4.0</v>
      </c>
      <c r="W51" s="19">
        <v>8.0</v>
      </c>
      <c r="X51" s="19">
        <v>21.0</v>
      </c>
      <c r="Y51" s="19">
        <v>0.0</v>
      </c>
      <c r="Z51" s="19">
        <v>3.0</v>
      </c>
      <c r="AA51" s="19">
        <v>1.0</v>
      </c>
      <c r="AB51" s="19">
        <v>0.0</v>
      </c>
      <c r="AC51" s="13">
        <f t="shared" si="9"/>
        <v>206</v>
      </c>
    </row>
    <row r="52" ht="12.75" customHeight="1">
      <c r="A52" s="19" t="s">
        <v>15</v>
      </c>
      <c r="B52" s="47" t="s">
        <v>46</v>
      </c>
      <c r="C52" s="15"/>
      <c r="D52" s="16"/>
      <c r="E52" s="56">
        <f t="shared" ref="E52:AB52" si="10">SUM(E45:E51)</f>
        <v>46</v>
      </c>
      <c r="F52" s="56">
        <f t="shared" si="10"/>
        <v>42</v>
      </c>
      <c r="G52" s="56">
        <f t="shared" si="10"/>
        <v>50</v>
      </c>
      <c r="H52" s="56">
        <f t="shared" si="10"/>
        <v>30</v>
      </c>
      <c r="I52" s="56">
        <f t="shared" si="10"/>
        <v>14</v>
      </c>
      <c r="J52" s="56">
        <f t="shared" si="10"/>
        <v>57</v>
      </c>
      <c r="K52" s="56">
        <f t="shared" si="10"/>
        <v>56</v>
      </c>
      <c r="L52" s="56">
        <f t="shared" si="10"/>
        <v>33</v>
      </c>
      <c r="M52" s="56">
        <f t="shared" si="10"/>
        <v>44</v>
      </c>
      <c r="N52" s="56">
        <f t="shared" si="10"/>
        <v>21</v>
      </c>
      <c r="O52" s="56">
        <f t="shared" si="10"/>
        <v>45</v>
      </c>
      <c r="P52" s="56">
        <f t="shared" si="10"/>
        <v>58</v>
      </c>
      <c r="Q52" s="56">
        <f t="shared" si="10"/>
        <v>24</v>
      </c>
      <c r="R52" s="56">
        <f t="shared" si="10"/>
        <v>24</v>
      </c>
      <c r="S52" s="56">
        <f t="shared" si="10"/>
        <v>19</v>
      </c>
      <c r="T52" s="56">
        <f t="shared" si="10"/>
        <v>29</v>
      </c>
      <c r="U52" s="56">
        <f t="shared" si="10"/>
        <v>45</v>
      </c>
      <c r="V52" s="56">
        <f t="shared" si="10"/>
        <v>41</v>
      </c>
      <c r="W52" s="56">
        <f t="shared" si="10"/>
        <v>50</v>
      </c>
      <c r="X52" s="56">
        <f t="shared" si="10"/>
        <v>61</v>
      </c>
      <c r="Y52" s="56">
        <f t="shared" si="10"/>
        <v>21</v>
      </c>
      <c r="Z52" s="56">
        <f t="shared" si="10"/>
        <v>45</v>
      </c>
      <c r="AA52" s="56">
        <f t="shared" si="10"/>
        <v>17</v>
      </c>
      <c r="AB52" s="56">
        <f t="shared" si="10"/>
        <v>61</v>
      </c>
      <c r="AC52" s="13">
        <f t="shared" si="9"/>
        <v>933</v>
      </c>
    </row>
    <row r="53" ht="12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13">
        <f t="shared" si="9"/>
        <v>0</v>
      </c>
    </row>
    <row r="54" ht="12.75" customHeight="1">
      <c r="A54" s="30" t="s">
        <v>37</v>
      </c>
      <c r="B54" s="47" t="s">
        <v>19</v>
      </c>
      <c r="C54" s="48" t="s">
        <v>47</v>
      </c>
      <c r="D54" s="16"/>
      <c r="E54" s="19">
        <v>4.0</v>
      </c>
      <c r="F54" s="19">
        <v>10.0</v>
      </c>
      <c r="G54" s="19">
        <v>4.0</v>
      </c>
      <c r="H54" s="19">
        <v>3.0</v>
      </c>
      <c r="I54" s="19">
        <v>6.0</v>
      </c>
      <c r="J54" s="19">
        <v>5.0</v>
      </c>
      <c r="K54" s="19">
        <v>1.0</v>
      </c>
      <c r="L54" s="19">
        <v>7.0</v>
      </c>
      <c r="M54" s="19">
        <v>4.0</v>
      </c>
      <c r="N54" s="19">
        <v>12.0</v>
      </c>
      <c r="O54" s="19">
        <v>6.0</v>
      </c>
      <c r="P54" s="19">
        <v>7.0</v>
      </c>
      <c r="Q54" s="19">
        <v>1.0</v>
      </c>
      <c r="R54" s="19">
        <v>8.0</v>
      </c>
      <c r="S54" s="19">
        <v>10.0</v>
      </c>
      <c r="T54" s="19">
        <v>7.0</v>
      </c>
      <c r="U54" s="19">
        <v>21.0</v>
      </c>
      <c r="V54" s="19">
        <v>16.0</v>
      </c>
      <c r="W54" s="19">
        <v>9.0</v>
      </c>
      <c r="X54" s="19">
        <v>7.0</v>
      </c>
      <c r="Y54" s="19">
        <v>5.0</v>
      </c>
      <c r="Z54" s="19">
        <v>12.0</v>
      </c>
      <c r="AA54" s="19">
        <v>1.0</v>
      </c>
      <c r="AB54" s="19">
        <v>9.0</v>
      </c>
      <c r="AC54" s="13">
        <f t="shared" si="9"/>
        <v>175</v>
      </c>
    </row>
    <row r="55" ht="15.0" customHeight="1">
      <c r="A55" s="30" t="s">
        <v>39</v>
      </c>
      <c r="B55" s="49">
        <v>1.0</v>
      </c>
      <c r="C55" s="50" t="s">
        <v>48</v>
      </c>
      <c r="D55" s="51"/>
      <c r="E55" s="19">
        <v>12.0</v>
      </c>
      <c r="F55" s="19">
        <v>5.0</v>
      </c>
      <c r="G55" s="19">
        <v>4.0</v>
      </c>
      <c r="H55" s="19">
        <v>4.0</v>
      </c>
      <c r="I55" s="19">
        <v>14.0</v>
      </c>
      <c r="J55" s="19">
        <v>9.0</v>
      </c>
      <c r="K55" s="19">
        <v>9.0</v>
      </c>
      <c r="L55" s="19">
        <v>2.0</v>
      </c>
      <c r="M55" s="19">
        <v>20.0</v>
      </c>
      <c r="N55" s="19">
        <v>7.0</v>
      </c>
      <c r="O55" s="19">
        <v>2.0</v>
      </c>
      <c r="P55" s="19">
        <v>11.0</v>
      </c>
      <c r="Q55" s="19">
        <v>11.0</v>
      </c>
      <c r="R55" s="19">
        <v>18.0</v>
      </c>
      <c r="S55" s="19">
        <v>5.0</v>
      </c>
      <c r="T55" s="19">
        <v>8.0</v>
      </c>
      <c r="U55" s="19">
        <v>3.0</v>
      </c>
      <c r="V55" s="19">
        <v>2.0</v>
      </c>
      <c r="W55" s="19">
        <v>16.0</v>
      </c>
      <c r="X55" s="19">
        <v>8.0</v>
      </c>
      <c r="Y55" s="19">
        <v>4.0</v>
      </c>
      <c r="Z55" s="19">
        <v>3.0</v>
      </c>
      <c r="AA55" s="19">
        <v>0.0</v>
      </c>
      <c r="AB55" s="19">
        <v>2.0</v>
      </c>
      <c r="AC55" s="13">
        <f t="shared" si="9"/>
        <v>179</v>
      </c>
    </row>
    <row r="56" ht="12.75" customHeight="1">
      <c r="A56" s="18"/>
      <c r="B56" s="49">
        <v>2.0</v>
      </c>
      <c r="C56" s="50" t="s">
        <v>49</v>
      </c>
      <c r="D56" s="51"/>
      <c r="E56" s="19">
        <v>3.0</v>
      </c>
      <c r="F56" s="19">
        <v>0.0</v>
      </c>
      <c r="G56" s="19">
        <v>1.0</v>
      </c>
      <c r="H56" s="19">
        <v>3.0</v>
      </c>
      <c r="I56" s="19">
        <v>2.0</v>
      </c>
      <c r="J56" s="19">
        <v>3.0</v>
      </c>
      <c r="K56" s="19">
        <v>1.0</v>
      </c>
      <c r="L56" s="19">
        <v>3.0</v>
      </c>
      <c r="M56" s="19">
        <v>2.0</v>
      </c>
      <c r="N56" s="19">
        <v>2.0</v>
      </c>
      <c r="O56" s="19">
        <v>1.0</v>
      </c>
      <c r="P56" s="19">
        <v>4.0</v>
      </c>
      <c r="Q56" s="19">
        <v>1.0</v>
      </c>
      <c r="R56" s="19">
        <v>1.0</v>
      </c>
      <c r="S56" s="19">
        <v>1.0</v>
      </c>
      <c r="T56" s="19">
        <v>3.0</v>
      </c>
      <c r="U56" s="19">
        <v>2.0</v>
      </c>
      <c r="V56" s="19">
        <v>5.0</v>
      </c>
      <c r="W56" s="19">
        <v>4.0</v>
      </c>
      <c r="X56" s="19">
        <v>12.0</v>
      </c>
      <c r="Y56" s="19">
        <v>2.0</v>
      </c>
      <c r="Z56" s="19">
        <v>2.0</v>
      </c>
      <c r="AA56" s="19">
        <v>0.0</v>
      </c>
      <c r="AB56" s="19">
        <v>2.0</v>
      </c>
      <c r="AC56" s="13">
        <f t="shared" si="9"/>
        <v>60</v>
      </c>
    </row>
    <row r="57" ht="12.75" customHeight="1">
      <c r="A57" s="18"/>
      <c r="B57" s="49">
        <v>3.0</v>
      </c>
      <c r="C57" s="50" t="s">
        <v>50</v>
      </c>
      <c r="D57" s="51"/>
      <c r="E57" s="19">
        <v>0.0</v>
      </c>
      <c r="F57" s="19">
        <v>0.0</v>
      </c>
      <c r="G57" s="19">
        <v>1.0</v>
      </c>
      <c r="H57" s="19">
        <v>0.0</v>
      </c>
      <c r="I57" s="19">
        <v>0.0</v>
      </c>
      <c r="J57" s="19">
        <v>1.0</v>
      </c>
      <c r="K57" s="19">
        <v>0.0</v>
      </c>
      <c r="L57" s="19">
        <v>0.0</v>
      </c>
      <c r="M57" s="19">
        <v>2.0</v>
      </c>
      <c r="N57" s="19">
        <v>0.0</v>
      </c>
      <c r="O57" s="19">
        <v>1.0</v>
      </c>
      <c r="P57" s="19">
        <v>0.0</v>
      </c>
      <c r="Q57" s="19">
        <v>1.0</v>
      </c>
      <c r="R57" s="19">
        <v>0.0</v>
      </c>
      <c r="S57" s="19">
        <v>0.0</v>
      </c>
      <c r="T57" s="19">
        <v>2.0</v>
      </c>
      <c r="U57" s="19">
        <v>2.0</v>
      </c>
      <c r="V57" s="19">
        <v>1.0</v>
      </c>
      <c r="W57" s="19">
        <v>1.0</v>
      </c>
      <c r="X57" s="19">
        <v>1.0</v>
      </c>
      <c r="Y57" s="19">
        <v>1.0</v>
      </c>
      <c r="Z57" s="19">
        <v>0.0</v>
      </c>
      <c r="AA57" s="19">
        <v>1.0</v>
      </c>
      <c r="AB57" s="19">
        <v>1.0</v>
      </c>
      <c r="AC57" s="13">
        <f t="shared" si="9"/>
        <v>16</v>
      </c>
    </row>
    <row r="58" ht="12.75" customHeight="1">
      <c r="A58" s="18"/>
      <c r="B58" s="49">
        <v>4.0</v>
      </c>
      <c r="C58" s="50" t="s">
        <v>51</v>
      </c>
      <c r="D58" s="51"/>
      <c r="E58" s="19">
        <v>1.0</v>
      </c>
      <c r="F58" s="19">
        <v>0.0</v>
      </c>
      <c r="G58" s="19">
        <v>1.0</v>
      </c>
      <c r="H58" s="19">
        <v>0.0</v>
      </c>
      <c r="I58" s="19">
        <v>0.0</v>
      </c>
      <c r="J58" s="19">
        <v>1.0</v>
      </c>
      <c r="K58" s="19">
        <v>1.0</v>
      </c>
      <c r="L58" s="19">
        <v>0.0</v>
      </c>
      <c r="M58" s="19">
        <v>0.0</v>
      </c>
      <c r="N58" s="19">
        <v>1.0</v>
      </c>
      <c r="O58" s="19">
        <v>0.0</v>
      </c>
      <c r="P58" s="19">
        <v>0.0</v>
      </c>
      <c r="Q58" s="19">
        <v>0.0</v>
      </c>
      <c r="R58" s="19">
        <v>0.0</v>
      </c>
      <c r="S58" s="19">
        <v>2.0</v>
      </c>
      <c r="T58" s="19">
        <v>1.0</v>
      </c>
      <c r="U58" s="19">
        <v>0.0</v>
      </c>
      <c r="V58" s="19">
        <v>0.0</v>
      </c>
      <c r="W58" s="19">
        <v>2.0</v>
      </c>
      <c r="X58" s="19">
        <v>0.0</v>
      </c>
      <c r="Y58" s="19">
        <v>2.0</v>
      </c>
      <c r="Z58" s="19">
        <v>0.0</v>
      </c>
      <c r="AA58" s="19">
        <v>1.0</v>
      </c>
      <c r="AB58" s="19">
        <v>0.0</v>
      </c>
      <c r="AC58" s="13">
        <f t="shared" si="9"/>
        <v>13</v>
      </c>
    </row>
    <row r="59" ht="12.75" customHeight="1">
      <c r="A59" s="18"/>
      <c r="B59" s="49">
        <v>5.0</v>
      </c>
      <c r="C59" s="50" t="s">
        <v>52</v>
      </c>
      <c r="D59" s="51"/>
      <c r="E59" s="19">
        <v>2.0</v>
      </c>
      <c r="F59" s="19">
        <v>0.0</v>
      </c>
      <c r="G59" s="19">
        <v>0.0</v>
      </c>
      <c r="H59" s="19">
        <v>1.0</v>
      </c>
      <c r="I59" s="19">
        <v>0.0</v>
      </c>
      <c r="J59" s="19">
        <v>0.0</v>
      </c>
      <c r="K59" s="19">
        <v>0.0</v>
      </c>
      <c r="L59" s="19">
        <v>0.0</v>
      </c>
      <c r="M59" s="19">
        <v>0.0</v>
      </c>
      <c r="N59" s="19">
        <v>1.0</v>
      </c>
      <c r="O59" s="19">
        <v>1.0</v>
      </c>
      <c r="P59" s="19">
        <v>1.0</v>
      </c>
      <c r="Q59" s="19">
        <v>0.0</v>
      </c>
      <c r="R59" s="19">
        <v>0.0</v>
      </c>
      <c r="S59" s="19">
        <v>1.0</v>
      </c>
      <c r="T59" s="19">
        <v>0.0</v>
      </c>
      <c r="U59" s="19">
        <v>1.0</v>
      </c>
      <c r="V59" s="19">
        <v>0.0</v>
      </c>
      <c r="W59" s="19">
        <v>0.0</v>
      </c>
      <c r="X59" s="19">
        <v>1.0</v>
      </c>
      <c r="Y59" s="19">
        <v>1.0</v>
      </c>
      <c r="Z59" s="19">
        <v>0.0</v>
      </c>
      <c r="AA59" s="19">
        <v>0.0</v>
      </c>
      <c r="AB59" s="19">
        <v>0.0</v>
      </c>
      <c r="AC59" s="13">
        <f t="shared" si="9"/>
        <v>10</v>
      </c>
    </row>
    <row r="60" ht="12.75" customHeight="1">
      <c r="A60" s="18"/>
      <c r="B60" s="49">
        <v>6.0</v>
      </c>
      <c r="C60" s="50" t="s">
        <v>53</v>
      </c>
      <c r="D60" s="51"/>
      <c r="E60" s="19">
        <v>0.0</v>
      </c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19">
        <v>0.0</v>
      </c>
      <c r="L60" s="19">
        <v>0.0</v>
      </c>
      <c r="M60" s="19">
        <v>2.0</v>
      </c>
      <c r="N60" s="19">
        <v>0.0</v>
      </c>
      <c r="O60" s="19">
        <v>1.0</v>
      </c>
      <c r="P60" s="19">
        <v>1.0</v>
      </c>
      <c r="Q60" s="19">
        <v>0.0</v>
      </c>
      <c r="R60" s="19">
        <v>0.0</v>
      </c>
      <c r="S60" s="19">
        <v>0.0</v>
      </c>
      <c r="T60" s="19">
        <v>0.0</v>
      </c>
      <c r="U60" s="19">
        <v>0.0</v>
      </c>
      <c r="V60" s="19">
        <v>0.0</v>
      </c>
      <c r="W60" s="19">
        <v>1.0</v>
      </c>
      <c r="X60" s="19">
        <v>1.0</v>
      </c>
      <c r="Y60" s="19">
        <v>1.0</v>
      </c>
      <c r="Z60" s="19">
        <v>2.0</v>
      </c>
      <c r="AA60" s="19">
        <v>0.0</v>
      </c>
      <c r="AB60" s="19">
        <v>1.0</v>
      </c>
      <c r="AC60" s="13">
        <f t="shared" si="9"/>
        <v>10</v>
      </c>
    </row>
    <row r="61" ht="12.75" customHeight="1">
      <c r="A61" s="19" t="s">
        <v>15</v>
      </c>
      <c r="B61" s="47" t="s">
        <v>46</v>
      </c>
      <c r="C61" s="15"/>
      <c r="D61" s="16"/>
      <c r="E61" s="56">
        <f t="shared" ref="E61:AB61" si="11">SUM(E54:E60)</f>
        <v>22</v>
      </c>
      <c r="F61" s="56">
        <f t="shared" si="11"/>
        <v>15</v>
      </c>
      <c r="G61" s="56">
        <f t="shared" si="11"/>
        <v>11</v>
      </c>
      <c r="H61" s="56">
        <f t="shared" si="11"/>
        <v>11</v>
      </c>
      <c r="I61" s="56">
        <f t="shared" si="11"/>
        <v>22</v>
      </c>
      <c r="J61" s="56">
        <f t="shared" si="11"/>
        <v>19</v>
      </c>
      <c r="K61" s="56">
        <f t="shared" si="11"/>
        <v>12</v>
      </c>
      <c r="L61" s="56">
        <f t="shared" si="11"/>
        <v>12</v>
      </c>
      <c r="M61" s="56">
        <f t="shared" si="11"/>
        <v>30</v>
      </c>
      <c r="N61" s="56">
        <f t="shared" si="11"/>
        <v>23</v>
      </c>
      <c r="O61" s="56">
        <f t="shared" si="11"/>
        <v>12</v>
      </c>
      <c r="P61" s="56">
        <f t="shared" si="11"/>
        <v>24</v>
      </c>
      <c r="Q61" s="56">
        <f t="shared" si="11"/>
        <v>14</v>
      </c>
      <c r="R61" s="56">
        <f t="shared" si="11"/>
        <v>27</v>
      </c>
      <c r="S61" s="56">
        <f t="shared" si="11"/>
        <v>19</v>
      </c>
      <c r="T61" s="56">
        <f t="shared" si="11"/>
        <v>21</v>
      </c>
      <c r="U61" s="56">
        <f t="shared" si="11"/>
        <v>29</v>
      </c>
      <c r="V61" s="56">
        <f t="shared" si="11"/>
        <v>24</v>
      </c>
      <c r="W61" s="56">
        <f t="shared" si="11"/>
        <v>33</v>
      </c>
      <c r="X61" s="56">
        <f t="shared" si="11"/>
        <v>30</v>
      </c>
      <c r="Y61" s="56">
        <f t="shared" si="11"/>
        <v>16</v>
      </c>
      <c r="Z61" s="56">
        <f t="shared" si="11"/>
        <v>19</v>
      </c>
      <c r="AA61" s="56">
        <f t="shared" si="11"/>
        <v>3</v>
      </c>
      <c r="AB61" s="56">
        <f t="shared" si="11"/>
        <v>15</v>
      </c>
      <c r="AC61" s="13">
        <f t="shared" si="9"/>
        <v>463</v>
      </c>
    </row>
    <row r="62" ht="12.75" customHeight="1">
      <c r="A62" s="57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13">
        <f t="shared" si="9"/>
        <v>0</v>
      </c>
    </row>
    <row r="63" ht="12.75" customHeight="1">
      <c r="A63" s="30" t="s">
        <v>37</v>
      </c>
      <c r="B63" s="47" t="s">
        <v>21</v>
      </c>
      <c r="C63" s="48" t="s">
        <v>54</v>
      </c>
      <c r="D63" s="16"/>
      <c r="E63" s="19">
        <v>4.0</v>
      </c>
      <c r="F63" s="19">
        <v>6.0</v>
      </c>
      <c r="G63" s="19">
        <v>3.0</v>
      </c>
      <c r="H63" s="19">
        <v>12.0</v>
      </c>
      <c r="I63" s="19">
        <v>11.0</v>
      </c>
      <c r="J63" s="19">
        <v>2.0</v>
      </c>
      <c r="K63" s="19">
        <v>2.0</v>
      </c>
      <c r="L63" s="19">
        <v>2.0</v>
      </c>
      <c r="M63" s="19">
        <v>2.0</v>
      </c>
      <c r="N63" s="19">
        <v>5.0</v>
      </c>
      <c r="O63" s="19">
        <v>2.0</v>
      </c>
      <c r="P63" s="19">
        <v>2.0</v>
      </c>
      <c r="Q63" s="19">
        <v>1.0</v>
      </c>
      <c r="R63" s="19">
        <v>14.0</v>
      </c>
      <c r="S63" s="19">
        <v>2.0</v>
      </c>
      <c r="T63" s="19">
        <v>3.0</v>
      </c>
      <c r="U63" s="19">
        <v>3.0</v>
      </c>
      <c r="V63" s="19">
        <v>6.0</v>
      </c>
      <c r="W63" s="19">
        <v>6.0</v>
      </c>
      <c r="X63" s="19">
        <v>4.0</v>
      </c>
      <c r="Y63" s="19">
        <v>4.0</v>
      </c>
      <c r="Z63" s="19">
        <v>5.0</v>
      </c>
      <c r="AA63" s="19">
        <v>1.0</v>
      </c>
      <c r="AB63" s="19">
        <v>2.0</v>
      </c>
      <c r="AC63" s="13">
        <f t="shared" si="9"/>
        <v>104</v>
      </c>
    </row>
    <row r="64" ht="12.75" customHeight="1">
      <c r="A64" s="30" t="s">
        <v>39</v>
      </c>
      <c r="B64" s="49">
        <v>1.0</v>
      </c>
      <c r="C64" s="50" t="s">
        <v>55</v>
      </c>
      <c r="D64" s="51"/>
      <c r="E64" s="19">
        <v>4.0</v>
      </c>
      <c r="F64" s="19">
        <v>4.0</v>
      </c>
      <c r="G64" s="19">
        <v>3.0</v>
      </c>
      <c r="H64" s="19">
        <v>5.0</v>
      </c>
      <c r="I64" s="19">
        <v>27.0</v>
      </c>
      <c r="J64" s="19">
        <v>7.0</v>
      </c>
      <c r="K64" s="19">
        <v>11.0</v>
      </c>
      <c r="L64" s="19">
        <v>7.0</v>
      </c>
      <c r="M64" s="19">
        <v>5.0</v>
      </c>
      <c r="N64" s="19">
        <v>3.0</v>
      </c>
      <c r="O64" s="19">
        <v>8.0</v>
      </c>
      <c r="P64" s="19">
        <v>1.0</v>
      </c>
      <c r="Q64" s="19">
        <v>1.0</v>
      </c>
      <c r="R64" s="19">
        <v>6.0</v>
      </c>
      <c r="S64" s="19">
        <v>2.0</v>
      </c>
      <c r="T64" s="19">
        <v>2.0</v>
      </c>
      <c r="U64" s="19">
        <v>5.0</v>
      </c>
      <c r="V64" s="19">
        <v>9.0</v>
      </c>
      <c r="W64" s="19">
        <v>27.0</v>
      </c>
      <c r="X64" s="19">
        <v>54.0</v>
      </c>
      <c r="Y64" s="19">
        <v>13.0</v>
      </c>
      <c r="Z64" s="19">
        <v>4.0</v>
      </c>
      <c r="AA64" s="19">
        <v>0.0</v>
      </c>
      <c r="AB64" s="19">
        <v>3.0</v>
      </c>
      <c r="AC64" s="13">
        <f t="shared" si="9"/>
        <v>211</v>
      </c>
    </row>
    <row r="65" ht="12.75" customHeight="1">
      <c r="A65" s="18"/>
      <c r="B65" s="49">
        <v>2.0</v>
      </c>
      <c r="C65" s="50" t="s">
        <v>56</v>
      </c>
      <c r="D65" s="51"/>
      <c r="E65" s="19">
        <v>10.0</v>
      </c>
      <c r="F65" s="19">
        <v>7.0</v>
      </c>
      <c r="G65" s="19">
        <v>12.0</v>
      </c>
      <c r="H65" s="19">
        <v>30.0</v>
      </c>
      <c r="I65" s="19">
        <v>15.0</v>
      </c>
      <c r="J65" s="19">
        <v>4.0</v>
      </c>
      <c r="K65" s="19">
        <v>2.0</v>
      </c>
      <c r="L65" s="19">
        <v>5.0</v>
      </c>
      <c r="M65" s="19">
        <v>8.0</v>
      </c>
      <c r="N65" s="19">
        <v>6.0</v>
      </c>
      <c r="O65" s="19">
        <v>9.0</v>
      </c>
      <c r="P65" s="19">
        <v>3.0</v>
      </c>
      <c r="Q65" s="19">
        <v>1.0</v>
      </c>
      <c r="R65" s="19">
        <v>25.0</v>
      </c>
      <c r="S65" s="19">
        <v>15.0</v>
      </c>
      <c r="T65" s="19">
        <v>22.0</v>
      </c>
      <c r="U65" s="19">
        <v>19.0</v>
      </c>
      <c r="V65" s="19">
        <v>20.0</v>
      </c>
      <c r="W65" s="19">
        <v>28.0</v>
      </c>
      <c r="X65" s="19">
        <v>9.0</v>
      </c>
      <c r="Y65" s="19">
        <v>10.0</v>
      </c>
      <c r="Z65" s="19">
        <v>20.0</v>
      </c>
      <c r="AA65" s="19">
        <v>0.0</v>
      </c>
      <c r="AB65" s="19">
        <v>6.0</v>
      </c>
      <c r="AC65" s="13">
        <f t="shared" si="9"/>
        <v>286</v>
      </c>
    </row>
    <row r="66" ht="12.75" customHeight="1">
      <c r="A66" s="18"/>
      <c r="B66" s="49">
        <v>3.0</v>
      </c>
      <c r="C66" s="50" t="s">
        <v>57</v>
      </c>
      <c r="D66" s="51"/>
      <c r="E66" s="19">
        <v>0.0</v>
      </c>
      <c r="F66" s="19">
        <v>0.0</v>
      </c>
      <c r="G66" s="19">
        <v>2.0</v>
      </c>
      <c r="H66" s="19">
        <v>2.0</v>
      </c>
      <c r="I66" s="19">
        <v>1.0</v>
      </c>
      <c r="J66" s="19">
        <v>2.0</v>
      </c>
      <c r="K66" s="19">
        <v>1.0</v>
      </c>
      <c r="L66" s="19">
        <v>4.0</v>
      </c>
      <c r="M66" s="19">
        <v>15.0</v>
      </c>
      <c r="N66" s="19">
        <v>6.0</v>
      </c>
      <c r="O66" s="19">
        <v>1.0</v>
      </c>
      <c r="P66" s="19">
        <v>3.0</v>
      </c>
      <c r="Q66" s="19">
        <v>7.0</v>
      </c>
      <c r="R66" s="19">
        <v>8.0</v>
      </c>
      <c r="S66" s="19">
        <v>6.0</v>
      </c>
      <c r="T66" s="19">
        <v>2.0</v>
      </c>
      <c r="U66" s="19">
        <v>7.0</v>
      </c>
      <c r="V66" s="19">
        <v>1.0</v>
      </c>
      <c r="W66" s="19">
        <v>1.0</v>
      </c>
      <c r="X66" s="19">
        <v>1.0</v>
      </c>
      <c r="Y66" s="19">
        <v>1.0</v>
      </c>
      <c r="Z66" s="19">
        <v>5.0</v>
      </c>
      <c r="AA66" s="19">
        <v>0.0</v>
      </c>
      <c r="AB66" s="19">
        <v>3.0</v>
      </c>
      <c r="AC66" s="13">
        <f t="shared" si="9"/>
        <v>79</v>
      </c>
    </row>
    <row r="67" ht="15.0" customHeight="1">
      <c r="A67" s="18"/>
      <c r="B67" s="49">
        <v>4.0</v>
      </c>
      <c r="C67" s="50" t="s">
        <v>58</v>
      </c>
      <c r="D67" s="51"/>
      <c r="E67" s="19">
        <v>0.0</v>
      </c>
      <c r="F67" s="19">
        <v>0.0</v>
      </c>
      <c r="G67" s="19">
        <v>1.0</v>
      </c>
      <c r="H67" s="19">
        <v>0.0</v>
      </c>
      <c r="I67" s="19">
        <v>0.0</v>
      </c>
      <c r="J67" s="19">
        <v>2.0</v>
      </c>
      <c r="K67" s="19">
        <v>0.0</v>
      </c>
      <c r="L67" s="19">
        <v>0.0</v>
      </c>
      <c r="M67" s="19">
        <v>2.0</v>
      </c>
      <c r="N67" s="19">
        <v>0.0</v>
      </c>
      <c r="O67" s="19">
        <v>0.0</v>
      </c>
      <c r="P67" s="19">
        <v>0.0</v>
      </c>
      <c r="Q67" s="19">
        <v>0.0</v>
      </c>
      <c r="R67" s="19">
        <v>0.0</v>
      </c>
      <c r="S67" s="19">
        <v>2.0</v>
      </c>
      <c r="T67" s="19">
        <v>1.0</v>
      </c>
      <c r="U67" s="19">
        <v>0.0</v>
      </c>
      <c r="V67" s="19">
        <v>11.0</v>
      </c>
      <c r="W67" s="19">
        <v>0.0</v>
      </c>
      <c r="X67" s="19">
        <v>0.0</v>
      </c>
      <c r="Y67" s="19">
        <v>0.0</v>
      </c>
      <c r="Z67" s="19">
        <v>1.0</v>
      </c>
      <c r="AA67" s="19">
        <v>0.0</v>
      </c>
      <c r="AB67" s="19">
        <v>0.0</v>
      </c>
      <c r="AC67" s="13">
        <f t="shared" si="9"/>
        <v>20</v>
      </c>
    </row>
    <row r="68" ht="12.75" customHeight="1">
      <c r="A68" s="18"/>
      <c r="B68" s="49">
        <v>5.0</v>
      </c>
      <c r="C68" s="50" t="s">
        <v>59</v>
      </c>
      <c r="D68" s="51"/>
      <c r="E68" s="19">
        <v>1.0</v>
      </c>
      <c r="F68" s="19">
        <v>1.0</v>
      </c>
      <c r="G68" s="19">
        <v>1.0</v>
      </c>
      <c r="H68" s="19">
        <v>0.0</v>
      </c>
      <c r="I68" s="19">
        <v>0.0</v>
      </c>
      <c r="J68" s="19">
        <v>1.0</v>
      </c>
      <c r="K68" s="19">
        <v>0.0</v>
      </c>
      <c r="L68" s="19">
        <v>0.0</v>
      </c>
      <c r="M68" s="19">
        <v>0.0</v>
      </c>
      <c r="N68" s="19">
        <v>1.0</v>
      </c>
      <c r="O68" s="19">
        <v>0.0</v>
      </c>
      <c r="P68" s="19">
        <v>0.0</v>
      </c>
      <c r="Q68" s="19">
        <v>0.0</v>
      </c>
      <c r="R68" s="19">
        <v>0.0</v>
      </c>
      <c r="S68" s="19">
        <v>0.0</v>
      </c>
      <c r="T68" s="19">
        <v>0.0</v>
      </c>
      <c r="U68" s="19">
        <v>0.0</v>
      </c>
      <c r="V68" s="19">
        <v>0.0</v>
      </c>
      <c r="W68" s="19">
        <v>1.0</v>
      </c>
      <c r="X68" s="19">
        <v>0.0</v>
      </c>
      <c r="Y68" s="19">
        <v>0.0</v>
      </c>
      <c r="Z68" s="19">
        <v>1.0</v>
      </c>
      <c r="AA68" s="19">
        <v>0.0</v>
      </c>
      <c r="AB68" s="19">
        <v>0.0</v>
      </c>
      <c r="AC68" s="13">
        <f t="shared" si="9"/>
        <v>7</v>
      </c>
    </row>
    <row r="69" ht="12.75" customHeight="1">
      <c r="A69" s="18"/>
      <c r="B69" s="49">
        <v>6.0</v>
      </c>
      <c r="C69" s="50" t="s">
        <v>60</v>
      </c>
      <c r="D69" s="51"/>
      <c r="E69" s="19">
        <v>0.0</v>
      </c>
      <c r="F69" s="19">
        <v>0.0</v>
      </c>
      <c r="G69" s="19">
        <v>0.0</v>
      </c>
      <c r="H69" s="19">
        <v>0.0</v>
      </c>
      <c r="I69" s="19">
        <v>0.0</v>
      </c>
      <c r="J69" s="19">
        <v>1.0</v>
      </c>
      <c r="K69" s="19">
        <v>1.0</v>
      </c>
      <c r="L69" s="19">
        <v>0.0</v>
      </c>
      <c r="M69" s="19">
        <v>0.0</v>
      </c>
      <c r="N69" s="19">
        <v>0.0</v>
      </c>
      <c r="O69" s="19">
        <v>0.0</v>
      </c>
      <c r="P69" s="19">
        <v>0.0</v>
      </c>
      <c r="Q69" s="19">
        <v>0.0</v>
      </c>
      <c r="R69" s="19">
        <v>0.0</v>
      </c>
      <c r="S69" s="19">
        <v>0.0</v>
      </c>
      <c r="T69" s="19">
        <v>0.0</v>
      </c>
      <c r="U69" s="19">
        <v>0.0</v>
      </c>
      <c r="V69" s="19">
        <v>0.0</v>
      </c>
      <c r="W69" s="19">
        <v>0.0</v>
      </c>
      <c r="X69" s="19">
        <v>0.0</v>
      </c>
      <c r="Y69" s="19">
        <v>0.0</v>
      </c>
      <c r="Z69" s="19">
        <v>0.0</v>
      </c>
      <c r="AA69" s="19">
        <v>0.0</v>
      </c>
      <c r="AB69" s="19">
        <v>0.0</v>
      </c>
      <c r="AC69" s="13">
        <f t="shared" si="9"/>
        <v>2</v>
      </c>
    </row>
    <row r="70" ht="12.75" customHeight="1">
      <c r="A70" s="19" t="s">
        <v>15</v>
      </c>
      <c r="B70" s="47" t="s">
        <v>46</v>
      </c>
      <c r="C70" s="15"/>
      <c r="D70" s="16"/>
      <c r="E70" s="56">
        <f t="shared" ref="E70:AB70" si="12">SUM(E63:E69)</f>
        <v>19</v>
      </c>
      <c r="F70" s="56">
        <f t="shared" si="12"/>
        <v>18</v>
      </c>
      <c r="G70" s="56">
        <f t="shared" si="12"/>
        <v>22</v>
      </c>
      <c r="H70" s="56">
        <f t="shared" si="12"/>
        <v>49</v>
      </c>
      <c r="I70" s="56">
        <f t="shared" si="12"/>
        <v>54</v>
      </c>
      <c r="J70" s="56">
        <f t="shared" si="12"/>
        <v>19</v>
      </c>
      <c r="K70" s="56">
        <f t="shared" si="12"/>
        <v>17</v>
      </c>
      <c r="L70" s="56">
        <f t="shared" si="12"/>
        <v>18</v>
      </c>
      <c r="M70" s="56">
        <f t="shared" si="12"/>
        <v>32</v>
      </c>
      <c r="N70" s="56">
        <f t="shared" si="12"/>
        <v>21</v>
      </c>
      <c r="O70" s="56">
        <f t="shared" si="12"/>
        <v>20</v>
      </c>
      <c r="P70" s="56">
        <f t="shared" si="12"/>
        <v>9</v>
      </c>
      <c r="Q70" s="56">
        <f t="shared" si="12"/>
        <v>10</v>
      </c>
      <c r="R70" s="56">
        <f t="shared" si="12"/>
        <v>53</v>
      </c>
      <c r="S70" s="56">
        <f t="shared" si="12"/>
        <v>27</v>
      </c>
      <c r="T70" s="56">
        <f t="shared" si="12"/>
        <v>30</v>
      </c>
      <c r="U70" s="56">
        <f t="shared" si="12"/>
        <v>34</v>
      </c>
      <c r="V70" s="56">
        <f t="shared" si="12"/>
        <v>47</v>
      </c>
      <c r="W70" s="56">
        <f t="shared" si="12"/>
        <v>63</v>
      </c>
      <c r="X70" s="56">
        <f t="shared" si="12"/>
        <v>68</v>
      </c>
      <c r="Y70" s="56">
        <f t="shared" si="12"/>
        <v>28</v>
      </c>
      <c r="Z70" s="56">
        <f t="shared" si="12"/>
        <v>36</v>
      </c>
      <c r="AA70" s="56">
        <f t="shared" si="12"/>
        <v>1</v>
      </c>
      <c r="AB70" s="56">
        <f t="shared" si="12"/>
        <v>14</v>
      </c>
      <c r="AC70" s="13">
        <f t="shared" si="9"/>
        <v>709</v>
      </c>
    </row>
    <row r="71" ht="12.75" customHeight="1">
      <c r="A71" s="57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13">
        <f t="shared" si="9"/>
        <v>0</v>
      </c>
    </row>
    <row r="72" ht="12.75" customHeight="1">
      <c r="A72" s="30" t="s">
        <v>37</v>
      </c>
      <c r="B72" s="47" t="s">
        <v>23</v>
      </c>
      <c r="C72" s="48" t="s">
        <v>61</v>
      </c>
      <c r="D72" s="16"/>
      <c r="E72" s="19">
        <v>6.0</v>
      </c>
      <c r="F72" s="19">
        <v>7.0</v>
      </c>
      <c r="G72" s="19">
        <v>4.0</v>
      </c>
      <c r="H72" s="19">
        <v>12.0</v>
      </c>
      <c r="I72" s="19">
        <v>6.0</v>
      </c>
      <c r="J72" s="19">
        <v>2.0</v>
      </c>
      <c r="K72" s="19">
        <v>7.0</v>
      </c>
      <c r="L72" s="19">
        <v>12.0</v>
      </c>
      <c r="M72" s="19">
        <v>4.0</v>
      </c>
      <c r="N72" s="19">
        <v>5.0</v>
      </c>
      <c r="O72" s="19">
        <v>1.0</v>
      </c>
      <c r="P72" s="19">
        <v>2.0</v>
      </c>
      <c r="Q72" s="19">
        <v>3.0</v>
      </c>
      <c r="R72" s="19">
        <v>3.0</v>
      </c>
      <c r="S72" s="19">
        <v>4.0</v>
      </c>
      <c r="T72" s="19">
        <v>7.0</v>
      </c>
      <c r="U72" s="19">
        <v>5.0</v>
      </c>
      <c r="V72" s="19">
        <v>3.0</v>
      </c>
      <c r="W72" s="19">
        <v>2.0</v>
      </c>
      <c r="X72" s="19">
        <v>2.0</v>
      </c>
      <c r="Y72" s="19">
        <v>12.0</v>
      </c>
      <c r="Z72" s="19">
        <v>7.0</v>
      </c>
      <c r="AA72" s="19">
        <v>1.0</v>
      </c>
      <c r="AB72" s="19">
        <v>3.0</v>
      </c>
      <c r="AC72" s="13">
        <f t="shared" si="9"/>
        <v>120</v>
      </c>
    </row>
    <row r="73" ht="12.75" customHeight="1">
      <c r="A73" s="30" t="s">
        <v>39</v>
      </c>
      <c r="B73" s="49">
        <v>1.0</v>
      </c>
      <c r="C73" s="50" t="s">
        <v>62</v>
      </c>
      <c r="D73" s="51"/>
      <c r="E73" s="19">
        <v>14.0</v>
      </c>
      <c r="F73" s="19">
        <v>16.0</v>
      </c>
      <c r="G73" s="19">
        <v>32.0</v>
      </c>
      <c r="H73" s="19">
        <v>21.0</v>
      </c>
      <c r="I73" s="19">
        <v>31.0</v>
      </c>
      <c r="J73" s="19">
        <v>24.0</v>
      </c>
      <c r="K73" s="19">
        <v>51.0</v>
      </c>
      <c r="L73" s="19">
        <v>72.0</v>
      </c>
      <c r="M73" s="19">
        <v>53.0</v>
      </c>
      <c r="N73" s="19">
        <v>5.0</v>
      </c>
      <c r="O73" s="19">
        <v>32.0</v>
      </c>
      <c r="P73" s="19">
        <v>12.0</v>
      </c>
      <c r="Q73" s="19">
        <v>70.0</v>
      </c>
      <c r="R73" s="19">
        <v>62.0</v>
      </c>
      <c r="S73" s="19">
        <v>20.0</v>
      </c>
      <c r="T73" s="19">
        <v>17.0</v>
      </c>
      <c r="U73" s="19">
        <v>11.0</v>
      </c>
      <c r="V73" s="19">
        <v>12.0</v>
      </c>
      <c r="W73" s="19">
        <v>6.0</v>
      </c>
      <c r="X73" s="19">
        <v>6.0</v>
      </c>
      <c r="Y73" s="19">
        <v>56.0</v>
      </c>
      <c r="Z73" s="19">
        <v>46.0</v>
      </c>
      <c r="AA73" s="19">
        <v>14.0</v>
      </c>
      <c r="AB73" s="19">
        <v>13.0</v>
      </c>
      <c r="AC73" s="13">
        <f t="shared" si="9"/>
        <v>696</v>
      </c>
    </row>
    <row r="74" ht="12.75" customHeight="1">
      <c r="A74" s="18"/>
      <c r="B74" s="49">
        <v>2.0</v>
      </c>
      <c r="C74" s="50" t="s">
        <v>63</v>
      </c>
      <c r="D74" s="51"/>
      <c r="E74" s="19">
        <v>0.0</v>
      </c>
      <c r="F74" s="19">
        <v>0.0</v>
      </c>
      <c r="G74" s="19">
        <v>0.0</v>
      </c>
      <c r="H74" s="19">
        <v>1.0</v>
      </c>
      <c r="I74" s="19">
        <v>2.0</v>
      </c>
      <c r="J74" s="19">
        <v>0.0</v>
      </c>
      <c r="K74" s="19">
        <v>0.0</v>
      </c>
      <c r="L74" s="19">
        <v>0.0</v>
      </c>
      <c r="M74" s="19">
        <v>1.0</v>
      </c>
      <c r="N74" s="19">
        <v>1.0</v>
      </c>
      <c r="O74" s="19">
        <v>0.0</v>
      </c>
      <c r="P74" s="19">
        <v>0.0</v>
      </c>
      <c r="Q74" s="19">
        <v>0.0</v>
      </c>
      <c r="R74" s="19">
        <v>1.0</v>
      </c>
      <c r="S74" s="19">
        <v>1.0</v>
      </c>
      <c r="T74" s="19">
        <v>1.0</v>
      </c>
      <c r="U74" s="19">
        <v>0.0</v>
      </c>
      <c r="V74" s="19">
        <v>1.0</v>
      </c>
      <c r="W74" s="19">
        <v>0.0</v>
      </c>
      <c r="X74" s="19">
        <v>2.0</v>
      </c>
      <c r="Y74" s="19">
        <v>1.0</v>
      </c>
      <c r="Z74" s="19">
        <v>0.0</v>
      </c>
      <c r="AA74" s="19">
        <v>1.0</v>
      </c>
      <c r="AB74" s="19">
        <v>0.0</v>
      </c>
      <c r="AC74" s="13">
        <f t="shared" si="9"/>
        <v>13</v>
      </c>
    </row>
    <row r="75" ht="12.75" customHeight="1">
      <c r="A75" s="18"/>
      <c r="B75" s="49">
        <v>3.0</v>
      </c>
      <c r="C75" s="50" t="s">
        <v>64</v>
      </c>
      <c r="D75" s="51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1.0</v>
      </c>
      <c r="K75" s="19">
        <v>0.0</v>
      </c>
      <c r="L75" s="19">
        <v>0.0</v>
      </c>
      <c r="M75" s="19">
        <v>1.0</v>
      </c>
      <c r="N75" s="19">
        <v>0.0</v>
      </c>
      <c r="O75" s="19">
        <v>0.0</v>
      </c>
      <c r="P75" s="19">
        <v>0.0</v>
      </c>
      <c r="Q75" s="19">
        <v>1.0</v>
      </c>
      <c r="R75" s="19">
        <v>0.0</v>
      </c>
      <c r="S75" s="19">
        <v>0.0</v>
      </c>
      <c r="T75" s="19">
        <v>0.0</v>
      </c>
      <c r="U75" s="19">
        <v>0.0</v>
      </c>
      <c r="V75" s="19">
        <v>0.0</v>
      </c>
      <c r="W75" s="19">
        <v>1.0</v>
      </c>
      <c r="X75" s="19">
        <v>0.0</v>
      </c>
      <c r="Y75" s="19">
        <v>1.0</v>
      </c>
      <c r="Z75" s="19">
        <v>0.0</v>
      </c>
      <c r="AA75" s="19">
        <v>0.0</v>
      </c>
      <c r="AB75" s="19">
        <v>0.0</v>
      </c>
      <c r="AC75" s="13">
        <f t="shared" si="9"/>
        <v>5</v>
      </c>
    </row>
    <row r="76" ht="12.75" customHeight="1">
      <c r="A76" s="18"/>
      <c r="B76" s="49">
        <v>4.0</v>
      </c>
      <c r="C76" s="50" t="s">
        <v>65</v>
      </c>
      <c r="D76" s="51"/>
      <c r="E76" s="19">
        <v>1.0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1.0</v>
      </c>
      <c r="N76" s="19">
        <v>0.0</v>
      </c>
      <c r="O76" s="19">
        <v>1.0</v>
      </c>
      <c r="P76" s="19">
        <v>0.0</v>
      </c>
      <c r="Q76" s="19">
        <v>0.0</v>
      </c>
      <c r="R76" s="19">
        <v>0.0</v>
      </c>
      <c r="S76" s="19">
        <v>0.0</v>
      </c>
      <c r="T76" s="19">
        <v>0.0</v>
      </c>
      <c r="U76" s="19">
        <v>0.0</v>
      </c>
      <c r="V76" s="19">
        <v>0.0</v>
      </c>
      <c r="W76" s="19">
        <v>0.0</v>
      </c>
      <c r="X76" s="19">
        <v>0.0</v>
      </c>
      <c r="Y76" s="19">
        <v>1.0</v>
      </c>
      <c r="Z76" s="19">
        <v>0.0</v>
      </c>
      <c r="AA76" s="19">
        <v>0.0</v>
      </c>
      <c r="AB76" s="19">
        <v>0.0</v>
      </c>
      <c r="AC76" s="13">
        <f t="shared" si="9"/>
        <v>4</v>
      </c>
    </row>
    <row r="77" ht="12.75" customHeight="1">
      <c r="A77" s="18"/>
      <c r="B77" s="49">
        <v>5.0</v>
      </c>
      <c r="C77" s="50" t="s">
        <v>66</v>
      </c>
      <c r="D77" s="51"/>
      <c r="E77" s="19">
        <v>0.0</v>
      </c>
      <c r="F77" s="19">
        <v>0.0</v>
      </c>
      <c r="G77" s="19">
        <v>0.0</v>
      </c>
      <c r="H77" s="19">
        <v>0.0</v>
      </c>
      <c r="I77" s="19">
        <v>0.0</v>
      </c>
      <c r="J77" s="19">
        <v>0.0</v>
      </c>
      <c r="K77" s="19">
        <v>0.0</v>
      </c>
      <c r="L77" s="19">
        <v>1.0</v>
      </c>
      <c r="M77" s="19">
        <v>0.0</v>
      </c>
      <c r="N77" s="19">
        <v>0.0</v>
      </c>
      <c r="O77" s="19">
        <v>1.0</v>
      </c>
      <c r="P77" s="19">
        <v>0.0</v>
      </c>
      <c r="Q77" s="19">
        <v>0.0</v>
      </c>
      <c r="R77" s="19">
        <v>0.0</v>
      </c>
      <c r="S77" s="19">
        <v>0.0</v>
      </c>
      <c r="T77" s="19">
        <v>0.0</v>
      </c>
      <c r="U77" s="19">
        <v>0.0</v>
      </c>
      <c r="V77" s="19">
        <v>0.0</v>
      </c>
      <c r="W77" s="19">
        <v>0.0</v>
      </c>
      <c r="X77" s="19">
        <v>0.0</v>
      </c>
      <c r="Y77" s="19">
        <v>0.0</v>
      </c>
      <c r="Z77" s="19">
        <v>2.0</v>
      </c>
      <c r="AA77" s="19">
        <v>1.0</v>
      </c>
      <c r="AB77" s="19">
        <v>0.0</v>
      </c>
      <c r="AC77" s="13">
        <f t="shared" si="9"/>
        <v>5</v>
      </c>
    </row>
    <row r="78" ht="12.75" customHeight="1">
      <c r="A78" s="18"/>
      <c r="B78" s="49">
        <v>6.0</v>
      </c>
      <c r="C78" s="50" t="s">
        <v>67</v>
      </c>
      <c r="D78" s="51"/>
      <c r="E78" s="19">
        <v>0.0</v>
      </c>
      <c r="F78" s="19">
        <v>0.0</v>
      </c>
      <c r="G78" s="19">
        <v>0.0</v>
      </c>
      <c r="H78" s="19">
        <v>0.0</v>
      </c>
      <c r="I78" s="19">
        <v>0.0</v>
      </c>
      <c r="J78" s="19">
        <v>0.0</v>
      </c>
      <c r="K78" s="19">
        <v>0.0</v>
      </c>
      <c r="L78" s="19">
        <v>0.0</v>
      </c>
      <c r="M78" s="19">
        <v>0.0</v>
      </c>
      <c r="N78" s="19">
        <v>0.0</v>
      </c>
      <c r="O78" s="19">
        <v>0.0</v>
      </c>
      <c r="P78" s="19">
        <v>0.0</v>
      </c>
      <c r="Q78" s="19">
        <v>0.0</v>
      </c>
      <c r="R78" s="19">
        <v>1.0</v>
      </c>
      <c r="S78" s="19">
        <v>0.0</v>
      </c>
      <c r="T78" s="19">
        <v>0.0</v>
      </c>
      <c r="U78" s="19">
        <v>0.0</v>
      </c>
      <c r="V78" s="19">
        <v>0.0</v>
      </c>
      <c r="W78" s="19">
        <v>0.0</v>
      </c>
      <c r="X78" s="19">
        <v>0.0</v>
      </c>
      <c r="Y78" s="19">
        <v>0.0</v>
      </c>
      <c r="Z78" s="19">
        <v>0.0</v>
      </c>
      <c r="AA78" s="19">
        <v>0.0</v>
      </c>
      <c r="AB78" s="19">
        <v>0.0</v>
      </c>
      <c r="AC78" s="13">
        <f t="shared" si="9"/>
        <v>1</v>
      </c>
    </row>
    <row r="79" ht="15.0" customHeight="1">
      <c r="A79" s="19" t="s">
        <v>15</v>
      </c>
      <c r="B79" s="47" t="s">
        <v>46</v>
      </c>
      <c r="C79" s="15"/>
      <c r="D79" s="16"/>
      <c r="E79" s="56">
        <f t="shared" ref="E79:AB79" si="13">SUM(E72:E78)</f>
        <v>21</v>
      </c>
      <c r="F79" s="56">
        <f t="shared" si="13"/>
        <v>23</v>
      </c>
      <c r="G79" s="56">
        <f t="shared" si="13"/>
        <v>36</v>
      </c>
      <c r="H79" s="56">
        <f t="shared" si="13"/>
        <v>34</v>
      </c>
      <c r="I79" s="56">
        <f t="shared" si="13"/>
        <v>39</v>
      </c>
      <c r="J79" s="56">
        <f t="shared" si="13"/>
        <v>27</v>
      </c>
      <c r="K79" s="56">
        <f t="shared" si="13"/>
        <v>58</v>
      </c>
      <c r="L79" s="56">
        <f t="shared" si="13"/>
        <v>85</v>
      </c>
      <c r="M79" s="56">
        <f t="shared" si="13"/>
        <v>60</v>
      </c>
      <c r="N79" s="56">
        <f t="shared" si="13"/>
        <v>11</v>
      </c>
      <c r="O79" s="56">
        <f t="shared" si="13"/>
        <v>35</v>
      </c>
      <c r="P79" s="56">
        <f t="shared" si="13"/>
        <v>14</v>
      </c>
      <c r="Q79" s="56">
        <f t="shared" si="13"/>
        <v>74</v>
      </c>
      <c r="R79" s="56">
        <f t="shared" si="13"/>
        <v>67</v>
      </c>
      <c r="S79" s="56">
        <f t="shared" si="13"/>
        <v>25</v>
      </c>
      <c r="T79" s="56">
        <f t="shared" si="13"/>
        <v>25</v>
      </c>
      <c r="U79" s="56">
        <f t="shared" si="13"/>
        <v>16</v>
      </c>
      <c r="V79" s="56">
        <f t="shared" si="13"/>
        <v>16</v>
      </c>
      <c r="W79" s="56">
        <f t="shared" si="13"/>
        <v>9</v>
      </c>
      <c r="X79" s="56">
        <f t="shared" si="13"/>
        <v>10</v>
      </c>
      <c r="Y79" s="56">
        <f t="shared" si="13"/>
        <v>71</v>
      </c>
      <c r="Z79" s="56">
        <f t="shared" si="13"/>
        <v>55</v>
      </c>
      <c r="AA79" s="56">
        <f t="shared" si="13"/>
        <v>17</v>
      </c>
      <c r="AB79" s="56">
        <f t="shared" si="13"/>
        <v>16</v>
      </c>
      <c r="AC79" s="13">
        <f t="shared" si="9"/>
        <v>844</v>
      </c>
    </row>
    <row r="80" ht="12.75" customHeight="1">
      <c r="A80" s="57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13">
        <f t="shared" si="9"/>
        <v>0</v>
      </c>
    </row>
    <row r="81" ht="12.75" customHeight="1">
      <c r="A81" s="30" t="s">
        <v>37</v>
      </c>
      <c r="B81" s="47" t="s">
        <v>68</v>
      </c>
      <c r="C81" s="48" t="s">
        <v>69</v>
      </c>
      <c r="D81" s="16"/>
      <c r="E81" s="19">
        <v>0.0</v>
      </c>
      <c r="F81" s="19">
        <v>0.0</v>
      </c>
      <c r="G81" s="19">
        <v>0.0</v>
      </c>
      <c r="H81" s="19">
        <v>1.0</v>
      </c>
      <c r="I81" s="19">
        <v>0.0</v>
      </c>
      <c r="J81" s="19">
        <v>1.0</v>
      </c>
      <c r="K81" s="19">
        <v>2.0</v>
      </c>
      <c r="L81" s="19">
        <v>0.0</v>
      </c>
      <c r="M81" s="19">
        <v>3.0</v>
      </c>
      <c r="N81" s="19">
        <v>3.0</v>
      </c>
      <c r="O81" s="19">
        <v>0.0</v>
      </c>
      <c r="P81" s="19">
        <v>1.0</v>
      </c>
      <c r="Q81" s="19">
        <v>0.0</v>
      </c>
      <c r="R81" s="19">
        <v>2.0</v>
      </c>
      <c r="S81" s="19">
        <v>0.0</v>
      </c>
      <c r="T81" s="19">
        <v>4.0</v>
      </c>
      <c r="U81" s="19">
        <v>2.0</v>
      </c>
      <c r="V81" s="19">
        <v>0.0</v>
      </c>
      <c r="W81" s="19">
        <v>1.0</v>
      </c>
      <c r="X81" s="19">
        <v>0.0</v>
      </c>
      <c r="Y81" s="19">
        <v>1.0</v>
      </c>
      <c r="Z81" s="19">
        <v>0.0</v>
      </c>
      <c r="AA81" s="19">
        <v>1.0</v>
      </c>
      <c r="AB81" s="19">
        <v>0.0</v>
      </c>
      <c r="AC81" s="13">
        <f t="shared" si="9"/>
        <v>22</v>
      </c>
    </row>
    <row r="82" ht="12.75" customHeight="1">
      <c r="A82" s="30" t="s">
        <v>39</v>
      </c>
      <c r="B82" s="49">
        <v>1.0</v>
      </c>
      <c r="C82" s="50" t="s">
        <v>70</v>
      </c>
      <c r="D82" s="51"/>
      <c r="E82" s="19">
        <v>0.0</v>
      </c>
      <c r="F82" s="19">
        <v>0.0</v>
      </c>
      <c r="G82" s="19">
        <v>3.0</v>
      </c>
      <c r="H82" s="19">
        <v>2.0</v>
      </c>
      <c r="I82" s="19">
        <v>2.0</v>
      </c>
      <c r="J82" s="19">
        <v>4.0</v>
      </c>
      <c r="K82" s="19">
        <v>2.0</v>
      </c>
      <c r="L82" s="19">
        <v>1.0</v>
      </c>
      <c r="M82" s="19">
        <v>1.0</v>
      </c>
      <c r="N82" s="19">
        <v>9.0</v>
      </c>
      <c r="O82" s="19">
        <v>0.0</v>
      </c>
      <c r="P82" s="19">
        <v>1.0</v>
      </c>
      <c r="Q82" s="19">
        <v>0.0</v>
      </c>
      <c r="R82" s="19">
        <v>2.0</v>
      </c>
      <c r="S82" s="19">
        <v>39.0</v>
      </c>
      <c r="T82" s="19">
        <v>19.0</v>
      </c>
      <c r="U82" s="19">
        <v>11.0</v>
      </c>
      <c r="V82" s="19">
        <v>24.0</v>
      </c>
      <c r="W82" s="19">
        <v>8.0</v>
      </c>
      <c r="X82" s="19">
        <v>10.0</v>
      </c>
      <c r="Y82" s="19">
        <v>4.0</v>
      </c>
      <c r="Z82" s="19">
        <v>0.0</v>
      </c>
      <c r="AA82" s="19">
        <v>0.0</v>
      </c>
      <c r="AB82" s="19">
        <v>0.0</v>
      </c>
      <c r="AC82" s="13">
        <f t="shared" si="9"/>
        <v>142</v>
      </c>
    </row>
    <row r="83" ht="12.75" customHeight="1">
      <c r="A83" s="18"/>
      <c r="B83" s="49">
        <v>2.0</v>
      </c>
      <c r="C83" s="50" t="s">
        <v>71</v>
      </c>
      <c r="D83" s="51"/>
      <c r="E83" s="19">
        <v>0.0</v>
      </c>
      <c r="F83" s="19">
        <v>1.0</v>
      </c>
      <c r="G83" s="19">
        <v>0.0</v>
      </c>
      <c r="H83" s="19">
        <v>0.0</v>
      </c>
      <c r="I83" s="19">
        <v>0.0</v>
      </c>
      <c r="J83" s="19">
        <v>2.0</v>
      </c>
      <c r="K83" s="19">
        <v>0.0</v>
      </c>
      <c r="L83" s="19">
        <v>0.0</v>
      </c>
      <c r="M83" s="19">
        <v>0.0</v>
      </c>
      <c r="N83" s="19">
        <v>0.0</v>
      </c>
      <c r="O83" s="19">
        <v>1.0</v>
      </c>
      <c r="P83" s="19">
        <v>0.0</v>
      </c>
      <c r="Q83" s="19">
        <v>0.0</v>
      </c>
      <c r="R83" s="19">
        <v>0.0</v>
      </c>
      <c r="S83" s="19">
        <v>1.0</v>
      </c>
      <c r="T83" s="19">
        <v>0.0</v>
      </c>
      <c r="U83" s="19">
        <v>0.0</v>
      </c>
      <c r="V83" s="19">
        <v>1.0</v>
      </c>
      <c r="W83" s="19">
        <v>1.0</v>
      </c>
      <c r="X83" s="19">
        <v>0.0</v>
      </c>
      <c r="Y83" s="19">
        <v>0.0</v>
      </c>
      <c r="Z83" s="19">
        <v>0.0</v>
      </c>
      <c r="AA83" s="19">
        <v>0.0</v>
      </c>
      <c r="AB83" s="19">
        <v>0.0</v>
      </c>
      <c r="AC83" s="13">
        <f t="shared" si="9"/>
        <v>7</v>
      </c>
    </row>
    <row r="84" ht="12.75" customHeight="1">
      <c r="A84" s="18"/>
      <c r="B84" s="49">
        <v>3.0</v>
      </c>
      <c r="C84" s="50" t="s">
        <v>72</v>
      </c>
      <c r="D84" s="51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0.0</v>
      </c>
      <c r="S84" s="19">
        <v>0.0</v>
      </c>
      <c r="T84" s="19">
        <v>2.0</v>
      </c>
      <c r="U84" s="19">
        <v>0.0</v>
      </c>
      <c r="V84" s="19">
        <v>0.0</v>
      </c>
      <c r="W84" s="19">
        <v>1.0</v>
      </c>
      <c r="X84" s="19">
        <v>1.0</v>
      </c>
      <c r="Y84" s="19">
        <v>0.0</v>
      </c>
      <c r="Z84" s="19">
        <v>0.0</v>
      </c>
      <c r="AA84" s="19">
        <v>0.0</v>
      </c>
      <c r="AB84" s="19">
        <v>0.0</v>
      </c>
      <c r="AC84" s="13">
        <f t="shared" si="9"/>
        <v>4</v>
      </c>
    </row>
    <row r="85" ht="12.75" customHeight="1">
      <c r="A85" s="18"/>
      <c r="B85" s="49">
        <v>4.0</v>
      </c>
      <c r="C85" s="50" t="s">
        <v>73</v>
      </c>
      <c r="D85" s="51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0.0</v>
      </c>
      <c r="O85" s="19">
        <v>1.0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9">
        <v>0.0</v>
      </c>
      <c r="V85" s="19">
        <v>0.0</v>
      </c>
      <c r="W85" s="19">
        <v>0.0</v>
      </c>
      <c r="X85" s="19">
        <v>0.0</v>
      </c>
      <c r="Y85" s="19">
        <v>0.0</v>
      </c>
      <c r="Z85" s="19">
        <v>0.0</v>
      </c>
      <c r="AA85" s="19">
        <v>0.0</v>
      </c>
      <c r="AB85" s="19">
        <v>0.0</v>
      </c>
      <c r="AC85" s="13">
        <f t="shared" si="9"/>
        <v>1</v>
      </c>
    </row>
    <row r="86" ht="12.75" customHeight="1">
      <c r="A86" s="18"/>
      <c r="B86" s="49">
        <v>5.0</v>
      </c>
      <c r="C86" s="50" t="s">
        <v>74</v>
      </c>
      <c r="D86" s="51"/>
      <c r="E86" s="19">
        <v>0.0</v>
      </c>
      <c r="F86" s="19">
        <v>0.0</v>
      </c>
      <c r="G86" s="19">
        <v>0.0</v>
      </c>
      <c r="H86" s="19">
        <v>0.0</v>
      </c>
      <c r="I86" s="19">
        <v>1.0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0.0</v>
      </c>
      <c r="Q86" s="19">
        <v>0.0</v>
      </c>
      <c r="R86" s="19">
        <v>1.0</v>
      </c>
      <c r="S86" s="19">
        <v>0.0</v>
      </c>
      <c r="T86" s="19">
        <v>0.0</v>
      </c>
      <c r="U86" s="19">
        <v>0.0</v>
      </c>
      <c r="V86" s="19">
        <v>2.0</v>
      </c>
      <c r="W86" s="19">
        <v>0.0</v>
      </c>
      <c r="X86" s="19">
        <v>0.0</v>
      </c>
      <c r="Y86" s="19">
        <v>0.0</v>
      </c>
      <c r="Z86" s="19">
        <v>0.0</v>
      </c>
      <c r="AA86" s="19">
        <v>0.0</v>
      </c>
      <c r="AB86" s="19">
        <v>0.0</v>
      </c>
      <c r="AC86" s="13">
        <f t="shared" si="9"/>
        <v>4</v>
      </c>
    </row>
    <row r="87" ht="12.75" customHeight="1">
      <c r="A87" s="18"/>
      <c r="B87" s="49">
        <v>6.0</v>
      </c>
      <c r="C87" s="50" t="s">
        <v>75</v>
      </c>
      <c r="D87" s="51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1.0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1.0</v>
      </c>
      <c r="V87" s="19">
        <v>0.0</v>
      </c>
      <c r="W87" s="19">
        <v>1.0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3">
        <f t="shared" si="9"/>
        <v>3</v>
      </c>
    </row>
    <row r="88" ht="12.75" customHeight="1">
      <c r="A88" s="19" t="s">
        <v>15</v>
      </c>
      <c r="B88" s="47" t="s">
        <v>46</v>
      </c>
      <c r="C88" s="15"/>
      <c r="D88" s="16"/>
      <c r="E88" s="56">
        <f t="shared" ref="E88:AB88" si="14">SUM(E81:E87)</f>
        <v>0</v>
      </c>
      <c r="F88" s="56">
        <f t="shared" si="14"/>
        <v>1</v>
      </c>
      <c r="G88" s="56">
        <f t="shared" si="14"/>
        <v>3</v>
      </c>
      <c r="H88" s="56">
        <f t="shared" si="14"/>
        <v>3</v>
      </c>
      <c r="I88" s="56">
        <f t="shared" si="14"/>
        <v>3</v>
      </c>
      <c r="J88" s="56">
        <f t="shared" si="14"/>
        <v>7</v>
      </c>
      <c r="K88" s="56">
        <f t="shared" si="14"/>
        <v>5</v>
      </c>
      <c r="L88" s="56">
        <f t="shared" si="14"/>
        <v>1</v>
      </c>
      <c r="M88" s="56">
        <f t="shared" si="14"/>
        <v>4</v>
      </c>
      <c r="N88" s="56">
        <f t="shared" si="14"/>
        <v>12</v>
      </c>
      <c r="O88" s="56">
        <f t="shared" si="14"/>
        <v>2</v>
      </c>
      <c r="P88" s="56">
        <f t="shared" si="14"/>
        <v>2</v>
      </c>
      <c r="Q88" s="56">
        <f t="shared" si="14"/>
        <v>0</v>
      </c>
      <c r="R88" s="56">
        <f t="shared" si="14"/>
        <v>5</v>
      </c>
      <c r="S88" s="56">
        <f t="shared" si="14"/>
        <v>40</v>
      </c>
      <c r="T88" s="56">
        <f t="shared" si="14"/>
        <v>25</v>
      </c>
      <c r="U88" s="56">
        <f t="shared" si="14"/>
        <v>14</v>
      </c>
      <c r="V88" s="56">
        <f t="shared" si="14"/>
        <v>27</v>
      </c>
      <c r="W88" s="56">
        <f t="shared" si="14"/>
        <v>12</v>
      </c>
      <c r="X88" s="56">
        <f t="shared" si="14"/>
        <v>11</v>
      </c>
      <c r="Y88" s="56">
        <f t="shared" si="14"/>
        <v>5</v>
      </c>
      <c r="Z88" s="56">
        <f t="shared" si="14"/>
        <v>0</v>
      </c>
      <c r="AA88" s="56">
        <f t="shared" si="14"/>
        <v>1</v>
      </c>
      <c r="AB88" s="56">
        <f t="shared" si="14"/>
        <v>0</v>
      </c>
      <c r="AC88" s="13">
        <f t="shared" si="9"/>
        <v>183</v>
      </c>
    </row>
    <row r="89" ht="12.75" customHeight="1">
      <c r="A89" s="57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13">
        <f t="shared" si="9"/>
        <v>0</v>
      </c>
    </row>
    <row r="90" ht="12.75" customHeight="1">
      <c r="A90" s="30" t="s">
        <v>37</v>
      </c>
      <c r="B90" s="47" t="s">
        <v>76</v>
      </c>
      <c r="C90" s="48" t="s">
        <v>77</v>
      </c>
      <c r="D90" s="16"/>
      <c r="E90" s="19">
        <v>0.0</v>
      </c>
      <c r="F90" s="19">
        <v>1.0</v>
      </c>
      <c r="G90" s="19">
        <v>0.0</v>
      </c>
      <c r="H90" s="19">
        <v>0.0</v>
      </c>
      <c r="I90" s="19">
        <v>3.0</v>
      </c>
      <c r="J90" s="19">
        <v>0.0</v>
      </c>
      <c r="K90" s="19">
        <v>0.0</v>
      </c>
      <c r="L90" s="19">
        <v>0.0</v>
      </c>
      <c r="M90" s="19">
        <v>0.0</v>
      </c>
      <c r="N90" s="19">
        <v>0.0</v>
      </c>
      <c r="O90" s="19">
        <v>0.0</v>
      </c>
      <c r="P90" s="19">
        <v>0.0</v>
      </c>
      <c r="Q90" s="19">
        <v>2.0</v>
      </c>
      <c r="R90" s="19">
        <v>0.0</v>
      </c>
      <c r="S90" s="19">
        <v>0.0</v>
      </c>
      <c r="T90" s="19">
        <v>1.0</v>
      </c>
      <c r="U90" s="19">
        <v>0.0</v>
      </c>
      <c r="V90" s="19">
        <v>0.0</v>
      </c>
      <c r="W90" s="19">
        <v>2.0</v>
      </c>
      <c r="X90" s="19">
        <v>0.0</v>
      </c>
      <c r="Y90" s="19">
        <v>0.0</v>
      </c>
      <c r="Z90" s="19">
        <v>2.0</v>
      </c>
      <c r="AA90" s="19">
        <v>1.0</v>
      </c>
      <c r="AB90" s="19">
        <v>4.0</v>
      </c>
      <c r="AC90" s="13">
        <f t="shared" si="9"/>
        <v>16</v>
      </c>
    </row>
    <row r="91" ht="15.0" customHeight="1">
      <c r="A91" s="30"/>
      <c r="B91" s="49">
        <v>1.0</v>
      </c>
      <c r="C91" s="50" t="s">
        <v>78</v>
      </c>
      <c r="D91" s="59"/>
      <c r="E91" s="19">
        <v>0.0</v>
      </c>
      <c r="F91" s="19">
        <v>1.0</v>
      </c>
      <c r="G91" s="19">
        <v>0.0</v>
      </c>
      <c r="H91" s="19">
        <v>0.0</v>
      </c>
      <c r="I91" s="19">
        <v>0.0</v>
      </c>
      <c r="J91" s="19">
        <v>0.0</v>
      </c>
      <c r="K91" s="19">
        <v>0.0</v>
      </c>
      <c r="L91" s="19">
        <v>0.0</v>
      </c>
      <c r="M91" s="19">
        <v>0.0</v>
      </c>
      <c r="N91" s="19">
        <v>0.0</v>
      </c>
      <c r="O91" s="19">
        <v>0.0</v>
      </c>
      <c r="P91" s="19">
        <v>0.0</v>
      </c>
      <c r="Q91" s="19">
        <v>1.0</v>
      </c>
      <c r="R91" s="19">
        <v>0.0</v>
      </c>
      <c r="S91" s="19">
        <v>0.0</v>
      </c>
      <c r="T91" s="19">
        <v>0.0</v>
      </c>
      <c r="U91" s="19">
        <v>0.0</v>
      </c>
      <c r="V91" s="19">
        <v>0.0</v>
      </c>
      <c r="W91" s="19">
        <v>0.0</v>
      </c>
      <c r="X91" s="19">
        <v>0.0</v>
      </c>
      <c r="Y91" s="19">
        <v>0.0</v>
      </c>
      <c r="Z91" s="19">
        <v>2.0</v>
      </c>
      <c r="AA91" s="19">
        <v>0.0</v>
      </c>
      <c r="AB91" s="19">
        <v>0.0</v>
      </c>
      <c r="AC91" s="13">
        <f t="shared" si="9"/>
        <v>4</v>
      </c>
    </row>
    <row r="92" ht="12.75" customHeight="1">
      <c r="A92" s="30"/>
      <c r="B92" s="49">
        <v>2.0</v>
      </c>
      <c r="C92" s="50" t="s">
        <v>79</v>
      </c>
      <c r="D92" s="59"/>
      <c r="E92" s="19">
        <v>1.0</v>
      </c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19">
        <v>0.0</v>
      </c>
      <c r="L92" s="19">
        <v>0.0</v>
      </c>
      <c r="M92" s="19">
        <v>0.0</v>
      </c>
      <c r="N92" s="19">
        <v>0.0</v>
      </c>
      <c r="O92" s="19">
        <v>0.0</v>
      </c>
      <c r="P92" s="19">
        <v>0.0</v>
      </c>
      <c r="Q92" s="19">
        <v>0.0</v>
      </c>
      <c r="R92" s="19">
        <v>0.0</v>
      </c>
      <c r="S92" s="19">
        <v>0.0</v>
      </c>
      <c r="T92" s="19">
        <v>0.0</v>
      </c>
      <c r="U92" s="19">
        <v>0.0</v>
      </c>
      <c r="V92" s="19">
        <v>0.0</v>
      </c>
      <c r="W92" s="19">
        <v>0.0</v>
      </c>
      <c r="X92" s="19">
        <v>0.0</v>
      </c>
      <c r="Y92" s="19">
        <v>1.0</v>
      </c>
      <c r="Z92" s="19">
        <v>0.0</v>
      </c>
      <c r="AA92" s="19">
        <v>0.0</v>
      </c>
      <c r="AB92" s="19">
        <v>0.0</v>
      </c>
      <c r="AC92" s="13">
        <f t="shared" si="9"/>
        <v>2</v>
      </c>
    </row>
    <row r="93" ht="12.75" customHeight="1">
      <c r="A93" s="30" t="s">
        <v>39</v>
      </c>
      <c r="B93" s="49">
        <v>3.0</v>
      </c>
      <c r="C93" s="50" t="s">
        <v>80</v>
      </c>
      <c r="D93" s="59"/>
      <c r="E93" s="19">
        <v>0.0</v>
      </c>
      <c r="F93" s="19">
        <v>0.0</v>
      </c>
      <c r="G93" s="19">
        <v>0.0</v>
      </c>
      <c r="H93" s="19">
        <v>0.0</v>
      </c>
      <c r="I93" s="19">
        <v>0.0</v>
      </c>
      <c r="J93" s="19">
        <v>0.0</v>
      </c>
      <c r="K93" s="19">
        <v>1.0</v>
      </c>
      <c r="L93" s="19">
        <v>0.0</v>
      </c>
      <c r="M93" s="19">
        <v>0.0</v>
      </c>
      <c r="N93" s="19">
        <v>0.0</v>
      </c>
      <c r="O93" s="19">
        <v>0.0</v>
      </c>
      <c r="P93" s="19">
        <v>0.0</v>
      </c>
      <c r="Q93" s="19">
        <v>0.0</v>
      </c>
      <c r="R93" s="19">
        <v>0.0</v>
      </c>
      <c r="S93" s="19">
        <v>0.0</v>
      </c>
      <c r="T93" s="19">
        <v>0.0</v>
      </c>
      <c r="U93" s="19">
        <v>0.0</v>
      </c>
      <c r="V93" s="19">
        <v>0.0</v>
      </c>
      <c r="W93" s="19">
        <v>0.0</v>
      </c>
      <c r="X93" s="19">
        <v>0.0</v>
      </c>
      <c r="Y93" s="19">
        <v>0.0</v>
      </c>
      <c r="Z93" s="19">
        <v>0.0</v>
      </c>
      <c r="AA93" s="19">
        <v>0.0</v>
      </c>
      <c r="AB93" s="19">
        <v>0.0</v>
      </c>
      <c r="AC93" s="13">
        <f t="shared" si="9"/>
        <v>1</v>
      </c>
    </row>
    <row r="94" ht="12.75" customHeight="1">
      <c r="A94" s="19" t="s">
        <v>15</v>
      </c>
      <c r="B94" s="47" t="s">
        <v>46</v>
      </c>
      <c r="C94" s="15"/>
      <c r="D94" s="16"/>
      <c r="E94" s="56">
        <f t="shared" ref="E94:AB94" si="15">SUM(E90:E93)</f>
        <v>1</v>
      </c>
      <c r="F94" s="56">
        <f t="shared" si="15"/>
        <v>2</v>
      </c>
      <c r="G94" s="56">
        <f t="shared" si="15"/>
        <v>0</v>
      </c>
      <c r="H94" s="56">
        <f t="shared" si="15"/>
        <v>0</v>
      </c>
      <c r="I94" s="56">
        <f t="shared" si="15"/>
        <v>3</v>
      </c>
      <c r="J94" s="56">
        <f t="shared" si="15"/>
        <v>0</v>
      </c>
      <c r="K94" s="56">
        <f t="shared" si="15"/>
        <v>1</v>
      </c>
      <c r="L94" s="56">
        <f t="shared" si="15"/>
        <v>0</v>
      </c>
      <c r="M94" s="56">
        <f t="shared" si="15"/>
        <v>0</v>
      </c>
      <c r="N94" s="56">
        <f t="shared" si="15"/>
        <v>0</v>
      </c>
      <c r="O94" s="56">
        <f t="shared" si="15"/>
        <v>0</v>
      </c>
      <c r="P94" s="56">
        <f t="shared" si="15"/>
        <v>0</v>
      </c>
      <c r="Q94" s="56">
        <f t="shared" si="15"/>
        <v>3</v>
      </c>
      <c r="R94" s="56">
        <f t="shared" si="15"/>
        <v>0</v>
      </c>
      <c r="S94" s="56">
        <f t="shared" si="15"/>
        <v>0</v>
      </c>
      <c r="T94" s="56">
        <f t="shared" si="15"/>
        <v>1</v>
      </c>
      <c r="U94" s="56">
        <f t="shared" si="15"/>
        <v>0</v>
      </c>
      <c r="V94" s="56">
        <f t="shared" si="15"/>
        <v>0</v>
      </c>
      <c r="W94" s="56">
        <f t="shared" si="15"/>
        <v>2</v>
      </c>
      <c r="X94" s="56">
        <f t="shared" si="15"/>
        <v>0</v>
      </c>
      <c r="Y94" s="56">
        <f t="shared" si="15"/>
        <v>1</v>
      </c>
      <c r="Z94" s="56">
        <f t="shared" si="15"/>
        <v>4</v>
      </c>
      <c r="AA94" s="56">
        <f t="shared" si="15"/>
        <v>1</v>
      </c>
      <c r="AB94" s="56">
        <f t="shared" si="15"/>
        <v>4</v>
      </c>
      <c r="AC94" s="13">
        <f t="shared" si="9"/>
        <v>23</v>
      </c>
    </row>
    <row r="95" ht="12.75" customHeight="1">
      <c r="A95" s="57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13">
        <f t="shared" si="9"/>
        <v>0</v>
      </c>
    </row>
    <row r="96" ht="12.75" customHeight="1">
      <c r="A96" s="30" t="s">
        <v>37</v>
      </c>
      <c r="B96" s="47" t="s">
        <v>81</v>
      </c>
      <c r="C96" s="48" t="s">
        <v>82</v>
      </c>
      <c r="D96" s="16"/>
      <c r="E96" s="19">
        <v>0.0</v>
      </c>
      <c r="F96" s="19">
        <v>0.0</v>
      </c>
      <c r="G96" s="19">
        <v>0.0</v>
      </c>
      <c r="H96" s="19">
        <v>1.0</v>
      </c>
      <c r="I96" s="19">
        <v>1.0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2.0</v>
      </c>
      <c r="P96" s="19">
        <v>0.0</v>
      </c>
      <c r="Q96" s="19">
        <v>1.0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1.0</v>
      </c>
      <c r="X96" s="19">
        <v>0.0</v>
      </c>
      <c r="Y96" s="19">
        <v>0.0</v>
      </c>
      <c r="Z96" s="19">
        <v>0.0</v>
      </c>
      <c r="AA96" s="19">
        <v>1.0</v>
      </c>
      <c r="AB96" s="19">
        <v>0.0</v>
      </c>
      <c r="AC96" s="13">
        <f t="shared" si="9"/>
        <v>7</v>
      </c>
    </row>
    <row r="97" ht="12.75" customHeight="1">
      <c r="A97" s="30" t="s">
        <v>39</v>
      </c>
      <c r="B97" s="49">
        <v>1.0</v>
      </c>
      <c r="C97" s="50" t="s">
        <v>83</v>
      </c>
      <c r="D97" s="51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1.0</v>
      </c>
      <c r="M97" s="19">
        <v>1.0</v>
      </c>
      <c r="N97" s="19">
        <v>1.0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0.0</v>
      </c>
      <c r="Z97" s="19">
        <v>1.0</v>
      </c>
      <c r="AA97" s="19">
        <v>0.0</v>
      </c>
      <c r="AB97" s="19">
        <v>0.0</v>
      </c>
      <c r="AC97" s="13">
        <f t="shared" si="9"/>
        <v>4</v>
      </c>
    </row>
    <row r="98" ht="12.75" customHeight="1">
      <c r="A98" s="30"/>
      <c r="B98" s="49">
        <v>2.0</v>
      </c>
      <c r="C98" s="50" t="s">
        <v>84</v>
      </c>
      <c r="D98" s="51"/>
      <c r="E98" s="19">
        <v>1.0</v>
      </c>
      <c r="F98" s="19">
        <v>0.0</v>
      </c>
      <c r="G98" s="19">
        <v>0.0</v>
      </c>
      <c r="H98" s="19">
        <v>1.0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3">
        <f t="shared" si="9"/>
        <v>2</v>
      </c>
    </row>
    <row r="99" ht="12.75" customHeight="1">
      <c r="A99" s="19" t="s">
        <v>15</v>
      </c>
      <c r="B99" s="47" t="s">
        <v>46</v>
      </c>
      <c r="C99" s="15"/>
      <c r="D99" s="16"/>
      <c r="E99" s="56">
        <f t="shared" ref="E99:AB99" si="16">SUM(E96:E98)</f>
        <v>1</v>
      </c>
      <c r="F99" s="56">
        <f t="shared" si="16"/>
        <v>0</v>
      </c>
      <c r="G99" s="56">
        <f t="shared" si="16"/>
        <v>0</v>
      </c>
      <c r="H99" s="56">
        <f t="shared" si="16"/>
        <v>2</v>
      </c>
      <c r="I99" s="56">
        <f t="shared" si="16"/>
        <v>1</v>
      </c>
      <c r="J99" s="56">
        <f t="shared" si="16"/>
        <v>0</v>
      </c>
      <c r="K99" s="56">
        <f t="shared" si="16"/>
        <v>0</v>
      </c>
      <c r="L99" s="56">
        <f t="shared" si="16"/>
        <v>1</v>
      </c>
      <c r="M99" s="56">
        <f t="shared" si="16"/>
        <v>1</v>
      </c>
      <c r="N99" s="56">
        <f t="shared" si="16"/>
        <v>1</v>
      </c>
      <c r="O99" s="56">
        <f t="shared" si="16"/>
        <v>2</v>
      </c>
      <c r="P99" s="56">
        <f t="shared" si="16"/>
        <v>0</v>
      </c>
      <c r="Q99" s="56">
        <f t="shared" si="16"/>
        <v>1</v>
      </c>
      <c r="R99" s="56">
        <f t="shared" si="16"/>
        <v>0</v>
      </c>
      <c r="S99" s="56">
        <f t="shared" si="16"/>
        <v>0</v>
      </c>
      <c r="T99" s="56">
        <f t="shared" si="16"/>
        <v>0</v>
      </c>
      <c r="U99" s="56">
        <f t="shared" si="16"/>
        <v>0</v>
      </c>
      <c r="V99" s="56">
        <f t="shared" si="16"/>
        <v>0</v>
      </c>
      <c r="W99" s="56">
        <f t="shared" si="16"/>
        <v>1</v>
      </c>
      <c r="X99" s="56">
        <f t="shared" si="16"/>
        <v>0</v>
      </c>
      <c r="Y99" s="56">
        <f t="shared" si="16"/>
        <v>0</v>
      </c>
      <c r="Z99" s="56">
        <f t="shared" si="16"/>
        <v>1</v>
      </c>
      <c r="AA99" s="56">
        <f t="shared" si="16"/>
        <v>1</v>
      </c>
      <c r="AB99" s="56">
        <f t="shared" si="16"/>
        <v>0</v>
      </c>
      <c r="AC99" s="13">
        <f t="shared" si="9"/>
        <v>13</v>
      </c>
    </row>
    <row r="100" ht="12.75" customHeight="1">
      <c r="A100" s="57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13">
        <f t="shared" si="9"/>
        <v>0</v>
      </c>
    </row>
    <row r="101" ht="12.75" customHeight="1">
      <c r="A101" s="30" t="s">
        <v>37</v>
      </c>
      <c r="B101" s="47" t="s">
        <v>85</v>
      </c>
      <c r="C101" s="48" t="s">
        <v>86</v>
      </c>
      <c r="D101" s="16"/>
      <c r="E101" s="19">
        <v>0.0</v>
      </c>
      <c r="F101" s="19">
        <v>0.0</v>
      </c>
      <c r="G101" s="19">
        <v>1.0</v>
      </c>
      <c r="H101" s="19">
        <v>1.0</v>
      </c>
      <c r="I101" s="19">
        <v>0.0</v>
      </c>
      <c r="J101" s="19">
        <v>1.0</v>
      </c>
      <c r="K101" s="19">
        <v>1.0</v>
      </c>
      <c r="L101" s="19">
        <v>1.0</v>
      </c>
      <c r="M101" s="19">
        <v>0.0</v>
      </c>
      <c r="N101" s="19">
        <v>1.0</v>
      </c>
      <c r="O101" s="19">
        <v>0.0</v>
      </c>
      <c r="P101" s="19">
        <v>1.0</v>
      </c>
      <c r="Q101" s="19">
        <v>1.0</v>
      </c>
      <c r="R101" s="19">
        <v>1.0</v>
      </c>
      <c r="S101" s="19">
        <v>0.0</v>
      </c>
      <c r="T101" s="19">
        <v>1.0</v>
      </c>
      <c r="U101" s="19">
        <v>1.0</v>
      </c>
      <c r="V101" s="19">
        <v>0.0</v>
      </c>
      <c r="W101" s="19">
        <v>1.0</v>
      </c>
      <c r="X101" s="19">
        <v>1.0</v>
      </c>
      <c r="Y101" s="19">
        <v>0.0</v>
      </c>
      <c r="Z101" s="19">
        <v>0.0</v>
      </c>
      <c r="AA101" s="19">
        <v>0.0</v>
      </c>
      <c r="AB101" s="19">
        <v>0.0</v>
      </c>
      <c r="AC101" s="13">
        <f t="shared" si="9"/>
        <v>13</v>
      </c>
    </row>
    <row r="102" ht="12.75" customHeight="1">
      <c r="A102" s="30" t="s">
        <v>39</v>
      </c>
      <c r="B102" s="49">
        <v>1.0</v>
      </c>
      <c r="C102" s="50" t="s">
        <v>87</v>
      </c>
      <c r="D102" s="51"/>
      <c r="E102" s="19">
        <v>0.0</v>
      </c>
      <c r="F102" s="19">
        <v>1.0</v>
      </c>
      <c r="G102" s="19">
        <v>0.0</v>
      </c>
      <c r="H102" s="19">
        <v>2.0</v>
      </c>
      <c r="I102" s="19">
        <v>0.0</v>
      </c>
      <c r="J102" s="19">
        <v>1.0</v>
      </c>
      <c r="K102" s="19">
        <v>0.0</v>
      </c>
      <c r="L102" s="19">
        <v>1.0</v>
      </c>
      <c r="M102" s="19">
        <v>2.0</v>
      </c>
      <c r="N102" s="19">
        <v>0.0</v>
      </c>
      <c r="O102" s="19">
        <v>4.0</v>
      </c>
      <c r="P102" s="19">
        <v>6.0</v>
      </c>
      <c r="Q102" s="19">
        <v>0.0</v>
      </c>
      <c r="R102" s="19">
        <v>0.0</v>
      </c>
      <c r="S102" s="19">
        <v>4.0</v>
      </c>
      <c r="T102" s="19">
        <v>5.0</v>
      </c>
      <c r="U102" s="19">
        <v>1.0</v>
      </c>
      <c r="V102" s="19">
        <v>1.0</v>
      </c>
      <c r="W102" s="19">
        <v>2.0</v>
      </c>
      <c r="X102" s="19">
        <v>1.0</v>
      </c>
      <c r="Y102" s="19">
        <v>0.0</v>
      </c>
      <c r="Z102" s="19">
        <v>1.0</v>
      </c>
      <c r="AA102" s="19">
        <v>0.0</v>
      </c>
      <c r="AB102" s="19">
        <v>0.0</v>
      </c>
      <c r="AC102" s="13">
        <f t="shared" si="9"/>
        <v>32</v>
      </c>
    </row>
    <row r="103" ht="15.0" customHeight="1">
      <c r="A103" s="18"/>
      <c r="B103" s="49">
        <v>2.0</v>
      </c>
      <c r="C103" s="50" t="s">
        <v>88</v>
      </c>
      <c r="D103" s="51"/>
      <c r="E103" s="19">
        <v>0.0</v>
      </c>
      <c r="F103" s="19">
        <v>0.0</v>
      </c>
      <c r="G103" s="19">
        <v>0.0</v>
      </c>
      <c r="H103" s="19">
        <v>1.0</v>
      </c>
      <c r="I103" s="19">
        <v>1.0</v>
      </c>
      <c r="J103" s="19">
        <v>0.0</v>
      </c>
      <c r="K103" s="19">
        <v>0.0</v>
      </c>
      <c r="L103" s="19">
        <v>1.0</v>
      </c>
      <c r="M103" s="19">
        <v>0.0</v>
      </c>
      <c r="N103" s="19">
        <v>0.0</v>
      </c>
      <c r="O103" s="19">
        <v>0.0</v>
      </c>
      <c r="P103" s="19">
        <v>0.0</v>
      </c>
      <c r="Q103" s="19">
        <v>0.0</v>
      </c>
      <c r="R103" s="19">
        <v>0.0</v>
      </c>
      <c r="S103" s="19">
        <v>0.0</v>
      </c>
      <c r="T103" s="19">
        <v>0.0</v>
      </c>
      <c r="U103" s="19">
        <v>0.0</v>
      </c>
      <c r="V103" s="19">
        <v>0.0</v>
      </c>
      <c r="W103" s="19">
        <v>0.0</v>
      </c>
      <c r="X103" s="19">
        <v>0.0</v>
      </c>
      <c r="Y103" s="19">
        <v>0.0</v>
      </c>
      <c r="Z103" s="19">
        <v>1.0</v>
      </c>
      <c r="AA103" s="19">
        <v>0.0</v>
      </c>
      <c r="AB103" s="19">
        <v>0.0</v>
      </c>
      <c r="AC103" s="13">
        <f t="shared" si="9"/>
        <v>4</v>
      </c>
    </row>
    <row r="104" ht="12.75" customHeight="1">
      <c r="A104" s="18"/>
      <c r="B104" s="49">
        <v>3.0</v>
      </c>
      <c r="C104" s="50" t="s">
        <v>89</v>
      </c>
      <c r="D104" s="51"/>
      <c r="E104" s="19">
        <v>1.0</v>
      </c>
      <c r="F104" s="19">
        <v>0.0</v>
      </c>
      <c r="G104" s="19">
        <v>0.0</v>
      </c>
      <c r="H104" s="19">
        <v>0.0</v>
      </c>
      <c r="I104" s="19">
        <v>0.0</v>
      </c>
      <c r="J104" s="19">
        <v>0.0</v>
      </c>
      <c r="K104" s="19">
        <v>1.0</v>
      </c>
      <c r="L104" s="19">
        <v>0.0</v>
      </c>
      <c r="M104" s="19">
        <v>0.0</v>
      </c>
      <c r="N104" s="19">
        <v>0.0</v>
      </c>
      <c r="O104" s="19">
        <v>0.0</v>
      </c>
      <c r="P104" s="19">
        <v>0.0</v>
      </c>
      <c r="Q104" s="19">
        <v>0.0</v>
      </c>
      <c r="R104" s="19">
        <v>0.0</v>
      </c>
      <c r="S104" s="19">
        <v>0.0</v>
      </c>
      <c r="T104" s="19">
        <v>0.0</v>
      </c>
      <c r="U104" s="19">
        <v>1.0</v>
      </c>
      <c r="V104" s="19">
        <v>0.0</v>
      </c>
      <c r="W104" s="19">
        <v>1.0</v>
      </c>
      <c r="X104" s="19">
        <v>0.0</v>
      </c>
      <c r="Y104" s="19">
        <v>0.0</v>
      </c>
      <c r="Z104" s="19">
        <v>0.0</v>
      </c>
      <c r="AA104" s="19">
        <v>0.0</v>
      </c>
      <c r="AB104" s="19">
        <v>0.0</v>
      </c>
      <c r="AC104" s="13">
        <f t="shared" si="9"/>
        <v>4</v>
      </c>
    </row>
    <row r="105" ht="12.75" customHeight="1">
      <c r="A105" s="18"/>
      <c r="B105" s="49">
        <v>4.0</v>
      </c>
      <c r="C105" s="50" t="s">
        <v>90</v>
      </c>
      <c r="D105" s="51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3">
        <f t="shared" si="9"/>
        <v>0</v>
      </c>
    </row>
    <row r="106" ht="12.75" customHeight="1">
      <c r="A106" s="18"/>
      <c r="B106" s="49">
        <v>5.0</v>
      </c>
      <c r="C106" s="50" t="s">
        <v>91</v>
      </c>
      <c r="D106" s="51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3">
        <f t="shared" si="9"/>
        <v>0</v>
      </c>
    </row>
    <row r="107" ht="12.75" customHeight="1">
      <c r="A107" s="18"/>
      <c r="B107" s="49">
        <v>6.0</v>
      </c>
      <c r="C107" s="50" t="s">
        <v>92</v>
      </c>
      <c r="D107" s="51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1.0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3">
        <f t="shared" si="9"/>
        <v>1</v>
      </c>
    </row>
    <row r="108" ht="12.75" customHeight="1">
      <c r="A108" s="19" t="s">
        <v>15</v>
      </c>
      <c r="B108" s="47" t="s">
        <v>46</v>
      </c>
      <c r="C108" s="15"/>
      <c r="D108" s="16"/>
      <c r="E108" s="56">
        <f t="shared" ref="E108:AB108" si="17">SUM(E101:E107)</f>
        <v>1</v>
      </c>
      <c r="F108" s="56">
        <f t="shared" si="17"/>
        <v>1</v>
      </c>
      <c r="G108" s="56">
        <f t="shared" si="17"/>
        <v>1</v>
      </c>
      <c r="H108" s="56">
        <f t="shared" si="17"/>
        <v>4</v>
      </c>
      <c r="I108" s="56">
        <f t="shared" si="17"/>
        <v>1</v>
      </c>
      <c r="J108" s="56">
        <f t="shared" si="17"/>
        <v>2</v>
      </c>
      <c r="K108" s="56">
        <f t="shared" si="17"/>
        <v>2</v>
      </c>
      <c r="L108" s="56">
        <f t="shared" si="17"/>
        <v>3</v>
      </c>
      <c r="M108" s="56">
        <f t="shared" si="17"/>
        <v>2</v>
      </c>
      <c r="N108" s="56">
        <f t="shared" si="17"/>
        <v>1</v>
      </c>
      <c r="O108" s="56">
        <f t="shared" si="17"/>
        <v>4</v>
      </c>
      <c r="P108" s="56">
        <f t="shared" si="17"/>
        <v>7</v>
      </c>
      <c r="Q108" s="56">
        <f t="shared" si="17"/>
        <v>1</v>
      </c>
      <c r="R108" s="56">
        <f t="shared" si="17"/>
        <v>1</v>
      </c>
      <c r="S108" s="56">
        <f t="shared" si="17"/>
        <v>4</v>
      </c>
      <c r="T108" s="56">
        <f t="shared" si="17"/>
        <v>6</v>
      </c>
      <c r="U108" s="56">
        <f t="shared" si="17"/>
        <v>4</v>
      </c>
      <c r="V108" s="56">
        <f t="shared" si="17"/>
        <v>1</v>
      </c>
      <c r="W108" s="56">
        <f t="shared" si="17"/>
        <v>4</v>
      </c>
      <c r="X108" s="56">
        <f t="shared" si="17"/>
        <v>2</v>
      </c>
      <c r="Y108" s="56">
        <f t="shared" si="17"/>
        <v>0</v>
      </c>
      <c r="Z108" s="56">
        <f t="shared" si="17"/>
        <v>2</v>
      </c>
      <c r="AA108" s="56">
        <f t="shared" si="17"/>
        <v>0</v>
      </c>
      <c r="AB108" s="56">
        <f t="shared" si="17"/>
        <v>0</v>
      </c>
      <c r="AC108" s="13">
        <f t="shared" si="9"/>
        <v>54</v>
      </c>
    </row>
    <row r="109" ht="12.75" customHeight="1">
      <c r="A109" s="57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13">
        <f t="shared" si="9"/>
        <v>0</v>
      </c>
    </row>
    <row r="110" ht="12.75" customHeight="1">
      <c r="A110" s="30" t="s">
        <v>37</v>
      </c>
      <c r="B110" s="47" t="s">
        <v>93</v>
      </c>
      <c r="C110" s="48" t="s">
        <v>94</v>
      </c>
      <c r="D110" s="16"/>
      <c r="E110" s="19">
        <v>1.0</v>
      </c>
      <c r="F110" s="19">
        <v>0.0</v>
      </c>
      <c r="G110" s="19">
        <v>0.0</v>
      </c>
      <c r="H110" s="19">
        <v>0.0</v>
      </c>
      <c r="I110" s="19">
        <v>1.0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/>
      <c r="V110" s="19"/>
      <c r="W110" s="19"/>
      <c r="X110" s="19">
        <v>1.0</v>
      </c>
      <c r="Y110" s="19"/>
      <c r="Z110" s="19"/>
      <c r="AA110" s="19"/>
      <c r="AB110" s="19"/>
      <c r="AC110" s="13">
        <f t="shared" si="9"/>
        <v>3</v>
      </c>
    </row>
    <row r="111" ht="12.75" customHeight="1">
      <c r="A111" s="30"/>
      <c r="B111" s="47">
        <v>1.0</v>
      </c>
      <c r="C111" s="50" t="s">
        <v>95</v>
      </c>
      <c r="D111" s="59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/>
      <c r="V111" s="19"/>
      <c r="W111" s="19"/>
      <c r="X111" s="19"/>
      <c r="Y111" s="19"/>
      <c r="Z111" s="19"/>
      <c r="AA111" s="19"/>
      <c r="AB111" s="19"/>
      <c r="AC111" s="13">
        <f t="shared" si="9"/>
        <v>0</v>
      </c>
    </row>
    <row r="112" ht="12.75" customHeight="1">
      <c r="A112" s="30"/>
      <c r="B112" s="47">
        <v>2.0</v>
      </c>
      <c r="C112" s="50" t="s">
        <v>96</v>
      </c>
      <c r="D112" s="59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1.0</v>
      </c>
      <c r="T112" s="19">
        <v>0.0</v>
      </c>
      <c r="U112" s="19"/>
      <c r="V112" s="19"/>
      <c r="W112" s="19">
        <v>1.0</v>
      </c>
      <c r="X112" s="19"/>
      <c r="Y112" s="19"/>
      <c r="Z112" s="19"/>
      <c r="AA112" s="19"/>
      <c r="AB112" s="19"/>
      <c r="AC112" s="13">
        <f t="shared" si="9"/>
        <v>2</v>
      </c>
    </row>
    <row r="113" ht="12.75" customHeight="1">
      <c r="A113" s="30"/>
      <c r="B113" s="47">
        <v>3.0</v>
      </c>
      <c r="C113" s="50" t="s">
        <v>97</v>
      </c>
      <c r="D113" s="59"/>
      <c r="E113" s="19">
        <v>0.0</v>
      </c>
      <c r="F113" s="19">
        <v>0.0</v>
      </c>
      <c r="G113" s="19">
        <v>0.0</v>
      </c>
      <c r="H113" s="19">
        <v>0.0</v>
      </c>
      <c r="I113" s="19">
        <v>0.0</v>
      </c>
      <c r="J113" s="19">
        <v>0.0</v>
      </c>
      <c r="K113" s="19">
        <v>0.0</v>
      </c>
      <c r="L113" s="19">
        <v>0.0</v>
      </c>
      <c r="M113" s="19">
        <v>0.0</v>
      </c>
      <c r="N113" s="19">
        <v>0.0</v>
      </c>
      <c r="O113" s="19">
        <v>0.0</v>
      </c>
      <c r="P113" s="19">
        <v>0.0</v>
      </c>
      <c r="Q113" s="19">
        <v>0.0</v>
      </c>
      <c r="R113" s="19">
        <v>0.0</v>
      </c>
      <c r="S113" s="19">
        <v>0.0</v>
      </c>
      <c r="T113" s="19">
        <v>0.0</v>
      </c>
      <c r="U113" s="19"/>
      <c r="V113" s="19"/>
      <c r="W113" s="19"/>
      <c r="X113" s="19"/>
      <c r="Y113" s="19"/>
      <c r="Z113" s="19"/>
      <c r="AA113" s="19"/>
      <c r="AB113" s="19"/>
      <c r="AC113" s="13">
        <f t="shared" si="9"/>
        <v>0</v>
      </c>
    </row>
    <row r="114" ht="12.75" customHeight="1">
      <c r="A114" s="30" t="s">
        <v>39</v>
      </c>
      <c r="B114" s="49">
        <v>4.0</v>
      </c>
      <c r="C114" s="50" t="s">
        <v>98</v>
      </c>
      <c r="D114" s="51"/>
      <c r="E114" s="19">
        <v>0.0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9">
        <v>0.0</v>
      </c>
      <c r="N114" s="19">
        <v>0.0</v>
      </c>
      <c r="O114" s="19">
        <v>0.0</v>
      </c>
      <c r="P114" s="19">
        <v>0.0</v>
      </c>
      <c r="Q114" s="19">
        <v>0.0</v>
      </c>
      <c r="R114" s="19">
        <v>0.0</v>
      </c>
      <c r="S114" s="19">
        <v>0.0</v>
      </c>
      <c r="T114" s="19">
        <v>0.0</v>
      </c>
      <c r="U114" s="19"/>
      <c r="V114" s="19"/>
      <c r="W114" s="19"/>
      <c r="X114" s="19"/>
      <c r="Y114" s="19"/>
      <c r="Z114" s="19"/>
      <c r="AA114" s="19"/>
      <c r="AB114" s="19"/>
      <c r="AC114" s="13">
        <f t="shared" si="9"/>
        <v>0</v>
      </c>
    </row>
    <row r="115" ht="12.75" customHeight="1">
      <c r="A115" s="19" t="s">
        <v>15</v>
      </c>
      <c r="B115" s="47" t="s">
        <v>46</v>
      </c>
      <c r="C115" s="15"/>
      <c r="D115" s="16"/>
      <c r="E115" s="56">
        <f t="shared" ref="E115:AB115" si="18">SUM(E110:E114)</f>
        <v>1</v>
      </c>
      <c r="F115" s="56">
        <f t="shared" si="18"/>
        <v>0</v>
      </c>
      <c r="G115" s="56">
        <f t="shared" si="18"/>
        <v>0</v>
      </c>
      <c r="H115" s="56">
        <f t="shared" si="18"/>
        <v>0</v>
      </c>
      <c r="I115" s="56">
        <f t="shared" si="18"/>
        <v>1</v>
      </c>
      <c r="J115" s="56">
        <f t="shared" si="18"/>
        <v>0</v>
      </c>
      <c r="K115" s="56">
        <f t="shared" si="18"/>
        <v>0</v>
      </c>
      <c r="L115" s="56">
        <f t="shared" si="18"/>
        <v>0</v>
      </c>
      <c r="M115" s="56">
        <f t="shared" si="18"/>
        <v>0</v>
      </c>
      <c r="N115" s="56">
        <f t="shared" si="18"/>
        <v>0</v>
      </c>
      <c r="O115" s="56">
        <f t="shared" si="18"/>
        <v>0</v>
      </c>
      <c r="P115" s="56">
        <f t="shared" si="18"/>
        <v>0</v>
      </c>
      <c r="Q115" s="56">
        <f t="shared" si="18"/>
        <v>0</v>
      </c>
      <c r="R115" s="56">
        <f t="shared" si="18"/>
        <v>0</v>
      </c>
      <c r="S115" s="56">
        <f t="shared" si="18"/>
        <v>1</v>
      </c>
      <c r="T115" s="56">
        <f t="shared" si="18"/>
        <v>0</v>
      </c>
      <c r="U115" s="56">
        <f t="shared" si="18"/>
        <v>0</v>
      </c>
      <c r="V115" s="56">
        <f t="shared" si="18"/>
        <v>0</v>
      </c>
      <c r="W115" s="56">
        <f t="shared" si="18"/>
        <v>1</v>
      </c>
      <c r="X115" s="56">
        <f t="shared" si="18"/>
        <v>1</v>
      </c>
      <c r="Y115" s="56">
        <f t="shared" si="18"/>
        <v>0</v>
      </c>
      <c r="Z115" s="56">
        <f t="shared" si="18"/>
        <v>0</v>
      </c>
      <c r="AA115" s="56">
        <f t="shared" si="18"/>
        <v>0</v>
      </c>
      <c r="AB115" s="56">
        <f t="shared" si="18"/>
        <v>0</v>
      </c>
      <c r="AC115" s="13">
        <f t="shared" si="9"/>
        <v>5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13">
        <f t="shared" si="9"/>
        <v>0</v>
      </c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1.0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2.0</v>
      </c>
      <c r="AC117" s="13">
        <f t="shared" si="9"/>
        <v>3</v>
      </c>
      <c r="AD117" s="5"/>
      <c r="AE117" s="5"/>
    </row>
    <row r="118" ht="12.75" customHeight="1">
      <c r="A118" s="30" t="s">
        <v>39</v>
      </c>
      <c r="B118" s="49">
        <v>1.0</v>
      </c>
      <c r="C118" s="50" t="s">
        <v>101</v>
      </c>
      <c r="D118" s="51"/>
      <c r="E118" s="19">
        <v>1.0</v>
      </c>
      <c r="F118" s="19">
        <v>1.0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3">
        <f t="shared" si="9"/>
        <v>2</v>
      </c>
      <c r="AD118" s="5"/>
      <c r="AE118" s="5"/>
    </row>
    <row r="119" ht="12.75" customHeight="1">
      <c r="A119" s="18"/>
      <c r="B119" s="49">
        <v>2.0</v>
      </c>
      <c r="C119" s="50" t="s">
        <v>102</v>
      </c>
      <c r="D119" s="51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1.0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3">
        <f t="shared" si="9"/>
        <v>1</v>
      </c>
      <c r="AD119" s="5"/>
      <c r="AE119" s="5"/>
    </row>
    <row r="120" ht="12.75" customHeight="1">
      <c r="A120" s="18"/>
      <c r="B120" s="49">
        <v>3.0</v>
      </c>
      <c r="C120" s="50" t="s">
        <v>103</v>
      </c>
      <c r="D120" s="51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3">
        <f t="shared" si="9"/>
        <v>0</v>
      </c>
      <c r="AD120" s="5"/>
      <c r="AE120" s="5"/>
    </row>
    <row r="121" ht="12.75" customHeight="1">
      <c r="A121" s="18"/>
      <c r="B121" s="49">
        <v>4.0</v>
      </c>
      <c r="C121" s="50" t="s">
        <v>104</v>
      </c>
      <c r="D121" s="51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0.0</v>
      </c>
      <c r="U121" s="19">
        <v>0.0</v>
      </c>
      <c r="V121" s="19">
        <v>0.0</v>
      </c>
      <c r="W121" s="19">
        <v>0.0</v>
      </c>
      <c r="X121" s="19">
        <v>0.0</v>
      </c>
      <c r="Y121" s="19">
        <v>0.0</v>
      </c>
      <c r="Z121" s="19">
        <v>0.0</v>
      </c>
      <c r="AA121" s="19">
        <v>0.0</v>
      </c>
      <c r="AB121" s="19">
        <v>0.0</v>
      </c>
      <c r="AC121" s="13">
        <f t="shared" si="9"/>
        <v>0</v>
      </c>
      <c r="AD121" s="5"/>
      <c r="AE121" s="5"/>
    </row>
    <row r="122" ht="12.75" customHeight="1">
      <c r="A122" s="18"/>
      <c r="B122" s="49">
        <v>5.0</v>
      </c>
      <c r="C122" s="50" t="s">
        <v>105</v>
      </c>
      <c r="D122" s="51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9">
        <v>0.0</v>
      </c>
      <c r="S122" s="19">
        <v>0.0</v>
      </c>
      <c r="T122" s="19">
        <v>0.0</v>
      </c>
      <c r="U122" s="19">
        <v>0.0</v>
      </c>
      <c r="V122" s="19">
        <v>0.0</v>
      </c>
      <c r="W122" s="19">
        <v>0.0</v>
      </c>
      <c r="X122" s="19">
        <v>0.0</v>
      </c>
      <c r="Y122" s="19">
        <v>0.0</v>
      </c>
      <c r="Z122" s="19">
        <v>0.0</v>
      </c>
      <c r="AA122" s="19">
        <v>0.0</v>
      </c>
      <c r="AB122" s="19">
        <v>0.0</v>
      </c>
      <c r="AC122" s="13">
        <f t="shared" si="9"/>
        <v>0</v>
      </c>
      <c r="AD122" s="5"/>
      <c r="AE122" s="5"/>
    </row>
    <row r="123" ht="12.75" customHeight="1">
      <c r="A123" s="18"/>
      <c r="B123" s="49">
        <v>6.0</v>
      </c>
      <c r="C123" s="50" t="s">
        <v>106</v>
      </c>
      <c r="D123" s="51"/>
      <c r="E123" s="19">
        <v>0.0</v>
      </c>
      <c r="F123" s="19">
        <v>0.0</v>
      </c>
      <c r="G123" s="19">
        <v>0.0</v>
      </c>
      <c r="H123" s="19">
        <v>0.0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9">
        <v>0.0</v>
      </c>
      <c r="S123" s="19">
        <v>0.0</v>
      </c>
      <c r="T123" s="19">
        <v>0.0</v>
      </c>
      <c r="U123" s="19">
        <v>0.0</v>
      </c>
      <c r="V123" s="19">
        <v>0.0</v>
      </c>
      <c r="W123" s="19">
        <v>0.0</v>
      </c>
      <c r="X123" s="19">
        <v>0.0</v>
      </c>
      <c r="Y123" s="19">
        <v>0.0</v>
      </c>
      <c r="Z123" s="19">
        <v>0.0</v>
      </c>
      <c r="AA123" s="19">
        <v>0.0</v>
      </c>
      <c r="AB123" s="19">
        <v>0.0</v>
      </c>
      <c r="AC123" s="13">
        <f t="shared" si="9"/>
        <v>0</v>
      </c>
      <c r="AD123" s="5"/>
      <c r="AE123" s="5"/>
    </row>
    <row r="124" ht="12.75" customHeight="1">
      <c r="A124" s="19" t="s">
        <v>15</v>
      </c>
      <c r="B124" s="47" t="s">
        <v>46</v>
      </c>
      <c r="C124" s="15"/>
      <c r="D124" s="16"/>
      <c r="E124" s="56">
        <f t="shared" ref="E124:AB124" si="19">SUM(E117:E123)</f>
        <v>1</v>
      </c>
      <c r="F124" s="56">
        <f t="shared" si="19"/>
        <v>1</v>
      </c>
      <c r="G124" s="56">
        <f t="shared" si="19"/>
        <v>0</v>
      </c>
      <c r="H124" s="56">
        <f t="shared" si="19"/>
        <v>0</v>
      </c>
      <c r="I124" s="56">
        <f t="shared" si="19"/>
        <v>0</v>
      </c>
      <c r="J124" s="56">
        <f t="shared" si="19"/>
        <v>0</v>
      </c>
      <c r="K124" s="56">
        <f t="shared" si="19"/>
        <v>0</v>
      </c>
      <c r="L124" s="56">
        <f t="shared" si="19"/>
        <v>0</v>
      </c>
      <c r="M124" s="56">
        <f t="shared" si="19"/>
        <v>1</v>
      </c>
      <c r="N124" s="56">
        <f t="shared" si="19"/>
        <v>0</v>
      </c>
      <c r="O124" s="56">
        <f t="shared" si="19"/>
        <v>1</v>
      </c>
      <c r="P124" s="56">
        <f t="shared" si="19"/>
        <v>0</v>
      </c>
      <c r="Q124" s="56">
        <f t="shared" si="19"/>
        <v>0</v>
      </c>
      <c r="R124" s="56">
        <f t="shared" si="19"/>
        <v>0</v>
      </c>
      <c r="S124" s="56">
        <f t="shared" si="19"/>
        <v>0</v>
      </c>
      <c r="T124" s="56">
        <f t="shared" si="19"/>
        <v>0</v>
      </c>
      <c r="U124" s="56">
        <f t="shared" si="19"/>
        <v>0</v>
      </c>
      <c r="V124" s="56">
        <f t="shared" si="19"/>
        <v>0</v>
      </c>
      <c r="W124" s="56">
        <f t="shared" si="19"/>
        <v>0</v>
      </c>
      <c r="X124" s="56">
        <f t="shared" si="19"/>
        <v>0</v>
      </c>
      <c r="Y124" s="56">
        <f t="shared" si="19"/>
        <v>0</v>
      </c>
      <c r="Z124" s="56">
        <f t="shared" si="19"/>
        <v>0</v>
      </c>
      <c r="AA124" s="56">
        <f t="shared" si="19"/>
        <v>0</v>
      </c>
      <c r="AB124" s="56">
        <f t="shared" si="19"/>
        <v>2</v>
      </c>
      <c r="AC124" s="13">
        <f t="shared" si="9"/>
        <v>6</v>
      </c>
      <c r="AD124" s="5"/>
      <c r="AE124" s="5"/>
    </row>
    <row r="125" ht="12.75" customHeight="1">
      <c r="A125" s="57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13">
        <f t="shared" si="9"/>
        <v>0</v>
      </c>
      <c r="AD125" s="5"/>
      <c r="AE125" s="5"/>
    </row>
    <row r="126" ht="12.75" customHeight="1">
      <c r="A126" s="30" t="s">
        <v>37</v>
      </c>
      <c r="B126" s="47" t="s">
        <v>107</v>
      </c>
      <c r="C126" s="48" t="s">
        <v>108</v>
      </c>
      <c r="D126" s="16"/>
      <c r="E126" s="19">
        <v>0.0</v>
      </c>
      <c r="F126" s="19">
        <v>0.0</v>
      </c>
      <c r="G126" s="19">
        <v>0.0</v>
      </c>
      <c r="H126" s="19">
        <v>0.0</v>
      </c>
      <c r="I126" s="19">
        <v>0.0</v>
      </c>
      <c r="J126" s="19">
        <v>0.0</v>
      </c>
      <c r="K126" s="19">
        <v>0.0</v>
      </c>
      <c r="L126" s="19">
        <v>0.0</v>
      </c>
      <c r="M126" s="19">
        <v>0.0</v>
      </c>
      <c r="N126" s="19">
        <v>0.0</v>
      </c>
      <c r="O126" s="19">
        <v>0.0</v>
      </c>
      <c r="P126" s="19">
        <v>1.0</v>
      </c>
      <c r="Q126" s="19">
        <v>0.0</v>
      </c>
      <c r="R126" s="19">
        <v>0.0</v>
      </c>
      <c r="S126" s="19">
        <v>0.0</v>
      </c>
      <c r="T126" s="19"/>
      <c r="U126" s="19"/>
      <c r="V126" s="19"/>
      <c r="W126" s="19"/>
      <c r="X126" s="19"/>
      <c r="Y126" s="19"/>
      <c r="Z126" s="19"/>
      <c r="AA126" s="19"/>
      <c r="AB126" s="19"/>
      <c r="AC126" s="13">
        <f t="shared" si="9"/>
        <v>1</v>
      </c>
      <c r="AD126" s="5"/>
      <c r="AE126" s="5"/>
    </row>
    <row r="127" ht="15.0" customHeight="1">
      <c r="A127" s="30" t="s">
        <v>39</v>
      </c>
      <c r="B127" s="49"/>
      <c r="C127" s="50"/>
      <c r="D127" s="51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3">
        <f t="shared" si="9"/>
        <v>0</v>
      </c>
      <c r="AD127" s="5"/>
      <c r="AE127" s="5"/>
    </row>
    <row r="128" ht="12.75" customHeight="1">
      <c r="A128" s="19" t="s">
        <v>15</v>
      </c>
      <c r="B128" s="47" t="s">
        <v>46</v>
      </c>
      <c r="C128" s="15"/>
      <c r="D128" s="16"/>
      <c r="E128" s="56">
        <f t="shared" ref="E128:AB128" si="20">SUM(E126:E127)</f>
        <v>0</v>
      </c>
      <c r="F128" s="56">
        <f t="shared" si="20"/>
        <v>0</v>
      </c>
      <c r="G128" s="56">
        <f t="shared" si="20"/>
        <v>0</v>
      </c>
      <c r="H128" s="56">
        <f t="shared" si="20"/>
        <v>0</v>
      </c>
      <c r="I128" s="56">
        <f t="shared" si="20"/>
        <v>0</v>
      </c>
      <c r="J128" s="56">
        <f t="shared" si="20"/>
        <v>0</v>
      </c>
      <c r="K128" s="56">
        <f t="shared" si="20"/>
        <v>0</v>
      </c>
      <c r="L128" s="56">
        <f t="shared" si="20"/>
        <v>0</v>
      </c>
      <c r="M128" s="56">
        <f t="shared" si="20"/>
        <v>0</v>
      </c>
      <c r="N128" s="56">
        <f t="shared" si="20"/>
        <v>0</v>
      </c>
      <c r="O128" s="56">
        <f t="shared" si="20"/>
        <v>0</v>
      </c>
      <c r="P128" s="56">
        <f t="shared" si="20"/>
        <v>1</v>
      </c>
      <c r="Q128" s="56">
        <f t="shared" si="20"/>
        <v>0</v>
      </c>
      <c r="R128" s="56">
        <f t="shared" si="20"/>
        <v>0</v>
      </c>
      <c r="S128" s="56">
        <f t="shared" si="20"/>
        <v>0</v>
      </c>
      <c r="T128" s="56">
        <f t="shared" si="20"/>
        <v>0</v>
      </c>
      <c r="U128" s="56">
        <f t="shared" si="20"/>
        <v>0</v>
      </c>
      <c r="V128" s="56">
        <f t="shared" si="20"/>
        <v>0</v>
      </c>
      <c r="W128" s="56">
        <f t="shared" si="20"/>
        <v>0</v>
      </c>
      <c r="X128" s="56">
        <f t="shared" si="20"/>
        <v>0</v>
      </c>
      <c r="Y128" s="56">
        <f t="shared" si="20"/>
        <v>0</v>
      </c>
      <c r="Z128" s="56">
        <f t="shared" si="20"/>
        <v>0</v>
      </c>
      <c r="AA128" s="56">
        <f t="shared" si="20"/>
        <v>0</v>
      </c>
      <c r="AB128" s="56">
        <f t="shared" si="20"/>
        <v>0</v>
      </c>
      <c r="AC128" s="13">
        <f t="shared" si="9"/>
        <v>1</v>
      </c>
      <c r="AD128" s="5"/>
      <c r="AE128" s="5"/>
    </row>
    <row r="129" ht="12.75" customHeight="1">
      <c r="A129" s="57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13">
        <f t="shared" si="9"/>
        <v>0</v>
      </c>
      <c r="AD129" s="5"/>
      <c r="AE129" s="5"/>
    </row>
    <row r="130" ht="12.75" customHeight="1">
      <c r="A130" s="30" t="s">
        <v>37</v>
      </c>
      <c r="B130" s="47" t="s">
        <v>109</v>
      </c>
      <c r="C130" s="48" t="s">
        <v>110</v>
      </c>
      <c r="D130" s="16"/>
      <c r="E130" s="19">
        <v>0.0</v>
      </c>
      <c r="F130" s="19">
        <v>0.0</v>
      </c>
      <c r="G130" s="19">
        <v>0.0</v>
      </c>
      <c r="H130" s="19">
        <v>1.0</v>
      </c>
      <c r="I130" s="19">
        <v>1.0</v>
      </c>
      <c r="J130" s="19">
        <v>0.0</v>
      </c>
      <c r="K130" s="19">
        <v>0.0</v>
      </c>
      <c r="L130" s="19">
        <v>0.0</v>
      </c>
      <c r="M130" s="19">
        <v>0.0</v>
      </c>
      <c r="N130" s="19">
        <v>0.0</v>
      </c>
      <c r="O130" s="19">
        <v>0.0</v>
      </c>
      <c r="P130" s="19">
        <v>1.0</v>
      </c>
      <c r="Q130" s="19">
        <v>0.0</v>
      </c>
      <c r="R130" s="19">
        <v>0.0</v>
      </c>
      <c r="S130" s="19">
        <v>0.0</v>
      </c>
      <c r="T130" s="19">
        <v>1.0</v>
      </c>
      <c r="U130" s="19">
        <v>3.0</v>
      </c>
      <c r="V130" s="19">
        <v>1.0</v>
      </c>
      <c r="W130" s="19">
        <v>1.0</v>
      </c>
      <c r="X130" s="19">
        <v>1.0</v>
      </c>
      <c r="Y130" s="19">
        <v>2.0</v>
      </c>
      <c r="Z130" s="19">
        <v>2.0</v>
      </c>
      <c r="AA130" s="19">
        <v>0.0</v>
      </c>
      <c r="AB130" s="19">
        <v>0.0</v>
      </c>
      <c r="AC130" s="13">
        <f t="shared" si="9"/>
        <v>14</v>
      </c>
      <c r="AD130" s="1"/>
      <c r="AE130" s="1"/>
    </row>
    <row r="131" ht="12.75" customHeight="1">
      <c r="A131" s="30" t="s">
        <v>39</v>
      </c>
      <c r="B131" s="49">
        <v>1.0</v>
      </c>
      <c r="C131" s="50" t="s">
        <v>111</v>
      </c>
      <c r="D131" s="51"/>
      <c r="E131" s="19">
        <v>0.0</v>
      </c>
      <c r="F131" s="19">
        <v>1.0</v>
      </c>
      <c r="G131" s="19">
        <v>7.0</v>
      </c>
      <c r="H131" s="19">
        <v>0.0</v>
      </c>
      <c r="I131" s="19">
        <v>1.0</v>
      </c>
      <c r="J131" s="19">
        <v>1.0</v>
      </c>
      <c r="K131" s="19">
        <v>2.0</v>
      </c>
      <c r="L131" s="19">
        <v>2.0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1.0</v>
      </c>
      <c r="S131" s="19">
        <v>1.0</v>
      </c>
      <c r="T131" s="19">
        <v>2.0</v>
      </c>
      <c r="U131" s="19">
        <v>4.0</v>
      </c>
      <c r="V131" s="19">
        <v>1.0</v>
      </c>
      <c r="W131" s="19">
        <v>0.0</v>
      </c>
      <c r="X131" s="19">
        <v>0.0</v>
      </c>
      <c r="Y131" s="19">
        <v>1.0</v>
      </c>
      <c r="Z131" s="19">
        <v>1.0</v>
      </c>
      <c r="AA131" s="19">
        <v>0.0</v>
      </c>
      <c r="AB131" s="19">
        <v>2.0</v>
      </c>
      <c r="AC131" s="13">
        <f t="shared" si="9"/>
        <v>27</v>
      </c>
      <c r="AD131" s="53"/>
      <c r="AE131" s="53"/>
    </row>
    <row r="132" ht="12.75" customHeight="1">
      <c r="A132" s="18"/>
      <c r="B132" s="49">
        <v>2.0</v>
      </c>
      <c r="C132" s="50" t="s">
        <v>112</v>
      </c>
      <c r="D132" s="51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1.0</v>
      </c>
      <c r="W132" s="19">
        <v>0.0</v>
      </c>
      <c r="X132" s="19">
        <v>0.0</v>
      </c>
      <c r="Y132" s="19">
        <v>1.0</v>
      </c>
      <c r="Z132" s="19">
        <v>0.0</v>
      </c>
      <c r="AA132" s="19">
        <v>0.0</v>
      </c>
      <c r="AB132" s="19">
        <v>0.0</v>
      </c>
      <c r="AC132" s="13">
        <f t="shared" si="9"/>
        <v>2</v>
      </c>
      <c r="AD132" s="5"/>
      <c r="AE132" s="5"/>
    </row>
    <row r="133" ht="12.75" customHeight="1">
      <c r="A133" s="18"/>
      <c r="B133" s="49">
        <v>3.0</v>
      </c>
      <c r="C133" s="50" t="s">
        <v>113</v>
      </c>
      <c r="D133" s="5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1.0</v>
      </c>
      <c r="L133" s="19">
        <v>0.0</v>
      </c>
      <c r="M133" s="19">
        <v>1.0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1.0</v>
      </c>
      <c r="Z133" s="19">
        <v>0.0</v>
      </c>
      <c r="AA133" s="19">
        <v>0.0</v>
      </c>
      <c r="AB133" s="19">
        <v>0.0</v>
      </c>
      <c r="AC133" s="13">
        <f t="shared" si="9"/>
        <v>3</v>
      </c>
      <c r="AD133" s="5"/>
      <c r="AE133" s="5"/>
    </row>
    <row r="134" ht="12.75" customHeight="1">
      <c r="A134" s="18"/>
      <c r="B134" s="49">
        <v>4.0</v>
      </c>
      <c r="C134" s="50" t="s">
        <v>114</v>
      </c>
      <c r="D134" s="51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3">
        <f t="shared" si="9"/>
        <v>0</v>
      </c>
      <c r="AD134" s="5"/>
      <c r="AE134" s="5"/>
    </row>
    <row r="135" ht="12.75" customHeight="1">
      <c r="A135" s="19" t="s">
        <v>15</v>
      </c>
      <c r="B135" s="47" t="s">
        <v>46</v>
      </c>
      <c r="C135" s="15"/>
      <c r="D135" s="16"/>
      <c r="E135" s="56">
        <f t="shared" ref="E135:AB135" si="21">SUM(E130:E134)</f>
        <v>0</v>
      </c>
      <c r="F135" s="56">
        <f t="shared" si="21"/>
        <v>1</v>
      </c>
      <c r="G135" s="56">
        <f t="shared" si="21"/>
        <v>7</v>
      </c>
      <c r="H135" s="56">
        <f t="shared" si="21"/>
        <v>1</v>
      </c>
      <c r="I135" s="56">
        <f t="shared" si="21"/>
        <v>2</v>
      </c>
      <c r="J135" s="56">
        <f t="shared" si="21"/>
        <v>1</v>
      </c>
      <c r="K135" s="56">
        <f t="shared" si="21"/>
        <v>3</v>
      </c>
      <c r="L135" s="56">
        <f t="shared" si="21"/>
        <v>2</v>
      </c>
      <c r="M135" s="56">
        <f t="shared" si="21"/>
        <v>1</v>
      </c>
      <c r="N135" s="56">
        <f t="shared" si="21"/>
        <v>0</v>
      </c>
      <c r="O135" s="56">
        <f t="shared" si="21"/>
        <v>0</v>
      </c>
      <c r="P135" s="56">
        <f t="shared" si="21"/>
        <v>1</v>
      </c>
      <c r="Q135" s="56">
        <f t="shared" si="21"/>
        <v>0</v>
      </c>
      <c r="R135" s="56">
        <f t="shared" si="21"/>
        <v>1</v>
      </c>
      <c r="S135" s="56">
        <f t="shared" si="21"/>
        <v>1</v>
      </c>
      <c r="T135" s="56">
        <f t="shared" si="21"/>
        <v>3</v>
      </c>
      <c r="U135" s="56">
        <f t="shared" si="21"/>
        <v>7</v>
      </c>
      <c r="V135" s="56">
        <f t="shared" si="21"/>
        <v>3</v>
      </c>
      <c r="W135" s="56">
        <f t="shared" si="21"/>
        <v>1</v>
      </c>
      <c r="X135" s="56">
        <f t="shared" si="21"/>
        <v>1</v>
      </c>
      <c r="Y135" s="56">
        <f t="shared" si="21"/>
        <v>5</v>
      </c>
      <c r="Z135" s="56">
        <f t="shared" si="21"/>
        <v>3</v>
      </c>
      <c r="AA135" s="56">
        <f t="shared" si="21"/>
        <v>0</v>
      </c>
      <c r="AB135" s="56">
        <f t="shared" si="21"/>
        <v>2</v>
      </c>
      <c r="AC135" s="13">
        <f t="shared" si="9"/>
        <v>46</v>
      </c>
      <c r="AD135" s="5"/>
      <c r="AE135" s="5"/>
    </row>
    <row r="136" ht="12.75" customHeight="1">
      <c r="A136" s="57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13">
        <f t="shared" si="9"/>
        <v>0</v>
      </c>
      <c r="AD136" s="5"/>
      <c r="AE136" s="5"/>
    </row>
    <row r="137" ht="12.75" customHeight="1">
      <c r="A137" s="30" t="s">
        <v>37</v>
      </c>
      <c r="B137" s="47" t="s">
        <v>115</v>
      </c>
      <c r="C137" s="48" t="s">
        <v>116</v>
      </c>
      <c r="D137" s="16"/>
      <c r="E137" s="19">
        <v>0.0</v>
      </c>
      <c r="F137" s="19">
        <v>0.0</v>
      </c>
      <c r="G137" s="19">
        <v>0.0</v>
      </c>
      <c r="H137" s="19">
        <v>0.0</v>
      </c>
      <c r="I137" s="19">
        <v>0.0</v>
      </c>
      <c r="J137" s="19">
        <v>1.0</v>
      </c>
      <c r="K137" s="19">
        <v>0.0</v>
      </c>
      <c r="L137" s="19">
        <v>0.0</v>
      </c>
      <c r="M137" s="19">
        <v>0.0</v>
      </c>
      <c r="N137" s="19">
        <v>0.0</v>
      </c>
      <c r="O137" s="19">
        <v>0.0</v>
      </c>
      <c r="P137" s="19">
        <v>0.0</v>
      </c>
      <c r="Q137" s="19">
        <v>0.0</v>
      </c>
      <c r="R137" s="19">
        <v>0.0</v>
      </c>
      <c r="S137" s="19">
        <v>0.0</v>
      </c>
      <c r="T137" s="19">
        <v>0.0</v>
      </c>
      <c r="U137" s="19">
        <v>0.0</v>
      </c>
      <c r="V137" s="19">
        <v>0.0</v>
      </c>
      <c r="W137" s="19">
        <v>0.0</v>
      </c>
      <c r="X137" s="19">
        <v>0.0</v>
      </c>
      <c r="Y137" s="19">
        <v>0.0</v>
      </c>
      <c r="Z137" s="19">
        <v>0.0</v>
      </c>
      <c r="AA137" s="19">
        <v>0.0</v>
      </c>
      <c r="AB137" s="19">
        <v>1.0</v>
      </c>
      <c r="AC137" s="13">
        <f t="shared" si="9"/>
        <v>2</v>
      </c>
      <c r="AD137" s="5"/>
      <c r="AE137" s="5"/>
    </row>
    <row r="138" ht="12.75" customHeight="1">
      <c r="A138" s="30" t="s">
        <v>39</v>
      </c>
      <c r="B138" s="49">
        <v>1.0</v>
      </c>
      <c r="C138" s="50" t="s">
        <v>117</v>
      </c>
      <c r="D138" s="51"/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0.0</v>
      </c>
      <c r="K138" s="19">
        <v>0.0</v>
      </c>
      <c r="L138" s="19">
        <v>1.0</v>
      </c>
      <c r="M138" s="19">
        <v>0.0</v>
      </c>
      <c r="N138" s="19">
        <v>0.0</v>
      </c>
      <c r="O138" s="19">
        <v>0.0</v>
      </c>
      <c r="P138" s="19">
        <v>0.0</v>
      </c>
      <c r="Q138" s="19">
        <v>1.0</v>
      </c>
      <c r="R138" s="19">
        <v>0.0</v>
      </c>
      <c r="S138" s="19">
        <v>0.0</v>
      </c>
      <c r="T138" s="19">
        <v>0.0</v>
      </c>
      <c r="U138" s="19">
        <v>0.0</v>
      </c>
      <c r="V138" s="19">
        <v>0.0</v>
      </c>
      <c r="W138" s="19">
        <v>0.0</v>
      </c>
      <c r="X138" s="19">
        <v>0.0</v>
      </c>
      <c r="Y138" s="19">
        <v>0.0</v>
      </c>
      <c r="Z138" s="19">
        <v>0.0</v>
      </c>
      <c r="AA138" s="19">
        <v>0.0</v>
      </c>
      <c r="AB138" s="19">
        <v>0.0</v>
      </c>
      <c r="AC138" s="13">
        <f t="shared" si="9"/>
        <v>2</v>
      </c>
      <c r="AD138" s="5"/>
      <c r="AE138" s="5"/>
    </row>
    <row r="139" ht="15.0" customHeight="1">
      <c r="A139" s="18"/>
      <c r="B139" s="49">
        <v>2.0</v>
      </c>
      <c r="C139" s="50" t="s">
        <v>118</v>
      </c>
      <c r="D139" s="51"/>
      <c r="E139" s="19">
        <v>0.0</v>
      </c>
      <c r="F139" s="19">
        <v>0.0</v>
      </c>
      <c r="G139" s="19">
        <v>0.0</v>
      </c>
      <c r="H139" s="19">
        <v>0.0</v>
      </c>
      <c r="I139" s="19">
        <v>0.0</v>
      </c>
      <c r="J139" s="19">
        <v>0.0</v>
      </c>
      <c r="K139" s="19">
        <v>0.0</v>
      </c>
      <c r="L139" s="19">
        <v>0.0</v>
      </c>
      <c r="M139" s="19">
        <v>1.0</v>
      </c>
      <c r="N139" s="19">
        <v>1.0</v>
      </c>
      <c r="O139" s="19">
        <v>0.0</v>
      </c>
      <c r="P139" s="19">
        <v>0.0</v>
      </c>
      <c r="Q139" s="19">
        <v>0.0</v>
      </c>
      <c r="R139" s="19">
        <v>0.0</v>
      </c>
      <c r="S139" s="19">
        <v>0.0</v>
      </c>
      <c r="T139" s="19">
        <v>0.0</v>
      </c>
      <c r="U139" s="19">
        <v>0.0</v>
      </c>
      <c r="V139" s="19">
        <v>0.0</v>
      </c>
      <c r="W139" s="19">
        <v>1.0</v>
      </c>
      <c r="X139" s="19">
        <v>0.0</v>
      </c>
      <c r="Y139" s="19">
        <v>0.0</v>
      </c>
      <c r="Z139" s="19">
        <v>0.0</v>
      </c>
      <c r="AA139" s="19">
        <v>0.0</v>
      </c>
      <c r="AB139" s="19">
        <v>0.0</v>
      </c>
      <c r="AC139" s="13">
        <f t="shared" si="9"/>
        <v>3</v>
      </c>
      <c r="AD139" s="5"/>
      <c r="AE139" s="5"/>
    </row>
    <row r="140" ht="12.75" customHeight="1">
      <c r="A140" s="18"/>
      <c r="B140" s="49">
        <v>3.0</v>
      </c>
      <c r="C140" s="50" t="s">
        <v>119</v>
      </c>
      <c r="D140" s="51"/>
      <c r="E140" s="19">
        <v>0.0</v>
      </c>
      <c r="F140" s="19">
        <v>0.0</v>
      </c>
      <c r="G140" s="19">
        <v>0.0</v>
      </c>
      <c r="H140" s="19">
        <v>0.0</v>
      </c>
      <c r="I140" s="19">
        <v>0.0</v>
      </c>
      <c r="J140" s="19">
        <v>0.0</v>
      </c>
      <c r="K140" s="19">
        <v>0.0</v>
      </c>
      <c r="L140" s="19">
        <v>0.0</v>
      </c>
      <c r="M140" s="19">
        <v>0.0</v>
      </c>
      <c r="N140" s="19">
        <v>0.0</v>
      </c>
      <c r="O140" s="19">
        <v>0.0</v>
      </c>
      <c r="P140" s="19">
        <v>0.0</v>
      </c>
      <c r="Q140" s="19">
        <v>0.0</v>
      </c>
      <c r="R140" s="19">
        <v>0.0</v>
      </c>
      <c r="S140" s="19">
        <v>0.0</v>
      </c>
      <c r="T140" s="19">
        <v>0.0</v>
      </c>
      <c r="U140" s="19">
        <v>0.0</v>
      </c>
      <c r="V140" s="19">
        <v>0.0</v>
      </c>
      <c r="W140" s="19">
        <v>0.0</v>
      </c>
      <c r="X140" s="19">
        <v>0.0</v>
      </c>
      <c r="Y140" s="19">
        <v>0.0</v>
      </c>
      <c r="Z140" s="19">
        <v>0.0</v>
      </c>
      <c r="AA140" s="19">
        <v>0.0</v>
      </c>
      <c r="AB140" s="19">
        <v>0.0</v>
      </c>
      <c r="AC140" s="13">
        <f t="shared" si="9"/>
        <v>0</v>
      </c>
      <c r="AD140" s="5"/>
      <c r="AE140" s="5"/>
    </row>
    <row r="141" ht="12.75" customHeight="1">
      <c r="A141" s="18"/>
      <c r="B141" s="49">
        <v>4.0</v>
      </c>
      <c r="C141" s="50" t="s">
        <v>120</v>
      </c>
      <c r="D141" s="51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3">
        <f t="shared" si="9"/>
        <v>0</v>
      </c>
      <c r="AD141" s="1"/>
      <c r="AE141" s="1"/>
    </row>
    <row r="142" ht="12.75" customHeight="1">
      <c r="A142" s="18"/>
      <c r="B142" s="49">
        <v>5.0</v>
      </c>
      <c r="C142" s="50" t="s">
        <v>121</v>
      </c>
      <c r="D142" s="5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3">
        <f t="shared" si="9"/>
        <v>0</v>
      </c>
      <c r="AD142" s="53"/>
      <c r="AE142" s="53"/>
    </row>
    <row r="143" ht="12.75" customHeight="1">
      <c r="A143" s="18"/>
      <c r="B143" s="49">
        <v>6.0</v>
      </c>
      <c r="C143" s="50" t="s">
        <v>122</v>
      </c>
      <c r="D143" s="51"/>
      <c r="E143" s="19">
        <v>0.0</v>
      </c>
      <c r="F143" s="19">
        <v>0.0</v>
      </c>
      <c r="G143" s="19">
        <v>1.0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3">
        <f t="shared" si="9"/>
        <v>1</v>
      </c>
      <c r="AD143" s="5"/>
      <c r="AE143" s="5"/>
    </row>
    <row r="144" ht="12.75" customHeight="1">
      <c r="A144" s="19" t="s">
        <v>15</v>
      </c>
      <c r="B144" s="47" t="s">
        <v>46</v>
      </c>
      <c r="C144" s="15"/>
      <c r="D144" s="16"/>
      <c r="E144" s="56">
        <f t="shared" ref="E144:AB144" si="22">SUM(E137:E143)</f>
        <v>0</v>
      </c>
      <c r="F144" s="56">
        <f t="shared" si="22"/>
        <v>0</v>
      </c>
      <c r="G144" s="56">
        <f t="shared" si="22"/>
        <v>1</v>
      </c>
      <c r="H144" s="56">
        <f t="shared" si="22"/>
        <v>0</v>
      </c>
      <c r="I144" s="56">
        <f t="shared" si="22"/>
        <v>0</v>
      </c>
      <c r="J144" s="56">
        <f t="shared" si="22"/>
        <v>1</v>
      </c>
      <c r="K144" s="56">
        <f t="shared" si="22"/>
        <v>0</v>
      </c>
      <c r="L144" s="56">
        <f t="shared" si="22"/>
        <v>1</v>
      </c>
      <c r="M144" s="56">
        <f t="shared" si="22"/>
        <v>1</v>
      </c>
      <c r="N144" s="56">
        <f t="shared" si="22"/>
        <v>1</v>
      </c>
      <c r="O144" s="56">
        <f t="shared" si="22"/>
        <v>0</v>
      </c>
      <c r="P144" s="56">
        <f t="shared" si="22"/>
        <v>0</v>
      </c>
      <c r="Q144" s="56">
        <f t="shared" si="22"/>
        <v>1</v>
      </c>
      <c r="R144" s="56">
        <f t="shared" si="22"/>
        <v>0</v>
      </c>
      <c r="S144" s="56">
        <f t="shared" si="22"/>
        <v>0</v>
      </c>
      <c r="T144" s="56">
        <f t="shared" si="22"/>
        <v>0</v>
      </c>
      <c r="U144" s="56">
        <f t="shared" si="22"/>
        <v>0</v>
      </c>
      <c r="V144" s="56">
        <f t="shared" si="22"/>
        <v>0</v>
      </c>
      <c r="W144" s="56">
        <f t="shared" si="22"/>
        <v>1</v>
      </c>
      <c r="X144" s="56">
        <f t="shared" si="22"/>
        <v>0</v>
      </c>
      <c r="Y144" s="56">
        <f t="shared" si="22"/>
        <v>0</v>
      </c>
      <c r="Z144" s="56">
        <f t="shared" si="22"/>
        <v>0</v>
      </c>
      <c r="AA144" s="56">
        <f t="shared" si="22"/>
        <v>0</v>
      </c>
      <c r="AB144" s="56">
        <f t="shared" si="22"/>
        <v>1</v>
      </c>
      <c r="AC144" s="13">
        <f t="shared" si="9"/>
        <v>8</v>
      </c>
      <c r="AD144" s="5"/>
      <c r="AE144" s="5"/>
    </row>
    <row r="145" ht="12.75" customHeight="1">
      <c r="A145" s="57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13">
        <f t="shared" si="9"/>
        <v>0</v>
      </c>
      <c r="AD145" s="5"/>
      <c r="AE145" s="5"/>
    </row>
    <row r="146" ht="12.75" customHeight="1">
      <c r="A146" s="30" t="s">
        <v>37</v>
      </c>
      <c r="B146" s="47" t="s">
        <v>123</v>
      </c>
      <c r="C146" s="48" t="s">
        <v>124</v>
      </c>
      <c r="D146" s="16"/>
      <c r="E146" s="19">
        <v>2.0</v>
      </c>
      <c r="F146" s="19">
        <v>2.0</v>
      </c>
      <c r="G146" s="19">
        <v>2.0</v>
      </c>
      <c r="H146" s="19">
        <v>2.0</v>
      </c>
      <c r="I146" s="19">
        <v>6.0</v>
      </c>
      <c r="J146" s="19">
        <v>3.0</v>
      </c>
      <c r="K146" s="19">
        <v>0.0</v>
      </c>
      <c r="L146" s="19">
        <v>0.0</v>
      </c>
      <c r="M146" s="19">
        <v>2.0</v>
      </c>
      <c r="N146" s="19">
        <v>5.0</v>
      </c>
      <c r="O146" s="19">
        <v>2.0</v>
      </c>
      <c r="P146" s="19">
        <v>1.0</v>
      </c>
      <c r="Q146" s="19">
        <v>0.0</v>
      </c>
      <c r="R146" s="19">
        <v>0.0</v>
      </c>
      <c r="S146" s="19">
        <v>2.0</v>
      </c>
      <c r="T146" s="19">
        <v>3.0</v>
      </c>
      <c r="U146" s="19">
        <v>2.0</v>
      </c>
      <c r="V146" s="19">
        <v>7.0</v>
      </c>
      <c r="W146" s="19">
        <v>3.0</v>
      </c>
      <c r="X146" s="19">
        <v>1.0</v>
      </c>
      <c r="Y146" s="19">
        <v>2.0</v>
      </c>
      <c r="Z146" s="19">
        <v>0.0</v>
      </c>
      <c r="AA146" s="19">
        <v>3.0</v>
      </c>
      <c r="AB146" s="19">
        <v>5.0</v>
      </c>
      <c r="AC146" s="13">
        <f t="shared" si="9"/>
        <v>55</v>
      </c>
      <c r="AD146" s="5"/>
      <c r="AE146" s="5"/>
    </row>
    <row r="147" ht="12.75" customHeight="1">
      <c r="A147" s="30" t="s">
        <v>39</v>
      </c>
      <c r="B147" s="49">
        <v>1.0</v>
      </c>
      <c r="C147" s="50" t="s">
        <v>125</v>
      </c>
      <c r="D147" s="51"/>
      <c r="E147" s="19">
        <v>1.0</v>
      </c>
      <c r="F147" s="19">
        <v>0.0</v>
      </c>
      <c r="G147" s="19">
        <v>1.0</v>
      </c>
      <c r="H147" s="19">
        <v>1.0</v>
      </c>
      <c r="I147" s="19">
        <v>2.0</v>
      </c>
      <c r="J147" s="19">
        <v>2.0</v>
      </c>
      <c r="K147" s="19">
        <v>0.0</v>
      </c>
      <c r="L147" s="19">
        <v>0.0</v>
      </c>
      <c r="M147" s="19">
        <v>2.0</v>
      </c>
      <c r="N147" s="19">
        <v>12.0</v>
      </c>
      <c r="O147" s="19">
        <v>2.0</v>
      </c>
      <c r="P147" s="19">
        <v>0.0</v>
      </c>
      <c r="Q147" s="19">
        <v>2.0</v>
      </c>
      <c r="R147" s="19">
        <v>1.0</v>
      </c>
      <c r="S147" s="19">
        <v>10.0</v>
      </c>
      <c r="T147" s="19">
        <v>1.0</v>
      </c>
      <c r="U147" s="19">
        <v>0.0</v>
      </c>
      <c r="V147" s="19">
        <v>5.0</v>
      </c>
      <c r="W147" s="19">
        <v>1.0</v>
      </c>
      <c r="X147" s="19">
        <v>5.0</v>
      </c>
      <c r="Y147" s="19">
        <v>1.0</v>
      </c>
      <c r="Z147" s="19">
        <v>1.0</v>
      </c>
      <c r="AA147" s="19">
        <v>7.0</v>
      </c>
      <c r="AB147" s="19">
        <v>3.0</v>
      </c>
      <c r="AC147" s="13">
        <f t="shared" si="9"/>
        <v>60</v>
      </c>
      <c r="AD147" s="5"/>
      <c r="AE147" s="5"/>
    </row>
    <row r="148" ht="12.75" customHeight="1">
      <c r="A148" s="18"/>
      <c r="B148" s="49">
        <v>2.0</v>
      </c>
      <c r="C148" s="50" t="s">
        <v>126</v>
      </c>
      <c r="D148" s="51"/>
      <c r="E148" s="19">
        <v>2.0</v>
      </c>
      <c r="F148" s="19">
        <v>0.0</v>
      </c>
      <c r="G148" s="19">
        <v>0.0</v>
      </c>
      <c r="H148" s="19">
        <v>0.0</v>
      </c>
      <c r="I148" s="19">
        <v>2.0</v>
      </c>
      <c r="J148" s="19">
        <v>1.0</v>
      </c>
      <c r="K148" s="19">
        <v>0.0</v>
      </c>
      <c r="L148" s="19">
        <v>0.0</v>
      </c>
      <c r="M148" s="19">
        <v>0.0</v>
      </c>
      <c r="N148" s="19">
        <v>0.0</v>
      </c>
      <c r="O148" s="19">
        <v>1.0</v>
      </c>
      <c r="P148" s="19">
        <v>0.0</v>
      </c>
      <c r="Q148" s="19">
        <v>0.0</v>
      </c>
      <c r="R148" s="19">
        <v>2.0</v>
      </c>
      <c r="S148" s="19">
        <v>0.0</v>
      </c>
      <c r="T148" s="19">
        <v>4.0</v>
      </c>
      <c r="U148" s="19">
        <v>1.0</v>
      </c>
      <c r="V148" s="19">
        <v>2.0</v>
      </c>
      <c r="W148" s="19">
        <v>0.0</v>
      </c>
      <c r="X148" s="19">
        <v>1.0</v>
      </c>
      <c r="Y148" s="19">
        <v>0.0</v>
      </c>
      <c r="Z148" s="19">
        <v>0.0</v>
      </c>
      <c r="AA148" s="19">
        <v>0.0</v>
      </c>
      <c r="AB148" s="19">
        <v>1.0</v>
      </c>
      <c r="AC148" s="13">
        <f t="shared" si="9"/>
        <v>17</v>
      </c>
      <c r="AD148" s="5"/>
      <c r="AE148" s="5"/>
    </row>
    <row r="149" ht="12.75" customHeight="1">
      <c r="A149" s="18"/>
      <c r="B149" s="49">
        <v>3.0</v>
      </c>
      <c r="C149" s="50" t="s">
        <v>127</v>
      </c>
      <c r="D149" s="51"/>
      <c r="E149" s="19">
        <v>6.0</v>
      </c>
      <c r="F149" s="19">
        <v>0.0</v>
      </c>
      <c r="G149" s="19">
        <v>16.0</v>
      </c>
      <c r="H149" s="19">
        <v>9.0</v>
      </c>
      <c r="I149" s="19">
        <v>11.0</v>
      </c>
      <c r="J149" s="19">
        <v>8.0</v>
      </c>
      <c r="K149" s="19">
        <v>2.0</v>
      </c>
      <c r="L149" s="19">
        <v>2.0</v>
      </c>
      <c r="M149" s="19">
        <v>0.0</v>
      </c>
      <c r="N149" s="19">
        <v>5.0</v>
      </c>
      <c r="O149" s="19">
        <v>0.0</v>
      </c>
      <c r="P149" s="19">
        <v>0.0</v>
      </c>
      <c r="Q149" s="19">
        <v>0.0</v>
      </c>
      <c r="R149" s="19">
        <v>2.0</v>
      </c>
      <c r="S149" s="19">
        <v>0.0</v>
      </c>
      <c r="T149" s="19">
        <v>1.0</v>
      </c>
      <c r="U149" s="19">
        <v>2.0</v>
      </c>
      <c r="V149" s="19">
        <v>2.0</v>
      </c>
      <c r="W149" s="19">
        <v>2.0</v>
      </c>
      <c r="X149" s="19">
        <v>4.0</v>
      </c>
      <c r="Y149" s="19">
        <v>0.0</v>
      </c>
      <c r="Z149" s="19">
        <v>6.0</v>
      </c>
      <c r="AA149" s="19">
        <v>2.0</v>
      </c>
      <c r="AB149" s="19">
        <v>3.0</v>
      </c>
      <c r="AC149" s="13">
        <f t="shared" si="9"/>
        <v>83</v>
      </c>
      <c r="AD149" s="5"/>
      <c r="AE149" s="5"/>
    </row>
    <row r="150" ht="12.75" customHeight="1">
      <c r="A150" s="18"/>
      <c r="B150" s="49">
        <v>4.0</v>
      </c>
      <c r="C150" s="50" t="s">
        <v>128</v>
      </c>
      <c r="D150" s="51"/>
      <c r="E150" s="19">
        <v>1.0</v>
      </c>
      <c r="F150" s="19">
        <v>0.0</v>
      </c>
      <c r="G150" s="19">
        <v>0.0</v>
      </c>
      <c r="H150" s="19">
        <v>0.0</v>
      </c>
      <c r="I150" s="19">
        <v>0.0</v>
      </c>
      <c r="J150" s="19">
        <v>0.0</v>
      </c>
      <c r="K150" s="19">
        <v>0.0</v>
      </c>
      <c r="L150" s="19">
        <v>0.0</v>
      </c>
      <c r="M150" s="19">
        <v>0.0</v>
      </c>
      <c r="N150" s="19">
        <v>0.0</v>
      </c>
      <c r="O150" s="19">
        <v>0.0</v>
      </c>
      <c r="P150" s="19">
        <v>0.0</v>
      </c>
      <c r="Q150" s="19">
        <v>0.0</v>
      </c>
      <c r="R150" s="19">
        <v>0.0</v>
      </c>
      <c r="S150" s="19">
        <v>0.0</v>
      </c>
      <c r="T150" s="19">
        <v>0.0</v>
      </c>
      <c r="U150" s="19">
        <v>0.0</v>
      </c>
      <c r="V150" s="19">
        <v>0.0</v>
      </c>
      <c r="W150" s="19">
        <v>0.0</v>
      </c>
      <c r="X150" s="19">
        <v>0.0</v>
      </c>
      <c r="Y150" s="19">
        <v>0.0</v>
      </c>
      <c r="Z150" s="19">
        <v>0.0</v>
      </c>
      <c r="AA150" s="19">
        <v>1.0</v>
      </c>
      <c r="AB150" s="19">
        <v>0.0</v>
      </c>
      <c r="AC150" s="13">
        <f t="shared" si="9"/>
        <v>2</v>
      </c>
      <c r="AD150" s="5"/>
      <c r="AE150" s="5"/>
    </row>
    <row r="151" ht="12.75" customHeight="1">
      <c r="A151" s="18"/>
      <c r="B151" s="49">
        <v>5.0</v>
      </c>
      <c r="C151" s="50" t="s">
        <v>129</v>
      </c>
      <c r="D151" s="51"/>
      <c r="E151" s="19">
        <v>0.0</v>
      </c>
      <c r="F151" s="19">
        <v>0.0</v>
      </c>
      <c r="G151" s="19">
        <v>0.0</v>
      </c>
      <c r="H151" s="19">
        <v>0.0</v>
      </c>
      <c r="I151" s="19">
        <v>0.0</v>
      </c>
      <c r="J151" s="19">
        <v>1.0</v>
      </c>
      <c r="K151" s="19">
        <v>0.0</v>
      </c>
      <c r="L151" s="19">
        <v>0.0</v>
      </c>
      <c r="M151" s="19">
        <v>0.0</v>
      </c>
      <c r="N151" s="19">
        <v>0.0</v>
      </c>
      <c r="O151" s="19">
        <v>0.0</v>
      </c>
      <c r="P151" s="19">
        <v>0.0</v>
      </c>
      <c r="Q151" s="19">
        <v>0.0</v>
      </c>
      <c r="R151" s="19">
        <v>0.0</v>
      </c>
      <c r="S151" s="19">
        <v>0.0</v>
      </c>
      <c r="T151" s="19">
        <v>1.0</v>
      </c>
      <c r="U151" s="19">
        <v>0.0</v>
      </c>
      <c r="V151" s="19">
        <v>0.0</v>
      </c>
      <c r="W151" s="19">
        <v>0.0</v>
      </c>
      <c r="X151" s="19">
        <v>0.0</v>
      </c>
      <c r="Y151" s="19">
        <v>1.0</v>
      </c>
      <c r="Z151" s="19">
        <v>0.0</v>
      </c>
      <c r="AA151" s="19">
        <v>1.0</v>
      </c>
      <c r="AB151" s="19">
        <v>0.0</v>
      </c>
      <c r="AC151" s="13">
        <f t="shared" si="9"/>
        <v>4</v>
      </c>
      <c r="AD151" s="1"/>
      <c r="AE151" s="1"/>
    </row>
    <row r="152" ht="12.75" customHeight="1">
      <c r="A152" s="18"/>
      <c r="B152" s="49">
        <v>6.0</v>
      </c>
      <c r="C152" s="50" t="s">
        <v>130</v>
      </c>
      <c r="D152" s="51"/>
      <c r="E152" s="19">
        <v>0.0</v>
      </c>
      <c r="F152" s="19">
        <v>0.0</v>
      </c>
      <c r="G152" s="19">
        <v>5.0</v>
      </c>
      <c r="H152" s="19">
        <v>22.0</v>
      </c>
      <c r="I152" s="19">
        <v>39.0</v>
      </c>
      <c r="J152" s="19">
        <v>45.0</v>
      </c>
      <c r="K152" s="19">
        <v>3.0</v>
      </c>
      <c r="L152" s="19">
        <v>0.0</v>
      </c>
      <c r="M152" s="19">
        <v>0.0</v>
      </c>
      <c r="N152" s="19">
        <v>2.0</v>
      </c>
      <c r="O152" s="19">
        <v>3.0</v>
      </c>
      <c r="P152" s="19">
        <v>1.0</v>
      </c>
      <c r="Q152" s="19">
        <v>0.0</v>
      </c>
      <c r="R152" s="19">
        <v>1.0</v>
      </c>
      <c r="S152" s="19">
        <v>0.0</v>
      </c>
      <c r="T152" s="19">
        <v>0.0</v>
      </c>
      <c r="U152" s="19">
        <v>0.0</v>
      </c>
      <c r="V152" s="19">
        <v>1.0</v>
      </c>
      <c r="W152" s="19">
        <v>1.0</v>
      </c>
      <c r="X152" s="19">
        <v>0.0</v>
      </c>
      <c r="Y152" s="19">
        <v>1.0</v>
      </c>
      <c r="Z152" s="19">
        <v>17.0</v>
      </c>
      <c r="AA152" s="19">
        <v>154.0</v>
      </c>
      <c r="AB152" s="19">
        <v>47.0</v>
      </c>
      <c r="AC152" s="13">
        <f t="shared" si="9"/>
        <v>342</v>
      </c>
      <c r="AD152" s="53"/>
      <c r="AE152" s="53"/>
    </row>
    <row r="153" ht="12.75" customHeight="1">
      <c r="A153" s="19" t="s">
        <v>15</v>
      </c>
      <c r="B153" s="47" t="s">
        <v>46</v>
      </c>
      <c r="C153" s="15"/>
      <c r="D153" s="16"/>
      <c r="E153" s="56">
        <f t="shared" ref="E153:AB153" si="23">SUM(E146:E152)</f>
        <v>12</v>
      </c>
      <c r="F153" s="56">
        <f t="shared" si="23"/>
        <v>2</v>
      </c>
      <c r="G153" s="56">
        <f t="shared" si="23"/>
        <v>24</v>
      </c>
      <c r="H153" s="56">
        <f t="shared" si="23"/>
        <v>34</v>
      </c>
      <c r="I153" s="56">
        <f t="shared" si="23"/>
        <v>60</v>
      </c>
      <c r="J153" s="56">
        <f t="shared" si="23"/>
        <v>60</v>
      </c>
      <c r="K153" s="56">
        <f t="shared" si="23"/>
        <v>5</v>
      </c>
      <c r="L153" s="56">
        <f t="shared" si="23"/>
        <v>2</v>
      </c>
      <c r="M153" s="56">
        <f t="shared" si="23"/>
        <v>4</v>
      </c>
      <c r="N153" s="56">
        <f t="shared" si="23"/>
        <v>24</v>
      </c>
      <c r="O153" s="56">
        <f t="shared" si="23"/>
        <v>8</v>
      </c>
      <c r="P153" s="56">
        <f t="shared" si="23"/>
        <v>2</v>
      </c>
      <c r="Q153" s="56">
        <f t="shared" si="23"/>
        <v>2</v>
      </c>
      <c r="R153" s="56">
        <f t="shared" si="23"/>
        <v>6</v>
      </c>
      <c r="S153" s="56">
        <f t="shared" si="23"/>
        <v>12</v>
      </c>
      <c r="T153" s="56">
        <f t="shared" si="23"/>
        <v>10</v>
      </c>
      <c r="U153" s="56">
        <f t="shared" si="23"/>
        <v>5</v>
      </c>
      <c r="V153" s="56">
        <f t="shared" si="23"/>
        <v>17</v>
      </c>
      <c r="W153" s="56">
        <f t="shared" si="23"/>
        <v>7</v>
      </c>
      <c r="X153" s="56">
        <f t="shared" si="23"/>
        <v>11</v>
      </c>
      <c r="Y153" s="56">
        <f t="shared" si="23"/>
        <v>5</v>
      </c>
      <c r="Z153" s="56">
        <f t="shared" si="23"/>
        <v>24</v>
      </c>
      <c r="AA153" s="56">
        <f t="shared" si="23"/>
        <v>168</v>
      </c>
      <c r="AB153" s="56">
        <f t="shared" si="23"/>
        <v>59</v>
      </c>
      <c r="AC153" s="13">
        <f t="shared" si="9"/>
        <v>563</v>
      </c>
      <c r="AD153" s="5"/>
      <c r="AE153" s="5"/>
    </row>
    <row r="154" ht="12.75" customHeight="1">
      <c r="A154" s="57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13">
        <f t="shared" si="9"/>
        <v>0</v>
      </c>
      <c r="AD154" s="5"/>
      <c r="AE154" s="5"/>
    </row>
    <row r="155" ht="12.75" customHeight="1">
      <c r="A155" s="30" t="s">
        <v>37</v>
      </c>
      <c r="B155" s="47" t="s">
        <v>131</v>
      </c>
      <c r="C155" s="48" t="s">
        <v>132</v>
      </c>
      <c r="D155" s="16"/>
      <c r="E155" s="19">
        <v>1.0</v>
      </c>
      <c r="F155" s="19">
        <v>1.0</v>
      </c>
      <c r="G155" s="19">
        <v>2.0</v>
      </c>
      <c r="H155" s="19">
        <v>0.0</v>
      </c>
      <c r="I155" s="19">
        <v>0.0</v>
      </c>
      <c r="J155" s="19">
        <v>2.0</v>
      </c>
      <c r="K155" s="19">
        <v>3.0</v>
      </c>
      <c r="L155" s="19">
        <v>0.0</v>
      </c>
      <c r="M155" s="19">
        <v>3.0</v>
      </c>
      <c r="N155" s="19">
        <v>5.0</v>
      </c>
      <c r="O155" s="19">
        <v>1.0</v>
      </c>
      <c r="P155" s="19">
        <v>0.0</v>
      </c>
      <c r="Q155" s="19">
        <v>2.0</v>
      </c>
      <c r="R155" s="19">
        <v>0.0</v>
      </c>
      <c r="S155" s="19">
        <v>3.0</v>
      </c>
      <c r="T155" s="19">
        <v>1.0</v>
      </c>
      <c r="U155" s="19">
        <v>1.0</v>
      </c>
      <c r="V155" s="19">
        <v>2.0</v>
      </c>
      <c r="W155" s="19">
        <v>0.0</v>
      </c>
      <c r="X155" s="19">
        <v>0.0</v>
      </c>
      <c r="Y155" s="19">
        <v>1.0</v>
      </c>
      <c r="Z155" s="19">
        <v>1.0</v>
      </c>
      <c r="AA155" s="19">
        <v>0.0</v>
      </c>
      <c r="AB155" s="19">
        <v>1.0</v>
      </c>
      <c r="AC155" s="13">
        <f t="shared" si="9"/>
        <v>30</v>
      </c>
      <c r="AD155" s="5"/>
      <c r="AE155" s="5"/>
    </row>
    <row r="156" ht="12.75" customHeight="1">
      <c r="A156" s="30" t="s">
        <v>39</v>
      </c>
      <c r="B156" s="49"/>
      <c r="C156" s="50" t="s">
        <v>133</v>
      </c>
      <c r="D156" s="51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3">
        <f t="shared" si="9"/>
        <v>0</v>
      </c>
      <c r="AD156" s="5"/>
      <c r="AE156" s="5"/>
    </row>
    <row r="157" ht="12.75" customHeight="1">
      <c r="A157" s="19" t="s">
        <v>15</v>
      </c>
      <c r="B157" s="47" t="s">
        <v>46</v>
      </c>
      <c r="C157" s="15"/>
      <c r="D157" s="16"/>
      <c r="E157" s="56">
        <f t="shared" ref="E157:AB157" si="24">SUM(E155:E156)</f>
        <v>1</v>
      </c>
      <c r="F157" s="56">
        <f t="shared" si="24"/>
        <v>1</v>
      </c>
      <c r="G157" s="56">
        <f t="shared" si="24"/>
        <v>2</v>
      </c>
      <c r="H157" s="56">
        <f t="shared" si="24"/>
        <v>0</v>
      </c>
      <c r="I157" s="56">
        <f t="shared" si="24"/>
        <v>0</v>
      </c>
      <c r="J157" s="56">
        <f t="shared" si="24"/>
        <v>2</v>
      </c>
      <c r="K157" s="56">
        <f t="shared" si="24"/>
        <v>3</v>
      </c>
      <c r="L157" s="56">
        <f t="shared" si="24"/>
        <v>0</v>
      </c>
      <c r="M157" s="56">
        <f t="shared" si="24"/>
        <v>3</v>
      </c>
      <c r="N157" s="56">
        <f t="shared" si="24"/>
        <v>5</v>
      </c>
      <c r="O157" s="56">
        <f t="shared" si="24"/>
        <v>1</v>
      </c>
      <c r="P157" s="56">
        <f t="shared" si="24"/>
        <v>0</v>
      </c>
      <c r="Q157" s="56">
        <f t="shared" si="24"/>
        <v>2</v>
      </c>
      <c r="R157" s="56">
        <f t="shared" si="24"/>
        <v>0</v>
      </c>
      <c r="S157" s="56">
        <f t="shared" si="24"/>
        <v>3</v>
      </c>
      <c r="T157" s="56">
        <f t="shared" si="24"/>
        <v>1</v>
      </c>
      <c r="U157" s="56">
        <f t="shared" si="24"/>
        <v>1</v>
      </c>
      <c r="V157" s="56">
        <f t="shared" si="24"/>
        <v>2</v>
      </c>
      <c r="W157" s="56">
        <f t="shared" si="24"/>
        <v>0</v>
      </c>
      <c r="X157" s="56">
        <f t="shared" si="24"/>
        <v>0</v>
      </c>
      <c r="Y157" s="56">
        <f t="shared" si="24"/>
        <v>1</v>
      </c>
      <c r="Z157" s="56">
        <f t="shared" si="24"/>
        <v>1</v>
      </c>
      <c r="AA157" s="56">
        <f t="shared" si="24"/>
        <v>0</v>
      </c>
      <c r="AB157" s="56">
        <f t="shared" si="24"/>
        <v>1</v>
      </c>
      <c r="AC157" s="13">
        <f t="shared" si="9"/>
        <v>30</v>
      </c>
      <c r="AD157" s="5"/>
      <c r="AE157" s="5"/>
    </row>
    <row r="158" ht="12.75" customHeight="1">
      <c r="A158" s="57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13">
        <f t="shared" si="9"/>
        <v>0</v>
      </c>
      <c r="AD158" s="5"/>
      <c r="AE158" s="5"/>
    </row>
    <row r="159" ht="12.75" customHeight="1">
      <c r="A159" s="30" t="s">
        <v>37</v>
      </c>
      <c r="B159" s="47" t="s">
        <v>134</v>
      </c>
      <c r="C159" s="48" t="s">
        <v>135</v>
      </c>
      <c r="D159" s="16"/>
      <c r="E159" s="19">
        <v>0.0</v>
      </c>
      <c r="F159" s="19">
        <v>2.0</v>
      </c>
      <c r="G159" s="19">
        <v>0.0</v>
      </c>
      <c r="H159" s="19">
        <v>1.0</v>
      </c>
      <c r="I159" s="19">
        <v>0.0</v>
      </c>
      <c r="J159" s="19">
        <v>0.0</v>
      </c>
      <c r="K159" s="19">
        <v>0.0</v>
      </c>
      <c r="L159" s="19">
        <v>0.0</v>
      </c>
      <c r="M159" s="19">
        <v>0.0</v>
      </c>
      <c r="N159" s="19">
        <v>0.0</v>
      </c>
      <c r="O159" s="19">
        <v>0.0</v>
      </c>
      <c r="P159" s="19">
        <v>1.0</v>
      </c>
      <c r="Q159" s="19">
        <v>1.0</v>
      </c>
      <c r="R159" s="19">
        <v>0.0</v>
      </c>
      <c r="S159" s="19">
        <v>0.0</v>
      </c>
      <c r="T159" s="19">
        <v>0.0</v>
      </c>
      <c r="U159" s="19">
        <v>0.0</v>
      </c>
      <c r="V159" s="19">
        <v>1.0</v>
      </c>
      <c r="W159" s="19">
        <v>0.0</v>
      </c>
      <c r="X159" s="19">
        <v>0.0</v>
      </c>
      <c r="Y159" s="19">
        <v>0.0</v>
      </c>
      <c r="Z159" s="19">
        <v>2.0</v>
      </c>
      <c r="AA159" s="19">
        <v>0.0</v>
      </c>
      <c r="AB159" s="19">
        <v>0.0</v>
      </c>
      <c r="AC159" s="13">
        <f t="shared" si="9"/>
        <v>8</v>
      </c>
      <c r="AD159" s="5"/>
      <c r="AE159" s="5"/>
    </row>
    <row r="160" ht="12.75" customHeight="1">
      <c r="A160" s="30"/>
      <c r="B160" s="49">
        <v>1.0</v>
      </c>
      <c r="C160" s="50" t="s">
        <v>136</v>
      </c>
      <c r="D160" s="59"/>
      <c r="E160" s="19">
        <v>0.0</v>
      </c>
      <c r="F160" s="19">
        <v>1.0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9">
        <v>0.0</v>
      </c>
      <c r="S160" s="19">
        <v>0.0</v>
      </c>
      <c r="T160" s="19">
        <v>0.0</v>
      </c>
      <c r="U160" s="19">
        <v>0.0</v>
      </c>
      <c r="V160" s="19">
        <v>0.0</v>
      </c>
      <c r="W160" s="19">
        <v>1.0</v>
      </c>
      <c r="X160" s="19">
        <v>0.0</v>
      </c>
      <c r="Y160" s="19">
        <v>0.0</v>
      </c>
      <c r="Z160" s="19">
        <v>0.0</v>
      </c>
      <c r="AA160" s="19">
        <v>0.0</v>
      </c>
      <c r="AB160" s="19">
        <v>0.0</v>
      </c>
      <c r="AC160" s="13">
        <f t="shared" si="9"/>
        <v>2</v>
      </c>
      <c r="AD160" s="5"/>
      <c r="AE160" s="5"/>
    </row>
    <row r="161" ht="12.75" customHeight="1">
      <c r="A161" s="30"/>
      <c r="B161" s="49">
        <v>2.0</v>
      </c>
      <c r="C161" s="50" t="s">
        <v>137</v>
      </c>
      <c r="D161" s="59"/>
      <c r="E161" s="19">
        <v>0.0</v>
      </c>
      <c r="F161" s="19">
        <v>3.0</v>
      </c>
      <c r="G161" s="19">
        <v>3.0</v>
      </c>
      <c r="H161" s="19">
        <v>0.0</v>
      </c>
      <c r="I161" s="19">
        <v>0.0</v>
      </c>
      <c r="J161" s="19">
        <v>0.0</v>
      </c>
      <c r="K161" s="19">
        <v>0.0</v>
      </c>
      <c r="L161" s="19">
        <v>0.0</v>
      </c>
      <c r="M161" s="19">
        <v>0.0</v>
      </c>
      <c r="N161" s="19">
        <v>0.0</v>
      </c>
      <c r="O161" s="19">
        <v>0.0</v>
      </c>
      <c r="P161" s="19">
        <v>1.0</v>
      </c>
      <c r="Q161" s="19">
        <v>0.0</v>
      </c>
      <c r="R161" s="19">
        <v>2.0</v>
      </c>
      <c r="S161" s="19">
        <v>0.0</v>
      </c>
      <c r="T161" s="19">
        <v>0.0</v>
      </c>
      <c r="U161" s="19">
        <v>0.0</v>
      </c>
      <c r="V161" s="19">
        <v>0.0</v>
      </c>
      <c r="W161" s="19">
        <v>0.0</v>
      </c>
      <c r="X161" s="19">
        <v>0.0</v>
      </c>
      <c r="Y161" s="19">
        <v>2.0</v>
      </c>
      <c r="Z161" s="19">
        <v>3.0</v>
      </c>
      <c r="AA161" s="19">
        <v>0.0</v>
      </c>
      <c r="AB161" s="19">
        <v>0.0</v>
      </c>
      <c r="AC161" s="13">
        <f t="shared" si="9"/>
        <v>14</v>
      </c>
      <c r="AD161" s="5"/>
      <c r="AE161" s="5"/>
    </row>
    <row r="162" ht="12.75" customHeight="1">
      <c r="A162" s="30" t="s">
        <v>39</v>
      </c>
      <c r="B162" s="49">
        <v>3.0</v>
      </c>
      <c r="C162" s="50" t="s">
        <v>138</v>
      </c>
      <c r="D162" s="59"/>
      <c r="E162" s="19">
        <v>0.0</v>
      </c>
      <c r="F162" s="19">
        <v>0.0</v>
      </c>
      <c r="G162" s="19">
        <v>0.0</v>
      </c>
      <c r="H162" s="19">
        <v>0.0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0.0</v>
      </c>
      <c r="P162" s="19">
        <v>0.0</v>
      </c>
      <c r="Q162" s="19">
        <v>0.0</v>
      </c>
      <c r="R162" s="19">
        <v>0.0</v>
      </c>
      <c r="S162" s="19">
        <v>0.0</v>
      </c>
      <c r="T162" s="19">
        <v>1.0</v>
      </c>
      <c r="U162" s="19">
        <v>0.0</v>
      </c>
      <c r="V162" s="19">
        <v>1.0</v>
      </c>
      <c r="W162" s="19">
        <v>0.0</v>
      </c>
      <c r="X162" s="19">
        <v>0.0</v>
      </c>
      <c r="Y162" s="19">
        <v>0.0</v>
      </c>
      <c r="Z162" s="19">
        <v>0.0</v>
      </c>
      <c r="AA162" s="19">
        <v>0.0</v>
      </c>
      <c r="AB162" s="19">
        <v>0.0</v>
      </c>
      <c r="AC162" s="13">
        <f t="shared" si="9"/>
        <v>2</v>
      </c>
      <c r="AD162" s="5"/>
      <c r="AE162" s="5"/>
    </row>
    <row r="163" ht="15.0" customHeight="1">
      <c r="A163" s="19" t="s">
        <v>15</v>
      </c>
      <c r="B163" s="47" t="s">
        <v>46</v>
      </c>
      <c r="C163" s="15"/>
      <c r="D163" s="16"/>
      <c r="E163" s="56">
        <f t="shared" ref="E163:AB163" si="25">SUM(E159:E162)</f>
        <v>0</v>
      </c>
      <c r="F163" s="56">
        <f t="shared" si="25"/>
        <v>6</v>
      </c>
      <c r="G163" s="56">
        <f t="shared" si="25"/>
        <v>3</v>
      </c>
      <c r="H163" s="56">
        <f t="shared" si="25"/>
        <v>1</v>
      </c>
      <c r="I163" s="56">
        <f t="shared" si="25"/>
        <v>0</v>
      </c>
      <c r="J163" s="56">
        <f t="shared" si="25"/>
        <v>0</v>
      </c>
      <c r="K163" s="56">
        <f t="shared" si="25"/>
        <v>0</v>
      </c>
      <c r="L163" s="56">
        <f t="shared" si="25"/>
        <v>0</v>
      </c>
      <c r="M163" s="56">
        <f t="shared" si="25"/>
        <v>0</v>
      </c>
      <c r="N163" s="56">
        <f t="shared" si="25"/>
        <v>0</v>
      </c>
      <c r="O163" s="56">
        <f t="shared" si="25"/>
        <v>0</v>
      </c>
      <c r="P163" s="56">
        <f t="shared" si="25"/>
        <v>2</v>
      </c>
      <c r="Q163" s="56">
        <f t="shared" si="25"/>
        <v>1</v>
      </c>
      <c r="R163" s="56">
        <f t="shared" si="25"/>
        <v>2</v>
      </c>
      <c r="S163" s="56">
        <f t="shared" si="25"/>
        <v>0</v>
      </c>
      <c r="T163" s="56">
        <f t="shared" si="25"/>
        <v>1</v>
      </c>
      <c r="U163" s="56">
        <f t="shared" si="25"/>
        <v>0</v>
      </c>
      <c r="V163" s="56">
        <f t="shared" si="25"/>
        <v>2</v>
      </c>
      <c r="W163" s="56">
        <f t="shared" si="25"/>
        <v>1</v>
      </c>
      <c r="X163" s="56">
        <f t="shared" si="25"/>
        <v>0</v>
      </c>
      <c r="Y163" s="56">
        <f t="shared" si="25"/>
        <v>2</v>
      </c>
      <c r="Z163" s="56">
        <f t="shared" si="25"/>
        <v>5</v>
      </c>
      <c r="AA163" s="56">
        <f t="shared" si="25"/>
        <v>0</v>
      </c>
      <c r="AB163" s="56">
        <f t="shared" si="25"/>
        <v>0</v>
      </c>
      <c r="AC163" s="13">
        <f t="shared" si="9"/>
        <v>26</v>
      </c>
      <c r="AD163" s="5"/>
      <c r="AE163" s="5"/>
    </row>
    <row r="164" ht="12.75" customHeight="1">
      <c r="A164" s="57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13">
        <f t="shared" si="9"/>
        <v>0</v>
      </c>
      <c r="AD164" s="5"/>
      <c r="AE164" s="5"/>
    </row>
    <row r="165" ht="12.75" customHeight="1">
      <c r="A165" s="30" t="s">
        <v>37</v>
      </c>
      <c r="B165" s="47" t="s">
        <v>139</v>
      </c>
      <c r="C165" s="48" t="s">
        <v>140</v>
      </c>
      <c r="D165" s="16"/>
      <c r="E165" s="19">
        <v>4.0</v>
      </c>
      <c r="F165" s="19">
        <v>3.0</v>
      </c>
      <c r="G165" s="19">
        <v>3.0</v>
      </c>
      <c r="H165" s="19">
        <v>2.0</v>
      </c>
      <c r="I165" s="19">
        <v>4.0</v>
      </c>
      <c r="J165" s="19">
        <v>2.0</v>
      </c>
      <c r="K165" s="19">
        <v>4.0</v>
      </c>
      <c r="L165" s="19">
        <v>4.0</v>
      </c>
      <c r="M165" s="19">
        <v>2.0</v>
      </c>
      <c r="N165" s="19">
        <v>1.0</v>
      </c>
      <c r="O165" s="19">
        <v>1.0</v>
      </c>
      <c r="P165" s="19">
        <v>4.0</v>
      </c>
      <c r="Q165" s="19">
        <v>2.0</v>
      </c>
      <c r="R165" s="19">
        <v>1.0</v>
      </c>
      <c r="S165" s="19">
        <v>3.0</v>
      </c>
      <c r="T165" s="19">
        <v>2.0</v>
      </c>
      <c r="U165" s="19">
        <v>1.0</v>
      </c>
      <c r="V165" s="19">
        <v>0.0</v>
      </c>
      <c r="W165" s="19">
        <v>0.0</v>
      </c>
      <c r="X165" s="19">
        <v>3.0</v>
      </c>
      <c r="Y165" s="19">
        <v>0.0</v>
      </c>
      <c r="Z165" s="19">
        <v>0.0</v>
      </c>
      <c r="AA165" s="19">
        <v>1.0</v>
      </c>
      <c r="AB165" s="19">
        <v>1.0</v>
      </c>
      <c r="AC165" s="13">
        <f t="shared" si="9"/>
        <v>48</v>
      </c>
      <c r="AD165" s="1"/>
      <c r="AE165" s="1"/>
    </row>
    <row r="166" ht="12.75" customHeight="1">
      <c r="A166" s="30" t="s">
        <v>39</v>
      </c>
      <c r="B166" s="49">
        <v>1.0</v>
      </c>
      <c r="C166" s="50" t="s">
        <v>141</v>
      </c>
      <c r="D166" s="51"/>
      <c r="E166" s="19">
        <v>6.0</v>
      </c>
      <c r="F166" s="19">
        <v>8.0</v>
      </c>
      <c r="G166" s="19">
        <v>9.0</v>
      </c>
      <c r="H166" s="19">
        <v>4.0</v>
      </c>
      <c r="I166" s="19">
        <v>9.0</v>
      </c>
      <c r="J166" s="19">
        <v>6.0</v>
      </c>
      <c r="K166" s="19">
        <v>10.0</v>
      </c>
      <c r="L166" s="19">
        <v>6.0</v>
      </c>
      <c r="M166" s="19">
        <v>1.0</v>
      </c>
      <c r="N166" s="19">
        <v>9.0</v>
      </c>
      <c r="O166" s="19">
        <v>1.0</v>
      </c>
      <c r="P166" s="19">
        <v>16.0</v>
      </c>
      <c r="Q166" s="19">
        <v>7.0</v>
      </c>
      <c r="R166" s="19">
        <v>1.0</v>
      </c>
      <c r="S166" s="19">
        <v>1.0</v>
      </c>
      <c r="T166" s="19">
        <v>6.0</v>
      </c>
      <c r="U166" s="19">
        <v>4.0</v>
      </c>
      <c r="V166" s="19">
        <v>0.0</v>
      </c>
      <c r="W166" s="19">
        <v>1.0</v>
      </c>
      <c r="X166" s="19">
        <v>2.0</v>
      </c>
      <c r="Y166" s="19">
        <v>1.0</v>
      </c>
      <c r="Z166" s="19">
        <v>0.0</v>
      </c>
      <c r="AA166" s="19">
        <v>0.0</v>
      </c>
      <c r="AB166" s="19">
        <v>1.0</v>
      </c>
      <c r="AC166" s="13">
        <f t="shared" si="9"/>
        <v>109</v>
      </c>
      <c r="AD166" s="53"/>
      <c r="AE166" s="53"/>
    </row>
    <row r="167" ht="12.75" customHeight="1">
      <c r="A167" s="18"/>
      <c r="B167" s="49">
        <v>2.0</v>
      </c>
      <c r="C167" s="50" t="s">
        <v>142</v>
      </c>
      <c r="D167" s="51"/>
      <c r="E167" s="19">
        <v>29.0</v>
      </c>
      <c r="F167" s="19">
        <v>57.0</v>
      </c>
      <c r="G167" s="19">
        <v>30.0</v>
      </c>
      <c r="H167" s="19">
        <v>28.0</v>
      </c>
      <c r="I167" s="19">
        <v>15.0</v>
      </c>
      <c r="J167" s="19">
        <v>5.0</v>
      </c>
      <c r="K167" s="19">
        <v>29.0</v>
      </c>
      <c r="L167" s="19">
        <v>56.0</v>
      </c>
      <c r="M167" s="19">
        <v>13.0</v>
      </c>
      <c r="N167" s="19">
        <v>57.0</v>
      </c>
      <c r="O167" s="19">
        <v>63.0</v>
      </c>
      <c r="P167" s="19">
        <v>30.0</v>
      </c>
      <c r="Q167" s="19">
        <v>33.0</v>
      </c>
      <c r="R167" s="19">
        <v>22.0</v>
      </c>
      <c r="S167" s="19">
        <v>27.0</v>
      </c>
      <c r="T167" s="19">
        <v>35.0</v>
      </c>
      <c r="U167" s="19">
        <v>41.0</v>
      </c>
      <c r="V167" s="19">
        <v>24.0</v>
      </c>
      <c r="W167" s="19">
        <v>16.0</v>
      </c>
      <c r="X167" s="19">
        <v>28.0</v>
      </c>
      <c r="Y167" s="19">
        <v>8.0</v>
      </c>
      <c r="Z167" s="19">
        <v>3.0</v>
      </c>
      <c r="AA167" s="19">
        <v>1.0</v>
      </c>
      <c r="AB167" s="19">
        <v>3.0</v>
      </c>
      <c r="AC167" s="13">
        <f t="shared" si="9"/>
        <v>653</v>
      </c>
      <c r="AD167" s="5"/>
      <c r="AE167" s="5"/>
    </row>
    <row r="168" ht="12.75" customHeight="1">
      <c r="A168" s="18"/>
      <c r="B168" s="49">
        <v>3.0</v>
      </c>
      <c r="C168" s="50" t="s">
        <v>143</v>
      </c>
      <c r="D168" s="51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1.0</v>
      </c>
      <c r="Q168" s="19">
        <v>0.0</v>
      </c>
      <c r="R168" s="19">
        <v>1.0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3">
        <f t="shared" si="9"/>
        <v>2</v>
      </c>
      <c r="AD168" s="5"/>
      <c r="AE168" s="5"/>
    </row>
    <row r="169" ht="12.75" customHeight="1">
      <c r="A169" s="18"/>
      <c r="B169" s="49">
        <v>4.0</v>
      </c>
      <c r="C169" s="50" t="s">
        <v>144</v>
      </c>
      <c r="D169" s="51"/>
      <c r="E169" s="19">
        <v>0.0</v>
      </c>
      <c r="F169" s="19">
        <v>1.0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3">
        <f t="shared" si="9"/>
        <v>1</v>
      </c>
      <c r="AD169" s="5"/>
      <c r="AE169" s="5"/>
    </row>
    <row r="170" ht="12.75" customHeight="1">
      <c r="A170" s="18"/>
      <c r="B170" s="49">
        <v>5.0</v>
      </c>
      <c r="C170" s="50" t="s">
        <v>145</v>
      </c>
      <c r="D170" s="51"/>
      <c r="E170" s="19">
        <v>4.0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2.0</v>
      </c>
      <c r="M170" s="19">
        <v>5.0</v>
      </c>
      <c r="N170" s="19">
        <v>0.0</v>
      </c>
      <c r="O170" s="19">
        <v>0.0</v>
      </c>
      <c r="P170" s="19">
        <v>0.0</v>
      </c>
      <c r="Q170" s="19">
        <v>1.0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1.0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3">
        <f t="shared" si="9"/>
        <v>13</v>
      </c>
      <c r="AD170" s="5"/>
      <c r="AE170" s="5"/>
    </row>
    <row r="171" ht="12.75" customHeight="1">
      <c r="A171" s="18"/>
      <c r="B171" s="49">
        <v>6.0</v>
      </c>
      <c r="C171" s="50" t="s">
        <v>146</v>
      </c>
      <c r="D171" s="51"/>
      <c r="E171" s="19">
        <v>1.0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1.0</v>
      </c>
      <c r="M171" s="19">
        <v>1.0</v>
      </c>
      <c r="N171" s="19">
        <v>0.0</v>
      </c>
      <c r="O171" s="19">
        <v>0.0</v>
      </c>
      <c r="P171" s="19">
        <v>1.0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3.0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1.0</v>
      </c>
      <c r="AC171" s="13">
        <f t="shared" si="9"/>
        <v>8</v>
      </c>
      <c r="AD171" s="5"/>
      <c r="AE171" s="5"/>
    </row>
    <row r="172" ht="12.75" customHeight="1">
      <c r="A172" s="19" t="s">
        <v>15</v>
      </c>
      <c r="B172" s="47" t="s">
        <v>46</v>
      </c>
      <c r="C172" s="15"/>
      <c r="D172" s="16"/>
      <c r="E172" s="56">
        <f t="shared" ref="E172:AB172" si="26">SUM(E165:E171)</f>
        <v>44</v>
      </c>
      <c r="F172" s="56">
        <f t="shared" si="26"/>
        <v>69</v>
      </c>
      <c r="G172" s="56">
        <f t="shared" si="26"/>
        <v>42</v>
      </c>
      <c r="H172" s="56">
        <f t="shared" si="26"/>
        <v>34</v>
      </c>
      <c r="I172" s="56">
        <f t="shared" si="26"/>
        <v>28</v>
      </c>
      <c r="J172" s="56">
        <f t="shared" si="26"/>
        <v>13</v>
      </c>
      <c r="K172" s="56">
        <f t="shared" si="26"/>
        <v>43</v>
      </c>
      <c r="L172" s="56">
        <f t="shared" si="26"/>
        <v>69</v>
      </c>
      <c r="M172" s="56">
        <f t="shared" si="26"/>
        <v>22</v>
      </c>
      <c r="N172" s="56">
        <f t="shared" si="26"/>
        <v>67</v>
      </c>
      <c r="O172" s="56">
        <f t="shared" si="26"/>
        <v>65</v>
      </c>
      <c r="P172" s="56">
        <f t="shared" si="26"/>
        <v>52</v>
      </c>
      <c r="Q172" s="56">
        <f t="shared" si="26"/>
        <v>43</v>
      </c>
      <c r="R172" s="56">
        <f t="shared" si="26"/>
        <v>25</v>
      </c>
      <c r="S172" s="56">
        <f t="shared" si="26"/>
        <v>31</v>
      </c>
      <c r="T172" s="56">
        <f t="shared" si="26"/>
        <v>43</v>
      </c>
      <c r="U172" s="56">
        <f t="shared" si="26"/>
        <v>46</v>
      </c>
      <c r="V172" s="56">
        <f t="shared" si="26"/>
        <v>24</v>
      </c>
      <c r="W172" s="56">
        <f t="shared" si="26"/>
        <v>21</v>
      </c>
      <c r="X172" s="56">
        <f t="shared" si="26"/>
        <v>33</v>
      </c>
      <c r="Y172" s="56">
        <f t="shared" si="26"/>
        <v>9</v>
      </c>
      <c r="Z172" s="56">
        <f t="shared" si="26"/>
        <v>3</v>
      </c>
      <c r="AA172" s="56">
        <f t="shared" si="26"/>
        <v>2</v>
      </c>
      <c r="AB172" s="56">
        <f t="shared" si="26"/>
        <v>6</v>
      </c>
      <c r="AC172" s="13">
        <f t="shared" si="9"/>
        <v>834</v>
      </c>
      <c r="AD172" s="5"/>
      <c r="AE172" s="5"/>
    </row>
    <row r="173" ht="12.75" customHeight="1">
      <c r="A173" s="57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13">
        <f t="shared" si="9"/>
        <v>0</v>
      </c>
      <c r="AD173" s="5"/>
      <c r="AE173" s="5"/>
    </row>
    <row r="174" ht="12.75" customHeight="1">
      <c r="A174" s="30" t="s">
        <v>37</v>
      </c>
      <c r="B174" s="47" t="s">
        <v>147</v>
      </c>
      <c r="C174" s="48" t="s">
        <v>148</v>
      </c>
      <c r="D174" s="16"/>
      <c r="E174" s="19">
        <v>0.0</v>
      </c>
      <c r="F174" s="19">
        <v>0.0</v>
      </c>
      <c r="G174" s="19">
        <v>0.0</v>
      </c>
      <c r="H174" s="19">
        <v>0.0</v>
      </c>
      <c r="I174" s="19">
        <v>0.0</v>
      </c>
      <c r="J174" s="19">
        <v>0.0</v>
      </c>
      <c r="K174" s="19">
        <v>0.0</v>
      </c>
      <c r="L174" s="19">
        <v>0.0</v>
      </c>
      <c r="M174" s="19">
        <v>0.0</v>
      </c>
      <c r="N174" s="19">
        <v>1.0</v>
      </c>
      <c r="O174" s="19">
        <v>0.0</v>
      </c>
      <c r="P174" s="19">
        <v>0.0</v>
      </c>
      <c r="Q174" s="19">
        <v>1.0</v>
      </c>
      <c r="R174" s="19">
        <v>1.0</v>
      </c>
      <c r="S174" s="19">
        <v>0.0</v>
      </c>
      <c r="T174" s="19">
        <v>0.0</v>
      </c>
      <c r="U174" s="19">
        <v>0.0</v>
      </c>
      <c r="V174" s="19">
        <v>0.0</v>
      </c>
      <c r="W174" s="19">
        <v>0.0</v>
      </c>
      <c r="X174" s="19">
        <v>0.0</v>
      </c>
      <c r="Y174" s="19">
        <v>0.0</v>
      </c>
      <c r="Z174" s="19">
        <v>0.0</v>
      </c>
      <c r="AA174" s="19">
        <v>0.0</v>
      </c>
      <c r="AB174" s="19">
        <v>2.0</v>
      </c>
      <c r="AC174" s="13">
        <f t="shared" si="9"/>
        <v>5</v>
      </c>
      <c r="AD174" s="5"/>
      <c r="AE174" s="5"/>
    </row>
    <row r="175" ht="15.0" customHeight="1">
      <c r="A175" s="30"/>
      <c r="B175" s="49">
        <v>1.0</v>
      </c>
      <c r="C175" s="50" t="s">
        <v>149</v>
      </c>
      <c r="D175" s="59"/>
      <c r="E175" s="19">
        <v>0.0</v>
      </c>
      <c r="F175" s="19">
        <v>0.0</v>
      </c>
      <c r="G175" s="19">
        <v>0.0</v>
      </c>
      <c r="H175" s="19">
        <v>0.0</v>
      </c>
      <c r="I175" s="19">
        <v>0.0</v>
      </c>
      <c r="J175" s="19">
        <v>0.0</v>
      </c>
      <c r="K175" s="19">
        <v>0.0</v>
      </c>
      <c r="L175" s="19">
        <v>0.0</v>
      </c>
      <c r="M175" s="19">
        <v>0.0</v>
      </c>
      <c r="N175" s="19">
        <v>0.0</v>
      </c>
      <c r="O175" s="19">
        <v>0.0</v>
      </c>
      <c r="P175" s="19">
        <v>0.0</v>
      </c>
      <c r="Q175" s="19">
        <v>0.0</v>
      </c>
      <c r="R175" s="19">
        <v>0.0</v>
      </c>
      <c r="S175" s="19">
        <v>1.0</v>
      </c>
      <c r="T175" s="19">
        <v>1.0</v>
      </c>
      <c r="U175" s="19">
        <v>0.0</v>
      </c>
      <c r="V175" s="19">
        <v>0.0</v>
      </c>
      <c r="W175" s="19">
        <v>2.0</v>
      </c>
      <c r="X175" s="19">
        <v>0.0</v>
      </c>
      <c r="Y175" s="19">
        <v>1.0</v>
      </c>
      <c r="Z175" s="19">
        <v>0.0</v>
      </c>
      <c r="AA175" s="19">
        <v>0.0</v>
      </c>
      <c r="AB175" s="19">
        <v>0.0</v>
      </c>
      <c r="AC175" s="13">
        <f t="shared" si="9"/>
        <v>5</v>
      </c>
      <c r="AD175" s="5"/>
      <c r="AE175" s="5"/>
    </row>
    <row r="176" ht="12.75" customHeight="1">
      <c r="A176" s="30" t="s">
        <v>39</v>
      </c>
      <c r="B176" s="49">
        <v>2.0</v>
      </c>
      <c r="C176" s="50" t="s">
        <v>150</v>
      </c>
      <c r="D176" s="51"/>
      <c r="E176" s="19">
        <v>0.0</v>
      </c>
      <c r="F176" s="19">
        <v>0.0</v>
      </c>
      <c r="G176" s="19">
        <v>0.0</v>
      </c>
      <c r="H176" s="19">
        <v>0.0</v>
      </c>
      <c r="I176" s="19">
        <v>0.0</v>
      </c>
      <c r="J176" s="19">
        <v>0.0</v>
      </c>
      <c r="K176" s="19">
        <v>0.0</v>
      </c>
      <c r="L176" s="19">
        <v>0.0</v>
      </c>
      <c r="M176" s="19">
        <v>0.0</v>
      </c>
      <c r="N176" s="19">
        <v>1.0</v>
      </c>
      <c r="O176" s="19">
        <v>0.0</v>
      </c>
      <c r="P176" s="19">
        <v>0.0</v>
      </c>
      <c r="Q176" s="19">
        <v>0.0</v>
      </c>
      <c r="R176" s="19">
        <v>0.0</v>
      </c>
      <c r="S176" s="19">
        <v>0.0</v>
      </c>
      <c r="T176" s="19">
        <v>0.0</v>
      </c>
      <c r="U176" s="19">
        <v>0.0</v>
      </c>
      <c r="V176" s="19">
        <v>0.0</v>
      </c>
      <c r="W176" s="19">
        <v>0.0</v>
      </c>
      <c r="X176" s="19">
        <v>0.0</v>
      </c>
      <c r="Y176" s="19">
        <v>0.0</v>
      </c>
      <c r="Z176" s="19">
        <v>0.0</v>
      </c>
      <c r="AA176" s="19">
        <v>0.0</v>
      </c>
      <c r="AB176" s="19">
        <v>0.0</v>
      </c>
      <c r="AC176" s="13">
        <f t="shared" si="9"/>
        <v>1</v>
      </c>
      <c r="AD176" s="1"/>
      <c r="AE176" s="1"/>
    </row>
    <row r="177" ht="12.75" customHeight="1">
      <c r="A177" s="19" t="s">
        <v>15</v>
      </c>
      <c r="B177" s="47" t="s">
        <v>46</v>
      </c>
      <c r="C177" s="15"/>
      <c r="D177" s="16"/>
      <c r="E177" s="56">
        <f t="shared" ref="E177:AB177" si="27">SUM(E174:E176)</f>
        <v>0</v>
      </c>
      <c r="F177" s="56">
        <f t="shared" si="27"/>
        <v>0</v>
      </c>
      <c r="G177" s="56">
        <f t="shared" si="27"/>
        <v>0</v>
      </c>
      <c r="H177" s="56">
        <f t="shared" si="27"/>
        <v>0</v>
      </c>
      <c r="I177" s="56">
        <f t="shared" si="27"/>
        <v>0</v>
      </c>
      <c r="J177" s="56">
        <f t="shared" si="27"/>
        <v>0</v>
      </c>
      <c r="K177" s="56">
        <f t="shared" si="27"/>
        <v>0</v>
      </c>
      <c r="L177" s="56">
        <f t="shared" si="27"/>
        <v>0</v>
      </c>
      <c r="M177" s="56">
        <f t="shared" si="27"/>
        <v>0</v>
      </c>
      <c r="N177" s="56">
        <f t="shared" si="27"/>
        <v>2</v>
      </c>
      <c r="O177" s="56">
        <f t="shared" si="27"/>
        <v>0</v>
      </c>
      <c r="P177" s="56">
        <f t="shared" si="27"/>
        <v>0</v>
      </c>
      <c r="Q177" s="56">
        <f t="shared" si="27"/>
        <v>1</v>
      </c>
      <c r="R177" s="56">
        <f t="shared" si="27"/>
        <v>1</v>
      </c>
      <c r="S177" s="56">
        <f t="shared" si="27"/>
        <v>1</v>
      </c>
      <c r="T177" s="56">
        <f t="shared" si="27"/>
        <v>1</v>
      </c>
      <c r="U177" s="56">
        <f t="shared" si="27"/>
        <v>0</v>
      </c>
      <c r="V177" s="56">
        <f t="shared" si="27"/>
        <v>0</v>
      </c>
      <c r="W177" s="56">
        <f t="shared" si="27"/>
        <v>2</v>
      </c>
      <c r="X177" s="56">
        <f t="shared" si="27"/>
        <v>0</v>
      </c>
      <c r="Y177" s="56">
        <f t="shared" si="27"/>
        <v>1</v>
      </c>
      <c r="Z177" s="56">
        <f t="shared" si="27"/>
        <v>0</v>
      </c>
      <c r="AA177" s="56">
        <f t="shared" si="27"/>
        <v>0</v>
      </c>
      <c r="AB177" s="56">
        <f t="shared" si="27"/>
        <v>2</v>
      </c>
      <c r="AC177" s="13">
        <f t="shared" si="9"/>
        <v>11</v>
      </c>
    </row>
    <row r="178" ht="12.75" customHeight="1">
      <c r="A178" s="45"/>
      <c r="B178" s="44"/>
      <c r="C178" s="44"/>
      <c r="D178" s="28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13">
        <f t="shared" si="9"/>
        <v>0</v>
      </c>
      <c r="AD178" s="5"/>
      <c r="AE178" s="5"/>
    </row>
    <row r="179" ht="12.75" customHeight="1">
      <c r="A179" s="42" t="s">
        <v>151</v>
      </c>
      <c r="B179" s="14" t="s">
        <v>152</v>
      </c>
      <c r="C179" s="15"/>
      <c r="D179" s="16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13">
        <f t="shared" si="9"/>
        <v>0</v>
      </c>
      <c r="AD179" s="5"/>
      <c r="AE179" s="5"/>
    </row>
    <row r="180" ht="12.75" customHeight="1">
      <c r="A180" s="42"/>
      <c r="B180" s="60" t="s">
        <v>153</v>
      </c>
      <c r="C180" s="61" t="s">
        <v>154</v>
      </c>
      <c r="D180" s="16"/>
      <c r="E180" s="19">
        <f t="shared" ref="E180:AB180" si="28">E177+E172+E163+E157+E153+E144+E135+E128+E124+E115+E108+E99+E94+E88+E79+E70+E61+E52</f>
        <v>170</v>
      </c>
      <c r="F180" s="19">
        <f t="shared" si="28"/>
        <v>182</v>
      </c>
      <c r="G180" s="19">
        <f t="shared" si="28"/>
        <v>202</v>
      </c>
      <c r="H180" s="19">
        <f t="shared" si="28"/>
        <v>203</v>
      </c>
      <c r="I180" s="19">
        <f t="shared" si="28"/>
        <v>228</v>
      </c>
      <c r="J180" s="19">
        <f t="shared" si="28"/>
        <v>208</v>
      </c>
      <c r="K180" s="19">
        <f t="shared" si="28"/>
        <v>205</v>
      </c>
      <c r="L180" s="19">
        <f t="shared" si="28"/>
        <v>227</v>
      </c>
      <c r="M180" s="19">
        <f t="shared" si="28"/>
        <v>205</v>
      </c>
      <c r="N180" s="19">
        <f t="shared" si="28"/>
        <v>189</v>
      </c>
      <c r="O180" s="19">
        <f t="shared" si="28"/>
        <v>195</v>
      </c>
      <c r="P180" s="19">
        <f t="shared" si="28"/>
        <v>172</v>
      </c>
      <c r="Q180" s="19">
        <f t="shared" si="28"/>
        <v>177</v>
      </c>
      <c r="R180" s="19">
        <f t="shared" si="28"/>
        <v>212</v>
      </c>
      <c r="S180" s="19">
        <f t="shared" si="28"/>
        <v>183</v>
      </c>
      <c r="T180" s="19">
        <f t="shared" si="28"/>
        <v>196</v>
      </c>
      <c r="U180" s="19">
        <f t="shared" si="28"/>
        <v>201</v>
      </c>
      <c r="V180" s="19">
        <f t="shared" si="28"/>
        <v>204</v>
      </c>
      <c r="W180" s="19">
        <f t="shared" si="28"/>
        <v>208</v>
      </c>
      <c r="X180" s="19">
        <f t="shared" si="28"/>
        <v>228</v>
      </c>
      <c r="Y180" s="19">
        <f t="shared" si="28"/>
        <v>165</v>
      </c>
      <c r="Z180" s="19">
        <f t="shared" si="28"/>
        <v>198</v>
      </c>
      <c r="AA180" s="19">
        <f t="shared" si="28"/>
        <v>211</v>
      </c>
      <c r="AB180" s="19">
        <f t="shared" si="28"/>
        <v>183</v>
      </c>
      <c r="AC180" s="13">
        <f t="shared" si="9"/>
        <v>4752</v>
      </c>
      <c r="AD180" s="5"/>
      <c r="AE180" s="5"/>
    </row>
    <row r="181" ht="12.75" customHeight="1">
      <c r="A181" s="35"/>
      <c r="B181" s="60" t="s">
        <v>155</v>
      </c>
      <c r="C181" s="61" t="s">
        <v>156</v>
      </c>
      <c r="D181" s="16"/>
      <c r="E181" s="19">
        <v>34.0</v>
      </c>
      <c r="F181" s="19">
        <v>28.0</v>
      </c>
      <c r="G181" s="19">
        <v>6.0</v>
      </c>
      <c r="H181" s="19">
        <v>19.0</v>
      </c>
      <c r="I181" s="19">
        <v>6.0</v>
      </c>
      <c r="J181" s="19">
        <v>11.0</v>
      </c>
      <c r="K181" s="19">
        <v>12.0</v>
      </c>
      <c r="L181" s="19">
        <v>9.0</v>
      </c>
      <c r="M181" s="19">
        <v>9.0</v>
      </c>
      <c r="N181" s="19">
        <v>8.0</v>
      </c>
      <c r="O181" s="19">
        <v>6.0</v>
      </c>
      <c r="P181" s="19">
        <v>14.0</v>
      </c>
      <c r="Q181" s="19">
        <v>3.0</v>
      </c>
      <c r="R181" s="19">
        <v>18.0</v>
      </c>
      <c r="S181" s="19">
        <v>16.0</v>
      </c>
      <c r="T181" s="19">
        <v>14.0</v>
      </c>
      <c r="U181" s="19">
        <v>7.0</v>
      </c>
      <c r="V181" s="19">
        <v>20.0</v>
      </c>
      <c r="W181" s="19">
        <v>19.0</v>
      </c>
      <c r="X181" s="19">
        <v>11.0</v>
      </c>
      <c r="Y181" s="19">
        <v>27.0</v>
      </c>
      <c r="Z181" s="19">
        <v>12.0</v>
      </c>
      <c r="AA181" s="19">
        <v>2.0</v>
      </c>
      <c r="AB181" s="19">
        <v>4.0</v>
      </c>
      <c r="AC181" s="13">
        <f t="shared" si="9"/>
        <v>315</v>
      </c>
      <c r="AD181" s="5"/>
      <c r="AE181" s="5"/>
    </row>
    <row r="182" ht="12.75" customHeight="1">
      <c r="A182" s="41"/>
      <c r="B182" s="60" t="s">
        <v>157</v>
      </c>
      <c r="C182" s="61" t="s">
        <v>158</v>
      </c>
      <c r="D182" s="16"/>
      <c r="E182" s="29">
        <f t="shared" ref="E182:AB182" si="29">SUM(E180:E181)</f>
        <v>204</v>
      </c>
      <c r="F182" s="29">
        <f t="shared" si="29"/>
        <v>210</v>
      </c>
      <c r="G182" s="29">
        <f t="shared" si="29"/>
        <v>208</v>
      </c>
      <c r="H182" s="29">
        <f t="shared" si="29"/>
        <v>222</v>
      </c>
      <c r="I182" s="29">
        <f t="shared" si="29"/>
        <v>234</v>
      </c>
      <c r="J182" s="29">
        <f t="shared" si="29"/>
        <v>219</v>
      </c>
      <c r="K182" s="29">
        <f t="shared" si="29"/>
        <v>217</v>
      </c>
      <c r="L182" s="29">
        <f t="shared" si="29"/>
        <v>236</v>
      </c>
      <c r="M182" s="29">
        <f t="shared" si="29"/>
        <v>214</v>
      </c>
      <c r="N182" s="29">
        <f t="shared" si="29"/>
        <v>197</v>
      </c>
      <c r="O182" s="29">
        <f t="shared" si="29"/>
        <v>201</v>
      </c>
      <c r="P182" s="29">
        <f t="shared" si="29"/>
        <v>186</v>
      </c>
      <c r="Q182" s="29">
        <f t="shared" si="29"/>
        <v>180</v>
      </c>
      <c r="R182" s="29">
        <f t="shared" si="29"/>
        <v>230</v>
      </c>
      <c r="S182" s="29">
        <f t="shared" si="29"/>
        <v>199</v>
      </c>
      <c r="T182" s="29">
        <f t="shared" si="29"/>
        <v>210</v>
      </c>
      <c r="U182" s="29">
        <f t="shared" si="29"/>
        <v>208</v>
      </c>
      <c r="V182" s="29">
        <f t="shared" si="29"/>
        <v>224</v>
      </c>
      <c r="W182" s="29">
        <f t="shared" si="29"/>
        <v>227</v>
      </c>
      <c r="X182" s="29">
        <f t="shared" si="29"/>
        <v>239</v>
      </c>
      <c r="Y182" s="29">
        <f t="shared" si="29"/>
        <v>192</v>
      </c>
      <c r="Z182" s="29">
        <f t="shared" si="29"/>
        <v>210</v>
      </c>
      <c r="AA182" s="29">
        <f t="shared" si="29"/>
        <v>213</v>
      </c>
      <c r="AB182" s="29">
        <f t="shared" si="29"/>
        <v>187</v>
      </c>
      <c r="AC182" s="13">
        <f t="shared" si="9"/>
        <v>5067</v>
      </c>
      <c r="AD182" s="5"/>
      <c r="AE182" s="5"/>
    </row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0">
    <mergeCell ref="B108:D108"/>
    <mergeCell ref="C110:D110"/>
    <mergeCell ref="B115:D115"/>
    <mergeCell ref="C117:D117"/>
    <mergeCell ref="B124:D124"/>
    <mergeCell ref="C126:D126"/>
    <mergeCell ref="B128:D128"/>
    <mergeCell ref="C130:D130"/>
    <mergeCell ref="B135:D135"/>
    <mergeCell ref="C137:D137"/>
    <mergeCell ref="B144:D144"/>
    <mergeCell ref="C146:D146"/>
    <mergeCell ref="B153:D153"/>
    <mergeCell ref="C155:D155"/>
    <mergeCell ref="A178:D178"/>
    <mergeCell ref="B179:D179"/>
    <mergeCell ref="C180:D180"/>
    <mergeCell ref="C181:D181"/>
    <mergeCell ref="C182:D182"/>
    <mergeCell ref="B157:D157"/>
    <mergeCell ref="C159:D159"/>
    <mergeCell ref="B163:D163"/>
    <mergeCell ref="C165:D165"/>
    <mergeCell ref="B172:D172"/>
    <mergeCell ref="C174:D174"/>
    <mergeCell ref="B177:D177"/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4:D94"/>
    <mergeCell ref="C96:D96"/>
    <mergeCell ref="B99:D99"/>
    <mergeCell ref="C101:D101"/>
  </mergeCells>
  <conditionalFormatting sqref="E34:T34">
    <cfRule type="expression" dxfId="0" priority="1">
      <formula>E34&lt;&gt;E64</formula>
    </cfRule>
  </conditionalFormatting>
  <conditionalFormatting sqref="E14:AB15">
    <cfRule type="containsBlanks" dxfId="1" priority="2">
      <formula>LEN(TRIM(E14))=0</formula>
    </cfRule>
  </conditionalFormatting>
  <conditionalFormatting sqref="E19:AB20">
    <cfRule type="containsBlanks" dxfId="1" priority="3">
      <formula>LEN(TRIM(E19))=0</formula>
    </cfRule>
  </conditionalFormatting>
  <conditionalFormatting sqref="E22:AB23 E25:AB26 E33:AB33 E35:AB35 E39:AB40">
    <cfRule type="containsBlanks" dxfId="1" priority="4">
      <formula>LEN(TRIM(E22))=0</formula>
    </cfRule>
  </conditionalFormatting>
  <conditionalFormatting sqref="E30:AB30">
    <cfRule type="expression" dxfId="0" priority="5">
      <formula>E30&lt;&gt;E47</formula>
    </cfRule>
  </conditionalFormatting>
  <conditionalFormatting sqref="E30:AB30">
    <cfRule type="expression" dxfId="0" priority="6">
      <formula>E30&lt;&gt;E34</formula>
    </cfRule>
  </conditionalFormatting>
  <conditionalFormatting sqref="E34:AB34">
    <cfRule type="expression" dxfId="2" priority="7">
      <formula>E30&lt;&gt;E34</formula>
    </cfRule>
  </conditionalFormatting>
  <conditionalFormatting sqref="E34:AB34">
    <cfRule type="expression" dxfId="3" priority="8">
      <formula>E30=E34</formula>
    </cfRule>
  </conditionalFormatting>
  <conditionalFormatting sqref="E34:AB34">
    <cfRule type="expression" dxfId="0" priority="9">
      <formula>E34&lt;&gt;E30</formula>
    </cfRule>
  </conditionalFormatting>
  <conditionalFormatting sqref="E45:AB51">
    <cfRule type="containsBlanks" dxfId="1" priority="10">
      <formula>LEN(TRIM(E45))=0</formula>
    </cfRule>
  </conditionalFormatting>
  <conditionalFormatting sqref="E54:AB60">
    <cfRule type="containsBlanks" dxfId="1" priority="11">
      <formula>LEN(TRIM(E54))=0</formula>
    </cfRule>
  </conditionalFormatting>
  <conditionalFormatting sqref="E63:AB69">
    <cfRule type="containsBlanks" dxfId="1" priority="12">
      <formula>LEN(TRIM(E63))=0</formula>
    </cfRule>
  </conditionalFormatting>
  <conditionalFormatting sqref="E72:AB78">
    <cfRule type="containsBlanks" dxfId="1" priority="13">
      <formula>LEN(TRIM(E72))=0</formula>
    </cfRule>
  </conditionalFormatting>
  <conditionalFormatting sqref="E81:AB87">
    <cfRule type="containsBlanks" dxfId="1" priority="14">
      <formula>LEN(TRIM(E81))=0</formula>
    </cfRule>
  </conditionalFormatting>
  <conditionalFormatting sqref="E90:AB93">
    <cfRule type="containsBlanks" dxfId="1" priority="15">
      <formula>LEN(TRIM(E90))=0</formula>
    </cfRule>
  </conditionalFormatting>
  <conditionalFormatting sqref="E96:AB98">
    <cfRule type="containsBlanks" dxfId="1" priority="16">
      <formula>LEN(TRIM(E96))=0</formula>
    </cfRule>
  </conditionalFormatting>
  <conditionalFormatting sqref="E101:AB107">
    <cfRule type="containsBlanks" dxfId="1" priority="17">
      <formula>LEN(TRIM(E101))=0</formula>
    </cfRule>
  </conditionalFormatting>
  <conditionalFormatting sqref="E110:AB114">
    <cfRule type="containsBlanks" dxfId="1" priority="18">
      <formula>LEN(TRIM(E110))=0</formula>
    </cfRule>
  </conditionalFormatting>
  <conditionalFormatting sqref="E117:AB123">
    <cfRule type="containsBlanks" dxfId="1" priority="19">
      <formula>LEN(TRIM(E117))=0</formula>
    </cfRule>
  </conditionalFormatting>
  <conditionalFormatting sqref="E126:AB127">
    <cfRule type="containsBlanks" dxfId="1" priority="20">
      <formula>LEN(TRIM(E126))=0</formula>
    </cfRule>
  </conditionalFormatting>
  <conditionalFormatting sqref="E130:AB134">
    <cfRule type="containsBlanks" dxfId="1" priority="21">
      <formula>LEN(TRIM(E130))=0</formula>
    </cfRule>
  </conditionalFormatting>
  <conditionalFormatting sqref="E137:AB143">
    <cfRule type="containsBlanks" dxfId="1" priority="22">
      <formula>LEN(TRIM(E137))=0</formula>
    </cfRule>
  </conditionalFormatting>
  <conditionalFormatting sqref="E146:AB152">
    <cfRule type="containsBlanks" dxfId="1" priority="23">
      <formula>LEN(TRIM(E146))=0</formula>
    </cfRule>
  </conditionalFormatting>
  <conditionalFormatting sqref="E155:AB156">
    <cfRule type="containsBlanks" dxfId="1" priority="24">
      <formula>LEN(TRIM(E155))=0</formula>
    </cfRule>
  </conditionalFormatting>
  <conditionalFormatting sqref="E159:AB162">
    <cfRule type="containsBlanks" dxfId="1" priority="25">
      <formula>LEN(TRIM(E159))=0</formula>
    </cfRule>
  </conditionalFormatting>
  <conditionalFormatting sqref="E165:AB171">
    <cfRule type="containsBlanks" dxfId="1" priority="26">
      <formula>LEN(TRIM(E165))=0</formula>
    </cfRule>
  </conditionalFormatting>
  <conditionalFormatting sqref="E174:AB176">
    <cfRule type="containsBlanks" dxfId="1" priority="27">
      <formula>LEN(TRIM(E174))=0</formula>
    </cfRule>
  </conditionalFormatting>
  <conditionalFormatting sqref="E180:AB181">
    <cfRule type="containsBlanks" dxfId="1" priority="28">
      <formula>LEN(TRIM(E180))=0</formula>
    </cfRule>
  </conditionalFormatting>
  <conditionalFormatting sqref="E182:AB182">
    <cfRule type="expression" dxfId="0" priority="29">
      <formula>E182&lt;&gt;E30</formula>
    </cfRule>
  </conditionalFormatting>
  <conditionalFormatting sqref="E182:AB182">
    <cfRule type="expression" dxfId="0" priority="30">
      <formula>E182&lt;&gt;E34</formula>
    </cfRule>
  </conditionalFormatting>
  <conditionalFormatting sqref="U34:AB34">
    <cfRule type="expression" dxfId="0" priority="31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  <col customWidth="1" min="29" max="3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159</v>
      </c>
      <c r="D9" s="8" t="s">
        <v>205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6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161</v>
      </c>
      <c r="F13" s="13" t="s">
        <v>162</v>
      </c>
      <c r="G13" s="13" t="s">
        <v>163</v>
      </c>
      <c r="H13" s="13" t="s">
        <v>164</v>
      </c>
      <c r="I13" s="13" t="s">
        <v>165</v>
      </c>
      <c r="J13" s="13" t="s">
        <v>166</v>
      </c>
      <c r="K13" s="13" t="s">
        <v>167</v>
      </c>
      <c r="L13" s="13" t="s">
        <v>168</v>
      </c>
      <c r="M13" s="13" t="s">
        <v>169</v>
      </c>
      <c r="N13" s="13" t="s">
        <v>170</v>
      </c>
      <c r="O13" s="13" t="s">
        <v>171</v>
      </c>
      <c r="P13" s="13" t="s">
        <v>172</v>
      </c>
      <c r="Q13" s="13" t="s">
        <v>173</v>
      </c>
      <c r="R13" s="13" t="s">
        <v>174</v>
      </c>
      <c r="S13" s="13" t="s">
        <v>175</v>
      </c>
      <c r="T13" s="13" t="s">
        <v>176</v>
      </c>
      <c r="U13" s="13" t="s">
        <v>177</v>
      </c>
      <c r="V13" s="13" t="s">
        <v>178</v>
      </c>
      <c r="W13" s="13" t="s">
        <v>179</v>
      </c>
      <c r="X13" s="13" t="s">
        <v>180</v>
      </c>
      <c r="Y13" s="13" t="s">
        <v>181</v>
      </c>
      <c r="Z13" s="13" t="s">
        <v>182</v>
      </c>
      <c r="AA13" s="13" t="s">
        <v>183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69">
        <v>135.0</v>
      </c>
      <c r="F14" s="69">
        <v>130.0</v>
      </c>
      <c r="G14" s="69">
        <v>151.0</v>
      </c>
      <c r="H14" s="69">
        <v>136.0</v>
      </c>
      <c r="I14" s="69">
        <v>149.0</v>
      </c>
      <c r="J14" s="69">
        <v>146.0</v>
      </c>
      <c r="K14" s="69">
        <v>143.0</v>
      </c>
      <c r="L14" s="69">
        <v>132.0</v>
      </c>
      <c r="M14" s="69">
        <v>144.0</v>
      </c>
      <c r="N14" s="69">
        <v>119.0</v>
      </c>
      <c r="O14" s="69">
        <v>124.0</v>
      </c>
      <c r="P14" s="69">
        <v>100.0</v>
      </c>
      <c r="Q14" s="69">
        <v>136.0</v>
      </c>
      <c r="R14" s="69">
        <v>142.0</v>
      </c>
      <c r="S14" s="69">
        <v>139.0</v>
      </c>
      <c r="T14" s="69">
        <v>156.0</v>
      </c>
      <c r="U14" s="69">
        <v>104.0</v>
      </c>
      <c r="V14" s="69">
        <v>146.0</v>
      </c>
      <c r="W14" s="69">
        <v>124.0</v>
      </c>
      <c r="X14" s="69">
        <v>153.0</v>
      </c>
      <c r="Y14" s="69">
        <v>155.0</v>
      </c>
      <c r="Z14" s="69">
        <v>136.0</v>
      </c>
      <c r="AA14" s="69">
        <v>141.0</v>
      </c>
      <c r="AB14" s="13">
        <f t="shared" ref="AB14:AB16" si="1">SUM(E14:AA14)</f>
        <v>3141</v>
      </c>
    </row>
    <row r="15" ht="12.75" customHeight="1">
      <c r="A15" s="18"/>
      <c r="B15" s="26"/>
      <c r="C15" s="27"/>
      <c r="D15" s="19" t="s">
        <v>13</v>
      </c>
      <c r="E15" s="69">
        <v>150.0</v>
      </c>
      <c r="F15" s="69">
        <v>148.0</v>
      </c>
      <c r="G15" s="69">
        <v>128.0</v>
      </c>
      <c r="H15" s="69">
        <v>141.0</v>
      </c>
      <c r="I15" s="69">
        <v>138.0</v>
      </c>
      <c r="J15" s="69">
        <v>142.0</v>
      </c>
      <c r="K15" s="69">
        <v>152.0</v>
      </c>
      <c r="L15" s="69">
        <v>164.0</v>
      </c>
      <c r="M15" s="69">
        <v>128.0</v>
      </c>
      <c r="N15" s="69">
        <v>111.0</v>
      </c>
      <c r="O15" s="69">
        <v>123.0</v>
      </c>
      <c r="P15" s="69">
        <v>96.0</v>
      </c>
      <c r="Q15" s="69">
        <v>121.0</v>
      </c>
      <c r="R15" s="69">
        <v>153.0</v>
      </c>
      <c r="S15" s="69">
        <v>152.0</v>
      </c>
      <c r="T15" s="69">
        <v>138.0</v>
      </c>
      <c r="U15" s="69">
        <v>108.0</v>
      </c>
      <c r="V15" s="69">
        <v>137.0</v>
      </c>
      <c r="W15" s="69">
        <v>130.0</v>
      </c>
      <c r="X15" s="69">
        <v>143.0</v>
      </c>
      <c r="Y15" s="69">
        <v>134.0</v>
      </c>
      <c r="Z15" s="69">
        <v>153.0</v>
      </c>
      <c r="AA15" s="69">
        <v>150.0</v>
      </c>
      <c r="AB15" s="13">
        <f t="shared" si="1"/>
        <v>3140</v>
      </c>
    </row>
    <row r="16" ht="12.75" customHeight="1">
      <c r="A16" s="25"/>
      <c r="B16" s="21"/>
      <c r="C16" s="28"/>
      <c r="D16" s="13" t="s">
        <v>14</v>
      </c>
      <c r="E16" s="70">
        <f t="shared" ref="E16:AA16" si="2">SUM(E14:E15)</f>
        <v>285</v>
      </c>
      <c r="F16" s="70">
        <f t="shared" si="2"/>
        <v>278</v>
      </c>
      <c r="G16" s="70">
        <f t="shared" si="2"/>
        <v>279</v>
      </c>
      <c r="H16" s="70">
        <f t="shared" si="2"/>
        <v>277</v>
      </c>
      <c r="I16" s="70">
        <f t="shared" si="2"/>
        <v>287</v>
      </c>
      <c r="J16" s="70">
        <f t="shared" si="2"/>
        <v>288</v>
      </c>
      <c r="K16" s="70">
        <f t="shared" si="2"/>
        <v>295</v>
      </c>
      <c r="L16" s="70">
        <f t="shared" si="2"/>
        <v>296</v>
      </c>
      <c r="M16" s="70">
        <f t="shared" si="2"/>
        <v>272</v>
      </c>
      <c r="N16" s="70">
        <f t="shared" si="2"/>
        <v>230</v>
      </c>
      <c r="O16" s="70">
        <f t="shared" si="2"/>
        <v>247</v>
      </c>
      <c r="P16" s="70">
        <f t="shared" si="2"/>
        <v>196</v>
      </c>
      <c r="Q16" s="70">
        <f t="shared" si="2"/>
        <v>257</v>
      </c>
      <c r="R16" s="70">
        <f t="shared" si="2"/>
        <v>295</v>
      </c>
      <c r="S16" s="70">
        <f t="shared" si="2"/>
        <v>291</v>
      </c>
      <c r="T16" s="70">
        <f t="shared" si="2"/>
        <v>294</v>
      </c>
      <c r="U16" s="70">
        <f t="shared" si="2"/>
        <v>212</v>
      </c>
      <c r="V16" s="70">
        <f t="shared" si="2"/>
        <v>283</v>
      </c>
      <c r="W16" s="70">
        <f t="shared" si="2"/>
        <v>254</v>
      </c>
      <c r="X16" s="70">
        <f t="shared" si="2"/>
        <v>296</v>
      </c>
      <c r="Y16" s="70">
        <f t="shared" si="2"/>
        <v>289</v>
      </c>
      <c r="Z16" s="70">
        <f t="shared" si="2"/>
        <v>289</v>
      </c>
      <c r="AA16" s="70">
        <f t="shared" si="2"/>
        <v>291</v>
      </c>
      <c r="AB16" s="13">
        <f t="shared" si="1"/>
        <v>6281</v>
      </c>
    </row>
    <row r="17" ht="12.75" customHeight="1">
      <c r="A17" s="24"/>
      <c r="B17" s="15"/>
      <c r="C17" s="15"/>
      <c r="D17" s="16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66"/>
    </row>
    <row r="18" ht="12.75" customHeight="1">
      <c r="A18" s="30" t="s">
        <v>15</v>
      </c>
      <c r="B18" s="20" t="s">
        <v>16</v>
      </c>
      <c r="C18" s="15"/>
      <c r="D18" s="16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6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9">
        <v>108.0</v>
      </c>
      <c r="F19" s="69">
        <v>96.0</v>
      </c>
      <c r="G19" s="69">
        <v>113.0</v>
      </c>
      <c r="H19" s="69">
        <v>97.0</v>
      </c>
      <c r="I19" s="69">
        <v>109.0</v>
      </c>
      <c r="J19" s="69">
        <v>95.0</v>
      </c>
      <c r="K19" s="69">
        <v>94.0</v>
      </c>
      <c r="L19" s="69">
        <v>88.0</v>
      </c>
      <c r="M19" s="69">
        <v>99.0</v>
      </c>
      <c r="N19" s="69">
        <v>87.0</v>
      </c>
      <c r="O19" s="69">
        <v>90.0</v>
      </c>
      <c r="P19" s="69">
        <v>68.0</v>
      </c>
      <c r="Q19" s="69">
        <v>100.0</v>
      </c>
      <c r="R19" s="69">
        <v>110.0</v>
      </c>
      <c r="S19" s="69">
        <v>106.0</v>
      </c>
      <c r="T19" s="69">
        <v>108.0</v>
      </c>
      <c r="U19" s="69">
        <v>86.0</v>
      </c>
      <c r="V19" s="69">
        <v>119.0</v>
      </c>
      <c r="W19" s="69">
        <v>94.0</v>
      </c>
      <c r="X19" s="69">
        <v>113.0</v>
      </c>
      <c r="Y19" s="69">
        <v>113.0</v>
      </c>
      <c r="Z19" s="69">
        <v>101.0</v>
      </c>
      <c r="AA19" s="69">
        <v>100.0</v>
      </c>
      <c r="AB19" s="13">
        <f t="shared" ref="AB19:AB30" si="3">SUM(E19:AA19)</f>
        <v>2294</v>
      </c>
    </row>
    <row r="20" ht="12.75" customHeight="1">
      <c r="A20" s="33"/>
      <c r="B20" s="27"/>
      <c r="C20" s="34"/>
      <c r="D20" s="19" t="s">
        <v>13</v>
      </c>
      <c r="E20" s="69">
        <v>123.0</v>
      </c>
      <c r="F20" s="69">
        <v>122.0</v>
      </c>
      <c r="G20" s="69">
        <v>97.0</v>
      </c>
      <c r="H20" s="69">
        <v>113.0</v>
      </c>
      <c r="I20" s="69">
        <v>116.0</v>
      </c>
      <c r="J20" s="69">
        <v>111.0</v>
      </c>
      <c r="K20" s="69">
        <v>115.0</v>
      </c>
      <c r="L20" s="69">
        <v>125.0</v>
      </c>
      <c r="M20" s="69">
        <v>90.0</v>
      </c>
      <c r="N20" s="69">
        <v>81.0</v>
      </c>
      <c r="O20" s="69">
        <v>105.0</v>
      </c>
      <c r="P20" s="69">
        <v>73.0</v>
      </c>
      <c r="Q20" s="69">
        <v>101.0</v>
      </c>
      <c r="R20" s="69">
        <v>126.0</v>
      </c>
      <c r="S20" s="69">
        <v>127.0</v>
      </c>
      <c r="T20" s="69">
        <v>113.0</v>
      </c>
      <c r="U20" s="69">
        <v>90.0</v>
      </c>
      <c r="V20" s="69">
        <v>119.0</v>
      </c>
      <c r="W20" s="69">
        <v>112.0</v>
      </c>
      <c r="X20" s="69">
        <v>124.0</v>
      </c>
      <c r="Y20" s="69">
        <v>103.0</v>
      </c>
      <c r="Z20" s="69">
        <v>110.0</v>
      </c>
      <c r="AA20" s="69">
        <v>121.0</v>
      </c>
      <c r="AB20" s="13">
        <f t="shared" si="3"/>
        <v>2517</v>
      </c>
    </row>
    <row r="21" ht="12.75" customHeight="1">
      <c r="A21" s="35"/>
      <c r="B21" s="28"/>
      <c r="C21" s="36"/>
      <c r="D21" s="13" t="s">
        <v>14</v>
      </c>
      <c r="E21" s="70">
        <v>231.0</v>
      </c>
      <c r="F21" s="70">
        <v>218.0</v>
      </c>
      <c r="G21" s="70">
        <v>210.0</v>
      </c>
      <c r="H21" s="70">
        <v>210.0</v>
      </c>
      <c r="I21" s="70">
        <v>225.0</v>
      </c>
      <c r="J21" s="70">
        <v>206.0</v>
      </c>
      <c r="K21" s="70">
        <v>209.0</v>
      </c>
      <c r="L21" s="70">
        <v>213.0</v>
      </c>
      <c r="M21" s="70">
        <v>189.0</v>
      </c>
      <c r="N21" s="70">
        <v>168.0</v>
      </c>
      <c r="O21" s="70">
        <v>195.0</v>
      </c>
      <c r="P21" s="70">
        <v>141.0</v>
      </c>
      <c r="Q21" s="70">
        <v>201.0</v>
      </c>
      <c r="R21" s="70">
        <v>236.0</v>
      </c>
      <c r="S21" s="70">
        <v>233.0</v>
      </c>
      <c r="T21" s="70">
        <v>221.0</v>
      </c>
      <c r="U21" s="70">
        <v>176.0</v>
      </c>
      <c r="V21" s="70">
        <v>238.0</v>
      </c>
      <c r="W21" s="70">
        <v>206.0</v>
      </c>
      <c r="X21" s="70">
        <v>237.0</v>
      </c>
      <c r="Y21" s="70">
        <v>216.0</v>
      </c>
      <c r="Z21" s="70">
        <v>211.0</v>
      </c>
      <c r="AA21" s="70">
        <v>221.0</v>
      </c>
      <c r="AB21" s="13">
        <f t="shared" si="3"/>
        <v>4811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9">
        <v>1.0</v>
      </c>
      <c r="F22" s="69">
        <v>0.0</v>
      </c>
      <c r="G22" s="69">
        <v>0.0</v>
      </c>
      <c r="H22" s="69">
        <v>0.0</v>
      </c>
      <c r="I22" s="69">
        <v>2.0</v>
      </c>
      <c r="J22" s="69">
        <v>0.0</v>
      </c>
      <c r="K22" s="69">
        <v>0.0</v>
      </c>
      <c r="L22" s="69">
        <v>0.0</v>
      </c>
      <c r="M22" s="69">
        <v>0.0</v>
      </c>
      <c r="N22" s="69">
        <v>0.0</v>
      </c>
      <c r="O22" s="69">
        <v>0.0</v>
      </c>
      <c r="P22" s="69">
        <v>0.0</v>
      </c>
      <c r="Q22" s="69">
        <v>0.0</v>
      </c>
      <c r="R22" s="69">
        <v>1.0</v>
      </c>
      <c r="S22" s="69">
        <v>0.0</v>
      </c>
      <c r="T22" s="69">
        <v>0.0</v>
      </c>
      <c r="U22" s="69">
        <v>0.0</v>
      </c>
      <c r="V22" s="69">
        <v>0.0</v>
      </c>
      <c r="W22" s="69">
        <v>0.0</v>
      </c>
      <c r="X22" s="69">
        <v>0.0</v>
      </c>
      <c r="Y22" s="69">
        <v>0.0</v>
      </c>
      <c r="Z22" s="69">
        <v>0.0</v>
      </c>
      <c r="AA22" s="69">
        <v>0.0</v>
      </c>
      <c r="AB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69">
        <v>0.0</v>
      </c>
      <c r="F23" s="69">
        <v>0.0</v>
      </c>
      <c r="G23" s="69">
        <v>0.0</v>
      </c>
      <c r="H23" s="69">
        <v>0.0</v>
      </c>
      <c r="I23" s="69">
        <v>0.0</v>
      </c>
      <c r="J23" s="69">
        <v>0.0</v>
      </c>
      <c r="K23" s="69">
        <v>0.0</v>
      </c>
      <c r="L23" s="69">
        <v>0.0</v>
      </c>
      <c r="M23" s="69">
        <v>0.0</v>
      </c>
      <c r="N23" s="69">
        <v>0.0</v>
      </c>
      <c r="O23" s="69">
        <v>0.0</v>
      </c>
      <c r="P23" s="69">
        <v>0.0</v>
      </c>
      <c r="Q23" s="69">
        <v>0.0</v>
      </c>
      <c r="R23" s="69">
        <v>1.0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9">
        <v>0.0</v>
      </c>
      <c r="Y23" s="69">
        <v>0.0</v>
      </c>
      <c r="Z23" s="69">
        <v>0.0</v>
      </c>
      <c r="AA23" s="69">
        <v>0.0</v>
      </c>
      <c r="AB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70">
        <f t="shared" ref="E24:AA24" si="4">SUM(E22:E23)</f>
        <v>1</v>
      </c>
      <c r="F24" s="70">
        <f t="shared" si="4"/>
        <v>0</v>
      </c>
      <c r="G24" s="70">
        <f t="shared" si="4"/>
        <v>0</v>
      </c>
      <c r="H24" s="70">
        <f t="shared" si="4"/>
        <v>0</v>
      </c>
      <c r="I24" s="70">
        <f t="shared" si="4"/>
        <v>2</v>
      </c>
      <c r="J24" s="70">
        <f t="shared" si="4"/>
        <v>0</v>
      </c>
      <c r="K24" s="70">
        <f t="shared" si="4"/>
        <v>0</v>
      </c>
      <c r="L24" s="70">
        <f t="shared" si="4"/>
        <v>0</v>
      </c>
      <c r="M24" s="70">
        <f t="shared" si="4"/>
        <v>0</v>
      </c>
      <c r="N24" s="70">
        <f t="shared" si="4"/>
        <v>0</v>
      </c>
      <c r="O24" s="70">
        <f t="shared" si="4"/>
        <v>0</v>
      </c>
      <c r="P24" s="70">
        <f t="shared" si="4"/>
        <v>0</v>
      </c>
      <c r="Q24" s="70">
        <f t="shared" si="4"/>
        <v>0</v>
      </c>
      <c r="R24" s="70">
        <f t="shared" si="4"/>
        <v>2</v>
      </c>
      <c r="S24" s="70">
        <f t="shared" si="4"/>
        <v>0</v>
      </c>
      <c r="T24" s="70">
        <f t="shared" si="4"/>
        <v>0</v>
      </c>
      <c r="U24" s="70">
        <f t="shared" si="4"/>
        <v>0</v>
      </c>
      <c r="V24" s="70">
        <f t="shared" si="4"/>
        <v>0</v>
      </c>
      <c r="W24" s="70">
        <f t="shared" si="4"/>
        <v>0</v>
      </c>
      <c r="X24" s="70">
        <f t="shared" si="4"/>
        <v>0</v>
      </c>
      <c r="Y24" s="70">
        <f t="shared" si="4"/>
        <v>0</v>
      </c>
      <c r="Z24" s="70">
        <f t="shared" si="4"/>
        <v>0</v>
      </c>
      <c r="AA24" s="70">
        <f t="shared" si="4"/>
        <v>0</v>
      </c>
      <c r="AB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9">
        <v>5.0</v>
      </c>
      <c r="F25" s="69">
        <v>2.0</v>
      </c>
      <c r="G25" s="69">
        <v>2.0</v>
      </c>
      <c r="H25" s="69">
        <v>4.0</v>
      </c>
      <c r="I25" s="69">
        <v>0.0</v>
      </c>
      <c r="J25" s="69">
        <v>2.0</v>
      </c>
      <c r="K25" s="69">
        <v>0.0</v>
      </c>
      <c r="L25" s="69">
        <v>1.0</v>
      </c>
      <c r="M25" s="69">
        <v>1.0</v>
      </c>
      <c r="N25" s="69">
        <v>1.0</v>
      </c>
      <c r="O25" s="69">
        <v>0.0</v>
      </c>
      <c r="P25" s="69">
        <v>0.0</v>
      </c>
      <c r="Q25" s="69">
        <v>0.0</v>
      </c>
      <c r="R25" s="69">
        <v>1.0</v>
      </c>
      <c r="S25" s="69">
        <v>0.0</v>
      </c>
      <c r="T25" s="69">
        <v>3.0</v>
      </c>
      <c r="U25" s="69">
        <v>0.0</v>
      </c>
      <c r="V25" s="69">
        <v>2.0</v>
      </c>
      <c r="W25" s="69">
        <v>0.0</v>
      </c>
      <c r="X25" s="69">
        <v>1.0</v>
      </c>
      <c r="Y25" s="69">
        <v>0.0</v>
      </c>
      <c r="Z25" s="69">
        <v>0.0</v>
      </c>
      <c r="AA25" s="69">
        <v>0.0</v>
      </c>
      <c r="AB25" s="13">
        <f t="shared" si="3"/>
        <v>25</v>
      </c>
    </row>
    <row r="26" ht="12.75" customHeight="1">
      <c r="A26" s="33"/>
      <c r="B26" s="27"/>
      <c r="C26" s="34"/>
      <c r="D26" s="19" t="s">
        <v>13</v>
      </c>
      <c r="E26" s="69">
        <v>4.0</v>
      </c>
      <c r="F26" s="69">
        <v>5.0</v>
      </c>
      <c r="G26" s="69">
        <v>4.0</v>
      </c>
      <c r="H26" s="69">
        <v>4.0</v>
      </c>
      <c r="I26" s="69">
        <v>4.0</v>
      </c>
      <c r="J26" s="69">
        <v>2.0</v>
      </c>
      <c r="K26" s="69">
        <v>0.0</v>
      </c>
      <c r="L26" s="69">
        <v>0.0</v>
      </c>
      <c r="M26" s="69">
        <v>1.0</v>
      </c>
      <c r="N26" s="69">
        <v>4.0</v>
      </c>
      <c r="O26" s="69">
        <v>0.0</v>
      </c>
      <c r="P26" s="69">
        <v>0.0</v>
      </c>
      <c r="Q26" s="69">
        <v>1.0</v>
      </c>
      <c r="R26" s="69">
        <v>0.0</v>
      </c>
      <c r="S26" s="69">
        <v>0.0</v>
      </c>
      <c r="T26" s="69">
        <v>3.0</v>
      </c>
      <c r="U26" s="69">
        <v>0.0</v>
      </c>
      <c r="V26" s="69">
        <v>1.0</v>
      </c>
      <c r="W26" s="69">
        <v>1.0</v>
      </c>
      <c r="X26" s="69">
        <v>0.0</v>
      </c>
      <c r="Y26" s="69">
        <v>0.0</v>
      </c>
      <c r="Z26" s="69">
        <v>0.0</v>
      </c>
      <c r="AA26" s="69">
        <v>0.0</v>
      </c>
      <c r="AB26" s="13">
        <f t="shared" si="3"/>
        <v>34</v>
      </c>
    </row>
    <row r="27" ht="12.75" customHeight="1">
      <c r="A27" s="35"/>
      <c r="B27" s="28"/>
      <c r="C27" s="36"/>
      <c r="D27" s="13" t="s">
        <v>14</v>
      </c>
      <c r="E27" s="70">
        <v>9.0</v>
      </c>
      <c r="F27" s="70">
        <v>7.0</v>
      </c>
      <c r="G27" s="70">
        <v>6.0</v>
      </c>
      <c r="H27" s="70">
        <v>8.0</v>
      </c>
      <c r="I27" s="70">
        <v>4.0</v>
      </c>
      <c r="J27" s="70">
        <v>4.0</v>
      </c>
      <c r="K27" s="70">
        <v>0.0</v>
      </c>
      <c r="L27" s="70">
        <v>1.0</v>
      </c>
      <c r="M27" s="70">
        <v>2.0</v>
      </c>
      <c r="N27" s="70">
        <v>5.0</v>
      </c>
      <c r="O27" s="70">
        <v>0.0</v>
      </c>
      <c r="P27" s="70">
        <v>0.0</v>
      </c>
      <c r="Q27" s="70">
        <v>1.0</v>
      </c>
      <c r="R27" s="70">
        <v>1.0</v>
      </c>
      <c r="S27" s="70">
        <v>0.0</v>
      </c>
      <c r="T27" s="70">
        <v>6.0</v>
      </c>
      <c r="U27" s="70">
        <v>0.0</v>
      </c>
      <c r="V27" s="70">
        <v>3.0</v>
      </c>
      <c r="W27" s="70">
        <v>1.0</v>
      </c>
      <c r="X27" s="70">
        <v>1.0</v>
      </c>
      <c r="Y27" s="70">
        <v>0.0</v>
      </c>
      <c r="Z27" s="70">
        <v>0.0</v>
      </c>
      <c r="AA27" s="70">
        <v>0.0</v>
      </c>
      <c r="AB27" s="13">
        <f t="shared" si="3"/>
        <v>59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70">
        <f t="shared" ref="E28:AA28" si="5">E19+E22+E25</f>
        <v>114</v>
      </c>
      <c r="F28" s="70">
        <f t="shared" si="5"/>
        <v>98</v>
      </c>
      <c r="G28" s="70">
        <f t="shared" si="5"/>
        <v>115</v>
      </c>
      <c r="H28" s="70">
        <f t="shared" si="5"/>
        <v>101</v>
      </c>
      <c r="I28" s="70">
        <f t="shared" si="5"/>
        <v>111</v>
      </c>
      <c r="J28" s="70">
        <f t="shared" si="5"/>
        <v>97</v>
      </c>
      <c r="K28" s="70">
        <f t="shared" si="5"/>
        <v>94</v>
      </c>
      <c r="L28" s="70">
        <f t="shared" si="5"/>
        <v>89</v>
      </c>
      <c r="M28" s="70">
        <f t="shared" si="5"/>
        <v>100</v>
      </c>
      <c r="N28" s="70">
        <f t="shared" si="5"/>
        <v>88</v>
      </c>
      <c r="O28" s="70">
        <f t="shared" si="5"/>
        <v>90</v>
      </c>
      <c r="P28" s="70">
        <f t="shared" si="5"/>
        <v>68</v>
      </c>
      <c r="Q28" s="70">
        <f t="shared" si="5"/>
        <v>100</v>
      </c>
      <c r="R28" s="70">
        <f t="shared" si="5"/>
        <v>112</v>
      </c>
      <c r="S28" s="70">
        <f t="shared" si="5"/>
        <v>106</v>
      </c>
      <c r="T28" s="70">
        <f t="shared" si="5"/>
        <v>111</v>
      </c>
      <c r="U28" s="70">
        <f t="shared" si="5"/>
        <v>86</v>
      </c>
      <c r="V28" s="70">
        <f t="shared" si="5"/>
        <v>121</v>
      </c>
      <c r="W28" s="70">
        <f t="shared" si="5"/>
        <v>94</v>
      </c>
      <c r="X28" s="70">
        <f t="shared" si="5"/>
        <v>114</v>
      </c>
      <c r="Y28" s="70">
        <f t="shared" si="5"/>
        <v>113</v>
      </c>
      <c r="Z28" s="70">
        <f t="shared" si="5"/>
        <v>101</v>
      </c>
      <c r="AA28" s="70">
        <f t="shared" si="5"/>
        <v>100</v>
      </c>
      <c r="AB28" s="13">
        <f t="shared" si="3"/>
        <v>2323</v>
      </c>
    </row>
    <row r="29" ht="12.75" customHeight="1">
      <c r="A29" s="35"/>
      <c r="B29" s="27"/>
      <c r="C29" s="34"/>
      <c r="D29" s="13" t="s">
        <v>13</v>
      </c>
      <c r="E29" s="70">
        <f t="shared" ref="E29:AA29" si="6">E20+E23+E26</f>
        <v>127</v>
      </c>
      <c r="F29" s="70">
        <f t="shared" si="6"/>
        <v>127</v>
      </c>
      <c r="G29" s="70">
        <f t="shared" si="6"/>
        <v>101</v>
      </c>
      <c r="H29" s="70">
        <f t="shared" si="6"/>
        <v>117</v>
      </c>
      <c r="I29" s="70">
        <f t="shared" si="6"/>
        <v>120</v>
      </c>
      <c r="J29" s="70">
        <f t="shared" si="6"/>
        <v>113</v>
      </c>
      <c r="K29" s="70">
        <f t="shared" si="6"/>
        <v>115</v>
      </c>
      <c r="L29" s="70">
        <f t="shared" si="6"/>
        <v>125</v>
      </c>
      <c r="M29" s="70">
        <f t="shared" si="6"/>
        <v>91</v>
      </c>
      <c r="N29" s="70">
        <f t="shared" si="6"/>
        <v>85</v>
      </c>
      <c r="O29" s="70">
        <f t="shared" si="6"/>
        <v>105</v>
      </c>
      <c r="P29" s="70">
        <f t="shared" si="6"/>
        <v>73</v>
      </c>
      <c r="Q29" s="70">
        <f t="shared" si="6"/>
        <v>102</v>
      </c>
      <c r="R29" s="70">
        <f t="shared" si="6"/>
        <v>127</v>
      </c>
      <c r="S29" s="70">
        <f t="shared" si="6"/>
        <v>127</v>
      </c>
      <c r="T29" s="70">
        <f t="shared" si="6"/>
        <v>116</v>
      </c>
      <c r="U29" s="70">
        <f t="shared" si="6"/>
        <v>90</v>
      </c>
      <c r="V29" s="70">
        <f t="shared" si="6"/>
        <v>120</v>
      </c>
      <c r="W29" s="70">
        <f t="shared" si="6"/>
        <v>113</v>
      </c>
      <c r="X29" s="70">
        <f t="shared" si="6"/>
        <v>124</v>
      </c>
      <c r="Y29" s="70">
        <f t="shared" si="6"/>
        <v>103</v>
      </c>
      <c r="Z29" s="70">
        <f t="shared" si="6"/>
        <v>110</v>
      </c>
      <c r="AA29" s="70">
        <f t="shared" si="6"/>
        <v>121</v>
      </c>
      <c r="AB29" s="13">
        <f t="shared" si="3"/>
        <v>2552</v>
      </c>
    </row>
    <row r="30" ht="12.75" customHeight="1">
      <c r="A30" s="35"/>
      <c r="B30" s="28"/>
      <c r="C30" s="36"/>
      <c r="D30" s="13" t="s">
        <v>14</v>
      </c>
      <c r="E30" s="72">
        <f t="shared" ref="E30:AA30" si="7">SUM(E28:E29)</f>
        <v>241</v>
      </c>
      <c r="F30" s="72">
        <f t="shared" si="7"/>
        <v>225</v>
      </c>
      <c r="G30" s="72">
        <f t="shared" si="7"/>
        <v>216</v>
      </c>
      <c r="H30" s="72">
        <f t="shared" si="7"/>
        <v>218</v>
      </c>
      <c r="I30" s="72">
        <f t="shared" si="7"/>
        <v>231</v>
      </c>
      <c r="J30" s="72">
        <f t="shared" si="7"/>
        <v>210</v>
      </c>
      <c r="K30" s="72">
        <f t="shared" si="7"/>
        <v>209</v>
      </c>
      <c r="L30" s="72">
        <f t="shared" si="7"/>
        <v>214</v>
      </c>
      <c r="M30" s="72">
        <f t="shared" si="7"/>
        <v>191</v>
      </c>
      <c r="N30" s="72">
        <f t="shared" si="7"/>
        <v>173</v>
      </c>
      <c r="O30" s="72">
        <f t="shared" si="7"/>
        <v>195</v>
      </c>
      <c r="P30" s="72">
        <f t="shared" si="7"/>
        <v>141</v>
      </c>
      <c r="Q30" s="72">
        <f t="shared" si="7"/>
        <v>202</v>
      </c>
      <c r="R30" s="72">
        <f t="shared" si="7"/>
        <v>239</v>
      </c>
      <c r="S30" s="72">
        <f t="shared" si="7"/>
        <v>233</v>
      </c>
      <c r="T30" s="72">
        <f t="shared" si="7"/>
        <v>227</v>
      </c>
      <c r="U30" s="72">
        <f t="shared" si="7"/>
        <v>176</v>
      </c>
      <c r="V30" s="72">
        <f t="shared" si="7"/>
        <v>241</v>
      </c>
      <c r="W30" s="72">
        <f t="shared" si="7"/>
        <v>207</v>
      </c>
      <c r="X30" s="72">
        <f t="shared" si="7"/>
        <v>238</v>
      </c>
      <c r="Y30" s="72">
        <f t="shared" si="7"/>
        <v>216</v>
      </c>
      <c r="Z30" s="72">
        <f t="shared" si="7"/>
        <v>211</v>
      </c>
      <c r="AA30" s="72">
        <f t="shared" si="7"/>
        <v>221</v>
      </c>
      <c r="AB30" s="13">
        <f t="shared" si="3"/>
        <v>4875</v>
      </c>
    </row>
    <row r="31" ht="12.75" customHeight="1">
      <c r="A31" s="24"/>
      <c r="B31" s="15"/>
      <c r="C31" s="15"/>
      <c r="D31" s="16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66"/>
    </row>
    <row r="32" ht="12.75" customHeight="1">
      <c r="A32" s="41" t="s">
        <v>25</v>
      </c>
      <c r="B32" s="14" t="s">
        <v>26</v>
      </c>
      <c r="C32" s="15"/>
      <c r="D32" s="16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66"/>
    </row>
    <row r="33" ht="12.75" customHeight="1">
      <c r="A33" s="19">
        <v>1.0</v>
      </c>
      <c r="B33" s="20" t="s">
        <v>27</v>
      </c>
      <c r="C33" s="15"/>
      <c r="D33" s="16"/>
      <c r="E33" s="69">
        <v>271.0</v>
      </c>
      <c r="F33" s="69">
        <v>284.0</v>
      </c>
      <c r="G33" s="69">
        <v>286.0</v>
      </c>
      <c r="H33" s="69">
        <v>283.0</v>
      </c>
      <c r="I33" s="69">
        <v>293.0</v>
      </c>
      <c r="J33" s="69">
        <v>294.0</v>
      </c>
      <c r="K33" s="69">
        <v>300.0</v>
      </c>
      <c r="L33" s="69">
        <v>302.0</v>
      </c>
      <c r="M33" s="69">
        <v>278.0</v>
      </c>
      <c r="N33" s="69">
        <v>235.0</v>
      </c>
      <c r="O33" s="69">
        <v>252.0</v>
      </c>
      <c r="P33" s="69">
        <v>200.0</v>
      </c>
      <c r="Q33" s="69">
        <v>263.0</v>
      </c>
      <c r="R33" s="69">
        <v>301.0</v>
      </c>
      <c r="S33" s="69">
        <v>297.0</v>
      </c>
      <c r="T33" s="69">
        <v>300.0</v>
      </c>
      <c r="U33" s="69">
        <v>237.0</v>
      </c>
      <c r="V33" s="69">
        <v>289.0</v>
      </c>
      <c r="W33" s="69">
        <v>260.0</v>
      </c>
      <c r="X33" s="69">
        <v>322.0</v>
      </c>
      <c r="Y33" s="69">
        <v>300.0</v>
      </c>
      <c r="Z33" s="69">
        <v>305.0</v>
      </c>
      <c r="AA33" s="69">
        <v>307.0</v>
      </c>
      <c r="AB33" s="13">
        <f t="shared" ref="AB33:AB36" si="8">SUM(E33:AA33)</f>
        <v>6459</v>
      </c>
    </row>
    <row r="34" ht="12.75" customHeight="1">
      <c r="A34" s="19">
        <v>2.0</v>
      </c>
      <c r="B34" s="20" t="s">
        <v>28</v>
      </c>
      <c r="C34" s="15"/>
      <c r="D34" s="16"/>
      <c r="E34" s="73">
        <v>241.0</v>
      </c>
      <c r="F34" s="73">
        <v>225.0</v>
      </c>
      <c r="G34" s="73">
        <v>216.0</v>
      </c>
      <c r="H34" s="73">
        <v>218.0</v>
      </c>
      <c r="I34" s="73">
        <v>231.0</v>
      </c>
      <c r="J34" s="73">
        <v>210.0</v>
      </c>
      <c r="K34" s="73">
        <v>209.0</v>
      </c>
      <c r="L34" s="73">
        <v>214.0</v>
      </c>
      <c r="M34" s="75">
        <v>191.0</v>
      </c>
      <c r="N34" s="73">
        <v>173.0</v>
      </c>
      <c r="O34" s="73">
        <v>195.0</v>
      </c>
      <c r="P34" s="73">
        <v>141.0</v>
      </c>
      <c r="Q34" s="73">
        <v>202.0</v>
      </c>
      <c r="R34" s="73">
        <v>239.0</v>
      </c>
      <c r="S34" s="73">
        <v>233.0</v>
      </c>
      <c r="T34" s="73">
        <v>227.0</v>
      </c>
      <c r="U34" s="73">
        <v>176.0</v>
      </c>
      <c r="V34" s="73">
        <v>241.0</v>
      </c>
      <c r="W34" s="73">
        <v>207.0</v>
      </c>
      <c r="X34" s="73">
        <v>238.0</v>
      </c>
      <c r="Y34" s="73">
        <v>216.0</v>
      </c>
      <c r="Z34" s="73">
        <v>211.0</v>
      </c>
      <c r="AA34" s="73">
        <v>221.0</v>
      </c>
      <c r="AB34" s="13">
        <f t="shared" si="8"/>
        <v>4875</v>
      </c>
    </row>
    <row r="35" ht="12.75" customHeight="1">
      <c r="A35" s="19">
        <v>3.0</v>
      </c>
      <c r="B35" s="20" t="s">
        <v>29</v>
      </c>
      <c r="C35" s="15"/>
      <c r="D35" s="16"/>
      <c r="E35" s="69">
        <v>0.0</v>
      </c>
      <c r="F35" s="69">
        <v>0.0</v>
      </c>
      <c r="G35" s="69">
        <v>0.0</v>
      </c>
      <c r="H35" s="69">
        <v>0.0</v>
      </c>
      <c r="I35" s="69">
        <v>0.0</v>
      </c>
      <c r="J35" s="69">
        <v>0.0</v>
      </c>
      <c r="K35" s="69">
        <v>1.0</v>
      </c>
      <c r="L35" s="69">
        <v>1.0</v>
      </c>
      <c r="M35" s="69">
        <v>1.0</v>
      </c>
      <c r="N35" s="69">
        <v>0.0</v>
      </c>
      <c r="O35" s="69">
        <v>0.0</v>
      </c>
      <c r="P35" s="69">
        <v>0.0</v>
      </c>
      <c r="Q35" s="69">
        <v>0.0</v>
      </c>
      <c r="R35" s="69">
        <v>0.0</v>
      </c>
      <c r="S35" s="69">
        <v>3.0</v>
      </c>
      <c r="T35" s="69">
        <v>0.0</v>
      </c>
      <c r="U35" s="69">
        <v>0.0</v>
      </c>
      <c r="V35" s="69">
        <v>2.0</v>
      </c>
      <c r="W35" s="69">
        <v>2.0</v>
      </c>
      <c r="X35" s="69">
        <v>0.0</v>
      </c>
      <c r="Y35" s="69">
        <v>0.0</v>
      </c>
      <c r="Z35" s="69">
        <v>0.0</v>
      </c>
      <c r="AA35" s="69">
        <v>0.0</v>
      </c>
      <c r="AB35" s="13">
        <f t="shared" si="8"/>
        <v>10</v>
      </c>
    </row>
    <row r="36" ht="12.75" customHeight="1">
      <c r="A36" s="19">
        <v>4.0</v>
      </c>
      <c r="B36" s="20" t="s">
        <v>30</v>
      </c>
      <c r="C36" s="15"/>
      <c r="D36" s="16"/>
      <c r="E36" s="70">
        <f t="shared" ref="E36:AA36" si="9">E33-E34-E35</f>
        <v>30</v>
      </c>
      <c r="F36" s="70">
        <f t="shared" si="9"/>
        <v>59</v>
      </c>
      <c r="G36" s="70">
        <f t="shared" si="9"/>
        <v>70</v>
      </c>
      <c r="H36" s="70">
        <f t="shared" si="9"/>
        <v>65</v>
      </c>
      <c r="I36" s="70">
        <f t="shared" si="9"/>
        <v>62</v>
      </c>
      <c r="J36" s="70">
        <f t="shared" si="9"/>
        <v>84</v>
      </c>
      <c r="K36" s="70">
        <f t="shared" si="9"/>
        <v>90</v>
      </c>
      <c r="L36" s="70">
        <f t="shared" si="9"/>
        <v>87</v>
      </c>
      <c r="M36" s="70">
        <f t="shared" si="9"/>
        <v>86</v>
      </c>
      <c r="N36" s="70">
        <f t="shared" si="9"/>
        <v>62</v>
      </c>
      <c r="O36" s="70">
        <f t="shared" si="9"/>
        <v>57</v>
      </c>
      <c r="P36" s="70">
        <f t="shared" si="9"/>
        <v>59</v>
      </c>
      <c r="Q36" s="70">
        <f t="shared" si="9"/>
        <v>61</v>
      </c>
      <c r="R36" s="70">
        <f t="shared" si="9"/>
        <v>62</v>
      </c>
      <c r="S36" s="70">
        <f t="shared" si="9"/>
        <v>61</v>
      </c>
      <c r="T36" s="70">
        <f t="shared" si="9"/>
        <v>73</v>
      </c>
      <c r="U36" s="70">
        <f t="shared" si="9"/>
        <v>61</v>
      </c>
      <c r="V36" s="70">
        <f t="shared" si="9"/>
        <v>46</v>
      </c>
      <c r="W36" s="70">
        <f t="shared" si="9"/>
        <v>51</v>
      </c>
      <c r="X36" s="70">
        <f t="shared" si="9"/>
        <v>84</v>
      </c>
      <c r="Y36" s="70">
        <f t="shared" si="9"/>
        <v>84</v>
      </c>
      <c r="Z36" s="70">
        <f t="shared" si="9"/>
        <v>94</v>
      </c>
      <c r="AA36" s="70">
        <f t="shared" si="9"/>
        <v>86</v>
      </c>
      <c r="AB36" s="13">
        <f t="shared" si="8"/>
        <v>1574</v>
      </c>
    </row>
    <row r="37" ht="12.75" customHeight="1">
      <c r="A37" s="24"/>
      <c r="B37" s="15"/>
      <c r="C37" s="15"/>
      <c r="D37" s="15"/>
      <c r="E37" s="74"/>
      <c r="F37" s="15"/>
      <c r="G37" s="15"/>
      <c r="H37" s="15"/>
      <c r="I37" s="16"/>
      <c r="J37" s="71"/>
      <c r="K37" s="71"/>
      <c r="L37" s="71"/>
      <c r="M37" s="71"/>
      <c r="N37" s="71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66"/>
    </row>
    <row r="38" ht="12.75" customHeight="1">
      <c r="A38" s="42" t="s">
        <v>31</v>
      </c>
      <c r="B38" s="14" t="s">
        <v>32</v>
      </c>
      <c r="C38" s="15"/>
      <c r="D38" s="16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66"/>
    </row>
    <row r="39" ht="12.75" customHeight="1">
      <c r="A39" s="30"/>
      <c r="B39" s="43" t="s">
        <v>33</v>
      </c>
      <c r="C39" s="23"/>
      <c r="D39" s="19" t="s">
        <v>12</v>
      </c>
      <c r="E39" s="69">
        <v>0.0</v>
      </c>
      <c r="F39" s="69">
        <v>0.0</v>
      </c>
      <c r="G39" s="69">
        <v>0.0</v>
      </c>
      <c r="H39" s="69">
        <v>0.0</v>
      </c>
      <c r="I39" s="69">
        <v>0.0</v>
      </c>
      <c r="J39" s="69">
        <v>0.0</v>
      </c>
      <c r="K39" s="69">
        <v>1.0</v>
      </c>
      <c r="L39" s="69">
        <v>0.0</v>
      </c>
      <c r="M39" s="69">
        <v>1.0</v>
      </c>
      <c r="N39" s="69">
        <v>0.0</v>
      </c>
      <c r="O39" s="69">
        <v>0.0</v>
      </c>
      <c r="P39" s="69">
        <v>0.0</v>
      </c>
      <c r="Q39" s="69">
        <v>0.0</v>
      </c>
      <c r="R39" s="69">
        <v>0.0</v>
      </c>
      <c r="S39" s="69">
        <v>0.0</v>
      </c>
      <c r="T39" s="69">
        <v>0.0</v>
      </c>
      <c r="U39" s="69">
        <v>0.0</v>
      </c>
      <c r="V39" s="69">
        <v>1.0</v>
      </c>
      <c r="W39" s="69">
        <v>0.0</v>
      </c>
      <c r="X39" s="69">
        <v>0.0</v>
      </c>
      <c r="Y39" s="69">
        <v>0.0</v>
      </c>
      <c r="Z39" s="69">
        <v>0.0</v>
      </c>
      <c r="AA39" s="69">
        <v>0.0</v>
      </c>
      <c r="AB39" s="13">
        <f t="shared" ref="AB39:AB41" si="10">SUM(E39:AA39)</f>
        <v>3</v>
      </c>
    </row>
    <row r="40" ht="12.75" customHeight="1">
      <c r="A40" s="33"/>
      <c r="C40" s="27"/>
      <c r="D40" s="19" t="s">
        <v>13</v>
      </c>
      <c r="E40" s="69">
        <v>0.0</v>
      </c>
      <c r="F40" s="69">
        <v>0.0</v>
      </c>
      <c r="G40" s="69">
        <v>0.0</v>
      </c>
      <c r="H40" s="69">
        <v>0.0</v>
      </c>
      <c r="I40" s="69">
        <v>0.0</v>
      </c>
      <c r="J40" s="69">
        <v>1.0</v>
      </c>
      <c r="K40" s="69">
        <v>4.0</v>
      </c>
      <c r="L40" s="69">
        <v>0.0</v>
      </c>
      <c r="M40" s="69">
        <v>0.0</v>
      </c>
      <c r="N40" s="69">
        <v>0.0</v>
      </c>
      <c r="O40" s="69">
        <v>0.0</v>
      </c>
      <c r="P40" s="69">
        <v>0.0</v>
      </c>
      <c r="Q40" s="69">
        <v>0.0</v>
      </c>
      <c r="R40" s="69">
        <v>0.0</v>
      </c>
      <c r="S40" s="69">
        <v>0.0</v>
      </c>
      <c r="T40" s="69">
        <v>0.0</v>
      </c>
      <c r="U40" s="69">
        <v>0.0</v>
      </c>
      <c r="V40" s="69">
        <v>0.0</v>
      </c>
      <c r="W40" s="69">
        <v>0.0</v>
      </c>
      <c r="X40" s="69">
        <v>0.0</v>
      </c>
      <c r="Y40" s="69">
        <v>0.0</v>
      </c>
      <c r="Z40" s="69">
        <v>0.0</v>
      </c>
      <c r="AA40" s="69">
        <v>0.0</v>
      </c>
      <c r="AB40" s="13">
        <f t="shared" si="10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AA41" si="11">SUM(E39:E40)</f>
        <v>0</v>
      </c>
      <c r="F41" s="13">
        <f t="shared" si="11"/>
        <v>0</v>
      </c>
      <c r="G41" s="13">
        <f t="shared" si="11"/>
        <v>0</v>
      </c>
      <c r="H41" s="13">
        <f t="shared" si="11"/>
        <v>0</v>
      </c>
      <c r="I41" s="13">
        <f t="shared" si="11"/>
        <v>0</v>
      </c>
      <c r="J41" s="13">
        <f t="shared" si="11"/>
        <v>1</v>
      </c>
      <c r="K41" s="13">
        <f t="shared" si="11"/>
        <v>5</v>
      </c>
      <c r="L41" s="13">
        <f t="shared" si="11"/>
        <v>0</v>
      </c>
      <c r="M41" s="13">
        <f t="shared" si="11"/>
        <v>1</v>
      </c>
      <c r="N41" s="13">
        <f t="shared" si="11"/>
        <v>0</v>
      </c>
      <c r="O41" s="13">
        <f t="shared" si="11"/>
        <v>0</v>
      </c>
      <c r="P41" s="13">
        <f t="shared" si="11"/>
        <v>0</v>
      </c>
      <c r="Q41" s="13">
        <f t="shared" si="11"/>
        <v>0</v>
      </c>
      <c r="R41" s="13">
        <f t="shared" si="11"/>
        <v>0</v>
      </c>
      <c r="S41" s="13">
        <f t="shared" si="11"/>
        <v>0</v>
      </c>
      <c r="T41" s="13">
        <f t="shared" si="11"/>
        <v>0</v>
      </c>
      <c r="U41" s="13">
        <f t="shared" si="11"/>
        <v>0</v>
      </c>
      <c r="V41" s="13">
        <f t="shared" si="11"/>
        <v>1</v>
      </c>
      <c r="W41" s="13">
        <f t="shared" si="11"/>
        <v>0</v>
      </c>
      <c r="X41" s="13">
        <f t="shared" si="11"/>
        <v>0</v>
      </c>
      <c r="Y41" s="13">
        <f t="shared" si="11"/>
        <v>0</v>
      </c>
      <c r="Z41" s="13">
        <f t="shared" si="11"/>
        <v>0</v>
      </c>
      <c r="AA41" s="13">
        <f t="shared" si="11"/>
        <v>0</v>
      </c>
      <c r="AB41" s="13">
        <f t="shared" si="10"/>
        <v>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5"/>
      <c r="O42" s="19"/>
      <c r="P42" s="65"/>
      <c r="Q42" s="19"/>
      <c r="R42" s="65"/>
      <c r="S42" s="19"/>
      <c r="T42" s="65"/>
      <c r="U42" s="19"/>
      <c r="V42" s="65"/>
      <c r="W42" s="19"/>
      <c r="X42" s="65"/>
      <c r="Y42" s="19"/>
      <c r="Z42" s="65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7"/>
      <c r="O43" s="13"/>
      <c r="P43" s="67"/>
      <c r="Q43" s="13"/>
      <c r="R43" s="67"/>
      <c r="S43" s="13"/>
      <c r="T43" s="67"/>
      <c r="U43" s="13"/>
      <c r="V43" s="67"/>
      <c r="W43" s="13"/>
      <c r="X43" s="67"/>
      <c r="Y43" s="13"/>
      <c r="Z43" s="67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5"/>
      <c r="O44" s="19"/>
      <c r="P44" s="65"/>
      <c r="Q44" s="19"/>
      <c r="R44" s="65"/>
      <c r="S44" s="19"/>
      <c r="T44" s="65"/>
      <c r="U44" s="19"/>
      <c r="V44" s="65"/>
      <c r="W44" s="19"/>
      <c r="X44" s="65"/>
      <c r="Y44" s="19"/>
      <c r="Z44" s="65"/>
      <c r="AA44" s="19"/>
      <c r="AB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5.0</v>
      </c>
      <c r="F45" s="19">
        <v>10.0</v>
      </c>
      <c r="G45" s="19">
        <v>12.0</v>
      </c>
      <c r="H45" s="19">
        <v>6.0</v>
      </c>
      <c r="I45" s="19">
        <v>6.0</v>
      </c>
      <c r="J45" s="19">
        <v>8.0</v>
      </c>
      <c r="K45" s="19">
        <v>10.0</v>
      </c>
      <c r="L45" s="19">
        <v>14.0</v>
      </c>
      <c r="M45" s="19">
        <v>5.0</v>
      </c>
      <c r="N45" s="19">
        <v>5.0</v>
      </c>
      <c r="O45" s="19">
        <v>12.0</v>
      </c>
      <c r="P45" s="19">
        <v>7.0</v>
      </c>
      <c r="Q45" s="19">
        <v>11.0</v>
      </c>
      <c r="R45" s="19">
        <v>8.0</v>
      </c>
      <c r="S45" s="19">
        <v>8.0</v>
      </c>
      <c r="T45" s="19">
        <v>6.0</v>
      </c>
      <c r="U45" s="19">
        <v>6.0</v>
      </c>
      <c r="V45" s="19">
        <v>2.0</v>
      </c>
      <c r="W45" s="19">
        <v>10.0</v>
      </c>
      <c r="X45" s="19">
        <v>6.0</v>
      </c>
      <c r="Y45" s="19">
        <v>8.0</v>
      </c>
      <c r="Z45" s="19">
        <v>12.0</v>
      </c>
      <c r="AA45" s="19">
        <v>9.0</v>
      </c>
      <c r="AB45" s="13">
        <f t="shared" ref="AB45:AB182" si="12">SUM(E45:AA45)</f>
        <v>186</v>
      </c>
    </row>
    <row r="46" ht="12.75" customHeight="1">
      <c r="A46" s="30" t="s">
        <v>39</v>
      </c>
      <c r="B46" s="49">
        <v>1.0</v>
      </c>
      <c r="C46" s="50" t="s">
        <v>40</v>
      </c>
      <c r="D46" s="51"/>
      <c r="E46" s="19">
        <v>5.0</v>
      </c>
      <c r="F46" s="19">
        <v>4.0</v>
      </c>
      <c r="G46" s="19">
        <v>5.0</v>
      </c>
      <c r="H46" s="19">
        <v>7.0</v>
      </c>
      <c r="I46" s="19">
        <v>5.0</v>
      </c>
      <c r="J46" s="19">
        <v>4.0</v>
      </c>
      <c r="K46" s="19">
        <v>1.0</v>
      </c>
      <c r="L46" s="19">
        <v>2.0</v>
      </c>
      <c r="M46" s="19">
        <v>6.0</v>
      </c>
      <c r="N46" s="19">
        <v>3.0</v>
      </c>
      <c r="O46" s="19">
        <v>14.0</v>
      </c>
      <c r="P46" s="19">
        <v>8.0</v>
      </c>
      <c r="Q46" s="19">
        <v>3.0</v>
      </c>
      <c r="R46" s="19">
        <v>6.0</v>
      </c>
      <c r="S46" s="19">
        <v>3.0</v>
      </c>
      <c r="T46" s="19">
        <v>2.0</v>
      </c>
      <c r="U46" s="19">
        <v>4.0</v>
      </c>
      <c r="V46" s="19">
        <v>3.0</v>
      </c>
      <c r="W46" s="19">
        <v>4.0</v>
      </c>
      <c r="X46" s="19">
        <v>4.0</v>
      </c>
      <c r="Y46" s="19">
        <v>9.0</v>
      </c>
      <c r="Z46" s="19">
        <v>6.0</v>
      </c>
      <c r="AA46" s="19">
        <v>12.0</v>
      </c>
      <c r="AB46" s="13">
        <f t="shared" si="12"/>
        <v>120</v>
      </c>
    </row>
    <row r="47" ht="12.75" customHeight="1">
      <c r="A47" s="18"/>
      <c r="B47" s="49">
        <v>2.0</v>
      </c>
      <c r="C47" s="50" t="s">
        <v>41</v>
      </c>
      <c r="D47" s="51"/>
      <c r="E47" s="19">
        <v>90.0</v>
      </c>
      <c r="F47" s="19">
        <v>72.0</v>
      </c>
      <c r="G47" s="19">
        <v>96.0</v>
      </c>
      <c r="H47" s="19">
        <v>101.0</v>
      </c>
      <c r="I47" s="19">
        <v>111.0</v>
      </c>
      <c r="J47" s="19">
        <v>90.0</v>
      </c>
      <c r="K47" s="19">
        <v>100.0</v>
      </c>
      <c r="L47" s="19">
        <v>119.0</v>
      </c>
      <c r="M47" s="19">
        <v>89.0</v>
      </c>
      <c r="N47" s="19">
        <v>54.0</v>
      </c>
      <c r="O47" s="19">
        <v>81.0</v>
      </c>
      <c r="P47" s="19">
        <v>45.0</v>
      </c>
      <c r="Q47" s="19">
        <v>90.0</v>
      </c>
      <c r="R47" s="19">
        <v>67.0</v>
      </c>
      <c r="S47" s="19">
        <v>56.0</v>
      </c>
      <c r="T47" s="19">
        <v>22.0</v>
      </c>
      <c r="U47" s="19">
        <v>41.0</v>
      </c>
      <c r="V47" s="19">
        <v>86.0</v>
      </c>
      <c r="W47" s="19">
        <v>131.0</v>
      </c>
      <c r="X47" s="19">
        <v>98.0</v>
      </c>
      <c r="Y47" s="19">
        <v>69.0</v>
      </c>
      <c r="Z47" s="19">
        <v>66.0</v>
      </c>
      <c r="AA47" s="19">
        <v>67.0</v>
      </c>
      <c r="AB47" s="13">
        <f t="shared" si="12"/>
        <v>1841</v>
      </c>
    </row>
    <row r="48" ht="12.75" customHeight="1">
      <c r="A48" s="18"/>
      <c r="B48" s="49">
        <v>3.0</v>
      </c>
      <c r="C48" s="50" t="s">
        <v>42</v>
      </c>
      <c r="D48" s="51"/>
      <c r="E48" s="19">
        <v>2.0</v>
      </c>
      <c r="F48" s="19">
        <v>0.0</v>
      </c>
      <c r="G48" s="19">
        <v>0.0</v>
      </c>
      <c r="H48" s="19">
        <v>0.0</v>
      </c>
      <c r="I48" s="19">
        <v>0.0</v>
      </c>
      <c r="J48" s="19">
        <v>0.0</v>
      </c>
      <c r="K48" s="19">
        <v>1.0</v>
      </c>
      <c r="L48" s="19">
        <v>1.0</v>
      </c>
      <c r="M48" s="19">
        <v>0.0</v>
      </c>
      <c r="N48" s="19">
        <v>1.0</v>
      </c>
      <c r="O48" s="19">
        <v>0.0</v>
      </c>
      <c r="P48" s="19">
        <v>1.0</v>
      </c>
      <c r="Q48" s="19">
        <v>0.0</v>
      </c>
      <c r="R48" s="19">
        <v>0.0</v>
      </c>
      <c r="S48" s="19">
        <v>0.0</v>
      </c>
      <c r="T48" s="19">
        <v>1.0</v>
      </c>
      <c r="U48" s="19">
        <v>0.0</v>
      </c>
      <c r="V48" s="19">
        <v>1.0</v>
      </c>
      <c r="W48" s="19">
        <v>1.0</v>
      </c>
      <c r="X48" s="19">
        <v>0.0</v>
      </c>
      <c r="Y48" s="19">
        <v>1.0</v>
      </c>
      <c r="Z48" s="19">
        <v>0.0</v>
      </c>
      <c r="AA48" s="19">
        <v>1.0</v>
      </c>
      <c r="AB48" s="13">
        <f t="shared" si="12"/>
        <v>11</v>
      </c>
    </row>
    <row r="49" ht="12.75" customHeight="1">
      <c r="A49" s="18"/>
      <c r="B49" s="49">
        <v>4.0</v>
      </c>
      <c r="C49" s="50" t="s">
        <v>43</v>
      </c>
      <c r="D49" s="51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1.0</v>
      </c>
      <c r="N49" s="19">
        <v>0.0</v>
      </c>
      <c r="O49" s="19">
        <v>0.0</v>
      </c>
      <c r="P49" s="19">
        <v>0.0</v>
      </c>
      <c r="Q49" s="19">
        <v>0.0</v>
      </c>
      <c r="R49" s="19">
        <v>1.0</v>
      </c>
      <c r="S49" s="19">
        <v>0.0</v>
      </c>
      <c r="T49" s="19">
        <v>0.0</v>
      </c>
      <c r="U49" s="19">
        <v>0.0</v>
      </c>
      <c r="V49" s="19">
        <v>0.0</v>
      </c>
      <c r="W49" s="19">
        <v>0.0</v>
      </c>
      <c r="X49" s="19">
        <v>0.0</v>
      </c>
      <c r="Y49" s="19">
        <v>0.0</v>
      </c>
      <c r="Z49" s="19">
        <v>0.0</v>
      </c>
      <c r="AA49" s="19">
        <v>0.0</v>
      </c>
      <c r="AB49" s="13">
        <f t="shared" si="12"/>
        <v>2</v>
      </c>
    </row>
    <row r="50" ht="12.75" customHeight="1">
      <c r="A50" s="18"/>
      <c r="B50" s="49">
        <v>5.0</v>
      </c>
      <c r="C50" s="50" t="s">
        <v>44</v>
      </c>
      <c r="D50" s="51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0.0</v>
      </c>
      <c r="V50" s="19">
        <v>0.0</v>
      </c>
      <c r="W50" s="19">
        <v>0.0</v>
      </c>
      <c r="X50" s="19">
        <v>1.0</v>
      </c>
      <c r="Y50" s="19">
        <v>0.0</v>
      </c>
      <c r="Z50" s="19">
        <v>0.0</v>
      </c>
      <c r="AA50" s="19">
        <v>0.0</v>
      </c>
      <c r="AB50" s="13">
        <f t="shared" si="12"/>
        <v>1</v>
      </c>
    </row>
    <row r="51" ht="12.75" customHeight="1">
      <c r="A51" s="18"/>
      <c r="B51" s="49">
        <v>6.0</v>
      </c>
      <c r="C51" s="50" t="s">
        <v>45</v>
      </c>
      <c r="D51" s="51"/>
      <c r="E51" s="19">
        <v>1.0</v>
      </c>
      <c r="F51" s="19">
        <v>0.0</v>
      </c>
      <c r="G51" s="19">
        <v>0.0</v>
      </c>
      <c r="H51" s="19">
        <v>1.0</v>
      </c>
      <c r="I51" s="19">
        <v>1.0</v>
      </c>
      <c r="J51" s="19">
        <v>0.0</v>
      </c>
      <c r="K51" s="19">
        <v>0.0</v>
      </c>
      <c r="L51" s="19">
        <v>0.0</v>
      </c>
      <c r="M51" s="19">
        <v>0.0</v>
      </c>
      <c r="N51" s="19">
        <v>1.0</v>
      </c>
      <c r="O51" s="19">
        <v>1.0</v>
      </c>
      <c r="P51" s="19">
        <v>2.0</v>
      </c>
      <c r="Q51" s="19">
        <v>1.0</v>
      </c>
      <c r="R51" s="19">
        <v>0.0</v>
      </c>
      <c r="S51" s="19">
        <v>9.0</v>
      </c>
      <c r="T51" s="19">
        <v>23.0</v>
      </c>
      <c r="U51" s="19">
        <v>1.0</v>
      </c>
      <c r="V51" s="19">
        <v>7.0</v>
      </c>
      <c r="W51" s="19">
        <v>1.0</v>
      </c>
      <c r="X51" s="19">
        <v>1.0</v>
      </c>
      <c r="Y51" s="19">
        <v>3.0</v>
      </c>
      <c r="Z51" s="19">
        <v>0.0</v>
      </c>
      <c r="AA51" s="19">
        <v>1.0</v>
      </c>
      <c r="AB51" s="13">
        <f t="shared" si="12"/>
        <v>54</v>
      </c>
    </row>
    <row r="52" ht="12.75" customHeight="1">
      <c r="A52" s="19" t="s">
        <v>15</v>
      </c>
      <c r="B52" s="47" t="s">
        <v>46</v>
      </c>
      <c r="C52" s="15"/>
      <c r="D52" s="16"/>
      <c r="E52" s="56">
        <f t="shared" ref="E52:AA52" si="13">SUM(E45:E51)</f>
        <v>103</v>
      </c>
      <c r="F52" s="56">
        <f t="shared" si="13"/>
        <v>86</v>
      </c>
      <c r="G52" s="56">
        <f t="shared" si="13"/>
        <v>113</v>
      </c>
      <c r="H52" s="56">
        <f t="shared" si="13"/>
        <v>115</v>
      </c>
      <c r="I52" s="56">
        <f t="shared" si="13"/>
        <v>123</v>
      </c>
      <c r="J52" s="56">
        <f t="shared" si="13"/>
        <v>102</v>
      </c>
      <c r="K52" s="56">
        <f t="shared" si="13"/>
        <v>112</v>
      </c>
      <c r="L52" s="56">
        <f t="shared" si="13"/>
        <v>136</v>
      </c>
      <c r="M52" s="56">
        <f t="shared" si="13"/>
        <v>101</v>
      </c>
      <c r="N52" s="56">
        <f t="shared" si="13"/>
        <v>64</v>
      </c>
      <c r="O52" s="56">
        <f t="shared" si="13"/>
        <v>108</v>
      </c>
      <c r="P52" s="56">
        <f t="shared" si="13"/>
        <v>63</v>
      </c>
      <c r="Q52" s="56">
        <f t="shared" si="13"/>
        <v>105</v>
      </c>
      <c r="R52" s="56">
        <f t="shared" si="13"/>
        <v>82</v>
      </c>
      <c r="S52" s="56">
        <f t="shared" si="13"/>
        <v>76</v>
      </c>
      <c r="T52" s="56">
        <f t="shared" si="13"/>
        <v>54</v>
      </c>
      <c r="U52" s="56">
        <f t="shared" si="13"/>
        <v>52</v>
      </c>
      <c r="V52" s="56">
        <f t="shared" si="13"/>
        <v>99</v>
      </c>
      <c r="W52" s="56">
        <f t="shared" si="13"/>
        <v>147</v>
      </c>
      <c r="X52" s="56">
        <f t="shared" si="13"/>
        <v>110</v>
      </c>
      <c r="Y52" s="56">
        <f t="shared" si="13"/>
        <v>90</v>
      </c>
      <c r="Z52" s="56">
        <f t="shared" si="13"/>
        <v>84</v>
      </c>
      <c r="AA52" s="56">
        <f t="shared" si="13"/>
        <v>90</v>
      </c>
      <c r="AB52" s="13">
        <f t="shared" si="12"/>
        <v>2215</v>
      </c>
    </row>
    <row r="53" ht="12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13">
        <f t="shared" si="12"/>
        <v>0</v>
      </c>
    </row>
    <row r="54" ht="12.75" customHeight="1">
      <c r="A54" s="30" t="s">
        <v>37</v>
      </c>
      <c r="B54" s="47" t="s">
        <v>19</v>
      </c>
      <c r="C54" s="48" t="s">
        <v>47</v>
      </c>
      <c r="D54" s="16"/>
      <c r="E54" s="19">
        <v>3.0</v>
      </c>
      <c r="F54" s="19">
        <v>10.0</v>
      </c>
      <c r="G54" s="19">
        <v>6.0</v>
      </c>
      <c r="H54" s="19">
        <v>6.0</v>
      </c>
      <c r="I54" s="19">
        <v>3.0</v>
      </c>
      <c r="J54" s="19">
        <v>6.0</v>
      </c>
      <c r="K54" s="19">
        <v>6.0</v>
      </c>
      <c r="L54" s="19">
        <v>6.0</v>
      </c>
      <c r="M54" s="19">
        <v>9.0</v>
      </c>
      <c r="N54" s="19">
        <v>3.0</v>
      </c>
      <c r="O54" s="19">
        <v>7.0</v>
      </c>
      <c r="P54" s="19">
        <v>6.0</v>
      </c>
      <c r="Q54" s="19">
        <v>8.0</v>
      </c>
      <c r="R54" s="19">
        <v>13.0</v>
      </c>
      <c r="S54" s="19">
        <v>8.0</v>
      </c>
      <c r="T54" s="19">
        <v>8.0</v>
      </c>
      <c r="U54" s="19">
        <v>8.0</v>
      </c>
      <c r="V54" s="19">
        <v>13.0</v>
      </c>
      <c r="W54" s="19">
        <v>10.0</v>
      </c>
      <c r="X54" s="19">
        <v>5.0</v>
      </c>
      <c r="Y54" s="19">
        <v>2.0</v>
      </c>
      <c r="Z54" s="19">
        <v>5.0</v>
      </c>
      <c r="AA54" s="19">
        <v>9.0</v>
      </c>
      <c r="AB54" s="13">
        <f t="shared" si="12"/>
        <v>160</v>
      </c>
    </row>
    <row r="55" ht="15.0" customHeight="1">
      <c r="A55" s="30" t="s">
        <v>39</v>
      </c>
      <c r="B55" s="49">
        <v>1.0</v>
      </c>
      <c r="C55" s="50" t="s">
        <v>48</v>
      </c>
      <c r="D55" s="51"/>
      <c r="E55" s="19">
        <v>10.0</v>
      </c>
      <c r="F55" s="19">
        <v>9.0</v>
      </c>
      <c r="G55" s="19">
        <v>0.0</v>
      </c>
      <c r="H55" s="19">
        <v>2.0</v>
      </c>
      <c r="I55" s="19">
        <v>3.0</v>
      </c>
      <c r="J55" s="19">
        <v>9.0</v>
      </c>
      <c r="K55" s="19">
        <v>1.0</v>
      </c>
      <c r="L55" s="19">
        <v>4.0</v>
      </c>
      <c r="M55" s="19">
        <v>2.0</v>
      </c>
      <c r="N55" s="19">
        <v>6.0</v>
      </c>
      <c r="O55" s="19">
        <v>3.0</v>
      </c>
      <c r="P55" s="19">
        <v>16.0</v>
      </c>
      <c r="Q55" s="19">
        <v>32.0</v>
      </c>
      <c r="R55" s="19">
        <v>37.0</v>
      </c>
      <c r="S55" s="19">
        <v>14.0</v>
      </c>
      <c r="T55" s="19">
        <v>6.0</v>
      </c>
      <c r="U55" s="19">
        <v>53.0</v>
      </c>
      <c r="V55" s="19">
        <v>54.0</v>
      </c>
      <c r="W55" s="19">
        <v>16.0</v>
      </c>
      <c r="X55" s="19">
        <v>9.0</v>
      </c>
      <c r="Y55" s="19">
        <v>8.0</v>
      </c>
      <c r="Z55" s="19">
        <v>2.0</v>
      </c>
      <c r="AA55" s="19">
        <v>3.0</v>
      </c>
      <c r="AB55" s="13">
        <f t="shared" si="12"/>
        <v>299</v>
      </c>
    </row>
    <row r="56" ht="12.75" customHeight="1">
      <c r="A56" s="18"/>
      <c r="B56" s="49">
        <v>2.0</v>
      </c>
      <c r="C56" s="50" t="s">
        <v>49</v>
      </c>
      <c r="D56" s="51"/>
      <c r="E56" s="19">
        <v>3.0</v>
      </c>
      <c r="F56" s="19">
        <v>2.0</v>
      </c>
      <c r="G56" s="19">
        <v>0.0</v>
      </c>
      <c r="H56" s="19">
        <v>1.0</v>
      </c>
      <c r="I56" s="19">
        <v>2.0</v>
      </c>
      <c r="J56" s="19">
        <v>2.0</v>
      </c>
      <c r="K56" s="19">
        <v>1.0</v>
      </c>
      <c r="L56" s="19">
        <v>1.0</v>
      </c>
      <c r="M56" s="19">
        <v>2.0</v>
      </c>
      <c r="N56" s="19">
        <v>1.0</v>
      </c>
      <c r="O56" s="19">
        <v>0.0</v>
      </c>
      <c r="P56" s="19">
        <v>1.0</v>
      </c>
      <c r="Q56" s="19">
        <v>0.0</v>
      </c>
      <c r="R56" s="19">
        <v>5.0</v>
      </c>
      <c r="S56" s="19">
        <v>4.0</v>
      </c>
      <c r="T56" s="19">
        <v>0.0</v>
      </c>
      <c r="U56" s="19">
        <v>2.0</v>
      </c>
      <c r="V56" s="19">
        <v>2.0</v>
      </c>
      <c r="W56" s="19">
        <v>2.0</v>
      </c>
      <c r="X56" s="19">
        <v>6.0</v>
      </c>
      <c r="Y56" s="19">
        <v>1.0</v>
      </c>
      <c r="Z56" s="19">
        <v>3.0</v>
      </c>
      <c r="AA56" s="19">
        <v>4.0</v>
      </c>
      <c r="AB56" s="13">
        <f t="shared" si="12"/>
        <v>45</v>
      </c>
    </row>
    <row r="57" ht="12.75" customHeight="1">
      <c r="A57" s="18"/>
      <c r="B57" s="49">
        <v>3.0</v>
      </c>
      <c r="C57" s="50" t="s">
        <v>50</v>
      </c>
      <c r="D57" s="51"/>
      <c r="E57" s="19">
        <v>0.0</v>
      </c>
      <c r="F57" s="19">
        <v>0.0</v>
      </c>
      <c r="G57" s="19">
        <v>0.0</v>
      </c>
      <c r="H57" s="19">
        <v>0.0</v>
      </c>
      <c r="I57" s="19">
        <v>0.0</v>
      </c>
      <c r="J57" s="19">
        <v>1.0</v>
      </c>
      <c r="K57" s="19">
        <v>0.0</v>
      </c>
      <c r="L57" s="19">
        <v>0.0</v>
      </c>
      <c r="M57" s="19">
        <v>1.0</v>
      </c>
      <c r="N57" s="19">
        <v>0.0</v>
      </c>
      <c r="O57" s="19">
        <v>1.0</v>
      </c>
      <c r="P57" s="19">
        <v>0.0</v>
      </c>
      <c r="Q57" s="19">
        <v>0.0</v>
      </c>
      <c r="R57" s="19">
        <v>0.0</v>
      </c>
      <c r="S57" s="19">
        <v>0.0</v>
      </c>
      <c r="T57" s="19">
        <v>1.0</v>
      </c>
      <c r="U57" s="19">
        <v>1.0</v>
      </c>
      <c r="V57" s="19">
        <v>1.0</v>
      </c>
      <c r="W57" s="19">
        <v>0.0</v>
      </c>
      <c r="X57" s="19">
        <v>1.0</v>
      </c>
      <c r="Y57" s="19">
        <v>0.0</v>
      </c>
      <c r="Z57" s="19">
        <v>1.0</v>
      </c>
      <c r="AA57" s="19">
        <v>0.0</v>
      </c>
      <c r="AB57" s="13">
        <f t="shared" si="12"/>
        <v>8</v>
      </c>
    </row>
    <row r="58" ht="12.75" customHeight="1">
      <c r="A58" s="18"/>
      <c r="B58" s="49">
        <v>4.0</v>
      </c>
      <c r="C58" s="50" t="s">
        <v>51</v>
      </c>
      <c r="D58" s="51"/>
      <c r="E58" s="19">
        <v>0.0</v>
      </c>
      <c r="F58" s="19">
        <v>1.0</v>
      </c>
      <c r="G58" s="19">
        <v>1.0</v>
      </c>
      <c r="H58" s="19">
        <v>0.0</v>
      </c>
      <c r="I58" s="19">
        <v>0.0</v>
      </c>
      <c r="J58" s="19">
        <v>0.0</v>
      </c>
      <c r="K58" s="19">
        <v>0.0</v>
      </c>
      <c r="L58" s="19">
        <v>1.0</v>
      </c>
      <c r="M58" s="19">
        <v>0.0</v>
      </c>
      <c r="N58" s="19">
        <v>0.0</v>
      </c>
      <c r="O58" s="19">
        <v>0.0</v>
      </c>
      <c r="P58" s="19">
        <v>0.0</v>
      </c>
      <c r="Q58" s="19">
        <v>1.0</v>
      </c>
      <c r="R58" s="19">
        <v>0.0</v>
      </c>
      <c r="S58" s="19">
        <v>1.0</v>
      </c>
      <c r="T58" s="19">
        <v>0.0</v>
      </c>
      <c r="U58" s="19">
        <v>2.0</v>
      </c>
      <c r="V58" s="19">
        <v>1.0</v>
      </c>
      <c r="W58" s="19">
        <v>0.0</v>
      </c>
      <c r="X58" s="19">
        <v>0.0</v>
      </c>
      <c r="Y58" s="19">
        <v>0.0</v>
      </c>
      <c r="Z58" s="19">
        <v>0.0</v>
      </c>
      <c r="AA58" s="19">
        <v>0.0</v>
      </c>
      <c r="AB58" s="13">
        <f t="shared" si="12"/>
        <v>8</v>
      </c>
    </row>
    <row r="59" ht="12.75" customHeight="1">
      <c r="A59" s="18"/>
      <c r="B59" s="49">
        <v>5.0</v>
      </c>
      <c r="C59" s="50" t="s">
        <v>52</v>
      </c>
      <c r="D59" s="51"/>
      <c r="E59" s="19">
        <v>0.0</v>
      </c>
      <c r="F59" s="19">
        <v>0.0</v>
      </c>
      <c r="G59" s="19">
        <v>0.0</v>
      </c>
      <c r="H59" s="19">
        <v>0.0</v>
      </c>
      <c r="I59" s="19">
        <v>0.0</v>
      </c>
      <c r="J59" s="19">
        <v>0.0</v>
      </c>
      <c r="K59" s="19">
        <v>0.0</v>
      </c>
      <c r="L59" s="19">
        <v>0.0</v>
      </c>
      <c r="M59" s="19">
        <v>1.0</v>
      </c>
      <c r="N59" s="19">
        <v>0.0</v>
      </c>
      <c r="O59" s="19">
        <v>1.0</v>
      </c>
      <c r="P59" s="19">
        <v>0.0</v>
      </c>
      <c r="Q59" s="19">
        <v>1.0</v>
      </c>
      <c r="R59" s="19">
        <v>1.0</v>
      </c>
      <c r="S59" s="19">
        <v>0.0</v>
      </c>
      <c r="T59" s="19">
        <v>0.0</v>
      </c>
      <c r="U59" s="19">
        <v>0.0</v>
      </c>
      <c r="V59" s="19">
        <v>1.0</v>
      </c>
      <c r="W59" s="19">
        <v>0.0</v>
      </c>
      <c r="X59" s="19">
        <v>1.0</v>
      </c>
      <c r="Y59" s="19">
        <v>0.0</v>
      </c>
      <c r="Z59" s="19">
        <v>2.0</v>
      </c>
      <c r="AA59" s="19">
        <v>0.0</v>
      </c>
      <c r="AB59" s="13">
        <f t="shared" si="12"/>
        <v>8</v>
      </c>
    </row>
    <row r="60" ht="12.75" customHeight="1">
      <c r="A60" s="18"/>
      <c r="B60" s="49">
        <v>6.0</v>
      </c>
      <c r="C60" s="50" t="s">
        <v>53</v>
      </c>
      <c r="D60" s="51"/>
      <c r="E60" s="19">
        <v>1.0</v>
      </c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19">
        <v>0.0</v>
      </c>
      <c r="L60" s="19">
        <v>0.0</v>
      </c>
      <c r="M60" s="19">
        <v>0.0</v>
      </c>
      <c r="N60" s="19">
        <v>0.0</v>
      </c>
      <c r="O60" s="19">
        <v>0.0</v>
      </c>
      <c r="P60" s="19">
        <v>1.0</v>
      </c>
      <c r="Q60" s="19">
        <v>0.0</v>
      </c>
      <c r="R60" s="19">
        <v>0.0</v>
      </c>
      <c r="S60" s="19">
        <v>0.0</v>
      </c>
      <c r="T60" s="19">
        <v>1.0</v>
      </c>
      <c r="U60" s="19">
        <v>0.0</v>
      </c>
      <c r="V60" s="19">
        <v>0.0</v>
      </c>
      <c r="W60" s="19">
        <v>0.0</v>
      </c>
      <c r="X60" s="19">
        <v>0.0</v>
      </c>
      <c r="Y60" s="19">
        <v>1.0</v>
      </c>
      <c r="Z60" s="19">
        <v>0.0</v>
      </c>
      <c r="AA60" s="19">
        <v>0.0</v>
      </c>
      <c r="AB60" s="13">
        <f t="shared" si="12"/>
        <v>4</v>
      </c>
    </row>
    <row r="61" ht="12.75" customHeight="1">
      <c r="A61" s="19" t="s">
        <v>15</v>
      </c>
      <c r="B61" s="47" t="s">
        <v>46</v>
      </c>
      <c r="C61" s="15"/>
      <c r="D61" s="16"/>
      <c r="E61" s="56">
        <f t="shared" ref="E61:AA61" si="14">SUM(E54:E60)</f>
        <v>17</v>
      </c>
      <c r="F61" s="56">
        <f t="shared" si="14"/>
        <v>22</v>
      </c>
      <c r="G61" s="56">
        <f t="shared" si="14"/>
        <v>7</v>
      </c>
      <c r="H61" s="56">
        <f t="shared" si="14"/>
        <v>9</v>
      </c>
      <c r="I61" s="56">
        <f t="shared" si="14"/>
        <v>8</v>
      </c>
      <c r="J61" s="56">
        <f t="shared" si="14"/>
        <v>18</v>
      </c>
      <c r="K61" s="56">
        <f t="shared" si="14"/>
        <v>8</v>
      </c>
      <c r="L61" s="56">
        <f t="shared" si="14"/>
        <v>12</v>
      </c>
      <c r="M61" s="56">
        <f t="shared" si="14"/>
        <v>15</v>
      </c>
      <c r="N61" s="56">
        <f t="shared" si="14"/>
        <v>10</v>
      </c>
      <c r="O61" s="56">
        <f t="shared" si="14"/>
        <v>12</v>
      </c>
      <c r="P61" s="56">
        <f t="shared" si="14"/>
        <v>24</v>
      </c>
      <c r="Q61" s="56">
        <f t="shared" si="14"/>
        <v>42</v>
      </c>
      <c r="R61" s="56">
        <f t="shared" si="14"/>
        <v>56</v>
      </c>
      <c r="S61" s="56">
        <f t="shared" si="14"/>
        <v>27</v>
      </c>
      <c r="T61" s="56">
        <f t="shared" si="14"/>
        <v>16</v>
      </c>
      <c r="U61" s="56">
        <f t="shared" si="14"/>
        <v>66</v>
      </c>
      <c r="V61" s="56">
        <f t="shared" si="14"/>
        <v>72</v>
      </c>
      <c r="W61" s="56">
        <f t="shared" si="14"/>
        <v>28</v>
      </c>
      <c r="X61" s="56">
        <f t="shared" si="14"/>
        <v>22</v>
      </c>
      <c r="Y61" s="56">
        <f t="shared" si="14"/>
        <v>12</v>
      </c>
      <c r="Z61" s="56">
        <f t="shared" si="14"/>
        <v>13</v>
      </c>
      <c r="AA61" s="56">
        <f t="shared" si="14"/>
        <v>16</v>
      </c>
      <c r="AB61" s="13">
        <f t="shared" si="12"/>
        <v>532</v>
      </c>
    </row>
    <row r="62" ht="12.75" customHeight="1">
      <c r="A62" s="57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13">
        <f t="shared" si="12"/>
        <v>0</v>
      </c>
    </row>
    <row r="63" ht="12.75" customHeight="1">
      <c r="A63" s="30" t="s">
        <v>37</v>
      </c>
      <c r="B63" s="47" t="s">
        <v>21</v>
      </c>
      <c r="C63" s="48" t="s">
        <v>54</v>
      </c>
      <c r="D63" s="16"/>
      <c r="E63" s="19">
        <v>6.0</v>
      </c>
      <c r="F63" s="19">
        <v>2.0</v>
      </c>
      <c r="G63" s="19">
        <v>3.0</v>
      </c>
      <c r="H63" s="19">
        <v>1.0</v>
      </c>
      <c r="I63" s="19">
        <v>2.0</v>
      </c>
      <c r="J63" s="19">
        <v>0.0</v>
      </c>
      <c r="K63" s="19">
        <v>3.0</v>
      </c>
      <c r="L63" s="19">
        <v>3.0</v>
      </c>
      <c r="M63" s="19">
        <v>1.0</v>
      </c>
      <c r="N63" s="19">
        <v>4.0</v>
      </c>
      <c r="O63" s="19">
        <v>2.0</v>
      </c>
      <c r="P63" s="19">
        <v>5.0</v>
      </c>
      <c r="Q63" s="19">
        <v>5.0</v>
      </c>
      <c r="R63" s="19">
        <v>7.0</v>
      </c>
      <c r="S63" s="19">
        <v>8.0</v>
      </c>
      <c r="T63" s="19">
        <v>8.0</v>
      </c>
      <c r="U63" s="19">
        <v>6.0</v>
      </c>
      <c r="V63" s="19">
        <v>7.0</v>
      </c>
      <c r="W63" s="19">
        <v>1.0</v>
      </c>
      <c r="X63" s="19">
        <v>5.0</v>
      </c>
      <c r="Y63" s="19">
        <v>3.0</v>
      </c>
      <c r="Z63" s="19">
        <v>2.0</v>
      </c>
      <c r="AA63" s="19">
        <v>0.0</v>
      </c>
      <c r="AB63" s="13">
        <f t="shared" si="12"/>
        <v>84</v>
      </c>
    </row>
    <row r="64" ht="12.75" customHeight="1">
      <c r="A64" s="30" t="s">
        <v>39</v>
      </c>
      <c r="B64" s="49">
        <v>1.0</v>
      </c>
      <c r="C64" s="50" t="s">
        <v>55</v>
      </c>
      <c r="D64" s="51"/>
      <c r="E64" s="19">
        <v>1.0</v>
      </c>
      <c r="F64" s="19">
        <v>1.0</v>
      </c>
      <c r="G64" s="19">
        <v>1.0</v>
      </c>
      <c r="H64" s="19">
        <v>1.0</v>
      </c>
      <c r="I64" s="19">
        <v>0.0</v>
      </c>
      <c r="J64" s="19">
        <v>4.0</v>
      </c>
      <c r="K64" s="19">
        <v>2.0</v>
      </c>
      <c r="L64" s="19">
        <v>1.0</v>
      </c>
      <c r="M64" s="19">
        <v>5.0</v>
      </c>
      <c r="N64" s="19">
        <v>0.0</v>
      </c>
      <c r="O64" s="19">
        <v>0.0</v>
      </c>
      <c r="P64" s="19">
        <v>1.0</v>
      </c>
      <c r="Q64" s="19">
        <v>1.0</v>
      </c>
      <c r="R64" s="19">
        <v>1.0</v>
      </c>
      <c r="S64" s="19">
        <v>2.0</v>
      </c>
      <c r="T64" s="19">
        <v>0.0</v>
      </c>
      <c r="U64" s="19">
        <v>0.0</v>
      </c>
      <c r="V64" s="19">
        <v>1.0</v>
      </c>
      <c r="W64" s="19">
        <v>0.0</v>
      </c>
      <c r="X64" s="19">
        <v>0.0</v>
      </c>
      <c r="Y64" s="19">
        <v>3.0</v>
      </c>
      <c r="Z64" s="19">
        <v>2.0</v>
      </c>
      <c r="AA64" s="19">
        <v>3.0</v>
      </c>
      <c r="AB64" s="13">
        <f t="shared" si="12"/>
        <v>30</v>
      </c>
    </row>
    <row r="65" ht="12.75" customHeight="1">
      <c r="A65" s="18"/>
      <c r="B65" s="49">
        <v>2.0</v>
      </c>
      <c r="C65" s="50" t="s">
        <v>56</v>
      </c>
      <c r="D65" s="51"/>
      <c r="E65" s="19">
        <v>22.0</v>
      </c>
      <c r="F65" s="19">
        <v>1.0</v>
      </c>
      <c r="G65" s="19">
        <v>0.0</v>
      </c>
      <c r="H65" s="19">
        <v>2.0</v>
      </c>
      <c r="I65" s="19">
        <v>1.0</v>
      </c>
      <c r="J65" s="19">
        <v>1.0</v>
      </c>
      <c r="K65" s="19">
        <v>1.0</v>
      </c>
      <c r="L65" s="19">
        <v>2.0</v>
      </c>
      <c r="M65" s="19">
        <v>4.0</v>
      </c>
      <c r="N65" s="19">
        <v>3.0</v>
      </c>
      <c r="O65" s="19">
        <v>3.0</v>
      </c>
      <c r="P65" s="19">
        <v>0.0</v>
      </c>
      <c r="Q65" s="19">
        <v>1.0</v>
      </c>
      <c r="R65" s="19">
        <v>4.0</v>
      </c>
      <c r="S65" s="19">
        <v>3.0</v>
      </c>
      <c r="T65" s="19">
        <v>2.0</v>
      </c>
      <c r="U65" s="19">
        <v>0.0</v>
      </c>
      <c r="V65" s="19">
        <v>2.0</v>
      </c>
      <c r="W65" s="19">
        <v>2.0</v>
      </c>
      <c r="X65" s="19">
        <v>6.0</v>
      </c>
      <c r="Y65" s="19">
        <v>1.0</v>
      </c>
      <c r="Z65" s="19">
        <v>6.0</v>
      </c>
      <c r="AA65" s="19">
        <v>8.0</v>
      </c>
      <c r="AB65" s="13">
        <f t="shared" si="12"/>
        <v>75</v>
      </c>
    </row>
    <row r="66" ht="12.75" customHeight="1">
      <c r="A66" s="18"/>
      <c r="B66" s="49">
        <v>3.0</v>
      </c>
      <c r="C66" s="50" t="s">
        <v>57</v>
      </c>
      <c r="D66" s="51"/>
      <c r="E66" s="19">
        <v>10.0</v>
      </c>
      <c r="F66" s="19">
        <v>51.0</v>
      </c>
      <c r="G66" s="19">
        <v>16.0</v>
      </c>
      <c r="H66" s="19">
        <v>7.0</v>
      </c>
      <c r="I66" s="19">
        <v>7.0</v>
      </c>
      <c r="J66" s="19">
        <v>12.0</v>
      </c>
      <c r="K66" s="19">
        <v>28.0</v>
      </c>
      <c r="L66" s="19">
        <v>8.0</v>
      </c>
      <c r="M66" s="19">
        <v>11.0</v>
      </c>
      <c r="N66" s="19">
        <v>11.0</v>
      </c>
      <c r="O66" s="19">
        <v>9.0</v>
      </c>
      <c r="P66" s="19">
        <v>8.0</v>
      </c>
      <c r="Q66" s="19">
        <v>14.0</v>
      </c>
      <c r="R66" s="19">
        <v>55.0</v>
      </c>
      <c r="S66" s="19">
        <v>75.0</v>
      </c>
      <c r="T66" s="19">
        <v>86.0</v>
      </c>
      <c r="U66" s="19">
        <v>5.0</v>
      </c>
      <c r="V66" s="19">
        <v>4.0</v>
      </c>
      <c r="W66" s="19">
        <v>0.0</v>
      </c>
      <c r="X66" s="19">
        <v>10.0</v>
      </c>
      <c r="Y66" s="19">
        <v>8.0</v>
      </c>
      <c r="Z66" s="19">
        <v>3.0</v>
      </c>
      <c r="AA66" s="19">
        <v>2.0</v>
      </c>
      <c r="AB66" s="13">
        <f t="shared" si="12"/>
        <v>440</v>
      </c>
    </row>
    <row r="67" ht="15.0" customHeight="1">
      <c r="A67" s="18"/>
      <c r="B67" s="49">
        <v>4.0</v>
      </c>
      <c r="C67" s="50" t="s">
        <v>58</v>
      </c>
      <c r="D67" s="51"/>
      <c r="E67" s="19">
        <v>0.0</v>
      </c>
      <c r="F67" s="19">
        <v>0.0</v>
      </c>
      <c r="G67" s="19">
        <v>0.0</v>
      </c>
      <c r="H67" s="19">
        <v>0.0</v>
      </c>
      <c r="I67" s="19">
        <v>0.0</v>
      </c>
      <c r="J67" s="19">
        <v>0.0</v>
      </c>
      <c r="K67" s="19">
        <v>0.0</v>
      </c>
      <c r="L67" s="19">
        <v>0.0</v>
      </c>
      <c r="M67" s="19">
        <v>0.0</v>
      </c>
      <c r="N67" s="19">
        <v>0.0</v>
      </c>
      <c r="O67" s="19">
        <v>1.0</v>
      </c>
      <c r="P67" s="19">
        <v>0.0</v>
      </c>
      <c r="Q67" s="19">
        <v>0.0</v>
      </c>
      <c r="R67" s="19">
        <v>0.0</v>
      </c>
      <c r="S67" s="19">
        <v>0.0</v>
      </c>
      <c r="T67" s="19">
        <v>0.0</v>
      </c>
      <c r="U67" s="19">
        <v>0.0</v>
      </c>
      <c r="V67" s="19">
        <v>0.0</v>
      </c>
      <c r="W67" s="19">
        <v>0.0</v>
      </c>
      <c r="X67" s="19">
        <v>0.0</v>
      </c>
      <c r="Y67" s="19">
        <v>0.0</v>
      </c>
      <c r="Z67" s="19">
        <v>0.0</v>
      </c>
      <c r="AA67" s="19">
        <v>0.0</v>
      </c>
      <c r="AB67" s="13">
        <f t="shared" si="12"/>
        <v>1</v>
      </c>
    </row>
    <row r="68" ht="12.75" customHeight="1">
      <c r="A68" s="18"/>
      <c r="B68" s="49">
        <v>5.0</v>
      </c>
      <c r="C68" s="50" t="s">
        <v>59</v>
      </c>
      <c r="D68" s="51"/>
      <c r="E68" s="19">
        <v>0.0</v>
      </c>
      <c r="F68" s="19">
        <v>1.0</v>
      </c>
      <c r="G68" s="19">
        <v>0.0</v>
      </c>
      <c r="H68" s="19">
        <v>0.0</v>
      </c>
      <c r="I68" s="19">
        <v>0.0</v>
      </c>
      <c r="J68" s="19">
        <v>0.0</v>
      </c>
      <c r="K68" s="19">
        <v>0.0</v>
      </c>
      <c r="L68" s="19">
        <v>0.0</v>
      </c>
      <c r="M68" s="19">
        <v>0.0</v>
      </c>
      <c r="N68" s="19">
        <v>0.0</v>
      </c>
      <c r="O68" s="19">
        <v>1.0</v>
      </c>
      <c r="P68" s="19">
        <v>0.0</v>
      </c>
      <c r="Q68" s="19">
        <v>0.0</v>
      </c>
      <c r="R68" s="19">
        <v>0.0</v>
      </c>
      <c r="S68" s="19">
        <v>1.0</v>
      </c>
      <c r="T68" s="19">
        <v>1.0</v>
      </c>
      <c r="U68" s="19">
        <v>1.0</v>
      </c>
      <c r="V68" s="19">
        <v>0.0</v>
      </c>
      <c r="W68" s="19">
        <v>0.0</v>
      </c>
      <c r="X68" s="19">
        <v>0.0</v>
      </c>
      <c r="Y68" s="19">
        <v>0.0</v>
      </c>
      <c r="Z68" s="19">
        <v>0.0</v>
      </c>
      <c r="AA68" s="19">
        <v>0.0</v>
      </c>
      <c r="AB68" s="13">
        <f t="shared" si="12"/>
        <v>5</v>
      </c>
    </row>
    <row r="69" ht="12.75" customHeight="1">
      <c r="A69" s="18"/>
      <c r="B69" s="49">
        <v>6.0</v>
      </c>
      <c r="C69" s="50" t="s">
        <v>60</v>
      </c>
      <c r="D69" s="51"/>
      <c r="E69" s="19">
        <v>0.0</v>
      </c>
      <c r="F69" s="19">
        <v>0.0</v>
      </c>
      <c r="G69" s="19">
        <v>0.0</v>
      </c>
      <c r="H69" s="19">
        <v>0.0</v>
      </c>
      <c r="I69" s="19">
        <v>0.0</v>
      </c>
      <c r="J69" s="19">
        <v>0.0</v>
      </c>
      <c r="K69" s="19">
        <v>0.0</v>
      </c>
      <c r="L69" s="19">
        <v>0.0</v>
      </c>
      <c r="M69" s="19">
        <v>0.0</v>
      </c>
      <c r="N69" s="19">
        <v>0.0</v>
      </c>
      <c r="O69" s="19">
        <v>0.0</v>
      </c>
      <c r="P69" s="19">
        <v>0.0</v>
      </c>
      <c r="Q69" s="19">
        <v>0.0</v>
      </c>
      <c r="R69" s="19">
        <v>0.0</v>
      </c>
      <c r="S69" s="19">
        <v>0.0</v>
      </c>
      <c r="T69" s="19">
        <v>1.0</v>
      </c>
      <c r="U69" s="19">
        <v>0.0</v>
      </c>
      <c r="V69" s="19">
        <v>0.0</v>
      </c>
      <c r="W69" s="19">
        <v>1.0</v>
      </c>
      <c r="X69" s="19">
        <v>0.0</v>
      </c>
      <c r="Y69" s="19">
        <v>0.0</v>
      </c>
      <c r="Z69" s="19">
        <v>0.0</v>
      </c>
      <c r="AA69" s="19">
        <v>0.0</v>
      </c>
      <c r="AB69" s="13">
        <f t="shared" si="12"/>
        <v>2</v>
      </c>
    </row>
    <row r="70" ht="12.75" customHeight="1">
      <c r="A70" s="19" t="s">
        <v>15</v>
      </c>
      <c r="B70" s="47" t="s">
        <v>46</v>
      </c>
      <c r="C70" s="15"/>
      <c r="D70" s="16"/>
      <c r="E70" s="56">
        <f t="shared" ref="E70:AA70" si="15">SUM(E63:E69)</f>
        <v>39</v>
      </c>
      <c r="F70" s="56">
        <f t="shared" si="15"/>
        <v>56</v>
      </c>
      <c r="G70" s="56">
        <f t="shared" si="15"/>
        <v>20</v>
      </c>
      <c r="H70" s="56">
        <f t="shared" si="15"/>
        <v>11</v>
      </c>
      <c r="I70" s="56">
        <f t="shared" si="15"/>
        <v>10</v>
      </c>
      <c r="J70" s="56">
        <f t="shared" si="15"/>
        <v>17</v>
      </c>
      <c r="K70" s="56">
        <f t="shared" si="15"/>
        <v>34</v>
      </c>
      <c r="L70" s="56">
        <f t="shared" si="15"/>
        <v>14</v>
      </c>
      <c r="M70" s="56">
        <f t="shared" si="15"/>
        <v>21</v>
      </c>
      <c r="N70" s="56">
        <f t="shared" si="15"/>
        <v>18</v>
      </c>
      <c r="O70" s="56">
        <f t="shared" si="15"/>
        <v>16</v>
      </c>
      <c r="P70" s="56">
        <f t="shared" si="15"/>
        <v>14</v>
      </c>
      <c r="Q70" s="56">
        <f t="shared" si="15"/>
        <v>21</v>
      </c>
      <c r="R70" s="56">
        <f t="shared" si="15"/>
        <v>67</v>
      </c>
      <c r="S70" s="56">
        <f t="shared" si="15"/>
        <v>89</v>
      </c>
      <c r="T70" s="56">
        <f t="shared" si="15"/>
        <v>98</v>
      </c>
      <c r="U70" s="56">
        <f t="shared" si="15"/>
        <v>12</v>
      </c>
      <c r="V70" s="56">
        <f t="shared" si="15"/>
        <v>14</v>
      </c>
      <c r="W70" s="56">
        <f t="shared" si="15"/>
        <v>4</v>
      </c>
      <c r="X70" s="56">
        <f t="shared" si="15"/>
        <v>21</v>
      </c>
      <c r="Y70" s="56">
        <f t="shared" si="15"/>
        <v>15</v>
      </c>
      <c r="Z70" s="56">
        <f t="shared" si="15"/>
        <v>13</v>
      </c>
      <c r="AA70" s="56">
        <f t="shared" si="15"/>
        <v>13</v>
      </c>
      <c r="AB70" s="13">
        <f t="shared" si="12"/>
        <v>637</v>
      </c>
    </row>
    <row r="71" ht="12.75" customHeight="1">
      <c r="A71" s="57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13">
        <f t="shared" si="12"/>
        <v>0</v>
      </c>
    </row>
    <row r="72" ht="12.75" customHeight="1">
      <c r="A72" s="30" t="s">
        <v>37</v>
      </c>
      <c r="B72" s="47" t="s">
        <v>23</v>
      </c>
      <c r="C72" s="48" t="s">
        <v>61</v>
      </c>
      <c r="D72" s="16"/>
      <c r="E72" s="19">
        <v>0.0</v>
      </c>
      <c r="F72" s="19">
        <v>1.0</v>
      </c>
      <c r="G72" s="19">
        <v>3.0</v>
      </c>
      <c r="H72" s="19">
        <v>6.0</v>
      </c>
      <c r="I72" s="19">
        <v>3.0</v>
      </c>
      <c r="J72" s="19">
        <v>7.0</v>
      </c>
      <c r="K72" s="19">
        <v>2.0</v>
      </c>
      <c r="L72" s="19">
        <v>4.0</v>
      </c>
      <c r="M72" s="19">
        <v>2.0</v>
      </c>
      <c r="N72" s="19">
        <v>6.0</v>
      </c>
      <c r="O72" s="19">
        <v>2.0</v>
      </c>
      <c r="P72" s="19">
        <v>0.0</v>
      </c>
      <c r="Q72" s="19">
        <v>1.0</v>
      </c>
      <c r="R72" s="19">
        <v>0.0</v>
      </c>
      <c r="S72" s="19">
        <v>0.0</v>
      </c>
      <c r="T72" s="19">
        <v>0.0</v>
      </c>
      <c r="U72" s="19">
        <v>3.0</v>
      </c>
      <c r="V72" s="19">
        <v>0.0</v>
      </c>
      <c r="W72" s="19">
        <v>3.0</v>
      </c>
      <c r="X72" s="19">
        <v>4.0</v>
      </c>
      <c r="Y72" s="19">
        <v>2.0</v>
      </c>
      <c r="Z72" s="19">
        <v>3.0</v>
      </c>
      <c r="AA72" s="19">
        <v>1.0</v>
      </c>
      <c r="AB72" s="13">
        <f t="shared" si="12"/>
        <v>53</v>
      </c>
    </row>
    <row r="73" ht="12.75" customHeight="1">
      <c r="A73" s="30" t="s">
        <v>39</v>
      </c>
      <c r="B73" s="49">
        <v>1.0</v>
      </c>
      <c r="C73" s="50" t="s">
        <v>62</v>
      </c>
      <c r="D73" s="51"/>
      <c r="E73" s="19">
        <v>7.0</v>
      </c>
      <c r="F73" s="19">
        <v>17.0</v>
      </c>
      <c r="G73" s="19">
        <v>41.0</v>
      </c>
      <c r="H73" s="19">
        <v>50.0</v>
      </c>
      <c r="I73" s="19">
        <v>48.0</v>
      </c>
      <c r="J73" s="19">
        <v>49.0</v>
      </c>
      <c r="K73" s="19">
        <v>22.0</v>
      </c>
      <c r="L73" s="19">
        <v>23.0</v>
      </c>
      <c r="M73" s="19">
        <v>22.0</v>
      </c>
      <c r="N73" s="19">
        <v>45.0</v>
      </c>
      <c r="O73" s="19">
        <v>22.0</v>
      </c>
      <c r="P73" s="19">
        <v>13.0</v>
      </c>
      <c r="Q73" s="19">
        <v>7.0</v>
      </c>
      <c r="R73" s="19">
        <v>6.0</v>
      </c>
      <c r="S73" s="19">
        <v>11.0</v>
      </c>
      <c r="T73" s="19">
        <v>10.0</v>
      </c>
      <c r="U73" s="19">
        <v>9.0</v>
      </c>
      <c r="V73" s="19">
        <v>36.0</v>
      </c>
      <c r="W73" s="19">
        <v>10.0</v>
      </c>
      <c r="X73" s="19">
        <v>16.0</v>
      </c>
      <c r="Y73" s="19">
        <v>10.0</v>
      </c>
      <c r="Z73" s="19">
        <v>22.0</v>
      </c>
      <c r="AA73" s="19">
        <v>6.0</v>
      </c>
      <c r="AB73" s="13">
        <f t="shared" si="12"/>
        <v>502</v>
      </c>
    </row>
    <row r="74" ht="12.75" customHeight="1">
      <c r="A74" s="18"/>
      <c r="B74" s="49">
        <v>2.0</v>
      </c>
      <c r="C74" s="50" t="s">
        <v>63</v>
      </c>
      <c r="D74" s="51"/>
      <c r="E74" s="19">
        <v>0.0</v>
      </c>
      <c r="F74" s="19">
        <v>2.0</v>
      </c>
      <c r="G74" s="19">
        <v>0.0</v>
      </c>
      <c r="H74" s="19">
        <v>0.0</v>
      </c>
      <c r="I74" s="19">
        <v>0.0</v>
      </c>
      <c r="J74" s="19">
        <v>0.0</v>
      </c>
      <c r="K74" s="19">
        <v>0.0</v>
      </c>
      <c r="L74" s="19">
        <v>0.0</v>
      </c>
      <c r="M74" s="19">
        <v>0.0</v>
      </c>
      <c r="N74" s="19">
        <v>0.0</v>
      </c>
      <c r="O74" s="19">
        <v>0.0</v>
      </c>
      <c r="P74" s="19">
        <v>0.0</v>
      </c>
      <c r="Q74" s="19">
        <v>0.0</v>
      </c>
      <c r="R74" s="19">
        <v>0.0</v>
      </c>
      <c r="S74" s="19">
        <v>2.0</v>
      </c>
      <c r="T74" s="19">
        <v>0.0</v>
      </c>
      <c r="U74" s="19">
        <v>0.0</v>
      </c>
      <c r="V74" s="19">
        <v>0.0</v>
      </c>
      <c r="W74" s="19">
        <v>0.0</v>
      </c>
      <c r="X74" s="19">
        <v>0.0</v>
      </c>
      <c r="Y74" s="19">
        <v>1.0</v>
      </c>
      <c r="Z74" s="19">
        <v>0.0</v>
      </c>
      <c r="AA74" s="19">
        <v>0.0</v>
      </c>
      <c r="AB74" s="13">
        <f t="shared" si="12"/>
        <v>5</v>
      </c>
    </row>
    <row r="75" ht="12.75" customHeight="1">
      <c r="A75" s="18"/>
      <c r="B75" s="49">
        <v>3.0</v>
      </c>
      <c r="C75" s="50" t="s">
        <v>64</v>
      </c>
      <c r="D75" s="51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0.0</v>
      </c>
      <c r="R75" s="19">
        <v>1.0</v>
      </c>
      <c r="S75" s="19">
        <v>1.0</v>
      </c>
      <c r="T75" s="19">
        <v>1.0</v>
      </c>
      <c r="U75" s="19">
        <v>1.0</v>
      </c>
      <c r="V75" s="19">
        <v>1.0</v>
      </c>
      <c r="W75" s="19">
        <v>0.0</v>
      </c>
      <c r="X75" s="19">
        <v>1.0</v>
      </c>
      <c r="Y75" s="19">
        <v>0.0</v>
      </c>
      <c r="Z75" s="19">
        <v>1.0</v>
      </c>
      <c r="AA75" s="19">
        <v>0.0</v>
      </c>
      <c r="AB75" s="13">
        <f t="shared" si="12"/>
        <v>7</v>
      </c>
    </row>
    <row r="76" ht="12.75" customHeight="1">
      <c r="A76" s="18"/>
      <c r="B76" s="49">
        <v>4.0</v>
      </c>
      <c r="C76" s="50" t="s">
        <v>65</v>
      </c>
      <c r="D76" s="51"/>
      <c r="E76" s="19">
        <v>0.0</v>
      </c>
      <c r="F76" s="19">
        <v>0.0</v>
      </c>
      <c r="G76" s="19">
        <v>1.0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19">
        <v>0.0</v>
      </c>
      <c r="U76" s="19">
        <v>0.0</v>
      </c>
      <c r="V76" s="19">
        <v>0.0</v>
      </c>
      <c r="W76" s="19">
        <v>0.0</v>
      </c>
      <c r="X76" s="19">
        <v>0.0</v>
      </c>
      <c r="Y76" s="19">
        <v>0.0</v>
      </c>
      <c r="Z76" s="19">
        <v>0.0</v>
      </c>
      <c r="AA76" s="19">
        <v>0.0</v>
      </c>
      <c r="AB76" s="13">
        <f t="shared" si="12"/>
        <v>1</v>
      </c>
    </row>
    <row r="77" ht="12.75" customHeight="1">
      <c r="A77" s="18"/>
      <c r="B77" s="49">
        <v>5.0</v>
      </c>
      <c r="C77" s="50" t="s">
        <v>66</v>
      </c>
      <c r="D77" s="51"/>
      <c r="E77" s="19">
        <v>0.0</v>
      </c>
      <c r="F77" s="19">
        <v>0.0</v>
      </c>
      <c r="G77" s="19">
        <v>0.0</v>
      </c>
      <c r="H77" s="19">
        <v>0.0</v>
      </c>
      <c r="I77" s="19">
        <v>0.0</v>
      </c>
      <c r="J77" s="19">
        <v>0.0</v>
      </c>
      <c r="K77" s="19">
        <v>0.0</v>
      </c>
      <c r="L77" s="19">
        <v>0.0</v>
      </c>
      <c r="M77" s="19">
        <v>0.0</v>
      </c>
      <c r="N77" s="19">
        <v>0.0</v>
      </c>
      <c r="O77" s="19">
        <v>0.0</v>
      </c>
      <c r="P77" s="19">
        <v>0.0</v>
      </c>
      <c r="Q77" s="19">
        <v>1.0</v>
      </c>
      <c r="R77" s="19">
        <v>0.0</v>
      </c>
      <c r="S77" s="19">
        <v>0.0</v>
      </c>
      <c r="T77" s="19">
        <v>0.0</v>
      </c>
      <c r="U77" s="19">
        <v>0.0</v>
      </c>
      <c r="V77" s="19">
        <v>0.0</v>
      </c>
      <c r="W77" s="19">
        <v>0.0</v>
      </c>
      <c r="X77" s="19">
        <v>0.0</v>
      </c>
      <c r="Y77" s="19">
        <v>0.0</v>
      </c>
      <c r="Z77" s="19">
        <v>0.0</v>
      </c>
      <c r="AA77" s="19">
        <v>0.0</v>
      </c>
      <c r="AB77" s="13">
        <f t="shared" si="12"/>
        <v>1</v>
      </c>
    </row>
    <row r="78" ht="12.75" customHeight="1">
      <c r="A78" s="18"/>
      <c r="B78" s="49">
        <v>6.0</v>
      </c>
      <c r="C78" s="50" t="s">
        <v>67</v>
      </c>
      <c r="D78" s="51"/>
      <c r="E78" s="19">
        <v>0.0</v>
      </c>
      <c r="F78" s="19">
        <v>0.0</v>
      </c>
      <c r="G78" s="19">
        <v>0.0</v>
      </c>
      <c r="H78" s="19">
        <v>0.0</v>
      </c>
      <c r="I78" s="19">
        <v>0.0</v>
      </c>
      <c r="J78" s="19">
        <v>0.0</v>
      </c>
      <c r="K78" s="19">
        <v>0.0</v>
      </c>
      <c r="L78" s="19">
        <v>0.0</v>
      </c>
      <c r="M78" s="19">
        <v>0.0</v>
      </c>
      <c r="N78" s="19">
        <v>0.0</v>
      </c>
      <c r="O78" s="19">
        <v>0.0</v>
      </c>
      <c r="P78" s="19">
        <v>0.0</v>
      </c>
      <c r="Q78" s="19">
        <v>0.0</v>
      </c>
      <c r="R78" s="19">
        <v>0.0</v>
      </c>
      <c r="S78" s="19">
        <v>0.0</v>
      </c>
      <c r="T78" s="19">
        <v>0.0</v>
      </c>
      <c r="U78" s="19">
        <v>0.0</v>
      </c>
      <c r="V78" s="19">
        <v>0.0</v>
      </c>
      <c r="W78" s="19">
        <v>0.0</v>
      </c>
      <c r="X78" s="19">
        <v>0.0</v>
      </c>
      <c r="Y78" s="19">
        <v>0.0</v>
      </c>
      <c r="Z78" s="19">
        <v>0.0</v>
      </c>
      <c r="AA78" s="19">
        <v>0.0</v>
      </c>
      <c r="AB78" s="13">
        <f t="shared" si="12"/>
        <v>0</v>
      </c>
    </row>
    <row r="79" ht="15.0" customHeight="1">
      <c r="A79" s="19" t="s">
        <v>15</v>
      </c>
      <c r="B79" s="47" t="s">
        <v>46</v>
      </c>
      <c r="C79" s="15"/>
      <c r="D79" s="16"/>
      <c r="E79" s="56">
        <f t="shared" ref="E79:AA79" si="16">SUM(E72:E78)</f>
        <v>7</v>
      </c>
      <c r="F79" s="56">
        <f t="shared" si="16"/>
        <v>20</v>
      </c>
      <c r="G79" s="56">
        <f t="shared" si="16"/>
        <v>45</v>
      </c>
      <c r="H79" s="56">
        <f t="shared" si="16"/>
        <v>56</v>
      </c>
      <c r="I79" s="56">
        <f t="shared" si="16"/>
        <v>51</v>
      </c>
      <c r="J79" s="56">
        <f t="shared" si="16"/>
        <v>56</v>
      </c>
      <c r="K79" s="56">
        <f t="shared" si="16"/>
        <v>24</v>
      </c>
      <c r="L79" s="56">
        <f t="shared" si="16"/>
        <v>27</v>
      </c>
      <c r="M79" s="56">
        <f t="shared" si="16"/>
        <v>24</v>
      </c>
      <c r="N79" s="56">
        <f t="shared" si="16"/>
        <v>51</v>
      </c>
      <c r="O79" s="56">
        <f t="shared" si="16"/>
        <v>24</v>
      </c>
      <c r="P79" s="56">
        <f t="shared" si="16"/>
        <v>13</v>
      </c>
      <c r="Q79" s="56">
        <f t="shared" si="16"/>
        <v>9</v>
      </c>
      <c r="R79" s="56">
        <f t="shared" si="16"/>
        <v>7</v>
      </c>
      <c r="S79" s="56">
        <f t="shared" si="16"/>
        <v>14</v>
      </c>
      <c r="T79" s="56">
        <f t="shared" si="16"/>
        <v>11</v>
      </c>
      <c r="U79" s="56">
        <f t="shared" si="16"/>
        <v>13</v>
      </c>
      <c r="V79" s="56">
        <f t="shared" si="16"/>
        <v>37</v>
      </c>
      <c r="W79" s="56">
        <f t="shared" si="16"/>
        <v>13</v>
      </c>
      <c r="X79" s="56">
        <f t="shared" si="16"/>
        <v>21</v>
      </c>
      <c r="Y79" s="56">
        <f t="shared" si="16"/>
        <v>13</v>
      </c>
      <c r="Z79" s="56">
        <f t="shared" si="16"/>
        <v>26</v>
      </c>
      <c r="AA79" s="56">
        <f t="shared" si="16"/>
        <v>7</v>
      </c>
      <c r="AB79" s="13">
        <f t="shared" si="12"/>
        <v>569</v>
      </c>
    </row>
    <row r="80" ht="12.75" customHeight="1">
      <c r="A80" s="57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13">
        <f t="shared" si="12"/>
        <v>0</v>
      </c>
    </row>
    <row r="81" ht="12.75" customHeight="1">
      <c r="A81" s="30" t="s">
        <v>37</v>
      </c>
      <c r="B81" s="47" t="s">
        <v>68</v>
      </c>
      <c r="C81" s="48" t="s">
        <v>69</v>
      </c>
      <c r="D81" s="16"/>
      <c r="E81" s="19">
        <v>2.0</v>
      </c>
      <c r="F81" s="19">
        <v>0.0</v>
      </c>
      <c r="G81" s="19">
        <v>0.0</v>
      </c>
      <c r="H81" s="19">
        <v>0.0</v>
      </c>
      <c r="I81" s="19">
        <v>0.0</v>
      </c>
      <c r="J81" s="19">
        <v>0.0</v>
      </c>
      <c r="K81" s="19">
        <v>0.0</v>
      </c>
      <c r="L81" s="19">
        <v>0.0</v>
      </c>
      <c r="M81" s="19">
        <v>0.0</v>
      </c>
      <c r="N81" s="19">
        <v>1.0</v>
      </c>
      <c r="O81" s="19">
        <v>0.0</v>
      </c>
      <c r="P81" s="19">
        <v>0.0</v>
      </c>
      <c r="Q81" s="19">
        <v>0.0</v>
      </c>
      <c r="R81" s="19">
        <v>1.0</v>
      </c>
      <c r="S81" s="19">
        <v>0.0</v>
      </c>
      <c r="T81" s="19">
        <v>0.0</v>
      </c>
      <c r="U81" s="19">
        <v>0.0</v>
      </c>
      <c r="V81" s="19">
        <v>0.0</v>
      </c>
      <c r="W81" s="19">
        <v>0.0</v>
      </c>
      <c r="X81" s="19">
        <v>0.0</v>
      </c>
      <c r="Y81" s="19">
        <v>0.0</v>
      </c>
      <c r="Z81" s="19">
        <v>0.0</v>
      </c>
      <c r="AA81" s="19">
        <v>1.0</v>
      </c>
      <c r="AB81" s="13">
        <f t="shared" si="12"/>
        <v>5</v>
      </c>
    </row>
    <row r="82" ht="12.75" customHeight="1">
      <c r="A82" s="30" t="s">
        <v>39</v>
      </c>
      <c r="B82" s="49">
        <v>1.0</v>
      </c>
      <c r="C82" s="50" t="s">
        <v>70</v>
      </c>
      <c r="D82" s="51"/>
      <c r="E82" s="19">
        <v>0.0</v>
      </c>
      <c r="F82" s="19">
        <v>0.0</v>
      </c>
      <c r="G82" s="19">
        <v>0.0</v>
      </c>
      <c r="H82" s="19">
        <v>3.0</v>
      </c>
      <c r="I82" s="19">
        <v>0.0</v>
      </c>
      <c r="J82" s="19">
        <v>0.0</v>
      </c>
      <c r="K82" s="19">
        <v>1.0</v>
      </c>
      <c r="L82" s="19">
        <v>0.0</v>
      </c>
      <c r="M82" s="19">
        <v>0.0</v>
      </c>
      <c r="N82" s="19">
        <v>0.0</v>
      </c>
      <c r="O82" s="19">
        <v>0.0</v>
      </c>
      <c r="P82" s="19">
        <v>1.0</v>
      </c>
      <c r="Q82" s="19">
        <v>0.0</v>
      </c>
      <c r="R82" s="19">
        <v>0.0</v>
      </c>
      <c r="S82" s="19">
        <v>1.0</v>
      </c>
      <c r="T82" s="19">
        <v>0.0</v>
      </c>
      <c r="U82" s="19">
        <v>0.0</v>
      </c>
      <c r="V82" s="19">
        <v>0.0</v>
      </c>
      <c r="W82" s="19">
        <v>0.0</v>
      </c>
      <c r="X82" s="19">
        <v>0.0</v>
      </c>
      <c r="Y82" s="19">
        <v>0.0</v>
      </c>
      <c r="Z82" s="19">
        <v>1.0</v>
      </c>
      <c r="AA82" s="19">
        <v>0.0</v>
      </c>
      <c r="AB82" s="13">
        <f t="shared" si="12"/>
        <v>7</v>
      </c>
    </row>
    <row r="83" ht="12.75" customHeight="1">
      <c r="A83" s="18"/>
      <c r="B83" s="49">
        <v>2.0</v>
      </c>
      <c r="C83" s="50" t="s">
        <v>71</v>
      </c>
      <c r="D83" s="51"/>
      <c r="E83" s="19">
        <v>0.0</v>
      </c>
      <c r="F83" s="19">
        <v>0.0</v>
      </c>
      <c r="G83" s="19">
        <v>0.0</v>
      </c>
      <c r="H83" s="19">
        <v>0.0</v>
      </c>
      <c r="I83" s="19">
        <v>0.0</v>
      </c>
      <c r="J83" s="19">
        <v>0.0</v>
      </c>
      <c r="K83" s="19">
        <v>0.0</v>
      </c>
      <c r="L83" s="19">
        <v>0.0</v>
      </c>
      <c r="M83" s="19">
        <v>0.0</v>
      </c>
      <c r="N83" s="19">
        <v>0.0</v>
      </c>
      <c r="O83" s="19">
        <v>0.0</v>
      </c>
      <c r="P83" s="19">
        <v>0.0</v>
      </c>
      <c r="Q83" s="19">
        <v>0.0</v>
      </c>
      <c r="R83" s="19">
        <v>0.0</v>
      </c>
      <c r="S83" s="19">
        <v>0.0</v>
      </c>
      <c r="T83" s="19">
        <v>0.0</v>
      </c>
      <c r="U83" s="19">
        <v>0.0</v>
      </c>
      <c r="V83" s="19">
        <v>0.0</v>
      </c>
      <c r="W83" s="19">
        <v>0.0</v>
      </c>
      <c r="X83" s="19">
        <v>0.0</v>
      </c>
      <c r="Y83" s="19">
        <v>0.0</v>
      </c>
      <c r="Z83" s="19">
        <v>0.0</v>
      </c>
      <c r="AA83" s="19">
        <v>0.0</v>
      </c>
      <c r="AB83" s="13">
        <f t="shared" si="12"/>
        <v>0</v>
      </c>
    </row>
    <row r="84" ht="12.75" customHeight="1">
      <c r="A84" s="18"/>
      <c r="B84" s="49">
        <v>3.0</v>
      </c>
      <c r="C84" s="50" t="s">
        <v>72</v>
      </c>
      <c r="D84" s="51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0.0</v>
      </c>
      <c r="S84" s="19">
        <v>0.0</v>
      </c>
      <c r="T84" s="19">
        <v>0.0</v>
      </c>
      <c r="U84" s="19">
        <v>0.0</v>
      </c>
      <c r="V84" s="19">
        <v>0.0</v>
      </c>
      <c r="W84" s="19">
        <v>0.0</v>
      </c>
      <c r="X84" s="19">
        <v>0.0</v>
      </c>
      <c r="Y84" s="19">
        <v>0.0</v>
      </c>
      <c r="Z84" s="19">
        <v>0.0</v>
      </c>
      <c r="AA84" s="19">
        <v>0.0</v>
      </c>
      <c r="AB84" s="13">
        <f t="shared" si="12"/>
        <v>0</v>
      </c>
    </row>
    <row r="85" ht="12.75" customHeight="1">
      <c r="A85" s="18"/>
      <c r="B85" s="49">
        <v>4.0</v>
      </c>
      <c r="C85" s="50" t="s">
        <v>73</v>
      </c>
      <c r="D85" s="51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9">
        <v>0.0</v>
      </c>
      <c r="V85" s="19">
        <v>0.0</v>
      </c>
      <c r="W85" s="19">
        <v>0.0</v>
      </c>
      <c r="X85" s="19">
        <v>0.0</v>
      </c>
      <c r="Y85" s="19">
        <v>1.0</v>
      </c>
      <c r="Z85" s="19">
        <v>0.0</v>
      </c>
      <c r="AA85" s="19">
        <v>0.0</v>
      </c>
      <c r="AB85" s="13">
        <f t="shared" si="12"/>
        <v>1</v>
      </c>
    </row>
    <row r="86" ht="12.75" customHeight="1">
      <c r="A86" s="18"/>
      <c r="B86" s="49">
        <v>5.0</v>
      </c>
      <c r="C86" s="50" t="s">
        <v>74</v>
      </c>
      <c r="D86" s="51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0.0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9">
        <v>0.0</v>
      </c>
      <c r="Z86" s="19">
        <v>0.0</v>
      </c>
      <c r="AA86" s="19">
        <v>0.0</v>
      </c>
      <c r="AB86" s="13">
        <f t="shared" si="12"/>
        <v>0</v>
      </c>
    </row>
    <row r="87" ht="12.75" customHeight="1">
      <c r="A87" s="18"/>
      <c r="B87" s="49">
        <v>6.0</v>
      </c>
      <c r="C87" s="50" t="s">
        <v>75</v>
      </c>
      <c r="D87" s="51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3">
        <f t="shared" si="12"/>
        <v>0</v>
      </c>
    </row>
    <row r="88" ht="12.75" customHeight="1">
      <c r="A88" s="19" t="s">
        <v>15</v>
      </c>
      <c r="B88" s="47" t="s">
        <v>46</v>
      </c>
      <c r="C88" s="15"/>
      <c r="D88" s="16"/>
      <c r="E88" s="56">
        <f t="shared" ref="E88:AA88" si="17">SUM(E81:E87)</f>
        <v>2</v>
      </c>
      <c r="F88" s="56">
        <f t="shared" si="17"/>
        <v>0</v>
      </c>
      <c r="G88" s="56">
        <f t="shared" si="17"/>
        <v>0</v>
      </c>
      <c r="H88" s="56">
        <f t="shared" si="17"/>
        <v>3</v>
      </c>
      <c r="I88" s="56">
        <f t="shared" si="17"/>
        <v>0</v>
      </c>
      <c r="J88" s="56">
        <f t="shared" si="17"/>
        <v>0</v>
      </c>
      <c r="K88" s="56">
        <f t="shared" si="17"/>
        <v>1</v>
      </c>
      <c r="L88" s="56">
        <f t="shared" si="17"/>
        <v>0</v>
      </c>
      <c r="M88" s="56">
        <f t="shared" si="17"/>
        <v>0</v>
      </c>
      <c r="N88" s="56">
        <f t="shared" si="17"/>
        <v>1</v>
      </c>
      <c r="O88" s="56">
        <f t="shared" si="17"/>
        <v>0</v>
      </c>
      <c r="P88" s="56">
        <f t="shared" si="17"/>
        <v>1</v>
      </c>
      <c r="Q88" s="56">
        <f t="shared" si="17"/>
        <v>0</v>
      </c>
      <c r="R88" s="56">
        <f t="shared" si="17"/>
        <v>1</v>
      </c>
      <c r="S88" s="56">
        <f t="shared" si="17"/>
        <v>1</v>
      </c>
      <c r="T88" s="56">
        <f t="shared" si="17"/>
        <v>0</v>
      </c>
      <c r="U88" s="56">
        <f t="shared" si="17"/>
        <v>0</v>
      </c>
      <c r="V88" s="56">
        <f t="shared" si="17"/>
        <v>0</v>
      </c>
      <c r="W88" s="56">
        <f t="shared" si="17"/>
        <v>0</v>
      </c>
      <c r="X88" s="56">
        <f t="shared" si="17"/>
        <v>0</v>
      </c>
      <c r="Y88" s="56">
        <f t="shared" si="17"/>
        <v>1</v>
      </c>
      <c r="Z88" s="56">
        <f t="shared" si="17"/>
        <v>1</v>
      </c>
      <c r="AA88" s="56">
        <f t="shared" si="17"/>
        <v>1</v>
      </c>
      <c r="AB88" s="13">
        <f t="shared" si="12"/>
        <v>13</v>
      </c>
    </row>
    <row r="89" ht="12.75" customHeight="1">
      <c r="A89" s="57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13">
        <f t="shared" si="12"/>
        <v>0</v>
      </c>
    </row>
    <row r="90" ht="12.75" customHeight="1">
      <c r="A90" s="30" t="s">
        <v>37</v>
      </c>
      <c r="B90" s="47" t="s">
        <v>76</v>
      </c>
      <c r="C90" s="48" t="s">
        <v>77</v>
      </c>
      <c r="D90" s="16"/>
      <c r="E90" s="19">
        <v>0.0</v>
      </c>
      <c r="F90" s="19">
        <v>1.0</v>
      </c>
      <c r="G90" s="19">
        <v>0.0</v>
      </c>
      <c r="H90" s="19">
        <v>2.0</v>
      </c>
      <c r="I90" s="19">
        <v>0.0</v>
      </c>
      <c r="J90" s="19">
        <v>0.0</v>
      </c>
      <c r="K90" s="19">
        <v>0.0</v>
      </c>
      <c r="L90" s="19">
        <v>0.0</v>
      </c>
      <c r="M90" s="19">
        <v>0.0</v>
      </c>
      <c r="N90" s="19">
        <v>0.0</v>
      </c>
      <c r="O90" s="19">
        <v>0.0</v>
      </c>
      <c r="P90" s="19">
        <v>0.0</v>
      </c>
      <c r="Q90" s="19">
        <v>0.0</v>
      </c>
      <c r="R90" s="19">
        <v>1.0</v>
      </c>
      <c r="S90" s="19">
        <v>2.0</v>
      </c>
      <c r="T90" s="19">
        <v>1.0</v>
      </c>
      <c r="U90" s="19">
        <v>0.0</v>
      </c>
      <c r="V90" s="19">
        <v>1.0</v>
      </c>
      <c r="W90" s="19">
        <v>0.0</v>
      </c>
      <c r="X90" s="19">
        <v>0.0</v>
      </c>
      <c r="Y90" s="19">
        <v>0.0</v>
      </c>
      <c r="Z90" s="19">
        <v>0.0</v>
      </c>
      <c r="AA90" s="19">
        <v>0.0</v>
      </c>
      <c r="AB90" s="13">
        <f t="shared" si="12"/>
        <v>8</v>
      </c>
    </row>
    <row r="91" ht="15.0" customHeight="1">
      <c r="A91" s="30"/>
      <c r="B91" s="49">
        <v>1.0</v>
      </c>
      <c r="C91" s="50" t="s">
        <v>78</v>
      </c>
      <c r="D91" s="59"/>
      <c r="E91" s="19">
        <v>0.0</v>
      </c>
      <c r="F91" s="19">
        <v>0.0</v>
      </c>
      <c r="G91" s="19">
        <v>1.0</v>
      </c>
      <c r="H91" s="19">
        <v>6.0</v>
      </c>
      <c r="I91" s="19">
        <v>4.0</v>
      </c>
      <c r="J91" s="19">
        <v>1.0</v>
      </c>
      <c r="K91" s="19">
        <v>1.0</v>
      </c>
      <c r="L91" s="19">
        <v>1.0</v>
      </c>
      <c r="M91" s="19">
        <v>1.0</v>
      </c>
      <c r="N91" s="19">
        <v>0.0</v>
      </c>
      <c r="O91" s="19">
        <v>0.0</v>
      </c>
      <c r="P91" s="19">
        <v>0.0</v>
      </c>
      <c r="Q91" s="19">
        <v>0.0</v>
      </c>
      <c r="R91" s="19">
        <v>0.0</v>
      </c>
      <c r="S91" s="19">
        <v>0.0</v>
      </c>
      <c r="T91" s="19">
        <v>0.0</v>
      </c>
      <c r="U91" s="19">
        <v>1.0</v>
      </c>
      <c r="V91" s="19">
        <v>0.0</v>
      </c>
      <c r="W91" s="19">
        <v>0.0</v>
      </c>
      <c r="X91" s="19">
        <v>0.0</v>
      </c>
      <c r="Y91" s="19">
        <v>1.0</v>
      </c>
      <c r="Z91" s="19">
        <v>0.0</v>
      </c>
      <c r="AA91" s="19">
        <v>0.0</v>
      </c>
      <c r="AB91" s="13">
        <f t="shared" si="12"/>
        <v>17</v>
      </c>
    </row>
    <row r="92" ht="12.75" customHeight="1">
      <c r="A92" s="30"/>
      <c r="B92" s="49">
        <v>2.0</v>
      </c>
      <c r="C92" s="50" t="s">
        <v>79</v>
      </c>
      <c r="D92" s="59"/>
      <c r="E92" s="19">
        <v>0.0</v>
      </c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19">
        <v>0.0</v>
      </c>
      <c r="L92" s="19">
        <v>0.0</v>
      </c>
      <c r="M92" s="19">
        <v>0.0</v>
      </c>
      <c r="N92" s="19">
        <v>0.0</v>
      </c>
      <c r="O92" s="19">
        <v>0.0</v>
      </c>
      <c r="P92" s="19">
        <v>0.0</v>
      </c>
      <c r="Q92" s="19">
        <v>0.0</v>
      </c>
      <c r="R92" s="19">
        <v>0.0</v>
      </c>
      <c r="S92" s="19">
        <v>0.0</v>
      </c>
      <c r="T92" s="19">
        <v>0.0</v>
      </c>
      <c r="U92" s="19">
        <v>0.0</v>
      </c>
      <c r="V92" s="19">
        <v>0.0</v>
      </c>
      <c r="W92" s="19">
        <v>0.0</v>
      </c>
      <c r="X92" s="19">
        <v>0.0</v>
      </c>
      <c r="Y92" s="19">
        <v>0.0</v>
      </c>
      <c r="Z92" s="19">
        <v>0.0</v>
      </c>
      <c r="AA92" s="19">
        <v>0.0</v>
      </c>
      <c r="AB92" s="13">
        <f t="shared" si="12"/>
        <v>0</v>
      </c>
    </row>
    <row r="93" ht="12.75" customHeight="1">
      <c r="A93" s="30" t="s">
        <v>39</v>
      </c>
      <c r="B93" s="49">
        <v>3.0</v>
      </c>
      <c r="C93" s="50" t="s">
        <v>80</v>
      </c>
      <c r="D93" s="59"/>
      <c r="E93" s="19">
        <v>0.0</v>
      </c>
      <c r="F93" s="19">
        <v>0.0</v>
      </c>
      <c r="G93" s="19">
        <v>0.0</v>
      </c>
      <c r="H93" s="19">
        <v>0.0</v>
      </c>
      <c r="I93" s="19">
        <v>0.0</v>
      </c>
      <c r="J93" s="19">
        <v>0.0</v>
      </c>
      <c r="K93" s="19">
        <v>0.0</v>
      </c>
      <c r="L93" s="19">
        <v>0.0</v>
      </c>
      <c r="M93" s="19">
        <v>0.0</v>
      </c>
      <c r="N93" s="19">
        <v>0.0</v>
      </c>
      <c r="O93" s="19">
        <v>0.0</v>
      </c>
      <c r="P93" s="19">
        <v>0.0</v>
      </c>
      <c r="Q93" s="19">
        <v>0.0</v>
      </c>
      <c r="R93" s="19">
        <v>0.0</v>
      </c>
      <c r="S93" s="19">
        <v>0.0</v>
      </c>
      <c r="T93" s="19">
        <v>0.0</v>
      </c>
      <c r="U93" s="19">
        <v>0.0</v>
      </c>
      <c r="V93" s="19">
        <v>0.0</v>
      </c>
      <c r="W93" s="19">
        <v>0.0</v>
      </c>
      <c r="X93" s="19">
        <v>0.0</v>
      </c>
      <c r="Y93" s="19">
        <v>0.0</v>
      </c>
      <c r="Z93" s="19">
        <v>0.0</v>
      </c>
      <c r="AA93" s="19">
        <v>0.0</v>
      </c>
      <c r="AB93" s="13">
        <f t="shared" si="12"/>
        <v>0</v>
      </c>
    </row>
    <row r="94" ht="12.75" customHeight="1">
      <c r="A94" s="19" t="s">
        <v>15</v>
      </c>
      <c r="B94" s="47" t="s">
        <v>46</v>
      </c>
      <c r="C94" s="15"/>
      <c r="D94" s="16"/>
      <c r="E94" s="56">
        <f t="shared" ref="E94:AA94" si="18">SUM(E90:E93)</f>
        <v>0</v>
      </c>
      <c r="F94" s="56">
        <f t="shared" si="18"/>
        <v>1</v>
      </c>
      <c r="G94" s="56">
        <f t="shared" si="18"/>
        <v>1</v>
      </c>
      <c r="H94" s="56">
        <f t="shared" si="18"/>
        <v>8</v>
      </c>
      <c r="I94" s="56">
        <f t="shared" si="18"/>
        <v>4</v>
      </c>
      <c r="J94" s="56">
        <f t="shared" si="18"/>
        <v>1</v>
      </c>
      <c r="K94" s="56">
        <f t="shared" si="18"/>
        <v>1</v>
      </c>
      <c r="L94" s="56">
        <f t="shared" si="18"/>
        <v>1</v>
      </c>
      <c r="M94" s="56">
        <f t="shared" si="18"/>
        <v>1</v>
      </c>
      <c r="N94" s="56">
        <f t="shared" si="18"/>
        <v>0</v>
      </c>
      <c r="O94" s="56">
        <f t="shared" si="18"/>
        <v>0</v>
      </c>
      <c r="P94" s="56">
        <f t="shared" si="18"/>
        <v>0</v>
      </c>
      <c r="Q94" s="56">
        <f t="shared" si="18"/>
        <v>0</v>
      </c>
      <c r="R94" s="56">
        <f t="shared" si="18"/>
        <v>1</v>
      </c>
      <c r="S94" s="56">
        <f t="shared" si="18"/>
        <v>2</v>
      </c>
      <c r="T94" s="56">
        <f t="shared" si="18"/>
        <v>1</v>
      </c>
      <c r="U94" s="56">
        <f t="shared" si="18"/>
        <v>1</v>
      </c>
      <c r="V94" s="56">
        <f t="shared" si="18"/>
        <v>1</v>
      </c>
      <c r="W94" s="56">
        <f t="shared" si="18"/>
        <v>0</v>
      </c>
      <c r="X94" s="56">
        <f t="shared" si="18"/>
        <v>0</v>
      </c>
      <c r="Y94" s="56">
        <f t="shared" si="18"/>
        <v>1</v>
      </c>
      <c r="Z94" s="56">
        <f t="shared" si="18"/>
        <v>0</v>
      </c>
      <c r="AA94" s="56">
        <f t="shared" si="18"/>
        <v>0</v>
      </c>
      <c r="AB94" s="13">
        <f t="shared" si="12"/>
        <v>25</v>
      </c>
    </row>
    <row r="95" ht="12.75" customHeight="1">
      <c r="A95" s="57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13">
        <f t="shared" si="12"/>
        <v>0</v>
      </c>
    </row>
    <row r="96" ht="12.75" customHeight="1">
      <c r="A96" s="30" t="s">
        <v>37</v>
      </c>
      <c r="B96" s="47" t="s">
        <v>81</v>
      </c>
      <c r="C96" s="48" t="s">
        <v>82</v>
      </c>
      <c r="D96" s="16"/>
      <c r="E96" s="19">
        <v>1.0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1.0</v>
      </c>
      <c r="O96" s="19">
        <v>0.0</v>
      </c>
      <c r="P96" s="19">
        <v>0.0</v>
      </c>
      <c r="Q96" s="19">
        <v>0.0</v>
      </c>
      <c r="R96" s="19">
        <v>1.0</v>
      </c>
      <c r="S96" s="19">
        <v>0.0</v>
      </c>
      <c r="T96" s="19">
        <v>0.0</v>
      </c>
      <c r="U96" s="19">
        <v>0.0</v>
      </c>
      <c r="V96" s="19">
        <v>1.0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3">
        <f t="shared" si="12"/>
        <v>4</v>
      </c>
    </row>
    <row r="97" ht="12.75" customHeight="1">
      <c r="A97" s="30" t="s">
        <v>39</v>
      </c>
      <c r="B97" s="49">
        <v>1.0</v>
      </c>
      <c r="C97" s="50" t="s">
        <v>83</v>
      </c>
      <c r="D97" s="51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0.0</v>
      </c>
      <c r="Z97" s="19">
        <v>0.0</v>
      </c>
      <c r="AA97" s="19">
        <v>0.0</v>
      </c>
      <c r="AB97" s="13">
        <f t="shared" si="12"/>
        <v>0</v>
      </c>
    </row>
    <row r="98" ht="12.75" customHeight="1">
      <c r="A98" s="30"/>
      <c r="B98" s="49">
        <v>2.0</v>
      </c>
      <c r="C98" s="50" t="s">
        <v>84</v>
      </c>
      <c r="D98" s="51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3">
        <f t="shared" si="12"/>
        <v>0</v>
      </c>
    </row>
    <row r="99" ht="12.75" customHeight="1">
      <c r="A99" s="19" t="s">
        <v>15</v>
      </c>
      <c r="B99" s="47" t="s">
        <v>46</v>
      </c>
      <c r="C99" s="15"/>
      <c r="D99" s="16"/>
      <c r="E99" s="56">
        <f t="shared" ref="E99:AA99" si="19">SUM(E96:E98)</f>
        <v>1</v>
      </c>
      <c r="F99" s="56">
        <f t="shared" si="19"/>
        <v>0</v>
      </c>
      <c r="G99" s="56">
        <f t="shared" si="19"/>
        <v>0</v>
      </c>
      <c r="H99" s="56">
        <f t="shared" si="19"/>
        <v>0</v>
      </c>
      <c r="I99" s="56">
        <f t="shared" si="19"/>
        <v>0</v>
      </c>
      <c r="J99" s="56">
        <f t="shared" si="19"/>
        <v>0</v>
      </c>
      <c r="K99" s="56">
        <f t="shared" si="19"/>
        <v>0</v>
      </c>
      <c r="L99" s="56">
        <f t="shared" si="19"/>
        <v>0</v>
      </c>
      <c r="M99" s="56">
        <f t="shared" si="19"/>
        <v>0</v>
      </c>
      <c r="N99" s="56">
        <f t="shared" si="19"/>
        <v>1</v>
      </c>
      <c r="O99" s="56">
        <f t="shared" si="19"/>
        <v>0</v>
      </c>
      <c r="P99" s="56">
        <f t="shared" si="19"/>
        <v>0</v>
      </c>
      <c r="Q99" s="56">
        <f t="shared" si="19"/>
        <v>0</v>
      </c>
      <c r="R99" s="56">
        <f t="shared" si="19"/>
        <v>1</v>
      </c>
      <c r="S99" s="56">
        <f t="shared" si="19"/>
        <v>0</v>
      </c>
      <c r="T99" s="56">
        <f t="shared" si="19"/>
        <v>0</v>
      </c>
      <c r="U99" s="56">
        <f t="shared" si="19"/>
        <v>0</v>
      </c>
      <c r="V99" s="56">
        <f t="shared" si="19"/>
        <v>1</v>
      </c>
      <c r="W99" s="56">
        <f t="shared" si="19"/>
        <v>0</v>
      </c>
      <c r="X99" s="56">
        <f t="shared" si="19"/>
        <v>0</v>
      </c>
      <c r="Y99" s="56">
        <f t="shared" si="19"/>
        <v>0</v>
      </c>
      <c r="Z99" s="56">
        <f t="shared" si="19"/>
        <v>0</v>
      </c>
      <c r="AA99" s="56">
        <f t="shared" si="19"/>
        <v>0</v>
      </c>
      <c r="AB99" s="13">
        <f t="shared" si="12"/>
        <v>4</v>
      </c>
    </row>
    <row r="100" ht="12.75" customHeight="1">
      <c r="A100" s="57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13">
        <f t="shared" si="12"/>
        <v>0</v>
      </c>
    </row>
    <row r="101" ht="12.75" customHeight="1">
      <c r="A101" s="30" t="s">
        <v>37</v>
      </c>
      <c r="B101" s="47" t="s">
        <v>85</v>
      </c>
      <c r="C101" s="48" t="s">
        <v>86</v>
      </c>
      <c r="D101" s="16"/>
      <c r="E101" s="19">
        <v>0.0</v>
      </c>
      <c r="F101" s="19">
        <v>0.0</v>
      </c>
      <c r="G101" s="19">
        <v>0.0</v>
      </c>
      <c r="H101" s="19">
        <v>0.0</v>
      </c>
      <c r="I101" s="19">
        <v>1.0</v>
      </c>
      <c r="J101" s="19">
        <v>0.0</v>
      </c>
      <c r="K101" s="19">
        <v>0.0</v>
      </c>
      <c r="L101" s="19">
        <v>0.0</v>
      </c>
      <c r="M101" s="19">
        <v>0.0</v>
      </c>
      <c r="N101" s="19">
        <v>0.0</v>
      </c>
      <c r="O101" s="19">
        <v>0.0</v>
      </c>
      <c r="P101" s="19">
        <v>1.0</v>
      </c>
      <c r="Q101" s="19">
        <v>0.0</v>
      </c>
      <c r="R101" s="19">
        <v>0.0</v>
      </c>
      <c r="S101" s="19">
        <v>1.0</v>
      </c>
      <c r="T101" s="19">
        <v>0.0</v>
      </c>
      <c r="U101" s="19">
        <v>0.0</v>
      </c>
      <c r="V101" s="19">
        <v>0.0</v>
      </c>
      <c r="W101" s="19">
        <v>0.0</v>
      </c>
      <c r="X101" s="19">
        <v>1.0</v>
      </c>
      <c r="Y101" s="19">
        <v>0.0</v>
      </c>
      <c r="Z101" s="19">
        <v>1.0</v>
      </c>
      <c r="AA101" s="19">
        <v>0.0</v>
      </c>
      <c r="AB101" s="13">
        <f t="shared" si="12"/>
        <v>5</v>
      </c>
    </row>
    <row r="102" ht="12.75" customHeight="1">
      <c r="A102" s="30" t="s">
        <v>39</v>
      </c>
      <c r="B102" s="49">
        <v>1.0</v>
      </c>
      <c r="C102" s="50" t="s">
        <v>87</v>
      </c>
      <c r="D102" s="51"/>
      <c r="E102" s="19">
        <v>2.0</v>
      </c>
      <c r="F102" s="19">
        <v>1.0</v>
      </c>
      <c r="G102" s="19">
        <v>0.0</v>
      </c>
      <c r="H102" s="19">
        <v>0.0</v>
      </c>
      <c r="I102" s="19">
        <v>0.0</v>
      </c>
      <c r="J102" s="19">
        <v>0.0</v>
      </c>
      <c r="K102" s="19">
        <v>0.0</v>
      </c>
      <c r="L102" s="19">
        <v>0.0</v>
      </c>
      <c r="M102" s="19">
        <v>1.0</v>
      </c>
      <c r="N102" s="19">
        <v>0.0</v>
      </c>
      <c r="O102" s="19">
        <v>0.0</v>
      </c>
      <c r="P102" s="19">
        <v>0.0</v>
      </c>
      <c r="Q102" s="19">
        <v>0.0</v>
      </c>
      <c r="R102" s="19">
        <v>0.0</v>
      </c>
      <c r="S102" s="19">
        <v>1.0</v>
      </c>
      <c r="T102" s="19">
        <v>0.0</v>
      </c>
      <c r="U102" s="19">
        <v>1.0</v>
      </c>
      <c r="V102" s="19">
        <v>0.0</v>
      </c>
      <c r="W102" s="19">
        <v>0.0</v>
      </c>
      <c r="X102" s="19">
        <v>0.0</v>
      </c>
      <c r="Y102" s="19">
        <v>0.0</v>
      </c>
      <c r="Z102" s="19">
        <v>1.0</v>
      </c>
      <c r="AA102" s="19">
        <v>1.0</v>
      </c>
      <c r="AB102" s="13">
        <f t="shared" si="12"/>
        <v>8</v>
      </c>
    </row>
    <row r="103" ht="15.0" customHeight="1">
      <c r="A103" s="18"/>
      <c r="B103" s="49">
        <v>2.0</v>
      </c>
      <c r="C103" s="50" t="s">
        <v>88</v>
      </c>
      <c r="D103" s="51"/>
      <c r="E103" s="19">
        <v>1.0</v>
      </c>
      <c r="F103" s="19">
        <v>0.0</v>
      </c>
      <c r="G103" s="19">
        <v>0.0</v>
      </c>
      <c r="H103" s="19">
        <v>0.0</v>
      </c>
      <c r="I103" s="19">
        <v>0.0</v>
      </c>
      <c r="J103" s="19">
        <v>0.0</v>
      </c>
      <c r="K103" s="19">
        <v>0.0</v>
      </c>
      <c r="L103" s="19">
        <v>0.0</v>
      </c>
      <c r="M103" s="19">
        <v>0.0</v>
      </c>
      <c r="N103" s="19">
        <v>0.0</v>
      </c>
      <c r="O103" s="19">
        <v>0.0</v>
      </c>
      <c r="P103" s="19">
        <v>0.0</v>
      </c>
      <c r="Q103" s="19">
        <v>0.0</v>
      </c>
      <c r="R103" s="19">
        <v>0.0</v>
      </c>
      <c r="S103" s="19">
        <v>0.0</v>
      </c>
      <c r="T103" s="19">
        <v>0.0</v>
      </c>
      <c r="U103" s="19">
        <v>0.0</v>
      </c>
      <c r="V103" s="19">
        <v>0.0</v>
      </c>
      <c r="W103" s="19">
        <v>0.0</v>
      </c>
      <c r="X103" s="19">
        <v>0.0</v>
      </c>
      <c r="Y103" s="19">
        <v>0.0</v>
      </c>
      <c r="Z103" s="19">
        <v>1.0</v>
      </c>
      <c r="AA103" s="19">
        <v>0.0</v>
      </c>
      <c r="AB103" s="13">
        <f t="shared" si="12"/>
        <v>2</v>
      </c>
    </row>
    <row r="104" ht="12.75" customHeight="1">
      <c r="A104" s="18"/>
      <c r="B104" s="49">
        <v>3.0</v>
      </c>
      <c r="C104" s="50" t="s">
        <v>89</v>
      </c>
      <c r="D104" s="51"/>
      <c r="E104" s="19">
        <v>0.0</v>
      </c>
      <c r="F104" s="19">
        <v>0.0</v>
      </c>
      <c r="G104" s="19">
        <v>0.0</v>
      </c>
      <c r="H104" s="19">
        <v>0.0</v>
      </c>
      <c r="I104" s="19">
        <v>0.0</v>
      </c>
      <c r="J104" s="19">
        <v>0.0</v>
      </c>
      <c r="K104" s="19">
        <v>0.0</v>
      </c>
      <c r="L104" s="19">
        <v>0.0</v>
      </c>
      <c r="M104" s="19">
        <v>2.0</v>
      </c>
      <c r="N104" s="19">
        <v>0.0</v>
      </c>
      <c r="O104" s="19">
        <v>0.0</v>
      </c>
      <c r="P104" s="19">
        <v>0.0</v>
      </c>
      <c r="Q104" s="19">
        <v>0.0</v>
      </c>
      <c r="R104" s="19">
        <v>1.0</v>
      </c>
      <c r="S104" s="19">
        <v>0.0</v>
      </c>
      <c r="T104" s="19">
        <v>0.0</v>
      </c>
      <c r="U104" s="19">
        <v>0.0</v>
      </c>
      <c r="V104" s="19">
        <v>1.0</v>
      </c>
      <c r="W104" s="19">
        <v>0.0</v>
      </c>
      <c r="X104" s="19">
        <v>0.0</v>
      </c>
      <c r="Y104" s="19">
        <v>0.0</v>
      </c>
      <c r="Z104" s="19">
        <v>0.0</v>
      </c>
      <c r="AA104" s="19">
        <v>0.0</v>
      </c>
      <c r="AB104" s="13">
        <f t="shared" si="12"/>
        <v>4</v>
      </c>
    </row>
    <row r="105" ht="12.75" customHeight="1">
      <c r="A105" s="18"/>
      <c r="B105" s="49">
        <v>4.0</v>
      </c>
      <c r="C105" s="50" t="s">
        <v>90</v>
      </c>
      <c r="D105" s="51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3">
        <f t="shared" si="12"/>
        <v>0</v>
      </c>
    </row>
    <row r="106" ht="12.75" customHeight="1">
      <c r="A106" s="18"/>
      <c r="B106" s="49">
        <v>5.0</v>
      </c>
      <c r="C106" s="50" t="s">
        <v>91</v>
      </c>
      <c r="D106" s="51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3">
        <f t="shared" si="12"/>
        <v>0</v>
      </c>
    </row>
    <row r="107" ht="12.75" customHeight="1">
      <c r="A107" s="18"/>
      <c r="B107" s="49">
        <v>6.0</v>
      </c>
      <c r="C107" s="50" t="s">
        <v>92</v>
      </c>
      <c r="D107" s="51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3">
        <f t="shared" si="12"/>
        <v>0</v>
      </c>
    </row>
    <row r="108" ht="12.75" customHeight="1">
      <c r="A108" s="19" t="s">
        <v>15</v>
      </c>
      <c r="B108" s="47" t="s">
        <v>46</v>
      </c>
      <c r="C108" s="15"/>
      <c r="D108" s="16"/>
      <c r="E108" s="56">
        <f t="shared" ref="E108:AA108" si="20">SUM(E101:E107)</f>
        <v>3</v>
      </c>
      <c r="F108" s="56">
        <f t="shared" si="20"/>
        <v>1</v>
      </c>
      <c r="G108" s="56">
        <f t="shared" si="20"/>
        <v>0</v>
      </c>
      <c r="H108" s="56">
        <f t="shared" si="20"/>
        <v>0</v>
      </c>
      <c r="I108" s="56">
        <f t="shared" si="20"/>
        <v>1</v>
      </c>
      <c r="J108" s="56">
        <f t="shared" si="20"/>
        <v>0</v>
      </c>
      <c r="K108" s="56">
        <f t="shared" si="20"/>
        <v>0</v>
      </c>
      <c r="L108" s="56">
        <f t="shared" si="20"/>
        <v>0</v>
      </c>
      <c r="M108" s="56">
        <f t="shared" si="20"/>
        <v>3</v>
      </c>
      <c r="N108" s="56">
        <f t="shared" si="20"/>
        <v>0</v>
      </c>
      <c r="O108" s="56">
        <f t="shared" si="20"/>
        <v>0</v>
      </c>
      <c r="P108" s="56">
        <f t="shared" si="20"/>
        <v>1</v>
      </c>
      <c r="Q108" s="56">
        <f t="shared" si="20"/>
        <v>0</v>
      </c>
      <c r="R108" s="56">
        <f t="shared" si="20"/>
        <v>1</v>
      </c>
      <c r="S108" s="56">
        <f t="shared" si="20"/>
        <v>2</v>
      </c>
      <c r="T108" s="56">
        <f t="shared" si="20"/>
        <v>0</v>
      </c>
      <c r="U108" s="56">
        <f t="shared" si="20"/>
        <v>1</v>
      </c>
      <c r="V108" s="56">
        <f t="shared" si="20"/>
        <v>1</v>
      </c>
      <c r="W108" s="56">
        <f t="shared" si="20"/>
        <v>0</v>
      </c>
      <c r="X108" s="56">
        <f t="shared" si="20"/>
        <v>1</v>
      </c>
      <c r="Y108" s="56">
        <f t="shared" si="20"/>
        <v>0</v>
      </c>
      <c r="Z108" s="56">
        <f t="shared" si="20"/>
        <v>3</v>
      </c>
      <c r="AA108" s="56">
        <f t="shared" si="20"/>
        <v>1</v>
      </c>
      <c r="AB108" s="13">
        <f t="shared" si="12"/>
        <v>19</v>
      </c>
    </row>
    <row r="109" ht="12.75" customHeight="1">
      <c r="A109" s="57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13">
        <f t="shared" si="12"/>
        <v>0</v>
      </c>
    </row>
    <row r="110" ht="12.75" customHeight="1">
      <c r="A110" s="30" t="s">
        <v>37</v>
      </c>
      <c r="B110" s="47" t="s">
        <v>93</v>
      </c>
      <c r="C110" s="48" t="s">
        <v>94</v>
      </c>
      <c r="D110" s="16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/>
      <c r="U110" s="19"/>
      <c r="V110" s="19"/>
      <c r="W110" s="19"/>
      <c r="X110" s="19"/>
      <c r="Y110" s="19"/>
      <c r="Z110" s="19"/>
      <c r="AA110" s="19"/>
      <c r="AB110" s="13">
        <f t="shared" si="12"/>
        <v>0</v>
      </c>
    </row>
    <row r="111" ht="12.75" customHeight="1">
      <c r="A111" s="30"/>
      <c r="B111" s="47">
        <v>1.0</v>
      </c>
      <c r="C111" s="50" t="s">
        <v>95</v>
      </c>
      <c r="D111" s="59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/>
      <c r="U111" s="19"/>
      <c r="V111" s="19"/>
      <c r="W111" s="19"/>
      <c r="X111" s="19"/>
      <c r="Y111" s="19"/>
      <c r="Z111" s="19"/>
      <c r="AA111" s="19"/>
      <c r="AB111" s="13">
        <f t="shared" si="12"/>
        <v>0</v>
      </c>
    </row>
    <row r="112" ht="12.75" customHeight="1">
      <c r="A112" s="30"/>
      <c r="B112" s="47">
        <v>2.0</v>
      </c>
      <c r="C112" s="50" t="s">
        <v>96</v>
      </c>
      <c r="D112" s="59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/>
      <c r="U112" s="19"/>
      <c r="V112" s="19"/>
      <c r="W112" s="19"/>
      <c r="X112" s="19"/>
      <c r="Y112" s="19"/>
      <c r="Z112" s="19"/>
      <c r="AA112" s="19"/>
      <c r="AB112" s="13">
        <f t="shared" si="12"/>
        <v>0</v>
      </c>
    </row>
    <row r="113" ht="12.75" customHeight="1">
      <c r="A113" s="30"/>
      <c r="B113" s="47">
        <v>3.0</v>
      </c>
      <c r="C113" s="50" t="s">
        <v>97</v>
      </c>
      <c r="D113" s="59"/>
      <c r="E113" s="19">
        <v>0.0</v>
      </c>
      <c r="F113" s="19">
        <v>0.0</v>
      </c>
      <c r="G113" s="19">
        <v>0.0</v>
      </c>
      <c r="H113" s="19">
        <v>0.0</v>
      </c>
      <c r="I113" s="19">
        <v>0.0</v>
      </c>
      <c r="J113" s="19">
        <v>0.0</v>
      </c>
      <c r="K113" s="19">
        <v>0.0</v>
      </c>
      <c r="L113" s="19">
        <v>0.0</v>
      </c>
      <c r="M113" s="19">
        <v>0.0</v>
      </c>
      <c r="N113" s="19">
        <v>0.0</v>
      </c>
      <c r="O113" s="19">
        <v>0.0</v>
      </c>
      <c r="P113" s="19">
        <v>0.0</v>
      </c>
      <c r="Q113" s="19">
        <v>0.0</v>
      </c>
      <c r="R113" s="19">
        <v>0.0</v>
      </c>
      <c r="S113" s="19">
        <v>1.0</v>
      </c>
      <c r="T113" s="19"/>
      <c r="U113" s="19"/>
      <c r="V113" s="19"/>
      <c r="W113" s="19"/>
      <c r="X113" s="19"/>
      <c r="Y113" s="19"/>
      <c r="Z113" s="19"/>
      <c r="AA113" s="19"/>
      <c r="AB113" s="13">
        <f t="shared" si="12"/>
        <v>1</v>
      </c>
    </row>
    <row r="114" ht="12.75" customHeight="1">
      <c r="A114" s="30" t="s">
        <v>39</v>
      </c>
      <c r="B114" s="49">
        <v>4.0</v>
      </c>
      <c r="C114" s="50" t="s">
        <v>98</v>
      </c>
      <c r="D114" s="51"/>
      <c r="E114" s="19">
        <v>0.0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9">
        <v>0.0</v>
      </c>
      <c r="N114" s="19">
        <v>0.0</v>
      </c>
      <c r="O114" s="19">
        <v>0.0</v>
      </c>
      <c r="P114" s="19">
        <v>0.0</v>
      </c>
      <c r="Q114" s="19">
        <v>0.0</v>
      </c>
      <c r="R114" s="19">
        <v>0.0</v>
      </c>
      <c r="S114" s="19">
        <v>0.0</v>
      </c>
      <c r="T114" s="19"/>
      <c r="U114" s="19"/>
      <c r="V114" s="19"/>
      <c r="W114" s="19"/>
      <c r="X114" s="19"/>
      <c r="Y114" s="19"/>
      <c r="Z114" s="19"/>
      <c r="AA114" s="19"/>
      <c r="AB114" s="13">
        <f t="shared" si="12"/>
        <v>0</v>
      </c>
    </row>
    <row r="115" ht="12.75" customHeight="1">
      <c r="A115" s="19" t="s">
        <v>15</v>
      </c>
      <c r="B115" s="47" t="s">
        <v>46</v>
      </c>
      <c r="C115" s="15"/>
      <c r="D115" s="16"/>
      <c r="E115" s="56">
        <f t="shared" ref="E115:AA115" si="21">SUM(E110:E114)</f>
        <v>0</v>
      </c>
      <c r="F115" s="56">
        <f t="shared" si="21"/>
        <v>0</v>
      </c>
      <c r="G115" s="56">
        <f t="shared" si="21"/>
        <v>0</v>
      </c>
      <c r="H115" s="56">
        <f t="shared" si="21"/>
        <v>0</v>
      </c>
      <c r="I115" s="56">
        <f t="shared" si="21"/>
        <v>0</v>
      </c>
      <c r="J115" s="56">
        <f t="shared" si="21"/>
        <v>0</v>
      </c>
      <c r="K115" s="56">
        <f t="shared" si="21"/>
        <v>0</v>
      </c>
      <c r="L115" s="56">
        <f t="shared" si="21"/>
        <v>0</v>
      </c>
      <c r="M115" s="56">
        <f t="shared" si="21"/>
        <v>0</v>
      </c>
      <c r="N115" s="56">
        <f t="shared" si="21"/>
        <v>0</v>
      </c>
      <c r="O115" s="56">
        <f t="shared" si="21"/>
        <v>0</v>
      </c>
      <c r="P115" s="56">
        <f t="shared" si="21"/>
        <v>0</v>
      </c>
      <c r="Q115" s="56">
        <f t="shared" si="21"/>
        <v>0</v>
      </c>
      <c r="R115" s="56">
        <f t="shared" si="21"/>
        <v>0</v>
      </c>
      <c r="S115" s="56">
        <f t="shared" si="21"/>
        <v>1</v>
      </c>
      <c r="T115" s="56">
        <f t="shared" si="21"/>
        <v>0</v>
      </c>
      <c r="U115" s="56">
        <f t="shared" si="21"/>
        <v>0</v>
      </c>
      <c r="V115" s="56">
        <f t="shared" si="21"/>
        <v>0</v>
      </c>
      <c r="W115" s="56">
        <f t="shared" si="21"/>
        <v>0</v>
      </c>
      <c r="X115" s="56">
        <f t="shared" si="21"/>
        <v>0</v>
      </c>
      <c r="Y115" s="56">
        <f t="shared" si="21"/>
        <v>0</v>
      </c>
      <c r="Z115" s="56">
        <f t="shared" si="21"/>
        <v>0</v>
      </c>
      <c r="AA115" s="56">
        <f t="shared" si="21"/>
        <v>0</v>
      </c>
      <c r="AB115" s="13">
        <f t="shared" si="12"/>
        <v>1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13">
        <f t="shared" si="12"/>
        <v>0</v>
      </c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>
        <v>0.0</v>
      </c>
      <c r="U117" s="19">
        <v>1.0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3">
        <f t="shared" si="12"/>
        <v>1</v>
      </c>
      <c r="AC117" s="5"/>
      <c r="AD117" s="5"/>
    </row>
    <row r="118" ht="12.75" customHeight="1">
      <c r="A118" s="30" t="s">
        <v>39</v>
      </c>
      <c r="B118" s="49">
        <v>1.0</v>
      </c>
      <c r="C118" s="50" t="s">
        <v>101</v>
      </c>
      <c r="D118" s="51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3">
        <f t="shared" si="12"/>
        <v>0</v>
      </c>
      <c r="AC118" s="5"/>
      <c r="AD118" s="5"/>
    </row>
    <row r="119" ht="12.75" customHeight="1">
      <c r="A119" s="18"/>
      <c r="B119" s="49">
        <v>2.0</v>
      </c>
      <c r="C119" s="50" t="s">
        <v>102</v>
      </c>
      <c r="D119" s="51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3">
        <f t="shared" si="12"/>
        <v>0</v>
      </c>
      <c r="AC119" s="5"/>
      <c r="AD119" s="5"/>
    </row>
    <row r="120" ht="12.75" customHeight="1">
      <c r="A120" s="18"/>
      <c r="B120" s="49">
        <v>3.0</v>
      </c>
      <c r="C120" s="50" t="s">
        <v>103</v>
      </c>
      <c r="D120" s="51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3">
        <f t="shared" si="12"/>
        <v>0</v>
      </c>
      <c r="AC120" s="5"/>
      <c r="AD120" s="5"/>
    </row>
    <row r="121" ht="12.75" customHeight="1">
      <c r="A121" s="18"/>
      <c r="B121" s="49">
        <v>4.0</v>
      </c>
      <c r="C121" s="50" t="s">
        <v>104</v>
      </c>
      <c r="D121" s="5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>
        <v>0.0</v>
      </c>
      <c r="U121" s="19">
        <v>0.0</v>
      </c>
      <c r="V121" s="19">
        <v>0.0</v>
      </c>
      <c r="W121" s="19">
        <v>0.0</v>
      </c>
      <c r="X121" s="19">
        <v>0.0</v>
      </c>
      <c r="Y121" s="19">
        <v>0.0</v>
      </c>
      <c r="Z121" s="19">
        <v>0.0</v>
      </c>
      <c r="AA121" s="19">
        <v>0.0</v>
      </c>
      <c r="AB121" s="13">
        <f t="shared" si="12"/>
        <v>0</v>
      </c>
      <c r="AC121" s="5"/>
      <c r="AD121" s="5"/>
    </row>
    <row r="122" ht="12.75" customHeight="1">
      <c r="A122" s="18"/>
      <c r="B122" s="49">
        <v>5.0</v>
      </c>
      <c r="C122" s="50" t="s">
        <v>105</v>
      </c>
      <c r="D122" s="51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>
        <v>0.0</v>
      </c>
      <c r="U122" s="19">
        <v>0.0</v>
      </c>
      <c r="V122" s="19">
        <v>0.0</v>
      </c>
      <c r="W122" s="19">
        <v>0.0</v>
      </c>
      <c r="X122" s="19">
        <v>0.0</v>
      </c>
      <c r="Y122" s="19">
        <v>0.0</v>
      </c>
      <c r="Z122" s="19">
        <v>0.0</v>
      </c>
      <c r="AA122" s="19">
        <v>0.0</v>
      </c>
      <c r="AB122" s="13">
        <f t="shared" si="12"/>
        <v>0</v>
      </c>
      <c r="AC122" s="5"/>
      <c r="AD122" s="5"/>
    </row>
    <row r="123" ht="12.75" customHeight="1">
      <c r="A123" s="18"/>
      <c r="B123" s="49">
        <v>6.0</v>
      </c>
      <c r="C123" s="50" t="s">
        <v>106</v>
      </c>
      <c r="D123" s="51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>
        <v>0.0</v>
      </c>
      <c r="U123" s="19">
        <v>0.0</v>
      </c>
      <c r="V123" s="19">
        <v>0.0</v>
      </c>
      <c r="W123" s="19">
        <v>0.0</v>
      </c>
      <c r="X123" s="19">
        <v>0.0</v>
      </c>
      <c r="Y123" s="19">
        <v>0.0</v>
      </c>
      <c r="Z123" s="19">
        <v>0.0</v>
      </c>
      <c r="AA123" s="19">
        <v>0.0</v>
      </c>
      <c r="AB123" s="13">
        <f t="shared" si="12"/>
        <v>0</v>
      </c>
      <c r="AC123" s="5"/>
      <c r="AD123" s="5"/>
    </row>
    <row r="124" ht="12.75" customHeight="1">
      <c r="A124" s="19" t="s">
        <v>15</v>
      </c>
      <c r="B124" s="47" t="s">
        <v>46</v>
      </c>
      <c r="C124" s="15"/>
      <c r="D124" s="16"/>
      <c r="E124" s="56">
        <f t="shared" ref="E124:AA124" si="22">SUM(E117:E123)</f>
        <v>0</v>
      </c>
      <c r="F124" s="56">
        <f t="shared" si="22"/>
        <v>0</v>
      </c>
      <c r="G124" s="56">
        <f t="shared" si="22"/>
        <v>0</v>
      </c>
      <c r="H124" s="56">
        <f t="shared" si="22"/>
        <v>0</v>
      </c>
      <c r="I124" s="56">
        <f t="shared" si="22"/>
        <v>0</v>
      </c>
      <c r="J124" s="56">
        <f t="shared" si="22"/>
        <v>0</v>
      </c>
      <c r="K124" s="56">
        <f t="shared" si="22"/>
        <v>0</v>
      </c>
      <c r="L124" s="56">
        <f t="shared" si="22"/>
        <v>0</v>
      </c>
      <c r="M124" s="56">
        <f t="shared" si="22"/>
        <v>0</v>
      </c>
      <c r="N124" s="56">
        <f t="shared" si="22"/>
        <v>0</v>
      </c>
      <c r="O124" s="56">
        <f t="shared" si="22"/>
        <v>0</v>
      </c>
      <c r="P124" s="56">
        <f t="shared" si="22"/>
        <v>0</v>
      </c>
      <c r="Q124" s="56">
        <f t="shared" si="22"/>
        <v>0</v>
      </c>
      <c r="R124" s="56">
        <f t="shared" si="22"/>
        <v>0</v>
      </c>
      <c r="S124" s="56">
        <f t="shared" si="22"/>
        <v>0</v>
      </c>
      <c r="T124" s="56">
        <f t="shared" si="22"/>
        <v>0</v>
      </c>
      <c r="U124" s="56">
        <f t="shared" si="22"/>
        <v>1</v>
      </c>
      <c r="V124" s="56">
        <f t="shared" si="22"/>
        <v>0</v>
      </c>
      <c r="W124" s="56">
        <f t="shared" si="22"/>
        <v>0</v>
      </c>
      <c r="X124" s="56">
        <f t="shared" si="22"/>
        <v>0</v>
      </c>
      <c r="Y124" s="56">
        <f t="shared" si="22"/>
        <v>0</v>
      </c>
      <c r="Z124" s="56">
        <f t="shared" si="22"/>
        <v>0</v>
      </c>
      <c r="AA124" s="56">
        <f t="shared" si="22"/>
        <v>0</v>
      </c>
      <c r="AB124" s="13">
        <f t="shared" si="12"/>
        <v>1</v>
      </c>
      <c r="AC124" s="5"/>
      <c r="AD124" s="5"/>
    </row>
    <row r="125" ht="12.75" customHeight="1">
      <c r="A125" s="57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13">
        <f t="shared" si="12"/>
        <v>0</v>
      </c>
      <c r="AC125" s="5"/>
      <c r="AD125" s="5"/>
    </row>
    <row r="126" ht="12.75" customHeight="1">
      <c r="A126" s="30" t="s">
        <v>37</v>
      </c>
      <c r="B126" s="47" t="s">
        <v>107</v>
      </c>
      <c r="C126" s="48" t="s">
        <v>108</v>
      </c>
      <c r="D126" s="16"/>
      <c r="E126" s="19">
        <v>0.0</v>
      </c>
      <c r="F126" s="19">
        <v>1.0</v>
      </c>
      <c r="G126" s="19">
        <v>1.0</v>
      </c>
      <c r="H126" s="19">
        <v>0.0</v>
      </c>
      <c r="I126" s="19">
        <v>0.0</v>
      </c>
      <c r="J126" s="19">
        <v>0.0</v>
      </c>
      <c r="K126" s="19">
        <v>0.0</v>
      </c>
      <c r="L126" s="19">
        <v>0.0</v>
      </c>
      <c r="M126" s="19">
        <v>0.0</v>
      </c>
      <c r="N126" s="19">
        <v>0.0</v>
      </c>
      <c r="O126" s="19">
        <v>0.0</v>
      </c>
      <c r="P126" s="19">
        <v>0.0</v>
      </c>
      <c r="Q126" s="19">
        <v>0.0</v>
      </c>
      <c r="R126" s="19">
        <v>0.0</v>
      </c>
      <c r="S126" s="19">
        <v>1.0</v>
      </c>
      <c r="T126" s="19"/>
      <c r="U126" s="19"/>
      <c r="V126" s="19"/>
      <c r="W126" s="19"/>
      <c r="X126" s="19"/>
      <c r="Y126" s="19"/>
      <c r="Z126" s="19"/>
      <c r="AA126" s="19"/>
      <c r="AB126" s="13">
        <f t="shared" si="12"/>
        <v>3</v>
      </c>
      <c r="AC126" s="5"/>
      <c r="AD126" s="5"/>
    </row>
    <row r="127" ht="15.0" customHeight="1">
      <c r="A127" s="30" t="s">
        <v>39</v>
      </c>
      <c r="B127" s="49"/>
      <c r="C127" s="50"/>
      <c r="D127" s="51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3">
        <f t="shared" si="12"/>
        <v>0</v>
      </c>
      <c r="AC127" s="5"/>
      <c r="AD127" s="5"/>
    </row>
    <row r="128" ht="12.75" customHeight="1">
      <c r="A128" s="19" t="s">
        <v>15</v>
      </c>
      <c r="B128" s="47" t="s">
        <v>46</v>
      </c>
      <c r="C128" s="15"/>
      <c r="D128" s="16"/>
      <c r="E128" s="56">
        <f t="shared" ref="E128:AA128" si="23">SUM(E126:E127)</f>
        <v>0</v>
      </c>
      <c r="F128" s="56">
        <f t="shared" si="23"/>
        <v>1</v>
      </c>
      <c r="G128" s="56">
        <f t="shared" si="23"/>
        <v>1</v>
      </c>
      <c r="H128" s="56">
        <f t="shared" si="23"/>
        <v>0</v>
      </c>
      <c r="I128" s="56">
        <f t="shared" si="23"/>
        <v>0</v>
      </c>
      <c r="J128" s="56">
        <f t="shared" si="23"/>
        <v>0</v>
      </c>
      <c r="K128" s="56">
        <f t="shared" si="23"/>
        <v>0</v>
      </c>
      <c r="L128" s="56">
        <f t="shared" si="23"/>
        <v>0</v>
      </c>
      <c r="M128" s="56">
        <f t="shared" si="23"/>
        <v>0</v>
      </c>
      <c r="N128" s="56">
        <f t="shared" si="23"/>
        <v>0</v>
      </c>
      <c r="O128" s="56">
        <f t="shared" si="23"/>
        <v>0</v>
      </c>
      <c r="P128" s="56">
        <f t="shared" si="23"/>
        <v>0</v>
      </c>
      <c r="Q128" s="56">
        <f t="shared" si="23"/>
        <v>0</v>
      </c>
      <c r="R128" s="56">
        <f t="shared" si="23"/>
        <v>0</v>
      </c>
      <c r="S128" s="56">
        <f t="shared" si="23"/>
        <v>1</v>
      </c>
      <c r="T128" s="56">
        <f t="shared" si="23"/>
        <v>0</v>
      </c>
      <c r="U128" s="56">
        <f t="shared" si="23"/>
        <v>0</v>
      </c>
      <c r="V128" s="56">
        <f t="shared" si="23"/>
        <v>0</v>
      </c>
      <c r="W128" s="56">
        <f t="shared" si="23"/>
        <v>0</v>
      </c>
      <c r="X128" s="56">
        <f t="shared" si="23"/>
        <v>0</v>
      </c>
      <c r="Y128" s="56">
        <f t="shared" si="23"/>
        <v>0</v>
      </c>
      <c r="Z128" s="56">
        <f t="shared" si="23"/>
        <v>0</v>
      </c>
      <c r="AA128" s="56">
        <f t="shared" si="23"/>
        <v>0</v>
      </c>
      <c r="AB128" s="13">
        <f t="shared" si="12"/>
        <v>3</v>
      </c>
      <c r="AC128" s="5"/>
      <c r="AD128" s="5"/>
    </row>
    <row r="129" ht="12.75" customHeight="1">
      <c r="A129" s="57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13">
        <f t="shared" si="12"/>
        <v>0</v>
      </c>
      <c r="AC129" s="5"/>
      <c r="AD129" s="5"/>
    </row>
    <row r="130" ht="12.75" customHeight="1">
      <c r="A130" s="30" t="s">
        <v>37</v>
      </c>
      <c r="B130" s="47" t="s">
        <v>109</v>
      </c>
      <c r="C130" s="48" t="s">
        <v>110</v>
      </c>
      <c r="D130" s="16"/>
      <c r="E130" s="19">
        <v>1.0</v>
      </c>
      <c r="F130" s="19">
        <v>1.0</v>
      </c>
      <c r="G130" s="19">
        <v>2.0</v>
      </c>
      <c r="H130" s="19">
        <v>0.0</v>
      </c>
      <c r="I130" s="19">
        <v>0.0</v>
      </c>
      <c r="J130" s="19">
        <v>0.0</v>
      </c>
      <c r="K130" s="19">
        <v>0.0</v>
      </c>
      <c r="L130" s="19">
        <v>0.0</v>
      </c>
      <c r="M130" s="19">
        <v>0.0</v>
      </c>
      <c r="N130" s="19">
        <v>0.0</v>
      </c>
      <c r="O130" s="19">
        <v>0.0</v>
      </c>
      <c r="P130" s="19">
        <v>0.0</v>
      </c>
      <c r="Q130" s="19">
        <v>0.0</v>
      </c>
      <c r="R130" s="19">
        <v>0.0</v>
      </c>
      <c r="S130" s="19">
        <v>0.0</v>
      </c>
      <c r="T130" s="19">
        <v>0.0</v>
      </c>
      <c r="U130" s="19">
        <v>0.0</v>
      </c>
      <c r="V130" s="19">
        <v>0.0</v>
      </c>
      <c r="W130" s="19">
        <v>0.0</v>
      </c>
      <c r="X130" s="19">
        <v>0.0</v>
      </c>
      <c r="Y130" s="19">
        <v>1.0</v>
      </c>
      <c r="Z130" s="19">
        <v>0.0</v>
      </c>
      <c r="AA130" s="19">
        <v>0.0</v>
      </c>
      <c r="AB130" s="13">
        <f t="shared" si="12"/>
        <v>5</v>
      </c>
      <c r="AC130" s="1"/>
      <c r="AD130" s="1"/>
    </row>
    <row r="131" ht="12.75" customHeight="1">
      <c r="A131" s="30" t="s">
        <v>39</v>
      </c>
      <c r="B131" s="49">
        <v>1.0</v>
      </c>
      <c r="C131" s="50" t="s">
        <v>111</v>
      </c>
      <c r="D131" s="51"/>
      <c r="E131" s="19">
        <v>1.0</v>
      </c>
      <c r="F131" s="19">
        <v>1.0</v>
      </c>
      <c r="G131" s="19">
        <v>0.0</v>
      </c>
      <c r="H131" s="19">
        <v>0.0</v>
      </c>
      <c r="I131" s="19">
        <v>2.0</v>
      </c>
      <c r="J131" s="19">
        <v>0.0</v>
      </c>
      <c r="K131" s="19">
        <v>0.0</v>
      </c>
      <c r="L131" s="19">
        <v>0.0</v>
      </c>
      <c r="M131" s="19">
        <v>0.0</v>
      </c>
      <c r="N131" s="19">
        <v>3.0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1.0</v>
      </c>
      <c r="X131" s="19">
        <v>0.0</v>
      </c>
      <c r="Y131" s="19">
        <v>1.0</v>
      </c>
      <c r="Z131" s="19">
        <v>0.0</v>
      </c>
      <c r="AA131" s="19">
        <v>0.0</v>
      </c>
      <c r="AB131" s="13">
        <f t="shared" si="12"/>
        <v>9</v>
      </c>
      <c r="AC131" s="53"/>
      <c r="AD131" s="53"/>
    </row>
    <row r="132" ht="12.75" customHeight="1">
      <c r="A132" s="18"/>
      <c r="B132" s="49">
        <v>2.0</v>
      </c>
      <c r="C132" s="50" t="s">
        <v>112</v>
      </c>
      <c r="D132" s="51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1.0</v>
      </c>
      <c r="AB132" s="13">
        <f t="shared" si="12"/>
        <v>1</v>
      </c>
      <c r="AC132" s="5"/>
      <c r="AD132" s="5"/>
    </row>
    <row r="133" ht="12.75" customHeight="1">
      <c r="A133" s="18"/>
      <c r="B133" s="49">
        <v>3.0</v>
      </c>
      <c r="C133" s="50" t="s">
        <v>113</v>
      </c>
      <c r="D133" s="5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1.0</v>
      </c>
      <c r="Z133" s="19">
        <v>0.0</v>
      </c>
      <c r="AA133" s="19">
        <v>0.0</v>
      </c>
      <c r="AB133" s="13">
        <f t="shared" si="12"/>
        <v>1</v>
      </c>
      <c r="AC133" s="5"/>
      <c r="AD133" s="5"/>
    </row>
    <row r="134" ht="12.75" customHeight="1">
      <c r="A134" s="18"/>
      <c r="B134" s="49">
        <v>4.0</v>
      </c>
      <c r="C134" s="50" t="s">
        <v>114</v>
      </c>
      <c r="D134" s="51"/>
      <c r="E134" s="19">
        <v>0.0</v>
      </c>
      <c r="F134" s="19">
        <v>1.0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1.0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3">
        <f t="shared" si="12"/>
        <v>2</v>
      </c>
      <c r="AC134" s="5"/>
      <c r="AD134" s="5"/>
    </row>
    <row r="135" ht="12.75" customHeight="1">
      <c r="A135" s="19" t="s">
        <v>15</v>
      </c>
      <c r="B135" s="47" t="s">
        <v>46</v>
      </c>
      <c r="C135" s="15"/>
      <c r="D135" s="16"/>
      <c r="E135" s="56">
        <f t="shared" ref="E135:AA135" si="24">SUM(E130:E134)</f>
        <v>2</v>
      </c>
      <c r="F135" s="56">
        <f t="shared" si="24"/>
        <v>3</v>
      </c>
      <c r="G135" s="56">
        <f t="shared" si="24"/>
        <v>2</v>
      </c>
      <c r="H135" s="56">
        <f t="shared" si="24"/>
        <v>0</v>
      </c>
      <c r="I135" s="56">
        <f t="shared" si="24"/>
        <v>2</v>
      </c>
      <c r="J135" s="56">
        <f t="shared" si="24"/>
        <v>0</v>
      </c>
      <c r="K135" s="56">
        <f t="shared" si="24"/>
        <v>0</v>
      </c>
      <c r="L135" s="56">
        <f t="shared" si="24"/>
        <v>0</v>
      </c>
      <c r="M135" s="56">
        <f t="shared" si="24"/>
        <v>0</v>
      </c>
      <c r="N135" s="56">
        <f t="shared" si="24"/>
        <v>3</v>
      </c>
      <c r="O135" s="56">
        <f t="shared" si="24"/>
        <v>0</v>
      </c>
      <c r="P135" s="56">
        <f t="shared" si="24"/>
        <v>0</v>
      </c>
      <c r="Q135" s="56">
        <f t="shared" si="24"/>
        <v>1</v>
      </c>
      <c r="R135" s="56">
        <f t="shared" si="24"/>
        <v>0</v>
      </c>
      <c r="S135" s="56">
        <f t="shared" si="24"/>
        <v>0</v>
      </c>
      <c r="T135" s="56">
        <f t="shared" si="24"/>
        <v>0</v>
      </c>
      <c r="U135" s="56">
        <f t="shared" si="24"/>
        <v>0</v>
      </c>
      <c r="V135" s="56">
        <f t="shared" si="24"/>
        <v>0</v>
      </c>
      <c r="W135" s="56">
        <f t="shared" si="24"/>
        <v>1</v>
      </c>
      <c r="X135" s="56">
        <f t="shared" si="24"/>
        <v>0</v>
      </c>
      <c r="Y135" s="56">
        <f t="shared" si="24"/>
        <v>3</v>
      </c>
      <c r="Z135" s="56">
        <f t="shared" si="24"/>
        <v>0</v>
      </c>
      <c r="AA135" s="56">
        <f t="shared" si="24"/>
        <v>1</v>
      </c>
      <c r="AB135" s="13">
        <f t="shared" si="12"/>
        <v>18</v>
      </c>
      <c r="AC135" s="5"/>
      <c r="AD135" s="5"/>
    </row>
    <row r="136" ht="12.75" customHeight="1">
      <c r="A136" s="57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13">
        <f t="shared" si="12"/>
        <v>0</v>
      </c>
      <c r="AC136" s="5"/>
      <c r="AD136" s="5"/>
    </row>
    <row r="137" ht="12.75" customHeight="1">
      <c r="A137" s="30" t="s">
        <v>37</v>
      </c>
      <c r="B137" s="47" t="s">
        <v>115</v>
      </c>
      <c r="C137" s="48" t="s">
        <v>116</v>
      </c>
      <c r="D137" s="16"/>
      <c r="E137" s="19">
        <v>0.0</v>
      </c>
      <c r="F137" s="19">
        <v>0.0</v>
      </c>
      <c r="G137" s="19">
        <v>0.0</v>
      </c>
      <c r="H137" s="19">
        <v>0.0</v>
      </c>
      <c r="I137" s="19">
        <v>0.0</v>
      </c>
      <c r="J137" s="19">
        <v>0.0</v>
      </c>
      <c r="K137" s="19">
        <v>0.0</v>
      </c>
      <c r="L137" s="19">
        <v>0.0</v>
      </c>
      <c r="M137" s="19">
        <v>0.0</v>
      </c>
      <c r="N137" s="19">
        <v>0.0</v>
      </c>
      <c r="O137" s="19">
        <v>0.0</v>
      </c>
      <c r="P137" s="19">
        <v>0.0</v>
      </c>
      <c r="Q137" s="19">
        <v>0.0</v>
      </c>
      <c r="R137" s="19">
        <v>0.0</v>
      </c>
      <c r="S137" s="19">
        <v>0.0</v>
      </c>
      <c r="T137" s="19">
        <v>0.0</v>
      </c>
      <c r="U137" s="19">
        <v>0.0</v>
      </c>
      <c r="V137" s="19">
        <v>0.0</v>
      </c>
      <c r="W137" s="19">
        <v>0.0</v>
      </c>
      <c r="X137" s="19">
        <v>0.0</v>
      </c>
      <c r="Y137" s="19">
        <v>0.0</v>
      </c>
      <c r="Z137" s="19">
        <v>0.0</v>
      </c>
      <c r="AA137" s="19">
        <v>0.0</v>
      </c>
      <c r="AB137" s="13">
        <f t="shared" si="12"/>
        <v>0</v>
      </c>
      <c r="AC137" s="5"/>
      <c r="AD137" s="5"/>
    </row>
    <row r="138" ht="12.75" customHeight="1">
      <c r="A138" s="30" t="s">
        <v>39</v>
      </c>
      <c r="B138" s="49">
        <v>1.0</v>
      </c>
      <c r="C138" s="50" t="s">
        <v>117</v>
      </c>
      <c r="D138" s="51"/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0.0</v>
      </c>
      <c r="K138" s="19">
        <v>0.0</v>
      </c>
      <c r="L138" s="19">
        <v>0.0</v>
      </c>
      <c r="M138" s="19">
        <v>0.0</v>
      </c>
      <c r="N138" s="19">
        <v>0.0</v>
      </c>
      <c r="O138" s="19">
        <v>0.0</v>
      </c>
      <c r="P138" s="19">
        <v>0.0</v>
      </c>
      <c r="Q138" s="19">
        <v>0.0</v>
      </c>
      <c r="R138" s="19">
        <v>0.0</v>
      </c>
      <c r="S138" s="19">
        <v>0.0</v>
      </c>
      <c r="T138" s="19">
        <v>0.0</v>
      </c>
      <c r="U138" s="19">
        <v>0.0</v>
      </c>
      <c r="V138" s="19">
        <v>0.0</v>
      </c>
      <c r="W138" s="19">
        <v>0.0</v>
      </c>
      <c r="X138" s="19">
        <v>0.0</v>
      </c>
      <c r="Y138" s="19">
        <v>0.0</v>
      </c>
      <c r="Z138" s="19">
        <v>0.0</v>
      </c>
      <c r="AA138" s="19">
        <v>0.0</v>
      </c>
      <c r="AB138" s="13">
        <f t="shared" si="12"/>
        <v>0</v>
      </c>
      <c r="AC138" s="5"/>
      <c r="AD138" s="5"/>
    </row>
    <row r="139" ht="15.0" customHeight="1">
      <c r="A139" s="18"/>
      <c r="B139" s="49">
        <v>2.0</v>
      </c>
      <c r="C139" s="50" t="s">
        <v>118</v>
      </c>
      <c r="D139" s="51"/>
      <c r="E139" s="19">
        <v>0.0</v>
      </c>
      <c r="F139" s="19">
        <v>0.0</v>
      </c>
      <c r="G139" s="19">
        <v>0.0</v>
      </c>
      <c r="H139" s="19">
        <v>0.0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19">
        <v>0.0</v>
      </c>
      <c r="Q139" s="19">
        <v>0.0</v>
      </c>
      <c r="R139" s="19">
        <v>0.0</v>
      </c>
      <c r="S139" s="19">
        <v>0.0</v>
      </c>
      <c r="T139" s="19">
        <v>0.0</v>
      </c>
      <c r="U139" s="19">
        <v>0.0</v>
      </c>
      <c r="V139" s="19">
        <v>0.0</v>
      </c>
      <c r="W139" s="19">
        <v>0.0</v>
      </c>
      <c r="X139" s="19">
        <v>0.0</v>
      </c>
      <c r="Y139" s="19">
        <v>1.0</v>
      </c>
      <c r="Z139" s="19">
        <v>0.0</v>
      </c>
      <c r="AA139" s="19">
        <v>1.0</v>
      </c>
      <c r="AB139" s="13">
        <f t="shared" si="12"/>
        <v>2</v>
      </c>
      <c r="AC139" s="5"/>
      <c r="AD139" s="5"/>
    </row>
    <row r="140" ht="12.75" customHeight="1">
      <c r="A140" s="18"/>
      <c r="B140" s="49">
        <v>3.0</v>
      </c>
      <c r="C140" s="50" t="s">
        <v>119</v>
      </c>
      <c r="D140" s="51"/>
      <c r="E140" s="19">
        <v>0.0</v>
      </c>
      <c r="F140" s="19">
        <v>0.0</v>
      </c>
      <c r="G140" s="19">
        <v>0.0</v>
      </c>
      <c r="H140" s="19">
        <v>0.0</v>
      </c>
      <c r="I140" s="19">
        <v>0.0</v>
      </c>
      <c r="J140" s="19">
        <v>0.0</v>
      </c>
      <c r="K140" s="19">
        <v>0.0</v>
      </c>
      <c r="L140" s="19">
        <v>0.0</v>
      </c>
      <c r="M140" s="19">
        <v>0.0</v>
      </c>
      <c r="N140" s="19">
        <v>1.0</v>
      </c>
      <c r="O140" s="19">
        <v>0.0</v>
      </c>
      <c r="P140" s="19">
        <v>0.0</v>
      </c>
      <c r="Q140" s="19">
        <v>0.0</v>
      </c>
      <c r="R140" s="19">
        <v>0.0</v>
      </c>
      <c r="S140" s="19">
        <v>0.0</v>
      </c>
      <c r="T140" s="19">
        <v>0.0</v>
      </c>
      <c r="U140" s="19">
        <v>0.0</v>
      </c>
      <c r="V140" s="19">
        <v>0.0</v>
      </c>
      <c r="W140" s="19">
        <v>0.0</v>
      </c>
      <c r="X140" s="19">
        <v>0.0</v>
      </c>
      <c r="Y140" s="19">
        <v>0.0</v>
      </c>
      <c r="Z140" s="19">
        <v>0.0</v>
      </c>
      <c r="AA140" s="19">
        <v>0.0</v>
      </c>
      <c r="AB140" s="13">
        <f t="shared" si="12"/>
        <v>1</v>
      </c>
      <c r="AC140" s="5"/>
      <c r="AD140" s="5"/>
    </row>
    <row r="141" ht="12.75" customHeight="1">
      <c r="A141" s="18"/>
      <c r="B141" s="49">
        <v>4.0</v>
      </c>
      <c r="C141" s="50" t="s">
        <v>120</v>
      </c>
      <c r="D141" s="51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3">
        <f t="shared" si="12"/>
        <v>0</v>
      </c>
      <c r="AC141" s="1"/>
      <c r="AD141" s="1"/>
    </row>
    <row r="142" ht="12.75" customHeight="1">
      <c r="A142" s="18"/>
      <c r="B142" s="49">
        <v>5.0</v>
      </c>
      <c r="C142" s="50" t="s">
        <v>121</v>
      </c>
      <c r="D142" s="5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3">
        <f t="shared" si="12"/>
        <v>0</v>
      </c>
      <c r="AC142" s="53"/>
      <c r="AD142" s="53"/>
    </row>
    <row r="143" ht="12.75" customHeight="1">
      <c r="A143" s="18"/>
      <c r="B143" s="49">
        <v>6.0</v>
      </c>
      <c r="C143" s="50" t="s">
        <v>122</v>
      </c>
      <c r="D143" s="5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3">
        <f t="shared" si="12"/>
        <v>0</v>
      </c>
      <c r="AC143" s="5"/>
      <c r="AD143" s="5"/>
    </row>
    <row r="144" ht="12.75" customHeight="1">
      <c r="A144" s="19" t="s">
        <v>15</v>
      </c>
      <c r="B144" s="47" t="s">
        <v>46</v>
      </c>
      <c r="C144" s="15"/>
      <c r="D144" s="16"/>
      <c r="E144" s="56">
        <f t="shared" ref="E144:AA144" si="25">SUM(E137:E143)</f>
        <v>0</v>
      </c>
      <c r="F144" s="56">
        <f t="shared" si="25"/>
        <v>0</v>
      </c>
      <c r="G144" s="56">
        <f t="shared" si="25"/>
        <v>0</v>
      </c>
      <c r="H144" s="56">
        <f t="shared" si="25"/>
        <v>0</v>
      </c>
      <c r="I144" s="56">
        <f t="shared" si="25"/>
        <v>0</v>
      </c>
      <c r="J144" s="56">
        <f t="shared" si="25"/>
        <v>0</v>
      </c>
      <c r="K144" s="56">
        <f t="shared" si="25"/>
        <v>0</v>
      </c>
      <c r="L144" s="56">
        <f t="shared" si="25"/>
        <v>0</v>
      </c>
      <c r="M144" s="56">
        <f t="shared" si="25"/>
        <v>0</v>
      </c>
      <c r="N144" s="56">
        <f t="shared" si="25"/>
        <v>1</v>
      </c>
      <c r="O144" s="56">
        <f t="shared" si="25"/>
        <v>0</v>
      </c>
      <c r="P144" s="56">
        <f t="shared" si="25"/>
        <v>0</v>
      </c>
      <c r="Q144" s="56">
        <f t="shared" si="25"/>
        <v>0</v>
      </c>
      <c r="R144" s="56">
        <f t="shared" si="25"/>
        <v>0</v>
      </c>
      <c r="S144" s="56">
        <f t="shared" si="25"/>
        <v>0</v>
      </c>
      <c r="T144" s="56">
        <f t="shared" si="25"/>
        <v>0</v>
      </c>
      <c r="U144" s="56">
        <f t="shared" si="25"/>
        <v>0</v>
      </c>
      <c r="V144" s="56">
        <f t="shared" si="25"/>
        <v>0</v>
      </c>
      <c r="W144" s="56">
        <f t="shared" si="25"/>
        <v>0</v>
      </c>
      <c r="X144" s="56">
        <f t="shared" si="25"/>
        <v>0</v>
      </c>
      <c r="Y144" s="56">
        <f t="shared" si="25"/>
        <v>1</v>
      </c>
      <c r="Z144" s="56">
        <f t="shared" si="25"/>
        <v>0</v>
      </c>
      <c r="AA144" s="56">
        <f t="shared" si="25"/>
        <v>1</v>
      </c>
      <c r="AB144" s="13">
        <f t="shared" si="12"/>
        <v>3</v>
      </c>
      <c r="AC144" s="5"/>
      <c r="AD144" s="5"/>
    </row>
    <row r="145" ht="12.75" customHeight="1">
      <c r="A145" s="57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13">
        <f t="shared" si="12"/>
        <v>0</v>
      </c>
      <c r="AC145" s="5"/>
      <c r="AD145" s="5"/>
    </row>
    <row r="146" ht="12.75" customHeight="1">
      <c r="A146" s="30" t="s">
        <v>37</v>
      </c>
      <c r="B146" s="47" t="s">
        <v>123</v>
      </c>
      <c r="C146" s="48" t="s">
        <v>124</v>
      </c>
      <c r="D146" s="16"/>
      <c r="E146" s="19">
        <v>1.0</v>
      </c>
      <c r="F146" s="19">
        <v>2.0</v>
      </c>
      <c r="G146" s="19">
        <v>0.0</v>
      </c>
      <c r="H146" s="19">
        <v>0.0</v>
      </c>
      <c r="I146" s="19">
        <v>0.0</v>
      </c>
      <c r="J146" s="19">
        <v>1.0</v>
      </c>
      <c r="K146" s="19">
        <v>0.0</v>
      </c>
      <c r="L146" s="19">
        <v>2.0</v>
      </c>
      <c r="M146" s="19">
        <v>1.0</v>
      </c>
      <c r="N146" s="19">
        <v>0.0</v>
      </c>
      <c r="O146" s="19">
        <v>3.0</v>
      </c>
      <c r="P146" s="19">
        <v>0.0</v>
      </c>
      <c r="Q146" s="19">
        <v>1.0</v>
      </c>
      <c r="R146" s="19">
        <v>1.0</v>
      </c>
      <c r="S146" s="19">
        <v>0.0</v>
      </c>
      <c r="T146" s="19">
        <v>2.0</v>
      </c>
      <c r="U146" s="19">
        <v>4.0</v>
      </c>
      <c r="V146" s="19">
        <v>0.0</v>
      </c>
      <c r="W146" s="19">
        <v>0.0</v>
      </c>
      <c r="X146" s="19">
        <v>3.0</v>
      </c>
      <c r="Y146" s="19">
        <v>0.0</v>
      </c>
      <c r="Z146" s="19">
        <v>0.0</v>
      </c>
      <c r="AA146" s="19">
        <v>1.0</v>
      </c>
      <c r="AB146" s="13">
        <f t="shared" si="12"/>
        <v>22</v>
      </c>
      <c r="AC146" s="5"/>
      <c r="AD146" s="5"/>
    </row>
    <row r="147" ht="12.75" customHeight="1">
      <c r="A147" s="30" t="s">
        <v>39</v>
      </c>
      <c r="B147" s="49">
        <v>1.0</v>
      </c>
      <c r="C147" s="50" t="s">
        <v>125</v>
      </c>
      <c r="D147" s="51"/>
      <c r="E147" s="19">
        <v>20.0</v>
      </c>
      <c r="F147" s="19">
        <v>10.0</v>
      </c>
      <c r="G147" s="19">
        <v>15.0</v>
      </c>
      <c r="H147" s="19">
        <v>5.0</v>
      </c>
      <c r="I147" s="19">
        <v>9.0</v>
      </c>
      <c r="J147" s="19">
        <v>7.0</v>
      </c>
      <c r="K147" s="19">
        <v>11.0</v>
      </c>
      <c r="L147" s="19">
        <v>7.0</v>
      </c>
      <c r="M147" s="19">
        <v>5.0</v>
      </c>
      <c r="N147" s="19">
        <v>5.0</v>
      </c>
      <c r="O147" s="19">
        <v>2.0</v>
      </c>
      <c r="P147" s="19">
        <v>0.0</v>
      </c>
      <c r="Q147" s="19">
        <v>4.0</v>
      </c>
      <c r="R147" s="19">
        <v>7.0</v>
      </c>
      <c r="S147" s="19">
        <v>1.0</v>
      </c>
      <c r="T147" s="19">
        <v>2.0</v>
      </c>
      <c r="U147" s="19">
        <v>4.0</v>
      </c>
      <c r="V147" s="19">
        <v>4.0</v>
      </c>
      <c r="W147" s="19">
        <v>2.0</v>
      </c>
      <c r="X147" s="19">
        <v>4.0</v>
      </c>
      <c r="Y147" s="19">
        <v>2.0</v>
      </c>
      <c r="Z147" s="19">
        <v>1.0</v>
      </c>
      <c r="AA147" s="19">
        <v>6.0</v>
      </c>
      <c r="AB147" s="13">
        <f t="shared" si="12"/>
        <v>133</v>
      </c>
      <c r="AC147" s="5"/>
      <c r="AD147" s="5"/>
    </row>
    <row r="148" ht="12.75" customHeight="1">
      <c r="A148" s="18"/>
      <c r="B148" s="49">
        <v>2.0</v>
      </c>
      <c r="C148" s="50" t="s">
        <v>126</v>
      </c>
      <c r="D148" s="51"/>
      <c r="E148" s="19">
        <v>0.0</v>
      </c>
      <c r="F148" s="19">
        <v>1.0</v>
      </c>
      <c r="G148" s="19">
        <v>2.0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1.0</v>
      </c>
      <c r="R148" s="19">
        <v>1.0</v>
      </c>
      <c r="S148" s="19">
        <v>0.0</v>
      </c>
      <c r="T148" s="19">
        <v>1.0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1.0</v>
      </c>
      <c r="AA148" s="19">
        <v>0.0</v>
      </c>
      <c r="AB148" s="13">
        <f t="shared" si="12"/>
        <v>7</v>
      </c>
      <c r="AC148" s="5"/>
      <c r="AD148" s="5"/>
    </row>
    <row r="149" ht="12.75" customHeight="1">
      <c r="A149" s="18"/>
      <c r="B149" s="49">
        <v>3.0</v>
      </c>
      <c r="C149" s="50" t="s">
        <v>127</v>
      </c>
      <c r="D149" s="51"/>
      <c r="E149" s="19">
        <v>0.0</v>
      </c>
      <c r="F149" s="19">
        <v>2.0</v>
      </c>
      <c r="G149" s="19">
        <v>1.0</v>
      </c>
      <c r="H149" s="19">
        <v>0.0</v>
      </c>
      <c r="I149" s="19">
        <v>0.0</v>
      </c>
      <c r="J149" s="19">
        <v>1.0</v>
      </c>
      <c r="K149" s="19">
        <v>0.0</v>
      </c>
      <c r="L149" s="19">
        <v>1.0</v>
      </c>
      <c r="M149" s="19">
        <v>0.0</v>
      </c>
      <c r="N149" s="19">
        <v>0.0</v>
      </c>
      <c r="O149" s="19">
        <v>0.0</v>
      </c>
      <c r="P149" s="19">
        <v>0.0</v>
      </c>
      <c r="Q149" s="19">
        <v>1.0</v>
      </c>
      <c r="R149" s="19">
        <v>1.0</v>
      </c>
      <c r="S149" s="19">
        <v>2.0</v>
      </c>
      <c r="T149" s="19">
        <v>6.0</v>
      </c>
      <c r="U149" s="19">
        <v>9.0</v>
      </c>
      <c r="V149" s="19">
        <v>0.0</v>
      </c>
      <c r="W149" s="19">
        <v>4.0</v>
      </c>
      <c r="X149" s="19">
        <v>0.0</v>
      </c>
      <c r="Y149" s="19">
        <v>0.0</v>
      </c>
      <c r="Z149" s="19">
        <v>1.0</v>
      </c>
      <c r="AA149" s="19">
        <v>3.0</v>
      </c>
      <c r="AB149" s="13">
        <f t="shared" si="12"/>
        <v>32</v>
      </c>
      <c r="AC149" s="5"/>
      <c r="AD149" s="5"/>
    </row>
    <row r="150" ht="12.75" customHeight="1">
      <c r="A150" s="18"/>
      <c r="B150" s="49">
        <v>4.0</v>
      </c>
      <c r="C150" s="50" t="s">
        <v>128</v>
      </c>
      <c r="D150" s="51"/>
      <c r="E150" s="19">
        <v>0.0</v>
      </c>
      <c r="F150" s="19">
        <v>0.0</v>
      </c>
      <c r="G150" s="19">
        <v>0.0</v>
      </c>
      <c r="H150" s="19">
        <v>0.0</v>
      </c>
      <c r="I150" s="19">
        <v>0.0</v>
      </c>
      <c r="J150" s="19">
        <v>0.0</v>
      </c>
      <c r="K150" s="19">
        <v>0.0</v>
      </c>
      <c r="L150" s="19">
        <v>0.0</v>
      </c>
      <c r="M150" s="19">
        <v>0.0</v>
      </c>
      <c r="N150" s="19">
        <v>0.0</v>
      </c>
      <c r="O150" s="19">
        <v>0.0</v>
      </c>
      <c r="P150" s="19">
        <v>0.0</v>
      </c>
      <c r="Q150" s="19">
        <v>0.0</v>
      </c>
      <c r="R150" s="19">
        <v>0.0</v>
      </c>
      <c r="S150" s="19">
        <v>0.0</v>
      </c>
      <c r="T150" s="19">
        <v>0.0</v>
      </c>
      <c r="U150" s="19">
        <v>0.0</v>
      </c>
      <c r="V150" s="19">
        <v>0.0</v>
      </c>
      <c r="W150" s="19">
        <v>0.0</v>
      </c>
      <c r="X150" s="19">
        <v>0.0</v>
      </c>
      <c r="Y150" s="19">
        <v>0.0</v>
      </c>
      <c r="Z150" s="19">
        <v>0.0</v>
      </c>
      <c r="AA150" s="19">
        <v>0.0</v>
      </c>
      <c r="AB150" s="13">
        <f t="shared" si="12"/>
        <v>0</v>
      </c>
      <c r="AC150" s="5"/>
      <c r="AD150" s="5"/>
    </row>
    <row r="151" ht="12.75" customHeight="1">
      <c r="A151" s="18"/>
      <c r="B151" s="49">
        <v>5.0</v>
      </c>
      <c r="C151" s="50" t="s">
        <v>129</v>
      </c>
      <c r="D151" s="51"/>
      <c r="E151" s="19">
        <v>0.0</v>
      </c>
      <c r="F151" s="19">
        <v>0.0</v>
      </c>
      <c r="G151" s="19">
        <v>0.0</v>
      </c>
      <c r="H151" s="19">
        <v>0.0</v>
      </c>
      <c r="I151" s="19">
        <v>0.0</v>
      </c>
      <c r="J151" s="19">
        <v>0.0</v>
      </c>
      <c r="K151" s="19">
        <v>0.0</v>
      </c>
      <c r="L151" s="19">
        <v>0.0</v>
      </c>
      <c r="M151" s="19">
        <v>0.0</v>
      </c>
      <c r="N151" s="19">
        <v>0.0</v>
      </c>
      <c r="O151" s="19">
        <v>0.0</v>
      </c>
      <c r="P151" s="19">
        <v>0.0</v>
      </c>
      <c r="Q151" s="19">
        <v>0.0</v>
      </c>
      <c r="R151" s="19">
        <v>0.0</v>
      </c>
      <c r="S151" s="19">
        <v>0.0</v>
      </c>
      <c r="T151" s="19">
        <v>0.0</v>
      </c>
      <c r="U151" s="19">
        <v>0.0</v>
      </c>
      <c r="V151" s="19">
        <v>0.0</v>
      </c>
      <c r="W151" s="19">
        <v>0.0</v>
      </c>
      <c r="X151" s="19">
        <v>0.0</v>
      </c>
      <c r="Y151" s="19">
        <v>0.0</v>
      </c>
      <c r="Z151" s="19">
        <v>0.0</v>
      </c>
      <c r="AA151" s="19">
        <v>0.0</v>
      </c>
      <c r="AB151" s="13">
        <f t="shared" si="12"/>
        <v>0</v>
      </c>
      <c r="AC151" s="1"/>
      <c r="AD151" s="1"/>
    </row>
    <row r="152" ht="12.75" customHeight="1">
      <c r="A152" s="18"/>
      <c r="B152" s="49">
        <v>6.0</v>
      </c>
      <c r="C152" s="50" t="s">
        <v>130</v>
      </c>
      <c r="D152" s="51"/>
      <c r="E152" s="19">
        <v>1.0</v>
      </c>
      <c r="F152" s="19">
        <v>0.0</v>
      </c>
      <c r="G152" s="19">
        <v>0.0</v>
      </c>
      <c r="H152" s="19">
        <v>1.0</v>
      </c>
      <c r="I152" s="19">
        <v>0.0</v>
      </c>
      <c r="J152" s="19">
        <v>0.0</v>
      </c>
      <c r="K152" s="19">
        <v>0.0</v>
      </c>
      <c r="L152" s="19">
        <v>0.0</v>
      </c>
      <c r="M152" s="19">
        <v>0.0</v>
      </c>
      <c r="N152" s="19">
        <v>0.0</v>
      </c>
      <c r="O152" s="19">
        <v>0.0</v>
      </c>
      <c r="P152" s="19">
        <v>0.0</v>
      </c>
      <c r="Q152" s="19">
        <v>0.0</v>
      </c>
      <c r="R152" s="19">
        <v>0.0</v>
      </c>
      <c r="S152" s="19">
        <v>0.0</v>
      </c>
      <c r="T152" s="19">
        <v>0.0</v>
      </c>
      <c r="U152" s="19">
        <v>0.0</v>
      </c>
      <c r="V152" s="19">
        <v>0.0</v>
      </c>
      <c r="W152" s="19">
        <v>0.0</v>
      </c>
      <c r="X152" s="19">
        <v>0.0</v>
      </c>
      <c r="Y152" s="19">
        <v>0.0</v>
      </c>
      <c r="Z152" s="19">
        <v>1.0</v>
      </c>
      <c r="AA152" s="19">
        <v>1.0</v>
      </c>
      <c r="AB152" s="13">
        <f t="shared" si="12"/>
        <v>4</v>
      </c>
      <c r="AC152" s="53"/>
      <c r="AD152" s="53"/>
    </row>
    <row r="153" ht="12.75" customHeight="1">
      <c r="A153" s="19" t="s">
        <v>15</v>
      </c>
      <c r="B153" s="47" t="s">
        <v>46</v>
      </c>
      <c r="C153" s="15"/>
      <c r="D153" s="16"/>
      <c r="E153" s="56">
        <f t="shared" ref="E153:AA153" si="26">SUM(E146:E152)</f>
        <v>22</v>
      </c>
      <c r="F153" s="56">
        <f t="shared" si="26"/>
        <v>15</v>
      </c>
      <c r="G153" s="56">
        <f t="shared" si="26"/>
        <v>18</v>
      </c>
      <c r="H153" s="56">
        <f t="shared" si="26"/>
        <v>6</v>
      </c>
      <c r="I153" s="56">
        <f t="shared" si="26"/>
        <v>9</v>
      </c>
      <c r="J153" s="56">
        <f t="shared" si="26"/>
        <v>9</v>
      </c>
      <c r="K153" s="56">
        <f t="shared" si="26"/>
        <v>11</v>
      </c>
      <c r="L153" s="56">
        <f t="shared" si="26"/>
        <v>10</v>
      </c>
      <c r="M153" s="56">
        <f t="shared" si="26"/>
        <v>6</v>
      </c>
      <c r="N153" s="56">
        <f t="shared" si="26"/>
        <v>5</v>
      </c>
      <c r="O153" s="56">
        <f t="shared" si="26"/>
        <v>5</v>
      </c>
      <c r="P153" s="56">
        <f t="shared" si="26"/>
        <v>0</v>
      </c>
      <c r="Q153" s="56">
        <f t="shared" si="26"/>
        <v>7</v>
      </c>
      <c r="R153" s="56">
        <f t="shared" si="26"/>
        <v>10</v>
      </c>
      <c r="S153" s="56">
        <f t="shared" si="26"/>
        <v>3</v>
      </c>
      <c r="T153" s="56">
        <f t="shared" si="26"/>
        <v>11</v>
      </c>
      <c r="U153" s="56">
        <f t="shared" si="26"/>
        <v>17</v>
      </c>
      <c r="V153" s="56">
        <f t="shared" si="26"/>
        <v>4</v>
      </c>
      <c r="W153" s="56">
        <f t="shared" si="26"/>
        <v>6</v>
      </c>
      <c r="X153" s="56">
        <f t="shared" si="26"/>
        <v>7</v>
      </c>
      <c r="Y153" s="56">
        <f t="shared" si="26"/>
        <v>2</v>
      </c>
      <c r="Z153" s="56">
        <f t="shared" si="26"/>
        <v>4</v>
      </c>
      <c r="AA153" s="56">
        <f t="shared" si="26"/>
        <v>11</v>
      </c>
      <c r="AB153" s="13">
        <f t="shared" si="12"/>
        <v>198</v>
      </c>
      <c r="AC153" s="5"/>
      <c r="AD153" s="5"/>
    </row>
    <row r="154" ht="12.75" customHeight="1">
      <c r="A154" s="57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13">
        <f t="shared" si="12"/>
        <v>0</v>
      </c>
      <c r="AC154" s="5"/>
      <c r="AD154" s="5"/>
    </row>
    <row r="155" ht="12.75" customHeight="1">
      <c r="A155" s="30" t="s">
        <v>37</v>
      </c>
      <c r="B155" s="47" t="s">
        <v>131</v>
      </c>
      <c r="C155" s="48" t="s">
        <v>132</v>
      </c>
      <c r="D155" s="16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1.0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1.0</v>
      </c>
      <c r="V155" s="19">
        <v>0.0</v>
      </c>
      <c r="W155" s="19">
        <v>0.0</v>
      </c>
      <c r="X155" s="19">
        <v>0.0</v>
      </c>
      <c r="Y155" s="19">
        <v>1.0</v>
      </c>
      <c r="Z155" s="19">
        <v>0.0</v>
      </c>
      <c r="AA155" s="19">
        <v>0.0</v>
      </c>
      <c r="AB155" s="13">
        <f t="shared" si="12"/>
        <v>3</v>
      </c>
      <c r="AC155" s="5"/>
      <c r="AD155" s="5"/>
    </row>
    <row r="156" ht="12.75" customHeight="1">
      <c r="A156" s="30" t="s">
        <v>39</v>
      </c>
      <c r="B156" s="49"/>
      <c r="C156" s="50" t="s">
        <v>133</v>
      </c>
      <c r="D156" s="51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3">
        <f t="shared" si="12"/>
        <v>0</v>
      </c>
      <c r="AC156" s="5"/>
      <c r="AD156" s="5"/>
    </row>
    <row r="157" ht="12.75" customHeight="1">
      <c r="A157" s="19" t="s">
        <v>15</v>
      </c>
      <c r="B157" s="47" t="s">
        <v>46</v>
      </c>
      <c r="C157" s="15"/>
      <c r="D157" s="16"/>
      <c r="E157" s="56">
        <f t="shared" ref="E157:AA157" si="27">SUM(E155:E156)</f>
        <v>0</v>
      </c>
      <c r="F157" s="56">
        <f t="shared" si="27"/>
        <v>0</v>
      </c>
      <c r="G157" s="56">
        <f t="shared" si="27"/>
        <v>0</v>
      </c>
      <c r="H157" s="56">
        <f t="shared" si="27"/>
        <v>0</v>
      </c>
      <c r="I157" s="56">
        <f t="shared" si="27"/>
        <v>0</v>
      </c>
      <c r="J157" s="56">
        <f t="shared" si="27"/>
        <v>0</v>
      </c>
      <c r="K157" s="56">
        <f t="shared" si="27"/>
        <v>0</v>
      </c>
      <c r="L157" s="56">
        <f t="shared" si="27"/>
        <v>1</v>
      </c>
      <c r="M157" s="56">
        <f t="shared" si="27"/>
        <v>0</v>
      </c>
      <c r="N157" s="56">
        <f t="shared" si="27"/>
        <v>0</v>
      </c>
      <c r="O157" s="56">
        <f t="shared" si="27"/>
        <v>0</v>
      </c>
      <c r="P157" s="56">
        <f t="shared" si="27"/>
        <v>0</v>
      </c>
      <c r="Q157" s="56">
        <f t="shared" si="27"/>
        <v>0</v>
      </c>
      <c r="R157" s="56">
        <f t="shared" si="27"/>
        <v>0</v>
      </c>
      <c r="S157" s="56">
        <f t="shared" si="27"/>
        <v>0</v>
      </c>
      <c r="T157" s="56">
        <f t="shared" si="27"/>
        <v>0</v>
      </c>
      <c r="U157" s="56">
        <f t="shared" si="27"/>
        <v>1</v>
      </c>
      <c r="V157" s="56">
        <f t="shared" si="27"/>
        <v>0</v>
      </c>
      <c r="W157" s="56">
        <f t="shared" si="27"/>
        <v>0</v>
      </c>
      <c r="X157" s="56">
        <f t="shared" si="27"/>
        <v>0</v>
      </c>
      <c r="Y157" s="56">
        <f t="shared" si="27"/>
        <v>1</v>
      </c>
      <c r="Z157" s="56">
        <f t="shared" si="27"/>
        <v>0</v>
      </c>
      <c r="AA157" s="56">
        <f t="shared" si="27"/>
        <v>0</v>
      </c>
      <c r="AB157" s="13">
        <f t="shared" si="12"/>
        <v>3</v>
      </c>
      <c r="AC157" s="5"/>
      <c r="AD157" s="5"/>
    </row>
    <row r="158" ht="12.75" customHeight="1">
      <c r="A158" s="57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13">
        <f t="shared" si="12"/>
        <v>0</v>
      </c>
      <c r="AC158" s="5"/>
      <c r="AD158" s="5"/>
    </row>
    <row r="159" ht="12.75" customHeight="1">
      <c r="A159" s="30" t="s">
        <v>37</v>
      </c>
      <c r="B159" s="47" t="s">
        <v>134</v>
      </c>
      <c r="C159" s="48" t="s">
        <v>135</v>
      </c>
      <c r="D159" s="16"/>
      <c r="E159" s="19">
        <v>0.0</v>
      </c>
      <c r="F159" s="19">
        <v>0.0</v>
      </c>
      <c r="G159" s="19">
        <v>0.0</v>
      </c>
      <c r="H159" s="19">
        <v>0.0</v>
      </c>
      <c r="I159" s="19">
        <v>1.0</v>
      </c>
      <c r="J159" s="19">
        <v>0.0</v>
      </c>
      <c r="K159" s="19">
        <v>0.0</v>
      </c>
      <c r="L159" s="19">
        <v>0.0</v>
      </c>
      <c r="M159" s="19">
        <v>0.0</v>
      </c>
      <c r="N159" s="19">
        <v>0.0</v>
      </c>
      <c r="O159" s="19">
        <v>0.0</v>
      </c>
      <c r="P159" s="19">
        <v>0.0</v>
      </c>
      <c r="Q159" s="19">
        <v>0.0</v>
      </c>
      <c r="R159" s="19">
        <v>0.0</v>
      </c>
      <c r="S159" s="19">
        <v>0.0</v>
      </c>
      <c r="T159" s="19">
        <v>0.0</v>
      </c>
      <c r="U159" s="19">
        <v>0.0</v>
      </c>
      <c r="V159" s="19">
        <v>0.0</v>
      </c>
      <c r="W159" s="19">
        <v>0.0</v>
      </c>
      <c r="X159" s="19">
        <v>0.0</v>
      </c>
      <c r="Y159" s="19">
        <v>0.0</v>
      </c>
      <c r="Z159" s="19">
        <v>0.0</v>
      </c>
      <c r="AA159" s="19">
        <v>0.0</v>
      </c>
      <c r="AB159" s="13">
        <f t="shared" si="12"/>
        <v>1</v>
      </c>
      <c r="AC159" s="5"/>
      <c r="AD159" s="5"/>
    </row>
    <row r="160" ht="12.75" customHeight="1">
      <c r="A160" s="30"/>
      <c r="B160" s="49">
        <v>1.0</v>
      </c>
      <c r="C160" s="50" t="s">
        <v>136</v>
      </c>
      <c r="D160" s="59"/>
      <c r="E160" s="19">
        <v>0.0</v>
      </c>
      <c r="F160" s="19">
        <v>0.0</v>
      </c>
      <c r="G160" s="19">
        <v>1.0</v>
      </c>
      <c r="H160" s="19">
        <v>0.0</v>
      </c>
      <c r="I160" s="19">
        <v>3.0</v>
      </c>
      <c r="J160" s="19">
        <v>0.0</v>
      </c>
      <c r="K160" s="19">
        <v>1.0</v>
      </c>
      <c r="L160" s="19">
        <v>0.0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9">
        <v>0.0</v>
      </c>
      <c r="S160" s="19">
        <v>0.0</v>
      </c>
      <c r="T160" s="19">
        <v>0.0</v>
      </c>
      <c r="U160" s="19">
        <v>0.0</v>
      </c>
      <c r="V160" s="19">
        <v>0.0</v>
      </c>
      <c r="W160" s="19">
        <v>0.0</v>
      </c>
      <c r="X160" s="19">
        <v>0.0</v>
      </c>
      <c r="Y160" s="19">
        <v>0.0</v>
      </c>
      <c r="Z160" s="19">
        <v>0.0</v>
      </c>
      <c r="AA160" s="19">
        <v>0.0</v>
      </c>
      <c r="AB160" s="13">
        <f t="shared" si="12"/>
        <v>5</v>
      </c>
      <c r="AC160" s="5"/>
      <c r="AD160" s="5"/>
    </row>
    <row r="161" ht="12.75" customHeight="1">
      <c r="A161" s="30"/>
      <c r="B161" s="49">
        <v>2.0</v>
      </c>
      <c r="C161" s="50" t="s">
        <v>137</v>
      </c>
      <c r="D161" s="59"/>
      <c r="E161" s="19">
        <v>0.0</v>
      </c>
      <c r="F161" s="19">
        <v>0.0</v>
      </c>
      <c r="G161" s="19">
        <v>0.0</v>
      </c>
      <c r="H161" s="19">
        <v>0.0</v>
      </c>
      <c r="I161" s="19">
        <v>5.0</v>
      </c>
      <c r="J161" s="19">
        <v>0.0</v>
      </c>
      <c r="K161" s="19">
        <v>0.0</v>
      </c>
      <c r="L161" s="19">
        <v>0.0</v>
      </c>
      <c r="M161" s="19">
        <v>0.0</v>
      </c>
      <c r="N161" s="19">
        <v>0.0</v>
      </c>
      <c r="O161" s="19">
        <v>0.0</v>
      </c>
      <c r="P161" s="19">
        <v>0.0</v>
      </c>
      <c r="Q161" s="19">
        <v>0.0</v>
      </c>
      <c r="R161" s="19">
        <v>0.0</v>
      </c>
      <c r="S161" s="19">
        <v>0.0</v>
      </c>
      <c r="T161" s="19">
        <v>0.0</v>
      </c>
      <c r="U161" s="19">
        <v>0.0</v>
      </c>
      <c r="V161" s="19">
        <v>0.0</v>
      </c>
      <c r="W161" s="19">
        <v>0.0</v>
      </c>
      <c r="X161" s="19">
        <v>0.0</v>
      </c>
      <c r="Y161" s="19">
        <v>0.0</v>
      </c>
      <c r="Z161" s="19">
        <v>0.0</v>
      </c>
      <c r="AA161" s="19">
        <v>0.0</v>
      </c>
      <c r="AB161" s="13">
        <f t="shared" si="12"/>
        <v>5</v>
      </c>
      <c r="AC161" s="5"/>
      <c r="AD161" s="5"/>
    </row>
    <row r="162" ht="12.75" customHeight="1">
      <c r="A162" s="30" t="s">
        <v>39</v>
      </c>
      <c r="B162" s="49">
        <v>3.0</v>
      </c>
      <c r="C162" s="50" t="s">
        <v>138</v>
      </c>
      <c r="D162" s="59"/>
      <c r="E162" s="19">
        <v>0.0</v>
      </c>
      <c r="F162" s="19">
        <v>0.0</v>
      </c>
      <c r="G162" s="19">
        <v>0.0</v>
      </c>
      <c r="H162" s="19">
        <v>0.0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0.0</v>
      </c>
      <c r="P162" s="19">
        <v>0.0</v>
      </c>
      <c r="Q162" s="19">
        <v>0.0</v>
      </c>
      <c r="R162" s="19">
        <v>0.0</v>
      </c>
      <c r="S162" s="19">
        <v>0.0</v>
      </c>
      <c r="T162" s="19">
        <v>0.0</v>
      </c>
      <c r="U162" s="19">
        <v>0.0</v>
      </c>
      <c r="V162" s="19">
        <v>0.0</v>
      </c>
      <c r="W162" s="19">
        <v>0.0</v>
      </c>
      <c r="X162" s="19">
        <v>0.0</v>
      </c>
      <c r="Y162" s="19">
        <v>0.0</v>
      </c>
      <c r="Z162" s="19">
        <v>0.0</v>
      </c>
      <c r="AA162" s="19">
        <v>0.0</v>
      </c>
      <c r="AB162" s="13">
        <f t="shared" si="12"/>
        <v>0</v>
      </c>
      <c r="AC162" s="5"/>
      <c r="AD162" s="5"/>
    </row>
    <row r="163" ht="15.0" customHeight="1">
      <c r="A163" s="19" t="s">
        <v>15</v>
      </c>
      <c r="B163" s="47" t="s">
        <v>46</v>
      </c>
      <c r="C163" s="15"/>
      <c r="D163" s="16"/>
      <c r="E163" s="56">
        <f t="shared" ref="E163:AA163" si="28">SUM(E159:E162)</f>
        <v>0</v>
      </c>
      <c r="F163" s="56">
        <f t="shared" si="28"/>
        <v>0</v>
      </c>
      <c r="G163" s="56">
        <f t="shared" si="28"/>
        <v>1</v>
      </c>
      <c r="H163" s="56">
        <f t="shared" si="28"/>
        <v>0</v>
      </c>
      <c r="I163" s="56">
        <f t="shared" si="28"/>
        <v>9</v>
      </c>
      <c r="J163" s="56">
        <f t="shared" si="28"/>
        <v>0</v>
      </c>
      <c r="K163" s="56">
        <f t="shared" si="28"/>
        <v>1</v>
      </c>
      <c r="L163" s="56">
        <f t="shared" si="28"/>
        <v>0</v>
      </c>
      <c r="M163" s="56">
        <f t="shared" si="28"/>
        <v>0</v>
      </c>
      <c r="N163" s="56">
        <f t="shared" si="28"/>
        <v>0</v>
      </c>
      <c r="O163" s="56">
        <f t="shared" si="28"/>
        <v>0</v>
      </c>
      <c r="P163" s="56">
        <f t="shared" si="28"/>
        <v>0</v>
      </c>
      <c r="Q163" s="56">
        <f t="shared" si="28"/>
        <v>0</v>
      </c>
      <c r="R163" s="56">
        <f t="shared" si="28"/>
        <v>0</v>
      </c>
      <c r="S163" s="56">
        <f t="shared" si="28"/>
        <v>0</v>
      </c>
      <c r="T163" s="56">
        <f t="shared" si="28"/>
        <v>0</v>
      </c>
      <c r="U163" s="56">
        <f t="shared" si="28"/>
        <v>0</v>
      </c>
      <c r="V163" s="56">
        <f t="shared" si="28"/>
        <v>0</v>
      </c>
      <c r="W163" s="56">
        <f t="shared" si="28"/>
        <v>0</v>
      </c>
      <c r="X163" s="56">
        <f t="shared" si="28"/>
        <v>0</v>
      </c>
      <c r="Y163" s="56">
        <f t="shared" si="28"/>
        <v>0</v>
      </c>
      <c r="Z163" s="56">
        <f t="shared" si="28"/>
        <v>0</v>
      </c>
      <c r="AA163" s="56">
        <f t="shared" si="28"/>
        <v>0</v>
      </c>
      <c r="AB163" s="13">
        <f t="shared" si="12"/>
        <v>11</v>
      </c>
      <c r="AC163" s="5"/>
      <c r="AD163" s="5"/>
    </row>
    <row r="164" ht="12.75" customHeight="1">
      <c r="A164" s="57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13">
        <f t="shared" si="12"/>
        <v>0</v>
      </c>
      <c r="AC164" s="5"/>
      <c r="AD164" s="5"/>
    </row>
    <row r="165" ht="12.75" customHeight="1">
      <c r="A165" s="30" t="s">
        <v>37</v>
      </c>
      <c r="B165" s="47" t="s">
        <v>139</v>
      </c>
      <c r="C165" s="48" t="s">
        <v>140</v>
      </c>
      <c r="D165" s="16"/>
      <c r="E165" s="19">
        <v>2.0</v>
      </c>
      <c r="F165" s="19">
        <v>0.0</v>
      </c>
      <c r="G165" s="19">
        <v>0.0</v>
      </c>
      <c r="H165" s="19">
        <v>0.0</v>
      </c>
      <c r="I165" s="19">
        <v>0.0</v>
      </c>
      <c r="J165" s="19">
        <v>1.0</v>
      </c>
      <c r="K165" s="19">
        <v>0.0</v>
      </c>
      <c r="L165" s="19">
        <v>1.0</v>
      </c>
      <c r="M165" s="19">
        <v>0.0</v>
      </c>
      <c r="N165" s="19">
        <v>0.0</v>
      </c>
      <c r="O165" s="19">
        <v>2.0</v>
      </c>
      <c r="P165" s="19">
        <v>1.0</v>
      </c>
      <c r="Q165" s="19">
        <v>1.0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5.0</v>
      </c>
      <c r="Y165" s="19">
        <v>9.0</v>
      </c>
      <c r="Z165" s="19">
        <v>5.0</v>
      </c>
      <c r="AA165" s="19">
        <v>7.0</v>
      </c>
      <c r="AB165" s="13">
        <f t="shared" si="12"/>
        <v>34</v>
      </c>
      <c r="AC165" s="1"/>
      <c r="AD165" s="1"/>
    </row>
    <row r="166" ht="12.75" customHeight="1">
      <c r="A166" s="30" t="s">
        <v>39</v>
      </c>
      <c r="B166" s="49">
        <v>1.0</v>
      </c>
      <c r="C166" s="50" t="s">
        <v>141</v>
      </c>
      <c r="D166" s="51"/>
      <c r="E166" s="19">
        <v>22.0</v>
      </c>
      <c r="F166" s="19">
        <v>6.0</v>
      </c>
      <c r="G166" s="19">
        <v>0.0</v>
      </c>
      <c r="H166" s="19">
        <v>0.0</v>
      </c>
      <c r="I166" s="19">
        <v>2.0</v>
      </c>
      <c r="J166" s="19">
        <v>1.0</v>
      </c>
      <c r="K166" s="19">
        <v>1.0</v>
      </c>
      <c r="L166" s="19">
        <v>1.0</v>
      </c>
      <c r="M166" s="19">
        <v>2.0</v>
      </c>
      <c r="N166" s="19">
        <v>4.0</v>
      </c>
      <c r="O166" s="19">
        <v>1.0</v>
      </c>
      <c r="P166" s="19">
        <v>2.0</v>
      </c>
      <c r="Q166" s="19">
        <v>5.0</v>
      </c>
      <c r="R166" s="19">
        <v>0.0</v>
      </c>
      <c r="S166" s="19">
        <v>1.0</v>
      </c>
      <c r="T166" s="19">
        <v>0.0</v>
      </c>
      <c r="U166" s="19">
        <v>2.0</v>
      </c>
      <c r="V166" s="19">
        <v>1.0</v>
      </c>
      <c r="W166" s="19">
        <v>1.0</v>
      </c>
      <c r="X166" s="19">
        <v>24.0</v>
      </c>
      <c r="Y166" s="19">
        <v>50.0</v>
      </c>
      <c r="Z166" s="19">
        <v>39.0</v>
      </c>
      <c r="AA166" s="19">
        <v>22.0</v>
      </c>
      <c r="AB166" s="13">
        <f t="shared" si="12"/>
        <v>187</v>
      </c>
      <c r="AC166" s="53"/>
      <c r="AD166" s="53"/>
    </row>
    <row r="167" ht="12.75" customHeight="1">
      <c r="A167" s="18"/>
      <c r="B167" s="49">
        <v>2.0</v>
      </c>
      <c r="C167" s="50" t="s">
        <v>142</v>
      </c>
      <c r="D167" s="51"/>
      <c r="E167" s="19">
        <v>9.0</v>
      </c>
      <c r="F167" s="19">
        <v>2.0</v>
      </c>
      <c r="G167" s="19">
        <v>0.0</v>
      </c>
      <c r="H167" s="19">
        <v>0.0</v>
      </c>
      <c r="I167" s="19">
        <v>0.0</v>
      </c>
      <c r="J167" s="19">
        <v>1.0</v>
      </c>
      <c r="K167" s="19">
        <v>0.0</v>
      </c>
      <c r="L167" s="19">
        <v>0.0</v>
      </c>
      <c r="M167" s="19">
        <v>2.0</v>
      </c>
      <c r="N167" s="19">
        <v>1.0</v>
      </c>
      <c r="O167" s="19">
        <v>19.0</v>
      </c>
      <c r="P167" s="19">
        <v>7.0</v>
      </c>
      <c r="Q167" s="19">
        <v>2.0</v>
      </c>
      <c r="R167" s="19">
        <v>2.0</v>
      </c>
      <c r="S167" s="19">
        <v>0.0</v>
      </c>
      <c r="T167" s="19">
        <v>13.0</v>
      </c>
      <c r="U167" s="19">
        <v>2.0</v>
      </c>
      <c r="V167" s="19">
        <v>0.0</v>
      </c>
      <c r="W167" s="19">
        <v>0.0</v>
      </c>
      <c r="X167" s="19">
        <v>6.0</v>
      </c>
      <c r="Y167" s="19">
        <v>3.0</v>
      </c>
      <c r="Z167" s="19">
        <v>16.0</v>
      </c>
      <c r="AA167" s="19">
        <v>37.0</v>
      </c>
      <c r="AB167" s="13">
        <f t="shared" si="12"/>
        <v>122</v>
      </c>
      <c r="AC167" s="5"/>
      <c r="AD167" s="5"/>
    </row>
    <row r="168" ht="12.75" customHeight="1">
      <c r="A168" s="18"/>
      <c r="B168" s="49">
        <v>3.0</v>
      </c>
      <c r="C168" s="50" t="s">
        <v>143</v>
      </c>
      <c r="D168" s="51"/>
      <c r="E168" s="19">
        <v>1.0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3">
        <f t="shared" si="12"/>
        <v>1</v>
      </c>
      <c r="AC168" s="5"/>
      <c r="AD168" s="5"/>
    </row>
    <row r="169" ht="12.75" customHeight="1">
      <c r="A169" s="18"/>
      <c r="B169" s="49">
        <v>4.0</v>
      </c>
      <c r="C169" s="50" t="s">
        <v>144</v>
      </c>
      <c r="D169" s="51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3">
        <f t="shared" si="12"/>
        <v>0</v>
      </c>
      <c r="AC169" s="5"/>
      <c r="AD169" s="5"/>
    </row>
    <row r="170" ht="12.75" customHeight="1">
      <c r="A170" s="18"/>
      <c r="B170" s="49">
        <v>5.0</v>
      </c>
      <c r="C170" s="50" t="s">
        <v>145</v>
      </c>
      <c r="D170" s="51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5.0</v>
      </c>
      <c r="P170" s="19">
        <v>3.0</v>
      </c>
      <c r="Q170" s="19">
        <v>1.0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3">
        <f t="shared" si="12"/>
        <v>9</v>
      </c>
      <c r="AC170" s="5"/>
      <c r="AD170" s="5"/>
    </row>
    <row r="171" ht="12.75" customHeight="1">
      <c r="A171" s="18"/>
      <c r="B171" s="49">
        <v>6.0</v>
      </c>
      <c r="C171" s="50" t="s">
        <v>146</v>
      </c>
      <c r="D171" s="51"/>
      <c r="E171" s="19">
        <v>0.0</v>
      </c>
      <c r="F171" s="19">
        <v>0.0</v>
      </c>
      <c r="G171" s="19">
        <v>2.0</v>
      </c>
      <c r="H171" s="19">
        <v>0.0</v>
      </c>
      <c r="I171" s="19">
        <v>5.0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1.0</v>
      </c>
      <c r="Q171" s="19">
        <v>0.0</v>
      </c>
      <c r="R171" s="19">
        <v>0.0</v>
      </c>
      <c r="S171" s="19">
        <v>0.0</v>
      </c>
      <c r="T171" s="19">
        <v>1.0</v>
      </c>
      <c r="U171" s="19">
        <v>0.0</v>
      </c>
      <c r="V171" s="19">
        <v>1.0</v>
      </c>
      <c r="W171" s="19">
        <v>0.0</v>
      </c>
      <c r="X171" s="19">
        <v>0.0</v>
      </c>
      <c r="Y171" s="19">
        <v>1.0</v>
      </c>
      <c r="Z171" s="19">
        <v>0.0</v>
      </c>
      <c r="AA171" s="19">
        <v>0.0</v>
      </c>
      <c r="AB171" s="13">
        <f t="shared" si="12"/>
        <v>11</v>
      </c>
      <c r="AC171" s="5"/>
      <c r="AD171" s="5"/>
    </row>
    <row r="172" ht="12.75" customHeight="1">
      <c r="A172" s="19" t="s">
        <v>15</v>
      </c>
      <c r="B172" s="47" t="s">
        <v>46</v>
      </c>
      <c r="C172" s="15"/>
      <c r="D172" s="16"/>
      <c r="E172" s="56">
        <f t="shared" ref="E172:AA172" si="29">SUM(E165:E171)</f>
        <v>34</v>
      </c>
      <c r="F172" s="56">
        <f t="shared" si="29"/>
        <v>8</v>
      </c>
      <c r="G172" s="56">
        <f t="shared" si="29"/>
        <v>2</v>
      </c>
      <c r="H172" s="56">
        <f t="shared" si="29"/>
        <v>0</v>
      </c>
      <c r="I172" s="56">
        <f t="shared" si="29"/>
        <v>7</v>
      </c>
      <c r="J172" s="56">
        <f t="shared" si="29"/>
        <v>3</v>
      </c>
      <c r="K172" s="56">
        <f t="shared" si="29"/>
        <v>1</v>
      </c>
      <c r="L172" s="56">
        <f t="shared" si="29"/>
        <v>2</v>
      </c>
      <c r="M172" s="56">
        <f t="shared" si="29"/>
        <v>4</v>
      </c>
      <c r="N172" s="56">
        <f t="shared" si="29"/>
        <v>5</v>
      </c>
      <c r="O172" s="56">
        <f t="shared" si="29"/>
        <v>27</v>
      </c>
      <c r="P172" s="56">
        <f t="shared" si="29"/>
        <v>14</v>
      </c>
      <c r="Q172" s="56">
        <f t="shared" si="29"/>
        <v>9</v>
      </c>
      <c r="R172" s="56">
        <f t="shared" si="29"/>
        <v>2</v>
      </c>
      <c r="S172" s="56">
        <f t="shared" si="29"/>
        <v>1</v>
      </c>
      <c r="T172" s="56">
        <f t="shared" si="29"/>
        <v>14</v>
      </c>
      <c r="U172" s="56">
        <f t="shared" si="29"/>
        <v>4</v>
      </c>
      <c r="V172" s="56">
        <f t="shared" si="29"/>
        <v>2</v>
      </c>
      <c r="W172" s="56">
        <f t="shared" si="29"/>
        <v>1</v>
      </c>
      <c r="X172" s="56">
        <f t="shared" si="29"/>
        <v>35</v>
      </c>
      <c r="Y172" s="56">
        <f t="shared" si="29"/>
        <v>63</v>
      </c>
      <c r="Z172" s="56">
        <f t="shared" si="29"/>
        <v>60</v>
      </c>
      <c r="AA172" s="56">
        <f t="shared" si="29"/>
        <v>66</v>
      </c>
      <c r="AB172" s="13">
        <f t="shared" si="12"/>
        <v>364</v>
      </c>
      <c r="AC172" s="5"/>
      <c r="AD172" s="5"/>
    </row>
    <row r="173" ht="12.75" customHeight="1">
      <c r="A173" s="57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13">
        <f t="shared" si="12"/>
        <v>0</v>
      </c>
      <c r="AC173" s="5"/>
      <c r="AD173" s="5"/>
    </row>
    <row r="174" ht="12.75" customHeight="1">
      <c r="A174" s="30" t="s">
        <v>37</v>
      </c>
      <c r="B174" s="47" t="s">
        <v>147</v>
      </c>
      <c r="C174" s="48" t="s">
        <v>148</v>
      </c>
      <c r="D174" s="16"/>
      <c r="E174" s="19">
        <v>0.0</v>
      </c>
      <c r="F174" s="19">
        <v>0.0</v>
      </c>
      <c r="G174" s="19">
        <v>0.0</v>
      </c>
      <c r="H174" s="19">
        <v>0.0</v>
      </c>
      <c r="I174" s="19">
        <v>0.0</v>
      </c>
      <c r="J174" s="19">
        <v>0.0</v>
      </c>
      <c r="K174" s="19">
        <v>0.0</v>
      </c>
      <c r="L174" s="19">
        <v>0.0</v>
      </c>
      <c r="M174" s="19">
        <v>1.0</v>
      </c>
      <c r="N174" s="19">
        <v>0.0</v>
      </c>
      <c r="O174" s="19">
        <v>0.0</v>
      </c>
      <c r="P174" s="19">
        <v>0.0</v>
      </c>
      <c r="Q174" s="19">
        <v>0.0</v>
      </c>
      <c r="R174" s="19">
        <v>0.0</v>
      </c>
      <c r="S174" s="19">
        <v>0.0</v>
      </c>
      <c r="T174" s="19">
        <v>0.0</v>
      </c>
      <c r="U174" s="19">
        <v>0.0</v>
      </c>
      <c r="V174" s="19">
        <v>0.0</v>
      </c>
      <c r="W174" s="19">
        <v>0.0</v>
      </c>
      <c r="X174" s="19">
        <v>1.0</v>
      </c>
      <c r="Y174" s="19">
        <v>0.0</v>
      </c>
      <c r="Z174" s="19">
        <v>0.0</v>
      </c>
      <c r="AA174" s="19">
        <v>0.0</v>
      </c>
      <c r="AB174" s="13">
        <f t="shared" si="12"/>
        <v>2</v>
      </c>
      <c r="AC174" s="5"/>
      <c r="AD174" s="5"/>
    </row>
    <row r="175" ht="15.0" customHeight="1">
      <c r="A175" s="30"/>
      <c r="B175" s="49">
        <v>1.0</v>
      </c>
      <c r="C175" s="50" t="s">
        <v>149</v>
      </c>
      <c r="D175" s="59"/>
      <c r="E175" s="19">
        <v>0.0</v>
      </c>
      <c r="F175" s="19">
        <v>0.0</v>
      </c>
      <c r="G175" s="19">
        <v>0.0</v>
      </c>
      <c r="H175" s="19">
        <v>0.0</v>
      </c>
      <c r="I175" s="19">
        <v>0.0</v>
      </c>
      <c r="J175" s="19">
        <v>0.0</v>
      </c>
      <c r="K175" s="19">
        <v>2.0</v>
      </c>
      <c r="L175" s="19">
        <v>1.0</v>
      </c>
      <c r="M175" s="19">
        <v>3.0</v>
      </c>
      <c r="N175" s="19">
        <v>0.0</v>
      </c>
      <c r="O175" s="19">
        <v>0.0</v>
      </c>
      <c r="P175" s="19">
        <v>0.0</v>
      </c>
      <c r="Q175" s="19">
        <v>0.0</v>
      </c>
      <c r="R175" s="19">
        <v>0.0</v>
      </c>
      <c r="S175" s="19">
        <v>3.0</v>
      </c>
      <c r="T175" s="19">
        <v>0.0</v>
      </c>
      <c r="U175" s="19">
        <v>0.0</v>
      </c>
      <c r="V175" s="19">
        <v>0.0</v>
      </c>
      <c r="W175" s="19">
        <v>0.0</v>
      </c>
      <c r="X175" s="19">
        <v>0.0</v>
      </c>
      <c r="Y175" s="19">
        <v>0.0</v>
      </c>
      <c r="Z175" s="19">
        <v>0.0</v>
      </c>
      <c r="AA175" s="19">
        <v>0.0</v>
      </c>
      <c r="AB175" s="13">
        <f t="shared" si="12"/>
        <v>9</v>
      </c>
      <c r="AC175" s="5"/>
      <c r="AD175" s="5"/>
    </row>
    <row r="176" ht="12.75" customHeight="1">
      <c r="A176" s="30" t="s">
        <v>39</v>
      </c>
      <c r="B176" s="49">
        <v>2.0</v>
      </c>
      <c r="C176" s="50" t="s">
        <v>150</v>
      </c>
      <c r="D176" s="51"/>
      <c r="E176" s="19">
        <v>0.0</v>
      </c>
      <c r="F176" s="19">
        <v>0.0</v>
      </c>
      <c r="G176" s="19">
        <v>0.0</v>
      </c>
      <c r="H176" s="19">
        <v>0.0</v>
      </c>
      <c r="I176" s="19">
        <v>0.0</v>
      </c>
      <c r="J176" s="19">
        <v>0.0</v>
      </c>
      <c r="K176" s="19">
        <v>0.0</v>
      </c>
      <c r="L176" s="19">
        <v>1.0</v>
      </c>
      <c r="M176" s="19">
        <v>0.0</v>
      </c>
      <c r="N176" s="19">
        <v>0.0</v>
      </c>
      <c r="O176" s="19">
        <v>0.0</v>
      </c>
      <c r="P176" s="19">
        <v>0.0</v>
      </c>
      <c r="Q176" s="19">
        <v>0.0</v>
      </c>
      <c r="R176" s="19">
        <v>0.0</v>
      </c>
      <c r="S176" s="19">
        <v>0.0</v>
      </c>
      <c r="T176" s="19">
        <v>0.0</v>
      </c>
      <c r="U176" s="19">
        <v>0.0</v>
      </c>
      <c r="V176" s="19">
        <v>0.0</v>
      </c>
      <c r="W176" s="19">
        <v>0.0</v>
      </c>
      <c r="X176" s="19">
        <v>0.0</v>
      </c>
      <c r="Y176" s="19">
        <v>0.0</v>
      </c>
      <c r="Z176" s="19">
        <v>0.0</v>
      </c>
      <c r="AA176" s="19">
        <v>0.0</v>
      </c>
      <c r="AB176" s="13">
        <f t="shared" si="12"/>
        <v>1</v>
      </c>
      <c r="AC176" s="1"/>
      <c r="AD176" s="1"/>
    </row>
    <row r="177" ht="12.75" customHeight="1">
      <c r="A177" s="19" t="s">
        <v>15</v>
      </c>
      <c r="B177" s="47" t="s">
        <v>46</v>
      </c>
      <c r="C177" s="15"/>
      <c r="D177" s="16"/>
      <c r="E177" s="56">
        <f t="shared" ref="E177:AA177" si="30">SUM(E174:E176)</f>
        <v>0</v>
      </c>
      <c r="F177" s="56">
        <f t="shared" si="30"/>
        <v>0</v>
      </c>
      <c r="G177" s="56">
        <f t="shared" si="30"/>
        <v>0</v>
      </c>
      <c r="H177" s="56">
        <f t="shared" si="30"/>
        <v>0</v>
      </c>
      <c r="I177" s="56">
        <f t="shared" si="30"/>
        <v>0</v>
      </c>
      <c r="J177" s="56">
        <f t="shared" si="30"/>
        <v>0</v>
      </c>
      <c r="K177" s="56">
        <f t="shared" si="30"/>
        <v>2</v>
      </c>
      <c r="L177" s="56">
        <f t="shared" si="30"/>
        <v>2</v>
      </c>
      <c r="M177" s="56">
        <f t="shared" si="30"/>
        <v>4</v>
      </c>
      <c r="N177" s="56">
        <f t="shared" si="30"/>
        <v>0</v>
      </c>
      <c r="O177" s="56">
        <f t="shared" si="30"/>
        <v>0</v>
      </c>
      <c r="P177" s="56">
        <f t="shared" si="30"/>
        <v>0</v>
      </c>
      <c r="Q177" s="56">
        <f t="shared" si="30"/>
        <v>0</v>
      </c>
      <c r="R177" s="56">
        <f t="shared" si="30"/>
        <v>0</v>
      </c>
      <c r="S177" s="56">
        <f t="shared" si="30"/>
        <v>3</v>
      </c>
      <c r="T177" s="56">
        <f t="shared" si="30"/>
        <v>0</v>
      </c>
      <c r="U177" s="56">
        <f t="shared" si="30"/>
        <v>0</v>
      </c>
      <c r="V177" s="56">
        <f t="shared" si="30"/>
        <v>0</v>
      </c>
      <c r="W177" s="56">
        <f t="shared" si="30"/>
        <v>0</v>
      </c>
      <c r="X177" s="56">
        <f t="shared" si="30"/>
        <v>1</v>
      </c>
      <c r="Y177" s="56">
        <f t="shared" si="30"/>
        <v>0</v>
      </c>
      <c r="Z177" s="56">
        <f t="shared" si="30"/>
        <v>0</v>
      </c>
      <c r="AA177" s="56">
        <f t="shared" si="30"/>
        <v>0</v>
      </c>
      <c r="AB177" s="13">
        <f t="shared" si="12"/>
        <v>12</v>
      </c>
    </row>
    <row r="178" ht="12.75" customHeight="1">
      <c r="A178" s="45"/>
      <c r="B178" s="44"/>
      <c r="C178" s="44"/>
      <c r="D178" s="28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13">
        <f t="shared" si="12"/>
        <v>0</v>
      </c>
      <c r="AC178" s="5"/>
      <c r="AD178" s="5"/>
    </row>
    <row r="179" ht="12.75" customHeight="1">
      <c r="A179" s="42" t="s">
        <v>151</v>
      </c>
      <c r="B179" s="14" t="s">
        <v>152</v>
      </c>
      <c r="C179" s="15"/>
      <c r="D179" s="16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13">
        <f t="shared" si="12"/>
        <v>0</v>
      </c>
      <c r="AC179" s="5"/>
      <c r="AD179" s="5"/>
    </row>
    <row r="180" ht="12.75" customHeight="1">
      <c r="A180" s="42"/>
      <c r="B180" s="60" t="s">
        <v>153</v>
      </c>
      <c r="C180" s="61" t="s">
        <v>154</v>
      </c>
      <c r="D180" s="16"/>
      <c r="E180" s="19">
        <f t="shared" ref="E180:AA180" si="31">E177+E172+E163+E157+E153+E144+E135+E128+E124+E115+E108+E99+E94+E88+E79+E70+E61+E52</f>
        <v>230</v>
      </c>
      <c r="F180" s="19">
        <f t="shared" si="31"/>
        <v>213</v>
      </c>
      <c r="G180" s="19">
        <f t="shared" si="31"/>
        <v>210</v>
      </c>
      <c r="H180" s="19">
        <f t="shared" si="31"/>
        <v>208</v>
      </c>
      <c r="I180" s="19">
        <f t="shared" si="31"/>
        <v>224</v>
      </c>
      <c r="J180" s="19">
        <f t="shared" si="31"/>
        <v>206</v>
      </c>
      <c r="K180" s="19">
        <f t="shared" si="31"/>
        <v>195</v>
      </c>
      <c r="L180" s="19">
        <f t="shared" si="31"/>
        <v>205</v>
      </c>
      <c r="M180" s="19">
        <f t="shared" si="31"/>
        <v>179</v>
      </c>
      <c r="N180" s="19">
        <f t="shared" si="31"/>
        <v>159</v>
      </c>
      <c r="O180" s="19">
        <f t="shared" si="31"/>
        <v>192</v>
      </c>
      <c r="P180" s="19">
        <f t="shared" si="31"/>
        <v>130</v>
      </c>
      <c r="Q180" s="19">
        <f t="shared" si="31"/>
        <v>194</v>
      </c>
      <c r="R180" s="19">
        <f t="shared" si="31"/>
        <v>228</v>
      </c>
      <c r="S180" s="19">
        <f t="shared" si="31"/>
        <v>220</v>
      </c>
      <c r="T180" s="19">
        <f t="shared" si="31"/>
        <v>205</v>
      </c>
      <c r="U180" s="19">
        <f t="shared" si="31"/>
        <v>168</v>
      </c>
      <c r="V180" s="19">
        <f t="shared" si="31"/>
        <v>231</v>
      </c>
      <c r="W180" s="19">
        <f t="shared" si="31"/>
        <v>200</v>
      </c>
      <c r="X180" s="19">
        <f t="shared" si="31"/>
        <v>218</v>
      </c>
      <c r="Y180" s="19">
        <f t="shared" si="31"/>
        <v>202</v>
      </c>
      <c r="Z180" s="19">
        <f t="shared" si="31"/>
        <v>204</v>
      </c>
      <c r="AA180" s="19">
        <f t="shared" si="31"/>
        <v>207</v>
      </c>
      <c r="AB180" s="13">
        <f t="shared" si="12"/>
        <v>4628</v>
      </c>
      <c r="AC180" s="5"/>
      <c r="AD180" s="5"/>
    </row>
    <row r="181" ht="12.75" customHeight="1">
      <c r="A181" s="35"/>
      <c r="B181" s="60" t="s">
        <v>155</v>
      </c>
      <c r="C181" s="61" t="s">
        <v>156</v>
      </c>
      <c r="D181" s="16"/>
      <c r="E181" s="19">
        <v>11.0</v>
      </c>
      <c r="F181" s="19">
        <v>12.0</v>
      </c>
      <c r="G181" s="19">
        <v>6.0</v>
      </c>
      <c r="H181" s="19">
        <v>10.0</v>
      </c>
      <c r="I181" s="19">
        <v>7.0</v>
      </c>
      <c r="J181" s="19">
        <v>4.0</v>
      </c>
      <c r="K181" s="19">
        <v>14.0</v>
      </c>
      <c r="L181" s="19">
        <v>9.0</v>
      </c>
      <c r="M181" s="19">
        <v>12.0</v>
      </c>
      <c r="N181" s="19">
        <v>14.0</v>
      </c>
      <c r="O181" s="19">
        <v>3.0</v>
      </c>
      <c r="P181" s="19">
        <v>11.0</v>
      </c>
      <c r="Q181" s="19">
        <v>8.0</v>
      </c>
      <c r="R181" s="19">
        <v>11.0</v>
      </c>
      <c r="S181" s="19">
        <v>13.0</v>
      </c>
      <c r="T181" s="19">
        <v>22.0</v>
      </c>
      <c r="U181" s="19">
        <v>8.0</v>
      </c>
      <c r="V181" s="19">
        <v>10.0</v>
      </c>
      <c r="W181" s="19">
        <v>7.0</v>
      </c>
      <c r="X181" s="19">
        <v>20.0</v>
      </c>
      <c r="Y181" s="19">
        <v>14.0</v>
      </c>
      <c r="Z181" s="19">
        <v>7.0</v>
      </c>
      <c r="AA181" s="19">
        <v>14.0</v>
      </c>
      <c r="AB181" s="13">
        <f t="shared" si="12"/>
        <v>247</v>
      </c>
      <c r="AC181" s="5"/>
      <c r="AD181" s="5"/>
    </row>
    <row r="182" ht="12.75" customHeight="1">
      <c r="A182" s="41"/>
      <c r="B182" s="60" t="s">
        <v>157</v>
      </c>
      <c r="C182" s="61" t="s">
        <v>158</v>
      </c>
      <c r="D182" s="16"/>
      <c r="E182" s="29">
        <f t="shared" ref="E182:AA182" si="32">SUM(E180:E181)</f>
        <v>241</v>
      </c>
      <c r="F182" s="29">
        <f t="shared" si="32"/>
        <v>225</v>
      </c>
      <c r="G182" s="29">
        <f t="shared" si="32"/>
        <v>216</v>
      </c>
      <c r="H182" s="29">
        <f t="shared" si="32"/>
        <v>218</v>
      </c>
      <c r="I182" s="29">
        <f t="shared" si="32"/>
        <v>231</v>
      </c>
      <c r="J182" s="29">
        <f t="shared" si="32"/>
        <v>210</v>
      </c>
      <c r="K182" s="29">
        <f t="shared" si="32"/>
        <v>209</v>
      </c>
      <c r="L182" s="29">
        <f t="shared" si="32"/>
        <v>214</v>
      </c>
      <c r="M182" s="29">
        <f t="shared" si="32"/>
        <v>191</v>
      </c>
      <c r="N182" s="29">
        <f t="shared" si="32"/>
        <v>173</v>
      </c>
      <c r="O182" s="29">
        <f t="shared" si="32"/>
        <v>195</v>
      </c>
      <c r="P182" s="29">
        <f t="shared" si="32"/>
        <v>141</v>
      </c>
      <c r="Q182" s="29">
        <f t="shared" si="32"/>
        <v>202</v>
      </c>
      <c r="R182" s="29">
        <f t="shared" si="32"/>
        <v>239</v>
      </c>
      <c r="S182" s="29">
        <f t="shared" si="32"/>
        <v>233</v>
      </c>
      <c r="T182" s="29">
        <f t="shared" si="32"/>
        <v>227</v>
      </c>
      <c r="U182" s="29">
        <f t="shared" si="32"/>
        <v>176</v>
      </c>
      <c r="V182" s="29">
        <f t="shared" si="32"/>
        <v>241</v>
      </c>
      <c r="W182" s="29">
        <f t="shared" si="32"/>
        <v>207</v>
      </c>
      <c r="X182" s="29">
        <f t="shared" si="32"/>
        <v>238</v>
      </c>
      <c r="Y182" s="29">
        <f t="shared" si="32"/>
        <v>216</v>
      </c>
      <c r="Z182" s="29">
        <f t="shared" si="32"/>
        <v>211</v>
      </c>
      <c r="AA182" s="29">
        <f t="shared" si="32"/>
        <v>221</v>
      </c>
      <c r="AB182" s="13">
        <f t="shared" si="12"/>
        <v>4875</v>
      </c>
      <c r="AC182" s="5"/>
      <c r="AD182" s="5"/>
    </row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0">
    <mergeCell ref="B108:D108"/>
    <mergeCell ref="C110:D110"/>
    <mergeCell ref="B115:D115"/>
    <mergeCell ref="C117:D117"/>
    <mergeCell ref="B124:D124"/>
    <mergeCell ref="C126:D126"/>
    <mergeCell ref="B128:D128"/>
    <mergeCell ref="C130:D130"/>
    <mergeCell ref="B135:D135"/>
    <mergeCell ref="C137:D137"/>
    <mergeCell ref="B144:D144"/>
    <mergeCell ref="C146:D146"/>
    <mergeCell ref="B153:D153"/>
    <mergeCell ref="C155:D155"/>
    <mergeCell ref="A178:D178"/>
    <mergeCell ref="B179:D179"/>
    <mergeCell ref="C180:D180"/>
    <mergeCell ref="C181:D181"/>
    <mergeCell ref="C182:D182"/>
    <mergeCell ref="B157:D157"/>
    <mergeCell ref="C159:D159"/>
    <mergeCell ref="B163:D163"/>
    <mergeCell ref="C165:D165"/>
    <mergeCell ref="B172:D172"/>
    <mergeCell ref="C174:D174"/>
    <mergeCell ref="B177:D177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4:D94"/>
    <mergeCell ref="C96:D96"/>
    <mergeCell ref="B99:D99"/>
    <mergeCell ref="C101:D101"/>
  </mergeCells>
  <conditionalFormatting sqref="E34:T34">
    <cfRule type="expression" dxfId="0" priority="1">
      <formula>E34&lt;&gt;E64</formula>
    </cfRule>
  </conditionalFormatting>
  <conditionalFormatting sqref="E14:AA15">
    <cfRule type="containsBlanks" dxfId="1" priority="2">
      <formula>LEN(TRIM(E14))=0</formula>
    </cfRule>
  </conditionalFormatting>
  <conditionalFormatting sqref="E19:AA20">
    <cfRule type="containsBlanks" dxfId="1" priority="3">
      <formula>LEN(TRIM(E19))=0</formula>
    </cfRule>
  </conditionalFormatting>
  <conditionalFormatting sqref="E22:AA23 E25:AA26 E33:AA33 E35:AA35 E39:AA40">
    <cfRule type="containsBlanks" dxfId="1" priority="4">
      <formula>LEN(TRIM(E22))=0</formula>
    </cfRule>
  </conditionalFormatting>
  <conditionalFormatting sqref="E30:AA30">
    <cfRule type="expression" dxfId="0" priority="5">
      <formula>E30&lt;&gt;E47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45:AA51">
    <cfRule type="containsBlanks" dxfId="1" priority="10">
      <formula>LEN(TRIM(E45))=0</formula>
    </cfRule>
  </conditionalFormatting>
  <conditionalFormatting sqref="E54:AA60">
    <cfRule type="containsBlanks" dxfId="1" priority="11">
      <formula>LEN(TRIM(E54))=0</formula>
    </cfRule>
  </conditionalFormatting>
  <conditionalFormatting sqref="E63:AA69">
    <cfRule type="containsBlanks" dxfId="1" priority="12">
      <formula>LEN(TRIM(E63))=0</formula>
    </cfRule>
  </conditionalFormatting>
  <conditionalFormatting sqref="E72:AA78">
    <cfRule type="containsBlanks" dxfId="1" priority="13">
      <formula>LEN(TRIM(E72))=0</formula>
    </cfRule>
  </conditionalFormatting>
  <conditionalFormatting sqref="E81:AA87">
    <cfRule type="containsBlanks" dxfId="1" priority="14">
      <formula>LEN(TRIM(E81))=0</formula>
    </cfRule>
  </conditionalFormatting>
  <conditionalFormatting sqref="E90:AA93">
    <cfRule type="containsBlanks" dxfId="1" priority="15">
      <formula>LEN(TRIM(E90))=0</formula>
    </cfRule>
  </conditionalFormatting>
  <conditionalFormatting sqref="E96:AA98">
    <cfRule type="containsBlanks" dxfId="1" priority="16">
      <formula>LEN(TRIM(E96))=0</formula>
    </cfRule>
  </conditionalFormatting>
  <conditionalFormatting sqref="E101:AA107">
    <cfRule type="containsBlanks" dxfId="1" priority="17">
      <formula>LEN(TRIM(E101))=0</formula>
    </cfRule>
  </conditionalFormatting>
  <conditionalFormatting sqref="E110:AA114">
    <cfRule type="containsBlanks" dxfId="1" priority="18">
      <formula>LEN(TRIM(E110))=0</formula>
    </cfRule>
  </conditionalFormatting>
  <conditionalFormatting sqref="E117:AA123">
    <cfRule type="containsBlanks" dxfId="1" priority="19">
      <formula>LEN(TRIM(E117))=0</formula>
    </cfRule>
  </conditionalFormatting>
  <conditionalFormatting sqref="E126:AA127">
    <cfRule type="containsBlanks" dxfId="1" priority="20">
      <formula>LEN(TRIM(E126))=0</formula>
    </cfRule>
  </conditionalFormatting>
  <conditionalFormatting sqref="E130:AA134">
    <cfRule type="containsBlanks" dxfId="1" priority="21">
      <formula>LEN(TRIM(E130))=0</formula>
    </cfRule>
  </conditionalFormatting>
  <conditionalFormatting sqref="E137:AA143">
    <cfRule type="containsBlanks" dxfId="1" priority="22">
      <formula>LEN(TRIM(E137))=0</formula>
    </cfRule>
  </conditionalFormatting>
  <conditionalFormatting sqref="E146:AA152">
    <cfRule type="containsBlanks" dxfId="1" priority="23">
      <formula>LEN(TRIM(E146))=0</formula>
    </cfRule>
  </conditionalFormatting>
  <conditionalFormatting sqref="E155:AA156">
    <cfRule type="containsBlanks" dxfId="1" priority="24">
      <formula>LEN(TRIM(E155))=0</formula>
    </cfRule>
  </conditionalFormatting>
  <conditionalFormatting sqref="E159:AA162">
    <cfRule type="containsBlanks" dxfId="1" priority="25">
      <formula>LEN(TRIM(E159))=0</formula>
    </cfRule>
  </conditionalFormatting>
  <conditionalFormatting sqref="E165:AA171">
    <cfRule type="containsBlanks" dxfId="1" priority="26">
      <formula>LEN(TRIM(E165))=0</formula>
    </cfRule>
  </conditionalFormatting>
  <conditionalFormatting sqref="E174:AA176">
    <cfRule type="containsBlanks" dxfId="1" priority="27">
      <formula>LEN(TRIM(E174))=0</formula>
    </cfRule>
  </conditionalFormatting>
  <conditionalFormatting sqref="E180:AA181">
    <cfRule type="containsBlanks" dxfId="1" priority="28">
      <formula>LEN(TRIM(E180))=0</formula>
    </cfRule>
  </conditionalFormatting>
  <conditionalFormatting sqref="E182:AA182">
    <cfRule type="expression" dxfId="0" priority="29">
      <formula>E182&lt;&gt;E30</formula>
    </cfRule>
  </conditionalFormatting>
  <conditionalFormatting sqref="E182:AA182">
    <cfRule type="expression" dxfId="0" priority="30">
      <formula>E182&lt;&gt;E34</formula>
    </cfRule>
  </conditionalFormatting>
  <conditionalFormatting sqref="U34:AA34">
    <cfRule type="expression" dxfId="0" priority="31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3" width="8.71"/>
    <col customWidth="1" min="34" max="34" width="13.29"/>
    <col customWidth="1" min="35" max="3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159</v>
      </c>
      <c r="D9" s="8" t="s">
        <v>206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6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161</v>
      </c>
      <c r="F13" s="13" t="s">
        <v>162</v>
      </c>
      <c r="G13" s="13" t="s">
        <v>163</v>
      </c>
      <c r="H13" s="13" t="s">
        <v>164</v>
      </c>
      <c r="I13" s="13" t="s">
        <v>165</v>
      </c>
      <c r="J13" s="13" t="s">
        <v>166</v>
      </c>
      <c r="K13" s="13" t="s">
        <v>167</v>
      </c>
      <c r="L13" s="13" t="s">
        <v>168</v>
      </c>
      <c r="M13" s="13" t="s">
        <v>169</v>
      </c>
      <c r="N13" s="13" t="s">
        <v>170</v>
      </c>
      <c r="O13" s="13" t="s">
        <v>171</v>
      </c>
      <c r="P13" s="13" t="s">
        <v>172</v>
      </c>
      <c r="Q13" s="13" t="s">
        <v>173</v>
      </c>
      <c r="R13" s="13" t="s">
        <v>174</v>
      </c>
      <c r="S13" s="13" t="s">
        <v>175</v>
      </c>
      <c r="T13" s="13" t="s">
        <v>176</v>
      </c>
      <c r="U13" s="13" t="s">
        <v>177</v>
      </c>
      <c r="V13" s="13" t="s">
        <v>178</v>
      </c>
      <c r="W13" s="13" t="s">
        <v>179</v>
      </c>
      <c r="X13" s="13" t="s">
        <v>180</v>
      </c>
      <c r="Y13" s="13" t="s">
        <v>181</v>
      </c>
      <c r="Z13" s="13" t="s">
        <v>182</v>
      </c>
      <c r="AA13" s="13" t="s">
        <v>183</v>
      </c>
      <c r="AB13" s="13" t="s">
        <v>184</v>
      </c>
      <c r="AC13" s="13" t="s">
        <v>185</v>
      </c>
      <c r="AD13" s="13" t="s">
        <v>186</v>
      </c>
      <c r="AE13" s="13" t="s">
        <v>187</v>
      </c>
      <c r="AF13" s="13" t="s">
        <v>188</v>
      </c>
      <c r="AG13" s="13" t="s">
        <v>189</v>
      </c>
      <c r="AH13" s="36"/>
    </row>
    <row r="14" ht="12.75" customHeight="1">
      <c r="A14" s="18"/>
      <c r="B14" s="22" t="s">
        <v>11</v>
      </c>
      <c r="C14" s="23"/>
      <c r="D14" s="19" t="s">
        <v>12</v>
      </c>
      <c r="E14" s="69">
        <v>141.0</v>
      </c>
      <c r="F14" s="69">
        <v>121.0</v>
      </c>
      <c r="G14" s="69">
        <v>111.0</v>
      </c>
      <c r="H14" s="69">
        <v>147.0</v>
      </c>
      <c r="I14" s="69">
        <v>125.0</v>
      </c>
      <c r="J14" s="69">
        <v>124.0</v>
      </c>
      <c r="K14" s="69">
        <v>120.0</v>
      </c>
      <c r="L14" s="69">
        <v>97.0</v>
      </c>
      <c r="M14" s="69">
        <v>131.0</v>
      </c>
      <c r="N14" s="69">
        <v>140.0</v>
      </c>
      <c r="O14" s="69">
        <v>147.0</v>
      </c>
      <c r="P14" s="69">
        <v>135.0</v>
      </c>
      <c r="Q14" s="69">
        <v>129.0</v>
      </c>
      <c r="R14" s="69">
        <v>118.0</v>
      </c>
      <c r="S14" s="69">
        <v>116.0</v>
      </c>
      <c r="T14" s="69">
        <v>130.0</v>
      </c>
      <c r="U14" s="69">
        <v>151.0</v>
      </c>
      <c r="V14" s="69">
        <v>135.0</v>
      </c>
      <c r="W14" s="69">
        <v>105.0</v>
      </c>
      <c r="X14" s="69">
        <v>115.0</v>
      </c>
      <c r="Y14" s="69">
        <v>81.0</v>
      </c>
      <c r="Z14" s="69">
        <v>154.0</v>
      </c>
      <c r="AA14" s="69">
        <v>135.0</v>
      </c>
      <c r="AB14" s="69">
        <v>139.0</v>
      </c>
      <c r="AC14" s="69">
        <v>135.0</v>
      </c>
      <c r="AD14" s="69">
        <v>143.0</v>
      </c>
      <c r="AE14" s="69">
        <v>119.0</v>
      </c>
      <c r="AF14" s="69">
        <v>111.0</v>
      </c>
      <c r="AG14" s="69">
        <v>122.0</v>
      </c>
      <c r="AH14" s="13">
        <f t="shared" ref="AH14:AH16" si="1">SUM(E14:AG14)</f>
        <v>3677</v>
      </c>
    </row>
    <row r="15" ht="12.75" customHeight="1">
      <c r="A15" s="18"/>
      <c r="B15" s="26"/>
      <c r="C15" s="27"/>
      <c r="D15" s="19" t="s">
        <v>13</v>
      </c>
      <c r="E15" s="69">
        <v>133.0</v>
      </c>
      <c r="F15" s="69">
        <v>109.0</v>
      </c>
      <c r="G15" s="69">
        <v>110.0</v>
      </c>
      <c r="H15" s="69">
        <v>146.0</v>
      </c>
      <c r="I15" s="69">
        <v>122.0</v>
      </c>
      <c r="J15" s="69">
        <v>136.0</v>
      </c>
      <c r="K15" s="69">
        <v>117.0</v>
      </c>
      <c r="L15" s="69">
        <v>104.0</v>
      </c>
      <c r="M15" s="69">
        <v>137.0</v>
      </c>
      <c r="N15" s="69">
        <v>146.0</v>
      </c>
      <c r="O15" s="69">
        <v>144.0</v>
      </c>
      <c r="P15" s="69">
        <v>149.0</v>
      </c>
      <c r="Q15" s="69">
        <v>139.0</v>
      </c>
      <c r="R15" s="69">
        <v>118.0</v>
      </c>
      <c r="S15" s="69">
        <v>118.0</v>
      </c>
      <c r="T15" s="69">
        <v>131.0</v>
      </c>
      <c r="U15" s="69">
        <v>145.0</v>
      </c>
      <c r="V15" s="69">
        <v>134.0</v>
      </c>
      <c r="W15" s="69">
        <v>108.0</v>
      </c>
      <c r="X15" s="69">
        <v>117.0</v>
      </c>
      <c r="Y15" s="69">
        <v>74.0</v>
      </c>
      <c r="Z15" s="69">
        <v>137.0</v>
      </c>
      <c r="AA15" s="69">
        <v>120.0</v>
      </c>
      <c r="AB15" s="69">
        <v>132.0</v>
      </c>
      <c r="AC15" s="69">
        <v>123.0</v>
      </c>
      <c r="AD15" s="69">
        <v>152.0</v>
      </c>
      <c r="AE15" s="69">
        <v>125.0</v>
      </c>
      <c r="AF15" s="69">
        <v>98.0</v>
      </c>
      <c r="AG15" s="69">
        <v>124.0</v>
      </c>
      <c r="AH15" s="13">
        <f t="shared" si="1"/>
        <v>3648</v>
      </c>
    </row>
    <row r="16" ht="12.75" customHeight="1">
      <c r="A16" s="25"/>
      <c r="B16" s="21"/>
      <c r="C16" s="28"/>
      <c r="D16" s="13" t="s">
        <v>14</v>
      </c>
      <c r="E16" s="70">
        <f t="shared" ref="E16:AG16" si="2">SUM(E14:E15)</f>
        <v>274</v>
      </c>
      <c r="F16" s="70">
        <f t="shared" si="2"/>
        <v>230</v>
      </c>
      <c r="G16" s="70">
        <f t="shared" si="2"/>
        <v>221</v>
      </c>
      <c r="H16" s="70">
        <f t="shared" si="2"/>
        <v>293</v>
      </c>
      <c r="I16" s="70">
        <f t="shared" si="2"/>
        <v>247</v>
      </c>
      <c r="J16" s="70">
        <f t="shared" si="2"/>
        <v>260</v>
      </c>
      <c r="K16" s="70">
        <f t="shared" si="2"/>
        <v>237</v>
      </c>
      <c r="L16" s="70">
        <f t="shared" si="2"/>
        <v>201</v>
      </c>
      <c r="M16" s="70">
        <f t="shared" si="2"/>
        <v>268</v>
      </c>
      <c r="N16" s="70">
        <f t="shared" si="2"/>
        <v>286</v>
      </c>
      <c r="O16" s="70">
        <f t="shared" si="2"/>
        <v>291</v>
      </c>
      <c r="P16" s="70">
        <f t="shared" si="2"/>
        <v>284</v>
      </c>
      <c r="Q16" s="70">
        <f t="shared" si="2"/>
        <v>268</v>
      </c>
      <c r="R16" s="70">
        <f t="shared" si="2"/>
        <v>236</v>
      </c>
      <c r="S16" s="70">
        <f t="shared" si="2"/>
        <v>234</v>
      </c>
      <c r="T16" s="70">
        <f t="shared" si="2"/>
        <v>261</v>
      </c>
      <c r="U16" s="70">
        <f t="shared" si="2"/>
        <v>296</v>
      </c>
      <c r="V16" s="70">
        <f t="shared" si="2"/>
        <v>269</v>
      </c>
      <c r="W16" s="70">
        <f t="shared" si="2"/>
        <v>213</v>
      </c>
      <c r="X16" s="70">
        <f t="shared" si="2"/>
        <v>232</v>
      </c>
      <c r="Y16" s="70">
        <f t="shared" si="2"/>
        <v>155</v>
      </c>
      <c r="Z16" s="70">
        <f t="shared" si="2"/>
        <v>291</v>
      </c>
      <c r="AA16" s="70">
        <f t="shared" si="2"/>
        <v>255</v>
      </c>
      <c r="AB16" s="70">
        <f t="shared" si="2"/>
        <v>271</v>
      </c>
      <c r="AC16" s="70">
        <f t="shared" si="2"/>
        <v>258</v>
      </c>
      <c r="AD16" s="70">
        <f t="shared" si="2"/>
        <v>295</v>
      </c>
      <c r="AE16" s="70">
        <f t="shared" si="2"/>
        <v>244</v>
      </c>
      <c r="AF16" s="70">
        <f t="shared" si="2"/>
        <v>209</v>
      </c>
      <c r="AG16" s="70">
        <f t="shared" si="2"/>
        <v>246</v>
      </c>
      <c r="AH16" s="13">
        <f t="shared" si="1"/>
        <v>7325</v>
      </c>
    </row>
    <row r="17" ht="12.75" customHeight="1">
      <c r="A17" s="24"/>
      <c r="B17" s="15"/>
      <c r="C17" s="15"/>
      <c r="D17" s="16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66"/>
    </row>
    <row r="18" ht="12.75" customHeight="1">
      <c r="A18" s="30" t="s">
        <v>15</v>
      </c>
      <c r="B18" s="20" t="s">
        <v>16</v>
      </c>
      <c r="C18" s="15"/>
      <c r="D18" s="16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6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9">
        <v>115.0</v>
      </c>
      <c r="F19" s="69">
        <v>92.0</v>
      </c>
      <c r="G19" s="69">
        <v>80.0</v>
      </c>
      <c r="H19" s="69">
        <v>127.0</v>
      </c>
      <c r="I19" s="69">
        <v>97.0</v>
      </c>
      <c r="J19" s="69">
        <v>94.0</v>
      </c>
      <c r="K19" s="69">
        <v>83.0</v>
      </c>
      <c r="L19" s="69">
        <v>73.0</v>
      </c>
      <c r="M19" s="69">
        <v>99.0</v>
      </c>
      <c r="N19" s="69">
        <v>110.0</v>
      </c>
      <c r="O19" s="69">
        <v>113.0</v>
      </c>
      <c r="P19" s="69">
        <v>114.0</v>
      </c>
      <c r="Q19" s="69">
        <v>96.0</v>
      </c>
      <c r="R19" s="69">
        <v>90.0</v>
      </c>
      <c r="S19" s="69">
        <v>84.0</v>
      </c>
      <c r="T19" s="69">
        <v>96.0</v>
      </c>
      <c r="U19" s="69">
        <v>107.0</v>
      </c>
      <c r="V19" s="69">
        <v>84.0</v>
      </c>
      <c r="W19" s="69">
        <v>78.0</v>
      </c>
      <c r="X19" s="69">
        <v>81.0</v>
      </c>
      <c r="Y19" s="69">
        <v>57.0</v>
      </c>
      <c r="Z19" s="69">
        <v>106.0</v>
      </c>
      <c r="AA19" s="69">
        <v>107.0</v>
      </c>
      <c r="AB19" s="69">
        <v>103.0</v>
      </c>
      <c r="AC19" s="69">
        <v>105.0</v>
      </c>
      <c r="AD19" s="69">
        <v>118.0</v>
      </c>
      <c r="AE19" s="69">
        <v>92.0</v>
      </c>
      <c r="AF19" s="69">
        <v>77.0</v>
      </c>
      <c r="AG19" s="69">
        <v>92.0</v>
      </c>
      <c r="AH19" s="13">
        <f t="shared" ref="AH19:AH30" si="3">SUM(E19:AG19)</f>
        <v>2770</v>
      </c>
    </row>
    <row r="20" ht="12.75" customHeight="1">
      <c r="A20" s="33"/>
      <c r="B20" s="27"/>
      <c r="C20" s="34"/>
      <c r="D20" s="19" t="s">
        <v>13</v>
      </c>
      <c r="E20" s="69">
        <v>112.0</v>
      </c>
      <c r="F20" s="69">
        <v>87.0</v>
      </c>
      <c r="G20" s="69">
        <v>81.0</v>
      </c>
      <c r="H20" s="69">
        <v>121.0</v>
      </c>
      <c r="I20" s="69">
        <v>96.0</v>
      </c>
      <c r="J20" s="69">
        <v>90.0</v>
      </c>
      <c r="K20" s="69">
        <v>96.0</v>
      </c>
      <c r="L20" s="69">
        <v>79.0</v>
      </c>
      <c r="M20" s="69">
        <v>102.0</v>
      </c>
      <c r="N20" s="69">
        <v>126.0</v>
      </c>
      <c r="O20" s="69">
        <v>117.0</v>
      </c>
      <c r="P20" s="69">
        <v>126.0</v>
      </c>
      <c r="Q20" s="69">
        <v>100.0</v>
      </c>
      <c r="R20" s="69">
        <v>92.0</v>
      </c>
      <c r="S20" s="69">
        <v>99.0</v>
      </c>
      <c r="T20" s="69">
        <v>102.0</v>
      </c>
      <c r="U20" s="69">
        <v>122.0</v>
      </c>
      <c r="V20" s="69">
        <v>90.0</v>
      </c>
      <c r="W20" s="69">
        <v>90.0</v>
      </c>
      <c r="X20" s="69">
        <v>84.0</v>
      </c>
      <c r="Y20" s="69">
        <v>55.0</v>
      </c>
      <c r="Z20" s="69">
        <v>110.0</v>
      </c>
      <c r="AA20" s="69">
        <v>100.0</v>
      </c>
      <c r="AB20" s="69">
        <v>112.0</v>
      </c>
      <c r="AC20" s="69">
        <v>100.0</v>
      </c>
      <c r="AD20" s="69">
        <v>98.0</v>
      </c>
      <c r="AE20" s="69">
        <v>89.0</v>
      </c>
      <c r="AF20" s="69">
        <v>78.0</v>
      </c>
      <c r="AG20" s="69">
        <v>104.0</v>
      </c>
      <c r="AH20" s="13">
        <f t="shared" si="3"/>
        <v>2858</v>
      </c>
    </row>
    <row r="21" ht="12.75" customHeight="1">
      <c r="A21" s="35"/>
      <c r="B21" s="28"/>
      <c r="C21" s="36"/>
      <c r="D21" s="13" t="s">
        <v>14</v>
      </c>
      <c r="E21" s="70">
        <f>SUM(E19:E20)</f>
        <v>227</v>
      </c>
      <c r="F21" s="70">
        <v>179.0</v>
      </c>
      <c r="G21" s="70">
        <v>161.0</v>
      </c>
      <c r="H21" s="70">
        <v>248.0</v>
      </c>
      <c r="I21" s="70">
        <v>193.0</v>
      </c>
      <c r="J21" s="70">
        <v>184.0</v>
      </c>
      <c r="K21" s="70">
        <v>179.0</v>
      </c>
      <c r="L21" s="70">
        <v>152.0</v>
      </c>
      <c r="M21" s="70">
        <v>201.0</v>
      </c>
      <c r="N21" s="70">
        <v>236.0</v>
      </c>
      <c r="O21" s="70">
        <v>230.0</v>
      </c>
      <c r="P21" s="70">
        <v>240.0</v>
      </c>
      <c r="Q21" s="70">
        <v>196.0</v>
      </c>
      <c r="R21" s="70">
        <v>182.0</v>
      </c>
      <c r="S21" s="70">
        <v>183.0</v>
      </c>
      <c r="T21" s="70">
        <v>198.0</v>
      </c>
      <c r="U21" s="70">
        <v>229.0</v>
      </c>
      <c r="V21" s="70">
        <v>174.0</v>
      </c>
      <c r="W21" s="70">
        <v>168.0</v>
      </c>
      <c r="X21" s="70">
        <v>165.0</v>
      </c>
      <c r="Y21" s="70">
        <v>112.0</v>
      </c>
      <c r="Z21" s="70">
        <v>216.0</v>
      </c>
      <c r="AA21" s="70">
        <v>207.0</v>
      </c>
      <c r="AB21" s="70">
        <v>215.0</v>
      </c>
      <c r="AC21" s="70">
        <v>205.0</v>
      </c>
      <c r="AD21" s="70">
        <v>216.0</v>
      </c>
      <c r="AE21" s="70">
        <v>181.0</v>
      </c>
      <c r="AF21" s="70">
        <v>155.0</v>
      </c>
      <c r="AG21" s="70">
        <v>196.0</v>
      </c>
      <c r="AH21" s="13">
        <f t="shared" si="3"/>
        <v>5628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9">
        <v>0.0</v>
      </c>
      <c r="F22" s="69">
        <v>0.0</v>
      </c>
      <c r="G22" s="69">
        <v>0.0</v>
      </c>
      <c r="H22" s="69">
        <v>2.0</v>
      </c>
      <c r="I22" s="69">
        <v>0.0</v>
      </c>
      <c r="J22" s="69">
        <v>0.0</v>
      </c>
      <c r="K22" s="69">
        <v>0.0</v>
      </c>
      <c r="L22" s="69">
        <v>0.0</v>
      </c>
      <c r="M22" s="69">
        <v>1.0</v>
      </c>
      <c r="N22" s="69">
        <v>0.0</v>
      </c>
      <c r="O22" s="69">
        <v>0.0</v>
      </c>
      <c r="P22" s="69">
        <v>0.0</v>
      </c>
      <c r="Q22" s="69">
        <v>0.0</v>
      </c>
      <c r="R22" s="69">
        <v>0.0</v>
      </c>
      <c r="S22" s="69">
        <v>0.0</v>
      </c>
      <c r="T22" s="69">
        <v>0.0</v>
      </c>
      <c r="U22" s="69">
        <v>1.0</v>
      </c>
      <c r="V22" s="69">
        <v>1.0</v>
      </c>
      <c r="W22" s="69">
        <v>0.0</v>
      </c>
      <c r="X22" s="69">
        <v>0.0</v>
      </c>
      <c r="Y22" s="69">
        <v>0.0</v>
      </c>
      <c r="Z22" s="69">
        <v>0.0</v>
      </c>
      <c r="AA22" s="69">
        <v>0.0</v>
      </c>
      <c r="AB22" s="69">
        <v>0.0</v>
      </c>
      <c r="AC22" s="69">
        <v>0.0</v>
      </c>
      <c r="AD22" s="69">
        <v>0.0</v>
      </c>
      <c r="AE22" s="69">
        <v>0.0</v>
      </c>
      <c r="AF22" s="69">
        <v>0.0</v>
      </c>
      <c r="AG22" s="69">
        <v>0.0</v>
      </c>
      <c r="AH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69">
        <v>0.0</v>
      </c>
      <c r="F23" s="69">
        <v>0.0</v>
      </c>
      <c r="G23" s="69">
        <v>0.0</v>
      </c>
      <c r="H23" s="69">
        <v>3.0</v>
      </c>
      <c r="I23" s="69">
        <v>1.0</v>
      </c>
      <c r="J23" s="69">
        <v>0.0</v>
      </c>
      <c r="K23" s="69">
        <v>0.0</v>
      </c>
      <c r="L23" s="69">
        <v>0.0</v>
      </c>
      <c r="M23" s="69">
        <v>1.0</v>
      </c>
      <c r="N23" s="69">
        <v>0.0</v>
      </c>
      <c r="O23" s="69">
        <v>0.0</v>
      </c>
      <c r="P23" s="69">
        <v>0.0</v>
      </c>
      <c r="Q23" s="69">
        <v>0.0</v>
      </c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9">
        <v>0.0</v>
      </c>
      <c r="Y23" s="69">
        <v>0.0</v>
      </c>
      <c r="Z23" s="69">
        <v>0.0</v>
      </c>
      <c r="AA23" s="69">
        <v>0.0</v>
      </c>
      <c r="AB23" s="69">
        <v>0.0</v>
      </c>
      <c r="AC23" s="69">
        <v>0.0</v>
      </c>
      <c r="AD23" s="69">
        <v>0.0</v>
      </c>
      <c r="AE23" s="69">
        <v>0.0</v>
      </c>
      <c r="AF23" s="69">
        <v>0.0</v>
      </c>
      <c r="AG23" s="69">
        <v>0.0</v>
      </c>
      <c r="AH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70">
        <f t="shared" ref="E24:AG24" si="4">SUM(E22:E23)</f>
        <v>0</v>
      </c>
      <c r="F24" s="70">
        <f t="shared" si="4"/>
        <v>0</v>
      </c>
      <c r="G24" s="70">
        <f t="shared" si="4"/>
        <v>0</v>
      </c>
      <c r="H24" s="70">
        <f t="shared" si="4"/>
        <v>5</v>
      </c>
      <c r="I24" s="70">
        <f t="shared" si="4"/>
        <v>1</v>
      </c>
      <c r="J24" s="70">
        <f t="shared" si="4"/>
        <v>0</v>
      </c>
      <c r="K24" s="70">
        <f t="shared" si="4"/>
        <v>0</v>
      </c>
      <c r="L24" s="70">
        <f t="shared" si="4"/>
        <v>0</v>
      </c>
      <c r="M24" s="70">
        <f t="shared" si="4"/>
        <v>2</v>
      </c>
      <c r="N24" s="70">
        <f t="shared" si="4"/>
        <v>0</v>
      </c>
      <c r="O24" s="70">
        <f t="shared" si="4"/>
        <v>0</v>
      </c>
      <c r="P24" s="70">
        <f t="shared" si="4"/>
        <v>0</v>
      </c>
      <c r="Q24" s="70">
        <f t="shared" si="4"/>
        <v>0</v>
      </c>
      <c r="R24" s="70">
        <f t="shared" si="4"/>
        <v>0</v>
      </c>
      <c r="S24" s="70">
        <f t="shared" si="4"/>
        <v>0</v>
      </c>
      <c r="T24" s="70">
        <f t="shared" si="4"/>
        <v>0</v>
      </c>
      <c r="U24" s="70">
        <f t="shared" si="4"/>
        <v>1</v>
      </c>
      <c r="V24" s="70">
        <f t="shared" si="4"/>
        <v>1</v>
      </c>
      <c r="W24" s="70">
        <f t="shared" si="4"/>
        <v>0</v>
      </c>
      <c r="X24" s="70">
        <f t="shared" si="4"/>
        <v>0</v>
      </c>
      <c r="Y24" s="70">
        <f t="shared" si="4"/>
        <v>0</v>
      </c>
      <c r="Z24" s="70">
        <f t="shared" si="4"/>
        <v>0</v>
      </c>
      <c r="AA24" s="70">
        <f t="shared" si="4"/>
        <v>0</v>
      </c>
      <c r="AB24" s="70">
        <f t="shared" si="4"/>
        <v>0</v>
      </c>
      <c r="AC24" s="70">
        <f t="shared" si="4"/>
        <v>0</v>
      </c>
      <c r="AD24" s="70">
        <f t="shared" si="4"/>
        <v>0</v>
      </c>
      <c r="AE24" s="70">
        <f t="shared" si="4"/>
        <v>0</v>
      </c>
      <c r="AF24" s="70">
        <f t="shared" si="4"/>
        <v>0</v>
      </c>
      <c r="AG24" s="70">
        <f t="shared" si="4"/>
        <v>0</v>
      </c>
      <c r="AH24" s="13">
        <f t="shared" si="3"/>
        <v>10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9">
        <v>0.0</v>
      </c>
      <c r="F25" s="69">
        <v>0.0</v>
      </c>
      <c r="G25" s="69">
        <v>1.0</v>
      </c>
      <c r="H25" s="69">
        <v>1.0</v>
      </c>
      <c r="I25" s="69">
        <v>1.0</v>
      </c>
      <c r="J25" s="69">
        <v>0.0</v>
      </c>
      <c r="K25" s="69">
        <v>0.0</v>
      </c>
      <c r="L25" s="69">
        <v>1.0</v>
      </c>
      <c r="M25" s="69">
        <v>1.0</v>
      </c>
      <c r="N25" s="69">
        <v>1.0</v>
      </c>
      <c r="O25" s="69">
        <v>0.0</v>
      </c>
      <c r="P25" s="69">
        <v>4.0</v>
      </c>
      <c r="Q25" s="69">
        <v>1.0</v>
      </c>
      <c r="R25" s="69">
        <v>0.0</v>
      </c>
      <c r="S25" s="69">
        <v>0.0</v>
      </c>
      <c r="T25" s="69">
        <v>2.0</v>
      </c>
      <c r="U25" s="69">
        <v>2.0</v>
      </c>
      <c r="V25" s="69">
        <v>1.0</v>
      </c>
      <c r="W25" s="69">
        <v>0.0</v>
      </c>
      <c r="X25" s="69">
        <v>6.0</v>
      </c>
      <c r="Y25" s="69">
        <v>1.0</v>
      </c>
      <c r="Z25" s="69">
        <v>0.0</v>
      </c>
      <c r="AA25" s="69">
        <v>0.0</v>
      </c>
      <c r="AB25" s="69">
        <v>2.0</v>
      </c>
      <c r="AC25" s="69">
        <v>1.0</v>
      </c>
      <c r="AD25" s="69">
        <v>1.0</v>
      </c>
      <c r="AE25" s="69">
        <v>0.0</v>
      </c>
      <c r="AF25" s="69">
        <v>0.0</v>
      </c>
      <c r="AG25" s="69">
        <v>0.0</v>
      </c>
      <c r="AH25" s="13">
        <f t="shared" si="3"/>
        <v>27</v>
      </c>
    </row>
    <row r="26" ht="12.75" customHeight="1">
      <c r="A26" s="33"/>
      <c r="B26" s="27"/>
      <c r="C26" s="34"/>
      <c r="D26" s="19" t="s">
        <v>13</v>
      </c>
      <c r="E26" s="69">
        <v>0.0</v>
      </c>
      <c r="F26" s="69">
        <v>0.0</v>
      </c>
      <c r="G26" s="69">
        <v>0.0</v>
      </c>
      <c r="H26" s="69">
        <v>1.0</v>
      </c>
      <c r="I26" s="69">
        <v>1.0</v>
      </c>
      <c r="J26" s="69">
        <v>0.0</v>
      </c>
      <c r="K26" s="69">
        <v>1.0</v>
      </c>
      <c r="L26" s="69">
        <v>3.0</v>
      </c>
      <c r="M26" s="69">
        <v>1.0</v>
      </c>
      <c r="N26" s="69">
        <v>2.0</v>
      </c>
      <c r="O26" s="69">
        <v>0.0</v>
      </c>
      <c r="P26" s="69">
        <v>4.0</v>
      </c>
      <c r="Q26" s="69">
        <v>0.0</v>
      </c>
      <c r="R26" s="69">
        <v>0.0</v>
      </c>
      <c r="S26" s="69">
        <v>0.0</v>
      </c>
      <c r="T26" s="69">
        <v>1.0</v>
      </c>
      <c r="U26" s="69">
        <v>1.0</v>
      </c>
      <c r="V26" s="69">
        <v>0.0</v>
      </c>
      <c r="W26" s="69">
        <v>1.0</v>
      </c>
      <c r="X26" s="69">
        <v>2.0</v>
      </c>
      <c r="Y26" s="69">
        <v>5.0</v>
      </c>
      <c r="Z26" s="69">
        <v>0.0</v>
      </c>
      <c r="AA26" s="69">
        <v>0.0</v>
      </c>
      <c r="AB26" s="69">
        <v>0.0</v>
      </c>
      <c r="AC26" s="69">
        <v>0.0</v>
      </c>
      <c r="AD26" s="69">
        <v>3.0</v>
      </c>
      <c r="AE26" s="69">
        <v>0.0</v>
      </c>
      <c r="AF26" s="69">
        <v>3.0</v>
      </c>
      <c r="AG26" s="69">
        <v>0.0</v>
      </c>
      <c r="AH26" s="13">
        <f t="shared" si="3"/>
        <v>29</v>
      </c>
    </row>
    <row r="27" ht="12.75" customHeight="1">
      <c r="A27" s="35"/>
      <c r="B27" s="28"/>
      <c r="C27" s="36"/>
      <c r="D27" s="13" t="s">
        <v>14</v>
      </c>
      <c r="E27" s="70">
        <f t="shared" ref="E27:AG27" si="5">SUM(E25:E26)</f>
        <v>0</v>
      </c>
      <c r="F27" s="70">
        <f t="shared" si="5"/>
        <v>0</v>
      </c>
      <c r="G27" s="70">
        <f t="shared" si="5"/>
        <v>1</v>
      </c>
      <c r="H27" s="70">
        <f t="shared" si="5"/>
        <v>2</v>
      </c>
      <c r="I27" s="70">
        <f t="shared" si="5"/>
        <v>2</v>
      </c>
      <c r="J27" s="70">
        <f t="shared" si="5"/>
        <v>0</v>
      </c>
      <c r="K27" s="70">
        <f t="shared" si="5"/>
        <v>1</v>
      </c>
      <c r="L27" s="70">
        <f t="shared" si="5"/>
        <v>4</v>
      </c>
      <c r="M27" s="70">
        <f t="shared" si="5"/>
        <v>2</v>
      </c>
      <c r="N27" s="70">
        <f t="shared" si="5"/>
        <v>3</v>
      </c>
      <c r="O27" s="70">
        <f t="shared" si="5"/>
        <v>0</v>
      </c>
      <c r="P27" s="70">
        <f t="shared" si="5"/>
        <v>8</v>
      </c>
      <c r="Q27" s="70">
        <f t="shared" si="5"/>
        <v>1</v>
      </c>
      <c r="R27" s="70">
        <f t="shared" si="5"/>
        <v>0</v>
      </c>
      <c r="S27" s="70">
        <f t="shared" si="5"/>
        <v>0</v>
      </c>
      <c r="T27" s="70">
        <f t="shared" si="5"/>
        <v>3</v>
      </c>
      <c r="U27" s="70">
        <f t="shared" si="5"/>
        <v>3</v>
      </c>
      <c r="V27" s="70">
        <f t="shared" si="5"/>
        <v>1</v>
      </c>
      <c r="W27" s="70">
        <f t="shared" si="5"/>
        <v>1</v>
      </c>
      <c r="X27" s="70">
        <f t="shared" si="5"/>
        <v>8</v>
      </c>
      <c r="Y27" s="70">
        <f t="shared" si="5"/>
        <v>6</v>
      </c>
      <c r="Z27" s="70">
        <f t="shared" si="5"/>
        <v>0</v>
      </c>
      <c r="AA27" s="70">
        <f t="shared" si="5"/>
        <v>0</v>
      </c>
      <c r="AB27" s="70">
        <f t="shared" si="5"/>
        <v>2</v>
      </c>
      <c r="AC27" s="70">
        <f t="shared" si="5"/>
        <v>1</v>
      </c>
      <c r="AD27" s="70">
        <f t="shared" si="5"/>
        <v>4</v>
      </c>
      <c r="AE27" s="70">
        <f t="shared" si="5"/>
        <v>0</v>
      </c>
      <c r="AF27" s="70">
        <f t="shared" si="5"/>
        <v>3</v>
      </c>
      <c r="AG27" s="70">
        <f t="shared" si="5"/>
        <v>0</v>
      </c>
      <c r="AH27" s="13">
        <f t="shared" si="3"/>
        <v>56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70">
        <f t="shared" ref="E28:AG28" si="6">E19+E22+E25</f>
        <v>115</v>
      </c>
      <c r="F28" s="70">
        <f t="shared" si="6"/>
        <v>92</v>
      </c>
      <c r="G28" s="70">
        <f t="shared" si="6"/>
        <v>81</v>
      </c>
      <c r="H28" s="70">
        <f t="shared" si="6"/>
        <v>130</v>
      </c>
      <c r="I28" s="70">
        <f t="shared" si="6"/>
        <v>98</v>
      </c>
      <c r="J28" s="70">
        <f t="shared" si="6"/>
        <v>94</v>
      </c>
      <c r="K28" s="70">
        <f t="shared" si="6"/>
        <v>83</v>
      </c>
      <c r="L28" s="70">
        <f t="shared" si="6"/>
        <v>74</v>
      </c>
      <c r="M28" s="70">
        <f t="shared" si="6"/>
        <v>101</v>
      </c>
      <c r="N28" s="70">
        <f t="shared" si="6"/>
        <v>111</v>
      </c>
      <c r="O28" s="70">
        <f t="shared" si="6"/>
        <v>113</v>
      </c>
      <c r="P28" s="70">
        <f t="shared" si="6"/>
        <v>118</v>
      </c>
      <c r="Q28" s="70">
        <f t="shared" si="6"/>
        <v>97</v>
      </c>
      <c r="R28" s="70">
        <f t="shared" si="6"/>
        <v>90</v>
      </c>
      <c r="S28" s="70">
        <f t="shared" si="6"/>
        <v>84</v>
      </c>
      <c r="T28" s="70">
        <f t="shared" si="6"/>
        <v>98</v>
      </c>
      <c r="U28" s="70">
        <f t="shared" si="6"/>
        <v>110</v>
      </c>
      <c r="V28" s="70">
        <f t="shared" si="6"/>
        <v>86</v>
      </c>
      <c r="W28" s="70">
        <f t="shared" si="6"/>
        <v>78</v>
      </c>
      <c r="X28" s="70">
        <f t="shared" si="6"/>
        <v>87</v>
      </c>
      <c r="Y28" s="70">
        <f t="shared" si="6"/>
        <v>58</v>
      </c>
      <c r="Z28" s="70">
        <f t="shared" si="6"/>
        <v>106</v>
      </c>
      <c r="AA28" s="70">
        <f t="shared" si="6"/>
        <v>107</v>
      </c>
      <c r="AB28" s="70">
        <f t="shared" si="6"/>
        <v>105</v>
      </c>
      <c r="AC28" s="70">
        <f t="shared" si="6"/>
        <v>106</v>
      </c>
      <c r="AD28" s="70">
        <f t="shared" si="6"/>
        <v>119</v>
      </c>
      <c r="AE28" s="70">
        <f t="shared" si="6"/>
        <v>92</v>
      </c>
      <c r="AF28" s="70">
        <f t="shared" si="6"/>
        <v>77</v>
      </c>
      <c r="AG28" s="70">
        <f t="shared" si="6"/>
        <v>92</v>
      </c>
      <c r="AH28" s="13">
        <f t="shared" si="3"/>
        <v>2802</v>
      </c>
    </row>
    <row r="29" ht="12.75" customHeight="1">
      <c r="A29" s="35"/>
      <c r="B29" s="27"/>
      <c r="C29" s="34"/>
      <c r="D29" s="13" t="s">
        <v>13</v>
      </c>
      <c r="E29" s="70">
        <f t="shared" ref="E29:AG29" si="7">E20+E23+E26</f>
        <v>112</v>
      </c>
      <c r="F29" s="70">
        <f t="shared" si="7"/>
        <v>87</v>
      </c>
      <c r="G29" s="70">
        <f t="shared" si="7"/>
        <v>81</v>
      </c>
      <c r="H29" s="70">
        <f t="shared" si="7"/>
        <v>125</v>
      </c>
      <c r="I29" s="70">
        <f t="shared" si="7"/>
        <v>98</v>
      </c>
      <c r="J29" s="70">
        <f t="shared" si="7"/>
        <v>90</v>
      </c>
      <c r="K29" s="70">
        <f t="shared" si="7"/>
        <v>97</v>
      </c>
      <c r="L29" s="70">
        <f t="shared" si="7"/>
        <v>82</v>
      </c>
      <c r="M29" s="70">
        <f t="shared" si="7"/>
        <v>104</v>
      </c>
      <c r="N29" s="70">
        <f t="shared" si="7"/>
        <v>128</v>
      </c>
      <c r="O29" s="70">
        <f t="shared" si="7"/>
        <v>117</v>
      </c>
      <c r="P29" s="70">
        <f t="shared" si="7"/>
        <v>130</v>
      </c>
      <c r="Q29" s="70">
        <f t="shared" si="7"/>
        <v>100</v>
      </c>
      <c r="R29" s="70">
        <f t="shared" si="7"/>
        <v>92</v>
      </c>
      <c r="S29" s="70">
        <f t="shared" si="7"/>
        <v>99</v>
      </c>
      <c r="T29" s="70">
        <f t="shared" si="7"/>
        <v>103</v>
      </c>
      <c r="U29" s="70">
        <f t="shared" si="7"/>
        <v>123</v>
      </c>
      <c r="V29" s="70">
        <f t="shared" si="7"/>
        <v>90</v>
      </c>
      <c r="W29" s="70">
        <f t="shared" si="7"/>
        <v>91</v>
      </c>
      <c r="X29" s="70">
        <f t="shared" si="7"/>
        <v>86</v>
      </c>
      <c r="Y29" s="70">
        <f t="shared" si="7"/>
        <v>60</v>
      </c>
      <c r="Z29" s="70">
        <f t="shared" si="7"/>
        <v>110</v>
      </c>
      <c r="AA29" s="70">
        <f t="shared" si="7"/>
        <v>100</v>
      </c>
      <c r="AB29" s="70">
        <f t="shared" si="7"/>
        <v>112</v>
      </c>
      <c r="AC29" s="70">
        <f t="shared" si="7"/>
        <v>100</v>
      </c>
      <c r="AD29" s="70">
        <f t="shared" si="7"/>
        <v>101</v>
      </c>
      <c r="AE29" s="70">
        <f t="shared" si="7"/>
        <v>89</v>
      </c>
      <c r="AF29" s="70">
        <f t="shared" si="7"/>
        <v>81</v>
      </c>
      <c r="AG29" s="70">
        <f t="shared" si="7"/>
        <v>104</v>
      </c>
      <c r="AH29" s="13">
        <f t="shared" si="3"/>
        <v>2892</v>
      </c>
    </row>
    <row r="30" ht="12.75" customHeight="1">
      <c r="A30" s="35"/>
      <c r="B30" s="28"/>
      <c r="C30" s="36"/>
      <c r="D30" s="13" t="s">
        <v>14</v>
      </c>
      <c r="E30" s="72">
        <f t="shared" ref="E30:AG30" si="8">SUM(E28:E29)</f>
        <v>227</v>
      </c>
      <c r="F30" s="72">
        <f t="shared" si="8"/>
        <v>179</v>
      </c>
      <c r="G30" s="72">
        <f t="shared" si="8"/>
        <v>162</v>
      </c>
      <c r="H30" s="72">
        <f t="shared" si="8"/>
        <v>255</v>
      </c>
      <c r="I30" s="72">
        <f t="shared" si="8"/>
        <v>196</v>
      </c>
      <c r="J30" s="72">
        <f t="shared" si="8"/>
        <v>184</v>
      </c>
      <c r="K30" s="72">
        <f t="shared" si="8"/>
        <v>180</v>
      </c>
      <c r="L30" s="72">
        <f t="shared" si="8"/>
        <v>156</v>
      </c>
      <c r="M30" s="72">
        <f t="shared" si="8"/>
        <v>205</v>
      </c>
      <c r="N30" s="72">
        <f t="shared" si="8"/>
        <v>239</v>
      </c>
      <c r="O30" s="72">
        <f t="shared" si="8"/>
        <v>230</v>
      </c>
      <c r="P30" s="72">
        <f t="shared" si="8"/>
        <v>248</v>
      </c>
      <c r="Q30" s="72">
        <f t="shared" si="8"/>
        <v>197</v>
      </c>
      <c r="R30" s="72">
        <f t="shared" si="8"/>
        <v>182</v>
      </c>
      <c r="S30" s="72">
        <f t="shared" si="8"/>
        <v>183</v>
      </c>
      <c r="T30" s="72">
        <f t="shared" si="8"/>
        <v>201</v>
      </c>
      <c r="U30" s="72">
        <f t="shared" si="8"/>
        <v>233</v>
      </c>
      <c r="V30" s="72">
        <f t="shared" si="8"/>
        <v>176</v>
      </c>
      <c r="W30" s="72">
        <f t="shared" si="8"/>
        <v>169</v>
      </c>
      <c r="X30" s="72">
        <f t="shared" si="8"/>
        <v>173</v>
      </c>
      <c r="Y30" s="72">
        <f t="shared" si="8"/>
        <v>118</v>
      </c>
      <c r="Z30" s="72">
        <f t="shared" si="8"/>
        <v>216</v>
      </c>
      <c r="AA30" s="72">
        <f t="shared" si="8"/>
        <v>207</v>
      </c>
      <c r="AB30" s="72">
        <f t="shared" si="8"/>
        <v>217</v>
      </c>
      <c r="AC30" s="72">
        <f t="shared" si="8"/>
        <v>206</v>
      </c>
      <c r="AD30" s="72">
        <f t="shared" si="8"/>
        <v>220</v>
      </c>
      <c r="AE30" s="72">
        <f t="shared" si="8"/>
        <v>181</v>
      </c>
      <c r="AF30" s="72">
        <f t="shared" si="8"/>
        <v>158</v>
      </c>
      <c r="AG30" s="72">
        <f t="shared" si="8"/>
        <v>196</v>
      </c>
      <c r="AH30" s="13">
        <f t="shared" si="3"/>
        <v>5694</v>
      </c>
    </row>
    <row r="31" ht="12.75" customHeight="1">
      <c r="A31" s="24"/>
      <c r="B31" s="15"/>
      <c r="C31" s="15"/>
      <c r="D31" s="16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66"/>
    </row>
    <row r="32" ht="12.75" customHeight="1">
      <c r="A32" s="41" t="s">
        <v>25</v>
      </c>
      <c r="B32" s="14" t="s">
        <v>26</v>
      </c>
      <c r="C32" s="15"/>
      <c r="D32" s="16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66"/>
    </row>
    <row r="33" ht="12.75" customHeight="1">
      <c r="A33" s="19">
        <v>1.0</v>
      </c>
      <c r="B33" s="20" t="s">
        <v>27</v>
      </c>
      <c r="C33" s="15"/>
      <c r="D33" s="16"/>
      <c r="E33" s="69">
        <v>280.0</v>
      </c>
      <c r="F33" s="69">
        <v>235.0</v>
      </c>
      <c r="G33" s="69">
        <v>226.0</v>
      </c>
      <c r="H33" s="69">
        <v>296.0</v>
      </c>
      <c r="I33" s="69">
        <v>252.0</v>
      </c>
      <c r="J33" s="69">
        <v>264.0</v>
      </c>
      <c r="K33" s="69">
        <v>242.0</v>
      </c>
      <c r="L33" s="69">
        <v>206.0</v>
      </c>
      <c r="M33" s="69">
        <v>274.0</v>
      </c>
      <c r="N33" s="69">
        <v>292.0</v>
      </c>
      <c r="O33" s="69">
        <v>297.0</v>
      </c>
      <c r="P33" s="69">
        <v>290.0</v>
      </c>
      <c r="Q33" s="69">
        <v>274.0</v>
      </c>
      <c r="R33" s="69">
        <v>243.0</v>
      </c>
      <c r="S33" s="69">
        <v>239.0</v>
      </c>
      <c r="T33" s="69">
        <v>257.0</v>
      </c>
      <c r="U33" s="69">
        <v>302.0</v>
      </c>
      <c r="V33" s="69">
        <v>275.0</v>
      </c>
      <c r="W33" s="69">
        <v>218.0</v>
      </c>
      <c r="X33" s="69">
        <v>237.0</v>
      </c>
      <c r="Y33" s="69">
        <v>159.0</v>
      </c>
      <c r="Z33" s="69">
        <v>270.0</v>
      </c>
      <c r="AA33" s="69">
        <v>259.0</v>
      </c>
      <c r="AB33" s="69">
        <v>277.0</v>
      </c>
      <c r="AC33" s="69">
        <v>263.0</v>
      </c>
      <c r="AD33" s="69">
        <v>301.0</v>
      </c>
      <c r="AE33" s="69">
        <v>248.0</v>
      </c>
      <c r="AF33" s="69">
        <v>214.0</v>
      </c>
      <c r="AG33" s="69">
        <v>251.0</v>
      </c>
      <c r="AH33" s="13">
        <f t="shared" ref="AH33:AH36" si="9">SUM(E33:AG33)</f>
        <v>7441</v>
      </c>
    </row>
    <row r="34" ht="12.75" customHeight="1">
      <c r="A34" s="19">
        <v>2.0</v>
      </c>
      <c r="B34" s="20" t="s">
        <v>28</v>
      </c>
      <c r="C34" s="15"/>
      <c r="D34" s="16"/>
      <c r="E34" s="73">
        <v>227.0</v>
      </c>
      <c r="F34" s="73">
        <v>179.0</v>
      </c>
      <c r="G34" s="73">
        <v>162.0</v>
      </c>
      <c r="H34" s="73">
        <v>255.0</v>
      </c>
      <c r="I34" s="73">
        <v>196.0</v>
      </c>
      <c r="J34" s="73">
        <v>184.0</v>
      </c>
      <c r="K34" s="73">
        <v>180.0</v>
      </c>
      <c r="L34" s="73">
        <v>156.0</v>
      </c>
      <c r="M34" s="73">
        <v>205.0</v>
      </c>
      <c r="N34" s="73">
        <v>239.0</v>
      </c>
      <c r="O34" s="73">
        <v>230.0</v>
      </c>
      <c r="P34" s="73">
        <v>248.0</v>
      </c>
      <c r="Q34" s="73">
        <v>197.0</v>
      </c>
      <c r="R34" s="73">
        <v>182.0</v>
      </c>
      <c r="S34" s="73">
        <v>183.0</v>
      </c>
      <c r="T34" s="73">
        <v>201.0</v>
      </c>
      <c r="U34" s="73">
        <v>233.0</v>
      </c>
      <c r="V34" s="73">
        <v>176.0</v>
      </c>
      <c r="W34" s="73">
        <v>169.0</v>
      </c>
      <c r="X34" s="73">
        <v>173.0</v>
      </c>
      <c r="Y34" s="73">
        <v>118.0</v>
      </c>
      <c r="Z34" s="73">
        <v>216.0</v>
      </c>
      <c r="AA34" s="73">
        <v>207.0</v>
      </c>
      <c r="AB34" s="73">
        <v>217.0</v>
      </c>
      <c r="AC34" s="73">
        <v>206.0</v>
      </c>
      <c r="AD34" s="73">
        <v>220.0</v>
      </c>
      <c r="AE34" s="73">
        <v>181.0</v>
      </c>
      <c r="AF34" s="73">
        <v>158.0</v>
      </c>
      <c r="AG34" s="73">
        <v>196.0</v>
      </c>
      <c r="AH34" s="13">
        <f t="shared" si="9"/>
        <v>5694</v>
      </c>
    </row>
    <row r="35" ht="12.75" customHeight="1">
      <c r="A35" s="19">
        <v>3.0</v>
      </c>
      <c r="B35" s="20" t="s">
        <v>29</v>
      </c>
      <c r="C35" s="15"/>
      <c r="D35" s="16"/>
      <c r="E35" s="69">
        <v>0.0</v>
      </c>
      <c r="F35" s="69">
        <v>0.0</v>
      </c>
      <c r="G35" s="69">
        <v>1.0</v>
      </c>
      <c r="H35" s="69">
        <v>0.0</v>
      </c>
      <c r="I35" s="69">
        <v>0.0</v>
      </c>
      <c r="J35" s="69">
        <v>0.0</v>
      </c>
      <c r="K35" s="69">
        <v>4.0</v>
      </c>
      <c r="L35" s="69">
        <v>1.0</v>
      </c>
      <c r="M35" s="69">
        <v>0.0</v>
      </c>
      <c r="N35" s="69">
        <v>0.0</v>
      </c>
      <c r="O35" s="69">
        <v>0.0</v>
      </c>
      <c r="P35" s="69">
        <v>0.0</v>
      </c>
      <c r="Q35" s="69">
        <v>1.0</v>
      </c>
      <c r="R35" s="69">
        <v>0.0</v>
      </c>
      <c r="S35" s="69">
        <v>0.0</v>
      </c>
      <c r="T35" s="69">
        <v>1.0</v>
      </c>
      <c r="U35" s="69">
        <v>0.0</v>
      </c>
      <c r="V35" s="69">
        <v>2.0</v>
      </c>
      <c r="W35" s="69">
        <v>0.0</v>
      </c>
      <c r="X35" s="69">
        <v>1.0</v>
      </c>
      <c r="Y35" s="69">
        <v>0.0</v>
      </c>
      <c r="Z35" s="69">
        <v>0.0</v>
      </c>
      <c r="AA35" s="69">
        <v>0.0</v>
      </c>
      <c r="AB35" s="69">
        <v>0.0</v>
      </c>
      <c r="AC35" s="69">
        <v>0.0</v>
      </c>
      <c r="AD35" s="69">
        <v>0.0</v>
      </c>
      <c r="AE35" s="69">
        <v>0.0</v>
      </c>
      <c r="AF35" s="69">
        <v>1.0</v>
      </c>
      <c r="AG35" s="69">
        <v>0.0</v>
      </c>
      <c r="AH35" s="13">
        <f t="shared" si="9"/>
        <v>12</v>
      </c>
    </row>
    <row r="36" ht="12.75" customHeight="1">
      <c r="A36" s="19">
        <v>4.0</v>
      </c>
      <c r="B36" s="20" t="s">
        <v>30</v>
      </c>
      <c r="C36" s="15"/>
      <c r="D36" s="16"/>
      <c r="E36" s="70">
        <f t="shared" ref="E36:AG36" si="10">E33-E34-E35</f>
        <v>53</v>
      </c>
      <c r="F36" s="70">
        <f t="shared" si="10"/>
        <v>56</v>
      </c>
      <c r="G36" s="70">
        <f t="shared" si="10"/>
        <v>63</v>
      </c>
      <c r="H36" s="70">
        <f t="shared" si="10"/>
        <v>41</v>
      </c>
      <c r="I36" s="70">
        <f t="shared" si="10"/>
        <v>56</v>
      </c>
      <c r="J36" s="70">
        <f t="shared" si="10"/>
        <v>80</v>
      </c>
      <c r="K36" s="70">
        <f t="shared" si="10"/>
        <v>58</v>
      </c>
      <c r="L36" s="70">
        <f t="shared" si="10"/>
        <v>49</v>
      </c>
      <c r="M36" s="70">
        <f t="shared" si="10"/>
        <v>69</v>
      </c>
      <c r="N36" s="70">
        <f t="shared" si="10"/>
        <v>53</v>
      </c>
      <c r="O36" s="70">
        <f t="shared" si="10"/>
        <v>67</v>
      </c>
      <c r="P36" s="70">
        <f t="shared" si="10"/>
        <v>42</v>
      </c>
      <c r="Q36" s="70">
        <f t="shared" si="10"/>
        <v>76</v>
      </c>
      <c r="R36" s="70">
        <f t="shared" si="10"/>
        <v>61</v>
      </c>
      <c r="S36" s="70">
        <f t="shared" si="10"/>
        <v>56</v>
      </c>
      <c r="T36" s="70">
        <f t="shared" si="10"/>
        <v>55</v>
      </c>
      <c r="U36" s="70">
        <f t="shared" si="10"/>
        <v>69</v>
      </c>
      <c r="V36" s="70">
        <f t="shared" si="10"/>
        <v>97</v>
      </c>
      <c r="W36" s="70">
        <f t="shared" si="10"/>
        <v>49</v>
      </c>
      <c r="X36" s="70">
        <f t="shared" si="10"/>
        <v>63</v>
      </c>
      <c r="Y36" s="70">
        <f t="shared" si="10"/>
        <v>41</v>
      </c>
      <c r="Z36" s="70">
        <f t="shared" si="10"/>
        <v>54</v>
      </c>
      <c r="AA36" s="70">
        <f t="shared" si="10"/>
        <v>52</v>
      </c>
      <c r="AB36" s="70">
        <f t="shared" si="10"/>
        <v>60</v>
      </c>
      <c r="AC36" s="70">
        <f t="shared" si="10"/>
        <v>57</v>
      </c>
      <c r="AD36" s="70">
        <f t="shared" si="10"/>
        <v>81</v>
      </c>
      <c r="AE36" s="70">
        <f t="shared" si="10"/>
        <v>67</v>
      </c>
      <c r="AF36" s="70">
        <f t="shared" si="10"/>
        <v>55</v>
      </c>
      <c r="AG36" s="70">
        <f t="shared" si="10"/>
        <v>55</v>
      </c>
      <c r="AH36" s="13">
        <f t="shared" si="9"/>
        <v>1735</v>
      </c>
    </row>
    <row r="37" ht="12.75" customHeight="1">
      <c r="A37" s="24"/>
      <c r="B37" s="15"/>
      <c r="C37" s="15"/>
      <c r="D37" s="15"/>
      <c r="E37" s="7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6"/>
      <c r="X37" s="71"/>
      <c r="Y37" s="71"/>
      <c r="Z37" s="71"/>
      <c r="AA37" s="71"/>
      <c r="AB37" s="71"/>
      <c r="AC37" s="71"/>
      <c r="AD37" s="71"/>
      <c r="AE37" s="71"/>
      <c r="AF37" s="71"/>
      <c r="AG37" s="74"/>
      <c r="AH37" s="66"/>
    </row>
    <row r="38" ht="12.75" customHeight="1">
      <c r="A38" s="42" t="s">
        <v>31</v>
      </c>
      <c r="B38" s="14" t="s">
        <v>32</v>
      </c>
      <c r="C38" s="15"/>
      <c r="D38" s="16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66"/>
    </row>
    <row r="39" ht="12.75" customHeight="1">
      <c r="A39" s="30"/>
      <c r="B39" s="43" t="s">
        <v>33</v>
      </c>
      <c r="C39" s="23"/>
      <c r="D39" s="19" t="s">
        <v>12</v>
      </c>
      <c r="E39" s="69">
        <v>0.0</v>
      </c>
      <c r="F39" s="69">
        <v>0.0</v>
      </c>
      <c r="G39" s="69">
        <v>0.0</v>
      </c>
      <c r="H39" s="69">
        <v>0.0</v>
      </c>
      <c r="I39" s="69">
        <v>0.0</v>
      </c>
      <c r="J39" s="69">
        <v>1.0</v>
      </c>
      <c r="K39" s="69">
        <v>0.0</v>
      </c>
      <c r="L39" s="69">
        <v>0.0</v>
      </c>
      <c r="M39" s="69">
        <v>0.0</v>
      </c>
      <c r="N39" s="69">
        <v>0.0</v>
      </c>
      <c r="O39" s="69">
        <v>0.0</v>
      </c>
      <c r="P39" s="69">
        <v>0.0</v>
      </c>
      <c r="Q39" s="69">
        <v>0.0</v>
      </c>
      <c r="R39" s="69">
        <v>0.0</v>
      </c>
      <c r="S39" s="69">
        <v>0.0</v>
      </c>
      <c r="T39" s="69">
        <v>0.0</v>
      </c>
      <c r="U39" s="69">
        <v>0.0</v>
      </c>
      <c r="V39" s="69">
        <v>0.0</v>
      </c>
      <c r="W39" s="69">
        <v>0.0</v>
      </c>
      <c r="X39" s="69">
        <v>0.0</v>
      </c>
      <c r="Y39" s="69">
        <v>2.0</v>
      </c>
      <c r="Z39" s="69">
        <v>1.0</v>
      </c>
      <c r="AA39" s="69">
        <v>0.0</v>
      </c>
      <c r="AB39" s="69">
        <v>0.0</v>
      </c>
      <c r="AC39" s="69">
        <v>0.0</v>
      </c>
      <c r="AD39" s="69">
        <v>0.0</v>
      </c>
      <c r="AE39" s="69">
        <v>0.0</v>
      </c>
      <c r="AF39" s="69">
        <v>0.0</v>
      </c>
      <c r="AG39" s="69">
        <v>0.0</v>
      </c>
      <c r="AH39" s="13">
        <f t="shared" ref="AH39:AH41" si="11">SUM(E39:AG39)</f>
        <v>4</v>
      </c>
    </row>
    <row r="40" ht="12.75" customHeight="1">
      <c r="A40" s="33"/>
      <c r="C40" s="27"/>
      <c r="D40" s="19" t="s">
        <v>13</v>
      </c>
      <c r="E40" s="69">
        <v>0.0</v>
      </c>
      <c r="F40" s="69">
        <v>0.0</v>
      </c>
      <c r="G40" s="69">
        <v>0.0</v>
      </c>
      <c r="H40" s="69">
        <v>0.0</v>
      </c>
      <c r="I40" s="69">
        <v>0.0</v>
      </c>
      <c r="J40" s="69">
        <v>1.0</v>
      </c>
      <c r="K40" s="69">
        <v>0.0</v>
      </c>
      <c r="L40" s="69">
        <v>0.0</v>
      </c>
      <c r="M40" s="69">
        <v>0.0</v>
      </c>
      <c r="N40" s="69">
        <v>0.0</v>
      </c>
      <c r="O40" s="69">
        <v>0.0</v>
      </c>
      <c r="P40" s="69">
        <v>0.0</v>
      </c>
      <c r="Q40" s="69">
        <v>1.0</v>
      </c>
      <c r="R40" s="69">
        <v>0.0</v>
      </c>
      <c r="S40" s="69">
        <v>0.0</v>
      </c>
      <c r="T40" s="69">
        <v>0.0</v>
      </c>
      <c r="U40" s="69">
        <v>0.0</v>
      </c>
      <c r="V40" s="69">
        <v>0.0</v>
      </c>
      <c r="W40" s="69">
        <v>0.0</v>
      </c>
      <c r="X40" s="69">
        <v>0.0</v>
      </c>
      <c r="Y40" s="69">
        <v>1.0</v>
      </c>
      <c r="Z40" s="69">
        <v>1.0</v>
      </c>
      <c r="AA40" s="69">
        <v>0.0</v>
      </c>
      <c r="AB40" s="69">
        <v>0.0</v>
      </c>
      <c r="AC40" s="69">
        <v>0.0</v>
      </c>
      <c r="AD40" s="69">
        <v>0.0</v>
      </c>
      <c r="AE40" s="69">
        <v>0.0</v>
      </c>
      <c r="AF40" s="69">
        <v>0.0</v>
      </c>
      <c r="AG40" s="69">
        <v>0.0</v>
      </c>
      <c r="AH40" s="13">
        <f t="shared" si="11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G41" si="12">SUM(E39:E40)</f>
        <v>0</v>
      </c>
      <c r="F41" s="13">
        <f t="shared" si="12"/>
        <v>0</v>
      </c>
      <c r="G41" s="13">
        <f t="shared" si="12"/>
        <v>0</v>
      </c>
      <c r="H41" s="13">
        <f t="shared" si="12"/>
        <v>0</v>
      </c>
      <c r="I41" s="13">
        <f t="shared" si="12"/>
        <v>0</v>
      </c>
      <c r="J41" s="13">
        <f t="shared" si="12"/>
        <v>2</v>
      </c>
      <c r="K41" s="13">
        <f t="shared" si="12"/>
        <v>0</v>
      </c>
      <c r="L41" s="13">
        <f t="shared" si="12"/>
        <v>0</v>
      </c>
      <c r="M41" s="13">
        <f t="shared" si="12"/>
        <v>0</v>
      </c>
      <c r="N41" s="13">
        <f t="shared" si="12"/>
        <v>0</v>
      </c>
      <c r="O41" s="13">
        <f t="shared" si="12"/>
        <v>0</v>
      </c>
      <c r="P41" s="13">
        <f t="shared" si="12"/>
        <v>0</v>
      </c>
      <c r="Q41" s="13">
        <f t="shared" si="12"/>
        <v>1</v>
      </c>
      <c r="R41" s="13">
        <f t="shared" si="12"/>
        <v>0</v>
      </c>
      <c r="S41" s="13">
        <f t="shared" si="12"/>
        <v>0</v>
      </c>
      <c r="T41" s="13">
        <f t="shared" si="12"/>
        <v>0</v>
      </c>
      <c r="U41" s="13">
        <f t="shared" si="12"/>
        <v>0</v>
      </c>
      <c r="V41" s="13">
        <f t="shared" si="12"/>
        <v>0</v>
      </c>
      <c r="W41" s="13">
        <f t="shared" si="12"/>
        <v>0</v>
      </c>
      <c r="X41" s="13">
        <f t="shared" si="12"/>
        <v>0</v>
      </c>
      <c r="Y41" s="13">
        <f t="shared" si="12"/>
        <v>3</v>
      </c>
      <c r="Z41" s="13">
        <f t="shared" si="12"/>
        <v>2</v>
      </c>
      <c r="AA41" s="13">
        <f t="shared" si="12"/>
        <v>0</v>
      </c>
      <c r="AB41" s="13">
        <f t="shared" si="12"/>
        <v>0</v>
      </c>
      <c r="AC41" s="13">
        <f t="shared" si="12"/>
        <v>0</v>
      </c>
      <c r="AD41" s="13">
        <f t="shared" si="12"/>
        <v>0</v>
      </c>
      <c r="AE41" s="13">
        <f t="shared" si="12"/>
        <v>0</v>
      </c>
      <c r="AF41" s="13">
        <f t="shared" si="12"/>
        <v>0</v>
      </c>
      <c r="AG41" s="13">
        <f t="shared" si="12"/>
        <v>0</v>
      </c>
      <c r="AH41" s="13">
        <f t="shared" si="11"/>
        <v>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5"/>
      <c r="O42" s="19"/>
      <c r="P42" s="65"/>
      <c r="Q42" s="19"/>
      <c r="R42" s="65"/>
      <c r="S42" s="19"/>
      <c r="T42" s="65"/>
      <c r="U42" s="19"/>
      <c r="V42" s="65"/>
      <c r="W42" s="19"/>
      <c r="X42" s="65"/>
      <c r="Y42" s="19"/>
      <c r="Z42" s="65"/>
      <c r="AA42" s="19"/>
      <c r="AB42" s="65"/>
      <c r="AC42" s="19"/>
      <c r="AD42" s="65"/>
      <c r="AE42" s="19"/>
      <c r="AF42" s="65"/>
      <c r="AG42" s="19"/>
      <c r="AH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7"/>
      <c r="O43" s="13"/>
      <c r="P43" s="67"/>
      <c r="Q43" s="13"/>
      <c r="R43" s="67"/>
      <c r="S43" s="13"/>
      <c r="T43" s="67"/>
      <c r="U43" s="13"/>
      <c r="V43" s="67"/>
      <c r="W43" s="13"/>
      <c r="X43" s="67"/>
      <c r="Y43" s="13"/>
      <c r="Z43" s="67"/>
      <c r="AA43" s="13"/>
      <c r="AB43" s="67"/>
      <c r="AC43" s="13"/>
      <c r="AD43" s="67"/>
      <c r="AE43" s="13"/>
      <c r="AF43" s="67"/>
      <c r="AG43" s="13"/>
      <c r="AH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5"/>
      <c r="O44" s="19"/>
      <c r="P44" s="65"/>
      <c r="Q44" s="19"/>
      <c r="R44" s="65"/>
      <c r="S44" s="19"/>
      <c r="T44" s="65"/>
      <c r="U44" s="19"/>
      <c r="V44" s="65"/>
      <c r="W44" s="19"/>
      <c r="X44" s="65"/>
      <c r="Y44" s="19"/>
      <c r="Z44" s="65"/>
      <c r="AA44" s="19"/>
      <c r="AB44" s="65"/>
      <c r="AC44" s="19"/>
      <c r="AD44" s="65"/>
      <c r="AE44" s="19"/>
      <c r="AF44" s="65"/>
      <c r="AG44" s="19"/>
      <c r="AH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5.0</v>
      </c>
      <c r="F45" s="19">
        <v>5.0</v>
      </c>
      <c r="G45" s="19">
        <v>2.0</v>
      </c>
      <c r="H45" s="19">
        <v>5.0</v>
      </c>
      <c r="I45" s="19">
        <v>1.0</v>
      </c>
      <c r="J45" s="19">
        <v>3.0</v>
      </c>
      <c r="K45" s="19">
        <v>5.0</v>
      </c>
      <c r="L45" s="19">
        <v>1.0</v>
      </c>
      <c r="M45" s="19">
        <v>9.0</v>
      </c>
      <c r="N45" s="19">
        <v>3.0</v>
      </c>
      <c r="O45" s="19">
        <v>4.0</v>
      </c>
      <c r="P45" s="19">
        <v>8.0</v>
      </c>
      <c r="Q45" s="19">
        <v>3.0</v>
      </c>
      <c r="R45" s="19">
        <v>3.0</v>
      </c>
      <c r="S45" s="19">
        <v>11.0</v>
      </c>
      <c r="T45" s="19">
        <v>2.0</v>
      </c>
      <c r="U45" s="19">
        <v>5.0</v>
      </c>
      <c r="V45" s="19">
        <v>1.0</v>
      </c>
      <c r="W45" s="19">
        <v>5.0</v>
      </c>
      <c r="X45" s="19">
        <v>1.0</v>
      </c>
      <c r="Y45" s="19">
        <v>3.0</v>
      </c>
      <c r="Z45" s="19">
        <v>0.0</v>
      </c>
      <c r="AA45" s="19">
        <v>5.0</v>
      </c>
      <c r="AB45" s="19">
        <v>0.0</v>
      </c>
      <c r="AC45" s="19">
        <v>8.0</v>
      </c>
      <c r="AD45" s="19">
        <v>1.0</v>
      </c>
      <c r="AE45" s="19">
        <v>3.0</v>
      </c>
      <c r="AF45" s="19">
        <v>5.0</v>
      </c>
      <c r="AG45" s="19">
        <v>7.0</v>
      </c>
      <c r="AH45" s="13">
        <f t="shared" ref="AH45:AH182" si="13">SUM(E45:AG45)</f>
        <v>114</v>
      </c>
    </row>
    <row r="46" ht="12.75" customHeight="1">
      <c r="A46" s="30" t="s">
        <v>39</v>
      </c>
      <c r="B46" s="49">
        <v>1.0</v>
      </c>
      <c r="C46" s="50" t="s">
        <v>40</v>
      </c>
      <c r="D46" s="51"/>
      <c r="E46" s="19">
        <v>8.0</v>
      </c>
      <c r="F46" s="19">
        <v>3.0</v>
      </c>
      <c r="G46" s="19">
        <v>3.0</v>
      </c>
      <c r="H46" s="19">
        <v>3.0</v>
      </c>
      <c r="I46" s="19">
        <v>1.0</v>
      </c>
      <c r="J46" s="19">
        <v>1.0</v>
      </c>
      <c r="K46" s="19">
        <v>3.0</v>
      </c>
      <c r="L46" s="19">
        <v>0.0</v>
      </c>
      <c r="M46" s="19">
        <v>1.0</v>
      </c>
      <c r="N46" s="19">
        <v>2.0</v>
      </c>
      <c r="O46" s="19">
        <v>1.0</v>
      </c>
      <c r="P46" s="19">
        <v>3.0</v>
      </c>
      <c r="Q46" s="19">
        <v>5.0</v>
      </c>
      <c r="R46" s="19">
        <v>4.0</v>
      </c>
      <c r="S46" s="19">
        <v>19.0</v>
      </c>
      <c r="T46" s="19">
        <v>2.0</v>
      </c>
      <c r="U46" s="19">
        <v>12.0</v>
      </c>
      <c r="V46" s="19">
        <v>4.0</v>
      </c>
      <c r="W46" s="19">
        <v>15.0</v>
      </c>
      <c r="X46" s="19">
        <v>1.0</v>
      </c>
      <c r="Y46" s="19">
        <v>1.0</v>
      </c>
      <c r="Z46" s="19">
        <v>5.0</v>
      </c>
      <c r="AA46" s="19">
        <v>6.0</v>
      </c>
      <c r="AB46" s="19">
        <v>8.0</v>
      </c>
      <c r="AC46" s="19">
        <v>3.0</v>
      </c>
      <c r="AD46" s="19">
        <v>4.0</v>
      </c>
      <c r="AE46" s="19">
        <v>0.0</v>
      </c>
      <c r="AF46" s="19">
        <v>4.0</v>
      </c>
      <c r="AG46" s="19">
        <v>13.0</v>
      </c>
      <c r="AH46" s="13">
        <f t="shared" si="13"/>
        <v>135</v>
      </c>
    </row>
    <row r="47" ht="12.75" customHeight="1">
      <c r="A47" s="18"/>
      <c r="B47" s="49">
        <v>2.0</v>
      </c>
      <c r="C47" s="50" t="s">
        <v>41</v>
      </c>
      <c r="D47" s="51"/>
      <c r="E47" s="19">
        <v>50.0</v>
      </c>
      <c r="F47" s="19">
        <v>9.0</v>
      </c>
      <c r="G47" s="19">
        <v>6.0</v>
      </c>
      <c r="H47" s="19">
        <v>9.0</v>
      </c>
      <c r="I47" s="19">
        <v>6.0</v>
      </c>
      <c r="J47" s="19">
        <v>19.0</v>
      </c>
      <c r="K47" s="19">
        <v>7.0</v>
      </c>
      <c r="L47" s="19">
        <v>3.0</v>
      </c>
      <c r="M47" s="19">
        <v>4.0</v>
      </c>
      <c r="N47" s="19">
        <v>14.0</v>
      </c>
      <c r="O47" s="19">
        <v>9.0</v>
      </c>
      <c r="P47" s="19">
        <v>11.0</v>
      </c>
      <c r="Q47" s="19">
        <v>5.0</v>
      </c>
      <c r="R47" s="19">
        <v>19.0</v>
      </c>
      <c r="S47" s="19">
        <v>25.0</v>
      </c>
      <c r="T47" s="19">
        <v>13.0</v>
      </c>
      <c r="U47" s="19">
        <v>39.0</v>
      </c>
      <c r="V47" s="19">
        <v>5.0</v>
      </c>
      <c r="W47" s="19">
        <v>29.0</v>
      </c>
      <c r="X47" s="19">
        <v>10.0</v>
      </c>
      <c r="Y47" s="19">
        <v>2.0</v>
      </c>
      <c r="Z47" s="19">
        <v>15.0</v>
      </c>
      <c r="AA47" s="19">
        <v>29.0</v>
      </c>
      <c r="AB47" s="19">
        <v>10.0</v>
      </c>
      <c r="AC47" s="19">
        <v>44.0</v>
      </c>
      <c r="AD47" s="19">
        <v>6.0</v>
      </c>
      <c r="AE47" s="19">
        <v>1.0</v>
      </c>
      <c r="AF47" s="19">
        <v>39.0</v>
      </c>
      <c r="AG47" s="19">
        <v>17.0</v>
      </c>
      <c r="AH47" s="13">
        <f t="shared" si="13"/>
        <v>455</v>
      </c>
    </row>
    <row r="48" ht="12.75" customHeight="1">
      <c r="A48" s="18"/>
      <c r="B48" s="49">
        <v>3.0</v>
      </c>
      <c r="C48" s="50" t="s">
        <v>42</v>
      </c>
      <c r="D48" s="51"/>
      <c r="E48" s="19">
        <v>0.0</v>
      </c>
      <c r="F48" s="19">
        <v>1.0</v>
      </c>
      <c r="G48" s="19">
        <v>0.0</v>
      </c>
      <c r="H48" s="19">
        <v>1.0</v>
      </c>
      <c r="I48" s="19">
        <v>0.0</v>
      </c>
      <c r="J48" s="19">
        <v>0.0</v>
      </c>
      <c r="K48" s="19">
        <v>0.0</v>
      </c>
      <c r="L48" s="19">
        <v>0.0</v>
      </c>
      <c r="M48" s="19">
        <v>1.0</v>
      </c>
      <c r="N48" s="19">
        <v>0.0</v>
      </c>
      <c r="O48" s="19">
        <v>0.0</v>
      </c>
      <c r="P48" s="19">
        <v>0.0</v>
      </c>
      <c r="Q48" s="19">
        <v>0.0</v>
      </c>
      <c r="R48" s="19">
        <v>0.0</v>
      </c>
      <c r="S48" s="19">
        <v>1.0</v>
      </c>
      <c r="T48" s="19">
        <v>0.0</v>
      </c>
      <c r="U48" s="19">
        <v>1.0</v>
      </c>
      <c r="V48" s="19">
        <v>0.0</v>
      </c>
      <c r="W48" s="19">
        <v>1.0</v>
      </c>
      <c r="X48" s="19">
        <v>1.0</v>
      </c>
      <c r="Y48" s="19">
        <v>1.0</v>
      </c>
      <c r="Z48" s="19">
        <v>9.0</v>
      </c>
      <c r="AA48" s="19">
        <v>1.0</v>
      </c>
      <c r="AB48" s="19">
        <v>0.0</v>
      </c>
      <c r="AC48" s="19">
        <v>2.0</v>
      </c>
      <c r="AD48" s="19">
        <v>17.0</v>
      </c>
      <c r="AE48" s="19">
        <v>0.0</v>
      </c>
      <c r="AF48" s="19">
        <v>0.0</v>
      </c>
      <c r="AG48" s="19">
        <v>0.0</v>
      </c>
      <c r="AH48" s="13">
        <f t="shared" si="13"/>
        <v>37</v>
      </c>
    </row>
    <row r="49" ht="12.75" customHeight="1">
      <c r="A49" s="18"/>
      <c r="B49" s="49">
        <v>4.0</v>
      </c>
      <c r="C49" s="50" t="s">
        <v>43</v>
      </c>
      <c r="D49" s="51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0.0</v>
      </c>
      <c r="N49" s="19">
        <v>0.0</v>
      </c>
      <c r="O49" s="19">
        <v>0.0</v>
      </c>
      <c r="P49" s="19">
        <v>0.0</v>
      </c>
      <c r="Q49" s="19">
        <v>0.0</v>
      </c>
      <c r="R49" s="19">
        <v>0.0</v>
      </c>
      <c r="S49" s="19">
        <v>0.0</v>
      </c>
      <c r="T49" s="19">
        <v>1.0</v>
      </c>
      <c r="U49" s="19">
        <v>0.0</v>
      </c>
      <c r="V49" s="19">
        <v>0.0</v>
      </c>
      <c r="W49" s="19">
        <v>0.0</v>
      </c>
      <c r="X49" s="19">
        <v>0.0</v>
      </c>
      <c r="Y49" s="19">
        <v>0.0</v>
      </c>
      <c r="Z49" s="19">
        <v>0.0</v>
      </c>
      <c r="AA49" s="19">
        <v>0.0</v>
      </c>
      <c r="AB49" s="19">
        <v>0.0</v>
      </c>
      <c r="AC49" s="19">
        <v>0.0</v>
      </c>
      <c r="AD49" s="19">
        <v>0.0</v>
      </c>
      <c r="AE49" s="19">
        <v>0.0</v>
      </c>
      <c r="AF49" s="19">
        <v>0.0</v>
      </c>
      <c r="AG49" s="19">
        <v>0.0</v>
      </c>
      <c r="AH49" s="13">
        <f t="shared" si="13"/>
        <v>1</v>
      </c>
    </row>
    <row r="50" ht="12.75" customHeight="1">
      <c r="A50" s="18"/>
      <c r="B50" s="49">
        <v>5.0</v>
      </c>
      <c r="C50" s="50" t="s">
        <v>44</v>
      </c>
      <c r="D50" s="51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1.0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0.0</v>
      </c>
      <c r="V50" s="19">
        <v>0.0</v>
      </c>
      <c r="W50" s="19">
        <v>0.0</v>
      </c>
      <c r="X50" s="19">
        <v>0.0</v>
      </c>
      <c r="Y50" s="19">
        <v>0.0</v>
      </c>
      <c r="Z50" s="19">
        <v>0.0</v>
      </c>
      <c r="AA50" s="19">
        <v>0.0</v>
      </c>
      <c r="AB50" s="19">
        <v>0.0</v>
      </c>
      <c r="AC50" s="19">
        <v>0.0</v>
      </c>
      <c r="AD50" s="19">
        <v>0.0</v>
      </c>
      <c r="AE50" s="19">
        <v>0.0</v>
      </c>
      <c r="AF50" s="19">
        <v>0.0</v>
      </c>
      <c r="AG50" s="19">
        <v>0.0</v>
      </c>
      <c r="AH50" s="13">
        <f t="shared" si="13"/>
        <v>1</v>
      </c>
    </row>
    <row r="51" ht="12.75" customHeight="1">
      <c r="A51" s="18"/>
      <c r="B51" s="49">
        <v>6.0</v>
      </c>
      <c r="C51" s="50" t="s">
        <v>45</v>
      </c>
      <c r="D51" s="51"/>
      <c r="E51" s="19">
        <v>14.0</v>
      </c>
      <c r="F51" s="19">
        <v>12.0</v>
      </c>
      <c r="G51" s="19">
        <v>2.0</v>
      </c>
      <c r="H51" s="19">
        <v>2.0</v>
      </c>
      <c r="I51" s="19">
        <v>0.0</v>
      </c>
      <c r="J51" s="19">
        <v>1.0</v>
      </c>
      <c r="K51" s="19">
        <v>1.0</v>
      </c>
      <c r="L51" s="19">
        <v>0.0</v>
      </c>
      <c r="M51" s="19">
        <v>19.0</v>
      </c>
      <c r="N51" s="19">
        <v>12.0</v>
      </c>
      <c r="O51" s="19">
        <v>8.0</v>
      </c>
      <c r="P51" s="19">
        <v>8.0</v>
      </c>
      <c r="Q51" s="19">
        <v>7.0</v>
      </c>
      <c r="R51" s="19">
        <v>3.0</v>
      </c>
      <c r="S51" s="19">
        <v>9.0</v>
      </c>
      <c r="T51" s="19">
        <v>8.0</v>
      </c>
      <c r="U51" s="19">
        <v>1.0</v>
      </c>
      <c r="V51" s="19">
        <v>1.0</v>
      </c>
      <c r="W51" s="19">
        <v>3.0</v>
      </c>
      <c r="X51" s="19">
        <v>2.0</v>
      </c>
      <c r="Y51" s="19">
        <v>1.0</v>
      </c>
      <c r="Z51" s="19">
        <v>5.0</v>
      </c>
      <c r="AA51" s="19">
        <v>8.0</v>
      </c>
      <c r="AB51" s="19">
        <v>1.0</v>
      </c>
      <c r="AC51" s="19">
        <v>1.0</v>
      </c>
      <c r="AD51" s="19">
        <v>0.0</v>
      </c>
      <c r="AE51" s="19">
        <v>0.0</v>
      </c>
      <c r="AF51" s="19">
        <v>1.0</v>
      </c>
      <c r="AG51" s="19">
        <v>8.0</v>
      </c>
      <c r="AH51" s="13">
        <f t="shared" si="13"/>
        <v>138</v>
      </c>
    </row>
    <row r="52" ht="12.75" customHeight="1">
      <c r="A52" s="19" t="s">
        <v>15</v>
      </c>
      <c r="B52" s="47" t="s">
        <v>46</v>
      </c>
      <c r="C52" s="15"/>
      <c r="D52" s="16"/>
      <c r="E52" s="56">
        <f t="shared" ref="E52:AG52" si="14">SUM(E45:E51)</f>
        <v>77</v>
      </c>
      <c r="F52" s="56">
        <f t="shared" si="14"/>
        <v>30</v>
      </c>
      <c r="G52" s="56">
        <f t="shared" si="14"/>
        <v>13</v>
      </c>
      <c r="H52" s="56">
        <f t="shared" si="14"/>
        <v>20</v>
      </c>
      <c r="I52" s="56">
        <f t="shared" si="14"/>
        <v>8</v>
      </c>
      <c r="J52" s="56">
        <f t="shared" si="14"/>
        <v>24</v>
      </c>
      <c r="K52" s="56">
        <f t="shared" si="14"/>
        <v>16</v>
      </c>
      <c r="L52" s="56">
        <f t="shared" si="14"/>
        <v>4</v>
      </c>
      <c r="M52" s="56">
        <f t="shared" si="14"/>
        <v>35</v>
      </c>
      <c r="N52" s="56">
        <f t="shared" si="14"/>
        <v>31</v>
      </c>
      <c r="O52" s="56">
        <f t="shared" si="14"/>
        <v>22</v>
      </c>
      <c r="P52" s="56">
        <f t="shared" si="14"/>
        <v>30</v>
      </c>
      <c r="Q52" s="56">
        <f t="shared" si="14"/>
        <v>20</v>
      </c>
      <c r="R52" s="56">
        <f t="shared" si="14"/>
        <v>29</v>
      </c>
      <c r="S52" s="56">
        <f t="shared" si="14"/>
        <v>65</v>
      </c>
      <c r="T52" s="56">
        <f t="shared" si="14"/>
        <v>26</v>
      </c>
      <c r="U52" s="56">
        <f t="shared" si="14"/>
        <v>58</v>
      </c>
      <c r="V52" s="56">
        <f t="shared" si="14"/>
        <v>11</v>
      </c>
      <c r="W52" s="56">
        <f t="shared" si="14"/>
        <v>53</v>
      </c>
      <c r="X52" s="56">
        <f t="shared" si="14"/>
        <v>15</v>
      </c>
      <c r="Y52" s="56">
        <f t="shared" si="14"/>
        <v>8</v>
      </c>
      <c r="Z52" s="56">
        <f t="shared" si="14"/>
        <v>34</v>
      </c>
      <c r="AA52" s="56">
        <f t="shared" si="14"/>
        <v>49</v>
      </c>
      <c r="AB52" s="56">
        <f t="shared" si="14"/>
        <v>19</v>
      </c>
      <c r="AC52" s="56">
        <f t="shared" si="14"/>
        <v>58</v>
      </c>
      <c r="AD52" s="56">
        <f t="shared" si="14"/>
        <v>28</v>
      </c>
      <c r="AE52" s="56">
        <f t="shared" si="14"/>
        <v>4</v>
      </c>
      <c r="AF52" s="56">
        <f t="shared" si="14"/>
        <v>49</v>
      </c>
      <c r="AG52" s="56">
        <f t="shared" si="14"/>
        <v>45</v>
      </c>
      <c r="AH52" s="13">
        <f t="shared" si="13"/>
        <v>881</v>
      </c>
    </row>
    <row r="53" ht="12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13">
        <f t="shared" si="13"/>
        <v>0</v>
      </c>
    </row>
    <row r="54" ht="12.75" customHeight="1">
      <c r="A54" s="30" t="s">
        <v>37</v>
      </c>
      <c r="B54" s="47" t="s">
        <v>19</v>
      </c>
      <c r="C54" s="48" t="s">
        <v>47</v>
      </c>
      <c r="D54" s="16"/>
      <c r="E54" s="19">
        <v>3.0</v>
      </c>
      <c r="F54" s="19">
        <v>6.0</v>
      </c>
      <c r="G54" s="19">
        <v>5.0</v>
      </c>
      <c r="H54" s="19">
        <v>6.0</v>
      </c>
      <c r="I54" s="19">
        <v>5.0</v>
      </c>
      <c r="J54" s="19">
        <v>8.0</v>
      </c>
      <c r="K54" s="19">
        <v>1.0</v>
      </c>
      <c r="L54" s="19">
        <v>1.0</v>
      </c>
      <c r="M54" s="19">
        <v>6.0</v>
      </c>
      <c r="N54" s="19">
        <v>8.0</v>
      </c>
      <c r="O54" s="19">
        <v>1.0</v>
      </c>
      <c r="P54" s="19">
        <v>11.0</v>
      </c>
      <c r="Q54" s="19">
        <v>2.0</v>
      </c>
      <c r="R54" s="19">
        <v>6.0</v>
      </c>
      <c r="S54" s="19">
        <v>6.0</v>
      </c>
      <c r="T54" s="19">
        <v>2.0</v>
      </c>
      <c r="U54" s="19">
        <v>6.0</v>
      </c>
      <c r="V54" s="19">
        <v>2.0</v>
      </c>
      <c r="W54" s="19">
        <v>2.0</v>
      </c>
      <c r="X54" s="19">
        <v>11.0</v>
      </c>
      <c r="Y54" s="19">
        <v>5.0</v>
      </c>
      <c r="Z54" s="19">
        <v>1.0</v>
      </c>
      <c r="AA54" s="19">
        <v>6.0</v>
      </c>
      <c r="AB54" s="19">
        <v>0.0</v>
      </c>
      <c r="AC54" s="19">
        <v>9.0</v>
      </c>
      <c r="AD54" s="19">
        <v>6.0</v>
      </c>
      <c r="AE54" s="19">
        <v>4.0</v>
      </c>
      <c r="AF54" s="19">
        <v>5.0</v>
      </c>
      <c r="AG54" s="19">
        <v>7.0</v>
      </c>
      <c r="AH54" s="13">
        <f t="shared" si="13"/>
        <v>141</v>
      </c>
    </row>
    <row r="55" ht="15.0" customHeight="1">
      <c r="A55" s="30" t="s">
        <v>39</v>
      </c>
      <c r="B55" s="49">
        <v>1.0</v>
      </c>
      <c r="C55" s="50" t="s">
        <v>48</v>
      </c>
      <c r="D55" s="51"/>
      <c r="E55" s="19">
        <v>4.0</v>
      </c>
      <c r="F55" s="19">
        <v>3.0</v>
      </c>
      <c r="G55" s="19">
        <v>3.0</v>
      </c>
      <c r="H55" s="19">
        <v>2.0</v>
      </c>
      <c r="I55" s="19">
        <v>8.0</v>
      </c>
      <c r="J55" s="19">
        <v>4.0</v>
      </c>
      <c r="K55" s="19">
        <v>0.0</v>
      </c>
      <c r="L55" s="19">
        <v>0.0</v>
      </c>
      <c r="M55" s="19">
        <v>1.0</v>
      </c>
      <c r="N55" s="19">
        <v>4.0</v>
      </c>
      <c r="O55" s="19">
        <v>2.0</v>
      </c>
      <c r="P55" s="19">
        <v>3.0</v>
      </c>
      <c r="Q55" s="19">
        <v>2.0</v>
      </c>
      <c r="R55" s="19">
        <v>2.0</v>
      </c>
      <c r="S55" s="19">
        <v>1.0</v>
      </c>
      <c r="T55" s="19">
        <v>1.0</v>
      </c>
      <c r="U55" s="19">
        <v>0.0</v>
      </c>
      <c r="V55" s="19">
        <v>3.0</v>
      </c>
      <c r="W55" s="19">
        <v>0.0</v>
      </c>
      <c r="X55" s="19">
        <v>2.0</v>
      </c>
      <c r="Y55" s="19">
        <v>5.0</v>
      </c>
      <c r="Z55" s="19">
        <v>15.0</v>
      </c>
      <c r="AA55" s="19">
        <v>3.0</v>
      </c>
      <c r="AB55" s="19">
        <v>30.0</v>
      </c>
      <c r="AC55" s="19">
        <v>2.0</v>
      </c>
      <c r="AD55" s="19">
        <v>4.0</v>
      </c>
      <c r="AE55" s="19">
        <v>4.0</v>
      </c>
      <c r="AF55" s="19">
        <v>1.0</v>
      </c>
      <c r="AG55" s="19">
        <v>4.0</v>
      </c>
      <c r="AH55" s="13">
        <f t="shared" si="13"/>
        <v>113</v>
      </c>
    </row>
    <row r="56" ht="12.75" customHeight="1">
      <c r="A56" s="18"/>
      <c r="B56" s="49">
        <v>2.0</v>
      </c>
      <c r="C56" s="50" t="s">
        <v>49</v>
      </c>
      <c r="D56" s="51"/>
      <c r="E56" s="19">
        <v>0.0</v>
      </c>
      <c r="F56" s="19">
        <v>1.0</v>
      </c>
      <c r="G56" s="19">
        <v>2.0</v>
      </c>
      <c r="H56" s="19">
        <v>1.0</v>
      </c>
      <c r="I56" s="19">
        <v>3.0</v>
      </c>
      <c r="J56" s="19">
        <v>0.0</v>
      </c>
      <c r="K56" s="19">
        <v>0.0</v>
      </c>
      <c r="L56" s="19">
        <v>0.0</v>
      </c>
      <c r="M56" s="19">
        <v>0.0</v>
      </c>
      <c r="N56" s="19">
        <v>1.0</v>
      </c>
      <c r="O56" s="19">
        <v>0.0</v>
      </c>
      <c r="P56" s="19">
        <v>2.0</v>
      </c>
      <c r="Q56" s="19">
        <v>0.0</v>
      </c>
      <c r="R56" s="19">
        <v>2.0</v>
      </c>
      <c r="S56" s="19">
        <v>0.0</v>
      </c>
      <c r="T56" s="19">
        <v>0.0</v>
      </c>
      <c r="U56" s="19">
        <v>1.0</v>
      </c>
      <c r="V56" s="19">
        <v>0.0</v>
      </c>
      <c r="W56" s="19">
        <v>0.0</v>
      </c>
      <c r="X56" s="19">
        <v>2.0</v>
      </c>
      <c r="Y56" s="19">
        <v>0.0</v>
      </c>
      <c r="Z56" s="19">
        <v>3.0</v>
      </c>
      <c r="AA56" s="19">
        <v>1.0</v>
      </c>
      <c r="AB56" s="19">
        <v>2.0</v>
      </c>
      <c r="AC56" s="19">
        <v>6.0</v>
      </c>
      <c r="AD56" s="19">
        <v>4.0</v>
      </c>
      <c r="AE56" s="19">
        <v>2.0</v>
      </c>
      <c r="AF56" s="19">
        <v>3.0</v>
      </c>
      <c r="AG56" s="19">
        <v>1.0</v>
      </c>
      <c r="AH56" s="13">
        <f t="shared" si="13"/>
        <v>37</v>
      </c>
    </row>
    <row r="57" ht="12.75" customHeight="1">
      <c r="A57" s="18"/>
      <c r="B57" s="49">
        <v>3.0</v>
      </c>
      <c r="C57" s="50" t="s">
        <v>50</v>
      </c>
      <c r="D57" s="51"/>
      <c r="E57" s="19">
        <v>0.0</v>
      </c>
      <c r="F57" s="19">
        <v>0.0</v>
      </c>
      <c r="G57" s="19">
        <v>3.0</v>
      </c>
      <c r="H57" s="19">
        <v>1.0</v>
      </c>
      <c r="I57" s="19">
        <v>3.0</v>
      </c>
      <c r="J57" s="19">
        <v>0.0</v>
      </c>
      <c r="K57" s="19">
        <v>1.0</v>
      </c>
      <c r="L57" s="19">
        <v>0.0</v>
      </c>
      <c r="M57" s="19">
        <v>1.0</v>
      </c>
      <c r="N57" s="19">
        <v>1.0</v>
      </c>
      <c r="O57" s="19">
        <v>0.0</v>
      </c>
      <c r="P57" s="19">
        <v>0.0</v>
      </c>
      <c r="Q57" s="19">
        <v>0.0</v>
      </c>
      <c r="R57" s="19">
        <v>0.0</v>
      </c>
      <c r="S57" s="19">
        <v>0.0</v>
      </c>
      <c r="T57" s="19">
        <v>2.0</v>
      </c>
      <c r="U57" s="19">
        <v>0.0</v>
      </c>
      <c r="V57" s="19">
        <v>0.0</v>
      </c>
      <c r="W57" s="19">
        <v>0.0</v>
      </c>
      <c r="X57" s="19">
        <v>1.0</v>
      </c>
      <c r="Y57" s="19">
        <v>0.0</v>
      </c>
      <c r="Z57" s="19">
        <v>1.0</v>
      </c>
      <c r="AA57" s="19">
        <v>2.0</v>
      </c>
      <c r="AB57" s="19">
        <v>3.0</v>
      </c>
      <c r="AC57" s="19">
        <v>4.0</v>
      </c>
      <c r="AD57" s="19">
        <v>2.0</v>
      </c>
      <c r="AE57" s="19">
        <v>0.0</v>
      </c>
      <c r="AF57" s="19">
        <v>1.0</v>
      </c>
      <c r="AG57" s="19">
        <v>1.0</v>
      </c>
      <c r="AH57" s="13">
        <f t="shared" si="13"/>
        <v>27</v>
      </c>
    </row>
    <row r="58" ht="12.75" customHeight="1">
      <c r="A58" s="18"/>
      <c r="B58" s="49">
        <v>4.0</v>
      </c>
      <c r="C58" s="50" t="s">
        <v>51</v>
      </c>
      <c r="D58" s="51"/>
      <c r="E58" s="19">
        <v>0.0</v>
      </c>
      <c r="F58" s="19">
        <v>1.0</v>
      </c>
      <c r="G58" s="19">
        <v>0.0</v>
      </c>
      <c r="H58" s="19">
        <v>0.0</v>
      </c>
      <c r="I58" s="19">
        <v>1.0</v>
      </c>
      <c r="J58" s="19">
        <v>1.0</v>
      </c>
      <c r="K58" s="19">
        <v>2.0</v>
      </c>
      <c r="L58" s="19">
        <v>0.0</v>
      </c>
      <c r="M58" s="19">
        <v>0.0</v>
      </c>
      <c r="N58" s="19">
        <v>1.0</v>
      </c>
      <c r="O58" s="19">
        <v>0.0</v>
      </c>
      <c r="P58" s="19">
        <v>2.0</v>
      </c>
      <c r="Q58" s="19">
        <v>0.0</v>
      </c>
      <c r="R58" s="19">
        <v>0.0</v>
      </c>
      <c r="S58" s="19">
        <v>0.0</v>
      </c>
      <c r="T58" s="19">
        <v>0.0</v>
      </c>
      <c r="U58" s="19">
        <v>0.0</v>
      </c>
      <c r="V58" s="19">
        <v>1.0</v>
      </c>
      <c r="W58" s="19">
        <v>1.0</v>
      </c>
      <c r="X58" s="19">
        <v>0.0</v>
      </c>
      <c r="Y58" s="19">
        <v>0.0</v>
      </c>
      <c r="Z58" s="19">
        <v>2.0</v>
      </c>
      <c r="AA58" s="19">
        <v>1.0</v>
      </c>
      <c r="AB58" s="19">
        <v>1.0</v>
      </c>
      <c r="AC58" s="19">
        <v>0.0</v>
      </c>
      <c r="AD58" s="19">
        <v>3.0</v>
      </c>
      <c r="AE58" s="19">
        <v>0.0</v>
      </c>
      <c r="AF58" s="19">
        <v>0.0</v>
      </c>
      <c r="AG58" s="19">
        <v>2.0</v>
      </c>
      <c r="AH58" s="13">
        <f t="shared" si="13"/>
        <v>19</v>
      </c>
    </row>
    <row r="59" ht="12.75" customHeight="1">
      <c r="A59" s="18"/>
      <c r="B59" s="49">
        <v>5.0</v>
      </c>
      <c r="C59" s="50" t="s">
        <v>52</v>
      </c>
      <c r="D59" s="51"/>
      <c r="E59" s="19">
        <v>0.0</v>
      </c>
      <c r="F59" s="19">
        <v>0.0</v>
      </c>
      <c r="G59" s="19">
        <v>1.0</v>
      </c>
      <c r="H59" s="19">
        <v>0.0</v>
      </c>
      <c r="I59" s="19">
        <v>0.0</v>
      </c>
      <c r="J59" s="19">
        <v>0.0</v>
      </c>
      <c r="K59" s="19">
        <v>1.0</v>
      </c>
      <c r="L59" s="19">
        <v>0.0</v>
      </c>
      <c r="M59" s="19">
        <v>0.0</v>
      </c>
      <c r="N59" s="19">
        <v>0.0</v>
      </c>
      <c r="O59" s="19">
        <v>0.0</v>
      </c>
      <c r="P59" s="19">
        <v>0.0</v>
      </c>
      <c r="Q59" s="19">
        <v>0.0</v>
      </c>
      <c r="R59" s="19">
        <v>0.0</v>
      </c>
      <c r="S59" s="19">
        <v>0.0</v>
      </c>
      <c r="T59" s="19">
        <v>0.0</v>
      </c>
      <c r="U59" s="19">
        <v>0.0</v>
      </c>
      <c r="V59" s="19">
        <v>0.0</v>
      </c>
      <c r="W59" s="19">
        <v>0.0</v>
      </c>
      <c r="X59" s="19">
        <v>1.0</v>
      </c>
      <c r="Y59" s="19">
        <v>0.0</v>
      </c>
      <c r="Z59" s="19">
        <v>1.0</v>
      </c>
      <c r="AA59" s="19">
        <v>0.0</v>
      </c>
      <c r="AB59" s="19">
        <v>1.0</v>
      </c>
      <c r="AC59" s="19">
        <v>0.0</v>
      </c>
      <c r="AD59" s="19">
        <v>1.0</v>
      </c>
      <c r="AE59" s="19">
        <v>0.0</v>
      </c>
      <c r="AF59" s="19">
        <v>0.0</v>
      </c>
      <c r="AG59" s="19">
        <v>0.0</v>
      </c>
      <c r="AH59" s="13">
        <f t="shared" si="13"/>
        <v>6</v>
      </c>
    </row>
    <row r="60" ht="12.75" customHeight="1">
      <c r="A60" s="18"/>
      <c r="B60" s="49">
        <v>6.0</v>
      </c>
      <c r="C60" s="50" t="s">
        <v>53</v>
      </c>
      <c r="D60" s="51"/>
      <c r="E60" s="19">
        <v>0.0</v>
      </c>
      <c r="F60" s="19">
        <v>1.0</v>
      </c>
      <c r="G60" s="19">
        <v>0.0</v>
      </c>
      <c r="H60" s="19">
        <v>1.0</v>
      </c>
      <c r="I60" s="19">
        <v>0.0</v>
      </c>
      <c r="J60" s="19">
        <v>0.0</v>
      </c>
      <c r="K60" s="19">
        <v>0.0</v>
      </c>
      <c r="L60" s="19">
        <v>1.0</v>
      </c>
      <c r="M60" s="19">
        <v>0.0</v>
      </c>
      <c r="N60" s="19">
        <v>0.0</v>
      </c>
      <c r="O60" s="19">
        <v>0.0</v>
      </c>
      <c r="P60" s="19">
        <v>0.0</v>
      </c>
      <c r="Q60" s="19">
        <v>1.0</v>
      </c>
      <c r="R60" s="19">
        <v>0.0</v>
      </c>
      <c r="S60" s="19">
        <v>0.0</v>
      </c>
      <c r="T60" s="19">
        <v>0.0</v>
      </c>
      <c r="U60" s="19">
        <v>0.0</v>
      </c>
      <c r="V60" s="19">
        <v>0.0</v>
      </c>
      <c r="W60" s="19">
        <v>2.0</v>
      </c>
      <c r="X60" s="19">
        <v>0.0</v>
      </c>
      <c r="Y60" s="19">
        <v>0.0</v>
      </c>
      <c r="Z60" s="19">
        <v>0.0</v>
      </c>
      <c r="AA60" s="19">
        <v>1.0</v>
      </c>
      <c r="AB60" s="19">
        <v>0.0</v>
      </c>
      <c r="AC60" s="19">
        <v>0.0</v>
      </c>
      <c r="AD60" s="19">
        <v>0.0</v>
      </c>
      <c r="AE60" s="19">
        <v>0.0</v>
      </c>
      <c r="AF60" s="19">
        <v>0.0</v>
      </c>
      <c r="AG60" s="19">
        <v>0.0</v>
      </c>
      <c r="AH60" s="13">
        <f t="shared" si="13"/>
        <v>7</v>
      </c>
    </row>
    <row r="61" ht="12.75" customHeight="1">
      <c r="A61" s="19" t="s">
        <v>15</v>
      </c>
      <c r="B61" s="47" t="s">
        <v>46</v>
      </c>
      <c r="C61" s="15"/>
      <c r="D61" s="16"/>
      <c r="E61" s="56">
        <f t="shared" ref="E61:AG61" si="15">SUM(E54:E60)</f>
        <v>7</v>
      </c>
      <c r="F61" s="56">
        <f t="shared" si="15"/>
        <v>12</v>
      </c>
      <c r="G61" s="56">
        <f t="shared" si="15"/>
        <v>14</v>
      </c>
      <c r="H61" s="56">
        <f t="shared" si="15"/>
        <v>11</v>
      </c>
      <c r="I61" s="56">
        <f t="shared" si="15"/>
        <v>20</v>
      </c>
      <c r="J61" s="56">
        <f t="shared" si="15"/>
        <v>13</v>
      </c>
      <c r="K61" s="56">
        <f t="shared" si="15"/>
        <v>5</v>
      </c>
      <c r="L61" s="56">
        <f t="shared" si="15"/>
        <v>2</v>
      </c>
      <c r="M61" s="56">
        <f t="shared" si="15"/>
        <v>8</v>
      </c>
      <c r="N61" s="56">
        <f t="shared" si="15"/>
        <v>15</v>
      </c>
      <c r="O61" s="56">
        <f t="shared" si="15"/>
        <v>3</v>
      </c>
      <c r="P61" s="56">
        <f t="shared" si="15"/>
        <v>18</v>
      </c>
      <c r="Q61" s="56">
        <f t="shared" si="15"/>
        <v>5</v>
      </c>
      <c r="R61" s="56">
        <f t="shared" si="15"/>
        <v>10</v>
      </c>
      <c r="S61" s="56">
        <f t="shared" si="15"/>
        <v>7</v>
      </c>
      <c r="T61" s="56">
        <f t="shared" si="15"/>
        <v>5</v>
      </c>
      <c r="U61" s="56">
        <f t="shared" si="15"/>
        <v>7</v>
      </c>
      <c r="V61" s="56">
        <f t="shared" si="15"/>
        <v>6</v>
      </c>
      <c r="W61" s="56">
        <f t="shared" si="15"/>
        <v>5</v>
      </c>
      <c r="X61" s="56">
        <f t="shared" si="15"/>
        <v>17</v>
      </c>
      <c r="Y61" s="56">
        <f t="shared" si="15"/>
        <v>10</v>
      </c>
      <c r="Z61" s="56">
        <f t="shared" si="15"/>
        <v>23</v>
      </c>
      <c r="AA61" s="56">
        <f t="shared" si="15"/>
        <v>14</v>
      </c>
      <c r="AB61" s="56">
        <f t="shared" si="15"/>
        <v>37</v>
      </c>
      <c r="AC61" s="56">
        <f t="shared" si="15"/>
        <v>21</v>
      </c>
      <c r="AD61" s="56">
        <f t="shared" si="15"/>
        <v>20</v>
      </c>
      <c r="AE61" s="56">
        <f t="shared" si="15"/>
        <v>10</v>
      </c>
      <c r="AF61" s="56">
        <f t="shared" si="15"/>
        <v>10</v>
      </c>
      <c r="AG61" s="56">
        <f t="shared" si="15"/>
        <v>15</v>
      </c>
      <c r="AH61" s="13">
        <f t="shared" si="13"/>
        <v>350</v>
      </c>
    </row>
    <row r="62" ht="12.75" customHeight="1">
      <c r="A62" s="57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13">
        <f t="shared" si="13"/>
        <v>0</v>
      </c>
    </row>
    <row r="63" ht="12.75" customHeight="1">
      <c r="A63" s="30" t="s">
        <v>37</v>
      </c>
      <c r="B63" s="47" t="s">
        <v>21</v>
      </c>
      <c r="C63" s="48" t="s">
        <v>54</v>
      </c>
      <c r="D63" s="16"/>
      <c r="E63" s="19">
        <v>3.0</v>
      </c>
      <c r="F63" s="19">
        <v>5.0</v>
      </c>
      <c r="G63" s="19">
        <v>4.0</v>
      </c>
      <c r="H63" s="19">
        <v>5.0</v>
      </c>
      <c r="I63" s="19">
        <v>12.0</v>
      </c>
      <c r="J63" s="19">
        <v>5.0</v>
      </c>
      <c r="K63" s="19">
        <v>2.0</v>
      </c>
      <c r="L63" s="19">
        <v>1.0</v>
      </c>
      <c r="M63" s="19">
        <v>17.0</v>
      </c>
      <c r="N63" s="19">
        <v>9.0</v>
      </c>
      <c r="O63" s="19">
        <v>3.0</v>
      </c>
      <c r="P63" s="19">
        <v>4.0</v>
      </c>
      <c r="Q63" s="19">
        <v>5.0</v>
      </c>
      <c r="R63" s="19">
        <v>5.0</v>
      </c>
      <c r="S63" s="19">
        <v>6.0</v>
      </c>
      <c r="T63" s="19">
        <v>7.0</v>
      </c>
      <c r="U63" s="19">
        <v>6.0</v>
      </c>
      <c r="V63" s="19">
        <v>3.0</v>
      </c>
      <c r="W63" s="19">
        <v>1.0</v>
      </c>
      <c r="X63" s="19">
        <v>0.0</v>
      </c>
      <c r="Y63" s="19">
        <v>2.0</v>
      </c>
      <c r="Z63" s="19">
        <v>1.0</v>
      </c>
      <c r="AA63" s="19">
        <v>7.0</v>
      </c>
      <c r="AB63" s="19">
        <v>0.0</v>
      </c>
      <c r="AC63" s="19">
        <v>3.0</v>
      </c>
      <c r="AD63" s="19">
        <v>4.0</v>
      </c>
      <c r="AE63" s="19">
        <v>4.0</v>
      </c>
      <c r="AF63" s="19">
        <v>6.0</v>
      </c>
      <c r="AG63" s="19">
        <v>2.0</v>
      </c>
      <c r="AH63" s="13">
        <f t="shared" si="13"/>
        <v>132</v>
      </c>
    </row>
    <row r="64" ht="12.75" customHeight="1">
      <c r="A64" s="30" t="s">
        <v>39</v>
      </c>
      <c r="B64" s="49">
        <v>1.0</v>
      </c>
      <c r="C64" s="50" t="s">
        <v>55</v>
      </c>
      <c r="D64" s="51"/>
      <c r="E64" s="19">
        <v>1.0</v>
      </c>
      <c r="F64" s="19">
        <v>0.0</v>
      </c>
      <c r="G64" s="19">
        <v>22.0</v>
      </c>
      <c r="H64" s="19">
        <v>5.0</v>
      </c>
      <c r="I64" s="19">
        <v>18.0</v>
      </c>
      <c r="J64" s="19">
        <v>2.0</v>
      </c>
      <c r="K64" s="19">
        <v>0.0</v>
      </c>
      <c r="L64" s="19">
        <v>6.0</v>
      </c>
      <c r="M64" s="19">
        <v>2.0</v>
      </c>
      <c r="N64" s="19">
        <v>8.0</v>
      </c>
      <c r="O64" s="19">
        <v>1.0</v>
      </c>
      <c r="P64" s="19">
        <v>3.0</v>
      </c>
      <c r="Q64" s="19">
        <v>1.0</v>
      </c>
      <c r="R64" s="19">
        <v>0.0</v>
      </c>
      <c r="S64" s="19">
        <v>0.0</v>
      </c>
      <c r="T64" s="19">
        <v>0.0</v>
      </c>
      <c r="U64" s="19">
        <v>3.0</v>
      </c>
      <c r="V64" s="19">
        <v>1.0</v>
      </c>
      <c r="W64" s="19">
        <v>0.0</v>
      </c>
      <c r="X64" s="19">
        <v>1.0</v>
      </c>
      <c r="Y64" s="19">
        <v>2.0</v>
      </c>
      <c r="Z64" s="19">
        <v>2.0</v>
      </c>
      <c r="AA64" s="19">
        <v>2.0</v>
      </c>
      <c r="AB64" s="19">
        <v>4.0</v>
      </c>
      <c r="AC64" s="19">
        <v>1.0</v>
      </c>
      <c r="AD64" s="19">
        <v>0.0</v>
      </c>
      <c r="AE64" s="19">
        <v>3.0</v>
      </c>
      <c r="AF64" s="19">
        <v>0.0</v>
      </c>
      <c r="AG64" s="19">
        <v>0.0</v>
      </c>
      <c r="AH64" s="13">
        <f t="shared" si="13"/>
        <v>88</v>
      </c>
    </row>
    <row r="65" ht="12.75" customHeight="1">
      <c r="A65" s="18"/>
      <c r="B65" s="49">
        <v>2.0</v>
      </c>
      <c r="C65" s="50" t="s">
        <v>56</v>
      </c>
      <c r="D65" s="51"/>
      <c r="E65" s="19">
        <v>24.0</v>
      </c>
      <c r="F65" s="19">
        <v>13.0</v>
      </c>
      <c r="G65" s="19">
        <v>6.0</v>
      </c>
      <c r="H65" s="19">
        <v>55.0</v>
      </c>
      <c r="I65" s="19">
        <v>12.0</v>
      </c>
      <c r="J65" s="19">
        <v>22.0</v>
      </c>
      <c r="K65" s="19">
        <v>23.0</v>
      </c>
      <c r="L65" s="19">
        <v>12.0</v>
      </c>
      <c r="M65" s="19">
        <v>43.0</v>
      </c>
      <c r="N65" s="19">
        <v>62.0</v>
      </c>
      <c r="O65" s="19">
        <v>15.0</v>
      </c>
      <c r="P65" s="19">
        <v>48.0</v>
      </c>
      <c r="Q65" s="19">
        <v>48.0</v>
      </c>
      <c r="R65" s="19">
        <v>48.0</v>
      </c>
      <c r="S65" s="19">
        <v>25.0</v>
      </c>
      <c r="T65" s="19">
        <v>129.0</v>
      </c>
      <c r="U65" s="19">
        <v>105.0</v>
      </c>
      <c r="V65" s="19">
        <v>29.0</v>
      </c>
      <c r="W65" s="19">
        <v>21.0</v>
      </c>
      <c r="X65" s="19">
        <v>11.0</v>
      </c>
      <c r="Y65" s="19">
        <v>16.0</v>
      </c>
      <c r="Z65" s="19">
        <v>28.0</v>
      </c>
      <c r="AA65" s="19">
        <v>40.0</v>
      </c>
      <c r="AB65" s="19">
        <v>28.0</v>
      </c>
      <c r="AC65" s="19">
        <v>25.0</v>
      </c>
      <c r="AD65" s="19">
        <v>36.0</v>
      </c>
      <c r="AE65" s="19">
        <v>31.0</v>
      </c>
      <c r="AF65" s="19">
        <v>27.0</v>
      </c>
      <c r="AG65" s="19">
        <v>22.0</v>
      </c>
      <c r="AH65" s="13">
        <f t="shared" si="13"/>
        <v>1004</v>
      </c>
    </row>
    <row r="66" ht="12.75" customHeight="1">
      <c r="A66" s="18"/>
      <c r="B66" s="49">
        <v>3.0</v>
      </c>
      <c r="C66" s="50" t="s">
        <v>57</v>
      </c>
      <c r="D66" s="51"/>
      <c r="E66" s="19">
        <v>1.0</v>
      </c>
      <c r="F66" s="19">
        <v>5.0</v>
      </c>
      <c r="G66" s="19">
        <v>2.0</v>
      </c>
      <c r="H66" s="19">
        <v>23.0</v>
      </c>
      <c r="I66" s="19">
        <v>4.0</v>
      </c>
      <c r="J66" s="19">
        <v>5.0</v>
      </c>
      <c r="K66" s="19">
        <v>0.0</v>
      </c>
      <c r="L66" s="19">
        <v>0.0</v>
      </c>
      <c r="M66" s="19">
        <v>2.0</v>
      </c>
      <c r="N66" s="19">
        <v>5.0</v>
      </c>
      <c r="O66" s="19">
        <v>1.0</v>
      </c>
      <c r="P66" s="19">
        <v>2.0</v>
      </c>
      <c r="Q66" s="19">
        <v>0.0</v>
      </c>
      <c r="R66" s="19">
        <v>4.0</v>
      </c>
      <c r="S66" s="19">
        <v>0.0</v>
      </c>
      <c r="T66" s="19">
        <v>0.0</v>
      </c>
      <c r="U66" s="19">
        <v>0.0</v>
      </c>
      <c r="V66" s="19">
        <v>0.0</v>
      </c>
      <c r="W66" s="19">
        <v>1.0</v>
      </c>
      <c r="X66" s="19">
        <v>11.0</v>
      </c>
      <c r="Y66" s="19">
        <v>9.0</v>
      </c>
      <c r="Z66" s="19">
        <v>41.0</v>
      </c>
      <c r="AA66" s="19">
        <v>13.0</v>
      </c>
      <c r="AB66" s="19">
        <v>2.0</v>
      </c>
      <c r="AC66" s="19">
        <v>2.0</v>
      </c>
      <c r="AD66" s="19">
        <v>0.0</v>
      </c>
      <c r="AE66" s="19">
        <v>3.0</v>
      </c>
      <c r="AF66" s="19">
        <v>0.0</v>
      </c>
      <c r="AG66" s="19">
        <v>19.0</v>
      </c>
      <c r="AH66" s="13">
        <f t="shared" si="13"/>
        <v>155</v>
      </c>
    </row>
    <row r="67" ht="15.0" customHeight="1">
      <c r="A67" s="18"/>
      <c r="B67" s="49">
        <v>4.0</v>
      </c>
      <c r="C67" s="50" t="s">
        <v>58</v>
      </c>
      <c r="D67" s="51"/>
      <c r="E67" s="19">
        <v>0.0</v>
      </c>
      <c r="F67" s="19">
        <v>0.0</v>
      </c>
      <c r="G67" s="19">
        <v>0.0</v>
      </c>
      <c r="H67" s="19">
        <v>0.0</v>
      </c>
      <c r="I67" s="19">
        <v>0.0</v>
      </c>
      <c r="J67" s="19">
        <v>0.0</v>
      </c>
      <c r="K67" s="19">
        <v>0.0</v>
      </c>
      <c r="L67" s="19">
        <v>0.0</v>
      </c>
      <c r="M67" s="19">
        <v>0.0</v>
      </c>
      <c r="N67" s="19">
        <v>1.0</v>
      </c>
      <c r="O67" s="19">
        <v>1.0</v>
      </c>
      <c r="P67" s="19">
        <v>1.0</v>
      </c>
      <c r="Q67" s="19">
        <v>0.0</v>
      </c>
      <c r="R67" s="19">
        <v>0.0</v>
      </c>
      <c r="S67" s="19">
        <v>0.0</v>
      </c>
      <c r="T67" s="19">
        <v>1.0</v>
      </c>
      <c r="U67" s="19">
        <v>0.0</v>
      </c>
      <c r="V67" s="19">
        <v>0.0</v>
      </c>
      <c r="W67" s="19">
        <v>0.0</v>
      </c>
      <c r="X67" s="19">
        <v>0.0</v>
      </c>
      <c r="Y67" s="19">
        <v>0.0</v>
      </c>
      <c r="Z67" s="19">
        <v>0.0</v>
      </c>
      <c r="AA67" s="19">
        <v>0.0</v>
      </c>
      <c r="AB67" s="19">
        <v>0.0</v>
      </c>
      <c r="AC67" s="19">
        <v>0.0</v>
      </c>
      <c r="AD67" s="19">
        <v>0.0</v>
      </c>
      <c r="AE67" s="19">
        <v>1.0</v>
      </c>
      <c r="AF67" s="19">
        <v>0.0</v>
      </c>
      <c r="AG67" s="19">
        <v>0.0</v>
      </c>
      <c r="AH67" s="13">
        <f t="shared" si="13"/>
        <v>5</v>
      </c>
    </row>
    <row r="68" ht="12.75" customHeight="1">
      <c r="A68" s="18"/>
      <c r="B68" s="49">
        <v>5.0</v>
      </c>
      <c r="C68" s="50" t="s">
        <v>59</v>
      </c>
      <c r="D68" s="51"/>
      <c r="E68" s="19">
        <v>0.0</v>
      </c>
      <c r="F68" s="19">
        <v>0.0</v>
      </c>
      <c r="G68" s="19">
        <v>0.0</v>
      </c>
      <c r="H68" s="19">
        <v>0.0</v>
      </c>
      <c r="I68" s="19">
        <v>0.0</v>
      </c>
      <c r="J68" s="19">
        <v>0.0</v>
      </c>
      <c r="K68" s="19">
        <v>0.0</v>
      </c>
      <c r="L68" s="19">
        <v>0.0</v>
      </c>
      <c r="M68" s="19">
        <v>1.0</v>
      </c>
      <c r="N68" s="19">
        <v>1.0</v>
      </c>
      <c r="O68" s="19">
        <v>0.0</v>
      </c>
      <c r="P68" s="19">
        <v>0.0</v>
      </c>
      <c r="Q68" s="19">
        <v>0.0</v>
      </c>
      <c r="R68" s="19">
        <v>0.0</v>
      </c>
      <c r="S68" s="19">
        <v>0.0</v>
      </c>
      <c r="T68" s="19">
        <v>0.0</v>
      </c>
      <c r="U68" s="19">
        <v>0.0</v>
      </c>
      <c r="V68" s="19">
        <v>1.0</v>
      </c>
      <c r="W68" s="19">
        <v>0.0</v>
      </c>
      <c r="X68" s="19">
        <v>0.0</v>
      </c>
      <c r="Y68" s="19">
        <v>0.0</v>
      </c>
      <c r="Z68" s="19">
        <v>0.0</v>
      </c>
      <c r="AA68" s="19">
        <v>0.0</v>
      </c>
      <c r="AB68" s="19">
        <v>1.0</v>
      </c>
      <c r="AC68" s="19">
        <v>1.0</v>
      </c>
      <c r="AD68" s="19">
        <v>0.0</v>
      </c>
      <c r="AE68" s="19">
        <v>0.0</v>
      </c>
      <c r="AF68" s="19">
        <v>0.0</v>
      </c>
      <c r="AG68" s="19">
        <v>0.0</v>
      </c>
      <c r="AH68" s="13">
        <f t="shared" si="13"/>
        <v>5</v>
      </c>
    </row>
    <row r="69" ht="12.75" customHeight="1">
      <c r="A69" s="18"/>
      <c r="B69" s="49">
        <v>6.0</v>
      </c>
      <c r="C69" s="50" t="s">
        <v>60</v>
      </c>
      <c r="D69" s="51"/>
      <c r="E69" s="19">
        <v>0.0</v>
      </c>
      <c r="F69" s="19">
        <v>0.0</v>
      </c>
      <c r="G69" s="19">
        <v>0.0</v>
      </c>
      <c r="H69" s="19">
        <v>0.0</v>
      </c>
      <c r="I69" s="19">
        <v>0.0</v>
      </c>
      <c r="J69" s="19">
        <v>0.0</v>
      </c>
      <c r="K69" s="19">
        <v>0.0</v>
      </c>
      <c r="L69" s="19">
        <v>0.0</v>
      </c>
      <c r="M69" s="19">
        <v>0.0</v>
      </c>
      <c r="N69" s="19">
        <v>0.0</v>
      </c>
      <c r="O69" s="19">
        <v>0.0</v>
      </c>
      <c r="P69" s="19">
        <v>0.0</v>
      </c>
      <c r="Q69" s="19">
        <v>0.0</v>
      </c>
      <c r="R69" s="19">
        <v>0.0</v>
      </c>
      <c r="S69" s="19">
        <v>0.0</v>
      </c>
      <c r="T69" s="19">
        <v>0.0</v>
      </c>
      <c r="U69" s="19">
        <v>0.0</v>
      </c>
      <c r="V69" s="19">
        <v>0.0</v>
      </c>
      <c r="W69" s="19">
        <v>0.0</v>
      </c>
      <c r="X69" s="19">
        <v>0.0</v>
      </c>
      <c r="Y69" s="19">
        <v>0.0</v>
      </c>
      <c r="Z69" s="19">
        <v>0.0</v>
      </c>
      <c r="AA69" s="19">
        <v>0.0</v>
      </c>
      <c r="AB69" s="19">
        <v>0.0</v>
      </c>
      <c r="AC69" s="19">
        <v>0.0</v>
      </c>
      <c r="AD69" s="19">
        <v>0.0</v>
      </c>
      <c r="AE69" s="19">
        <v>0.0</v>
      </c>
      <c r="AF69" s="19">
        <v>1.0</v>
      </c>
      <c r="AG69" s="19">
        <v>0.0</v>
      </c>
      <c r="AH69" s="13">
        <f t="shared" si="13"/>
        <v>1</v>
      </c>
    </row>
    <row r="70" ht="12.75" customHeight="1">
      <c r="A70" s="19" t="s">
        <v>15</v>
      </c>
      <c r="B70" s="47" t="s">
        <v>46</v>
      </c>
      <c r="C70" s="15"/>
      <c r="D70" s="16"/>
      <c r="E70" s="56">
        <f t="shared" ref="E70:AG70" si="16">SUM(E63:E69)</f>
        <v>29</v>
      </c>
      <c r="F70" s="56">
        <f t="shared" si="16"/>
        <v>23</v>
      </c>
      <c r="G70" s="56">
        <f t="shared" si="16"/>
        <v>34</v>
      </c>
      <c r="H70" s="56">
        <f t="shared" si="16"/>
        <v>88</v>
      </c>
      <c r="I70" s="56">
        <f t="shared" si="16"/>
        <v>46</v>
      </c>
      <c r="J70" s="56">
        <f t="shared" si="16"/>
        <v>34</v>
      </c>
      <c r="K70" s="56">
        <f t="shared" si="16"/>
        <v>25</v>
      </c>
      <c r="L70" s="56">
        <f t="shared" si="16"/>
        <v>19</v>
      </c>
      <c r="M70" s="56">
        <f t="shared" si="16"/>
        <v>65</v>
      </c>
      <c r="N70" s="56">
        <f t="shared" si="16"/>
        <v>86</v>
      </c>
      <c r="O70" s="56">
        <f t="shared" si="16"/>
        <v>21</v>
      </c>
      <c r="P70" s="56">
        <f t="shared" si="16"/>
        <v>58</v>
      </c>
      <c r="Q70" s="56">
        <f t="shared" si="16"/>
        <v>54</v>
      </c>
      <c r="R70" s="56">
        <f t="shared" si="16"/>
        <v>57</v>
      </c>
      <c r="S70" s="56">
        <f t="shared" si="16"/>
        <v>31</v>
      </c>
      <c r="T70" s="56">
        <f t="shared" si="16"/>
        <v>137</v>
      </c>
      <c r="U70" s="56">
        <f t="shared" si="16"/>
        <v>114</v>
      </c>
      <c r="V70" s="56">
        <f t="shared" si="16"/>
        <v>34</v>
      </c>
      <c r="W70" s="56">
        <f t="shared" si="16"/>
        <v>23</v>
      </c>
      <c r="X70" s="56">
        <f t="shared" si="16"/>
        <v>23</v>
      </c>
      <c r="Y70" s="56">
        <f t="shared" si="16"/>
        <v>29</v>
      </c>
      <c r="Z70" s="56">
        <f t="shared" si="16"/>
        <v>72</v>
      </c>
      <c r="AA70" s="56">
        <f t="shared" si="16"/>
        <v>62</v>
      </c>
      <c r="AB70" s="56">
        <f t="shared" si="16"/>
        <v>35</v>
      </c>
      <c r="AC70" s="56">
        <f t="shared" si="16"/>
        <v>32</v>
      </c>
      <c r="AD70" s="56">
        <f t="shared" si="16"/>
        <v>40</v>
      </c>
      <c r="AE70" s="56">
        <f t="shared" si="16"/>
        <v>42</v>
      </c>
      <c r="AF70" s="56">
        <f t="shared" si="16"/>
        <v>34</v>
      </c>
      <c r="AG70" s="56">
        <f t="shared" si="16"/>
        <v>43</v>
      </c>
      <c r="AH70" s="13">
        <f t="shared" si="13"/>
        <v>1390</v>
      </c>
    </row>
    <row r="71" ht="12.75" customHeight="1">
      <c r="A71" s="57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13">
        <f t="shared" si="13"/>
        <v>0</v>
      </c>
    </row>
    <row r="72" ht="12.75" customHeight="1">
      <c r="A72" s="30" t="s">
        <v>37</v>
      </c>
      <c r="B72" s="47" t="s">
        <v>23</v>
      </c>
      <c r="C72" s="48" t="s">
        <v>61</v>
      </c>
      <c r="D72" s="16"/>
      <c r="E72" s="19">
        <v>2.0</v>
      </c>
      <c r="F72" s="19">
        <v>2.0</v>
      </c>
      <c r="G72" s="19">
        <v>1.0</v>
      </c>
      <c r="H72" s="19">
        <v>3.0</v>
      </c>
      <c r="I72" s="19">
        <v>1.0</v>
      </c>
      <c r="J72" s="19">
        <v>0.0</v>
      </c>
      <c r="K72" s="19">
        <v>4.0</v>
      </c>
      <c r="L72" s="19">
        <v>8.0</v>
      </c>
      <c r="M72" s="19">
        <v>5.0</v>
      </c>
      <c r="N72" s="19">
        <v>2.0</v>
      </c>
      <c r="O72" s="19">
        <v>10.0</v>
      </c>
      <c r="P72" s="19">
        <v>5.0</v>
      </c>
      <c r="Q72" s="19">
        <v>3.0</v>
      </c>
      <c r="R72" s="19">
        <v>2.0</v>
      </c>
      <c r="S72" s="19">
        <v>0.0</v>
      </c>
      <c r="T72" s="19">
        <v>0.0</v>
      </c>
      <c r="U72" s="19">
        <v>0.0</v>
      </c>
      <c r="V72" s="19">
        <v>8.0</v>
      </c>
      <c r="W72" s="19">
        <v>4.0</v>
      </c>
      <c r="X72" s="19">
        <v>8.0</v>
      </c>
      <c r="Y72" s="19">
        <v>3.0</v>
      </c>
      <c r="Z72" s="19">
        <v>0.0</v>
      </c>
      <c r="AA72" s="19">
        <v>2.0</v>
      </c>
      <c r="AB72" s="19">
        <v>0.0</v>
      </c>
      <c r="AC72" s="19">
        <v>0.0</v>
      </c>
      <c r="AD72" s="19">
        <v>0.0</v>
      </c>
      <c r="AE72" s="19">
        <v>5.0</v>
      </c>
      <c r="AF72" s="19">
        <v>3.0</v>
      </c>
      <c r="AG72" s="19">
        <v>0.0</v>
      </c>
      <c r="AH72" s="13">
        <f t="shared" si="13"/>
        <v>81</v>
      </c>
    </row>
    <row r="73" ht="12.75" customHeight="1">
      <c r="A73" s="30" t="s">
        <v>39</v>
      </c>
      <c r="B73" s="49">
        <v>1.0</v>
      </c>
      <c r="C73" s="50" t="s">
        <v>62</v>
      </c>
      <c r="D73" s="51"/>
      <c r="E73" s="19">
        <v>0.0</v>
      </c>
      <c r="F73" s="19">
        <v>0.0</v>
      </c>
      <c r="G73" s="19">
        <v>2.0</v>
      </c>
      <c r="H73" s="19">
        <v>2.0</v>
      </c>
      <c r="I73" s="19">
        <v>4.0</v>
      </c>
      <c r="J73" s="19">
        <v>1.0</v>
      </c>
      <c r="K73" s="19">
        <v>14.0</v>
      </c>
      <c r="L73" s="19">
        <v>38.0</v>
      </c>
      <c r="M73" s="19">
        <v>38.0</v>
      </c>
      <c r="N73" s="19">
        <v>2.0</v>
      </c>
      <c r="O73" s="19">
        <v>93.0</v>
      </c>
      <c r="P73" s="19">
        <v>12.0</v>
      </c>
      <c r="Q73" s="19">
        <v>4.0</v>
      </c>
      <c r="R73" s="19">
        <v>9.0</v>
      </c>
      <c r="S73" s="19">
        <v>0.0</v>
      </c>
      <c r="T73" s="19">
        <v>1.0</v>
      </c>
      <c r="U73" s="19">
        <v>0.0</v>
      </c>
      <c r="V73" s="19">
        <v>23.0</v>
      </c>
      <c r="W73" s="19">
        <v>49.0</v>
      </c>
      <c r="X73" s="19">
        <v>34.0</v>
      </c>
      <c r="Y73" s="19">
        <v>2.0</v>
      </c>
      <c r="Z73" s="19">
        <v>12.0</v>
      </c>
      <c r="AA73" s="19">
        <v>13.0</v>
      </c>
      <c r="AB73" s="19">
        <v>2.0</v>
      </c>
      <c r="AC73" s="19">
        <v>0.0</v>
      </c>
      <c r="AD73" s="19">
        <v>0.0</v>
      </c>
      <c r="AE73" s="19">
        <v>29.0</v>
      </c>
      <c r="AF73" s="19">
        <v>5.0</v>
      </c>
      <c r="AG73" s="19">
        <v>0.0</v>
      </c>
      <c r="AH73" s="13">
        <f t="shared" si="13"/>
        <v>389</v>
      </c>
    </row>
    <row r="74" ht="12.75" customHeight="1">
      <c r="A74" s="18"/>
      <c r="B74" s="49">
        <v>2.0</v>
      </c>
      <c r="C74" s="50" t="s">
        <v>63</v>
      </c>
      <c r="D74" s="51"/>
      <c r="E74" s="19">
        <v>1.0</v>
      </c>
      <c r="F74" s="19">
        <v>3.0</v>
      </c>
      <c r="G74" s="19">
        <v>3.0</v>
      </c>
      <c r="H74" s="19">
        <v>2.0</v>
      </c>
      <c r="I74" s="19">
        <v>3.0</v>
      </c>
      <c r="J74" s="19">
        <v>6.0</v>
      </c>
      <c r="K74" s="19">
        <v>0.0</v>
      </c>
      <c r="L74" s="19">
        <v>0.0</v>
      </c>
      <c r="M74" s="19">
        <v>2.0</v>
      </c>
      <c r="N74" s="19">
        <v>0.0</v>
      </c>
      <c r="O74" s="19">
        <v>4.0</v>
      </c>
      <c r="P74" s="19">
        <v>2.0</v>
      </c>
      <c r="Q74" s="19">
        <v>13.0</v>
      </c>
      <c r="R74" s="19">
        <v>1.0</v>
      </c>
      <c r="S74" s="19">
        <v>4.0</v>
      </c>
      <c r="T74" s="19">
        <v>2.0</v>
      </c>
      <c r="U74" s="19">
        <v>1.0</v>
      </c>
      <c r="V74" s="19">
        <v>1.0</v>
      </c>
      <c r="W74" s="19">
        <v>2.0</v>
      </c>
      <c r="X74" s="19">
        <v>7.0</v>
      </c>
      <c r="Y74" s="19">
        <v>2.0</v>
      </c>
      <c r="Z74" s="19">
        <v>0.0</v>
      </c>
      <c r="AA74" s="19">
        <v>0.0</v>
      </c>
      <c r="AB74" s="19">
        <v>2.0</v>
      </c>
      <c r="AC74" s="19">
        <v>2.0</v>
      </c>
      <c r="AD74" s="19">
        <v>0.0</v>
      </c>
      <c r="AE74" s="19">
        <v>0.0</v>
      </c>
      <c r="AF74" s="19">
        <v>0.0</v>
      </c>
      <c r="AG74" s="19">
        <v>1.0</v>
      </c>
      <c r="AH74" s="13">
        <f t="shared" si="13"/>
        <v>64</v>
      </c>
    </row>
    <row r="75" ht="12.75" customHeight="1">
      <c r="A75" s="18"/>
      <c r="B75" s="49">
        <v>3.0</v>
      </c>
      <c r="C75" s="50" t="s">
        <v>64</v>
      </c>
      <c r="D75" s="51"/>
      <c r="E75" s="19">
        <v>0.0</v>
      </c>
      <c r="F75" s="19">
        <v>0.0</v>
      </c>
      <c r="G75" s="19">
        <v>2.0</v>
      </c>
      <c r="H75" s="19">
        <v>0.0</v>
      </c>
      <c r="I75" s="19">
        <v>1.0</v>
      </c>
      <c r="J75" s="19">
        <v>0.0</v>
      </c>
      <c r="K75" s="19">
        <v>0.0</v>
      </c>
      <c r="L75" s="19">
        <v>0.0</v>
      </c>
      <c r="M75" s="19">
        <v>1.0</v>
      </c>
      <c r="N75" s="19">
        <v>0.0</v>
      </c>
      <c r="O75" s="19">
        <v>0.0</v>
      </c>
      <c r="P75" s="19">
        <v>0.0</v>
      </c>
      <c r="Q75" s="19">
        <v>0.0</v>
      </c>
      <c r="R75" s="19">
        <v>0.0</v>
      </c>
      <c r="S75" s="19">
        <v>0.0</v>
      </c>
      <c r="T75" s="19">
        <v>0.0</v>
      </c>
      <c r="U75" s="19">
        <v>0.0</v>
      </c>
      <c r="V75" s="19">
        <v>0.0</v>
      </c>
      <c r="W75" s="19">
        <v>1.0</v>
      </c>
      <c r="X75" s="19">
        <v>0.0</v>
      </c>
      <c r="Y75" s="19">
        <v>0.0</v>
      </c>
      <c r="Z75" s="19">
        <v>0.0</v>
      </c>
      <c r="AA75" s="19">
        <v>0.0</v>
      </c>
      <c r="AB75" s="19">
        <v>0.0</v>
      </c>
      <c r="AC75" s="19">
        <v>1.0</v>
      </c>
      <c r="AD75" s="19">
        <v>0.0</v>
      </c>
      <c r="AE75" s="19">
        <v>0.0</v>
      </c>
      <c r="AF75" s="19">
        <v>0.0</v>
      </c>
      <c r="AG75" s="19">
        <v>0.0</v>
      </c>
      <c r="AH75" s="13">
        <f t="shared" si="13"/>
        <v>6</v>
      </c>
    </row>
    <row r="76" ht="12.75" customHeight="1">
      <c r="A76" s="18"/>
      <c r="B76" s="49">
        <v>4.0</v>
      </c>
      <c r="C76" s="50" t="s">
        <v>65</v>
      </c>
      <c r="D76" s="51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1.0</v>
      </c>
      <c r="M76" s="19">
        <v>0.0</v>
      </c>
      <c r="N76" s="19">
        <v>0.0</v>
      </c>
      <c r="O76" s="19">
        <v>1.0</v>
      </c>
      <c r="P76" s="19">
        <v>0.0</v>
      </c>
      <c r="Q76" s="19">
        <v>0.0</v>
      </c>
      <c r="R76" s="19">
        <v>0.0</v>
      </c>
      <c r="S76" s="19">
        <v>0.0</v>
      </c>
      <c r="T76" s="19">
        <v>0.0</v>
      </c>
      <c r="U76" s="19">
        <v>0.0</v>
      </c>
      <c r="V76" s="19">
        <v>1.0</v>
      </c>
      <c r="W76" s="19">
        <v>0.0</v>
      </c>
      <c r="X76" s="19">
        <v>0.0</v>
      </c>
      <c r="Y76" s="19">
        <v>0.0</v>
      </c>
      <c r="Z76" s="19">
        <v>0.0</v>
      </c>
      <c r="AA76" s="19">
        <v>0.0</v>
      </c>
      <c r="AB76" s="19">
        <v>0.0</v>
      </c>
      <c r="AC76" s="19">
        <v>0.0</v>
      </c>
      <c r="AD76" s="19">
        <v>0.0</v>
      </c>
      <c r="AE76" s="19">
        <v>0.0</v>
      </c>
      <c r="AF76" s="19">
        <v>0.0</v>
      </c>
      <c r="AG76" s="19">
        <v>0.0</v>
      </c>
      <c r="AH76" s="13">
        <f t="shared" si="13"/>
        <v>3</v>
      </c>
    </row>
    <row r="77" ht="12.75" customHeight="1">
      <c r="A77" s="18"/>
      <c r="B77" s="49">
        <v>5.0</v>
      </c>
      <c r="C77" s="50" t="s">
        <v>66</v>
      </c>
      <c r="D77" s="51"/>
      <c r="E77" s="19">
        <v>0.0</v>
      </c>
      <c r="F77" s="19">
        <v>0.0</v>
      </c>
      <c r="G77" s="19">
        <v>1.0</v>
      </c>
      <c r="H77" s="19">
        <v>0.0</v>
      </c>
      <c r="I77" s="19">
        <v>0.0</v>
      </c>
      <c r="J77" s="19">
        <v>0.0</v>
      </c>
      <c r="K77" s="19">
        <v>0.0</v>
      </c>
      <c r="L77" s="19">
        <v>0.0</v>
      </c>
      <c r="M77" s="19">
        <v>0.0</v>
      </c>
      <c r="N77" s="19">
        <v>0.0</v>
      </c>
      <c r="O77" s="19">
        <v>0.0</v>
      </c>
      <c r="P77" s="19">
        <v>0.0</v>
      </c>
      <c r="Q77" s="19">
        <v>0.0</v>
      </c>
      <c r="R77" s="19">
        <v>0.0</v>
      </c>
      <c r="S77" s="19">
        <v>0.0</v>
      </c>
      <c r="T77" s="19">
        <v>0.0</v>
      </c>
      <c r="U77" s="19">
        <v>0.0</v>
      </c>
      <c r="V77" s="19">
        <v>0.0</v>
      </c>
      <c r="W77" s="19">
        <v>0.0</v>
      </c>
      <c r="X77" s="19">
        <v>0.0</v>
      </c>
      <c r="Y77" s="19">
        <v>0.0</v>
      </c>
      <c r="Z77" s="19">
        <v>0.0</v>
      </c>
      <c r="AA77" s="19">
        <v>0.0</v>
      </c>
      <c r="AB77" s="19">
        <v>0.0</v>
      </c>
      <c r="AC77" s="19">
        <v>0.0</v>
      </c>
      <c r="AD77" s="19">
        <v>0.0</v>
      </c>
      <c r="AE77" s="19">
        <v>0.0</v>
      </c>
      <c r="AF77" s="19">
        <v>0.0</v>
      </c>
      <c r="AG77" s="19">
        <v>0.0</v>
      </c>
      <c r="AH77" s="13">
        <f t="shared" si="13"/>
        <v>1</v>
      </c>
    </row>
    <row r="78" ht="12.75" customHeight="1">
      <c r="A78" s="18"/>
      <c r="B78" s="49">
        <v>6.0</v>
      </c>
      <c r="C78" s="50" t="s">
        <v>67</v>
      </c>
      <c r="D78" s="51"/>
      <c r="E78" s="19">
        <v>0.0</v>
      </c>
      <c r="F78" s="19">
        <v>0.0</v>
      </c>
      <c r="G78" s="19">
        <v>0.0</v>
      </c>
      <c r="H78" s="19">
        <v>0.0</v>
      </c>
      <c r="I78" s="19">
        <v>0.0</v>
      </c>
      <c r="J78" s="19">
        <v>0.0</v>
      </c>
      <c r="K78" s="19">
        <v>0.0</v>
      </c>
      <c r="L78" s="19">
        <v>0.0</v>
      </c>
      <c r="M78" s="19">
        <v>0.0</v>
      </c>
      <c r="N78" s="19">
        <v>0.0</v>
      </c>
      <c r="O78" s="19">
        <v>0.0</v>
      </c>
      <c r="P78" s="19">
        <v>0.0</v>
      </c>
      <c r="Q78" s="19">
        <v>0.0</v>
      </c>
      <c r="R78" s="19">
        <v>0.0</v>
      </c>
      <c r="S78" s="19">
        <v>1.0</v>
      </c>
      <c r="T78" s="19">
        <v>0.0</v>
      </c>
      <c r="U78" s="19">
        <v>0.0</v>
      </c>
      <c r="V78" s="19">
        <v>0.0</v>
      </c>
      <c r="W78" s="19">
        <v>0.0</v>
      </c>
      <c r="X78" s="19">
        <v>0.0</v>
      </c>
      <c r="Y78" s="19">
        <v>0.0</v>
      </c>
      <c r="Z78" s="19">
        <v>0.0</v>
      </c>
      <c r="AA78" s="19">
        <v>0.0</v>
      </c>
      <c r="AB78" s="19">
        <v>0.0</v>
      </c>
      <c r="AC78" s="19">
        <v>0.0</v>
      </c>
      <c r="AD78" s="19">
        <v>0.0</v>
      </c>
      <c r="AE78" s="19">
        <v>0.0</v>
      </c>
      <c r="AF78" s="19">
        <v>0.0</v>
      </c>
      <c r="AG78" s="19">
        <v>0.0</v>
      </c>
      <c r="AH78" s="13">
        <f t="shared" si="13"/>
        <v>1</v>
      </c>
    </row>
    <row r="79" ht="15.0" customHeight="1">
      <c r="A79" s="19" t="s">
        <v>15</v>
      </c>
      <c r="B79" s="47" t="s">
        <v>46</v>
      </c>
      <c r="C79" s="15"/>
      <c r="D79" s="16"/>
      <c r="E79" s="56">
        <f t="shared" ref="E79:AG79" si="17">SUM(E72:E78)</f>
        <v>3</v>
      </c>
      <c r="F79" s="56">
        <f t="shared" si="17"/>
        <v>5</v>
      </c>
      <c r="G79" s="56">
        <f t="shared" si="17"/>
        <v>9</v>
      </c>
      <c r="H79" s="56">
        <f t="shared" si="17"/>
        <v>7</v>
      </c>
      <c r="I79" s="56">
        <f t="shared" si="17"/>
        <v>9</v>
      </c>
      <c r="J79" s="56">
        <f t="shared" si="17"/>
        <v>7</v>
      </c>
      <c r="K79" s="56">
        <f t="shared" si="17"/>
        <v>18</v>
      </c>
      <c r="L79" s="56">
        <f t="shared" si="17"/>
        <v>47</v>
      </c>
      <c r="M79" s="56">
        <f t="shared" si="17"/>
        <v>46</v>
      </c>
      <c r="N79" s="56">
        <f t="shared" si="17"/>
        <v>4</v>
      </c>
      <c r="O79" s="56">
        <f t="shared" si="17"/>
        <v>108</v>
      </c>
      <c r="P79" s="56">
        <f t="shared" si="17"/>
        <v>19</v>
      </c>
      <c r="Q79" s="56">
        <f t="shared" si="17"/>
        <v>20</v>
      </c>
      <c r="R79" s="56">
        <f t="shared" si="17"/>
        <v>12</v>
      </c>
      <c r="S79" s="56">
        <f t="shared" si="17"/>
        <v>5</v>
      </c>
      <c r="T79" s="56">
        <f t="shared" si="17"/>
        <v>3</v>
      </c>
      <c r="U79" s="56">
        <f t="shared" si="17"/>
        <v>1</v>
      </c>
      <c r="V79" s="56">
        <f t="shared" si="17"/>
        <v>33</v>
      </c>
      <c r="W79" s="56">
        <f t="shared" si="17"/>
        <v>56</v>
      </c>
      <c r="X79" s="56">
        <f t="shared" si="17"/>
        <v>49</v>
      </c>
      <c r="Y79" s="56">
        <f t="shared" si="17"/>
        <v>7</v>
      </c>
      <c r="Z79" s="56">
        <f t="shared" si="17"/>
        <v>12</v>
      </c>
      <c r="AA79" s="56">
        <f t="shared" si="17"/>
        <v>15</v>
      </c>
      <c r="AB79" s="56">
        <f t="shared" si="17"/>
        <v>4</v>
      </c>
      <c r="AC79" s="56">
        <f t="shared" si="17"/>
        <v>3</v>
      </c>
      <c r="AD79" s="56">
        <f t="shared" si="17"/>
        <v>0</v>
      </c>
      <c r="AE79" s="56">
        <f t="shared" si="17"/>
        <v>34</v>
      </c>
      <c r="AF79" s="56">
        <f t="shared" si="17"/>
        <v>8</v>
      </c>
      <c r="AG79" s="56">
        <f t="shared" si="17"/>
        <v>1</v>
      </c>
      <c r="AH79" s="13">
        <f t="shared" si="13"/>
        <v>545</v>
      </c>
    </row>
    <row r="80" ht="12.75" customHeight="1">
      <c r="A80" s="57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13">
        <f t="shared" si="13"/>
        <v>0</v>
      </c>
    </row>
    <row r="81" ht="12.75" customHeight="1">
      <c r="A81" s="30" t="s">
        <v>37</v>
      </c>
      <c r="B81" s="47" t="s">
        <v>68</v>
      </c>
      <c r="C81" s="48" t="s">
        <v>69</v>
      </c>
      <c r="D81" s="16"/>
      <c r="E81" s="19">
        <v>0.0</v>
      </c>
      <c r="F81" s="19">
        <v>0.0</v>
      </c>
      <c r="G81" s="19">
        <v>0.0</v>
      </c>
      <c r="H81" s="19">
        <v>0.0</v>
      </c>
      <c r="I81" s="19">
        <v>0.0</v>
      </c>
      <c r="J81" s="19">
        <v>0.0</v>
      </c>
      <c r="K81" s="19">
        <v>0.0</v>
      </c>
      <c r="L81" s="19">
        <v>1.0</v>
      </c>
      <c r="M81" s="19">
        <v>0.0</v>
      </c>
      <c r="N81" s="19">
        <v>0.0</v>
      </c>
      <c r="O81" s="19">
        <v>0.0</v>
      </c>
      <c r="P81" s="19">
        <v>0.0</v>
      </c>
      <c r="Q81" s="19">
        <v>0.0</v>
      </c>
      <c r="R81" s="19">
        <v>1.0</v>
      </c>
      <c r="S81" s="19">
        <v>0.0</v>
      </c>
      <c r="T81" s="19">
        <v>1.0</v>
      </c>
      <c r="U81" s="19">
        <v>1.0</v>
      </c>
      <c r="V81" s="19">
        <v>0.0</v>
      </c>
      <c r="W81" s="19">
        <v>0.0</v>
      </c>
      <c r="X81" s="19">
        <v>0.0</v>
      </c>
      <c r="Y81" s="19">
        <v>0.0</v>
      </c>
      <c r="Z81" s="19">
        <v>1.0</v>
      </c>
      <c r="AA81" s="19">
        <v>0.0</v>
      </c>
      <c r="AB81" s="19">
        <v>0.0</v>
      </c>
      <c r="AC81" s="19">
        <v>0.0</v>
      </c>
      <c r="AD81" s="19">
        <v>0.0</v>
      </c>
      <c r="AE81" s="19">
        <v>0.0</v>
      </c>
      <c r="AF81" s="19">
        <v>0.0</v>
      </c>
      <c r="AG81" s="19">
        <v>0.0</v>
      </c>
      <c r="AH81" s="13">
        <f t="shared" si="13"/>
        <v>5</v>
      </c>
    </row>
    <row r="82" ht="12.75" customHeight="1">
      <c r="A82" s="30" t="s">
        <v>39</v>
      </c>
      <c r="B82" s="49">
        <v>1.0</v>
      </c>
      <c r="C82" s="50" t="s">
        <v>70</v>
      </c>
      <c r="D82" s="51"/>
      <c r="E82" s="19">
        <v>0.0</v>
      </c>
      <c r="F82" s="19">
        <v>1.0</v>
      </c>
      <c r="G82" s="19">
        <v>0.0</v>
      </c>
      <c r="H82" s="19">
        <v>0.0</v>
      </c>
      <c r="I82" s="19">
        <v>0.0</v>
      </c>
      <c r="J82" s="19">
        <v>0.0</v>
      </c>
      <c r="K82" s="19">
        <v>7.0</v>
      </c>
      <c r="L82" s="19">
        <v>0.0</v>
      </c>
      <c r="M82" s="19">
        <v>1.0</v>
      </c>
      <c r="N82" s="19">
        <v>2.0</v>
      </c>
      <c r="O82" s="19">
        <v>0.0</v>
      </c>
      <c r="P82" s="19">
        <v>0.0</v>
      </c>
      <c r="Q82" s="19">
        <v>2.0</v>
      </c>
      <c r="R82" s="19">
        <v>3.0</v>
      </c>
      <c r="S82" s="19">
        <v>6.0</v>
      </c>
      <c r="T82" s="19">
        <v>1.0</v>
      </c>
      <c r="U82" s="19">
        <v>1.0</v>
      </c>
      <c r="V82" s="19">
        <v>1.0</v>
      </c>
      <c r="W82" s="19">
        <v>0.0</v>
      </c>
      <c r="X82" s="19">
        <v>0.0</v>
      </c>
      <c r="Y82" s="19">
        <v>0.0</v>
      </c>
      <c r="Z82" s="19">
        <v>0.0</v>
      </c>
      <c r="AA82" s="19">
        <v>1.0</v>
      </c>
      <c r="AB82" s="19">
        <v>0.0</v>
      </c>
      <c r="AC82" s="19">
        <v>0.0</v>
      </c>
      <c r="AD82" s="19">
        <v>0.0</v>
      </c>
      <c r="AE82" s="19">
        <v>8.0</v>
      </c>
      <c r="AF82" s="19">
        <v>0.0</v>
      </c>
      <c r="AG82" s="19">
        <v>0.0</v>
      </c>
      <c r="AH82" s="13">
        <f t="shared" si="13"/>
        <v>34</v>
      </c>
    </row>
    <row r="83" ht="12.75" customHeight="1">
      <c r="A83" s="18"/>
      <c r="B83" s="49">
        <v>2.0</v>
      </c>
      <c r="C83" s="50" t="s">
        <v>71</v>
      </c>
      <c r="D83" s="51"/>
      <c r="E83" s="19">
        <v>0.0</v>
      </c>
      <c r="F83" s="19">
        <v>0.0</v>
      </c>
      <c r="G83" s="19">
        <v>0.0</v>
      </c>
      <c r="H83" s="19">
        <v>0.0</v>
      </c>
      <c r="I83" s="19">
        <v>0.0</v>
      </c>
      <c r="J83" s="19">
        <v>1.0</v>
      </c>
      <c r="K83" s="19">
        <v>0.0</v>
      </c>
      <c r="L83" s="19">
        <v>0.0</v>
      </c>
      <c r="M83" s="19">
        <v>0.0</v>
      </c>
      <c r="N83" s="19">
        <v>0.0</v>
      </c>
      <c r="O83" s="19">
        <v>0.0</v>
      </c>
      <c r="P83" s="19">
        <v>0.0</v>
      </c>
      <c r="Q83" s="19">
        <v>0.0</v>
      </c>
      <c r="R83" s="19">
        <v>1.0</v>
      </c>
      <c r="S83" s="19">
        <v>0.0</v>
      </c>
      <c r="T83" s="19">
        <v>0.0</v>
      </c>
      <c r="U83" s="19">
        <v>0.0</v>
      </c>
      <c r="V83" s="19">
        <v>0.0</v>
      </c>
      <c r="W83" s="19">
        <v>0.0</v>
      </c>
      <c r="X83" s="19">
        <v>0.0</v>
      </c>
      <c r="Y83" s="19">
        <v>0.0</v>
      </c>
      <c r="Z83" s="19">
        <v>0.0</v>
      </c>
      <c r="AA83" s="19">
        <v>0.0</v>
      </c>
      <c r="AB83" s="19">
        <v>0.0</v>
      </c>
      <c r="AC83" s="19">
        <v>0.0</v>
      </c>
      <c r="AD83" s="19">
        <v>0.0</v>
      </c>
      <c r="AE83" s="19">
        <v>0.0</v>
      </c>
      <c r="AF83" s="19">
        <v>0.0</v>
      </c>
      <c r="AG83" s="19">
        <v>0.0</v>
      </c>
      <c r="AH83" s="13">
        <f t="shared" si="13"/>
        <v>2</v>
      </c>
    </row>
    <row r="84" ht="12.75" customHeight="1">
      <c r="A84" s="18"/>
      <c r="B84" s="49">
        <v>3.0</v>
      </c>
      <c r="C84" s="50" t="s">
        <v>72</v>
      </c>
      <c r="D84" s="51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9">
        <v>1.0</v>
      </c>
      <c r="Q84" s="19">
        <v>0.0</v>
      </c>
      <c r="R84" s="19">
        <v>0.0</v>
      </c>
      <c r="S84" s="19">
        <v>0.0</v>
      </c>
      <c r="T84" s="19">
        <v>0.0</v>
      </c>
      <c r="U84" s="19">
        <v>0.0</v>
      </c>
      <c r="V84" s="19">
        <v>0.0</v>
      </c>
      <c r="W84" s="19">
        <v>0.0</v>
      </c>
      <c r="X84" s="19">
        <v>0.0</v>
      </c>
      <c r="Y84" s="19">
        <v>0.0</v>
      </c>
      <c r="Z84" s="19">
        <v>0.0</v>
      </c>
      <c r="AA84" s="19">
        <v>1.0</v>
      </c>
      <c r="AB84" s="19">
        <v>0.0</v>
      </c>
      <c r="AC84" s="19">
        <v>0.0</v>
      </c>
      <c r="AD84" s="19">
        <v>0.0</v>
      </c>
      <c r="AE84" s="19">
        <v>0.0</v>
      </c>
      <c r="AF84" s="19">
        <v>0.0</v>
      </c>
      <c r="AG84" s="19">
        <v>0.0</v>
      </c>
      <c r="AH84" s="13">
        <f t="shared" si="13"/>
        <v>2</v>
      </c>
    </row>
    <row r="85" ht="12.75" customHeight="1">
      <c r="A85" s="18"/>
      <c r="B85" s="49">
        <v>4.0</v>
      </c>
      <c r="C85" s="50" t="s">
        <v>73</v>
      </c>
      <c r="D85" s="51"/>
      <c r="E85" s="19">
        <v>3.0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9">
        <v>1.0</v>
      </c>
      <c r="V85" s="19">
        <v>0.0</v>
      </c>
      <c r="W85" s="19">
        <v>0.0</v>
      </c>
      <c r="X85" s="19">
        <v>0.0</v>
      </c>
      <c r="Y85" s="19">
        <v>0.0</v>
      </c>
      <c r="Z85" s="19">
        <v>0.0</v>
      </c>
      <c r="AA85" s="19">
        <v>0.0</v>
      </c>
      <c r="AB85" s="19">
        <v>0.0</v>
      </c>
      <c r="AC85" s="19">
        <v>0.0</v>
      </c>
      <c r="AD85" s="19">
        <v>0.0</v>
      </c>
      <c r="AE85" s="19">
        <v>0.0</v>
      </c>
      <c r="AF85" s="19">
        <v>0.0</v>
      </c>
      <c r="AG85" s="19">
        <v>0.0</v>
      </c>
      <c r="AH85" s="13">
        <f t="shared" si="13"/>
        <v>4</v>
      </c>
    </row>
    <row r="86" ht="12.75" customHeight="1">
      <c r="A86" s="18"/>
      <c r="B86" s="49">
        <v>5.0</v>
      </c>
      <c r="C86" s="50" t="s">
        <v>74</v>
      </c>
      <c r="D86" s="51"/>
      <c r="E86" s="19">
        <v>1.0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1.0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9">
        <v>0.0</v>
      </c>
      <c r="Z86" s="19">
        <v>0.0</v>
      </c>
      <c r="AA86" s="19">
        <v>0.0</v>
      </c>
      <c r="AB86" s="19">
        <v>0.0</v>
      </c>
      <c r="AC86" s="19">
        <v>0.0</v>
      </c>
      <c r="AD86" s="19">
        <v>0.0</v>
      </c>
      <c r="AE86" s="19">
        <v>2.0</v>
      </c>
      <c r="AF86" s="19">
        <v>0.0</v>
      </c>
      <c r="AG86" s="19">
        <v>0.0</v>
      </c>
      <c r="AH86" s="13">
        <f t="shared" si="13"/>
        <v>4</v>
      </c>
    </row>
    <row r="87" ht="12.75" customHeight="1">
      <c r="A87" s="18"/>
      <c r="B87" s="49">
        <v>6.0</v>
      </c>
      <c r="C87" s="50" t="s">
        <v>75</v>
      </c>
      <c r="D87" s="51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3.0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9">
        <v>0.0</v>
      </c>
      <c r="AG87" s="19">
        <v>0.0</v>
      </c>
      <c r="AH87" s="13">
        <f t="shared" si="13"/>
        <v>3</v>
      </c>
    </row>
    <row r="88" ht="12.75" customHeight="1">
      <c r="A88" s="19" t="s">
        <v>15</v>
      </c>
      <c r="B88" s="47" t="s">
        <v>46</v>
      </c>
      <c r="C88" s="15"/>
      <c r="D88" s="16"/>
      <c r="E88" s="56">
        <f t="shared" ref="E88:AG88" si="18">SUM(E81:E87)</f>
        <v>4</v>
      </c>
      <c r="F88" s="56">
        <f t="shared" si="18"/>
        <v>1</v>
      </c>
      <c r="G88" s="56">
        <f t="shared" si="18"/>
        <v>0</v>
      </c>
      <c r="H88" s="56">
        <f t="shared" si="18"/>
        <v>0</v>
      </c>
      <c r="I88" s="56">
        <f t="shared" si="18"/>
        <v>0</v>
      </c>
      <c r="J88" s="56">
        <f t="shared" si="18"/>
        <v>1</v>
      </c>
      <c r="K88" s="56">
        <f t="shared" si="18"/>
        <v>7</v>
      </c>
      <c r="L88" s="56">
        <f t="shared" si="18"/>
        <v>1</v>
      </c>
      <c r="M88" s="56">
        <f t="shared" si="18"/>
        <v>1</v>
      </c>
      <c r="N88" s="56">
        <f t="shared" si="18"/>
        <v>5</v>
      </c>
      <c r="O88" s="56">
        <f t="shared" si="18"/>
        <v>0</v>
      </c>
      <c r="P88" s="56">
        <f t="shared" si="18"/>
        <v>2</v>
      </c>
      <c r="Q88" s="56">
        <f t="shared" si="18"/>
        <v>2</v>
      </c>
      <c r="R88" s="56">
        <f t="shared" si="18"/>
        <v>5</v>
      </c>
      <c r="S88" s="56">
        <f t="shared" si="18"/>
        <v>6</v>
      </c>
      <c r="T88" s="56">
        <f t="shared" si="18"/>
        <v>2</v>
      </c>
      <c r="U88" s="56">
        <f t="shared" si="18"/>
        <v>3</v>
      </c>
      <c r="V88" s="56">
        <f t="shared" si="18"/>
        <v>1</v>
      </c>
      <c r="W88" s="56">
        <f t="shared" si="18"/>
        <v>0</v>
      </c>
      <c r="X88" s="56">
        <f t="shared" si="18"/>
        <v>0</v>
      </c>
      <c r="Y88" s="56">
        <f t="shared" si="18"/>
        <v>0</v>
      </c>
      <c r="Z88" s="56">
        <f t="shared" si="18"/>
        <v>1</v>
      </c>
      <c r="AA88" s="56">
        <f t="shared" si="18"/>
        <v>2</v>
      </c>
      <c r="AB88" s="56">
        <f t="shared" si="18"/>
        <v>0</v>
      </c>
      <c r="AC88" s="56">
        <f t="shared" si="18"/>
        <v>0</v>
      </c>
      <c r="AD88" s="56">
        <f t="shared" si="18"/>
        <v>0</v>
      </c>
      <c r="AE88" s="56">
        <f t="shared" si="18"/>
        <v>10</v>
      </c>
      <c r="AF88" s="56">
        <f t="shared" si="18"/>
        <v>0</v>
      </c>
      <c r="AG88" s="56">
        <f t="shared" si="18"/>
        <v>0</v>
      </c>
      <c r="AH88" s="13">
        <f t="shared" si="13"/>
        <v>54</v>
      </c>
    </row>
    <row r="89" ht="12.75" customHeight="1">
      <c r="A89" s="57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13">
        <f t="shared" si="13"/>
        <v>0</v>
      </c>
    </row>
    <row r="90" ht="12.75" customHeight="1">
      <c r="A90" s="30" t="s">
        <v>37</v>
      </c>
      <c r="B90" s="47" t="s">
        <v>76</v>
      </c>
      <c r="C90" s="48" t="s">
        <v>77</v>
      </c>
      <c r="D90" s="16"/>
      <c r="E90" s="19">
        <v>1.0</v>
      </c>
      <c r="F90" s="19">
        <v>0.0</v>
      </c>
      <c r="G90" s="19">
        <v>0.0</v>
      </c>
      <c r="H90" s="19">
        <v>0.0</v>
      </c>
      <c r="I90" s="19">
        <v>0.0</v>
      </c>
      <c r="J90" s="19">
        <v>0.0</v>
      </c>
      <c r="K90" s="19">
        <v>0.0</v>
      </c>
      <c r="L90" s="19">
        <v>0.0</v>
      </c>
      <c r="M90" s="19">
        <v>1.0</v>
      </c>
      <c r="N90" s="19">
        <v>0.0</v>
      </c>
      <c r="O90" s="19">
        <v>0.0</v>
      </c>
      <c r="P90" s="19">
        <v>0.0</v>
      </c>
      <c r="Q90" s="19">
        <v>0.0</v>
      </c>
      <c r="R90" s="19">
        <v>1.0</v>
      </c>
      <c r="S90" s="19">
        <v>0.0</v>
      </c>
      <c r="T90" s="19">
        <v>0.0</v>
      </c>
      <c r="U90" s="19">
        <v>0.0</v>
      </c>
      <c r="V90" s="19">
        <v>0.0</v>
      </c>
      <c r="W90" s="19">
        <v>0.0</v>
      </c>
      <c r="X90" s="19">
        <v>0.0</v>
      </c>
      <c r="Y90" s="19">
        <v>0.0</v>
      </c>
      <c r="Z90" s="19">
        <v>0.0</v>
      </c>
      <c r="AA90" s="19">
        <v>0.0</v>
      </c>
      <c r="AB90" s="19">
        <v>0.0</v>
      </c>
      <c r="AC90" s="19">
        <v>0.0</v>
      </c>
      <c r="AD90" s="19">
        <v>0.0</v>
      </c>
      <c r="AE90" s="19">
        <v>0.0</v>
      </c>
      <c r="AF90" s="19">
        <v>0.0</v>
      </c>
      <c r="AG90" s="19">
        <v>1.0</v>
      </c>
      <c r="AH90" s="13">
        <f t="shared" si="13"/>
        <v>4</v>
      </c>
    </row>
    <row r="91" ht="15.0" customHeight="1">
      <c r="A91" s="30"/>
      <c r="B91" s="49">
        <v>1.0</v>
      </c>
      <c r="C91" s="50" t="s">
        <v>78</v>
      </c>
      <c r="D91" s="59"/>
      <c r="E91" s="19">
        <v>0.0</v>
      </c>
      <c r="F91" s="19">
        <v>0.0</v>
      </c>
      <c r="G91" s="19">
        <v>0.0</v>
      </c>
      <c r="H91" s="19">
        <v>0.0</v>
      </c>
      <c r="I91" s="19">
        <v>0.0</v>
      </c>
      <c r="J91" s="19">
        <v>1.0</v>
      </c>
      <c r="K91" s="19">
        <v>0.0</v>
      </c>
      <c r="L91" s="19">
        <v>0.0</v>
      </c>
      <c r="M91" s="19">
        <v>0.0</v>
      </c>
      <c r="N91" s="19">
        <v>0.0</v>
      </c>
      <c r="O91" s="19">
        <v>0.0</v>
      </c>
      <c r="P91" s="19">
        <v>0.0</v>
      </c>
      <c r="Q91" s="19">
        <v>0.0</v>
      </c>
      <c r="R91" s="19">
        <v>1.0</v>
      </c>
      <c r="S91" s="19">
        <v>0.0</v>
      </c>
      <c r="T91" s="19">
        <v>1.0</v>
      </c>
      <c r="U91" s="19">
        <v>0.0</v>
      </c>
      <c r="V91" s="19">
        <v>0.0</v>
      </c>
      <c r="W91" s="19">
        <v>0.0</v>
      </c>
      <c r="X91" s="19">
        <v>0.0</v>
      </c>
      <c r="Y91" s="19">
        <v>0.0</v>
      </c>
      <c r="Z91" s="19">
        <v>0.0</v>
      </c>
      <c r="AA91" s="19">
        <v>0.0</v>
      </c>
      <c r="AB91" s="19">
        <v>1.0</v>
      </c>
      <c r="AC91" s="19">
        <v>0.0</v>
      </c>
      <c r="AD91" s="19">
        <v>0.0</v>
      </c>
      <c r="AE91" s="19">
        <v>0.0</v>
      </c>
      <c r="AF91" s="19">
        <v>0.0</v>
      </c>
      <c r="AG91" s="19">
        <v>0.0</v>
      </c>
      <c r="AH91" s="13">
        <f t="shared" si="13"/>
        <v>4</v>
      </c>
    </row>
    <row r="92" ht="12.75" customHeight="1">
      <c r="A92" s="30"/>
      <c r="B92" s="49">
        <v>2.0</v>
      </c>
      <c r="C92" s="50" t="s">
        <v>79</v>
      </c>
      <c r="D92" s="59"/>
      <c r="E92" s="19">
        <v>0.0</v>
      </c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19">
        <v>0.0</v>
      </c>
      <c r="L92" s="19">
        <v>0.0</v>
      </c>
      <c r="M92" s="19">
        <v>0.0</v>
      </c>
      <c r="N92" s="19">
        <v>0.0</v>
      </c>
      <c r="O92" s="19">
        <v>0.0</v>
      </c>
      <c r="P92" s="19">
        <v>0.0</v>
      </c>
      <c r="Q92" s="19">
        <v>0.0</v>
      </c>
      <c r="R92" s="19">
        <v>1.0</v>
      </c>
      <c r="S92" s="19">
        <v>0.0</v>
      </c>
      <c r="T92" s="19">
        <v>0.0</v>
      </c>
      <c r="U92" s="19">
        <v>0.0</v>
      </c>
      <c r="V92" s="19">
        <v>0.0</v>
      </c>
      <c r="W92" s="19">
        <v>0.0</v>
      </c>
      <c r="X92" s="19">
        <v>0.0</v>
      </c>
      <c r="Y92" s="19">
        <v>0.0</v>
      </c>
      <c r="Z92" s="19">
        <v>0.0</v>
      </c>
      <c r="AA92" s="19">
        <v>0.0</v>
      </c>
      <c r="AB92" s="19">
        <v>0.0</v>
      </c>
      <c r="AC92" s="19">
        <v>0.0</v>
      </c>
      <c r="AD92" s="19">
        <v>0.0</v>
      </c>
      <c r="AE92" s="19">
        <v>1.0</v>
      </c>
      <c r="AF92" s="19">
        <v>0.0</v>
      </c>
      <c r="AG92" s="19">
        <v>0.0</v>
      </c>
      <c r="AH92" s="13">
        <f t="shared" si="13"/>
        <v>2</v>
      </c>
    </row>
    <row r="93" ht="12.75" customHeight="1">
      <c r="A93" s="30" t="s">
        <v>39</v>
      </c>
      <c r="B93" s="49">
        <v>3.0</v>
      </c>
      <c r="C93" s="50" t="s">
        <v>80</v>
      </c>
      <c r="D93" s="59"/>
      <c r="E93" s="19">
        <v>0.0</v>
      </c>
      <c r="F93" s="19">
        <v>0.0</v>
      </c>
      <c r="G93" s="19">
        <v>0.0</v>
      </c>
      <c r="H93" s="19">
        <v>0.0</v>
      </c>
      <c r="I93" s="19">
        <v>0.0</v>
      </c>
      <c r="J93" s="19">
        <v>0.0</v>
      </c>
      <c r="K93" s="19">
        <v>0.0</v>
      </c>
      <c r="L93" s="19">
        <v>0.0</v>
      </c>
      <c r="M93" s="19">
        <v>0.0</v>
      </c>
      <c r="N93" s="19">
        <v>0.0</v>
      </c>
      <c r="O93" s="19">
        <v>0.0</v>
      </c>
      <c r="P93" s="19">
        <v>0.0</v>
      </c>
      <c r="Q93" s="19">
        <v>0.0</v>
      </c>
      <c r="R93" s="19">
        <v>0.0</v>
      </c>
      <c r="S93" s="19">
        <v>0.0</v>
      </c>
      <c r="T93" s="19">
        <v>0.0</v>
      </c>
      <c r="U93" s="19">
        <v>0.0</v>
      </c>
      <c r="V93" s="19">
        <v>0.0</v>
      </c>
      <c r="W93" s="19">
        <v>0.0</v>
      </c>
      <c r="X93" s="19">
        <v>0.0</v>
      </c>
      <c r="Y93" s="19">
        <v>0.0</v>
      </c>
      <c r="Z93" s="19">
        <v>0.0</v>
      </c>
      <c r="AA93" s="19">
        <v>0.0</v>
      </c>
      <c r="AB93" s="19">
        <v>0.0</v>
      </c>
      <c r="AC93" s="19">
        <v>0.0</v>
      </c>
      <c r="AD93" s="19">
        <v>0.0</v>
      </c>
      <c r="AE93" s="19">
        <v>0.0</v>
      </c>
      <c r="AF93" s="19">
        <v>1.0</v>
      </c>
      <c r="AG93" s="19">
        <v>0.0</v>
      </c>
      <c r="AH93" s="13">
        <f t="shared" si="13"/>
        <v>1</v>
      </c>
    </row>
    <row r="94" ht="12.75" customHeight="1">
      <c r="A94" s="19" t="s">
        <v>15</v>
      </c>
      <c r="B94" s="47" t="s">
        <v>46</v>
      </c>
      <c r="C94" s="15"/>
      <c r="D94" s="16"/>
      <c r="E94" s="56">
        <f t="shared" ref="E94:AG94" si="19">SUM(E90:E93)</f>
        <v>1</v>
      </c>
      <c r="F94" s="56">
        <f t="shared" si="19"/>
        <v>0</v>
      </c>
      <c r="G94" s="56">
        <f t="shared" si="19"/>
        <v>0</v>
      </c>
      <c r="H94" s="56">
        <f t="shared" si="19"/>
        <v>0</v>
      </c>
      <c r="I94" s="56">
        <f t="shared" si="19"/>
        <v>0</v>
      </c>
      <c r="J94" s="56">
        <f t="shared" si="19"/>
        <v>1</v>
      </c>
      <c r="K94" s="56">
        <f t="shared" si="19"/>
        <v>0</v>
      </c>
      <c r="L94" s="56">
        <f t="shared" si="19"/>
        <v>0</v>
      </c>
      <c r="M94" s="56">
        <f t="shared" si="19"/>
        <v>1</v>
      </c>
      <c r="N94" s="56">
        <f t="shared" si="19"/>
        <v>0</v>
      </c>
      <c r="O94" s="56">
        <f t="shared" si="19"/>
        <v>0</v>
      </c>
      <c r="P94" s="56">
        <f t="shared" si="19"/>
        <v>0</v>
      </c>
      <c r="Q94" s="56">
        <f t="shared" si="19"/>
        <v>0</v>
      </c>
      <c r="R94" s="56">
        <f t="shared" si="19"/>
        <v>3</v>
      </c>
      <c r="S94" s="56">
        <f t="shared" si="19"/>
        <v>0</v>
      </c>
      <c r="T94" s="56">
        <f t="shared" si="19"/>
        <v>1</v>
      </c>
      <c r="U94" s="56">
        <f t="shared" si="19"/>
        <v>0</v>
      </c>
      <c r="V94" s="56">
        <f t="shared" si="19"/>
        <v>0</v>
      </c>
      <c r="W94" s="56">
        <f t="shared" si="19"/>
        <v>0</v>
      </c>
      <c r="X94" s="56">
        <f t="shared" si="19"/>
        <v>0</v>
      </c>
      <c r="Y94" s="56">
        <f t="shared" si="19"/>
        <v>0</v>
      </c>
      <c r="Z94" s="56">
        <f t="shared" si="19"/>
        <v>0</v>
      </c>
      <c r="AA94" s="56">
        <f t="shared" si="19"/>
        <v>0</v>
      </c>
      <c r="AB94" s="56">
        <f t="shared" si="19"/>
        <v>1</v>
      </c>
      <c r="AC94" s="56">
        <f t="shared" si="19"/>
        <v>0</v>
      </c>
      <c r="AD94" s="56">
        <f t="shared" si="19"/>
        <v>0</v>
      </c>
      <c r="AE94" s="56">
        <f t="shared" si="19"/>
        <v>1</v>
      </c>
      <c r="AF94" s="56">
        <f t="shared" si="19"/>
        <v>1</v>
      </c>
      <c r="AG94" s="56">
        <f t="shared" si="19"/>
        <v>1</v>
      </c>
      <c r="AH94" s="13">
        <f t="shared" si="13"/>
        <v>11</v>
      </c>
    </row>
    <row r="95" ht="12.75" customHeight="1">
      <c r="A95" s="57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13">
        <f t="shared" si="13"/>
        <v>0</v>
      </c>
    </row>
    <row r="96" ht="12.75" customHeight="1">
      <c r="A96" s="30" t="s">
        <v>37</v>
      </c>
      <c r="B96" s="47" t="s">
        <v>81</v>
      </c>
      <c r="C96" s="48" t="s">
        <v>82</v>
      </c>
      <c r="D96" s="16"/>
      <c r="E96" s="19">
        <v>0.0</v>
      </c>
      <c r="F96" s="19">
        <v>0.0</v>
      </c>
      <c r="G96" s="19">
        <v>1.0</v>
      </c>
      <c r="H96" s="19">
        <v>0.0</v>
      </c>
      <c r="I96" s="19">
        <v>0.0</v>
      </c>
      <c r="J96" s="19">
        <v>1.0</v>
      </c>
      <c r="K96" s="19">
        <v>0.0</v>
      </c>
      <c r="L96" s="19">
        <v>0.0</v>
      </c>
      <c r="M96" s="19">
        <v>2.0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1.0</v>
      </c>
      <c r="AF96" s="19">
        <v>0.0</v>
      </c>
      <c r="AG96" s="19">
        <v>0.0</v>
      </c>
      <c r="AH96" s="13">
        <f t="shared" si="13"/>
        <v>5</v>
      </c>
    </row>
    <row r="97" ht="12.75" customHeight="1">
      <c r="A97" s="30" t="s">
        <v>39</v>
      </c>
      <c r="B97" s="49">
        <v>1.0</v>
      </c>
      <c r="C97" s="50" t="s">
        <v>83</v>
      </c>
      <c r="D97" s="51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1.0</v>
      </c>
      <c r="N97" s="19">
        <v>0.0</v>
      </c>
      <c r="O97" s="19">
        <v>0.0</v>
      </c>
      <c r="P97" s="19">
        <v>0.0</v>
      </c>
      <c r="Q97" s="19">
        <v>1.0</v>
      </c>
      <c r="R97" s="19">
        <v>0.0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0.0</v>
      </c>
      <c r="Z97" s="19">
        <v>0.0</v>
      </c>
      <c r="AA97" s="19">
        <v>0.0</v>
      </c>
      <c r="AB97" s="19">
        <v>0.0</v>
      </c>
      <c r="AC97" s="19">
        <v>0.0</v>
      </c>
      <c r="AD97" s="19">
        <v>0.0</v>
      </c>
      <c r="AE97" s="19">
        <v>0.0</v>
      </c>
      <c r="AF97" s="19">
        <v>0.0</v>
      </c>
      <c r="AG97" s="19">
        <v>0.0</v>
      </c>
      <c r="AH97" s="13">
        <f t="shared" si="13"/>
        <v>2</v>
      </c>
    </row>
    <row r="98" ht="12.75" customHeight="1">
      <c r="A98" s="30"/>
      <c r="B98" s="49">
        <v>2.0</v>
      </c>
      <c r="C98" s="50" t="s">
        <v>84</v>
      </c>
      <c r="D98" s="51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1.0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3">
        <f t="shared" si="13"/>
        <v>1</v>
      </c>
    </row>
    <row r="99" ht="12.75" customHeight="1">
      <c r="A99" s="19" t="s">
        <v>15</v>
      </c>
      <c r="B99" s="47" t="s">
        <v>46</v>
      </c>
      <c r="C99" s="15"/>
      <c r="D99" s="16"/>
      <c r="E99" s="56">
        <f t="shared" ref="E99:AG99" si="20">SUM(E96:E98)</f>
        <v>0</v>
      </c>
      <c r="F99" s="56">
        <f t="shared" si="20"/>
        <v>0</v>
      </c>
      <c r="G99" s="56">
        <f t="shared" si="20"/>
        <v>1</v>
      </c>
      <c r="H99" s="56">
        <f t="shared" si="20"/>
        <v>0</v>
      </c>
      <c r="I99" s="56">
        <f t="shared" si="20"/>
        <v>0</v>
      </c>
      <c r="J99" s="56">
        <f t="shared" si="20"/>
        <v>1</v>
      </c>
      <c r="K99" s="56">
        <f t="shared" si="20"/>
        <v>0</v>
      </c>
      <c r="L99" s="56">
        <f t="shared" si="20"/>
        <v>0</v>
      </c>
      <c r="M99" s="56">
        <f t="shared" si="20"/>
        <v>3</v>
      </c>
      <c r="N99" s="56">
        <f t="shared" si="20"/>
        <v>0</v>
      </c>
      <c r="O99" s="56">
        <f t="shared" si="20"/>
        <v>1</v>
      </c>
      <c r="P99" s="56">
        <f t="shared" si="20"/>
        <v>0</v>
      </c>
      <c r="Q99" s="56">
        <f t="shared" si="20"/>
        <v>1</v>
      </c>
      <c r="R99" s="56">
        <f t="shared" si="20"/>
        <v>0</v>
      </c>
      <c r="S99" s="56">
        <f t="shared" si="20"/>
        <v>0</v>
      </c>
      <c r="T99" s="56">
        <f t="shared" si="20"/>
        <v>0</v>
      </c>
      <c r="U99" s="56">
        <f t="shared" si="20"/>
        <v>0</v>
      </c>
      <c r="V99" s="56">
        <f t="shared" si="20"/>
        <v>0</v>
      </c>
      <c r="W99" s="56">
        <f t="shared" si="20"/>
        <v>0</v>
      </c>
      <c r="X99" s="56">
        <f t="shared" si="20"/>
        <v>0</v>
      </c>
      <c r="Y99" s="56">
        <f t="shared" si="20"/>
        <v>0</v>
      </c>
      <c r="Z99" s="56">
        <f t="shared" si="20"/>
        <v>0</v>
      </c>
      <c r="AA99" s="56">
        <f t="shared" si="20"/>
        <v>0</v>
      </c>
      <c r="AB99" s="56">
        <f t="shared" si="20"/>
        <v>0</v>
      </c>
      <c r="AC99" s="56">
        <f t="shared" si="20"/>
        <v>0</v>
      </c>
      <c r="AD99" s="56">
        <f t="shared" si="20"/>
        <v>0</v>
      </c>
      <c r="AE99" s="56">
        <f t="shared" si="20"/>
        <v>1</v>
      </c>
      <c r="AF99" s="56">
        <f t="shared" si="20"/>
        <v>0</v>
      </c>
      <c r="AG99" s="56">
        <f t="shared" si="20"/>
        <v>0</v>
      </c>
      <c r="AH99" s="13">
        <f t="shared" si="13"/>
        <v>8</v>
      </c>
    </row>
    <row r="100" ht="12.75" customHeight="1">
      <c r="A100" s="57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13">
        <f t="shared" si="13"/>
        <v>0</v>
      </c>
    </row>
    <row r="101" ht="12.75" customHeight="1">
      <c r="A101" s="30" t="s">
        <v>37</v>
      </c>
      <c r="B101" s="47" t="s">
        <v>85</v>
      </c>
      <c r="C101" s="48" t="s">
        <v>86</v>
      </c>
      <c r="D101" s="16"/>
      <c r="E101" s="19">
        <v>0.0</v>
      </c>
      <c r="F101" s="19">
        <v>0.0</v>
      </c>
      <c r="G101" s="19">
        <v>1.0</v>
      </c>
      <c r="H101" s="19">
        <v>0.0</v>
      </c>
      <c r="I101" s="19">
        <v>0.0</v>
      </c>
      <c r="J101" s="19">
        <v>0.0</v>
      </c>
      <c r="K101" s="19">
        <v>0.0</v>
      </c>
      <c r="L101" s="19">
        <v>0.0</v>
      </c>
      <c r="M101" s="19">
        <v>0.0</v>
      </c>
      <c r="N101" s="19">
        <v>0.0</v>
      </c>
      <c r="O101" s="19">
        <v>0.0</v>
      </c>
      <c r="P101" s="19">
        <v>0.0</v>
      </c>
      <c r="Q101" s="19">
        <v>0.0</v>
      </c>
      <c r="R101" s="19">
        <v>1.0</v>
      </c>
      <c r="S101" s="19">
        <v>0.0</v>
      </c>
      <c r="T101" s="19">
        <v>0.0</v>
      </c>
      <c r="U101" s="19">
        <v>0.0</v>
      </c>
      <c r="V101" s="19">
        <v>0.0</v>
      </c>
      <c r="W101" s="19">
        <v>0.0</v>
      </c>
      <c r="X101" s="19">
        <v>0.0</v>
      </c>
      <c r="Y101" s="19">
        <v>0.0</v>
      </c>
      <c r="Z101" s="19">
        <v>0.0</v>
      </c>
      <c r="AA101" s="19">
        <v>1.0</v>
      </c>
      <c r="AB101" s="19">
        <v>0.0</v>
      </c>
      <c r="AC101" s="19">
        <v>0.0</v>
      </c>
      <c r="AD101" s="19">
        <v>0.0</v>
      </c>
      <c r="AE101" s="19">
        <v>0.0</v>
      </c>
      <c r="AF101" s="19">
        <v>0.0</v>
      </c>
      <c r="AG101" s="19">
        <v>0.0</v>
      </c>
      <c r="AH101" s="13">
        <f t="shared" si="13"/>
        <v>3</v>
      </c>
    </row>
    <row r="102" ht="12.75" customHeight="1">
      <c r="A102" s="30" t="s">
        <v>39</v>
      </c>
      <c r="B102" s="49">
        <v>1.0</v>
      </c>
      <c r="C102" s="50" t="s">
        <v>87</v>
      </c>
      <c r="D102" s="51"/>
      <c r="E102" s="19">
        <v>0.0</v>
      </c>
      <c r="F102" s="19">
        <v>1.0</v>
      </c>
      <c r="G102" s="19">
        <v>2.0</v>
      </c>
      <c r="H102" s="19">
        <v>3.0</v>
      </c>
      <c r="I102" s="19">
        <v>0.0</v>
      </c>
      <c r="J102" s="19">
        <v>3.0</v>
      </c>
      <c r="K102" s="19">
        <v>0.0</v>
      </c>
      <c r="L102" s="19">
        <v>0.0</v>
      </c>
      <c r="M102" s="19">
        <v>1.0</v>
      </c>
      <c r="N102" s="19">
        <v>1.0</v>
      </c>
      <c r="O102" s="19">
        <v>0.0</v>
      </c>
      <c r="P102" s="19">
        <v>1.0</v>
      </c>
      <c r="Q102" s="19">
        <v>0.0</v>
      </c>
      <c r="R102" s="19">
        <v>0.0</v>
      </c>
      <c r="S102" s="19">
        <v>0.0</v>
      </c>
      <c r="T102" s="19">
        <v>0.0</v>
      </c>
      <c r="U102" s="19">
        <v>0.0</v>
      </c>
      <c r="V102" s="19">
        <v>0.0</v>
      </c>
      <c r="W102" s="19">
        <v>0.0</v>
      </c>
      <c r="X102" s="19">
        <v>0.0</v>
      </c>
      <c r="Y102" s="19">
        <v>0.0</v>
      </c>
      <c r="Z102" s="19">
        <v>0.0</v>
      </c>
      <c r="AA102" s="19">
        <v>0.0</v>
      </c>
      <c r="AB102" s="19">
        <v>0.0</v>
      </c>
      <c r="AC102" s="19">
        <v>1.0</v>
      </c>
      <c r="AD102" s="19">
        <v>0.0</v>
      </c>
      <c r="AE102" s="19">
        <v>4.0</v>
      </c>
      <c r="AF102" s="19">
        <v>0.0</v>
      </c>
      <c r="AG102" s="19">
        <v>2.0</v>
      </c>
      <c r="AH102" s="13">
        <f t="shared" si="13"/>
        <v>19</v>
      </c>
    </row>
    <row r="103" ht="15.0" customHeight="1">
      <c r="A103" s="18"/>
      <c r="B103" s="49">
        <v>2.0</v>
      </c>
      <c r="C103" s="50" t="s">
        <v>88</v>
      </c>
      <c r="D103" s="51"/>
      <c r="E103" s="19">
        <v>0.0</v>
      </c>
      <c r="F103" s="19">
        <v>0.0</v>
      </c>
      <c r="G103" s="19">
        <v>0.0</v>
      </c>
      <c r="H103" s="19">
        <v>1.0</v>
      </c>
      <c r="I103" s="19">
        <v>1.0</v>
      </c>
      <c r="J103" s="19">
        <v>0.0</v>
      </c>
      <c r="K103" s="19">
        <v>0.0</v>
      </c>
      <c r="L103" s="19">
        <v>0.0</v>
      </c>
      <c r="M103" s="19">
        <v>0.0</v>
      </c>
      <c r="N103" s="19">
        <v>1.0</v>
      </c>
      <c r="O103" s="19">
        <v>0.0</v>
      </c>
      <c r="P103" s="19">
        <v>0.0</v>
      </c>
      <c r="Q103" s="19">
        <v>0.0</v>
      </c>
      <c r="R103" s="19">
        <v>0.0</v>
      </c>
      <c r="S103" s="19">
        <v>0.0</v>
      </c>
      <c r="T103" s="19">
        <v>0.0</v>
      </c>
      <c r="U103" s="19">
        <v>0.0</v>
      </c>
      <c r="V103" s="19">
        <v>0.0</v>
      </c>
      <c r="W103" s="19">
        <v>0.0</v>
      </c>
      <c r="X103" s="19">
        <v>0.0</v>
      </c>
      <c r="Y103" s="19">
        <v>0.0</v>
      </c>
      <c r="Z103" s="19">
        <v>0.0</v>
      </c>
      <c r="AA103" s="19">
        <v>0.0</v>
      </c>
      <c r="AB103" s="19">
        <v>0.0</v>
      </c>
      <c r="AC103" s="19">
        <v>0.0</v>
      </c>
      <c r="AD103" s="19">
        <v>0.0</v>
      </c>
      <c r="AE103" s="19">
        <v>0.0</v>
      </c>
      <c r="AF103" s="19">
        <v>0.0</v>
      </c>
      <c r="AG103" s="19">
        <v>0.0</v>
      </c>
      <c r="AH103" s="13">
        <f t="shared" si="13"/>
        <v>3</v>
      </c>
    </row>
    <row r="104" ht="12.75" customHeight="1">
      <c r="A104" s="18"/>
      <c r="B104" s="49">
        <v>3.0</v>
      </c>
      <c r="C104" s="50" t="s">
        <v>89</v>
      </c>
      <c r="D104" s="51"/>
      <c r="E104" s="19">
        <v>0.0</v>
      </c>
      <c r="F104" s="19">
        <v>0.0</v>
      </c>
      <c r="G104" s="19">
        <v>1.0</v>
      </c>
      <c r="H104" s="19">
        <v>0.0</v>
      </c>
      <c r="I104" s="19">
        <v>0.0</v>
      </c>
      <c r="J104" s="19">
        <v>0.0</v>
      </c>
      <c r="K104" s="19">
        <v>0.0</v>
      </c>
      <c r="L104" s="19">
        <v>0.0</v>
      </c>
      <c r="M104" s="19">
        <v>0.0</v>
      </c>
      <c r="N104" s="19">
        <v>0.0</v>
      </c>
      <c r="O104" s="19">
        <v>0.0</v>
      </c>
      <c r="P104" s="19">
        <v>0.0</v>
      </c>
      <c r="Q104" s="19">
        <v>0.0</v>
      </c>
      <c r="R104" s="19">
        <v>0.0</v>
      </c>
      <c r="S104" s="19">
        <v>0.0</v>
      </c>
      <c r="T104" s="19">
        <v>0.0</v>
      </c>
      <c r="U104" s="19">
        <v>0.0</v>
      </c>
      <c r="V104" s="19">
        <v>0.0</v>
      </c>
      <c r="W104" s="19">
        <v>0.0</v>
      </c>
      <c r="X104" s="19">
        <v>0.0</v>
      </c>
      <c r="Y104" s="19">
        <v>0.0</v>
      </c>
      <c r="Z104" s="19">
        <v>0.0</v>
      </c>
      <c r="AA104" s="19">
        <v>0.0</v>
      </c>
      <c r="AB104" s="19">
        <v>0.0</v>
      </c>
      <c r="AC104" s="19">
        <v>0.0</v>
      </c>
      <c r="AD104" s="19">
        <v>0.0</v>
      </c>
      <c r="AE104" s="19">
        <v>0.0</v>
      </c>
      <c r="AF104" s="19">
        <v>0.0</v>
      </c>
      <c r="AG104" s="19">
        <v>0.0</v>
      </c>
      <c r="AH104" s="13">
        <f t="shared" si="13"/>
        <v>1</v>
      </c>
    </row>
    <row r="105" ht="12.75" customHeight="1">
      <c r="A105" s="18"/>
      <c r="B105" s="49">
        <v>4.0</v>
      </c>
      <c r="C105" s="50" t="s">
        <v>90</v>
      </c>
      <c r="D105" s="51"/>
      <c r="E105" s="19">
        <v>0.0</v>
      </c>
      <c r="F105" s="19">
        <v>0.0</v>
      </c>
      <c r="G105" s="19">
        <v>0.0</v>
      </c>
      <c r="H105" s="19">
        <v>1.0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0.0</v>
      </c>
      <c r="AF105" s="19">
        <v>0.0</v>
      </c>
      <c r="AG105" s="19">
        <v>0.0</v>
      </c>
      <c r="AH105" s="13">
        <f t="shared" si="13"/>
        <v>1</v>
      </c>
    </row>
    <row r="106" ht="12.75" customHeight="1">
      <c r="A106" s="18"/>
      <c r="B106" s="49">
        <v>5.0</v>
      </c>
      <c r="C106" s="50" t="s">
        <v>91</v>
      </c>
      <c r="D106" s="51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0.0</v>
      </c>
      <c r="AF106" s="19">
        <v>0.0</v>
      </c>
      <c r="AG106" s="19">
        <v>0.0</v>
      </c>
      <c r="AH106" s="13">
        <f t="shared" si="13"/>
        <v>0</v>
      </c>
    </row>
    <row r="107" ht="12.75" customHeight="1">
      <c r="A107" s="18"/>
      <c r="B107" s="49">
        <v>6.0</v>
      </c>
      <c r="C107" s="50" t="s">
        <v>92</v>
      </c>
      <c r="D107" s="51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3">
        <f t="shared" si="13"/>
        <v>0</v>
      </c>
    </row>
    <row r="108" ht="12.75" customHeight="1">
      <c r="A108" s="19" t="s">
        <v>15</v>
      </c>
      <c r="B108" s="47" t="s">
        <v>46</v>
      </c>
      <c r="C108" s="15"/>
      <c r="D108" s="16"/>
      <c r="E108" s="56">
        <f t="shared" ref="E108:AG108" si="21">SUM(E101:E107)</f>
        <v>0</v>
      </c>
      <c r="F108" s="56">
        <f t="shared" si="21"/>
        <v>1</v>
      </c>
      <c r="G108" s="56">
        <f t="shared" si="21"/>
        <v>4</v>
      </c>
      <c r="H108" s="56">
        <f t="shared" si="21"/>
        <v>5</v>
      </c>
      <c r="I108" s="56">
        <f t="shared" si="21"/>
        <v>1</v>
      </c>
      <c r="J108" s="56">
        <f t="shared" si="21"/>
        <v>3</v>
      </c>
      <c r="K108" s="56">
        <f t="shared" si="21"/>
        <v>0</v>
      </c>
      <c r="L108" s="56">
        <f t="shared" si="21"/>
        <v>0</v>
      </c>
      <c r="M108" s="56">
        <f t="shared" si="21"/>
        <v>1</v>
      </c>
      <c r="N108" s="56">
        <f t="shared" si="21"/>
        <v>2</v>
      </c>
      <c r="O108" s="56">
        <f t="shared" si="21"/>
        <v>0</v>
      </c>
      <c r="P108" s="56">
        <f t="shared" si="21"/>
        <v>1</v>
      </c>
      <c r="Q108" s="56">
        <f t="shared" si="21"/>
        <v>0</v>
      </c>
      <c r="R108" s="56">
        <f t="shared" si="21"/>
        <v>1</v>
      </c>
      <c r="S108" s="56">
        <f t="shared" si="21"/>
        <v>0</v>
      </c>
      <c r="T108" s="56">
        <f t="shared" si="21"/>
        <v>0</v>
      </c>
      <c r="U108" s="56">
        <f t="shared" si="21"/>
        <v>0</v>
      </c>
      <c r="V108" s="56">
        <f t="shared" si="21"/>
        <v>0</v>
      </c>
      <c r="W108" s="56">
        <f t="shared" si="21"/>
        <v>0</v>
      </c>
      <c r="X108" s="56">
        <f t="shared" si="21"/>
        <v>0</v>
      </c>
      <c r="Y108" s="56">
        <f t="shared" si="21"/>
        <v>0</v>
      </c>
      <c r="Z108" s="56">
        <f t="shared" si="21"/>
        <v>0</v>
      </c>
      <c r="AA108" s="56">
        <f t="shared" si="21"/>
        <v>1</v>
      </c>
      <c r="AB108" s="56">
        <f t="shared" si="21"/>
        <v>0</v>
      </c>
      <c r="AC108" s="56">
        <f t="shared" si="21"/>
        <v>1</v>
      </c>
      <c r="AD108" s="56">
        <f t="shared" si="21"/>
        <v>0</v>
      </c>
      <c r="AE108" s="56">
        <f t="shared" si="21"/>
        <v>4</v>
      </c>
      <c r="AF108" s="56">
        <f t="shared" si="21"/>
        <v>0</v>
      </c>
      <c r="AG108" s="56">
        <f t="shared" si="21"/>
        <v>2</v>
      </c>
      <c r="AH108" s="13">
        <f t="shared" si="13"/>
        <v>27</v>
      </c>
    </row>
    <row r="109" ht="12.75" customHeight="1">
      <c r="A109" s="57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13">
        <f t="shared" si="13"/>
        <v>0</v>
      </c>
    </row>
    <row r="110" ht="12.75" customHeight="1">
      <c r="A110" s="30" t="s">
        <v>37</v>
      </c>
      <c r="B110" s="47" t="s">
        <v>93</v>
      </c>
      <c r="C110" s="48" t="s">
        <v>94</v>
      </c>
      <c r="D110" s="16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3">
        <f t="shared" si="13"/>
        <v>0</v>
      </c>
    </row>
    <row r="111" ht="12.75" customHeight="1">
      <c r="A111" s="30"/>
      <c r="B111" s="47">
        <v>1.0</v>
      </c>
      <c r="C111" s="50" t="s">
        <v>95</v>
      </c>
      <c r="D111" s="59"/>
      <c r="E111" s="19">
        <v>0.0</v>
      </c>
      <c r="F111" s="19">
        <v>1.0</v>
      </c>
      <c r="G111" s="19">
        <v>1.0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3">
        <f t="shared" si="13"/>
        <v>2</v>
      </c>
    </row>
    <row r="112" ht="12.75" customHeight="1">
      <c r="A112" s="30"/>
      <c r="B112" s="47">
        <v>2.0</v>
      </c>
      <c r="C112" s="50" t="s">
        <v>96</v>
      </c>
      <c r="D112" s="59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3">
        <f t="shared" si="13"/>
        <v>0</v>
      </c>
    </row>
    <row r="113" ht="12.75" customHeight="1">
      <c r="A113" s="30"/>
      <c r="B113" s="47">
        <v>3.0</v>
      </c>
      <c r="C113" s="50" t="s">
        <v>97</v>
      </c>
      <c r="D113" s="59"/>
      <c r="E113" s="19">
        <v>0.0</v>
      </c>
      <c r="F113" s="19">
        <v>0.0</v>
      </c>
      <c r="G113" s="19">
        <v>0.0</v>
      </c>
      <c r="H113" s="19">
        <v>0.0</v>
      </c>
      <c r="I113" s="19">
        <v>0.0</v>
      </c>
      <c r="J113" s="19">
        <v>0.0</v>
      </c>
      <c r="K113" s="19">
        <v>0.0</v>
      </c>
      <c r="L113" s="19">
        <v>0.0</v>
      </c>
      <c r="M113" s="19">
        <v>0.0</v>
      </c>
      <c r="N113" s="19">
        <v>0.0</v>
      </c>
      <c r="O113" s="19">
        <v>0.0</v>
      </c>
      <c r="P113" s="19">
        <v>0.0</v>
      </c>
      <c r="Q113" s="19">
        <v>0.0</v>
      </c>
      <c r="R113" s="19">
        <v>0.0</v>
      </c>
      <c r="S113" s="19">
        <v>0.0</v>
      </c>
      <c r="T113" s="19">
        <v>0.0</v>
      </c>
      <c r="U113" s="19">
        <v>0.0</v>
      </c>
      <c r="V113" s="19">
        <v>0.0</v>
      </c>
      <c r="W113" s="19">
        <v>0.0</v>
      </c>
      <c r="X113" s="19">
        <v>0.0</v>
      </c>
      <c r="Y113" s="19">
        <v>0.0</v>
      </c>
      <c r="Z113" s="19">
        <v>0.0</v>
      </c>
      <c r="AA113" s="19">
        <v>0.0</v>
      </c>
      <c r="AB113" s="19">
        <v>0.0</v>
      </c>
      <c r="AC113" s="19">
        <v>0.0</v>
      </c>
      <c r="AD113" s="19">
        <v>0.0</v>
      </c>
      <c r="AE113" s="19">
        <v>0.0</v>
      </c>
      <c r="AF113" s="19">
        <v>0.0</v>
      </c>
      <c r="AG113" s="19">
        <v>0.0</v>
      </c>
      <c r="AH113" s="13">
        <f t="shared" si="13"/>
        <v>0</v>
      </c>
    </row>
    <row r="114" ht="12.75" customHeight="1">
      <c r="A114" s="30" t="s">
        <v>39</v>
      </c>
      <c r="B114" s="49">
        <v>4.0</v>
      </c>
      <c r="C114" s="50" t="s">
        <v>98</v>
      </c>
      <c r="D114" s="51"/>
      <c r="E114" s="19">
        <v>0.0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9">
        <v>0.0</v>
      </c>
      <c r="N114" s="19">
        <v>0.0</v>
      </c>
      <c r="O114" s="19">
        <v>0.0</v>
      </c>
      <c r="P114" s="19">
        <v>0.0</v>
      </c>
      <c r="Q114" s="19">
        <v>0.0</v>
      </c>
      <c r="R114" s="19">
        <v>0.0</v>
      </c>
      <c r="S114" s="19">
        <v>0.0</v>
      </c>
      <c r="T114" s="19">
        <v>0.0</v>
      </c>
      <c r="U114" s="19">
        <v>0.0</v>
      </c>
      <c r="V114" s="19">
        <v>0.0</v>
      </c>
      <c r="W114" s="19">
        <v>0.0</v>
      </c>
      <c r="X114" s="19">
        <v>0.0</v>
      </c>
      <c r="Y114" s="19">
        <v>0.0</v>
      </c>
      <c r="Z114" s="19">
        <v>0.0</v>
      </c>
      <c r="AA114" s="19">
        <v>0.0</v>
      </c>
      <c r="AB114" s="19">
        <v>0.0</v>
      </c>
      <c r="AC114" s="19">
        <v>0.0</v>
      </c>
      <c r="AD114" s="19">
        <v>0.0</v>
      </c>
      <c r="AE114" s="19">
        <v>0.0</v>
      </c>
      <c r="AF114" s="19">
        <v>0.0</v>
      </c>
      <c r="AG114" s="19">
        <v>0.0</v>
      </c>
      <c r="AH114" s="13">
        <f t="shared" si="13"/>
        <v>0</v>
      </c>
    </row>
    <row r="115" ht="12.75" customHeight="1">
      <c r="A115" s="19" t="s">
        <v>15</v>
      </c>
      <c r="B115" s="47" t="s">
        <v>46</v>
      </c>
      <c r="C115" s="15"/>
      <c r="D115" s="16"/>
      <c r="E115" s="56">
        <f t="shared" ref="E115:AG115" si="22">SUM(E110:E114)</f>
        <v>0</v>
      </c>
      <c r="F115" s="56">
        <f t="shared" si="22"/>
        <v>1</v>
      </c>
      <c r="G115" s="56">
        <f t="shared" si="22"/>
        <v>1</v>
      </c>
      <c r="H115" s="56">
        <f t="shared" si="22"/>
        <v>0</v>
      </c>
      <c r="I115" s="56">
        <f t="shared" si="22"/>
        <v>0</v>
      </c>
      <c r="J115" s="56">
        <f t="shared" si="22"/>
        <v>0</v>
      </c>
      <c r="K115" s="56">
        <f t="shared" si="22"/>
        <v>0</v>
      </c>
      <c r="L115" s="56">
        <f t="shared" si="22"/>
        <v>0</v>
      </c>
      <c r="M115" s="56">
        <f t="shared" si="22"/>
        <v>0</v>
      </c>
      <c r="N115" s="56">
        <f t="shared" si="22"/>
        <v>0</v>
      </c>
      <c r="O115" s="56">
        <f t="shared" si="22"/>
        <v>0</v>
      </c>
      <c r="P115" s="56">
        <f t="shared" si="22"/>
        <v>0</v>
      </c>
      <c r="Q115" s="56">
        <f t="shared" si="22"/>
        <v>0</v>
      </c>
      <c r="R115" s="56">
        <f t="shared" si="22"/>
        <v>0</v>
      </c>
      <c r="S115" s="56">
        <f t="shared" si="22"/>
        <v>0</v>
      </c>
      <c r="T115" s="56">
        <f t="shared" si="22"/>
        <v>0</v>
      </c>
      <c r="U115" s="56">
        <f t="shared" si="22"/>
        <v>0</v>
      </c>
      <c r="V115" s="56">
        <f t="shared" si="22"/>
        <v>0</v>
      </c>
      <c r="W115" s="56">
        <f t="shared" si="22"/>
        <v>0</v>
      </c>
      <c r="X115" s="56">
        <f t="shared" si="22"/>
        <v>0</v>
      </c>
      <c r="Y115" s="56">
        <f t="shared" si="22"/>
        <v>0</v>
      </c>
      <c r="Z115" s="56">
        <f t="shared" si="22"/>
        <v>0</v>
      </c>
      <c r="AA115" s="56">
        <f t="shared" si="22"/>
        <v>0</v>
      </c>
      <c r="AB115" s="56">
        <f t="shared" si="22"/>
        <v>0</v>
      </c>
      <c r="AC115" s="56">
        <f t="shared" si="22"/>
        <v>0</v>
      </c>
      <c r="AD115" s="56">
        <f t="shared" si="22"/>
        <v>0</v>
      </c>
      <c r="AE115" s="56">
        <f t="shared" si="22"/>
        <v>0</v>
      </c>
      <c r="AF115" s="56">
        <f t="shared" si="22"/>
        <v>0</v>
      </c>
      <c r="AG115" s="56">
        <f t="shared" si="22"/>
        <v>0</v>
      </c>
      <c r="AH115" s="13">
        <f t="shared" si="13"/>
        <v>2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13">
        <f t="shared" si="13"/>
        <v>0</v>
      </c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19">
        <v>0.0</v>
      </c>
      <c r="F117" s="19">
        <v>1.0</v>
      </c>
      <c r="G117" s="19">
        <v>1.0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0.0</v>
      </c>
      <c r="AD117" s="19">
        <v>0.0</v>
      </c>
      <c r="AE117" s="19">
        <v>0.0</v>
      </c>
      <c r="AF117" s="19">
        <v>0.0</v>
      </c>
      <c r="AG117" s="19">
        <v>0.0</v>
      </c>
      <c r="AH117" s="13">
        <f t="shared" si="13"/>
        <v>2</v>
      </c>
      <c r="AI117" s="5"/>
      <c r="AJ117" s="5"/>
    </row>
    <row r="118" ht="12.75" customHeight="1">
      <c r="A118" s="30" t="s">
        <v>39</v>
      </c>
      <c r="B118" s="49">
        <v>1.0</v>
      </c>
      <c r="C118" s="50" t="s">
        <v>101</v>
      </c>
      <c r="D118" s="51"/>
      <c r="E118" s="19">
        <v>0.0</v>
      </c>
      <c r="F118" s="19">
        <v>0.0</v>
      </c>
      <c r="G118" s="19">
        <v>0.0</v>
      </c>
      <c r="H118" s="19">
        <v>1.0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9">
        <v>0.0</v>
      </c>
      <c r="AG118" s="19">
        <v>0.0</v>
      </c>
      <c r="AH118" s="13">
        <f t="shared" si="13"/>
        <v>1</v>
      </c>
      <c r="AI118" s="5"/>
      <c r="AJ118" s="5"/>
    </row>
    <row r="119" ht="12.75" customHeight="1">
      <c r="A119" s="18"/>
      <c r="B119" s="49">
        <v>2.0</v>
      </c>
      <c r="C119" s="50" t="s">
        <v>102</v>
      </c>
      <c r="D119" s="51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1.0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3">
        <f t="shared" si="13"/>
        <v>1</v>
      </c>
      <c r="AI119" s="5"/>
      <c r="AJ119" s="5"/>
    </row>
    <row r="120" ht="12.75" customHeight="1">
      <c r="A120" s="18"/>
      <c r="B120" s="49">
        <v>3.0</v>
      </c>
      <c r="C120" s="50" t="s">
        <v>103</v>
      </c>
      <c r="D120" s="51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3">
        <f t="shared" si="13"/>
        <v>0</v>
      </c>
      <c r="AI120" s="5"/>
      <c r="AJ120" s="5"/>
    </row>
    <row r="121" ht="12.75" customHeight="1">
      <c r="A121" s="18"/>
      <c r="B121" s="49">
        <v>4.0</v>
      </c>
      <c r="C121" s="50" t="s">
        <v>104</v>
      </c>
      <c r="D121" s="51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0.0</v>
      </c>
      <c r="U121" s="19">
        <v>0.0</v>
      </c>
      <c r="V121" s="19">
        <v>0.0</v>
      </c>
      <c r="W121" s="19">
        <v>0.0</v>
      </c>
      <c r="X121" s="19">
        <v>0.0</v>
      </c>
      <c r="Y121" s="19">
        <v>0.0</v>
      </c>
      <c r="Z121" s="19">
        <v>0.0</v>
      </c>
      <c r="AA121" s="19">
        <v>0.0</v>
      </c>
      <c r="AB121" s="19">
        <v>0.0</v>
      </c>
      <c r="AC121" s="19">
        <v>0.0</v>
      </c>
      <c r="AD121" s="19">
        <v>0.0</v>
      </c>
      <c r="AE121" s="19">
        <v>0.0</v>
      </c>
      <c r="AF121" s="19">
        <v>0.0</v>
      </c>
      <c r="AG121" s="19">
        <v>0.0</v>
      </c>
      <c r="AH121" s="13">
        <f t="shared" si="13"/>
        <v>0</v>
      </c>
      <c r="AI121" s="5"/>
      <c r="AJ121" s="5"/>
    </row>
    <row r="122" ht="12.75" customHeight="1">
      <c r="A122" s="18"/>
      <c r="B122" s="49">
        <v>5.0</v>
      </c>
      <c r="C122" s="50" t="s">
        <v>105</v>
      </c>
      <c r="D122" s="51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9">
        <v>0.0</v>
      </c>
      <c r="S122" s="19">
        <v>0.0</v>
      </c>
      <c r="T122" s="19">
        <v>0.0</v>
      </c>
      <c r="U122" s="19">
        <v>0.0</v>
      </c>
      <c r="V122" s="19">
        <v>0.0</v>
      </c>
      <c r="W122" s="19">
        <v>0.0</v>
      </c>
      <c r="X122" s="19">
        <v>0.0</v>
      </c>
      <c r="Y122" s="19">
        <v>0.0</v>
      </c>
      <c r="Z122" s="19">
        <v>0.0</v>
      </c>
      <c r="AA122" s="19">
        <v>0.0</v>
      </c>
      <c r="AB122" s="19">
        <v>0.0</v>
      </c>
      <c r="AC122" s="19">
        <v>0.0</v>
      </c>
      <c r="AD122" s="19">
        <v>0.0</v>
      </c>
      <c r="AE122" s="19">
        <v>0.0</v>
      </c>
      <c r="AF122" s="19">
        <v>0.0</v>
      </c>
      <c r="AG122" s="19">
        <v>0.0</v>
      </c>
      <c r="AH122" s="13">
        <f t="shared" si="13"/>
        <v>0</v>
      </c>
      <c r="AI122" s="5"/>
      <c r="AJ122" s="5"/>
    </row>
    <row r="123" ht="12.75" customHeight="1">
      <c r="A123" s="18"/>
      <c r="B123" s="49">
        <v>6.0</v>
      </c>
      <c r="C123" s="50" t="s">
        <v>106</v>
      </c>
      <c r="D123" s="51"/>
      <c r="E123" s="19">
        <v>0.0</v>
      </c>
      <c r="F123" s="19">
        <v>0.0</v>
      </c>
      <c r="G123" s="19">
        <v>0.0</v>
      </c>
      <c r="H123" s="19">
        <v>0.0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9">
        <v>0.0</v>
      </c>
      <c r="S123" s="19">
        <v>0.0</v>
      </c>
      <c r="T123" s="19">
        <v>0.0</v>
      </c>
      <c r="U123" s="19">
        <v>0.0</v>
      </c>
      <c r="V123" s="19">
        <v>0.0</v>
      </c>
      <c r="W123" s="19">
        <v>0.0</v>
      </c>
      <c r="X123" s="19">
        <v>0.0</v>
      </c>
      <c r="Y123" s="19">
        <v>0.0</v>
      </c>
      <c r="Z123" s="19">
        <v>0.0</v>
      </c>
      <c r="AA123" s="19">
        <v>0.0</v>
      </c>
      <c r="AB123" s="19">
        <v>0.0</v>
      </c>
      <c r="AC123" s="19">
        <v>0.0</v>
      </c>
      <c r="AD123" s="19">
        <v>0.0</v>
      </c>
      <c r="AE123" s="19">
        <v>0.0</v>
      </c>
      <c r="AF123" s="19">
        <v>0.0</v>
      </c>
      <c r="AG123" s="19">
        <v>0.0</v>
      </c>
      <c r="AH123" s="13">
        <f t="shared" si="13"/>
        <v>0</v>
      </c>
      <c r="AI123" s="5"/>
      <c r="AJ123" s="5"/>
    </row>
    <row r="124" ht="12.75" customHeight="1">
      <c r="A124" s="19" t="s">
        <v>15</v>
      </c>
      <c r="B124" s="47" t="s">
        <v>46</v>
      </c>
      <c r="C124" s="15"/>
      <c r="D124" s="16"/>
      <c r="E124" s="56">
        <f t="shared" ref="E124:AG124" si="23">SUM(E117:E123)</f>
        <v>0</v>
      </c>
      <c r="F124" s="56">
        <f t="shared" si="23"/>
        <v>1</v>
      </c>
      <c r="G124" s="56">
        <f t="shared" si="23"/>
        <v>1</v>
      </c>
      <c r="H124" s="56">
        <f t="shared" si="23"/>
        <v>1</v>
      </c>
      <c r="I124" s="56">
        <f t="shared" si="23"/>
        <v>0</v>
      </c>
      <c r="J124" s="56">
        <f t="shared" si="23"/>
        <v>0</v>
      </c>
      <c r="K124" s="56">
        <f t="shared" si="23"/>
        <v>0</v>
      </c>
      <c r="L124" s="56">
        <f t="shared" si="23"/>
        <v>0</v>
      </c>
      <c r="M124" s="56">
        <f t="shared" si="23"/>
        <v>0</v>
      </c>
      <c r="N124" s="56">
        <f t="shared" si="23"/>
        <v>0</v>
      </c>
      <c r="O124" s="56">
        <f t="shared" si="23"/>
        <v>0</v>
      </c>
      <c r="P124" s="56">
        <f t="shared" si="23"/>
        <v>0</v>
      </c>
      <c r="Q124" s="56">
        <f t="shared" si="23"/>
        <v>0</v>
      </c>
      <c r="R124" s="56">
        <f t="shared" si="23"/>
        <v>0</v>
      </c>
      <c r="S124" s="56">
        <f t="shared" si="23"/>
        <v>1</v>
      </c>
      <c r="T124" s="56">
        <f t="shared" si="23"/>
        <v>0</v>
      </c>
      <c r="U124" s="56">
        <f t="shared" si="23"/>
        <v>0</v>
      </c>
      <c r="V124" s="56">
        <f t="shared" si="23"/>
        <v>0</v>
      </c>
      <c r="W124" s="56">
        <f t="shared" si="23"/>
        <v>0</v>
      </c>
      <c r="X124" s="56">
        <f t="shared" si="23"/>
        <v>0</v>
      </c>
      <c r="Y124" s="56">
        <f t="shared" si="23"/>
        <v>0</v>
      </c>
      <c r="Z124" s="56">
        <f t="shared" si="23"/>
        <v>0</v>
      </c>
      <c r="AA124" s="56">
        <f t="shared" si="23"/>
        <v>0</v>
      </c>
      <c r="AB124" s="56">
        <f t="shared" si="23"/>
        <v>0</v>
      </c>
      <c r="AC124" s="56">
        <f t="shared" si="23"/>
        <v>0</v>
      </c>
      <c r="AD124" s="56">
        <f t="shared" si="23"/>
        <v>0</v>
      </c>
      <c r="AE124" s="56">
        <f t="shared" si="23"/>
        <v>0</v>
      </c>
      <c r="AF124" s="56">
        <f t="shared" si="23"/>
        <v>0</v>
      </c>
      <c r="AG124" s="56">
        <f t="shared" si="23"/>
        <v>0</v>
      </c>
      <c r="AH124" s="13">
        <f t="shared" si="13"/>
        <v>4</v>
      </c>
      <c r="AI124" s="5"/>
      <c r="AJ124" s="5"/>
    </row>
    <row r="125" ht="12.75" customHeight="1">
      <c r="A125" s="57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13">
        <f t="shared" si="13"/>
        <v>0</v>
      </c>
      <c r="AI125" s="5"/>
      <c r="AJ125" s="5"/>
    </row>
    <row r="126" ht="12.75" customHeight="1">
      <c r="A126" s="30" t="s">
        <v>37</v>
      </c>
      <c r="B126" s="47" t="s">
        <v>107</v>
      </c>
      <c r="C126" s="48" t="s">
        <v>108</v>
      </c>
      <c r="D126" s="16"/>
      <c r="E126" s="19">
        <v>0.0</v>
      </c>
      <c r="F126" s="19">
        <v>1.0</v>
      </c>
      <c r="G126" s="19">
        <v>0.0</v>
      </c>
      <c r="H126" s="19">
        <v>0.0</v>
      </c>
      <c r="I126" s="19">
        <v>0.0</v>
      </c>
      <c r="J126" s="19">
        <v>0.0</v>
      </c>
      <c r="K126" s="19">
        <v>0.0</v>
      </c>
      <c r="L126" s="19">
        <v>0.0</v>
      </c>
      <c r="M126" s="19">
        <v>0.0</v>
      </c>
      <c r="N126" s="19">
        <v>0.0</v>
      </c>
      <c r="O126" s="19">
        <v>0.0</v>
      </c>
      <c r="P126" s="19">
        <v>1.0</v>
      </c>
      <c r="Q126" s="19">
        <v>0.0</v>
      </c>
      <c r="R126" s="19">
        <v>0.0</v>
      </c>
      <c r="S126" s="19">
        <v>1.0</v>
      </c>
      <c r="T126" s="19">
        <v>0.0</v>
      </c>
      <c r="U126" s="19">
        <v>0.0</v>
      </c>
      <c r="V126" s="19">
        <v>0.0</v>
      </c>
      <c r="W126" s="19">
        <v>0.0</v>
      </c>
      <c r="X126" s="19">
        <v>0.0</v>
      </c>
      <c r="Y126" s="19">
        <v>0.0</v>
      </c>
      <c r="Z126" s="19">
        <v>0.0</v>
      </c>
      <c r="AA126" s="19">
        <v>0.0</v>
      </c>
      <c r="AB126" s="19">
        <v>0.0</v>
      </c>
      <c r="AC126" s="19">
        <v>1.0</v>
      </c>
      <c r="AD126" s="19">
        <v>0.0</v>
      </c>
      <c r="AE126" s="19">
        <v>0.0</v>
      </c>
      <c r="AF126" s="19">
        <v>0.0</v>
      </c>
      <c r="AG126" s="19">
        <v>0.0</v>
      </c>
      <c r="AH126" s="13">
        <f t="shared" si="13"/>
        <v>4</v>
      </c>
      <c r="AI126" s="5"/>
      <c r="AJ126" s="5"/>
    </row>
    <row r="127" ht="15.0" customHeight="1">
      <c r="A127" s="30" t="s">
        <v>39</v>
      </c>
      <c r="B127" s="49"/>
      <c r="C127" s="50"/>
      <c r="D127" s="51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3">
        <f t="shared" si="13"/>
        <v>0</v>
      </c>
      <c r="AI127" s="5"/>
      <c r="AJ127" s="5"/>
    </row>
    <row r="128" ht="12.75" customHeight="1">
      <c r="A128" s="19" t="s">
        <v>15</v>
      </c>
      <c r="B128" s="47" t="s">
        <v>46</v>
      </c>
      <c r="C128" s="15"/>
      <c r="D128" s="16"/>
      <c r="E128" s="56">
        <f t="shared" ref="E128:AG128" si="24">SUM(E126:E127)</f>
        <v>0</v>
      </c>
      <c r="F128" s="56">
        <f t="shared" si="24"/>
        <v>1</v>
      </c>
      <c r="G128" s="56">
        <f t="shared" si="24"/>
        <v>0</v>
      </c>
      <c r="H128" s="56">
        <f t="shared" si="24"/>
        <v>0</v>
      </c>
      <c r="I128" s="56">
        <f t="shared" si="24"/>
        <v>0</v>
      </c>
      <c r="J128" s="56">
        <f t="shared" si="24"/>
        <v>0</v>
      </c>
      <c r="K128" s="56">
        <f t="shared" si="24"/>
        <v>0</v>
      </c>
      <c r="L128" s="56">
        <f t="shared" si="24"/>
        <v>0</v>
      </c>
      <c r="M128" s="56">
        <f t="shared" si="24"/>
        <v>0</v>
      </c>
      <c r="N128" s="56">
        <f t="shared" si="24"/>
        <v>0</v>
      </c>
      <c r="O128" s="56">
        <f t="shared" si="24"/>
        <v>0</v>
      </c>
      <c r="P128" s="56">
        <f t="shared" si="24"/>
        <v>1</v>
      </c>
      <c r="Q128" s="56">
        <f t="shared" si="24"/>
        <v>0</v>
      </c>
      <c r="R128" s="56">
        <f t="shared" si="24"/>
        <v>0</v>
      </c>
      <c r="S128" s="56">
        <f t="shared" si="24"/>
        <v>1</v>
      </c>
      <c r="T128" s="56">
        <f t="shared" si="24"/>
        <v>0</v>
      </c>
      <c r="U128" s="56">
        <f t="shared" si="24"/>
        <v>0</v>
      </c>
      <c r="V128" s="56">
        <f t="shared" si="24"/>
        <v>0</v>
      </c>
      <c r="W128" s="56">
        <f t="shared" si="24"/>
        <v>0</v>
      </c>
      <c r="X128" s="56">
        <f t="shared" si="24"/>
        <v>0</v>
      </c>
      <c r="Y128" s="56">
        <f t="shared" si="24"/>
        <v>0</v>
      </c>
      <c r="Z128" s="56">
        <f t="shared" si="24"/>
        <v>0</v>
      </c>
      <c r="AA128" s="56">
        <f t="shared" si="24"/>
        <v>0</v>
      </c>
      <c r="AB128" s="56">
        <f t="shared" si="24"/>
        <v>0</v>
      </c>
      <c r="AC128" s="56">
        <f t="shared" si="24"/>
        <v>1</v>
      </c>
      <c r="AD128" s="56">
        <f t="shared" si="24"/>
        <v>0</v>
      </c>
      <c r="AE128" s="56">
        <f t="shared" si="24"/>
        <v>0</v>
      </c>
      <c r="AF128" s="56">
        <f t="shared" si="24"/>
        <v>0</v>
      </c>
      <c r="AG128" s="56">
        <f t="shared" si="24"/>
        <v>0</v>
      </c>
      <c r="AH128" s="13">
        <f t="shared" si="13"/>
        <v>4</v>
      </c>
      <c r="AI128" s="5"/>
      <c r="AJ128" s="5"/>
    </row>
    <row r="129" ht="12.75" customHeight="1">
      <c r="A129" s="57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13">
        <f t="shared" si="13"/>
        <v>0</v>
      </c>
      <c r="AI129" s="5"/>
      <c r="AJ129" s="5"/>
    </row>
    <row r="130" ht="12.75" customHeight="1">
      <c r="A130" s="30" t="s">
        <v>37</v>
      </c>
      <c r="B130" s="47" t="s">
        <v>109</v>
      </c>
      <c r="C130" s="48" t="s">
        <v>110</v>
      </c>
      <c r="D130" s="16"/>
      <c r="E130" s="19">
        <v>0.0</v>
      </c>
      <c r="F130" s="19">
        <v>1.0</v>
      </c>
      <c r="G130" s="19">
        <v>0.0</v>
      </c>
      <c r="H130" s="19">
        <v>0.0</v>
      </c>
      <c r="I130" s="19">
        <v>0.0</v>
      </c>
      <c r="J130" s="19">
        <v>0.0</v>
      </c>
      <c r="K130" s="19">
        <v>0.0</v>
      </c>
      <c r="L130" s="19">
        <v>0.0</v>
      </c>
      <c r="M130" s="19">
        <v>0.0</v>
      </c>
      <c r="N130" s="19">
        <v>0.0</v>
      </c>
      <c r="O130" s="19">
        <v>0.0</v>
      </c>
      <c r="P130" s="19">
        <v>0.0</v>
      </c>
      <c r="Q130" s="19">
        <v>0.0</v>
      </c>
      <c r="R130" s="19">
        <v>0.0</v>
      </c>
      <c r="S130" s="19">
        <v>0.0</v>
      </c>
      <c r="T130" s="19">
        <v>0.0</v>
      </c>
      <c r="U130" s="19">
        <v>0.0</v>
      </c>
      <c r="V130" s="19">
        <v>0.0</v>
      </c>
      <c r="W130" s="19">
        <v>0.0</v>
      </c>
      <c r="X130" s="19">
        <v>0.0</v>
      </c>
      <c r="Y130" s="19">
        <v>0.0</v>
      </c>
      <c r="Z130" s="19">
        <v>1.0</v>
      </c>
      <c r="AA130" s="19">
        <v>0.0</v>
      </c>
      <c r="AB130" s="19">
        <v>0.0</v>
      </c>
      <c r="AC130" s="19">
        <v>0.0</v>
      </c>
      <c r="AD130" s="19">
        <v>0.0</v>
      </c>
      <c r="AE130" s="19">
        <v>1.0</v>
      </c>
      <c r="AF130" s="19">
        <v>1.0</v>
      </c>
      <c r="AG130" s="19">
        <v>2.0</v>
      </c>
      <c r="AH130" s="13">
        <f t="shared" si="13"/>
        <v>6</v>
      </c>
      <c r="AI130" s="1"/>
      <c r="AJ130" s="1"/>
    </row>
    <row r="131" ht="12.75" customHeight="1">
      <c r="A131" s="30" t="s">
        <v>39</v>
      </c>
      <c r="B131" s="49">
        <v>1.0</v>
      </c>
      <c r="C131" s="50" t="s">
        <v>111</v>
      </c>
      <c r="D131" s="51"/>
      <c r="E131" s="19">
        <v>0.0</v>
      </c>
      <c r="F131" s="19">
        <v>1.0</v>
      </c>
      <c r="G131" s="19">
        <v>1.0</v>
      </c>
      <c r="H131" s="19">
        <v>0.0</v>
      </c>
      <c r="I131" s="19">
        <v>2.0</v>
      </c>
      <c r="J131" s="19">
        <v>4.0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1.0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1.0</v>
      </c>
      <c r="AC131" s="19">
        <v>0.0</v>
      </c>
      <c r="AD131" s="19">
        <v>0.0</v>
      </c>
      <c r="AE131" s="19">
        <v>0.0</v>
      </c>
      <c r="AF131" s="19">
        <v>0.0</v>
      </c>
      <c r="AG131" s="19">
        <v>0.0</v>
      </c>
      <c r="AH131" s="13">
        <f t="shared" si="13"/>
        <v>10</v>
      </c>
      <c r="AI131" s="53"/>
      <c r="AJ131" s="53"/>
    </row>
    <row r="132" ht="12.75" customHeight="1">
      <c r="A132" s="18"/>
      <c r="B132" s="49">
        <v>2.0</v>
      </c>
      <c r="C132" s="50" t="s">
        <v>112</v>
      </c>
      <c r="D132" s="51"/>
      <c r="E132" s="19">
        <v>0.0</v>
      </c>
      <c r="F132" s="19">
        <v>0.0</v>
      </c>
      <c r="G132" s="19">
        <v>1.0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1.0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1.0</v>
      </c>
      <c r="AC132" s="19">
        <v>0.0</v>
      </c>
      <c r="AD132" s="19">
        <v>0.0</v>
      </c>
      <c r="AE132" s="19">
        <v>0.0</v>
      </c>
      <c r="AF132" s="19">
        <v>0.0</v>
      </c>
      <c r="AG132" s="19">
        <v>1.0</v>
      </c>
      <c r="AH132" s="13">
        <f t="shared" si="13"/>
        <v>4</v>
      </c>
      <c r="AI132" s="5"/>
      <c r="AJ132" s="5"/>
    </row>
    <row r="133" ht="12.75" customHeight="1">
      <c r="A133" s="18"/>
      <c r="B133" s="49">
        <v>3.0</v>
      </c>
      <c r="C133" s="50" t="s">
        <v>113</v>
      </c>
      <c r="D133" s="5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3">
        <f t="shared" si="13"/>
        <v>0</v>
      </c>
      <c r="AI133" s="5"/>
      <c r="AJ133" s="5"/>
    </row>
    <row r="134" ht="12.75" customHeight="1">
      <c r="A134" s="18"/>
      <c r="B134" s="49">
        <v>4.0</v>
      </c>
      <c r="C134" s="50" t="s">
        <v>114</v>
      </c>
      <c r="D134" s="51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3">
        <f t="shared" si="13"/>
        <v>0</v>
      </c>
      <c r="AI134" s="5"/>
      <c r="AJ134" s="5"/>
    </row>
    <row r="135" ht="12.75" customHeight="1">
      <c r="A135" s="19" t="s">
        <v>15</v>
      </c>
      <c r="B135" s="47" t="s">
        <v>46</v>
      </c>
      <c r="C135" s="15"/>
      <c r="D135" s="16"/>
      <c r="E135" s="56">
        <f t="shared" ref="E135:AG135" si="25">SUM(E130:E134)</f>
        <v>0</v>
      </c>
      <c r="F135" s="56">
        <f t="shared" si="25"/>
        <v>2</v>
      </c>
      <c r="G135" s="56">
        <f t="shared" si="25"/>
        <v>2</v>
      </c>
      <c r="H135" s="56">
        <f t="shared" si="25"/>
        <v>0</v>
      </c>
      <c r="I135" s="56">
        <f t="shared" si="25"/>
        <v>2</v>
      </c>
      <c r="J135" s="56">
        <f t="shared" si="25"/>
        <v>4</v>
      </c>
      <c r="K135" s="56">
        <f t="shared" si="25"/>
        <v>0</v>
      </c>
      <c r="L135" s="56">
        <f t="shared" si="25"/>
        <v>0</v>
      </c>
      <c r="M135" s="56">
        <f t="shared" si="25"/>
        <v>1</v>
      </c>
      <c r="N135" s="56">
        <f t="shared" si="25"/>
        <v>0</v>
      </c>
      <c r="O135" s="56">
        <f t="shared" si="25"/>
        <v>0</v>
      </c>
      <c r="P135" s="56">
        <f t="shared" si="25"/>
        <v>0</v>
      </c>
      <c r="Q135" s="56">
        <f t="shared" si="25"/>
        <v>0</v>
      </c>
      <c r="R135" s="56">
        <f t="shared" si="25"/>
        <v>0</v>
      </c>
      <c r="S135" s="56">
        <f t="shared" si="25"/>
        <v>1</v>
      </c>
      <c r="T135" s="56">
        <f t="shared" si="25"/>
        <v>0</v>
      </c>
      <c r="U135" s="56">
        <f t="shared" si="25"/>
        <v>0</v>
      </c>
      <c r="V135" s="56">
        <f t="shared" si="25"/>
        <v>0</v>
      </c>
      <c r="W135" s="56">
        <f t="shared" si="25"/>
        <v>0</v>
      </c>
      <c r="X135" s="56">
        <f t="shared" si="25"/>
        <v>0</v>
      </c>
      <c r="Y135" s="56">
        <f t="shared" si="25"/>
        <v>0</v>
      </c>
      <c r="Z135" s="56">
        <f t="shared" si="25"/>
        <v>1</v>
      </c>
      <c r="AA135" s="56">
        <f t="shared" si="25"/>
        <v>0</v>
      </c>
      <c r="AB135" s="56">
        <f t="shared" si="25"/>
        <v>2</v>
      </c>
      <c r="AC135" s="56">
        <f t="shared" si="25"/>
        <v>0</v>
      </c>
      <c r="AD135" s="56">
        <f t="shared" si="25"/>
        <v>0</v>
      </c>
      <c r="AE135" s="56">
        <f t="shared" si="25"/>
        <v>1</v>
      </c>
      <c r="AF135" s="56">
        <f t="shared" si="25"/>
        <v>1</v>
      </c>
      <c r="AG135" s="56">
        <f t="shared" si="25"/>
        <v>3</v>
      </c>
      <c r="AH135" s="13">
        <f t="shared" si="13"/>
        <v>20</v>
      </c>
      <c r="AI135" s="5"/>
      <c r="AJ135" s="5"/>
    </row>
    <row r="136" ht="12.75" customHeight="1">
      <c r="A136" s="57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13">
        <f t="shared" si="13"/>
        <v>0</v>
      </c>
      <c r="AI136" s="5"/>
      <c r="AJ136" s="5"/>
    </row>
    <row r="137" ht="12.75" customHeight="1">
      <c r="A137" s="30" t="s">
        <v>37</v>
      </c>
      <c r="B137" s="47" t="s">
        <v>115</v>
      </c>
      <c r="C137" s="48" t="s">
        <v>116</v>
      </c>
      <c r="D137" s="16"/>
      <c r="E137" s="19">
        <v>0.0</v>
      </c>
      <c r="F137" s="19">
        <v>0.0</v>
      </c>
      <c r="G137" s="19">
        <v>0.0</v>
      </c>
      <c r="H137" s="19">
        <v>0.0</v>
      </c>
      <c r="I137" s="19">
        <v>0.0</v>
      </c>
      <c r="J137" s="19">
        <v>1.0</v>
      </c>
      <c r="K137" s="19">
        <v>0.0</v>
      </c>
      <c r="L137" s="19">
        <v>0.0</v>
      </c>
      <c r="M137" s="19">
        <v>0.0</v>
      </c>
      <c r="N137" s="19">
        <v>0.0</v>
      </c>
      <c r="O137" s="19">
        <v>0.0</v>
      </c>
      <c r="P137" s="19">
        <v>0.0</v>
      </c>
      <c r="Q137" s="19">
        <v>0.0</v>
      </c>
      <c r="R137" s="19">
        <v>0.0</v>
      </c>
      <c r="S137" s="19">
        <v>0.0</v>
      </c>
      <c r="T137" s="19">
        <v>0.0</v>
      </c>
      <c r="U137" s="19">
        <v>0.0</v>
      </c>
      <c r="V137" s="19">
        <v>0.0</v>
      </c>
      <c r="W137" s="19">
        <v>0.0</v>
      </c>
      <c r="X137" s="19">
        <v>0.0</v>
      </c>
      <c r="Y137" s="19">
        <v>0.0</v>
      </c>
      <c r="Z137" s="19">
        <v>0.0</v>
      </c>
      <c r="AA137" s="19">
        <v>0.0</v>
      </c>
      <c r="AB137" s="19">
        <v>0.0</v>
      </c>
      <c r="AC137" s="19">
        <v>0.0</v>
      </c>
      <c r="AD137" s="19">
        <v>0.0</v>
      </c>
      <c r="AE137" s="19">
        <v>0.0</v>
      </c>
      <c r="AF137" s="19">
        <v>0.0</v>
      </c>
      <c r="AG137" s="19">
        <v>0.0</v>
      </c>
      <c r="AH137" s="13">
        <f t="shared" si="13"/>
        <v>1</v>
      </c>
      <c r="AI137" s="5"/>
      <c r="AJ137" s="5"/>
    </row>
    <row r="138" ht="12.75" customHeight="1">
      <c r="A138" s="30" t="s">
        <v>39</v>
      </c>
      <c r="B138" s="49">
        <v>1.0</v>
      </c>
      <c r="C138" s="50" t="s">
        <v>117</v>
      </c>
      <c r="D138" s="51"/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0.0</v>
      </c>
      <c r="K138" s="19">
        <v>0.0</v>
      </c>
      <c r="L138" s="19">
        <v>0.0</v>
      </c>
      <c r="M138" s="19">
        <v>0.0</v>
      </c>
      <c r="N138" s="19">
        <v>0.0</v>
      </c>
      <c r="O138" s="19">
        <v>0.0</v>
      </c>
      <c r="P138" s="19">
        <v>0.0</v>
      </c>
      <c r="Q138" s="19">
        <v>0.0</v>
      </c>
      <c r="R138" s="19">
        <v>0.0</v>
      </c>
      <c r="S138" s="19">
        <v>0.0</v>
      </c>
      <c r="T138" s="19">
        <v>0.0</v>
      </c>
      <c r="U138" s="19">
        <v>0.0</v>
      </c>
      <c r="V138" s="19">
        <v>0.0</v>
      </c>
      <c r="W138" s="19">
        <v>0.0</v>
      </c>
      <c r="X138" s="19">
        <v>0.0</v>
      </c>
      <c r="Y138" s="19">
        <v>0.0</v>
      </c>
      <c r="Z138" s="19">
        <v>0.0</v>
      </c>
      <c r="AA138" s="19">
        <v>0.0</v>
      </c>
      <c r="AB138" s="19">
        <v>0.0</v>
      </c>
      <c r="AC138" s="19">
        <v>0.0</v>
      </c>
      <c r="AD138" s="19">
        <v>0.0</v>
      </c>
      <c r="AE138" s="19">
        <v>0.0</v>
      </c>
      <c r="AF138" s="19">
        <v>0.0</v>
      </c>
      <c r="AG138" s="19">
        <v>0.0</v>
      </c>
      <c r="AH138" s="13">
        <f t="shared" si="13"/>
        <v>0</v>
      </c>
      <c r="AI138" s="5"/>
      <c r="AJ138" s="5"/>
    </row>
    <row r="139" ht="15.0" customHeight="1">
      <c r="A139" s="18"/>
      <c r="B139" s="49">
        <v>2.0</v>
      </c>
      <c r="C139" s="50" t="s">
        <v>118</v>
      </c>
      <c r="D139" s="51"/>
      <c r="E139" s="19">
        <v>0.0</v>
      </c>
      <c r="F139" s="19">
        <v>0.0</v>
      </c>
      <c r="G139" s="19">
        <v>0.0</v>
      </c>
      <c r="H139" s="19">
        <v>0.0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19">
        <v>0.0</v>
      </c>
      <c r="Q139" s="19">
        <v>0.0</v>
      </c>
      <c r="R139" s="19">
        <v>1.0</v>
      </c>
      <c r="S139" s="19">
        <v>0.0</v>
      </c>
      <c r="T139" s="19">
        <v>1.0</v>
      </c>
      <c r="U139" s="19">
        <v>0.0</v>
      </c>
      <c r="V139" s="19">
        <v>0.0</v>
      </c>
      <c r="W139" s="19">
        <v>0.0</v>
      </c>
      <c r="X139" s="19">
        <v>0.0</v>
      </c>
      <c r="Y139" s="19">
        <v>0.0</v>
      </c>
      <c r="Z139" s="19">
        <v>0.0</v>
      </c>
      <c r="AA139" s="19">
        <v>0.0</v>
      </c>
      <c r="AB139" s="19">
        <v>0.0</v>
      </c>
      <c r="AC139" s="19">
        <v>1.0</v>
      </c>
      <c r="AD139" s="19">
        <v>0.0</v>
      </c>
      <c r="AE139" s="19">
        <v>0.0</v>
      </c>
      <c r="AF139" s="19">
        <v>0.0</v>
      </c>
      <c r="AG139" s="19">
        <v>0.0</v>
      </c>
      <c r="AH139" s="13">
        <f t="shared" si="13"/>
        <v>3</v>
      </c>
      <c r="AI139" s="5"/>
      <c r="AJ139" s="5"/>
    </row>
    <row r="140" ht="12.75" customHeight="1">
      <c r="A140" s="18"/>
      <c r="B140" s="49">
        <v>3.0</v>
      </c>
      <c r="C140" s="50" t="s">
        <v>119</v>
      </c>
      <c r="D140" s="51"/>
      <c r="E140" s="19">
        <v>0.0</v>
      </c>
      <c r="F140" s="19">
        <v>0.0</v>
      </c>
      <c r="G140" s="19">
        <v>0.0</v>
      </c>
      <c r="H140" s="19">
        <v>0.0</v>
      </c>
      <c r="I140" s="19">
        <v>0.0</v>
      </c>
      <c r="J140" s="19">
        <v>0.0</v>
      </c>
      <c r="K140" s="19">
        <v>0.0</v>
      </c>
      <c r="L140" s="19">
        <v>0.0</v>
      </c>
      <c r="M140" s="19">
        <v>0.0</v>
      </c>
      <c r="N140" s="19">
        <v>0.0</v>
      </c>
      <c r="O140" s="19">
        <v>0.0</v>
      </c>
      <c r="P140" s="19">
        <v>0.0</v>
      </c>
      <c r="Q140" s="19">
        <v>0.0</v>
      </c>
      <c r="R140" s="19">
        <v>0.0</v>
      </c>
      <c r="S140" s="19">
        <v>0.0</v>
      </c>
      <c r="T140" s="19">
        <v>0.0</v>
      </c>
      <c r="U140" s="19">
        <v>0.0</v>
      </c>
      <c r="V140" s="19">
        <v>0.0</v>
      </c>
      <c r="W140" s="19">
        <v>0.0</v>
      </c>
      <c r="X140" s="19">
        <v>0.0</v>
      </c>
      <c r="Y140" s="19">
        <v>0.0</v>
      </c>
      <c r="Z140" s="19">
        <v>0.0</v>
      </c>
      <c r="AA140" s="19">
        <v>0.0</v>
      </c>
      <c r="AB140" s="19">
        <v>0.0</v>
      </c>
      <c r="AC140" s="19">
        <v>0.0</v>
      </c>
      <c r="AD140" s="19">
        <v>0.0</v>
      </c>
      <c r="AE140" s="19">
        <v>0.0</v>
      </c>
      <c r="AF140" s="19">
        <v>0.0</v>
      </c>
      <c r="AG140" s="19">
        <v>0.0</v>
      </c>
      <c r="AH140" s="13">
        <f t="shared" si="13"/>
        <v>0</v>
      </c>
      <c r="AI140" s="5"/>
      <c r="AJ140" s="5"/>
    </row>
    <row r="141" ht="12.75" customHeight="1">
      <c r="A141" s="18"/>
      <c r="B141" s="49">
        <v>4.0</v>
      </c>
      <c r="C141" s="50" t="s">
        <v>120</v>
      </c>
      <c r="D141" s="51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1.0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3">
        <f t="shared" si="13"/>
        <v>1</v>
      </c>
      <c r="AI141" s="1"/>
      <c r="AJ141" s="1"/>
    </row>
    <row r="142" ht="12.75" customHeight="1">
      <c r="A142" s="18"/>
      <c r="B142" s="49">
        <v>5.0</v>
      </c>
      <c r="C142" s="50" t="s">
        <v>121</v>
      </c>
      <c r="D142" s="5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3">
        <f t="shared" si="13"/>
        <v>0</v>
      </c>
      <c r="AI142" s="53"/>
      <c r="AJ142" s="53"/>
    </row>
    <row r="143" ht="12.75" customHeight="1">
      <c r="A143" s="18"/>
      <c r="B143" s="49">
        <v>6.0</v>
      </c>
      <c r="C143" s="50" t="s">
        <v>122</v>
      </c>
      <c r="D143" s="5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3">
        <f t="shared" si="13"/>
        <v>0</v>
      </c>
      <c r="AI143" s="5"/>
      <c r="AJ143" s="5"/>
    </row>
    <row r="144" ht="12.75" customHeight="1">
      <c r="A144" s="19" t="s">
        <v>15</v>
      </c>
      <c r="B144" s="47" t="s">
        <v>46</v>
      </c>
      <c r="C144" s="15"/>
      <c r="D144" s="16"/>
      <c r="E144" s="56">
        <f t="shared" ref="E144:AG144" si="26">SUM(E137:E143)</f>
        <v>0</v>
      </c>
      <c r="F144" s="56">
        <f t="shared" si="26"/>
        <v>0</v>
      </c>
      <c r="G144" s="56">
        <f t="shared" si="26"/>
        <v>0</v>
      </c>
      <c r="H144" s="56">
        <f t="shared" si="26"/>
        <v>0</v>
      </c>
      <c r="I144" s="56">
        <f t="shared" si="26"/>
        <v>0</v>
      </c>
      <c r="J144" s="56">
        <f t="shared" si="26"/>
        <v>2</v>
      </c>
      <c r="K144" s="56">
        <f t="shared" si="26"/>
        <v>0</v>
      </c>
      <c r="L144" s="56">
        <f t="shared" si="26"/>
        <v>0</v>
      </c>
      <c r="M144" s="56">
        <f t="shared" si="26"/>
        <v>0</v>
      </c>
      <c r="N144" s="56">
        <f t="shared" si="26"/>
        <v>0</v>
      </c>
      <c r="O144" s="56">
        <f t="shared" si="26"/>
        <v>0</v>
      </c>
      <c r="P144" s="56">
        <f t="shared" si="26"/>
        <v>0</v>
      </c>
      <c r="Q144" s="56">
        <f t="shared" si="26"/>
        <v>0</v>
      </c>
      <c r="R144" s="56">
        <f t="shared" si="26"/>
        <v>1</v>
      </c>
      <c r="S144" s="56">
        <f t="shared" si="26"/>
        <v>0</v>
      </c>
      <c r="T144" s="56">
        <f t="shared" si="26"/>
        <v>1</v>
      </c>
      <c r="U144" s="56">
        <f t="shared" si="26"/>
        <v>0</v>
      </c>
      <c r="V144" s="56">
        <f t="shared" si="26"/>
        <v>0</v>
      </c>
      <c r="W144" s="56">
        <f t="shared" si="26"/>
        <v>0</v>
      </c>
      <c r="X144" s="56">
        <f t="shared" si="26"/>
        <v>0</v>
      </c>
      <c r="Y144" s="56">
        <f t="shared" si="26"/>
        <v>0</v>
      </c>
      <c r="Z144" s="56">
        <f t="shared" si="26"/>
        <v>0</v>
      </c>
      <c r="AA144" s="56">
        <f t="shared" si="26"/>
        <v>0</v>
      </c>
      <c r="AB144" s="56">
        <f t="shared" si="26"/>
        <v>0</v>
      </c>
      <c r="AC144" s="56">
        <f t="shared" si="26"/>
        <v>1</v>
      </c>
      <c r="AD144" s="56">
        <f t="shared" si="26"/>
        <v>0</v>
      </c>
      <c r="AE144" s="56">
        <f t="shared" si="26"/>
        <v>0</v>
      </c>
      <c r="AF144" s="56">
        <f t="shared" si="26"/>
        <v>0</v>
      </c>
      <c r="AG144" s="56">
        <f t="shared" si="26"/>
        <v>0</v>
      </c>
      <c r="AH144" s="13">
        <f t="shared" si="13"/>
        <v>5</v>
      </c>
      <c r="AI144" s="5"/>
      <c r="AJ144" s="5"/>
    </row>
    <row r="145" ht="12.75" customHeight="1">
      <c r="A145" s="57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13">
        <f t="shared" si="13"/>
        <v>0</v>
      </c>
      <c r="AI145" s="5"/>
      <c r="AJ145" s="5"/>
    </row>
    <row r="146" ht="12.75" customHeight="1">
      <c r="A146" s="30" t="s">
        <v>37</v>
      </c>
      <c r="B146" s="47" t="s">
        <v>123</v>
      </c>
      <c r="C146" s="48" t="s">
        <v>124</v>
      </c>
      <c r="D146" s="16"/>
      <c r="E146" s="19">
        <v>1.0</v>
      </c>
      <c r="F146" s="19">
        <v>1.0</v>
      </c>
      <c r="G146" s="19">
        <v>2.0</v>
      </c>
      <c r="H146" s="19">
        <v>5.0</v>
      </c>
      <c r="I146" s="19">
        <v>4.0</v>
      </c>
      <c r="J146" s="19">
        <v>1.0</v>
      </c>
      <c r="K146" s="19">
        <v>14.0</v>
      </c>
      <c r="L146" s="19">
        <v>8.0</v>
      </c>
      <c r="M146" s="19">
        <v>4.0</v>
      </c>
      <c r="N146" s="19">
        <v>2.0</v>
      </c>
      <c r="O146" s="19">
        <v>2.0</v>
      </c>
      <c r="P146" s="19">
        <v>6.0</v>
      </c>
      <c r="Q146" s="19">
        <v>0.0</v>
      </c>
      <c r="R146" s="19">
        <v>0.0</v>
      </c>
      <c r="S146" s="19">
        <v>0.0</v>
      </c>
      <c r="T146" s="19">
        <v>0.0</v>
      </c>
      <c r="U146" s="19">
        <v>4.0</v>
      </c>
      <c r="V146" s="19">
        <v>12.0</v>
      </c>
      <c r="W146" s="19">
        <v>1.0</v>
      </c>
      <c r="X146" s="19">
        <v>2.0</v>
      </c>
      <c r="Y146" s="19">
        <v>6.0</v>
      </c>
      <c r="Z146" s="19">
        <v>1.0</v>
      </c>
      <c r="AA146" s="19">
        <v>2.0</v>
      </c>
      <c r="AB146" s="19">
        <v>0.0</v>
      </c>
      <c r="AC146" s="19">
        <v>7.0</v>
      </c>
      <c r="AD146" s="19">
        <v>10.0</v>
      </c>
      <c r="AE146" s="19">
        <v>10.0</v>
      </c>
      <c r="AF146" s="19">
        <v>3.0</v>
      </c>
      <c r="AG146" s="19">
        <v>1.0</v>
      </c>
      <c r="AH146" s="13">
        <f t="shared" si="13"/>
        <v>109</v>
      </c>
      <c r="AI146" s="5"/>
      <c r="AJ146" s="5"/>
    </row>
    <row r="147" ht="12.75" customHeight="1">
      <c r="A147" s="30" t="s">
        <v>39</v>
      </c>
      <c r="B147" s="49">
        <v>1.0</v>
      </c>
      <c r="C147" s="50" t="s">
        <v>125</v>
      </c>
      <c r="D147" s="51"/>
      <c r="E147" s="19">
        <v>14.0</v>
      </c>
      <c r="F147" s="19">
        <v>12.0</v>
      </c>
      <c r="G147" s="19">
        <v>2.0</v>
      </c>
      <c r="H147" s="19">
        <v>12.0</v>
      </c>
      <c r="I147" s="19">
        <v>1.0</v>
      </c>
      <c r="J147" s="19">
        <v>19.0</v>
      </c>
      <c r="K147" s="19">
        <v>64.0</v>
      </c>
      <c r="L147" s="19">
        <v>37.0</v>
      </c>
      <c r="M147" s="19">
        <v>2.0</v>
      </c>
      <c r="N147" s="19">
        <v>1.0</v>
      </c>
      <c r="O147" s="19">
        <v>19.0</v>
      </c>
      <c r="P147" s="19">
        <v>57.0</v>
      </c>
      <c r="Q147" s="19">
        <v>6.0</v>
      </c>
      <c r="R147" s="19">
        <v>7.0</v>
      </c>
      <c r="S147" s="19">
        <v>9.0</v>
      </c>
      <c r="T147" s="19">
        <v>14.0</v>
      </c>
      <c r="U147" s="19">
        <v>21.0</v>
      </c>
      <c r="V147" s="19">
        <v>17.0</v>
      </c>
      <c r="W147" s="19">
        <v>7.0</v>
      </c>
      <c r="X147" s="19">
        <v>14.0</v>
      </c>
      <c r="Y147" s="19">
        <v>22.0</v>
      </c>
      <c r="Z147" s="19">
        <v>33.0</v>
      </c>
      <c r="AA147" s="19">
        <v>15.0</v>
      </c>
      <c r="AB147" s="19">
        <v>9.0</v>
      </c>
      <c r="AC147" s="19">
        <v>14.0</v>
      </c>
      <c r="AD147" s="19">
        <v>23.0</v>
      </c>
      <c r="AE147" s="19">
        <v>54.0</v>
      </c>
      <c r="AF147" s="19">
        <v>26.0</v>
      </c>
      <c r="AG147" s="19">
        <v>3.0</v>
      </c>
      <c r="AH147" s="13">
        <f t="shared" si="13"/>
        <v>534</v>
      </c>
      <c r="AI147" s="5"/>
      <c r="AJ147" s="5"/>
    </row>
    <row r="148" ht="12.75" customHeight="1">
      <c r="A148" s="18"/>
      <c r="B148" s="49">
        <v>2.0</v>
      </c>
      <c r="C148" s="50" t="s">
        <v>126</v>
      </c>
      <c r="D148" s="51"/>
      <c r="E148" s="19">
        <v>0.0</v>
      </c>
      <c r="F148" s="19">
        <v>1.0</v>
      </c>
      <c r="G148" s="19">
        <v>1.0</v>
      </c>
      <c r="H148" s="19">
        <v>2.0</v>
      </c>
      <c r="I148" s="19">
        <v>1.0</v>
      </c>
      <c r="J148" s="19">
        <v>0.0</v>
      </c>
      <c r="K148" s="19">
        <v>0.0</v>
      </c>
      <c r="L148" s="19">
        <v>0.0</v>
      </c>
      <c r="M148" s="19">
        <v>0.0</v>
      </c>
      <c r="N148" s="19">
        <v>1.0</v>
      </c>
      <c r="O148" s="19">
        <v>0.0</v>
      </c>
      <c r="P148" s="19">
        <v>0.0</v>
      </c>
      <c r="Q148" s="19">
        <v>0.0</v>
      </c>
      <c r="R148" s="19">
        <v>1.0</v>
      </c>
      <c r="S148" s="19">
        <v>0.0</v>
      </c>
      <c r="T148" s="19">
        <v>0.0</v>
      </c>
      <c r="U148" s="19">
        <v>0.0</v>
      </c>
      <c r="V148" s="19">
        <v>1.0</v>
      </c>
      <c r="W148" s="19">
        <v>0.0</v>
      </c>
      <c r="X148" s="19">
        <v>0.0</v>
      </c>
      <c r="Y148" s="19">
        <v>1.0</v>
      </c>
      <c r="Z148" s="19">
        <v>0.0</v>
      </c>
      <c r="AA148" s="19">
        <v>2.0</v>
      </c>
      <c r="AB148" s="19">
        <v>2.0</v>
      </c>
      <c r="AC148" s="19">
        <v>3.0</v>
      </c>
      <c r="AD148" s="19">
        <v>2.0</v>
      </c>
      <c r="AE148" s="19">
        <v>0.0</v>
      </c>
      <c r="AF148" s="19">
        <v>0.0</v>
      </c>
      <c r="AG148" s="19">
        <v>1.0</v>
      </c>
      <c r="AH148" s="13">
        <f t="shared" si="13"/>
        <v>19</v>
      </c>
      <c r="AI148" s="5"/>
      <c r="AJ148" s="5"/>
    </row>
    <row r="149" ht="12.75" customHeight="1">
      <c r="A149" s="18"/>
      <c r="B149" s="49">
        <v>3.0</v>
      </c>
      <c r="C149" s="50" t="s">
        <v>127</v>
      </c>
      <c r="D149" s="51"/>
      <c r="E149" s="19">
        <v>7.0</v>
      </c>
      <c r="F149" s="19">
        <v>2.0</v>
      </c>
      <c r="G149" s="19">
        <v>17.0</v>
      </c>
      <c r="H149" s="19">
        <v>16.0</v>
      </c>
      <c r="I149" s="19">
        <v>14.0</v>
      </c>
      <c r="J149" s="19">
        <v>3.0</v>
      </c>
      <c r="K149" s="19">
        <v>2.0</v>
      </c>
      <c r="L149" s="19">
        <v>4.0</v>
      </c>
      <c r="M149" s="19">
        <v>13.0</v>
      </c>
      <c r="N149" s="19">
        <v>6.0</v>
      </c>
      <c r="O149" s="19">
        <v>0.0</v>
      </c>
      <c r="P149" s="19">
        <v>0.0</v>
      </c>
      <c r="Q149" s="19">
        <v>1.0</v>
      </c>
      <c r="R149" s="19">
        <v>1.0</v>
      </c>
      <c r="S149" s="19">
        <v>4.0</v>
      </c>
      <c r="T149" s="19">
        <v>2.0</v>
      </c>
      <c r="U149" s="19">
        <v>2.0</v>
      </c>
      <c r="V149" s="19">
        <v>6.0</v>
      </c>
      <c r="W149" s="19">
        <v>1.0</v>
      </c>
      <c r="X149" s="19">
        <v>1.0</v>
      </c>
      <c r="Y149" s="19">
        <v>0.0</v>
      </c>
      <c r="Z149" s="19">
        <v>0.0</v>
      </c>
      <c r="AA149" s="19">
        <v>3.0</v>
      </c>
      <c r="AB149" s="19">
        <v>30.0</v>
      </c>
      <c r="AC149" s="19">
        <v>15.0</v>
      </c>
      <c r="AD149" s="19">
        <v>4.0</v>
      </c>
      <c r="AE149" s="19">
        <v>1.0</v>
      </c>
      <c r="AF149" s="19">
        <v>8.0</v>
      </c>
      <c r="AG149" s="19">
        <v>9.0</v>
      </c>
      <c r="AH149" s="13">
        <f t="shared" si="13"/>
        <v>172</v>
      </c>
      <c r="AI149" s="5"/>
      <c r="AJ149" s="5"/>
    </row>
    <row r="150" ht="12.75" customHeight="1">
      <c r="A150" s="18"/>
      <c r="B150" s="49">
        <v>4.0</v>
      </c>
      <c r="C150" s="50" t="s">
        <v>128</v>
      </c>
      <c r="D150" s="51"/>
      <c r="E150" s="19">
        <v>0.0</v>
      </c>
      <c r="F150" s="19">
        <v>1.0</v>
      </c>
      <c r="G150" s="19">
        <v>1.0</v>
      </c>
      <c r="H150" s="19">
        <v>0.0</v>
      </c>
      <c r="I150" s="19">
        <v>0.0</v>
      </c>
      <c r="J150" s="19">
        <v>0.0</v>
      </c>
      <c r="K150" s="19">
        <v>0.0</v>
      </c>
      <c r="L150" s="19">
        <v>0.0</v>
      </c>
      <c r="M150" s="19">
        <v>0.0</v>
      </c>
      <c r="N150" s="19">
        <v>0.0</v>
      </c>
      <c r="O150" s="19">
        <v>4.0</v>
      </c>
      <c r="P150" s="19">
        <v>0.0</v>
      </c>
      <c r="Q150" s="19">
        <v>0.0</v>
      </c>
      <c r="R150" s="19">
        <v>0.0</v>
      </c>
      <c r="S150" s="19">
        <v>1.0</v>
      </c>
      <c r="T150" s="19">
        <v>0.0</v>
      </c>
      <c r="U150" s="19">
        <v>0.0</v>
      </c>
      <c r="V150" s="19">
        <v>0.0</v>
      </c>
      <c r="W150" s="19">
        <v>1.0</v>
      </c>
      <c r="X150" s="19">
        <v>0.0</v>
      </c>
      <c r="Y150" s="19">
        <v>1.0</v>
      </c>
      <c r="Z150" s="19">
        <v>0.0</v>
      </c>
      <c r="AA150" s="19">
        <v>0.0</v>
      </c>
      <c r="AB150" s="19">
        <v>0.0</v>
      </c>
      <c r="AC150" s="19">
        <v>1.0</v>
      </c>
      <c r="AD150" s="19">
        <v>0.0</v>
      </c>
      <c r="AE150" s="19">
        <v>0.0</v>
      </c>
      <c r="AF150" s="19">
        <v>0.0</v>
      </c>
      <c r="AG150" s="19">
        <v>0.0</v>
      </c>
      <c r="AH150" s="13">
        <f t="shared" si="13"/>
        <v>10</v>
      </c>
      <c r="AI150" s="5"/>
      <c r="AJ150" s="5"/>
    </row>
    <row r="151" ht="12.75" customHeight="1">
      <c r="A151" s="18"/>
      <c r="B151" s="49">
        <v>5.0</v>
      </c>
      <c r="C151" s="50" t="s">
        <v>129</v>
      </c>
      <c r="D151" s="51"/>
      <c r="E151" s="19">
        <v>0.0</v>
      </c>
      <c r="F151" s="19">
        <v>0.0</v>
      </c>
      <c r="G151" s="19">
        <v>0.0</v>
      </c>
      <c r="H151" s="19">
        <v>0.0</v>
      </c>
      <c r="I151" s="19">
        <v>0.0</v>
      </c>
      <c r="J151" s="19">
        <v>0.0</v>
      </c>
      <c r="K151" s="19">
        <v>0.0</v>
      </c>
      <c r="L151" s="19">
        <v>0.0</v>
      </c>
      <c r="M151" s="19">
        <v>0.0</v>
      </c>
      <c r="N151" s="19">
        <v>0.0</v>
      </c>
      <c r="O151" s="19">
        <v>0.0</v>
      </c>
      <c r="P151" s="19">
        <v>0.0</v>
      </c>
      <c r="Q151" s="19">
        <v>0.0</v>
      </c>
      <c r="R151" s="19">
        <v>0.0</v>
      </c>
      <c r="S151" s="19">
        <v>0.0</v>
      </c>
      <c r="T151" s="19">
        <v>0.0</v>
      </c>
      <c r="U151" s="19">
        <v>0.0</v>
      </c>
      <c r="V151" s="19">
        <v>0.0</v>
      </c>
      <c r="W151" s="19">
        <v>0.0</v>
      </c>
      <c r="X151" s="19">
        <v>0.0</v>
      </c>
      <c r="Y151" s="19">
        <v>0.0</v>
      </c>
      <c r="Z151" s="19">
        <v>0.0</v>
      </c>
      <c r="AA151" s="19">
        <v>0.0</v>
      </c>
      <c r="AB151" s="19">
        <v>0.0</v>
      </c>
      <c r="AC151" s="19">
        <v>0.0</v>
      </c>
      <c r="AD151" s="19">
        <v>0.0</v>
      </c>
      <c r="AE151" s="19">
        <v>0.0</v>
      </c>
      <c r="AF151" s="19">
        <v>0.0</v>
      </c>
      <c r="AG151" s="19">
        <v>0.0</v>
      </c>
      <c r="AH151" s="13">
        <f t="shared" si="13"/>
        <v>0</v>
      </c>
      <c r="AI151" s="1"/>
      <c r="AJ151" s="1"/>
    </row>
    <row r="152" ht="12.75" customHeight="1">
      <c r="A152" s="18"/>
      <c r="B152" s="49">
        <v>6.0</v>
      </c>
      <c r="C152" s="50" t="s">
        <v>130</v>
      </c>
      <c r="D152" s="51"/>
      <c r="E152" s="19">
        <v>0.0</v>
      </c>
      <c r="F152" s="19">
        <v>0.0</v>
      </c>
      <c r="G152" s="19">
        <v>2.0</v>
      </c>
      <c r="H152" s="19">
        <v>0.0</v>
      </c>
      <c r="I152" s="19">
        <v>0.0</v>
      </c>
      <c r="J152" s="19">
        <v>0.0</v>
      </c>
      <c r="K152" s="19">
        <v>0.0</v>
      </c>
      <c r="L152" s="19">
        <v>0.0</v>
      </c>
      <c r="M152" s="19">
        <v>0.0</v>
      </c>
      <c r="N152" s="19">
        <v>0.0</v>
      </c>
      <c r="O152" s="19">
        <v>2.0</v>
      </c>
      <c r="P152" s="19">
        <v>1.0</v>
      </c>
      <c r="Q152" s="19">
        <v>0.0</v>
      </c>
      <c r="R152" s="19">
        <v>0.0</v>
      </c>
      <c r="S152" s="19">
        <v>0.0</v>
      </c>
      <c r="T152" s="19">
        <v>0.0</v>
      </c>
      <c r="U152" s="19">
        <v>0.0</v>
      </c>
      <c r="V152" s="19">
        <v>0.0</v>
      </c>
      <c r="W152" s="19">
        <v>0.0</v>
      </c>
      <c r="X152" s="19">
        <v>0.0</v>
      </c>
      <c r="Y152" s="19">
        <v>0.0</v>
      </c>
      <c r="Z152" s="19">
        <v>0.0</v>
      </c>
      <c r="AA152" s="19">
        <v>0.0</v>
      </c>
      <c r="AB152" s="19">
        <v>0.0</v>
      </c>
      <c r="AC152" s="19">
        <v>7.0</v>
      </c>
      <c r="AD152" s="19">
        <v>55.0</v>
      </c>
      <c r="AE152" s="19">
        <v>0.0</v>
      </c>
      <c r="AF152" s="19">
        <v>0.0</v>
      </c>
      <c r="AG152" s="19">
        <v>0.0</v>
      </c>
      <c r="AH152" s="13">
        <f t="shared" si="13"/>
        <v>67</v>
      </c>
      <c r="AI152" s="53"/>
      <c r="AJ152" s="53"/>
    </row>
    <row r="153" ht="12.75" customHeight="1">
      <c r="A153" s="19" t="s">
        <v>15</v>
      </c>
      <c r="B153" s="47" t="s">
        <v>46</v>
      </c>
      <c r="C153" s="15"/>
      <c r="D153" s="16"/>
      <c r="E153" s="56">
        <f t="shared" ref="E153:AG153" si="27">SUM(E146:E152)</f>
        <v>22</v>
      </c>
      <c r="F153" s="56">
        <f t="shared" si="27"/>
        <v>17</v>
      </c>
      <c r="G153" s="56">
        <f t="shared" si="27"/>
        <v>25</v>
      </c>
      <c r="H153" s="56">
        <f t="shared" si="27"/>
        <v>35</v>
      </c>
      <c r="I153" s="56">
        <f t="shared" si="27"/>
        <v>20</v>
      </c>
      <c r="J153" s="56">
        <f t="shared" si="27"/>
        <v>23</v>
      </c>
      <c r="K153" s="56">
        <f t="shared" si="27"/>
        <v>80</v>
      </c>
      <c r="L153" s="56">
        <f t="shared" si="27"/>
        <v>49</v>
      </c>
      <c r="M153" s="56">
        <f t="shared" si="27"/>
        <v>19</v>
      </c>
      <c r="N153" s="56">
        <f t="shared" si="27"/>
        <v>10</v>
      </c>
      <c r="O153" s="56">
        <f t="shared" si="27"/>
        <v>27</v>
      </c>
      <c r="P153" s="56">
        <f t="shared" si="27"/>
        <v>64</v>
      </c>
      <c r="Q153" s="56">
        <f t="shared" si="27"/>
        <v>7</v>
      </c>
      <c r="R153" s="56">
        <f t="shared" si="27"/>
        <v>9</v>
      </c>
      <c r="S153" s="56">
        <f t="shared" si="27"/>
        <v>14</v>
      </c>
      <c r="T153" s="56">
        <f t="shared" si="27"/>
        <v>16</v>
      </c>
      <c r="U153" s="56">
        <f t="shared" si="27"/>
        <v>27</v>
      </c>
      <c r="V153" s="56">
        <f t="shared" si="27"/>
        <v>36</v>
      </c>
      <c r="W153" s="56">
        <f t="shared" si="27"/>
        <v>10</v>
      </c>
      <c r="X153" s="56">
        <f t="shared" si="27"/>
        <v>17</v>
      </c>
      <c r="Y153" s="56">
        <f t="shared" si="27"/>
        <v>30</v>
      </c>
      <c r="Z153" s="56">
        <f t="shared" si="27"/>
        <v>34</v>
      </c>
      <c r="AA153" s="56">
        <f t="shared" si="27"/>
        <v>22</v>
      </c>
      <c r="AB153" s="56">
        <f t="shared" si="27"/>
        <v>41</v>
      </c>
      <c r="AC153" s="56">
        <f t="shared" si="27"/>
        <v>47</v>
      </c>
      <c r="AD153" s="56">
        <f t="shared" si="27"/>
        <v>94</v>
      </c>
      <c r="AE153" s="56">
        <f t="shared" si="27"/>
        <v>65</v>
      </c>
      <c r="AF153" s="56">
        <f t="shared" si="27"/>
        <v>37</v>
      </c>
      <c r="AG153" s="56">
        <f t="shared" si="27"/>
        <v>14</v>
      </c>
      <c r="AH153" s="13">
        <f t="shared" si="13"/>
        <v>911</v>
      </c>
      <c r="AI153" s="5"/>
      <c r="AJ153" s="5"/>
    </row>
    <row r="154" ht="12.75" customHeight="1">
      <c r="A154" s="57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13">
        <f t="shared" si="13"/>
        <v>0</v>
      </c>
      <c r="AI154" s="5"/>
      <c r="AJ154" s="5"/>
    </row>
    <row r="155" ht="12.75" customHeight="1">
      <c r="A155" s="30" t="s">
        <v>37</v>
      </c>
      <c r="B155" s="47" t="s">
        <v>131</v>
      </c>
      <c r="C155" s="48" t="s">
        <v>132</v>
      </c>
      <c r="D155" s="16"/>
      <c r="E155" s="19">
        <v>0.0</v>
      </c>
      <c r="F155" s="19">
        <v>0.0</v>
      </c>
      <c r="G155" s="19">
        <v>1.0</v>
      </c>
      <c r="H155" s="19">
        <v>3.0</v>
      </c>
      <c r="I155" s="19">
        <v>1.0</v>
      </c>
      <c r="J155" s="19">
        <v>0.0</v>
      </c>
      <c r="K155" s="19">
        <v>0.0</v>
      </c>
      <c r="L155" s="19">
        <v>0.0</v>
      </c>
      <c r="M155" s="19">
        <v>1.0</v>
      </c>
      <c r="N155" s="19">
        <v>0.0</v>
      </c>
      <c r="O155" s="19">
        <v>0.0</v>
      </c>
      <c r="P155" s="19">
        <v>3.0</v>
      </c>
      <c r="Q155" s="19">
        <v>0.0</v>
      </c>
      <c r="R155" s="19">
        <v>1.0</v>
      </c>
      <c r="S155" s="19">
        <v>0.0</v>
      </c>
      <c r="T155" s="19">
        <v>0.0</v>
      </c>
      <c r="U155" s="19">
        <v>1.0</v>
      </c>
      <c r="V155" s="19">
        <v>0.0</v>
      </c>
      <c r="W155" s="19">
        <v>0.0</v>
      </c>
      <c r="X155" s="19">
        <v>0.0</v>
      </c>
      <c r="Y155" s="19">
        <v>0.0</v>
      </c>
      <c r="Z155" s="19">
        <v>2.0</v>
      </c>
      <c r="AA155" s="19">
        <v>1.0</v>
      </c>
      <c r="AB155" s="19">
        <v>1.0</v>
      </c>
      <c r="AC155" s="19">
        <v>0.0</v>
      </c>
      <c r="AD155" s="19">
        <v>0.0</v>
      </c>
      <c r="AE155" s="19">
        <v>1.0</v>
      </c>
      <c r="AF155" s="19">
        <v>0.0</v>
      </c>
      <c r="AG155" s="19">
        <v>1.0</v>
      </c>
      <c r="AH155" s="13">
        <f t="shared" si="13"/>
        <v>17</v>
      </c>
      <c r="AI155" s="5"/>
      <c r="AJ155" s="5"/>
    </row>
    <row r="156" ht="12.75" customHeight="1">
      <c r="A156" s="30" t="s">
        <v>39</v>
      </c>
      <c r="B156" s="49"/>
      <c r="C156" s="50" t="s">
        <v>133</v>
      </c>
      <c r="D156" s="51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3">
        <f t="shared" si="13"/>
        <v>0</v>
      </c>
      <c r="AI156" s="5"/>
      <c r="AJ156" s="5"/>
    </row>
    <row r="157" ht="12.75" customHeight="1">
      <c r="A157" s="19" t="s">
        <v>15</v>
      </c>
      <c r="B157" s="47" t="s">
        <v>46</v>
      </c>
      <c r="C157" s="15"/>
      <c r="D157" s="16"/>
      <c r="E157" s="56">
        <f t="shared" ref="E157:AG157" si="28">SUM(E155:E156)</f>
        <v>0</v>
      </c>
      <c r="F157" s="56">
        <f t="shared" si="28"/>
        <v>0</v>
      </c>
      <c r="G157" s="56">
        <f t="shared" si="28"/>
        <v>1</v>
      </c>
      <c r="H157" s="56">
        <f t="shared" si="28"/>
        <v>3</v>
      </c>
      <c r="I157" s="56">
        <f t="shared" si="28"/>
        <v>1</v>
      </c>
      <c r="J157" s="56">
        <f t="shared" si="28"/>
        <v>0</v>
      </c>
      <c r="K157" s="56">
        <f t="shared" si="28"/>
        <v>0</v>
      </c>
      <c r="L157" s="56">
        <f t="shared" si="28"/>
        <v>0</v>
      </c>
      <c r="M157" s="56">
        <f t="shared" si="28"/>
        <v>1</v>
      </c>
      <c r="N157" s="56">
        <f t="shared" si="28"/>
        <v>0</v>
      </c>
      <c r="O157" s="56">
        <f t="shared" si="28"/>
        <v>0</v>
      </c>
      <c r="P157" s="56">
        <f t="shared" si="28"/>
        <v>3</v>
      </c>
      <c r="Q157" s="56">
        <f t="shared" si="28"/>
        <v>0</v>
      </c>
      <c r="R157" s="56">
        <f t="shared" si="28"/>
        <v>1</v>
      </c>
      <c r="S157" s="56">
        <f t="shared" si="28"/>
        <v>0</v>
      </c>
      <c r="T157" s="56">
        <f t="shared" si="28"/>
        <v>0</v>
      </c>
      <c r="U157" s="56">
        <f t="shared" si="28"/>
        <v>1</v>
      </c>
      <c r="V157" s="56">
        <f t="shared" si="28"/>
        <v>0</v>
      </c>
      <c r="W157" s="56">
        <f t="shared" si="28"/>
        <v>0</v>
      </c>
      <c r="X157" s="56">
        <f t="shared" si="28"/>
        <v>0</v>
      </c>
      <c r="Y157" s="56">
        <f t="shared" si="28"/>
        <v>0</v>
      </c>
      <c r="Z157" s="56">
        <f t="shared" si="28"/>
        <v>2</v>
      </c>
      <c r="AA157" s="56">
        <f t="shared" si="28"/>
        <v>1</v>
      </c>
      <c r="AB157" s="56">
        <f t="shared" si="28"/>
        <v>1</v>
      </c>
      <c r="AC157" s="56">
        <f t="shared" si="28"/>
        <v>0</v>
      </c>
      <c r="AD157" s="56">
        <f t="shared" si="28"/>
        <v>0</v>
      </c>
      <c r="AE157" s="56">
        <f t="shared" si="28"/>
        <v>1</v>
      </c>
      <c r="AF157" s="56">
        <f t="shared" si="28"/>
        <v>0</v>
      </c>
      <c r="AG157" s="56">
        <f t="shared" si="28"/>
        <v>1</v>
      </c>
      <c r="AH157" s="13">
        <f t="shared" si="13"/>
        <v>17</v>
      </c>
      <c r="AI157" s="5"/>
      <c r="AJ157" s="5"/>
    </row>
    <row r="158" ht="12.75" customHeight="1">
      <c r="A158" s="57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13">
        <f t="shared" si="13"/>
        <v>0</v>
      </c>
      <c r="AI158" s="5"/>
      <c r="AJ158" s="5"/>
    </row>
    <row r="159" ht="12.75" customHeight="1">
      <c r="A159" s="30" t="s">
        <v>37</v>
      </c>
      <c r="B159" s="47" t="s">
        <v>134</v>
      </c>
      <c r="C159" s="48" t="s">
        <v>135</v>
      </c>
      <c r="D159" s="16"/>
      <c r="E159" s="19">
        <v>0.0</v>
      </c>
      <c r="F159" s="19">
        <v>0.0</v>
      </c>
      <c r="G159" s="19">
        <v>0.0</v>
      </c>
      <c r="H159" s="19">
        <v>1.0</v>
      </c>
      <c r="I159" s="19">
        <v>0.0</v>
      </c>
      <c r="J159" s="19">
        <v>0.0</v>
      </c>
      <c r="K159" s="19">
        <v>0.0</v>
      </c>
      <c r="L159" s="19">
        <v>0.0</v>
      </c>
      <c r="M159" s="19">
        <v>0.0</v>
      </c>
      <c r="N159" s="19">
        <v>1.0</v>
      </c>
      <c r="O159" s="19">
        <v>0.0</v>
      </c>
      <c r="P159" s="19">
        <v>0.0</v>
      </c>
      <c r="Q159" s="19">
        <v>0.0</v>
      </c>
      <c r="R159" s="19">
        <v>0.0</v>
      </c>
      <c r="S159" s="19">
        <v>0.0</v>
      </c>
      <c r="T159" s="19">
        <v>0.0</v>
      </c>
      <c r="U159" s="19">
        <v>0.0</v>
      </c>
      <c r="V159" s="19">
        <v>0.0</v>
      </c>
      <c r="W159" s="19">
        <v>0.0</v>
      </c>
      <c r="X159" s="19">
        <v>0.0</v>
      </c>
      <c r="Y159" s="19">
        <v>0.0</v>
      </c>
      <c r="Z159" s="19">
        <v>0.0</v>
      </c>
      <c r="AA159" s="19">
        <v>0.0</v>
      </c>
      <c r="AB159" s="19">
        <v>0.0</v>
      </c>
      <c r="AC159" s="19">
        <v>0.0</v>
      </c>
      <c r="AD159" s="19">
        <v>0.0</v>
      </c>
      <c r="AE159" s="19">
        <v>0.0</v>
      </c>
      <c r="AF159" s="19">
        <v>0.0</v>
      </c>
      <c r="AG159" s="19">
        <v>0.0</v>
      </c>
      <c r="AH159" s="13">
        <f t="shared" si="13"/>
        <v>2</v>
      </c>
      <c r="AI159" s="5"/>
      <c r="AJ159" s="5"/>
    </row>
    <row r="160" ht="12.75" customHeight="1">
      <c r="A160" s="30"/>
      <c r="B160" s="49">
        <v>1.0</v>
      </c>
      <c r="C160" s="50" t="s">
        <v>136</v>
      </c>
      <c r="D160" s="59"/>
      <c r="E160" s="19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1.0</v>
      </c>
      <c r="N160" s="19">
        <v>0.0</v>
      </c>
      <c r="O160" s="19">
        <v>0.0</v>
      </c>
      <c r="P160" s="19">
        <v>0.0</v>
      </c>
      <c r="Q160" s="19">
        <v>0.0</v>
      </c>
      <c r="R160" s="19">
        <v>0.0</v>
      </c>
      <c r="S160" s="19">
        <v>0.0</v>
      </c>
      <c r="T160" s="19">
        <v>0.0</v>
      </c>
      <c r="U160" s="19">
        <v>0.0</v>
      </c>
      <c r="V160" s="19">
        <v>0.0</v>
      </c>
      <c r="W160" s="19">
        <v>0.0</v>
      </c>
      <c r="X160" s="19">
        <v>0.0</v>
      </c>
      <c r="Y160" s="19">
        <v>0.0</v>
      </c>
      <c r="Z160" s="19">
        <v>0.0</v>
      </c>
      <c r="AA160" s="19">
        <v>0.0</v>
      </c>
      <c r="AB160" s="19">
        <v>0.0</v>
      </c>
      <c r="AC160" s="19">
        <v>0.0</v>
      </c>
      <c r="AD160" s="19">
        <v>0.0</v>
      </c>
      <c r="AE160" s="19">
        <v>0.0</v>
      </c>
      <c r="AF160" s="19">
        <v>0.0</v>
      </c>
      <c r="AG160" s="19">
        <v>0.0</v>
      </c>
      <c r="AH160" s="13">
        <f t="shared" si="13"/>
        <v>1</v>
      </c>
      <c r="AI160" s="5"/>
      <c r="AJ160" s="5"/>
    </row>
    <row r="161" ht="12.75" customHeight="1">
      <c r="A161" s="30"/>
      <c r="B161" s="49">
        <v>2.0</v>
      </c>
      <c r="C161" s="50" t="s">
        <v>137</v>
      </c>
      <c r="D161" s="59"/>
      <c r="E161" s="19">
        <v>0.0</v>
      </c>
      <c r="F161" s="19">
        <v>0.0</v>
      </c>
      <c r="G161" s="19">
        <v>0.0</v>
      </c>
      <c r="H161" s="19">
        <v>0.0</v>
      </c>
      <c r="I161" s="19">
        <v>1.0</v>
      </c>
      <c r="J161" s="19">
        <v>0.0</v>
      </c>
      <c r="K161" s="19">
        <v>0.0</v>
      </c>
      <c r="L161" s="19">
        <v>0.0</v>
      </c>
      <c r="M161" s="19">
        <v>0.0</v>
      </c>
      <c r="N161" s="19">
        <v>0.0</v>
      </c>
      <c r="O161" s="19">
        <v>0.0</v>
      </c>
      <c r="P161" s="19">
        <v>0.0</v>
      </c>
      <c r="Q161" s="19">
        <v>0.0</v>
      </c>
      <c r="R161" s="19">
        <v>0.0</v>
      </c>
      <c r="S161" s="19">
        <v>0.0</v>
      </c>
      <c r="T161" s="19">
        <v>0.0</v>
      </c>
      <c r="U161" s="19">
        <v>0.0</v>
      </c>
      <c r="V161" s="19">
        <v>0.0</v>
      </c>
      <c r="W161" s="19">
        <v>0.0</v>
      </c>
      <c r="X161" s="19">
        <v>0.0</v>
      </c>
      <c r="Y161" s="19">
        <v>0.0</v>
      </c>
      <c r="Z161" s="19">
        <v>0.0</v>
      </c>
      <c r="AA161" s="19">
        <v>0.0</v>
      </c>
      <c r="AB161" s="19">
        <v>0.0</v>
      </c>
      <c r="AC161" s="19">
        <v>0.0</v>
      </c>
      <c r="AD161" s="19">
        <v>0.0</v>
      </c>
      <c r="AE161" s="19">
        <v>0.0</v>
      </c>
      <c r="AF161" s="19">
        <v>0.0</v>
      </c>
      <c r="AG161" s="19">
        <v>0.0</v>
      </c>
      <c r="AH161" s="13">
        <f t="shared" si="13"/>
        <v>1</v>
      </c>
      <c r="AI161" s="5"/>
      <c r="AJ161" s="5"/>
    </row>
    <row r="162" ht="12.75" customHeight="1">
      <c r="A162" s="30" t="s">
        <v>39</v>
      </c>
      <c r="B162" s="49">
        <v>3.0</v>
      </c>
      <c r="C162" s="50" t="s">
        <v>138</v>
      </c>
      <c r="D162" s="59"/>
      <c r="E162" s="19">
        <v>0.0</v>
      </c>
      <c r="F162" s="19">
        <v>0.0</v>
      </c>
      <c r="G162" s="19">
        <v>0.0</v>
      </c>
      <c r="H162" s="19">
        <v>0.0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0.0</v>
      </c>
      <c r="P162" s="19">
        <v>1.0</v>
      </c>
      <c r="Q162" s="19">
        <v>0.0</v>
      </c>
      <c r="R162" s="19">
        <v>0.0</v>
      </c>
      <c r="S162" s="19">
        <v>0.0</v>
      </c>
      <c r="T162" s="19">
        <v>0.0</v>
      </c>
      <c r="U162" s="19">
        <v>0.0</v>
      </c>
      <c r="V162" s="19">
        <v>0.0</v>
      </c>
      <c r="W162" s="19">
        <v>0.0</v>
      </c>
      <c r="X162" s="19">
        <v>0.0</v>
      </c>
      <c r="Y162" s="19">
        <v>0.0</v>
      </c>
      <c r="Z162" s="19">
        <v>0.0</v>
      </c>
      <c r="AA162" s="19">
        <v>0.0</v>
      </c>
      <c r="AB162" s="19">
        <v>0.0</v>
      </c>
      <c r="AC162" s="19">
        <v>0.0</v>
      </c>
      <c r="AD162" s="19">
        <v>0.0</v>
      </c>
      <c r="AE162" s="19">
        <v>0.0</v>
      </c>
      <c r="AF162" s="19">
        <v>0.0</v>
      </c>
      <c r="AG162" s="19">
        <v>0.0</v>
      </c>
      <c r="AH162" s="13">
        <f t="shared" si="13"/>
        <v>1</v>
      </c>
      <c r="AI162" s="5"/>
      <c r="AJ162" s="5"/>
    </row>
    <row r="163" ht="15.0" customHeight="1">
      <c r="A163" s="19" t="s">
        <v>15</v>
      </c>
      <c r="B163" s="47" t="s">
        <v>46</v>
      </c>
      <c r="C163" s="15"/>
      <c r="D163" s="16"/>
      <c r="E163" s="56">
        <f t="shared" ref="E163:AG163" si="29">SUM(E159:E162)</f>
        <v>0</v>
      </c>
      <c r="F163" s="56">
        <f t="shared" si="29"/>
        <v>0</v>
      </c>
      <c r="G163" s="56">
        <f t="shared" si="29"/>
        <v>0</v>
      </c>
      <c r="H163" s="56">
        <f t="shared" si="29"/>
        <v>1</v>
      </c>
      <c r="I163" s="56">
        <f t="shared" si="29"/>
        <v>1</v>
      </c>
      <c r="J163" s="56">
        <f t="shared" si="29"/>
        <v>0</v>
      </c>
      <c r="K163" s="56">
        <f t="shared" si="29"/>
        <v>0</v>
      </c>
      <c r="L163" s="56">
        <f t="shared" si="29"/>
        <v>0</v>
      </c>
      <c r="M163" s="56">
        <f t="shared" si="29"/>
        <v>1</v>
      </c>
      <c r="N163" s="56">
        <f t="shared" si="29"/>
        <v>1</v>
      </c>
      <c r="O163" s="56">
        <f t="shared" si="29"/>
        <v>0</v>
      </c>
      <c r="P163" s="56">
        <f t="shared" si="29"/>
        <v>1</v>
      </c>
      <c r="Q163" s="56">
        <f t="shared" si="29"/>
        <v>0</v>
      </c>
      <c r="R163" s="56">
        <f t="shared" si="29"/>
        <v>0</v>
      </c>
      <c r="S163" s="56">
        <f t="shared" si="29"/>
        <v>0</v>
      </c>
      <c r="T163" s="56">
        <f t="shared" si="29"/>
        <v>0</v>
      </c>
      <c r="U163" s="56">
        <f t="shared" si="29"/>
        <v>0</v>
      </c>
      <c r="V163" s="56">
        <f t="shared" si="29"/>
        <v>0</v>
      </c>
      <c r="W163" s="56">
        <f t="shared" si="29"/>
        <v>0</v>
      </c>
      <c r="X163" s="56">
        <f t="shared" si="29"/>
        <v>0</v>
      </c>
      <c r="Y163" s="56">
        <f t="shared" si="29"/>
        <v>0</v>
      </c>
      <c r="Z163" s="56">
        <f t="shared" si="29"/>
        <v>0</v>
      </c>
      <c r="AA163" s="56">
        <f t="shared" si="29"/>
        <v>0</v>
      </c>
      <c r="AB163" s="56">
        <f t="shared" si="29"/>
        <v>0</v>
      </c>
      <c r="AC163" s="56">
        <f t="shared" si="29"/>
        <v>0</v>
      </c>
      <c r="AD163" s="56">
        <f t="shared" si="29"/>
        <v>0</v>
      </c>
      <c r="AE163" s="56">
        <f t="shared" si="29"/>
        <v>0</v>
      </c>
      <c r="AF163" s="56">
        <f t="shared" si="29"/>
        <v>0</v>
      </c>
      <c r="AG163" s="56">
        <f t="shared" si="29"/>
        <v>0</v>
      </c>
      <c r="AH163" s="13">
        <f t="shared" si="13"/>
        <v>5</v>
      </c>
      <c r="AI163" s="5"/>
      <c r="AJ163" s="5"/>
    </row>
    <row r="164" ht="12.75" customHeight="1">
      <c r="A164" s="57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13">
        <f t="shared" si="13"/>
        <v>0</v>
      </c>
      <c r="AI164" s="5"/>
      <c r="AJ164" s="5"/>
    </row>
    <row r="165" ht="12.75" customHeight="1">
      <c r="A165" s="30" t="s">
        <v>37</v>
      </c>
      <c r="B165" s="47" t="s">
        <v>139</v>
      </c>
      <c r="C165" s="48" t="s">
        <v>140</v>
      </c>
      <c r="D165" s="16"/>
      <c r="E165" s="19">
        <v>3.0</v>
      </c>
      <c r="F165" s="19">
        <v>5.0</v>
      </c>
      <c r="G165" s="19">
        <v>2.0</v>
      </c>
      <c r="H165" s="19">
        <v>0.0</v>
      </c>
      <c r="I165" s="19">
        <v>4.0</v>
      </c>
      <c r="J165" s="19">
        <v>1.0</v>
      </c>
      <c r="K165" s="19">
        <v>0.0</v>
      </c>
      <c r="L165" s="19">
        <v>0.0</v>
      </c>
      <c r="M165" s="19">
        <v>0.0</v>
      </c>
      <c r="N165" s="19">
        <v>5.0</v>
      </c>
      <c r="O165" s="19">
        <v>0.0</v>
      </c>
      <c r="P165" s="19">
        <v>1.0</v>
      </c>
      <c r="Q165" s="19">
        <v>5.0</v>
      </c>
      <c r="R165" s="19">
        <v>0.0</v>
      </c>
      <c r="S165" s="19">
        <v>2.0</v>
      </c>
      <c r="T165" s="19">
        <v>1.0</v>
      </c>
      <c r="U165" s="19">
        <v>1.0</v>
      </c>
      <c r="V165" s="19">
        <v>2.0</v>
      </c>
      <c r="W165" s="19">
        <v>0.0</v>
      </c>
      <c r="X165" s="19">
        <v>3.0</v>
      </c>
      <c r="Y165" s="19">
        <v>3.0</v>
      </c>
      <c r="Z165" s="19">
        <v>2.0</v>
      </c>
      <c r="AA165" s="19">
        <v>1.0</v>
      </c>
      <c r="AB165" s="19">
        <v>0.0</v>
      </c>
      <c r="AC165" s="19">
        <v>0.0</v>
      </c>
      <c r="AD165" s="19">
        <v>1.0</v>
      </c>
      <c r="AE165" s="19">
        <v>0.0</v>
      </c>
      <c r="AF165" s="19">
        <v>0.0</v>
      </c>
      <c r="AG165" s="19">
        <v>2.0</v>
      </c>
      <c r="AH165" s="13">
        <f t="shared" si="13"/>
        <v>44</v>
      </c>
      <c r="AI165" s="1"/>
      <c r="AJ165" s="1"/>
    </row>
    <row r="166" ht="12.75" customHeight="1">
      <c r="A166" s="30" t="s">
        <v>39</v>
      </c>
      <c r="B166" s="49">
        <v>1.0</v>
      </c>
      <c r="C166" s="50" t="s">
        <v>141</v>
      </c>
      <c r="D166" s="51"/>
      <c r="E166" s="19">
        <v>5.0</v>
      </c>
      <c r="F166" s="19">
        <v>7.0</v>
      </c>
      <c r="G166" s="19">
        <v>3.0</v>
      </c>
      <c r="H166" s="19">
        <v>1.0</v>
      </c>
      <c r="I166" s="19">
        <v>6.0</v>
      </c>
      <c r="J166" s="19">
        <v>3.0</v>
      </c>
      <c r="K166" s="19">
        <v>1.0</v>
      </c>
      <c r="L166" s="19">
        <v>0.0</v>
      </c>
      <c r="M166" s="19">
        <v>1.0</v>
      </c>
      <c r="N166" s="19">
        <v>5.0</v>
      </c>
      <c r="O166" s="19">
        <v>7.0</v>
      </c>
      <c r="P166" s="19">
        <v>2.0</v>
      </c>
      <c r="Q166" s="19">
        <v>11.0</v>
      </c>
      <c r="R166" s="19">
        <v>2.0</v>
      </c>
      <c r="S166" s="19">
        <v>5.0</v>
      </c>
      <c r="T166" s="19">
        <v>1.0</v>
      </c>
      <c r="U166" s="19">
        <v>7.0</v>
      </c>
      <c r="V166" s="19">
        <v>1.0</v>
      </c>
      <c r="W166" s="19">
        <v>8.0</v>
      </c>
      <c r="X166" s="19">
        <v>2.0</v>
      </c>
      <c r="Y166" s="19">
        <v>16.0</v>
      </c>
      <c r="Z166" s="19">
        <v>7.0</v>
      </c>
      <c r="AA166" s="19">
        <v>15.0</v>
      </c>
      <c r="AB166" s="19">
        <v>1.0</v>
      </c>
      <c r="AC166" s="19">
        <v>1.0</v>
      </c>
      <c r="AD166" s="19">
        <v>0.0</v>
      </c>
      <c r="AE166" s="19">
        <v>0.0</v>
      </c>
      <c r="AF166" s="19">
        <v>2.0</v>
      </c>
      <c r="AG166" s="19">
        <v>20.0</v>
      </c>
      <c r="AH166" s="13">
        <f t="shared" si="13"/>
        <v>140</v>
      </c>
      <c r="AI166" s="53"/>
      <c r="AJ166" s="53"/>
    </row>
    <row r="167" ht="12.75" customHeight="1">
      <c r="A167" s="18"/>
      <c r="B167" s="49">
        <v>2.0</v>
      </c>
      <c r="C167" s="50" t="s">
        <v>142</v>
      </c>
      <c r="D167" s="51"/>
      <c r="E167" s="19">
        <v>67.0</v>
      </c>
      <c r="F167" s="19">
        <v>69.0</v>
      </c>
      <c r="G167" s="19">
        <v>41.0</v>
      </c>
      <c r="H167" s="19">
        <v>79.0</v>
      </c>
      <c r="I167" s="19">
        <v>58.0</v>
      </c>
      <c r="J167" s="19">
        <v>53.0</v>
      </c>
      <c r="K167" s="19">
        <v>22.0</v>
      </c>
      <c r="L167" s="19">
        <v>28.0</v>
      </c>
      <c r="M167" s="19">
        <v>14.0</v>
      </c>
      <c r="N167" s="19">
        <v>64.0</v>
      </c>
      <c r="O167" s="19">
        <v>35.0</v>
      </c>
      <c r="P167" s="19">
        <v>35.0</v>
      </c>
      <c r="Q167" s="19">
        <v>63.0</v>
      </c>
      <c r="R167" s="19">
        <v>36.0</v>
      </c>
      <c r="S167" s="19">
        <v>29.0</v>
      </c>
      <c r="T167" s="19">
        <v>4.0</v>
      </c>
      <c r="U167" s="19">
        <v>8.0</v>
      </c>
      <c r="V167" s="19">
        <v>43.0</v>
      </c>
      <c r="W167" s="19">
        <v>11.0</v>
      </c>
      <c r="X167" s="19">
        <v>35.0</v>
      </c>
      <c r="Y167" s="19">
        <v>11.0</v>
      </c>
      <c r="Z167" s="19">
        <v>19.0</v>
      </c>
      <c r="AA167" s="19">
        <v>21.0</v>
      </c>
      <c r="AB167" s="19">
        <v>66.0</v>
      </c>
      <c r="AC167" s="19">
        <v>24.0</v>
      </c>
      <c r="AD167" s="19">
        <v>14.0</v>
      </c>
      <c r="AE167" s="19">
        <v>2.0</v>
      </c>
      <c r="AF167" s="19">
        <v>4.0</v>
      </c>
      <c r="AG167" s="19">
        <v>28.0</v>
      </c>
      <c r="AH167" s="13">
        <f t="shared" si="13"/>
        <v>983</v>
      </c>
      <c r="AI167" s="5"/>
      <c r="AJ167" s="5"/>
    </row>
    <row r="168" ht="12.75" customHeight="1">
      <c r="A168" s="18"/>
      <c r="B168" s="49">
        <v>3.0</v>
      </c>
      <c r="C168" s="50" t="s">
        <v>143</v>
      </c>
      <c r="D168" s="51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1.0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1.0</v>
      </c>
      <c r="V168" s="19">
        <v>0.0</v>
      </c>
      <c r="W168" s="19">
        <v>0.0</v>
      </c>
      <c r="X168" s="19">
        <v>0.0</v>
      </c>
      <c r="Y168" s="19">
        <v>0.0</v>
      </c>
      <c r="Z168" s="19">
        <v>1.0</v>
      </c>
      <c r="AA168" s="19">
        <v>0.0</v>
      </c>
      <c r="AB168" s="19">
        <v>0.0</v>
      </c>
      <c r="AC168" s="19">
        <v>3.0</v>
      </c>
      <c r="AD168" s="19">
        <v>0.0</v>
      </c>
      <c r="AE168" s="19">
        <v>0.0</v>
      </c>
      <c r="AF168" s="19">
        <v>0.0</v>
      </c>
      <c r="AG168" s="19">
        <v>1.0</v>
      </c>
      <c r="AH168" s="13">
        <f t="shared" si="13"/>
        <v>7</v>
      </c>
      <c r="AI168" s="5"/>
      <c r="AJ168" s="5"/>
    </row>
    <row r="169" ht="12.75" customHeight="1">
      <c r="A169" s="18"/>
      <c r="B169" s="49">
        <v>4.0</v>
      </c>
      <c r="C169" s="50" t="s">
        <v>144</v>
      </c>
      <c r="D169" s="51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1.0</v>
      </c>
      <c r="AD169" s="19">
        <v>0.0</v>
      </c>
      <c r="AE169" s="19">
        <v>0.0</v>
      </c>
      <c r="AF169" s="19">
        <v>0.0</v>
      </c>
      <c r="AG169" s="19"/>
      <c r="AH169" s="13">
        <f t="shared" si="13"/>
        <v>1</v>
      </c>
      <c r="AI169" s="5"/>
      <c r="AJ169" s="5"/>
    </row>
    <row r="170" ht="12.75" customHeight="1">
      <c r="A170" s="18"/>
      <c r="B170" s="49">
        <v>5.0</v>
      </c>
      <c r="C170" s="50" t="s">
        <v>145</v>
      </c>
      <c r="D170" s="51"/>
      <c r="E170" s="19">
        <v>0.0</v>
      </c>
      <c r="F170" s="19">
        <v>0.0</v>
      </c>
      <c r="G170" s="19">
        <v>0.0</v>
      </c>
      <c r="H170" s="19">
        <v>0.0</v>
      </c>
      <c r="I170" s="19">
        <v>1.0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1.0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/>
      <c r="AH170" s="13">
        <f t="shared" si="13"/>
        <v>2</v>
      </c>
      <c r="AI170" s="5"/>
      <c r="AJ170" s="5"/>
    </row>
    <row r="171" ht="12.75" customHeight="1">
      <c r="A171" s="18"/>
      <c r="B171" s="49">
        <v>6.0</v>
      </c>
      <c r="C171" s="50" t="s">
        <v>146</v>
      </c>
      <c r="D171" s="51"/>
      <c r="E171" s="19">
        <v>0.0</v>
      </c>
      <c r="F171" s="19">
        <v>1.0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1.0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1.0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/>
      <c r="AH171" s="13">
        <f t="shared" si="13"/>
        <v>3</v>
      </c>
      <c r="AI171" s="5"/>
      <c r="AJ171" s="5"/>
    </row>
    <row r="172" ht="12.75" customHeight="1">
      <c r="A172" s="19" t="s">
        <v>15</v>
      </c>
      <c r="B172" s="47" t="s">
        <v>46</v>
      </c>
      <c r="C172" s="15"/>
      <c r="D172" s="16"/>
      <c r="E172" s="56">
        <f t="shared" ref="E172:AG172" si="30">SUM(E165:E171)</f>
        <v>75</v>
      </c>
      <c r="F172" s="56">
        <f t="shared" si="30"/>
        <v>82</v>
      </c>
      <c r="G172" s="56">
        <f t="shared" si="30"/>
        <v>46</v>
      </c>
      <c r="H172" s="56">
        <f t="shared" si="30"/>
        <v>80</v>
      </c>
      <c r="I172" s="56">
        <f t="shared" si="30"/>
        <v>69</v>
      </c>
      <c r="J172" s="56">
        <f t="shared" si="30"/>
        <v>57</v>
      </c>
      <c r="K172" s="56">
        <f t="shared" si="30"/>
        <v>23</v>
      </c>
      <c r="L172" s="56">
        <f t="shared" si="30"/>
        <v>28</v>
      </c>
      <c r="M172" s="56">
        <f t="shared" si="30"/>
        <v>15</v>
      </c>
      <c r="N172" s="56">
        <f t="shared" si="30"/>
        <v>76</v>
      </c>
      <c r="O172" s="56">
        <f t="shared" si="30"/>
        <v>42</v>
      </c>
      <c r="P172" s="56">
        <f t="shared" si="30"/>
        <v>38</v>
      </c>
      <c r="Q172" s="56">
        <f t="shared" si="30"/>
        <v>79</v>
      </c>
      <c r="R172" s="56">
        <f t="shared" si="30"/>
        <v>38</v>
      </c>
      <c r="S172" s="56">
        <f t="shared" si="30"/>
        <v>36</v>
      </c>
      <c r="T172" s="56">
        <f t="shared" si="30"/>
        <v>7</v>
      </c>
      <c r="U172" s="56">
        <f t="shared" si="30"/>
        <v>17</v>
      </c>
      <c r="V172" s="56">
        <f t="shared" si="30"/>
        <v>46</v>
      </c>
      <c r="W172" s="56">
        <f t="shared" si="30"/>
        <v>19</v>
      </c>
      <c r="X172" s="56">
        <f t="shared" si="30"/>
        <v>40</v>
      </c>
      <c r="Y172" s="56">
        <f t="shared" si="30"/>
        <v>31</v>
      </c>
      <c r="Z172" s="56">
        <f t="shared" si="30"/>
        <v>29</v>
      </c>
      <c r="AA172" s="56">
        <f t="shared" si="30"/>
        <v>37</v>
      </c>
      <c r="AB172" s="56">
        <f t="shared" si="30"/>
        <v>67</v>
      </c>
      <c r="AC172" s="56">
        <f t="shared" si="30"/>
        <v>29</v>
      </c>
      <c r="AD172" s="56">
        <f t="shared" si="30"/>
        <v>15</v>
      </c>
      <c r="AE172" s="56">
        <f t="shared" si="30"/>
        <v>2</v>
      </c>
      <c r="AF172" s="56">
        <f t="shared" si="30"/>
        <v>6</v>
      </c>
      <c r="AG172" s="56">
        <f t="shared" si="30"/>
        <v>51</v>
      </c>
      <c r="AH172" s="13">
        <f t="shared" si="13"/>
        <v>1180</v>
      </c>
      <c r="AI172" s="5"/>
      <c r="AJ172" s="5"/>
    </row>
    <row r="173" ht="12.75" customHeight="1">
      <c r="A173" s="57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13">
        <f t="shared" si="13"/>
        <v>0</v>
      </c>
      <c r="AI173" s="5"/>
      <c r="AJ173" s="5"/>
    </row>
    <row r="174" ht="12.75" customHeight="1">
      <c r="A174" s="30" t="s">
        <v>37</v>
      </c>
      <c r="B174" s="47" t="s">
        <v>147</v>
      </c>
      <c r="C174" s="48" t="s">
        <v>148</v>
      </c>
      <c r="D174" s="16"/>
      <c r="E174" s="19">
        <v>0.0</v>
      </c>
      <c r="F174" s="19">
        <v>0.0</v>
      </c>
      <c r="G174" s="19">
        <v>0.0</v>
      </c>
      <c r="H174" s="19">
        <v>0.0</v>
      </c>
      <c r="I174" s="19">
        <v>0.0</v>
      </c>
      <c r="J174" s="19">
        <v>0.0</v>
      </c>
      <c r="K174" s="19">
        <v>0.0</v>
      </c>
      <c r="L174" s="19">
        <v>0.0</v>
      </c>
      <c r="M174" s="19">
        <v>0.0</v>
      </c>
      <c r="N174" s="19">
        <v>0.0</v>
      </c>
      <c r="O174" s="19">
        <v>1.0</v>
      </c>
      <c r="P174" s="19">
        <v>0.0</v>
      </c>
      <c r="Q174" s="19">
        <v>0.0</v>
      </c>
      <c r="R174" s="19">
        <v>0.0</v>
      </c>
      <c r="S174" s="19">
        <v>0.0</v>
      </c>
      <c r="T174" s="19">
        <v>0.0</v>
      </c>
      <c r="U174" s="19">
        <v>0.0</v>
      </c>
      <c r="V174" s="19">
        <v>0.0</v>
      </c>
      <c r="W174" s="19">
        <v>0.0</v>
      </c>
      <c r="X174" s="19">
        <v>0.0</v>
      </c>
      <c r="Y174" s="19">
        <v>0.0</v>
      </c>
      <c r="Z174" s="19">
        <v>0.0</v>
      </c>
      <c r="AA174" s="19">
        <v>0.0</v>
      </c>
      <c r="AB174" s="19">
        <v>0.0</v>
      </c>
      <c r="AC174" s="19">
        <v>0.0</v>
      </c>
      <c r="AD174" s="19">
        <v>0.0</v>
      </c>
      <c r="AE174" s="19">
        <v>0.0</v>
      </c>
      <c r="AF174" s="19">
        <v>0.0</v>
      </c>
      <c r="AG174" s="19"/>
      <c r="AH174" s="13">
        <f t="shared" si="13"/>
        <v>1</v>
      </c>
      <c r="AI174" s="5"/>
      <c r="AJ174" s="5"/>
    </row>
    <row r="175" ht="15.0" customHeight="1">
      <c r="A175" s="30"/>
      <c r="B175" s="49">
        <v>1.0</v>
      </c>
      <c r="C175" s="50" t="s">
        <v>149</v>
      </c>
      <c r="D175" s="59"/>
      <c r="E175" s="19">
        <v>0.0</v>
      </c>
      <c r="F175" s="19">
        <v>0.0</v>
      </c>
      <c r="G175" s="19">
        <v>1.0</v>
      </c>
      <c r="H175" s="19">
        <v>0.0</v>
      </c>
      <c r="I175" s="19">
        <v>0.0</v>
      </c>
      <c r="J175" s="19">
        <v>0.0</v>
      </c>
      <c r="K175" s="19">
        <v>0.0</v>
      </c>
      <c r="L175" s="19">
        <v>0.0</v>
      </c>
      <c r="M175" s="19">
        <v>0.0</v>
      </c>
      <c r="N175" s="19">
        <v>0.0</v>
      </c>
      <c r="O175" s="19">
        <v>0.0</v>
      </c>
      <c r="P175" s="19">
        <v>0.0</v>
      </c>
      <c r="Q175" s="19">
        <v>0.0</v>
      </c>
      <c r="R175" s="19">
        <v>0.0</v>
      </c>
      <c r="S175" s="19">
        <v>0.0</v>
      </c>
      <c r="T175" s="19">
        <v>0.0</v>
      </c>
      <c r="U175" s="19">
        <v>0.0</v>
      </c>
      <c r="V175" s="19">
        <v>0.0</v>
      </c>
      <c r="W175" s="19">
        <v>0.0</v>
      </c>
      <c r="X175" s="19">
        <v>0.0</v>
      </c>
      <c r="Y175" s="19">
        <v>0.0</v>
      </c>
      <c r="Z175" s="19">
        <v>0.0</v>
      </c>
      <c r="AA175" s="19">
        <v>0.0</v>
      </c>
      <c r="AB175" s="19">
        <v>0.0</v>
      </c>
      <c r="AC175" s="19">
        <v>0.0</v>
      </c>
      <c r="AD175" s="19">
        <v>0.0</v>
      </c>
      <c r="AE175" s="19">
        <v>0.0</v>
      </c>
      <c r="AF175" s="19">
        <v>0.0</v>
      </c>
      <c r="AG175" s="19"/>
      <c r="AH175" s="13">
        <f t="shared" si="13"/>
        <v>1</v>
      </c>
      <c r="AI175" s="5"/>
      <c r="AJ175" s="5"/>
    </row>
    <row r="176" ht="12.75" customHeight="1">
      <c r="A176" s="30" t="s">
        <v>39</v>
      </c>
      <c r="B176" s="49">
        <v>2.0</v>
      </c>
      <c r="C176" s="50" t="s">
        <v>150</v>
      </c>
      <c r="D176" s="51"/>
      <c r="E176" s="19">
        <v>0.0</v>
      </c>
      <c r="F176" s="19">
        <v>0.0</v>
      </c>
      <c r="G176" s="19">
        <v>0.0</v>
      </c>
      <c r="H176" s="19">
        <v>0.0</v>
      </c>
      <c r="I176" s="19">
        <v>0.0</v>
      </c>
      <c r="J176" s="19">
        <v>0.0</v>
      </c>
      <c r="K176" s="19">
        <v>0.0</v>
      </c>
      <c r="L176" s="19">
        <v>0.0</v>
      </c>
      <c r="M176" s="19">
        <v>0.0</v>
      </c>
      <c r="N176" s="19">
        <v>0.0</v>
      </c>
      <c r="O176" s="19">
        <v>0.0</v>
      </c>
      <c r="P176" s="19">
        <v>0.0</v>
      </c>
      <c r="Q176" s="19">
        <v>0.0</v>
      </c>
      <c r="R176" s="19">
        <v>0.0</v>
      </c>
      <c r="S176" s="19">
        <v>0.0</v>
      </c>
      <c r="T176" s="19">
        <v>0.0</v>
      </c>
      <c r="U176" s="19">
        <v>0.0</v>
      </c>
      <c r="V176" s="19">
        <v>0.0</v>
      </c>
      <c r="W176" s="19">
        <v>0.0</v>
      </c>
      <c r="X176" s="19">
        <v>0.0</v>
      </c>
      <c r="Y176" s="19">
        <v>0.0</v>
      </c>
      <c r="Z176" s="19">
        <v>0.0</v>
      </c>
      <c r="AA176" s="19">
        <v>0.0</v>
      </c>
      <c r="AB176" s="19">
        <v>0.0</v>
      </c>
      <c r="AC176" s="19">
        <v>0.0</v>
      </c>
      <c r="AD176" s="19">
        <v>0.0</v>
      </c>
      <c r="AE176" s="19">
        <v>0.0</v>
      </c>
      <c r="AF176" s="19">
        <v>0.0</v>
      </c>
      <c r="AG176" s="19"/>
      <c r="AH176" s="13">
        <f t="shared" si="13"/>
        <v>0</v>
      </c>
      <c r="AI176" s="1"/>
      <c r="AJ176" s="1"/>
    </row>
    <row r="177" ht="12.75" customHeight="1">
      <c r="A177" s="19" t="s">
        <v>15</v>
      </c>
      <c r="B177" s="47" t="s">
        <v>46</v>
      </c>
      <c r="C177" s="15"/>
      <c r="D177" s="16"/>
      <c r="E177" s="56">
        <f t="shared" ref="E177:AG177" si="31">SUM(E174:E176)</f>
        <v>0</v>
      </c>
      <c r="F177" s="56">
        <f t="shared" si="31"/>
        <v>0</v>
      </c>
      <c r="G177" s="56">
        <f t="shared" si="31"/>
        <v>1</v>
      </c>
      <c r="H177" s="56">
        <f t="shared" si="31"/>
        <v>0</v>
      </c>
      <c r="I177" s="56">
        <f t="shared" si="31"/>
        <v>0</v>
      </c>
      <c r="J177" s="56">
        <f t="shared" si="31"/>
        <v>0</v>
      </c>
      <c r="K177" s="56">
        <f t="shared" si="31"/>
        <v>0</v>
      </c>
      <c r="L177" s="56">
        <f t="shared" si="31"/>
        <v>0</v>
      </c>
      <c r="M177" s="56">
        <f t="shared" si="31"/>
        <v>0</v>
      </c>
      <c r="N177" s="56">
        <f t="shared" si="31"/>
        <v>0</v>
      </c>
      <c r="O177" s="56">
        <f t="shared" si="31"/>
        <v>1</v>
      </c>
      <c r="P177" s="56">
        <f t="shared" si="31"/>
        <v>0</v>
      </c>
      <c r="Q177" s="56">
        <f t="shared" si="31"/>
        <v>0</v>
      </c>
      <c r="R177" s="56">
        <f t="shared" si="31"/>
        <v>0</v>
      </c>
      <c r="S177" s="56">
        <f t="shared" si="31"/>
        <v>0</v>
      </c>
      <c r="T177" s="56">
        <f t="shared" si="31"/>
        <v>0</v>
      </c>
      <c r="U177" s="56">
        <f t="shared" si="31"/>
        <v>0</v>
      </c>
      <c r="V177" s="56">
        <f t="shared" si="31"/>
        <v>0</v>
      </c>
      <c r="W177" s="56">
        <f t="shared" si="31"/>
        <v>0</v>
      </c>
      <c r="X177" s="56">
        <f t="shared" si="31"/>
        <v>0</v>
      </c>
      <c r="Y177" s="56">
        <f t="shared" si="31"/>
        <v>0</v>
      </c>
      <c r="Z177" s="56">
        <f t="shared" si="31"/>
        <v>0</v>
      </c>
      <c r="AA177" s="56">
        <f t="shared" si="31"/>
        <v>0</v>
      </c>
      <c r="AB177" s="56">
        <f t="shared" si="31"/>
        <v>0</v>
      </c>
      <c r="AC177" s="56">
        <f t="shared" si="31"/>
        <v>0</v>
      </c>
      <c r="AD177" s="56">
        <f t="shared" si="31"/>
        <v>0</v>
      </c>
      <c r="AE177" s="56">
        <f t="shared" si="31"/>
        <v>0</v>
      </c>
      <c r="AF177" s="56">
        <f t="shared" si="31"/>
        <v>0</v>
      </c>
      <c r="AG177" s="56">
        <f t="shared" si="31"/>
        <v>0</v>
      </c>
      <c r="AH177" s="13">
        <f t="shared" si="13"/>
        <v>2</v>
      </c>
    </row>
    <row r="178" ht="12.75" customHeight="1">
      <c r="A178" s="45"/>
      <c r="B178" s="44"/>
      <c r="C178" s="44"/>
      <c r="D178" s="28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13">
        <f t="shared" si="13"/>
        <v>0</v>
      </c>
      <c r="AI178" s="5"/>
      <c r="AJ178" s="5"/>
    </row>
    <row r="179" ht="12.75" customHeight="1">
      <c r="A179" s="42" t="s">
        <v>151</v>
      </c>
      <c r="B179" s="14" t="s">
        <v>152</v>
      </c>
      <c r="C179" s="15"/>
      <c r="D179" s="16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13">
        <f t="shared" si="13"/>
        <v>0</v>
      </c>
      <c r="AI179" s="5"/>
      <c r="AJ179" s="5"/>
    </row>
    <row r="180" ht="12.75" customHeight="1">
      <c r="A180" s="42"/>
      <c r="B180" s="60" t="s">
        <v>153</v>
      </c>
      <c r="C180" s="61" t="s">
        <v>154</v>
      </c>
      <c r="D180" s="16"/>
      <c r="E180" s="19">
        <f t="shared" ref="E180:AG180" si="32">E177+E172+E163+E157+E153+E144+E135+E128+E124+E115+E108+E99+E94+E88+E79+E70+E61+E52</f>
        <v>218</v>
      </c>
      <c r="F180" s="19">
        <f t="shared" si="32"/>
        <v>176</v>
      </c>
      <c r="G180" s="19">
        <f t="shared" si="32"/>
        <v>152</v>
      </c>
      <c r="H180" s="19">
        <f t="shared" si="32"/>
        <v>251</v>
      </c>
      <c r="I180" s="19">
        <f t="shared" si="32"/>
        <v>177</v>
      </c>
      <c r="J180" s="19">
        <f t="shared" si="32"/>
        <v>170</v>
      </c>
      <c r="K180" s="19">
        <f t="shared" si="32"/>
        <v>174</v>
      </c>
      <c r="L180" s="19">
        <f t="shared" si="32"/>
        <v>150</v>
      </c>
      <c r="M180" s="19">
        <f t="shared" si="32"/>
        <v>197</v>
      </c>
      <c r="N180" s="19">
        <f t="shared" si="32"/>
        <v>230</v>
      </c>
      <c r="O180" s="19">
        <f t="shared" si="32"/>
        <v>225</v>
      </c>
      <c r="P180" s="19">
        <f t="shared" si="32"/>
        <v>235</v>
      </c>
      <c r="Q180" s="19">
        <f t="shared" si="32"/>
        <v>188</v>
      </c>
      <c r="R180" s="19">
        <f t="shared" si="32"/>
        <v>166</v>
      </c>
      <c r="S180" s="19">
        <f t="shared" si="32"/>
        <v>167</v>
      </c>
      <c r="T180" s="19">
        <f t="shared" si="32"/>
        <v>198</v>
      </c>
      <c r="U180" s="19">
        <f t="shared" si="32"/>
        <v>228</v>
      </c>
      <c r="V180" s="19">
        <f t="shared" si="32"/>
        <v>167</v>
      </c>
      <c r="W180" s="19">
        <f t="shared" si="32"/>
        <v>166</v>
      </c>
      <c r="X180" s="19">
        <f t="shared" si="32"/>
        <v>161</v>
      </c>
      <c r="Y180" s="19">
        <f t="shared" si="32"/>
        <v>115</v>
      </c>
      <c r="Z180" s="19">
        <f t="shared" si="32"/>
        <v>208</v>
      </c>
      <c r="AA180" s="19">
        <f t="shared" si="32"/>
        <v>203</v>
      </c>
      <c r="AB180" s="19">
        <f t="shared" si="32"/>
        <v>207</v>
      </c>
      <c r="AC180" s="19">
        <f t="shared" si="32"/>
        <v>193</v>
      </c>
      <c r="AD180" s="19">
        <f t="shared" si="32"/>
        <v>197</v>
      </c>
      <c r="AE180" s="19">
        <f t="shared" si="32"/>
        <v>175</v>
      </c>
      <c r="AF180" s="19">
        <f t="shared" si="32"/>
        <v>146</v>
      </c>
      <c r="AG180" s="19">
        <f t="shared" si="32"/>
        <v>176</v>
      </c>
      <c r="AH180" s="13">
        <f t="shared" si="13"/>
        <v>5416</v>
      </c>
      <c r="AI180" s="5"/>
      <c r="AJ180" s="5"/>
    </row>
    <row r="181" ht="12.75" customHeight="1">
      <c r="A181" s="35"/>
      <c r="B181" s="60" t="s">
        <v>155</v>
      </c>
      <c r="C181" s="61" t="s">
        <v>156</v>
      </c>
      <c r="D181" s="16"/>
      <c r="E181" s="19">
        <v>9.0</v>
      </c>
      <c r="F181" s="19">
        <v>3.0</v>
      </c>
      <c r="G181" s="19">
        <v>10.0</v>
      </c>
      <c r="H181" s="19">
        <v>4.0</v>
      </c>
      <c r="I181" s="19">
        <v>19.0</v>
      </c>
      <c r="J181" s="19">
        <v>14.0</v>
      </c>
      <c r="K181" s="19">
        <v>6.0</v>
      </c>
      <c r="L181" s="19">
        <v>6.0</v>
      </c>
      <c r="M181" s="19">
        <v>8.0</v>
      </c>
      <c r="N181" s="19">
        <v>9.0</v>
      </c>
      <c r="O181" s="19">
        <v>5.0</v>
      </c>
      <c r="P181" s="19">
        <v>13.0</v>
      </c>
      <c r="Q181" s="19">
        <v>9.0</v>
      </c>
      <c r="R181" s="19">
        <v>15.0</v>
      </c>
      <c r="S181" s="19">
        <v>17.0</v>
      </c>
      <c r="T181" s="19">
        <v>3.0</v>
      </c>
      <c r="U181" s="19">
        <v>5.0</v>
      </c>
      <c r="V181" s="19">
        <v>9.0</v>
      </c>
      <c r="W181" s="19">
        <v>3.0</v>
      </c>
      <c r="X181" s="19">
        <v>12.0</v>
      </c>
      <c r="Y181" s="19">
        <v>3.0</v>
      </c>
      <c r="Z181" s="19">
        <v>8.0</v>
      </c>
      <c r="AA181" s="19">
        <v>4.0</v>
      </c>
      <c r="AB181" s="19">
        <v>10.0</v>
      </c>
      <c r="AC181" s="19">
        <v>13.0</v>
      </c>
      <c r="AD181" s="19">
        <v>22.0</v>
      </c>
      <c r="AE181" s="19">
        <v>6.0</v>
      </c>
      <c r="AF181" s="19">
        <v>13.0</v>
      </c>
      <c r="AG181" s="19">
        <v>20.0</v>
      </c>
      <c r="AH181" s="13">
        <f t="shared" si="13"/>
        <v>278</v>
      </c>
      <c r="AI181" s="5"/>
      <c r="AJ181" s="5"/>
    </row>
    <row r="182" ht="12.75" customHeight="1">
      <c r="A182" s="41"/>
      <c r="B182" s="60" t="s">
        <v>157</v>
      </c>
      <c r="C182" s="61" t="s">
        <v>158</v>
      </c>
      <c r="D182" s="16"/>
      <c r="E182" s="29">
        <f t="shared" ref="E182:AG182" si="33">SUM(E180:E181)</f>
        <v>227</v>
      </c>
      <c r="F182" s="29">
        <f t="shared" si="33"/>
        <v>179</v>
      </c>
      <c r="G182" s="29">
        <f t="shared" si="33"/>
        <v>162</v>
      </c>
      <c r="H182" s="29">
        <f t="shared" si="33"/>
        <v>255</v>
      </c>
      <c r="I182" s="29">
        <f t="shared" si="33"/>
        <v>196</v>
      </c>
      <c r="J182" s="29">
        <f t="shared" si="33"/>
        <v>184</v>
      </c>
      <c r="K182" s="29">
        <f t="shared" si="33"/>
        <v>180</v>
      </c>
      <c r="L182" s="29">
        <f t="shared" si="33"/>
        <v>156</v>
      </c>
      <c r="M182" s="29">
        <f t="shared" si="33"/>
        <v>205</v>
      </c>
      <c r="N182" s="29">
        <f t="shared" si="33"/>
        <v>239</v>
      </c>
      <c r="O182" s="29">
        <f t="shared" si="33"/>
        <v>230</v>
      </c>
      <c r="P182" s="29">
        <f t="shared" si="33"/>
        <v>248</v>
      </c>
      <c r="Q182" s="29">
        <f t="shared" si="33"/>
        <v>197</v>
      </c>
      <c r="R182" s="29">
        <f t="shared" si="33"/>
        <v>181</v>
      </c>
      <c r="S182" s="29">
        <f t="shared" si="33"/>
        <v>184</v>
      </c>
      <c r="T182" s="29">
        <f t="shared" si="33"/>
        <v>201</v>
      </c>
      <c r="U182" s="29">
        <f t="shared" si="33"/>
        <v>233</v>
      </c>
      <c r="V182" s="29">
        <f t="shared" si="33"/>
        <v>176</v>
      </c>
      <c r="W182" s="29">
        <f t="shared" si="33"/>
        <v>169</v>
      </c>
      <c r="X182" s="29">
        <f t="shared" si="33"/>
        <v>173</v>
      </c>
      <c r="Y182" s="29">
        <f t="shared" si="33"/>
        <v>118</v>
      </c>
      <c r="Z182" s="29">
        <f t="shared" si="33"/>
        <v>216</v>
      </c>
      <c r="AA182" s="29">
        <f t="shared" si="33"/>
        <v>207</v>
      </c>
      <c r="AB182" s="29">
        <f t="shared" si="33"/>
        <v>217</v>
      </c>
      <c r="AC182" s="29">
        <f t="shared" si="33"/>
        <v>206</v>
      </c>
      <c r="AD182" s="29">
        <f t="shared" si="33"/>
        <v>219</v>
      </c>
      <c r="AE182" s="29">
        <f t="shared" si="33"/>
        <v>181</v>
      </c>
      <c r="AF182" s="29">
        <f t="shared" si="33"/>
        <v>159</v>
      </c>
      <c r="AG182" s="29">
        <f t="shared" si="33"/>
        <v>196</v>
      </c>
      <c r="AH182" s="13">
        <f t="shared" si="13"/>
        <v>5694</v>
      </c>
      <c r="AI182" s="5"/>
      <c r="AJ182" s="5"/>
    </row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0">
    <mergeCell ref="B108:D108"/>
    <mergeCell ref="C110:D110"/>
    <mergeCell ref="B115:D115"/>
    <mergeCell ref="C117:D117"/>
    <mergeCell ref="B124:D124"/>
    <mergeCell ref="C126:D126"/>
    <mergeCell ref="B128:D128"/>
    <mergeCell ref="C130:D130"/>
    <mergeCell ref="B135:D135"/>
    <mergeCell ref="C137:D137"/>
    <mergeCell ref="B144:D144"/>
    <mergeCell ref="C146:D146"/>
    <mergeCell ref="B153:D153"/>
    <mergeCell ref="C155:D155"/>
    <mergeCell ref="A178:D178"/>
    <mergeCell ref="B179:D179"/>
    <mergeCell ref="C180:D180"/>
    <mergeCell ref="C181:D181"/>
    <mergeCell ref="C182:D182"/>
    <mergeCell ref="B157:D157"/>
    <mergeCell ref="C159:D159"/>
    <mergeCell ref="B163:D163"/>
    <mergeCell ref="C165:D165"/>
    <mergeCell ref="B172:D172"/>
    <mergeCell ref="C174:D174"/>
    <mergeCell ref="B177:D177"/>
    <mergeCell ref="B12:D12"/>
    <mergeCell ref="E12:AG12"/>
    <mergeCell ref="AH12:AH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W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4:D94"/>
    <mergeCell ref="C96:D96"/>
    <mergeCell ref="B99:D99"/>
    <mergeCell ref="C101:D101"/>
  </mergeCells>
  <conditionalFormatting sqref="E34:T34">
    <cfRule type="expression" dxfId="0" priority="1">
      <formula>E34&lt;&gt;E64</formula>
    </cfRule>
  </conditionalFormatting>
  <conditionalFormatting sqref="E14:AG15">
    <cfRule type="containsBlanks" dxfId="1" priority="2">
      <formula>LEN(TRIM(E14))=0</formula>
    </cfRule>
  </conditionalFormatting>
  <conditionalFormatting sqref="E19:AG20">
    <cfRule type="containsBlanks" dxfId="1" priority="3">
      <formula>LEN(TRIM(E19))=0</formula>
    </cfRule>
  </conditionalFormatting>
  <conditionalFormatting sqref="E22:AG23 E25:AG26 E33:AG33 E35:AG35 E39:AG40">
    <cfRule type="containsBlanks" dxfId="1" priority="4">
      <formula>LEN(TRIM(E22))=0</formula>
    </cfRule>
  </conditionalFormatting>
  <conditionalFormatting sqref="E30:AG30">
    <cfRule type="expression" dxfId="0" priority="5">
      <formula>E30&lt;&gt;E47</formula>
    </cfRule>
  </conditionalFormatting>
  <conditionalFormatting sqref="E30:AG30">
    <cfRule type="expression" dxfId="0" priority="6">
      <formula>E30&lt;&gt;E34</formula>
    </cfRule>
  </conditionalFormatting>
  <conditionalFormatting sqref="E34:AG34">
    <cfRule type="expression" dxfId="2" priority="7">
      <formula>E30&lt;&gt;E34</formula>
    </cfRule>
  </conditionalFormatting>
  <conditionalFormatting sqref="E34:AG34">
    <cfRule type="expression" dxfId="3" priority="8">
      <formula>E30=E34</formula>
    </cfRule>
  </conditionalFormatting>
  <conditionalFormatting sqref="E34:AG34">
    <cfRule type="expression" dxfId="0" priority="9">
      <formula>E34&lt;&gt;E30</formula>
    </cfRule>
  </conditionalFormatting>
  <conditionalFormatting sqref="E45:AG51">
    <cfRule type="containsBlanks" dxfId="1" priority="10">
      <formula>LEN(TRIM(E45))=0</formula>
    </cfRule>
  </conditionalFormatting>
  <conditionalFormatting sqref="E54:AG60">
    <cfRule type="containsBlanks" dxfId="1" priority="11">
      <formula>LEN(TRIM(E54))=0</formula>
    </cfRule>
  </conditionalFormatting>
  <conditionalFormatting sqref="E63:AG69">
    <cfRule type="containsBlanks" dxfId="1" priority="12">
      <formula>LEN(TRIM(E63))=0</formula>
    </cfRule>
  </conditionalFormatting>
  <conditionalFormatting sqref="E72:AG78">
    <cfRule type="containsBlanks" dxfId="1" priority="13">
      <formula>LEN(TRIM(E72))=0</formula>
    </cfRule>
  </conditionalFormatting>
  <conditionalFormatting sqref="E81:AG87">
    <cfRule type="containsBlanks" dxfId="1" priority="14">
      <formula>LEN(TRIM(E81))=0</formula>
    </cfRule>
  </conditionalFormatting>
  <conditionalFormatting sqref="E90:AG93">
    <cfRule type="containsBlanks" dxfId="1" priority="15">
      <formula>LEN(TRIM(E90))=0</formula>
    </cfRule>
  </conditionalFormatting>
  <conditionalFormatting sqref="E96:AG98">
    <cfRule type="containsBlanks" dxfId="1" priority="16">
      <formula>LEN(TRIM(E96))=0</formula>
    </cfRule>
  </conditionalFormatting>
  <conditionalFormatting sqref="E101:AG107">
    <cfRule type="containsBlanks" dxfId="1" priority="17">
      <formula>LEN(TRIM(E101))=0</formula>
    </cfRule>
  </conditionalFormatting>
  <conditionalFormatting sqref="E110:AG114">
    <cfRule type="containsBlanks" dxfId="1" priority="18">
      <formula>LEN(TRIM(E110))=0</formula>
    </cfRule>
  </conditionalFormatting>
  <conditionalFormatting sqref="E117:AG123">
    <cfRule type="containsBlanks" dxfId="1" priority="19">
      <formula>LEN(TRIM(E117))=0</formula>
    </cfRule>
  </conditionalFormatting>
  <conditionalFormatting sqref="E126:AG127">
    <cfRule type="containsBlanks" dxfId="1" priority="20">
      <formula>LEN(TRIM(E126))=0</formula>
    </cfRule>
  </conditionalFormatting>
  <conditionalFormatting sqref="E130:AG134">
    <cfRule type="containsBlanks" dxfId="1" priority="21">
      <formula>LEN(TRIM(E130))=0</formula>
    </cfRule>
  </conditionalFormatting>
  <conditionalFormatting sqref="E137:AG143">
    <cfRule type="containsBlanks" dxfId="1" priority="22">
      <formula>LEN(TRIM(E137))=0</formula>
    </cfRule>
  </conditionalFormatting>
  <conditionalFormatting sqref="E146:AG152">
    <cfRule type="containsBlanks" dxfId="1" priority="23">
      <formula>LEN(TRIM(E146))=0</formula>
    </cfRule>
  </conditionalFormatting>
  <conditionalFormatting sqref="E155:AG156">
    <cfRule type="containsBlanks" dxfId="1" priority="24">
      <formula>LEN(TRIM(E155))=0</formula>
    </cfRule>
  </conditionalFormatting>
  <conditionalFormatting sqref="E159:AG162">
    <cfRule type="containsBlanks" dxfId="1" priority="25">
      <formula>LEN(TRIM(E159))=0</formula>
    </cfRule>
  </conditionalFormatting>
  <conditionalFormatting sqref="E165:AG171">
    <cfRule type="containsBlanks" dxfId="1" priority="26">
      <formula>LEN(TRIM(E165))=0</formula>
    </cfRule>
  </conditionalFormatting>
  <conditionalFormatting sqref="E174:AG176">
    <cfRule type="containsBlanks" dxfId="1" priority="27">
      <formula>LEN(TRIM(E174))=0</formula>
    </cfRule>
  </conditionalFormatting>
  <conditionalFormatting sqref="E180:AG181">
    <cfRule type="containsBlanks" dxfId="1" priority="28">
      <formula>LEN(TRIM(E180))=0</formula>
    </cfRule>
  </conditionalFormatting>
  <conditionalFormatting sqref="E182:AG182">
    <cfRule type="expression" dxfId="0" priority="29">
      <formula>E182&lt;&gt;E30</formula>
    </cfRule>
  </conditionalFormatting>
  <conditionalFormatting sqref="E182:AG182">
    <cfRule type="expression" dxfId="0" priority="30">
      <formula>E182&lt;&gt;E34</formula>
    </cfRule>
  </conditionalFormatting>
  <conditionalFormatting sqref="U34:AG34">
    <cfRule type="expression" dxfId="0" priority="31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  <col customWidth="1" min="29" max="3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159</v>
      </c>
      <c r="D9" s="8" t="s">
        <v>207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6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161</v>
      </c>
      <c r="F13" s="13" t="s">
        <v>162</v>
      </c>
      <c r="G13" s="13" t="s">
        <v>163</v>
      </c>
      <c r="H13" s="13" t="s">
        <v>164</v>
      </c>
      <c r="I13" s="13" t="s">
        <v>165</v>
      </c>
      <c r="J13" s="13" t="s">
        <v>166</v>
      </c>
      <c r="K13" s="13" t="s">
        <v>167</v>
      </c>
      <c r="L13" s="13" t="s">
        <v>168</v>
      </c>
      <c r="M13" s="13" t="s">
        <v>169</v>
      </c>
      <c r="N13" s="13" t="s">
        <v>170</v>
      </c>
      <c r="O13" s="13" t="s">
        <v>171</v>
      </c>
      <c r="P13" s="13" t="s">
        <v>172</v>
      </c>
      <c r="Q13" s="13" t="s">
        <v>173</v>
      </c>
      <c r="R13" s="13" t="s">
        <v>174</v>
      </c>
      <c r="S13" s="13" t="s">
        <v>175</v>
      </c>
      <c r="T13" s="13" t="s">
        <v>176</v>
      </c>
      <c r="U13" s="13" t="s">
        <v>177</v>
      </c>
      <c r="V13" s="13" t="s">
        <v>178</v>
      </c>
      <c r="W13" s="13" t="s">
        <v>179</v>
      </c>
      <c r="X13" s="13" t="s">
        <v>180</v>
      </c>
      <c r="Y13" s="13" t="s">
        <v>181</v>
      </c>
      <c r="Z13" s="13" t="s">
        <v>182</v>
      </c>
      <c r="AA13" s="13" t="s">
        <v>183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69">
        <v>140.0</v>
      </c>
      <c r="F14" s="69">
        <v>127.0</v>
      </c>
      <c r="G14" s="69">
        <v>131.0</v>
      </c>
      <c r="H14" s="69">
        <v>132.0</v>
      </c>
      <c r="I14" s="69">
        <v>132.0</v>
      </c>
      <c r="J14" s="69">
        <v>142.0</v>
      </c>
      <c r="K14" s="69">
        <v>143.0</v>
      </c>
      <c r="L14" s="69">
        <v>147.0</v>
      </c>
      <c r="M14" s="69">
        <v>148.0</v>
      </c>
      <c r="N14" s="69">
        <v>147.0</v>
      </c>
      <c r="O14" s="69">
        <v>134.0</v>
      </c>
      <c r="P14" s="69">
        <v>114.0</v>
      </c>
      <c r="Q14" s="69">
        <v>142.0</v>
      </c>
      <c r="R14" s="69">
        <v>144.0</v>
      </c>
      <c r="S14" s="69">
        <v>115.0</v>
      </c>
      <c r="T14" s="69">
        <v>120.0</v>
      </c>
      <c r="U14" s="69">
        <v>122.0</v>
      </c>
      <c r="V14" s="69">
        <v>119.0</v>
      </c>
      <c r="W14" s="69">
        <v>125.0</v>
      </c>
      <c r="X14" s="69">
        <v>133.0</v>
      </c>
      <c r="Y14" s="69">
        <v>129.0</v>
      </c>
      <c r="Z14" s="69">
        <v>109.0</v>
      </c>
      <c r="AA14" s="69">
        <v>119.0</v>
      </c>
      <c r="AB14" s="13">
        <f t="shared" ref="AB14:AB16" si="1">SUM(E14:AA14)</f>
        <v>3014</v>
      </c>
    </row>
    <row r="15" ht="12.75" customHeight="1">
      <c r="A15" s="18"/>
      <c r="B15" s="26"/>
      <c r="C15" s="27"/>
      <c r="D15" s="19" t="s">
        <v>13</v>
      </c>
      <c r="E15" s="69">
        <v>129.0</v>
      </c>
      <c r="F15" s="69">
        <v>125.0</v>
      </c>
      <c r="G15" s="69">
        <v>139.0</v>
      </c>
      <c r="H15" s="69">
        <v>132.0</v>
      </c>
      <c r="I15" s="69">
        <v>138.0</v>
      </c>
      <c r="J15" s="69">
        <v>147.0</v>
      </c>
      <c r="K15" s="69">
        <v>148.0</v>
      </c>
      <c r="L15" s="69">
        <v>150.0</v>
      </c>
      <c r="M15" s="69">
        <v>140.0</v>
      </c>
      <c r="N15" s="69">
        <v>138.0</v>
      </c>
      <c r="O15" s="69">
        <v>134.0</v>
      </c>
      <c r="P15" s="69">
        <v>117.0</v>
      </c>
      <c r="Q15" s="69">
        <v>151.0</v>
      </c>
      <c r="R15" s="69">
        <v>147.0</v>
      </c>
      <c r="S15" s="69">
        <v>108.0</v>
      </c>
      <c r="T15" s="69">
        <v>120.0</v>
      </c>
      <c r="U15" s="69">
        <v>131.0</v>
      </c>
      <c r="V15" s="69">
        <v>122.0</v>
      </c>
      <c r="W15" s="69">
        <v>113.0</v>
      </c>
      <c r="X15" s="69">
        <v>122.0</v>
      </c>
      <c r="Y15" s="69">
        <v>121.0</v>
      </c>
      <c r="Z15" s="69">
        <v>126.0</v>
      </c>
      <c r="AA15" s="69">
        <v>126.0</v>
      </c>
      <c r="AB15" s="13">
        <f t="shared" si="1"/>
        <v>3024</v>
      </c>
    </row>
    <row r="16" ht="12.75" customHeight="1">
      <c r="A16" s="25"/>
      <c r="B16" s="21"/>
      <c r="C16" s="28"/>
      <c r="D16" s="13" t="s">
        <v>14</v>
      </c>
      <c r="E16" s="70">
        <f t="shared" ref="E16:AA16" si="2">SUM(E14:E15)</f>
        <v>269</v>
      </c>
      <c r="F16" s="70">
        <f t="shared" si="2"/>
        <v>252</v>
      </c>
      <c r="G16" s="70">
        <f t="shared" si="2"/>
        <v>270</v>
      </c>
      <c r="H16" s="70">
        <f t="shared" si="2"/>
        <v>264</v>
      </c>
      <c r="I16" s="70">
        <f t="shared" si="2"/>
        <v>270</v>
      </c>
      <c r="J16" s="70">
        <f t="shared" si="2"/>
        <v>289</v>
      </c>
      <c r="K16" s="70">
        <f t="shared" si="2"/>
        <v>291</v>
      </c>
      <c r="L16" s="70">
        <f t="shared" si="2"/>
        <v>297</v>
      </c>
      <c r="M16" s="70">
        <f t="shared" si="2"/>
        <v>288</v>
      </c>
      <c r="N16" s="70">
        <f t="shared" si="2"/>
        <v>285</v>
      </c>
      <c r="O16" s="70">
        <f t="shared" si="2"/>
        <v>268</v>
      </c>
      <c r="P16" s="70">
        <f t="shared" si="2"/>
        <v>231</v>
      </c>
      <c r="Q16" s="70">
        <f t="shared" si="2"/>
        <v>293</v>
      </c>
      <c r="R16" s="70">
        <f t="shared" si="2"/>
        <v>291</v>
      </c>
      <c r="S16" s="70">
        <f t="shared" si="2"/>
        <v>223</v>
      </c>
      <c r="T16" s="70">
        <f t="shared" si="2"/>
        <v>240</v>
      </c>
      <c r="U16" s="70">
        <f t="shared" si="2"/>
        <v>253</v>
      </c>
      <c r="V16" s="70">
        <f t="shared" si="2"/>
        <v>241</v>
      </c>
      <c r="W16" s="70">
        <f t="shared" si="2"/>
        <v>238</v>
      </c>
      <c r="X16" s="70">
        <f t="shared" si="2"/>
        <v>255</v>
      </c>
      <c r="Y16" s="70">
        <f t="shared" si="2"/>
        <v>250</v>
      </c>
      <c r="Z16" s="70">
        <f t="shared" si="2"/>
        <v>235</v>
      </c>
      <c r="AA16" s="70">
        <f t="shared" si="2"/>
        <v>245</v>
      </c>
      <c r="AB16" s="13">
        <f t="shared" si="1"/>
        <v>6038</v>
      </c>
    </row>
    <row r="17" ht="12.75" customHeight="1">
      <c r="A17" s="24"/>
      <c r="B17" s="15"/>
      <c r="C17" s="15"/>
      <c r="D17" s="16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66"/>
    </row>
    <row r="18" ht="12.75" customHeight="1">
      <c r="A18" s="30" t="s">
        <v>15</v>
      </c>
      <c r="B18" s="20" t="s">
        <v>16</v>
      </c>
      <c r="C18" s="15"/>
      <c r="D18" s="16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6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69">
        <v>101.0</v>
      </c>
      <c r="F19" s="69">
        <v>87.0</v>
      </c>
      <c r="G19" s="69">
        <v>88.0</v>
      </c>
      <c r="H19" s="69">
        <v>90.0</v>
      </c>
      <c r="I19" s="69">
        <v>97.0</v>
      </c>
      <c r="J19" s="69">
        <v>108.0</v>
      </c>
      <c r="K19" s="69">
        <v>111.0</v>
      </c>
      <c r="L19" s="69">
        <v>108.0</v>
      </c>
      <c r="M19" s="69">
        <v>112.0</v>
      </c>
      <c r="N19" s="69">
        <v>112.0</v>
      </c>
      <c r="O19" s="69">
        <v>90.0</v>
      </c>
      <c r="P19" s="69">
        <v>83.0</v>
      </c>
      <c r="Q19" s="69">
        <v>113.0</v>
      </c>
      <c r="R19" s="69">
        <v>110.0</v>
      </c>
      <c r="S19" s="69">
        <v>97.0</v>
      </c>
      <c r="T19" s="69">
        <v>95.0</v>
      </c>
      <c r="U19" s="69">
        <v>99.0</v>
      </c>
      <c r="V19" s="69">
        <v>91.0</v>
      </c>
      <c r="W19" s="69">
        <v>93.0</v>
      </c>
      <c r="X19" s="69">
        <v>91.0</v>
      </c>
      <c r="Y19" s="69">
        <v>105.0</v>
      </c>
      <c r="Z19" s="69">
        <v>79.0</v>
      </c>
      <c r="AA19" s="69">
        <v>81.0</v>
      </c>
      <c r="AB19" s="13">
        <f t="shared" ref="AB19:AB30" si="3">SUM(E19:AA19)</f>
        <v>2241</v>
      </c>
    </row>
    <row r="20" ht="12.75" customHeight="1">
      <c r="A20" s="33"/>
      <c r="B20" s="27"/>
      <c r="C20" s="34"/>
      <c r="D20" s="19" t="s">
        <v>13</v>
      </c>
      <c r="E20" s="69">
        <v>102.0</v>
      </c>
      <c r="F20" s="69">
        <v>96.0</v>
      </c>
      <c r="G20" s="69">
        <v>107.0</v>
      </c>
      <c r="H20" s="69">
        <v>105.0</v>
      </c>
      <c r="I20" s="69">
        <v>123.0</v>
      </c>
      <c r="J20" s="69">
        <v>115.0</v>
      </c>
      <c r="K20" s="69">
        <v>123.0</v>
      </c>
      <c r="L20" s="69">
        <v>118.0</v>
      </c>
      <c r="M20" s="69">
        <v>117.0</v>
      </c>
      <c r="N20" s="69">
        <v>119.0</v>
      </c>
      <c r="O20" s="69">
        <v>99.0</v>
      </c>
      <c r="P20" s="69">
        <v>91.0</v>
      </c>
      <c r="Q20" s="69">
        <v>129.0</v>
      </c>
      <c r="R20" s="69">
        <v>119.0</v>
      </c>
      <c r="S20" s="69">
        <v>90.0</v>
      </c>
      <c r="T20" s="69">
        <v>95.0</v>
      </c>
      <c r="U20" s="69">
        <v>108.0</v>
      </c>
      <c r="V20" s="69">
        <v>97.0</v>
      </c>
      <c r="W20" s="69">
        <v>92.0</v>
      </c>
      <c r="X20" s="69">
        <v>95.0</v>
      </c>
      <c r="Y20" s="69">
        <v>99.0</v>
      </c>
      <c r="Z20" s="69">
        <v>96.0</v>
      </c>
      <c r="AA20" s="69">
        <v>88.0</v>
      </c>
      <c r="AB20" s="13">
        <f t="shared" si="3"/>
        <v>2423</v>
      </c>
    </row>
    <row r="21" ht="12.75" customHeight="1">
      <c r="A21" s="35"/>
      <c r="B21" s="28"/>
      <c r="C21" s="36"/>
      <c r="D21" s="13" t="s">
        <v>14</v>
      </c>
      <c r="E21" s="70">
        <f t="shared" ref="E21:AA21" si="4">SUM(E19:E20)</f>
        <v>203</v>
      </c>
      <c r="F21" s="70">
        <f t="shared" si="4"/>
        <v>183</v>
      </c>
      <c r="G21" s="70">
        <f t="shared" si="4"/>
        <v>195</v>
      </c>
      <c r="H21" s="70">
        <f t="shared" si="4"/>
        <v>195</v>
      </c>
      <c r="I21" s="70">
        <f t="shared" si="4"/>
        <v>220</v>
      </c>
      <c r="J21" s="70">
        <f t="shared" si="4"/>
        <v>223</v>
      </c>
      <c r="K21" s="70">
        <f t="shared" si="4"/>
        <v>234</v>
      </c>
      <c r="L21" s="70">
        <f t="shared" si="4"/>
        <v>226</v>
      </c>
      <c r="M21" s="70">
        <f t="shared" si="4"/>
        <v>229</v>
      </c>
      <c r="N21" s="70">
        <f t="shared" si="4"/>
        <v>231</v>
      </c>
      <c r="O21" s="70">
        <f t="shared" si="4"/>
        <v>189</v>
      </c>
      <c r="P21" s="70">
        <f t="shared" si="4"/>
        <v>174</v>
      </c>
      <c r="Q21" s="70">
        <f t="shared" si="4"/>
        <v>242</v>
      </c>
      <c r="R21" s="70">
        <f t="shared" si="4"/>
        <v>229</v>
      </c>
      <c r="S21" s="70">
        <f t="shared" si="4"/>
        <v>187</v>
      </c>
      <c r="T21" s="70">
        <f t="shared" si="4"/>
        <v>190</v>
      </c>
      <c r="U21" s="70">
        <f t="shared" si="4"/>
        <v>207</v>
      </c>
      <c r="V21" s="70">
        <f t="shared" si="4"/>
        <v>188</v>
      </c>
      <c r="W21" s="70">
        <f t="shared" si="4"/>
        <v>185</v>
      </c>
      <c r="X21" s="70">
        <f t="shared" si="4"/>
        <v>186</v>
      </c>
      <c r="Y21" s="70">
        <f t="shared" si="4"/>
        <v>204</v>
      </c>
      <c r="Z21" s="70">
        <f t="shared" si="4"/>
        <v>175</v>
      </c>
      <c r="AA21" s="70">
        <f t="shared" si="4"/>
        <v>169</v>
      </c>
      <c r="AB21" s="13">
        <f t="shared" si="3"/>
        <v>4664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69">
        <v>0.0</v>
      </c>
      <c r="F22" s="69">
        <v>0.0</v>
      </c>
      <c r="G22" s="69">
        <v>0.0</v>
      </c>
      <c r="H22" s="69">
        <v>0.0</v>
      </c>
      <c r="I22" s="69">
        <v>0.0</v>
      </c>
      <c r="J22" s="69">
        <v>0.0</v>
      </c>
      <c r="K22" s="69">
        <v>0.0</v>
      </c>
      <c r="L22" s="69">
        <v>0.0</v>
      </c>
      <c r="M22" s="69">
        <v>0.0</v>
      </c>
      <c r="N22" s="69">
        <v>0.0</v>
      </c>
      <c r="O22" s="69">
        <v>0.0</v>
      </c>
      <c r="P22" s="69">
        <v>0.0</v>
      </c>
      <c r="Q22" s="69">
        <v>0.0</v>
      </c>
      <c r="R22" s="69">
        <v>0.0</v>
      </c>
      <c r="S22" s="69">
        <v>0.0</v>
      </c>
      <c r="T22" s="69">
        <v>0.0</v>
      </c>
      <c r="U22" s="69">
        <v>0.0</v>
      </c>
      <c r="V22" s="69">
        <v>0.0</v>
      </c>
      <c r="W22" s="69">
        <v>0.0</v>
      </c>
      <c r="X22" s="69">
        <v>0.0</v>
      </c>
      <c r="Y22" s="69">
        <v>0.0</v>
      </c>
      <c r="Z22" s="69">
        <v>0.0</v>
      </c>
      <c r="AA22" s="69">
        <v>1.0</v>
      </c>
      <c r="AB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69">
        <v>0.0</v>
      </c>
      <c r="F23" s="69">
        <v>0.0</v>
      </c>
      <c r="G23" s="69">
        <v>0.0</v>
      </c>
      <c r="H23" s="69">
        <v>0.0</v>
      </c>
      <c r="I23" s="69">
        <v>0.0</v>
      </c>
      <c r="J23" s="69">
        <v>0.0</v>
      </c>
      <c r="K23" s="69">
        <v>0.0</v>
      </c>
      <c r="L23" s="69">
        <v>0.0</v>
      </c>
      <c r="M23" s="69">
        <v>0.0</v>
      </c>
      <c r="N23" s="69">
        <v>0.0</v>
      </c>
      <c r="O23" s="69">
        <v>0.0</v>
      </c>
      <c r="P23" s="69">
        <v>1.0</v>
      </c>
      <c r="Q23" s="69">
        <v>0.0</v>
      </c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9">
        <v>0.0</v>
      </c>
      <c r="Y23" s="69">
        <v>0.0</v>
      </c>
      <c r="Z23" s="69">
        <v>0.0</v>
      </c>
      <c r="AA23" s="69">
        <v>1.0</v>
      </c>
      <c r="AB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70">
        <f t="shared" ref="E24:AA24" si="5">SUM(E22:E23)</f>
        <v>0</v>
      </c>
      <c r="F24" s="70">
        <f t="shared" si="5"/>
        <v>0</v>
      </c>
      <c r="G24" s="70">
        <f t="shared" si="5"/>
        <v>0</v>
      </c>
      <c r="H24" s="70">
        <f t="shared" si="5"/>
        <v>0</v>
      </c>
      <c r="I24" s="70">
        <f t="shared" si="5"/>
        <v>0</v>
      </c>
      <c r="J24" s="70">
        <f t="shared" si="5"/>
        <v>0</v>
      </c>
      <c r="K24" s="70">
        <f t="shared" si="5"/>
        <v>0</v>
      </c>
      <c r="L24" s="70">
        <f t="shared" si="5"/>
        <v>0</v>
      </c>
      <c r="M24" s="70">
        <f t="shared" si="5"/>
        <v>0</v>
      </c>
      <c r="N24" s="70">
        <f t="shared" si="5"/>
        <v>0</v>
      </c>
      <c r="O24" s="70">
        <f t="shared" si="5"/>
        <v>0</v>
      </c>
      <c r="P24" s="70">
        <f t="shared" si="5"/>
        <v>1</v>
      </c>
      <c r="Q24" s="70">
        <f t="shared" si="5"/>
        <v>0</v>
      </c>
      <c r="R24" s="70">
        <f t="shared" si="5"/>
        <v>0</v>
      </c>
      <c r="S24" s="70">
        <f t="shared" si="5"/>
        <v>0</v>
      </c>
      <c r="T24" s="70">
        <f t="shared" si="5"/>
        <v>0</v>
      </c>
      <c r="U24" s="70">
        <f t="shared" si="5"/>
        <v>0</v>
      </c>
      <c r="V24" s="70">
        <f t="shared" si="5"/>
        <v>0</v>
      </c>
      <c r="W24" s="70">
        <f t="shared" si="5"/>
        <v>0</v>
      </c>
      <c r="X24" s="70">
        <f t="shared" si="5"/>
        <v>0</v>
      </c>
      <c r="Y24" s="70">
        <f t="shared" si="5"/>
        <v>0</v>
      </c>
      <c r="Z24" s="70">
        <f t="shared" si="5"/>
        <v>0</v>
      </c>
      <c r="AA24" s="70">
        <f t="shared" si="5"/>
        <v>2</v>
      </c>
      <c r="AB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69">
        <v>1.0</v>
      </c>
      <c r="F25" s="69">
        <v>2.0</v>
      </c>
      <c r="G25" s="69">
        <v>2.0</v>
      </c>
      <c r="H25" s="69">
        <v>1.0</v>
      </c>
      <c r="I25" s="69">
        <v>0.0</v>
      </c>
      <c r="J25" s="69">
        <v>1.0</v>
      </c>
      <c r="K25" s="69">
        <v>0.0</v>
      </c>
      <c r="L25" s="69">
        <v>2.0</v>
      </c>
      <c r="M25" s="69">
        <v>0.0</v>
      </c>
      <c r="N25" s="69">
        <v>0.0</v>
      </c>
      <c r="O25" s="69">
        <v>0.0</v>
      </c>
      <c r="P25" s="69">
        <v>4.0</v>
      </c>
      <c r="Q25" s="69">
        <v>2.0</v>
      </c>
      <c r="R25" s="69">
        <v>2.0</v>
      </c>
      <c r="S25" s="69">
        <v>0.0</v>
      </c>
      <c r="T25" s="69">
        <v>2.0</v>
      </c>
      <c r="U25" s="69">
        <v>1.0</v>
      </c>
      <c r="V25" s="69">
        <v>0.0</v>
      </c>
      <c r="W25" s="69">
        <v>2.0</v>
      </c>
      <c r="X25" s="69">
        <v>1.0</v>
      </c>
      <c r="Y25" s="69">
        <v>0.0</v>
      </c>
      <c r="Z25" s="69">
        <v>1.0</v>
      </c>
      <c r="AA25" s="69">
        <v>0.0</v>
      </c>
      <c r="AB25" s="13">
        <f t="shared" si="3"/>
        <v>24</v>
      </c>
    </row>
    <row r="26" ht="12.75" customHeight="1">
      <c r="A26" s="33"/>
      <c r="B26" s="27"/>
      <c r="C26" s="34"/>
      <c r="D26" s="19" t="s">
        <v>13</v>
      </c>
      <c r="E26" s="69">
        <v>0.0</v>
      </c>
      <c r="F26" s="69">
        <v>1.0</v>
      </c>
      <c r="G26" s="69">
        <v>1.0</v>
      </c>
      <c r="H26" s="69">
        <v>1.0</v>
      </c>
      <c r="I26" s="69">
        <v>2.0</v>
      </c>
      <c r="J26" s="69">
        <v>2.0</v>
      </c>
      <c r="K26" s="69">
        <v>1.0</v>
      </c>
      <c r="L26" s="69">
        <v>1.0</v>
      </c>
      <c r="M26" s="69">
        <v>2.0</v>
      </c>
      <c r="N26" s="69">
        <v>0.0</v>
      </c>
      <c r="O26" s="69">
        <v>3.0</v>
      </c>
      <c r="P26" s="69">
        <v>4.0</v>
      </c>
      <c r="Q26" s="69">
        <v>5.0</v>
      </c>
      <c r="R26" s="69">
        <v>3.0</v>
      </c>
      <c r="S26" s="69">
        <v>0.0</v>
      </c>
      <c r="T26" s="69">
        <v>3.0</v>
      </c>
      <c r="U26" s="69">
        <v>4.0</v>
      </c>
      <c r="V26" s="69">
        <v>0.0</v>
      </c>
      <c r="W26" s="69">
        <v>3.0</v>
      </c>
      <c r="X26" s="69">
        <v>0.0</v>
      </c>
      <c r="Y26" s="69">
        <v>1.0</v>
      </c>
      <c r="Z26" s="69">
        <v>1.0</v>
      </c>
      <c r="AA26" s="69">
        <v>0.0</v>
      </c>
      <c r="AB26" s="13">
        <f t="shared" si="3"/>
        <v>38</v>
      </c>
    </row>
    <row r="27" ht="12.75" customHeight="1">
      <c r="A27" s="35"/>
      <c r="B27" s="28"/>
      <c r="C27" s="36"/>
      <c r="D27" s="13" t="s">
        <v>14</v>
      </c>
      <c r="E27" s="70">
        <f t="shared" ref="E27:AA27" si="6">SUM(E25:E26)</f>
        <v>1</v>
      </c>
      <c r="F27" s="70">
        <f t="shared" si="6"/>
        <v>3</v>
      </c>
      <c r="G27" s="70">
        <f t="shared" si="6"/>
        <v>3</v>
      </c>
      <c r="H27" s="70">
        <f t="shared" si="6"/>
        <v>2</v>
      </c>
      <c r="I27" s="70">
        <f t="shared" si="6"/>
        <v>2</v>
      </c>
      <c r="J27" s="70">
        <f t="shared" si="6"/>
        <v>3</v>
      </c>
      <c r="K27" s="70">
        <f t="shared" si="6"/>
        <v>1</v>
      </c>
      <c r="L27" s="70">
        <f t="shared" si="6"/>
        <v>3</v>
      </c>
      <c r="M27" s="70">
        <f t="shared" si="6"/>
        <v>2</v>
      </c>
      <c r="N27" s="70">
        <f t="shared" si="6"/>
        <v>0</v>
      </c>
      <c r="O27" s="70">
        <f t="shared" si="6"/>
        <v>3</v>
      </c>
      <c r="P27" s="70">
        <f t="shared" si="6"/>
        <v>8</v>
      </c>
      <c r="Q27" s="70">
        <f t="shared" si="6"/>
        <v>7</v>
      </c>
      <c r="R27" s="70">
        <f t="shared" si="6"/>
        <v>5</v>
      </c>
      <c r="S27" s="70">
        <f t="shared" si="6"/>
        <v>0</v>
      </c>
      <c r="T27" s="70">
        <f t="shared" si="6"/>
        <v>5</v>
      </c>
      <c r="U27" s="70">
        <f t="shared" si="6"/>
        <v>5</v>
      </c>
      <c r="V27" s="70">
        <f t="shared" si="6"/>
        <v>0</v>
      </c>
      <c r="W27" s="70">
        <f t="shared" si="6"/>
        <v>5</v>
      </c>
      <c r="X27" s="70">
        <f t="shared" si="6"/>
        <v>1</v>
      </c>
      <c r="Y27" s="70">
        <f t="shared" si="6"/>
        <v>1</v>
      </c>
      <c r="Z27" s="70">
        <f t="shared" si="6"/>
        <v>2</v>
      </c>
      <c r="AA27" s="70">
        <f t="shared" si="6"/>
        <v>0</v>
      </c>
      <c r="AB27" s="13">
        <f t="shared" si="3"/>
        <v>62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70">
        <f t="shared" ref="E28:AA28" si="7">SUM(E19,E22,E25)</f>
        <v>102</v>
      </c>
      <c r="F28" s="70">
        <f t="shared" si="7"/>
        <v>89</v>
      </c>
      <c r="G28" s="70">
        <f t="shared" si="7"/>
        <v>90</v>
      </c>
      <c r="H28" s="70">
        <f t="shared" si="7"/>
        <v>91</v>
      </c>
      <c r="I28" s="70">
        <f t="shared" si="7"/>
        <v>97</v>
      </c>
      <c r="J28" s="70">
        <f t="shared" si="7"/>
        <v>109</v>
      </c>
      <c r="K28" s="70">
        <f t="shared" si="7"/>
        <v>111</v>
      </c>
      <c r="L28" s="70">
        <f t="shared" si="7"/>
        <v>110</v>
      </c>
      <c r="M28" s="70">
        <f t="shared" si="7"/>
        <v>112</v>
      </c>
      <c r="N28" s="70">
        <f t="shared" si="7"/>
        <v>112</v>
      </c>
      <c r="O28" s="70">
        <f t="shared" si="7"/>
        <v>90</v>
      </c>
      <c r="P28" s="70">
        <f t="shared" si="7"/>
        <v>87</v>
      </c>
      <c r="Q28" s="70">
        <f t="shared" si="7"/>
        <v>115</v>
      </c>
      <c r="R28" s="70">
        <f t="shared" si="7"/>
        <v>112</v>
      </c>
      <c r="S28" s="70">
        <f t="shared" si="7"/>
        <v>97</v>
      </c>
      <c r="T28" s="70">
        <f t="shared" si="7"/>
        <v>97</v>
      </c>
      <c r="U28" s="70">
        <f t="shared" si="7"/>
        <v>100</v>
      </c>
      <c r="V28" s="70">
        <f t="shared" si="7"/>
        <v>91</v>
      </c>
      <c r="W28" s="70">
        <f t="shared" si="7"/>
        <v>95</v>
      </c>
      <c r="X28" s="70">
        <f t="shared" si="7"/>
        <v>92</v>
      </c>
      <c r="Y28" s="70">
        <f t="shared" si="7"/>
        <v>105</v>
      </c>
      <c r="Z28" s="70">
        <f t="shared" si="7"/>
        <v>80</v>
      </c>
      <c r="AA28" s="70">
        <f t="shared" si="7"/>
        <v>82</v>
      </c>
      <c r="AB28" s="13">
        <f t="shared" si="3"/>
        <v>2266</v>
      </c>
    </row>
    <row r="29" ht="12.75" customHeight="1">
      <c r="A29" s="35"/>
      <c r="B29" s="27"/>
      <c r="C29" s="34"/>
      <c r="D29" s="13" t="s">
        <v>13</v>
      </c>
      <c r="E29" s="70">
        <f t="shared" ref="E29:AA29" si="8">SUM(E20,E23,E26)</f>
        <v>102</v>
      </c>
      <c r="F29" s="70">
        <f t="shared" si="8"/>
        <v>97</v>
      </c>
      <c r="G29" s="70">
        <f t="shared" si="8"/>
        <v>108</v>
      </c>
      <c r="H29" s="70">
        <f t="shared" si="8"/>
        <v>106</v>
      </c>
      <c r="I29" s="70">
        <f t="shared" si="8"/>
        <v>125</v>
      </c>
      <c r="J29" s="70">
        <f t="shared" si="8"/>
        <v>117</v>
      </c>
      <c r="K29" s="70">
        <f t="shared" si="8"/>
        <v>124</v>
      </c>
      <c r="L29" s="70">
        <f t="shared" si="8"/>
        <v>119</v>
      </c>
      <c r="M29" s="70">
        <f t="shared" si="8"/>
        <v>119</v>
      </c>
      <c r="N29" s="70">
        <f t="shared" si="8"/>
        <v>119</v>
      </c>
      <c r="O29" s="70">
        <f t="shared" si="8"/>
        <v>102</v>
      </c>
      <c r="P29" s="70">
        <f t="shared" si="8"/>
        <v>96</v>
      </c>
      <c r="Q29" s="70">
        <f t="shared" si="8"/>
        <v>134</v>
      </c>
      <c r="R29" s="70">
        <f t="shared" si="8"/>
        <v>122</v>
      </c>
      <c r="S29" s="70">
        <f t="shared" si="8"/>
        <v>90</v>
      </c>
      <c r="T29" s="70">
        <f t="shared" si="8"/>
        <v>98</v>
      </c>
      <c r="U29" s="70">
        <f t="shared" si="8"/>
        <v>112</v>
      </c>
      <c r="V29" s="70">
        <f t="shared" si="8"/>
        <v>97</v>
      </c>
      <c r="W29" s="70">
        <f t="shared" si="8"/>
        <v>95</v>
      </c>
      <c r="X29" s="70">
        <f t="shared" si="8"/>
        <v>95</v>
      </c>
      <c r="Y29" s="70">
        <f t="shared" si="8"/>
        <v>100</v>
      </c>
      <c r="Z29" s="70">
        <f t="shared" si="8"/>
        <v>97</v>
      </c>
      <c r="AA29" s="70">
        <f t="shared" si="8"/>
        <v>89</v>
      </c>
      <c r="AB29" s="13">
        <f t="shared" si="3"/>
        <v>2463</v>
      </c>
    </row>
    <row r="30" ht="12.75" customHeight="1">
      <c r="A30" s="35"/>
      <c r="B30" s="28"/>
      <c r="C30" s="36"/>
      <c r="D30" s="13" t="s">
        <v>14</v>
      </c>
      <c r="E30" s="72">
        <f t="shared" ref="E30:AA30" si="9">SUM(E28:E29)</f>
        <v>204</v>
      </c>
      <c r="F30" s="72">
        <f t="shared" si="9"/>
        <v>186</v>
      </c>
      <c r="G30" s="72">
        <f t="shared" si="9"/>
        <v>198</v>
      </c>
      <c r="H30" s="72">
        <f t="shared" si="9"/>
        <v>197</v>
      </c>
      <c r="I30" s="72">
        <f t="shared" si="9"/>
        <v>222</v>
      </c>
      <c r="J30" s="72">
        <f t="shared" si="9"/>
        <v>226</v>
      </c>
      <c r="K30" s="72">
        <f t="shared" si="9"/>
        <v>235</v>
      </c>
      <c r="L30" s="72">
        <f t="shared" si="9"/>
        <v>229</v>
      </c>
      <c r="M30" s="72">
        <f t="shared" si="9"/>
        <v>231</v>
      </c>
      <c r="N30" s="72">
        <f t="shared" si="9"/>
        <v>231</v>
      </c>
      <c r="O30" s="72">
        <f t="shared" si="9"/>
        <v>192</v>
      </c>
      <c r="P30" s="72">
        <f t="shared" si="9"/>
        <v>183</v>
      </c>
      <c r="Q30" s="72">
        <f t="shared" si="9"/>
        <v>249</v>
      </c>
      <c r="R30" s="72">
        <f t="shared" si="9"/>
        <v>234</v>
      </c>
      <c r="S30" s="72">
        <f t="shared" si="9"/>
        <v>187</v>
      </c>
      <c r="T30" s="72">
        <f t="shared" si="9"/>
        <v>195</v>
      </c>
      <c r="U30" s="72">
        <f t="shared" si="9"/>
        <v>212</v>
      </c>
      <c r="V30" s="72">
        <f t="shared" si="9"/>
        <v>188</v>
      </c>
      <c r="W30" s="72">
        <f t="shared" si="9"/>
        <v>190</v>
      </c>
      <c r="X30" s="72">
        <f t="shared" si="9"/>
        <v>187</v>
      </c>
      <c r="Y30" s="72">
        <f t="shared" si="9"/>
        <v>205</v>
      </c>
      <c r="Z30" s="72">
        <f t="shared" si="9"/>
        <v>177</v>
      </c>
      <c r="AA30" s="72">
        <f t="shared" si="9"/>
        <v>171</v>
      </c>
      <c r="AB30" s="13">
        <f t="shared" si="3"/>
        <v>4729</v>
      </c>
    </row>
    <row r="31" ht="12.75" customHeight="1">
      <c r="A31" s="24"/>
      <c r="B31" s="15"/>
      <c r="C31" s="15"/>
      <c r="D31" s="16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66"/>
    </row>
    <row r="32" ht="12.75" customHeight="1">
      <c r="A32" s="41" t="s">
        <v>25</v>
      </c>
      <c r="B32" s="14" t="s">
        <v>26</v>
      </c>
      <c r="C32" s="15"/>
      <c r="D32" s="16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66"/>
    </row>
    <row r="33" ht="12.75" customHeight="1">
      <c r="A33" s="19">
        <v>1.0</v>
      </c>
      <c r="B33" s="20" t="s">
        <v>27</v>
      </c>
      <c r="C33" s="15"/>
      <c r="D33" s="16"/>
      <c r="E33" s="69">
        <v>275.0</v>
      </c>
      <c r="F33" s="69">
        <v>258.0</v>
      </c>
      <c r="G33" s="69">
        <v>275.0</v>
      </c>
      <c r="H33" s="69">
        <v>269.0</v>
      </c>
      <c r="I33" s="69">
        <v>276.0</v>
      </c>
      <c r="J33" s="69">
        <v>294.0</v>
      </c>
      <c r="K33" s="69">
        <v>296.0</v>
      </c>
      <c r="L33" s="69">
        <v>303.0</v>
      </c>
      <c r="M33" s="69">
        <v>294.0</v>
      </c>
      <c r="N33" s="69">
        <v>291.0</v>
      </c>
      <c r="O33" s="69">
        <v>274.0</v>
      </c>
      <c r="P33" s="69">
        <v>236.0</v>
      </c>
      <c r="Q33" s="69">
        <v>299.0</v>
      </c>
      <c r="R33" s="69">
        <v>297.0</v>
      </c>
      <c r="S33" s="69">
        <v>227.0</v>
      </c>
      <c r="T33" s="69">
        <v>245.0</v>
      </c>
      <c r="U33" s="69">
        <v>258.0</v>
      </c>
      <c r="V33" s="69">
        <v>245.0</v>
      </c>
      <c r="W33" s="69">
        <v>243.0</v>
      </c>
      <c r="X33" s="69">
        <v>261.0</v>
      </c>
      <c r="Y33" s="69">
        <v>255.0</v>
      </c>
      <c r="Z33" s="69">
        <v>240.0</v>
      </c>
      <c r="AA33" s="69">
        <v>250.0</v>
      </c>
      <c r="AB33" s="13">
        <f t="shared" ref="AB33:AB36" si="10">SUM(E33:AA33)</f>
        <v>6161</v>
      </c>
    </row>
    <row r="34" ht="12.75" customHeight="1">
      <c r="A34" s="19">
        <v>2.0</v>
      </c>
      <c r="B34" s="20" t="s">
        <v>28</v>
      </c>
      <c r="C34" s="15"/>
      <c r="D34" s="16"/>
      <c r="E34" s="73">
        <v>204.0</v>
      </c>
      <c r="F34" s="73">
        <v>186.0</v>
      </c>
      <c r="G34" s="73">
        <v>198.0</v>
      </c>
      <c r="H34" s="73">
        <v>197.0</v>
      </c>
      <c r="I34" s="73">
        <v>222.0</v>
      </c>
      <c r="J34" s="73">
        <v>226.0</v>
      </c>
      <c r="K34" s="73">
        <v>235.0</v>
      </c>
      <c r="L34" s="73">
        <v>229.0</v>
      </c>
      <c r="M34" s="73">
        <v>231.0</v>
      </c>
      <c r="N34" s="73">
        <v>231.0</v>
      </c>
      <c r="O34" s="73">
        <v>192.0</v>
      </c>
      <c r="P34" s="73">
        <v>183.0</v>
      </c>
      <c r="Q34" s="73">
        <v>249.0</v>
      </c>
      <c r="R34" s="73">
        <v>234.0</v>
      </c>
      <c r="S34" s="73">
        <v>187.0</v>
      </c>
      <c r="T34" s="73">
        <v>195.0</v>
      </c>
      <c r="U34" s="73">
        <v>212.0</v>
      </c>
      <c r="V34" s="73">
        <v>188.0</v>
      </c>
      <c r="W34" s="73">
        <v>190.0</v>
      </c>
      <c r="X34" s="73">
        <v>187.0</v>
      </c>
      <c r="Y34" s="73">
        <v>205.0</v>
      </c>
      <c r="Z34" s="73">
        <v>177.0</v>
      </c>
      <c r="AA34" s="73">
        <v>171.0</v>
      </c>
      <c r="AB34" s="13">
        <f t="shared" si="10"/>
        <v>4729</v>
      </c>
    </row>
    <row r="35" ht="12.75" customHeight="1">
      <c r="A35" s="19">
        <v>3.0</v>
      </c>
      <c r="B35" s="20" t="s">
        <v>29</v>
      </c>
      <c r="C35" s="15"/>
      <c r="D35" s="16"/>
      <c r="E35" s="69">
        <v>0.0</v>
      </c>
      <c r="F35" s="69">
        <v>0.0</v>
      </c>
      <c r="G35" s="69">
        <v>1.0</v>
      </c>
      <c r="H35" s="69">
        <v>0.0</v>
      </c>
      <c r="I35" s="69">
        <v>18.0</v>
      </c>
      <c r="J35" s="69">
        <v>0.0</v>
      </c>
      <c r="K35" s="69">
        <v>1.0</v>
      </c>
      <c r="L35" s="69">
        <v>1.0</v>
      </c>
      <c r="M35" s="69">
        <v>0.0</v>
      </c>
      <c r="N35" s="69">
        <v>2.0</v>
      </c>
      <c r="O35" s="69">
        <v>0.0</v>
      </c>
      <c r="P35" s="69">
        <v>0.0</v>
      </c>
      <c r="Q35" s="69">
        <v>0.0</v>
      </c>
      <c r="R35" s="69">
        <v>1.0</v>
      </c>
      <c r="S35" s="69">
        <v>0.0</v>
      </c>
      <c r="T35" s="69">
        <v>1.0</v>
      </c>
      <c r="U35" s="69">
        <v>0.0</v>
      </c>
      <c r="V35" s="69">
        <v>0.0</v>
      </c>
      <c r="W35" s="69">
        <v>1.0</v>
      </c>
      <c r="X35" s="69">
        <v>0.0</v>
      </c>
      <c r="Y35" s="69">
        <v>0.0</v>
      </c>
      <c r="Z35" s="69">
        <v>0.0</v>
      </c>
      <c r="AA35" s="69">
        <v>0.0</v>
      </c>
      <c r="AB35" s="13">
        <f t="shared" si="10"/>
        <v>26</v>
      </c>
    </row>
    <row r="36" ht="12.75" customHeight="1">
      <c r="A36" s="19">
        <v>4.0</v>
      </c>
      <c r="B36" s="20" t="s">
        <v>30</v>
      </c>
      <c r="C36" s="15"/>
      <c r="D36" s="16"/>
      <c r="E36" s="70">
        <f t="shared" ref="E36:AA36" si="11">E33-(E34+E35)</f>
        <v>71</v>
      </c>
      <c r="F36" s="70">
        <f t="shared" si="11"/>
        <v>72</v>
      </c>
      <c r="G36" s="70">
        <f t="shared" si="11"/>
        <v>76</v>
      </c>
      <c r="H36" s="70">
        <f t="shared" si="11"/>
        <v>72</v>
      </c>
      <c r="I36" s="70">
        <f t="shared" si="11"/>
        <v>36</v>
      </c>
      <c r="J36" s="70">
        <f t="shared" si="11"/>
        <v>68</v>
      </c>
      <c r="K36" s="70">
        <f t="shared" si="11"/>
        <v>60</v>
      </c>
      <c r="L36" s="70">
        <f t="shared" si="11"/>
        <v>73</v>
      </c>
      <c r="M36" s="70">
        <f t="shared" si="11"/>
        <v>63</v>
      </c>
      <c r="N36" s="70">
        <f t="shared" si="11"/>
        <v>58</v>
      </c>
      <c r="O36" s="70">
        <f t="shared" si="11"/>
        <v>82</v>
      </c>
      <c r="P36" s="70">
        <f t="shared" si="11"/>
        <v>53</v>
      </c>
      <c r="Q36" s="70">
        <f t="shared" si="11"/>
        <v>50</v>
      </c>
      <c r="R36" s="70">
        <f t="shared" si="11"/>
        <v>62</v>
      </c>
      <c r="S36" s="70">
        <f t="shared" si="11"/>
        <v>40</v>
      </c>
      <c r="T36" s="70">
        <f t="shared" si="11"/>
        <v>49</v>
      </c>
      <c r="U36" s="70">
        <f t="shared" si="11"/>
        <v>46</v>
      </c>
      <c r="V36" s="70">
        <f t="shared" si="11"/>
        <v>57</v>
      </c>
      <c r="W36" s="70">
        <f t="shared" si="11"/>
        <v>52</v>
      </c>
      <c r="X36" s="70">
        <f t="shared" si="11"/>
        <v>74</v>
      </c>
      <c r="Y36" s="70">
        <f t="shared" si="11"/>
        <v>50</v>
      </c>
      <c r="Z36" s="70">
        <f t="shared" si="11"/>
        <v>63</v>
      </c>
      <c r="AA36" s="70">
        <f t="shared" si="11"/>
        <v>79</v>
      </c>
      <c r="AB36" s="13">
        <f t="shared" si="10"/>
        <v>1406</v>
      </c>
    </row>
    <row r="37" ht="12.75" customHeight="1">
      <c r="A37" s="24"/>
      <c r="B37" s="15"/>
      <c r="C37" s="15"/>
      <c r="D37" s="15"/>
      <c r="E37" s="7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/>
      <c r="T37" s="71"/>
      <c r="U37" s="71"/>
      <c r="V37" s="71"/>
      <c r="W37" s="71"/>
      <c r="X37" s="71"/>
      <c r="Y37" s="71"/>
      <c r="Z37" s="71"/>
      <c r="AA37" s="71"/>
      <c r="AB37" s="66"/>
    </row>
    <row r="38" ht="12.75" customHeight="1">
      <c r="A38" s="42" t="s">
        <v>31</v>
      </c>
      <c r="B38" s="14" t="s">
        <v>32</v>
      </c>
      <c r="C38" s="15"/>
      <c r="D38" s="16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66"/>
    </row>
    <row r="39" ht="12.75" customHeight="1">
      <c r="A39" s="30"/>
      <c r="B39" s="43" t="s">
        <v>33</v>
      </c>
      <c r="C39" s="23"/>
      <c r="D39" s="19" t="s">
        <v>12</v>
      </c>
      <c r="E39" s="69">
        <v>0.0</v>
      </c>
      <c r="F39" s="69">
        <v>0.0</v>
      </c>
      <c r="G39" s="69">
        <v>0.0</v>
      </c>
      <c r="H39" s="69">
        <v>0.0</v>
      </c>
      <c r="I39" s="69">
        <v>0.0</v>
      </c>
      <c r="J39" s="69">
        <v>0.0</v>
      </c>
      <c r="K39" s="69">
        <v>0.0</v>
      </c>
      <c r="L39" s="69">
        <v>0.0</v>
      </c>
      <c r="M39" s="69">
        <v>0.0</v>
      </c>
      <c r="N39" s="69">
        <v>0.0</v>
      </c>
      <c r="O39" s="69">
        <v>0.0</v>
      </c>
      <c r="P39" s="69">
        <v>0.0</v>
      </c>
      <c r="Q39" s="69">
        <v>0.0</v>
      </c>
      <c r="R39" s="69">
        <v>0.0</v>
      </c>
      <c r="S39" s="69">
        <v>0.0</v>
      </c>
      <c r="T39" s="69">
        <v>0.0</v>
      </c>
      <c r="U39" s="69">
        <v>0.0</v>
      </c>
      <c r="V39" s="69">
        <v>0.0</v>
      </c>
      <c r="W39" s="69">
        <v>0.0</v>
      </c>
      <c r="X39" s="69">
        <v>0.0</v>
      </c>
      <c r="Y39" s="69">
        <v>1.0</v>
      </c>
      <c r="Z39" s="69">
        <v>1.0</v>
      </c>
      <c r="AA39" s="69">
        <v>0.0</v>
      </c>
      <c r="AB39" s="13">
        <f t="shared" ref="AB39:AB41" si="12">SUM(E39:AA39)</f>
        <v>2</v>
      </c>
    </row>
    <row r="40" ht="12.75" customHeight="1">
      <c r="A40" s="33"/>
      <c r="C40" s="27"/>
      <c r="D40" s="19" t="s">
        <v>13</v>
      </c>
      <c r="E40" s="69">
        <v>0.0</v>
      </c>
      <c r="F40" s="69">
        <v>0.0</v>
      </c>
      <c r="G40" s="69">
        <v>0.0</v>
      </c>
      <c r="H40" s="69">
        <v>1.0</v>
      </c>
      <c r="I40" s="69">
        <v>0.0</v>
      </c>
      <c r="J40" s="69">
        <v>0.0</v>
      </c>
      <c r="K40" s="69">
        <v>0.0</v>
      </c>
      <c r="L40" s="69">
        <v>0.0</v>
      </c>
      <c r="M40" s="69">
        <v>0.0</v>
      </c>
      <c r="N40" s="69">
        <v>0.0</v>
      </c>
      <c r="O40" s="69">
        <v>0.0</v>
      </c>
      <c r="P40" s="69">
        <v>0.0</v>
      </c>
      <c r="Q40" s="69">
        <v>0.0</v>
      </c>
      <c r="R40" s="69">
        <v>0.0</v>
      </c>
      <c r="S40" s="69">
        <v>0.0</v>
      </c>
      <c r="T40" s="69">
        <v>0.0</v>
      </c>
      <c r="U40" s="69">
        <v>0.0</v>
      </c>
      <c r="V40" s="69">
        <v>0.0</v>
      </c>
      <c r="W40" s="69">
        <v>0.0</v>
      </c>
      <c r="X40" s="69">
        <v>0.0</v>
      </c>
      <c r="Y40" s="69">
        <v>1.0</v>
      </c>
      <c r="Z40" s="69">
        <v>2.0</v>
      </c>
      <c r="AA40" s="69">
        <v>0.0</v>
      </c>
      <c r="AB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1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2</v>
      </c>
      <c r="Z41" s="13">
        <f t="shared" si="13"/>
        <v>3</v>
      </c>
      <c r="AA41" s="13">
        <f t="shared" si="13"/>
        <v>0</v>
      </c>
      <c r="AB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5"/>
      <c r="O42" s="19"/>
      <c r="P42" s="65"/>
      <c r="Q42" s="19"/>
      <c r="R42" s="65"/>
      <c r="S42" s="19"/>
      <c r="T42" s="65"/>
      <c r="U42" s="19"/>
      <c r="V42" s="65"/>
      <c r="W42" s="19"/>
      <c r="X42" s="65"/>
      <c r="Y42" s="19"/>
      <c r="Z42" s="65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7"/>
      <c r="O43" s="13"/>
      <c r="P43" s="67"/>
      <c r="Q43" s="13"/>
      <c r="R43" s="67"/>
      <c r="S43" s="13"/>
      <c r="T43" s="67"/>
      <c r="U43" s="13"/>
      <c r="V43" s="67"/>
      <c r="W43" s="13"/>
      <c r="X43" s="67"/>
      <c r="Y43" s="13"/>
      <c r="Z43" s="67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5"/>
      <c r="O44" s="19"/>
      <c r="P44" s="65"/>
      <c r="Q44" s="19"/>
      <c r="R44" s="65"/>
      <c r="S44" s="19"/>
      <c r="T44" s="65"/>
      <c r="U44" s="19"/>
      <c r="V44" s="65"/>
      <c r="W44" s="19"/>
      <c r="X44" s="65"/>
      <c r="Y44" s="19"/>
      <c r="Z44" s="65"/>
      <c r="AA44" s="19"/>
      <c r="AB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2.0</v>
      </c>
      <c r="F45" s="19">
        <v>4.0</v>
      </c>
      <c r="G45" s="19">
        <v>9.0</v>
      </c>
      <c r="H45" s="19">
        <v>5.0</v>
      </c>
      <c r="I45" s="19">
        <v>10.0</v>
      </c>
      <c r="J45" s="19">
        <v>5.0</v>
      </c>
      <c r="K45" s="19">
        <v>5.0</v>
      </c>
      <c r="L45" s="19">
        <v>1.0</v>
      </c>
      <c r="M45" s="19">
        <v>14.0</v>
      </c>
      <c r="N45" s="19">
        <v>8.0</v>
      </c>
      <c r="O45" s="19">
        <v>6.0</v>
      </c>
      <c r="P45" s="19">
        <v>3.0</v>
      </c>
      <c r="Q45" s="19">
        <v>7.0</v>
      </c>
      <c r="R45" s="19">
        <v>11.0</v>
      </c>
      <c r="S45" s="19">
        <v>2.0</v>
      </c>
      <c r="T45" s="19">
        <v>1.0</v>
      </c>
      <c r="U45" s="19">
        <v>9.0</v>
      </c>
      <c r="V45" s="19">
        <v>6.0</v>
      </c>
      <c r="W45" s="19">
        <v>2.0</v>
      </c>
      <c r="X45" s="19">
        <v>7.0</v>
      </c>
      <c r="Y45" s="19">
        <v>4.0</v>
      </c>
      <c r="Z45" s="19">
        <v>7.0</v>
      </c>
      <c r="AA45" s="19">
        <v>6.0</v>
      </c>
      <c r="AB45" s="13">
        <f t="shared" ref="AB45:AB182" si="14">SUM(E45:AA45)</f>
        <v>134</v>
      </c>
    </row>
    <row r="46" ht="12.75" customHeight="1">
      <c r="A46" s="30" t="s">
        <v>39</v>
      </c>
      <c r="B46" s="49">
        <v>1.0</v>
      </c>
      <c r="C46" s="50" t="s">
        <v>40</v>
      </c>
      <c r="D46" s="51"/>
      <c r="E46" s="19">
        <v>5.0</v>
      </c>
      <c r="F46" s="19">
        <v>2.0</v>
      </c>
      <c r="G46" s="19">
        <v>6.0</v>
      </c>
      <c r="H46" s="19">
        <v>1.0</v>
      </c>
      <c r="I46" s="19">
        <v>14.0</v>
      </c>
      <c r="J46" s="19">
        <v>8.0</v>
      </c>
      <c r="K46" s="19">
        <v>6.0</v>
      </c>
      <c r="L46" s="19">
        <v>1.0</v>
      </c>
      <c r="M46" s="19">
        <v>13.0</v>
      </c>
      <c r="N46" s="19">
        <v>8.0</v>
      </c>
      <c r="O46" s="19">
        <v>3.0</v>
      </c>
      <c r="P46" s="19">
        <v>2.0</v>
      </c>
      <c r="Q46" s="19">
        <v>6.0</v>
      </c>
      <c r="R46" s="19">
        <v>3.0</v>
      </c>
      <c r="S46" s="19">
        <v>0.0</v>
      </c>
      <c r="T46" s="19">
        <v>2.0</v>
      </c>
      <c r="U46" s="19">
        <v>3.0</v>
      </c>
      <c r="V46" s="19">
        <v>5.0</v>
      </c>
      <c r="W46" s="19">
        <v>2.0</v>
      </c>
      <c r="X46" s="19">
        <v>1.0</v>
      </c>
      <c r="Y46" s="19">
        <v>2.0</v>
      </c>
      <c r="Z46" s="19">
        <v>14.0</v>
      </c>
      <c r="AA46" s="19">
        <v>2.0</v>
      </c>
      <c r="AB46" s="13">
        <f t="shared" si="14"/>
        <v>109</v>
      </c>
    </row>
    <row r="47" ht="12.75" customHeight="1">
      <c r="A47" s="18"/>
      <c r="B47" s="49">
        <v>2.0</v>
      </c>
      <c r="C47" s="50" t="s">
        <v>41</v>
      </c>
      <c r="D47" s="51"/>
      <c r="E47" s="19">
        <v>11.0</v>
      </c>
      <c r="F47" s="19">
        <v>4.0</v>
      </c>
      <c r="G47" s="19">
        <v>14.0</v>
      </c>
      <c r="H47" s="19">
        <v>3.0</v>
      </c>
      <c r="I47" s="19">
        <v>16.0</v>
      </c>
      <c r="J47" s="19">
        <v>20.0</v>
      </c>
      <c r="K47" s="19">
        <v>9.0</v>
      </c>
      <c r="L47" s="19">
        <v>9.0</v>
      </c>
      <c r="M47" s="19">
        <v>68.0</v>
      </c>
      <c r="N47" s="19">
        <v>66.0</v>
      </c>
      <c r="O47" s="19">
        <v>39.0</v>
      </c>
      <c r="P47" s="19">
        <v>27.0</v>
      </c>
      <c r="Q47" s="19">
        <v>33.0</v>
      </c>
      <c r="R47" s="19">
        <v>17.0</v>
      </c>
      <c r="S47" s="19">
        <v>43.0</v>
      </c>
      <c r="T47" s="19">
        <v>30.0</v>
      </c>
      <c r="U47" s="19">
        <v>51.0</v>
      </c>
      <c r="V47" s="19">
        <v>77.0</v>
      </c>
      <c r="W47" s="19">
        <v>29.0</v>
      </c>
      <c r="X47" s="19">
        <v>25.0</v>
      </c>
      <c r="Y47" s="19">
        <v>18.0</v>
      </c>
      <c r="Z47" s="19">
        <v>27.0</v>
      </c>
      <c r="AA47" s="19">
        <v>31.0</v>
      </c>
      <c r="AB47" s="13">
        <f t="shared" si="14"/>
        <v>667</v>
      </c>
    </row>
    <row r="48" ht="12.75" customHeight="1">
      <c r="A48" s="18"/>
      <c r="B48" s="49">
        <v>3.0</v>
      </c>
      <c r="C48" s="50" t="s">
        <v>42</v>
      </c>
      <c r="D48" s="51"/>
      <c r="E48" s="19">
        <v>0.0</v>
      </c>
      <c r="F48" s="19">
        <v>1.0</v>
      </c>
      <c r="G48" s="19">
        <v>0.0</v>
      </c>
      <c r="H48" s="19">
        <v>0.0</v>
      </c>
      <c r="I48" s="19">
        <v>0.0</v>
      </c>
      <c r="J48" s="19">
        <v>0.0</v>
      </c>
      <c r="K48" s="19">
        <v>0.0</v>
      </c>
      <c r="L48" s="19">
        <v>1.0</v>
      </c>
      <c r="M48" s="19">
        <v>4.0</v>
      </c>
      <c r="N48" s="19">
        <v>2.0</v>
      </c>
      <c r="O48" s="19">
        <v>0.0</v>
      </c>
      <c r="P48" s="19">
        <v>2.0</v>
      </c>
      <c r="Q48" s="19">
        <v>0.0</v>
      </c>
      <c r="R48" s="19">
        <v>0.0</v>
      </c>
      <c r="S48" s="19">
        <v>1.0</v>
      </c>
      <c r="T48" s="19">
        <v>0.0</v>
      </c>
      <c r="U48" s="19">
        <v>1.0</v>
      </c>
      <c r="V48" s="19">
        <v>1.0</v>
      </c>
      <c r="W48" s="19">
        <v>0.0</v>
      </c>
      <c r="X48" s="19">
        <v>6.0</v>
      </c>
      <c r="Y48" s="19">
        <v>0.0</v>
      </c>
      <c r="Z48" s="19">
        <v>1.0</v>
      </c>
      <c r="AA48" s="19">
        <v>1.0</v>
      </c>
      <c r="AB48" s="13">
        <f t="shared" si="14"/>
        <v>21</v>
      </c>
    </row>
    <row r="49" ht="12.75" customHeight="1">
      <c r="A49" s="18"/>
      <c r="B49" s="49">
        <v>4.0</v>
      </c>
      <c r="C49" s="50" t="s">
        <v>43</v>
      </c>
      <c r="D49" s="51"/>
      <c r="E49" s="19">
        <v>2.0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0.0</v>
      </c>
      <c r="N49" s="19">
        <v>0.0</v>
      </c>
      <c r="O49" s="19">
        <v>1.0</v>
      </c>
      <c r="P49" s="19">
        <v>0.0</v>
      </c>
      <c r="Q49" s="19">
        <v>0.0</v>
      </c>
      <c r="R49" s="19">
        <v>0.0</v>
      </c>
      <c r="S49" s="19">
        <v>0.0</v>
      </c>
      <c r="T49" s="19">
        <v>0.0</v>
      </c>
      <c r="U49" s="19">
        <v>0.0</v>
      </c>
      <c r="V49" s="19">
        <v>0.0</v>
      </c>
      <c r="W49" s="19">
        <v>0.0</v>
      </c>
      <c r="X49" s="19">
        <v>0.0</v>
      </c>
      <c r="Y49" s="19">
        <v>0.0</v>
      </c>
      <c r="Z49" s="19">
        <v>1.0</v>
      </c>
      <c r="AA49" s="19">
        <v>0.0</v>
      </c>
      <c r="AB49" s="13">
        <f t="shared" si="14"/>
        <v>4</v>
      </c>
    </row>
    <row r="50" ht="12.75" customHeight="1">
      <c r="A50" s="18"/>
      <c r="B50" s="49">
        <v>5.0</v>
      </c>
      <c r="C50" s="50" t="s">
        <v>44</v>
      </c>
      <c r="D50" s="51"/>
      <c r="E50" s="19">
        <v>0.0</v>
      </c>
      <c r="F50" s="19">
        <v>0.0</v>
      </c>
      <c r="G50" s="19">
        <v>1.0</v>
      </c>
      <c r="H50" s="19">
        <v>0.0</v>
      </c>
      <c r="I50" s="19">
        <v>0.0</v>
      </c>
      <c r="J50" s="19">
        <v>0.0</v>
      </c>
      <c r="K50" s="19">
        <v>1.0</v>
      </c>
      <c r="L50" s="19">
        <v>0.0</v>
      </c>
      <c r="M50" s="19">
        <v>1.0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1.0</v>
      </c>
      <c r="T50" s="19">
        <v>1.0</v>
      </c>
      <c r="U50" s="19">
        <v>0.0</v>
      </c>
      <c r="V50" s="19">
        <v>0.0</v>
      </c>
      <c r="W50" s="19">
        <v>0.0</v>
      </c>
      <c r="X50" s="19">
        <v>1.0</v>
      </c>
      <c r="Y50" s="19">
        <v>0.0</v>
      </c>
      <c r="Z50" s="19">
        <v>0.0</v>
      </c>
      <c r="AA50" s="19">
        <v>1.0</v>
      </c>
      <c r="AB50" s="13">
        <f t="shared" si="14"/>
        <v>7</v>
      </c>
    </row>
    <row r="51" ht="12.75" customHeight="1">
      <c r="A51" s="18"/>
      <c r="B51" s="49">
        <v>6.0</v>
      </c>
      <c r="C51" s="50" t="s">
        <v>45</v>
      </c>
      <c r="D51" s="51"/>
      <c r="E51" s="19">
        <v>10.0</v>
      </c>
      <c r="F51" s="19">
        <v>4.0</v>
      </c>
      <c r="G51" s="19">
        <v>2.0</v>
      </c>
      <c r="H51" s="19">
        <v>0.0</v>
      </c>
      <c r="I51" s="19">
        <v>3.0</v>
      </c>
      <c r="J51" s="19">
        <v>22.0</v>
      </c>
      <c r="K51" s="19">
        <v>85.0</v>
      </c>
      <c r="L51" s="19">
        <v>7.0</v>
      </c>
      <c r="M51" s="19">
        <v>20.0</v>
      </c>
      <c r="N51" s="19">
        <v>6.0</v>
      </c>
      <c r="O51" s="19">
        <v>16.0</v>
      </c>
      <c r="P51" s="19">
        <v>4.0</v>
      </c>
      <c r="Q51" s="19">
        <v>37.0</v>
      </c>
      <c r="R51" s="19">
        <v>66.0</v>
      </c>
      <c r="S51" s="19">
        <v>8.0</v>
      </c>
      <c r="T51" s="19">
        <v>29.0</v>
      </c>
      <c r="U51" s="19">
        <v>41.0</v>
      </c>
      <c r="V51" s="19">
        <v>8.0</v>
      </c>
      <c r="W51" s="19">
        <v>4.0</v>
      </c>
      <c r="X51" s="19">
        <v>12.0</v>
      </c>
      <c r="Y51" s="19">
        <v>11.0</v>
      </c>
      <c r="Z51" s="19">
        <v>0.0</v>
      </c>
      <c r="AA51" s="19">
        <v>10.0</v>
      </c>
      <c r="AB51" s="13">
        <f t="shared" si="14"/>
        <v>405</v>
      </c>
    </row>
    <row r="52" ht="12.75" customHeight="1">
      <c r="A52" s="19" t="s">
        <v>15</v>
      </c>
      <c r="B52" s="47" t="s">
        <v>46</v>
      </c>
      <c r="C52" s="15"/>
      <c r="D52" s="16"/>
      <c r="E52" s="56">
        <f t="shared" ref="E52:AA52" si="15">SUM(E45:E51)</f>
        <v>30</v>
      </c>
      <c r="F52" s="56">
        <f t="shared" si="15"/>
        <v>15</v>
      </c>
      <c r="G52" s="56">
        <f t="shared" si="15"/>
        <v>32</v>
      </c>
      <c r="H52" s="56">
        <f t="shared" si="15"/>
        <v>9</v>
      </c>
      <c r="I52" s="56">
        <f t="shared" si="15"/>
        <v>43</v>
      </c>
      <c r="J52" s="56">
        <f t="shared" si="15"/>
        <v>55</v>
      </c>
      <c r="K52" s="56">
        <f t="shared" si="15"/>
        <v>106</v>
      </c>
      <c r="L52" s="56">
        <f t="shared" si="15"/>
        <v>19</v>
      </c>
      <c r="M52" s="56">
        <f t="shared" si="15"/>
        <v>120</v>
      </c>
      <c r="N52" s="56">
        <f t="shared" si="15"/>
        <v>90</v>
      </c>
      <c r="O52" s="56">
        <f t="shared" si="15"/>
        <v>65</v>
      </c>
      <c r="P52" s="56">
        <f t="shared" si="15"/>
        <v>38</v>
      </c>
      <c r="Q52" s="56">
        <f t="shared" si="15"/>
        <v>83</v>
      </c>
      <c r="R52" s="56">
        <f t="shared" si="15"/>
        <v>97</v>
      </c>
      <c r="S52" s="56">
        <f t="shared" si="15"/>
        <v>55</v>
      </c>
      <c r="T52" s="56">
        <f t="shared" si="15"/>
        <v>63</v>
      </c>
      <c r="U52" s="56">
        <f t="shared" si="15"/>
        <v>105</v>
      </c>
      <c r="V52" s="56">
        <f t="shared" si="15"/>
        <v>97</v>
      </c>
      <c r="W52" s="56">
        <f t="shared" si="15"/>
        <v>37</v>
      </c>
      <c r="X52" s="56">
        <f t="shared" si="15"/>
        <v>52</v>
      </c>
      <c r="Y52" s="56">
        <f t="shared" si="15"/>
        <v>35</v>
      </c>
      <c r="Z52" s="56">
        <f t="shared" si="15"/>
        <v>50</v>
      </c>
      <c r="AA52" s="56">
        <f t="shared" si="15"/>
        <v>51</v>
      </c>
      <c r="AB52" s="13">
        <f t="shared" si="14"/>
        <v>1347</v>
      </c>
    </row>
    <row r="53" ht="12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13">
        <f t="shared" si="14"/>
        <v>0</v>
      </c>
    </row>
    <row r="54" ht="12.75" customHeight="1">
      <c r="A54" s="30" t="s">
        <v>37</v>
      </c>
      <c r="B54" s="47" t="s">
        <v>19</v>
      </c>
      <c r="C54" s="48" t="s">
        <v>47</v>
      </c>
      <c r="D54" s="16"/>
      <c r="E54" s="19">
        <v>7.0</v>
      </c>
      <c r="F54" s="19">
        <v>5.0</v>
      </c>
      <c r="G54" s="19">
        <v>3.0</v>
      </c>
      <c r="H54" s="19">
        <v>5.0</v>
      </c>
      <c r="I54" s="19">
        <v>9.0</v>
      </c>
      <c r="J54" s="19">
        <v>13.0</v>
      </c>
      <c r="K54" s="19">
        <v>7.0</v>
      </c>
      <c r="L54" s="19">
        <v>7.0</v>
      </c>
      <c r="M54" s="19">
        <v>10.0</v>
      </c>
      <c r="N54" s="19">
        <v>14.0</v>
      </c>
      <c r="O54" s="19">
        <v>6.0</v>
      </c>
      <c r="P54" s="19">
        <v>6.0</v>
      </c>
      <c r="Q54" s="19">
        <v>6.0</v>
      </c>
      <c r="R54" s="19">
        <v>2.0</v>
      </c>
      <c r="S54" s="19">
        <v>6.0</v>
      </c>
      <c r="T54" s="19">
        <v>7.0</v>
      </c>
      <c r="U54" s="19">
        <v>7.0</v>
      </c>
      <c r="V54" s="19">
        <v>6.0</v>
      </c>
      <c r="W54" s="19">
        <v>3.0</v>
      </c>
      <c r="X54" s="19">
        <v>8.0</v>
      </c>
      <c r="Y54" s="19">
        <v>14.0</v>
      </c>
      <c r="Z54" s="19">
        <v>7.0</v>
      </c>
      <c r="AA54" s="19">
        <v>5.0</v>
      </c>
      <c r="AB54" s="13">
        <f t="shared" si="14"/>
        <v>163</v>
      </c>
    </row>
    <row r="55" ht="15.0" customHeight="1">
      <c r="A55" s="30" t="s">
        <v>39</v>
      </c>
      <c r="B55" s="49">
        <v>1.0</v>
      </c>
      <c r="C55" s="50" t="s">
        <v>48</v>
      </c>
      <c r="D55" s="51"/>
      <c r="E55" s="19">
        <v>4.0</v>
      </c>
      <c r="F55" s="19">
        <v>1.0</v>
      </c>
      <c r="G55" s="19">
        <v>1.0</v>
      </c>
      <c r="H55" s="19">
        <v>0.0</v>
      </c>
      <c r="I55" s="19">
        <v>5.0</v>
      </c>
      <c r="J55" s="19">
        <v>3.0</v>
      </c>
      <c r="K55" s="19">
        <v>7.0</v>
      </c>
      <c r="L55" s="19">
        <v>2.0</v>
      </c>
      <c r="M55" s="19">
        <v>7.0</v>
      </c>
      <c r="N55" s="19">
        <v>8.0</v>
      </c>
      <c r="O55" s="19">
        <v>3.0</v>
      </c>
      <c r="P55" s="19">
        <v>5.0</v>
      </c>
      <c r="Q55" s="19">
        <v>6.0</v>
      </c>
      <c r="R55" s="19">
        <v>2.0</v>
      </c>
      <c r="S55" s="19">
        <v>3.0</v>
      </c>
      <c r="T55" s="19">
        <v>1.0</v>
      </c>
      <c r="U55" s="19">
        <v>3.0</v>
      </c>
      <c r="V55" s="19">
        <v>3.0</v>
      </c>
      <c r="W55" s="19">
        <v>3.0</v>
      </c>
      <c r="X55" s="19">
        <v>5.0</v>
      </c>
      <c r="Y55" s="19">
        <v>2.0</v>
      </c>
      <c r="Z55" s="19">
        <v>4.0</v>
      </c>
      <c r="AA55" s="19">
        <v>2.0</v>
      </c>
      <c r="AB55" s="13">
        <f t="shared" si="14"/>
        <v>80</v>
      </c>
    </row>
    <row r="56" ht="12.75" customHeight="1">
      <c r="A56" s="18"/>
      <c r="B56" s="49">
        <v>2.0</v>
      </c>
      <c r="C56" s="50" t="s">
        <v>49</v>
      </c>
      <c r="D56" s="51"/>
      <c r="E56" s="19">
        <v>1.0</v>
      </c>
      <c r="F56" s="19">
        <v>0.0</v>
      </c>
      <c r="G56" s="19">
        <v>1.0</v>
      </c>
      <c r="H56" s="19">
        <v>3.0</v>
      </c>
      <c r="I56" s="19">
        <v>2.0</v>
      </c>
      <c r="J56" s="19">
        <v>3.0</v>
      </c>
      <c r="K56" s="19">
        <v>3.0</v>
      </c>
      <c r="L56" s="19">
        <v>0.0</v>
      </c>
      <c r="M56" s="19">
        <v>2.0</v>
      </c>
      <c r="N56" s="19">
        <v>1.0</v>
      </c>
      <c r="O56" s="19">
        <v>2.0</v>
      </c>
      <c r="P56" s="19">
        <v>0.0</v>
      </c>
      <c r="Q56" s="19">
        <v>1.0</v>
      </c>
      <c r="R56" s="19">
        <v>1.0</v>
      </c>
      <c r="S56" s="19">
        <v>2.0</v>
      </c>
      <c r="T56" s="19">
        <v>11.0</v>
      </c>
      <c r="U56" s="19">
        <v>7.0</v>
      </c>
      <c r="V56" s="19">
        <v>1.0</v>
      </c>
      <c r="W56" s="19">
        <v>3.0</v>
      </c>
      <c r="X56" s="19">
        <v>8.0</v>
      </c>
      <c r="Y56" s="19">
        <v>3.0</v>
      </c>
      <c r="Z56" s="19">
        <v>3.0</v>
      </c>
      <c r="AA56" s="19">
        <v>0.0</v>
      </c>
      <c r="AB56" s="13">
        <f t="shared" si="14"/>
        <v>58</v>
      </c>
    </row>
    <row r="57" ht="12.75" customHeight="1">
      <c r="A57" s="18"/>
      <c r="B57" s="49">
        <v>3.0</v>
      </c>
      <c r="C57" s="50" t="s">
        <v>50</v>
      </c>
      <c r="D57" s="51"/>
      <c r="E57" s="19">
        <v>0.0</v>
      </c>
      <c r="F57" s="19">
        <v>1.0</v>
      </c>
      <c r="G57" s="19">
        <v>1.0</v>
      </c>
      <c r="H57" s="19">
        <v>0.0</v>
      </c>
      <c r="I57" s="19">
        <v>3.0</v>
      </c>
      <c r="J57" s="19">
        <v>0.0</v>
      </c>
      <c r="K57" s="19">
        <v>0.0</v>
      </c>
      <c r="L57" s="19">
        <v>0.0</v>
      </c>
      <c r="M57" s="19">
        <v>1.0</v>
      </c>
      <c r="N57" s="19">
        <v>3.0</v>
      </c>
      <c r="O57" s="19">
        <v>0.0</v>
      </c>
      <c r="P57" s="19">
        <v>1.0</v>
      </c>
      <c r="Q57" s="19">
        <v>1.0</v>
      </c>
      <c r="R57" s="19">
        <v>0.0</v>
      </c>
      <c r="S57" s="19">
        <v>0.0</v>
      </c>
      <c r="T57" s="19">
        <v>0.0</v>
      </c>
      <c r="U57" s="19">
        <v>0.0</v>
      </c>
      <c r="V57" s="19">
        <v>0.0</v>
      </c>
      <c r="W57" s="19">
        <v>0.0</v>
      </c>
      <c r="X57" s="19">
        <v>0.0</v>
      </c>
      <c r="Y57" s="19">
        <v>0.0</v>
      </c>
      <c r="Z57" s="19">
        <v>1.0</v>
      </c>
      <c r="AA57" s="19">
        <v>1.0</v>
      </c>
      <c r="AB57" s="13">
        <f t="shared" si="14"/>
        <v>13</v>
      </c>
    </row>
    <row r="58" ht="12.75" customHeight="1">
      <c r="A58" s="18"/>
      <c r="B58" s="49">
        <v>4.0</v>
      </c>
      <c r="C58" s="50" t="s">
        <v>51</v>
      </c>
      <c r="D58" s="51"/>
      <c r="E58" s="19">
        <v>0.0</v>
      </c>
      <c r="F58" s="19">
        <v>1.0</v>
      </c>
      <c r="G58" s="19">
        <v>0.0</v>
      </c>
      <c r="H58" s="19">
        <v>0.0</v>
      </c>
      <c r="I58" s="19">
        <v>1.0</v>
      </c>
      <c r="J58" s="19">
        <v>0.0</v>
      </c>
      <c r="K58" s="19">
        <v>0.0</v>
      </c>
      <c r="L58" s="19">
        <v>0.0</v>
      </c>
      <c r="M58" s="19">
        <v>2.0</v>
      </c>
      <c r="N58" s="19">
        <v>1.0</v>
      </c>
      <c r="O58" s="19">
        <v>0.0</v>
      </c>
      <c r="P58" s="19">
        <v>2.0</v>
      </c>
      <c r="Q58" s="19">
        <v>1.0</v>
      </c>
      <c r="R58" s="19">
        <v>3.0</v>
      </c>
      <c r="S58" s="19">
        <v>1.0</v>
      </c>
      <c r="T58" s="19">
        <v>0.0</v>
      </c>
      <c r="U58" s="19">
        <v>0.0</v>
      </c>
      <c r="V58" s="19">
        <v>0.0</v>
      </c>
      <c r="W58" s="19">
        <v>0.0</v>
      </c>
      <c r="X58" s="19">
        <v>0.0</v>
      </c>
      <c r="Y58" s="19">
        <v>0.0</v>
      </c>
      <c r="Z58" s="19">
        <v>1.0</v>
      </c>
      <c r="AA58" s="19">
        <v>1.0</v>
      </c>
      <c r="AB58" s="13">
        <f t="shared" si="14"/>
        <v>14</v>
      </c>
    </row>
    <row r="59" ht="12.75" customHeight="1">
      <c r="A59" s="18"/>
      <c r="B59" s="49">
        <v>5.0</v>
      </c>
      <c r="C59" s="50" t="s">
        <v>52</v>
      </c>
      <c r="D59" s="51"/>
      <c r="E59" s="19">
        <v>0.0</v>
      </c>
      <c r="F59" s="19">
        <v>0.0</v>
      </c>
      <c r="G59" s="19">
        <v>1.0</v>
      </c>
      <c r="H59" s="19">
        <v>0.0</v>
      </c>
      <c r="I59" s="19">
        <v>1.0</v>
      </c>
      <c r="J59" s="19">
        <v>2.0</v>
      </c>
      <c r="K59" s="19">
        <v>2.0</v>
      </c>
      <c r="L59" s="19">
        <v>0.0</v>
      </c>
      <c r="M59" s="19">
        <v>0.0</v>
      </c>
      <c r="N59" s="19">
        <v>1.0</v>
      </c>
      <c r="O59" s="19">
        <v>0.0</v>
      </c>
      <c r="P59" s="19">
        <v>0.0</v>
      </c>
      <c r="Q59" s="19">
        <v>0.0</v>
      </c>
      <c r="R59" s="19">
        <v>1.0</v>
      </c>
      <c r="S59" s="19">
        <v>0.0</v>
      </c>
      <c r="T59" s="19">
        <v>1.0</v>
      </c>
      <c r="U59" s="19">
        <v>0.0</v>
      </c>
      <c r="V59" s="19">
        <v>0.0</v>
      </c>
      <c r="W59" s="19">
        <v>0.0</v>
      </c>
      <c r="X59" s="19">
        <v>0.0</v>
      </c>
      <c r="Y59" s="19">
        <v>0.0</v>
      </c>
      <c r="Z59" s="19">
        <v>0.0</v>
      </c>
      <c r="AA59" s="19">
        <v>2.0</v>
      </c>
      <c r="AB59" s="13">
        <f t="shared" si="14"/>
        <v>11</v>
      </c>
    </row>
    <row r="60" ht="12.75" customHeight="1">
      <c r="A60" s="18"/>
      <c r="B60" s="49">
        <v>6.0</v>
      </c>
      <c r="C60" s="50" t="s">
        <v>53</v>
      </c>
      <c r="D60" s="51"/>
      <c r="E60" s="19">
        <v>0.0</v>
      </c>
      <c r="F60" s="19">
        <v>1.0</v>
      </c>
      <c r="G60" s="19">
        <v>1.0</v>
      </c>
      <c r="H60" s="19">
        <v>1.0</v>
      </c>
      <c r="I60" s="19">
        <v>0.0</v>
      </c>
      <c r="J60" s="19">
        <v>0.0</v>
      </c>
      <c r="K60" s="19">
        <v>3.0</v>
      </c>
      <c r="L60" s="19">
        <v>0.0</v>
      </c>
      <c r="M60" s="19">
        <v>0.0</v>
      </c>
      <c r="N60" s="19">
        <v>0.0</v>
      </c>
      <c r="O60" s="19">
        <v>0.0</v>
      </c>
      <c r="P60" s="19">
        <v>0.0</v>
      </c>
      <c r="Q60" s="19">
        <v>0.0</v>
      </c>
      <c r="R60" s="19">
        <v>0.0</v>
      </c>
      <c r="S60" s="19">
        <v>2.0</v>
      </c>
      <c r="T60" s="19">
        <v>1.0</v>
      </c>
      <c r="U60" s="19">
        <v>1.0</v>
      </c>
      <c r="V60" s="19">
        <v>0.0</v>
      </c>
      <c r="W60" s="19">
        <v>0.0</v>
      </c>
      <c r="X60" s="19">
        <v>1.0</v>
      </c>
      <c r="Y60" s="19">
        <v>0.0</v>
      </c>
      <c r="Z60" s="19">
        <v>0.0</v>
      </c>
      <c r="AA60" s="19">
        <v>0.0</v>
      </c>
      <c r="AB60" s="13">
        <f t="shared" si="14"/>
        <v>11</v>
      </c>
    </row>
    <row r="61" ht="12.75" customHeight="1">
      <c r="A61" s="19" t="s">
        <v>15</v>
      </c>
      <c r="B61" s="47" t="s">
        <v>46</v>
      </c>
      <c r="C61" s="15"/>
      <c r="D61" s="16"/>
      <c r="E61" s="56">
        <f t="shared" ref="E61:AA61" si="16">SUM(E54:E60)</f>
        <v>12</v>
      </c>
      <c r="F61" s="56">
        <f t="shared" si="16"/>
        <v>9</v>
      </c>
      <c r="G61" s="56">
        <f t="shared" si="16"/>
        <v>8</v>
      </c>
      <c r="H61" s="56">
        <f t="shared" si="16"/>
        <v>9</v>
      </c>
      <c r="I61" s="56">
        <f t="shared" si="16"/>
        <v>21</v>
      </c>
      <c r="J61" s="56">
        <f t="shared" si="16"/>
        <v>21</v>
      </c>
      <c r="K61" s="56">
        <f t="shared" si="16"/>
        <v>22</v>
      </c>
      <c r="L61" s="56">
        <f t="shared" si="16"/>
        <v>9</v>
      </c>
      <c r="M61" s="56">
        <f t="shared" si="16"/>
        <v>22</v>
      </c>
      <c r="N61" s="56">
        <f t="shared" si="16"/>
        <v>28</v>
      </c>
      <c r="O61" s="56">
        <f t="shared" si="16"/>
        <v>11</v>
      </c>
      <c r="P61" s="56">
        <f t="shared" si="16"/>
        <v>14</v>
      </c>
      <c r="Q61" s="56">
        <f t="shared" si="16"/>
        <v>15</v>
      </c>
      <c r="R61" s="56">
        <f t="shared" si="16"/>
        <v>9</v>
      </c>
      <c r="S61" s="56">
        <f t="shared" si="16"/>
        <v>14</v>
      </c>
      <c r="T61" s="56">
        <f t="shared" si="16"/>
        <v>21</v>
      </c>
      <c r="U61" s="56">
        <f t="shared" si="16"/>
        <v>18</v>
      </c>
      <c r="V61" s="56">
        <f t="shared" si="16"/>
        <v>10</v>
      </c>
      <c r="W61" s="56">
        <f t="shared" si="16"/>
        <v>9</v>
      </c>
      <c r="X61" s="56">
        <f t="shared" si="16"/>
        <v>22</v>
      </c>
      <c r="Y61" s="56">
        <f t="shared" si="16"/>
        <v>19</v>
      </c>
      <c r="Z61" s="56">
        <f t="shared" si="16"/>
        <v>16</v>
      </c>
      <c r="AA61" s="56">
        <f t="shared" si="16"/>
        <v>11</v>
      </c>
      <c r="AB61" s="13">
        <f t="shared" si="14"/>
        <v>350</v>
      </c>
    </row>
    <row r="62" ht="12.75" customHeight="1">
      <c r="A62" s="57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13">
        <f t="shared" si="14"/>
        <v>0</v>
      </c>
    </row>
    <row r="63" ht="12.75" customHeight="1">
      <c r="A63" s="30" t="s">
        <v>37</v>
      </c>
      <c r="B63" s="47" t="s">
        <v>21</v>
      </c>
      <c r="C63" s="48" t="s">
        <v>54</v>
      </c>
      <c r="D63" s="16"/>
      <c r="E63" s="19">
        <v>10.0</v>
      </c>
      <c r="F63" s="19">
        <v>6.0</v>
      </c>
      <c r="G63" s="19">
        <v>6.0</v>
      </c>
      <c r="H63" s="19">
        <v>5.0</v>
      </c>
      <c r="I63" s="19">
        <v>6.0</v>
      </c>
      <c r="J63" s="19">
        <v>4.0</v>
      </c>
      <c r="K63" s="19">
        <v>4.0</v>
      </c>
      <c r="L63" s="19">
        <v>5.0</v>
      </c>
      <c r="M63" s="19">
        <v>5.0</v>
      </c>
      <c r="N63" s="19">
        <v>9.0</v>
      </c>
      <c r="O63" s="19">
        <v>8.0</v>
      </c>
      <c r="P63" s="19">
        <v>12.0</v>
      </c>
      <c r="Q63" s="19">
        <v>12.0</v>
      </c>
      <c r="R63" s="19">
        <v>9.0</v>
      </c>
      <c r="S63" s="19">
        <v>6.0</v>
      </c>
      <c r="T63" s="19">
        <v>3.0</v>
      </c>
      <c r="U63" s="19">
        <v>3.0</v>
      </c>
      <c r="V63" s="19">
        <v>9.0</v>
      </c>
      <c r="W63" s="19">
        <v>8.0</v>
      </c>
      <c r="X63" s="19">
        <v>4.0</v>
      </c>
      <c r="Y63" s="19">
        <v>6.0</v>
      </c>
      <c r="Z63" s="19">
        <v>6.0</v>
      </c>
      <c r="AA63" s="19">
        <v>5.0</v>
      </c>
      <c r="AB63" s="13">
        <f t="shared" si="14"/>
        <v>151</v>
      </c>
    </row>
    <row r="64" ht="12.75" customHeight="1">
      <c r="A64" s="30" t="s">
        <v>39</v>
      </c>
      <c r="B64" s="49">
        <v>1.0</v>
      </c>
      <c r="C64" s="50" t="s">
        <v>55</v>
      </c>
      <c r="D64" s="51"/>
      <c r="E64" s="19">
        <v>13.0</v>
      </c>
      <c r="F64" s="19">
        <v>24.0</v>
      </c>
      <c r="G64" s="19">
        <v>3.0</v>
      </c>
      <c r="H64" s="19">
        <v>7.0</v>
      </c>
      <c r="I64" s="19">
        <v>6.0</v>
      </c>
      <c r="J64" s="19">
        <v>13.0</v>
      </c>
      <c r="K64" s="19">
        <v>0.0</v>
      </c>
      <c r="L64" s="19">
        <v>6.0</v>
      </c>
      <c r="M64" s="19">
        <v>3.0</v>
      </c>
      <c r="N64" s="19">
        <v>3.0</v>
      </c>
      <c r="O64" s="19">
        <v>5.0</v>
      </c>
      <c r="P64" s="19">
        <v>7.0</v>
      </c>
      <c r="Q64" s="19">
        <v>3.0</v>
      </c>
      <c r="R64" s="19">
        <v>9.0</v>
      </c>
      <c r="S64" s="19">
        <v>14.0</v>
      </c>
      <c r="T64" s="19">
        <v>1.0</v>
      </c>
      <c r="U64" s="19">
        <v>0.0</v>
      </c>
      <c r="V64" s="19">
        <v>1.0</v>
      </c>
      <c r="W64" s="19">
        <v>2.0</v>
      </c>
      <c r="X64" s="19">
        <v>1.0</v>
      </c>
      <c r="Y64" s="19">
        <v>4.0</v>
      </c>
      <c r="Z64" s="19">
        <v>7.0</v>
      </c>
      <c r="AA64" s="19">
        <v>1.0</v>
      </c>
      <c r="AB64" s="13">
        <f t="shared" si="14"/>
        <v>133</v>
      </c>
    </row>
    <row r="65" ht="12.75" customHeight="1">
      <c r="A65" s="18"/>
      <c r="B65" s="49">
        <v>2.0</v>
      </c>
      <c r="C65" s="50" t="s">
        <v>56</v>
      </c>
      <c r="D65" s="51"/>
      <c r="E65" s="19">
        <v>1.0</v>
      </c>
      <c r="F65" s="19">
        <v>13.0</v>
      </c>
      <c r="G65" s="19">
        <v>16.0</v>
      </c>
      <c r="H65" s="19">
        <v>30.0</v>
      </c>
      <c r="I65" s="19">
        <v>7.0</v>
      </c>
      <c r="J65" s="19">
        <v>6.0</v>
      </c>
      <c r="K65" s="19">
        <v>1.0</v>
      </c>
      <c r="L65" s="19">
        <v>5.0</v>
      </c>
      <c r="M65" s="19">
        <v>3.0</v>
      </c>
      <c r="N65" s="19">
        <v>1.0</v>
      </c>
      <c r="O65" s="19">
        <v>9.0</v>
      </c>
      <c r="P65" s="19">
        <v>13.0</v>
      </c>
      <c r="Q65" s="19">
        <v>12.0</v>
      </c>
      <c r="R65" s="19">
        <v>6.0</v>
      </c>
      <c r="S65" s="19">
        <v>41.0</v>
      </c>
      <c r="T65" s="19">
        <v>0.0</v>
      </c>
      <c r="U65" s="19">
        <v>0.0</v>
      </c>
      <c r="V65" s="19">
        <v>4.0</v>
      </c>
      <c r="W65" s="19">
        <v>5.0</v>
      </c>
      <c r="X65" s="19">
        <v>7.0</v>
      </c>
      <c r="Y65" s="19">
        <v>2.0</v>
      </c>
      <c r="Z65" s="19">
        <v>5.0</v>
      </c>
      <c r="AA65" s="19">
        <v>4.0</v>
      </c>
      <c r="AB65" s="13">
        <f t="shared" si="14"/>
        <v>191</v>
      </c>
    </row>
    <row r="66" ht="12.75" customHeight="1">
      <c r="A66" s="18"/>
      <c r="B66" s="49">
        <v>3.0</v>
      </c>
      <c r="C66" s="50" t="s">
        <v>57</v>
      </c>
      <c r="D66" s="51"/>
      <c r="E66" s="19">
        <v>5.0</v>
      </c>
      <c r="F66" s="19">
        <v>1.0</v>
      </c>
      <c r="G66" s="19">
        <v>10.0</v>
      </c>
      <c r="H66" s="19">
        <v>4.0</v>
      </c>
      <c r="I66" s="19">
        <v>34.0</v>
      </c>
      <c r="J66" s="19">
        <v>4.0</v>
      </c>
      <c r="K66" s="19">
        <v>5.0</v>
      </c>
      <c r="L66" s="19">
        <v>18.0</v>
      </c>
      <c r="M66" s="19">
        <v>1.0</v>
      </c>
      <c r="N66" s="19">
        <v>20.0</v>
      </c>
      <c r="O66" s="19">
        <v>7.0</v>
      </c>
      <c r="P66" s="19">
        <v>10.0</v>
      </c>
      <c r="Q66" s="19">
        <v>17.0</v>
      </c>
      <c r="R66" s="19">
        <v>21.0</v>
      </c>
      <c r="S66" s="19">
        <v>15.0</v>
      </c>
      <c r="T66" s="19">
        <v>5.0</v>
      </c>
      <c r="U66" s="19">
        <v>1.0</v>
      </c>
      <c r="V66" s="19">
        <v>6.0</v>
      </c>
      <c r="W66" s="19">
        <v>24.0</v>
      </c>
      <c r="X66" s="19">
        <v>15.0</v>
      </c>
      <c r="Y66" s="19">
        <v>6.0</v>
      </c>
      <c r="Z66" s="19">
        <v>13.0</v>
      </c>
      <c r="AA66" s="19">
        <v>6.0</v>
      </c>
      <c r="AB66" s="13">
        <f t="shared" si="14"/>
        <v>248</v>
      </c>
    </row>
    <row r="67" ht="15.0" customHeight="1">
      <c r="A67" s="18"/>
      <c r="B67" s="49">
        <v>4.0</v>
      </c>
      <c r="C67" s="50" t="s">
        <v>58</v>
      </c>
      <c r="D67" s="51"/>
      <c r="E67" s="19">
        <v>0.0</v>
      </c>
      <c r="F67" s="19">
        <v>0.0</v>
      </c>
      <c r="G67" s="19">
        <v>0.0</v>
      </c>
      <c r="H67" s="19">
        <v>0.0</v>
      </c>
      <c r="I67" s="19">
        <v>2.0</v>
      </c>
      <c r="J67" s="19">
        <v>0.0</v>
      </c>
      <c r="K67" s="19">
        <v>1.0</v>
      </c>
      <c r="L67" s="19">
        <v>0.0</v>
      </c>
      <c r="M67" s="19">
        <v>0.0</v>
      </c>
      <c r="N67" s="19">
        <v>0.0</v>
      </c>
      <c r="O67" s="19">
        <v>0.0</v>
      </c>
      <c r="P67" s="19">
        <v>0.0</v>
      </c>
      <c r="Q67" s="19">
        <v>0.0</v>
      </c>
      <c r="R67" s="19">
        <v>0.0</v>
      </c>
      <c r="S67" s="19">
        <v>1.0</v>
      </c>
      <c r="T67" s="19">
        <v>0.0</v>
      </c>
      <c r="U67" s="19">
        <v>1.0</v>
      </c>
      <c r="V67" s="19">
        <v>1.0</v>
      </c>
      <c r="W67" s="19">
        <v>0.0</v>
      </c>
      <c r="X67" s="19">
        <v>0.0</v>
      </c>
      <c r="Y67" s="19">
        <v>3.0</v>
      </c>
      <c r="Z67" s="19">
        <v>1.0</v>
      </c>
      <c r="AA67" s="19">
        <v>0.0</v>
      </c>
      <c r="AB67" s="13">
        <f t="shared" si="14"/>
        <v>10</v>
      </c>
    </row>
    <row r="68" ht="12.75" customHeight="1">
      <c r="A68" s="18"/>
      <c r="B68" s="49">
        <v>5.0</v>
      </c>
      <c r="C68" s="50" t="s">
        <v>59</v>
      </c>
      <c r="D68" s="51"/>
      <c r="E68" s="19">
        <v>1.0</v>
      </c>
      <c r="F68" s="19">
        <v>1.0</v>
      </c>
      <c r="G68" s="19">
        <v>1.0</v>
      </c>
      <c r="H68" s="19">
        <v>0.0</v>
      </c>
      <c r="I68" s="19">
        <v>0.0</v>
      </c>
      <c r="J68" s="19">
        <v>0.0</v>
      </c>
      <c r="K68" s="19">
        <v>0.0</v>
      </c>
      <c r="L68" s="19">
        <v>1.0</v>
      </c>
      <c r="M68" s="19">
        <v>0.0</v>
      </c>
      <c r="N68" s="19">
        <v>1.0</v>
      </c>
      <c r="O68" s="19">
        <v>0.0</v>
      </c>
      <c r="P68" s="19">
        <v>0.0</v>
      </c>
      <c r="Q68" s="19">
        <v>1.0</v>
      </c>
      <c r="R68" s="19">
        <v>2.0</v>
      </c>
      <c r="S68" s="19">
        <v>1.0</v>
      </c>
      <c r="T68" s="19">
        <v>0.0</v>
      </c>
      <c r="U68" s="19">
        <v>0.0</v>
      </c>
      <c r="V68" s="19">
        <v>0.0</v>
      </c>
      <c r="W68" s="19">
        <v>0.0</v>
      </c>
      <c r="X68" s="19">
        <v>0.0</v>
      </c>
      <c r="Y68" s="19">
        <v>1.0</v>
      </c>
      <c r="Z68" s="19">
        <v>0.0</v>
      </c>
      <c r="AA68" s="19">
        <v>0.0</v>
      </c>
      <c r="AB68" s="13">
        <f t="shared" si="14"/>
        <v>10</v>
      </c>
    </row>
    <row r="69" ht="12.75" customHeight="1">
      <c r="A69" s="18"/>
      <c r="B69" s="49">
        <v>6.0</v>
      </c>
      <c r="C69" s="50" t="s">
        <v>60</v>
      </c>
      <c r="D69" s="51"/>
      <c r="E69" s="19">
        <v>1.0</v>
      </c>
      <c r="F69" s="19">
        <v>0.0</v>
      </c>
      <c r="G69" s="19">
        <v>0.0</v>
      </c>
      <c r="H69" s="19">
        <v>0.0</v>
      </c>
      <c r="I69" s="19">
        <v>0.0</v>
      </c>
      <c r="J69" s="19">
        <v>0.0</v>
      </c>
      <c r="K69" s="19">
        <v>0.0</v>
      </c>
      <c r="L69" s="19">
        <v>1.0</v>
      </c>
      <c r="M69" s="19">
        <v>0.0</v>
      </c>
      <c r="N69" s="19">
        <v>0.0</v>
      </c>
      <c r="O69" s="19">
        <v>2.0</v>
      </c>
      <c r="P69" s="19">
        <v>2.0</v>
      </c>
      <c r="Q69" s="19">
        <v>1.0</v>
      </c>
      <c r="R69" s="19">
        <v>0.0</v>
      </c>
      <c r="S69" s="19">
        <v>0.0</v>
      </c>
      <c r="T69" s="19">
        <v>0.0</v>
      </c>
      <c r="U69" s="19">
        <v>1.0</v>
      </c>
      <c r="V69" s="19">
        <v>0.0</v>
      </c>
      <c r="W69" s="19">
        <v>0.0</v>
      </c>
      <c r="X69" s="19">
        <v>0.0</v>
      </c>
      <c r="Y69" s="19">
        <v>1.0</v>
      </c>
      <c r="Z69" s="19">
        <v>1.0</v>
      </c>
      <c r="AA69" s="19">
        <v>0.0</v>
      </c>
      <c r="AB69" s="13">
        <f t="shared" si="14"/>
        <v>10</v>
      </c>
    </row>
    <row r="70" ht="12.75" customHeight="1">
      <c r="A70" s="19" t="s">
        <v>15</v>
      </c>
      <c r="B70" s="47" t="s">
        <v>46</v>
      </c>
      <c r="C70" s="15"/>
      <c r="D70" s="16"/>
      <c r="E70" s="56">
        <f t="shared" ref="E70:AA70" si="17">SUM(E63:E69)</f>
        <v>31</v>
      </c>
      <c r="F70" s="56">
        <f t="shared" si="17"/>
        <v>45</v>
      </c>
      <c r="G70" s="56">
        <f t="shared" si="17"/>
        <v>36</v>
      </c>
      <c r="H70" s="56">
        <f t="shared" si="17"/>
        <v>46</v>
      </c>
      <c r="I70" s="56">
        <f t="shared" si="17"/>
        <v>55</v>
      </c>
      <c r="J70" s="56">
        <f t="shared" si="17"/>
        <v>27</v>
      </c>
      <c r="K70" s="56">
        <f t="shared" si="17"/>
        <v>11</v>
      </c>
      <c r="L70" s="56">
        <f t="shared" si="17"/>
        <v>36</v>
      </c>
      <c r="M70" s="56">
        <f t="shared" si="17"/>
        <v>12</v>
      </c>
      <c r="N70" s="56">
        <f t="shared" si="17"/>
        <v>34</v>
      </c>
      <c r="O70" s="56">
        <f t="shared" si="17"/>
        <v>31</v>
      </c>
      <c r="P70" s="56">
        <f t="shared" si="17"/>
        <v>44</v>
      </c>
      <c r="Q70" s="56">
        <f t="shared" si="17"/>
        <v>46</v>
      </c>
      <c r="R70" s="56">
        <f t="shared" si="17"/>
        <v>47</v>
      </c>
      <c r="S70" s="56">
        <f t="shared" si="17"/>
        <v>78</v>
      </c>
      <c r="T70" s="56">
        <f t="shared" si="17"/>
        <v>9</v>
      </c>
      <c r="U70" s="56">
        <f t="shared" si="17"/>
        <v>6</v>
      </c>
      <c r="V70" s="56">
        <f t="shared" si="17"/>
        <v>21</v>
      </c>
      <c r="W70" s="56">
        <f t="shared" si="17"/>
        <v>39</v>
      </c>
      <c r="X70" s="56">
        <f t="shared" si="17"/>
        <v>27</v>
      </c>
      <c r="Y70" s="56">
        <f t="shared" si="17"/>
        <v>23</v>
      </c>
      <c r="Z70" s="56">
        <f t="shared" si="17"/>
        <v>33</v>
      </c>
      <c r="AA70" s="56">
        <f t="shared" si="17"/>
        <v>16</v>
      </c>
      <c r="AB70" s="13">
        <f t="shared" si="14"/>
        <v>753</v>
      </c>
    </row>
    <row r="71" ht="12.75" customHeight="1">
      <c r="A71" s="57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13">
        <f t="shared" si="14"/>
        <v>0</v>
      </c>
    </row>
    <row r="72" ht="12.75" customHeight="1">
      <c r="A72" s="30" t="s">
        <v>37</v>
      </c>
      <c r="B72" s="47" t="s">
        <v>23</v>
      </c>
      <c r="C72" s="48" t="s">
        <v>61</v>
      </c>
      <c r="D72" s="16"/>
      <c r="E72" s="19">
        <v>2.0</v>
      </c>
      <c r="F72" s="19">
        <v>5.0</v>
      </c>
      <c r="G72" s="19">
        <v>2.0</v>
      </c>
      <c r="H72" s="19">
        <v>4.0</v>
      </c>
      <c r="I72" s="19">
        <v>3.0</v>
      </c>
      <c r="J72" s="19">
        <v>5.0</v>
      </c>
      <c r="K72" s="19">
        <v>4.0</v>
      </c>
      <c r="L72" s="19">
        <v>0.0</v>
      </c>
      <c r="M72" s="19">
        <v>3.0</v>
      </c>
      <c r="N72" s="19">
        <v>3.0</v>
      </c>
      <c r="O72" s="19">
        <v>1.0</v>
      </c>
      <c r="P72" s="19">
        <v>5.0</v>
      </c>
      <c r="Q72" s="19">
        <v>8.0</v>
      </c>
      <c r="R72" s="19">
        <v>0.0</v>
      </c>
      <c r="S72" s="19">
        <v>2.0</v>
      </c>
      <c r="T72" s="19">
        <v>0.0</v>
      </c>
      <c r="U72" s="19">
        <v>1.0</v>
      </c>
      <c r="V72" s="19">
        <v>1.0</v>
      </c>
      <c r="W72" s="19">
        <v>1.0</v>
      </c>
      <c r="X72" s="19">
        <v>1.0</v>
      </c>
      <c r="Y72" s="19">
        <v>5.0</v>
      </c>
      <c r="Z72" s="19">
        <v>3.0</v>
      </c>
      <c r="AA72" s="19">
        <v>2.0</v>
      </c>
      <c r="AB72" s="13">
        <f t="shared" si="14"/>
        <v>61</v>
      </c>
    </row>
    <row r="73" ht="12.75" customHeight="1">
      <c r="A73" s="30" t="s">
        <v>39</v>
      </c>
      <c r="B73" s="49">
        <v>1.0</v>
      </c>
      <c r="C73" s="50" t="s">
        <v>62</v>
      </c>
      <c r="D73" s="51"/>
      <c r="E73" s="19">
        <v>18.0</v>
      </c>
      <c r="F73" s="19">
        <v>18.0</v>
      </c>
      <c r="G73" s="19">
        <v>8.0</v>
      </c>
      <c r="H73" s="19">
        <v>25.0</v>
      </c>
      <c r="I73" s="19">
        <v>2.0</v>
      </c>
      <c r="J73" s="19">
        <v>24.0</v>
      </c>
      <c r="K73" s="19">
        <v>47.0</v>
      </c>
      <c r="L73" s="19">
        <v>7.0</v>
      </c>
      <c r="M73" s="19">
        <v>13.0</v>
      </c>
      <c r="N73" s="19">
        <v>8.0</v>
      </c>
      <c r="O73" s="19">
        <v>2.0</v>
      </c>
      <c r="P73" s="19">
        <v>7.0</v>
      </c>
      <c r="Q73" s="19">
        <v>27.0</v>
      </c>
      <c r="R73" s="19">
        <v>7.0</v>
      </c>
      <c r="S73" s="19">
        <v>3.0</v>
      </c>
      <c r="T73" s="19">
        <v>1.0</v>
      </c>
      <c r="U73" s="19">
        <v>35.0</v>
      </c>
      <c r="V73" s="19">
        <v>11.0</v>
      </c>
      <c r="W73" s="19">
        <v>0.0</v>
      </c>
      <c r="X73" s="19">
        <v>2.0</v>
      </c>
      <c r="Y73" s="19">
        <v>9.0</v>
      </c>
      <c r="Z73" s="19">
        <v>12.0</v>
      </c>
      <c r="AA73" s="19">
        <v>27.0</v>
      </c>
      <c r="AB73" s="13">
        <f t="shared" si="14"/>
        <v>313</v>
      </c>
    </row>
    <row r="74" ht="12.75" customHeight="1">
      <c r="A74" s="18"/>
      <c r="B74" s="49">
        <v>2.0</v>
      </c>
      <c r="C74" s="50" t="s">
        <v>63</v>
      </c>
      <c r="D74" s="51"/>
      <c r="E74" s="19">
        <v>0.0</v>
      </c>
      <c r="F74" s="19">
        <v>1.0</v>
      </c>
      <c r="G74" s="19">
        <v>0.0</v>
      </c>
      <c r="H74" s="19">
        <v>0.0</v>
      </c>
      <c r="I74" s="19">
        <v>1.0</v>
      </c>
      <c r="J74" s="19">
        <v>0.0</v>
      </c>
      <c r="K74" s="19">
        <v>0.0</v>
      </c>
      <c r="L74" s="19">
        <v>0.0</v>
      </c>
      <c r="M74" s="19">
        <v>0.0</v>
      </c>
      <c r="N74" s="19">
        <v>1.0</v>
      </c>
      <c r="O74" s="19">
        <v>1.0</v>
      </c>
      <c r="P74" s="19">
        <v>1.0</v>
      </c>
      <c r="Q74" s="19">
        <v>0.0</v>
      </c>
      <c r="R74" s="19">
        <v>1.0</v>
      </c>
      <c r="S74" s="19">
        <v>1.0</v>
      </c>
      <c r="T74" s="19">
        <v>0.0</v>
      </c>
      <c r="U74" s="19">
        <v>0.0</v>
      </c>
      <c r="V74" s="19">
        <v>1.0</v>
      </c>
      <c r="W74" s="19">
        <v>0.0</v>
      </c>
      <c r="X74" s="19">
        <v>0.0</v>
      </c>
      <c r="Y74" s="19">
        <v>1.0</v>
      </c>
      <c r="Z74" s="19">
        <v>0.0</v>
      </c>
      <c r="AA74" s="19">
        <v>0.0</v>
      </c>
      <c r="AB74" s="13">
        <f t="shared" si="14"/>
        <v>9</v>
      </c>
    </row>
    <row r="75" ht="12.75" customHeight="1">
      <c r="A75" s="18"/>
      <c r="B75" s="49">
        <v>3.0</v>
      </c>
      <c r="C75" s="50" t="s">
        <v>64</v>
      </c>
      <c r="D75" s="51"/>
      <c r="E75" s="19">
        <v>1.0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2.0</v>
      </c>
      <c r="P75" s="19">
        <v>1.0</v>
      </c>
      <c r="Q75" s="19">
        <v>0.0</v>
      </c>
      <c r="R75" s="19">
        <v>0.0</v>
      </c>
      <c r="S75" s="19">
        <v>0.0</v>
      </c>
      <c r="T75" s="19">
        <v>0.0</v>
      </c>
      <c r="U75" s="19">
        <v>0.0</v>
      </c>
      <c r="V75" s="19">
        <v>0.0</v>
      </c>
      <c r="W75" s="19">
        <v>0.0</v>
      </c>
      <c r="X75" s="19">
        <v>1.0</v>
      </c>
      <c r="Y75" s="19">
        <v>0.0</v>
      </c>
      <c r="Z75" s="19">
        <v>0.0</v>
      </c>
      <c r="AA75" s="19">
        <v>0.0</v>
      </c>
      <c r="AB75" s="13">
        <f t="shared" si="14"/>
        <v>5</v>
      </c>
    </row>
    <row r="76" ht="12.75" customHeight="1">
      <c r="A76" s="18"/>
      <c r="B76" s="49">
        <v>4.0</v>
      </c>
      <c r="C76" s="50" t="s">
        <v>65</v>
      </c>
      <c r="D76" s="51"/>
      <c r="E76" s="19">
        <v>1.0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19">
        <v>0.0</v>
      </c>
      <c r="U76" s="19">
        <v>2.0</v>
      </c>
      <c r="V76" s="19">
        <v>0.0</v>
      </c>
      <c r="W76" s="19">
        <v>0.0</v>
      </c>
      <c r="X76" s="19">
        <v>0.0</v>
      </c>
      <c r="Y76" s="19">
        <v>0.0</v>
      </c>
      <c r="Z76" s="19">
        <v>0.0</v>
      </c>
      <c r="AA76" s="19">
        <v>0.0</v>
      </c>
      <c r="AB76" s="13">
        <f t="shared" si="14"/>
        <v>3</v>
      </c>
    </row>
    <row r="77" ht="12.75" customHeight="1">
      <c r="A77" s="18"/>
      <c r="B77" s="49">
        <v>5.0</v>
      </c>
      <c r="C77" s="50" t="s">
        <v>66</v>
      </c>
      <c r="D77" s="51"/>
      <c r="E77" s="19">
        <v>0.0</v>
      </c>
      <c r="F77" s="19">
        <v>0.0</v>
      </c>
      <c r="G77" s="19">
        <v>0.0</v>
      </c>
      <c r="H77" s="19">
        <v>0.0</v>
      </c>
      <c r="I77" s="19">
        <v>0.0</v>
      </c>
      <c r="J77" s="19">
        <v>0.0</v>
      </c>
      <c r="K77" s="19">
        <v>0.0</v>
      </c>
      <c r="L77" s="19">
        <v>0.0</v>
      </c>
      <c r="M77" s="19">
        <v>0.0</v>
      </c>
      <c r="N77" s="19">
        <v>0.0</v>
      </c>
      <c r="O77" s="19">
        <v>1.0</v>
      </c>
      <c r="P77" s="19">
        <v>0.0</v>
      </c>
      <c r="Q77" s="19">
        <v>0.0</v>
      </c>
      <c r="R77" s="19">
        <v>0.0</v>
      </c>
      <c r="S77" s="19">
        <v>0.0</v>
      </c>
      <c r="T77" s="19">
        <v>0.0</v>
      </c>
      <c r="U77" s="19">
        <v>0.0</v>
      </c>
      <c r="V77" s="19">
        <v>0.0</v>
      </c>
      <c r="W77" s="19">
        <v>0.0</v>
      </c>
      <c r="X77" s="19">
        <v>0.0</v>
      </c>
      <c r="Y77" s="19">
        <v>0.0</v>
      </c>
      <c r="Z77" s="19">
        <v>0.0</v>
      </c>
      <c r="AA77" s="19">
        <v>0.0</v>
      </c>
      <c r="AB77" s="13">
        <f t="shared" si="14"/>
        <v>1</v>
      </c>
    </row>
    <row r="78" ht="12.75" customHeight="1">
      <c r="A78" s="18"/>
      <c r="B78" s="49">
        <v>6.0</v>
      </c>
      <c r="C78" s="50" t="s">
        <v>67</v>
      </c>
      <c r="D78" s="51"/>
      <c r="E78" s="19">
        <v>0.0</v>
      </c>
      <c r="F78" s="19">
        <v>0.0</v>
      </c>
      <c r="G78" s="19">
        <v>0.0</v>
      </c>
      <c r="H78" s="19">
        <v>0.0</v>
      </c>
      <c r="I78" s="19">
        <v>0.0</v>
      </c>
      <c r="J78" s="19">
        <v>0.0</v>
      </c>
      <c r="K78" s="19">
        <v>0.0</v>
      </c>
      <c r="L78" s="19">
        <v>0.0</v>
      </c>
      <c r="M78" s="19">
        <v>0.0</v>
      </c>
      <c r="N78" s="19">
        <v>0.0</v>
      </c>
      <c r="O78" s="19">
        <v>0.0</v>
      </c>
      <c r="P78" s="19">
        <v>0.0</v>
      </c>
      <c r="Q78" s="19">
        <v>0.0</v>
      </c>
      <c r="R78" s="19">
        <v>0.0</v>
      </c>
      <c r="S78" s="19">
        <v>0.0</v>
      </c>
      <c r="T78" s="19">
        <v>0.0</v>
      </c>
      <c r="U78" s="19">
        <v>0.0</v>
      </c>
      <c r="V78" s="19">
        <v>0.0</v>
      </c>
      <c r="W78" s="19">
        <v>0.0</v>
      </c>
      <c r="X78" s="19">
        <v>1.0</v>
      </c>
      <c r="Y78" s="19">
        <v>0.0</v>
      </c>
      <c r="Z78" s="19">
        <v>0.0</v>
      </c>
      <c r="AA78" s="19">
        <v>0.0</v>
      </c>
      <c r="AB78" s="13">
        <f t="shared" si="14"/>
        <v>1</v>
      </c>
    </row>
    <row r="79" ht="15.0" customHeight="1">
      <c r="A79" s="19" t="s">
        <v>15</v>
      </c>
      <c r="B79" s="47" t="s">
        <v>46</v>
      </c>
      <c r="C79" s="15"/>
      <c r="D79" s="16"/>
      <c r="E79" s="56">
        <f t="shared" ref="E79:AA79" si="18">SUM(E72:E78)</f>
        <v>22</v>
      </c>
      <c r="F79" s="56">
        <f t="shared" si="18"/>
        <v>24</v>
      </c>
      <c r="G79" s="56">
        <f t="shared" si="18"/>
        <v>10</v>
      </c>
      <c r="H79" s="56">
        <f t="shared" si="18"/>
        <v>29</v>
      </c>
      <c r="I79" s="56">
        <f t="shared" si="18"/>
        <v>6</v>
      </c>
      <c r="J79" s="56">
        <f t="shared" si="18"/>
        <v>29</v>
      </c>
      <c r="K79" s="56">
        <f t="shared" si="18"/>
        <v>51</v>
      </c>
      <c r="L79" s="56">
        <f t="shared" si="18"/>
        <v>7</v>
      </c>
      <c r="M79" s="56">
        <f t="shared" si="18"/>
        <v>16</v>
      </c>
      <c r="N79" s="56">
        <f t="shared" si="18"/>
        <v>12</v>
      </c>
      <c r="O79" s="56">
        <f t="shared" si="18"/>
        <v>7</v>
      </c>
      <c r="P79" s="56">
        <f t="shared" si="18"/>
        <v>14</v>
      </c>
      <c r="Q79" s="56">
        <f t="shared" si="18"/>
        <v>35</v>
      </c>
      <c r="R79" s="56">
        <f t="shared" si="18"/>
        <v>8</v>
      </c>
      <c r="S79" s="56">
        <f t="shared" si="18"/>
        <v>6</v>
      </c>
      <c r="T79" s="56">
        <f t="shared" si="18"/>
        <v>1</v>
      </c>
      <c r="U79" s="56">
        <f t="shared" si="18"/>
        <v>38</v>
      </c>
      <c r="V79" s="56">
        <f t="shared" si="18"/>
        <v>13</v>
      </c>
      <c r="W79" s="56">
        <f t="shared" si="18"/>
        <v>1</v>
      </c>
      <c r="X79" s="56">
        <f t="shared" si="18"/>
        <v>5</v>
      </c>
      <c r="Y79" s="56">
        <f t="shared" si="18"/>
        <v>15</v>
      </c>
      <c r="Z79" s="56">
        <f t="shared" si="18"/>
        <v>15</v>
      </c>
      <c r="AA79" s="56">
        <f t="shared" si="18"/>
        <v>29</v>
      </c>
      <c r="AB79" s="13">
        <f t="shared" si="14"/>
        <v>393</v>
      </c>
    </row>
    <row r="80" ht="12.75" customHeight="1">
      <c r="A80" s="57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13">
        <f t="shared" si="14"/>
        <v>0</v>
      </c>
    </row>
    <row r="81" ht="12.75" customHeight="1">
      <c r="A81" s="30" t="s">
        <v>37</v>
      </c>
      <c r="B81" s="47" t="s">
        <v>68</v>
      </c>
      <c r="C81" s="48" t="s">
        <v>69</v>
      </c>
      <c r="D81" s="16"/>
      <c r="E81" s="19">
        <v>2.0</v>
      </c>
      <c r="F81" s="19">
        <v>0.0</v>
      </c>
      <c r="G81" s="19">
        <v>3.0</v>
      </c>
      <c r="H81" s="19">
        <v>0.0</v>
      </c>
      <c r="I81" s="19">
        <v>2.0</v>
      </c>
      <c r="J81" s="19">
        <v>3.0</v>
      </c>
      <c r="K81" s="19">
        <v>2.0</v>
      </c>
      <c r="L81" s="19">
        <v>0.0</v>
      </c>
      <c r="M81" s="19">
        <v>0.0</v>
      </c>
      <c r="N81" s="19">
        <v>0.0</v>
      </c>
      <c r="O81" s="19">
        <v>4.0</v>
      </c>
      <c r="P81" s="19">
        <v>2.0</v>
      </c>
      <c r="Q81" s="19">
        <v>6.0</v>
      </c>
      <c r="R81" s="19">
        <v>0.0</v>
      </c>
      <c r="S81" s="19">
        <v>2.0</v>
      </c>
      <c r="T81" s="19">
        <v>1.0</v>
      </c>
      <c r="U81" s="19">
        <v>0.0</v>
      </c>
      <c r="V81" s="19">
        <v>2.0</v>
      </c>
      <c r="W81" s="19">
        <v>7.0</v>
      </c>
      <c r="X81" s="19">
        <v>1.0</v>
      </c>
      <c r="Y81" s="19">
        <v>2.0</v>
      </c>
      <c r="Z81" s="19">
        <v>1.0</v>
      </c>
      <c r="AA81" s="19">
        <v>1.0</v>
      </c>
      <c r="AB81" s="13">
        <f t="shared" si="14"/>
        <v>41</v>
      </c>
    </row>
    <row r="82" ht="12.75" customHeight="1">
      <c r="A82" s="30" t="s">
        <v>39</v>
      </c>
      <c r="B82" s="49">
        <v>1.0</v>
      </c>
      <c r="C82" s="50" t="s">
        <v>70</v>
      </c>
      <c r="D82" s="51"/>
      <c r="E82" s="19">
        <v>3.0</v>
      </c>
      <c r="F82" s="19">
        <v>14.0</v>
      </c>
      <c r="G82" s="19">
        <v>19.0</v>
      </c>
      <c r="H82" s="19">
        <v>8.0</v>
      </c>
      <c r="I82" s="19">
        <v>14.0</v>
      </c>
      <c r="J82" s="19">
        <v>32.0</v>
      </c>
      <c r="K82" s="19">
        <v>6.0</v>
      </c>
      <c r="L82" s="19">
        <v>1.0</v>
      </c>
      <c r="M82" s="19">
        <v>1.0</v>
      </c>
      <c r="N82" s="19">
        <v>2.0</v>
      </c>
      <c r="O82" s="19">
        <v>3.0</v>
      </c>
      <c r="P82" s="19">
        <v>3.0</v>
      </c>
      <c r="Q82" s="19">
        <v>5.0</v>
      </c>
      <c r="R82" s="19">
        <v>3.0</v>
      </c>
      <c r="S82" s="19">
        <v>3.0</v>
      </c>
      <c r="T82" s="19">
        <v>7.0</v>
      </c>
      <c r="U82" s="19">
        <v>1.0</v>
      </c>
      <c r="V82" s="19">
        <v>7.0</v>
      </c>
      <c r="W82" s="19">
        <v>28.0</v>
      </c>
      <c r="X82" s="19">
        <v>3.0</v>
      </c>
      <c r="Y82" s="19">
        <v>16.0</v>
      </c>
      <c r="Z82" s="19">
        <v>1.0</v>
      </c>
      <c r="AA82" s="19">
        <v>1.0</v>
      </c>
      <c r="AB82" s="13">
        <f t="shared" si="14"/>
        <v>181</v>
      </c>
    </row>
    <row r="83" ht="12.75" customHeight="1">
      <c r="A83" s="18"/>
      <c r="B83" s="49">
        <v>2.0</v>
      </c>
      <c r="C83" s="50" t="s">
        <v>71</v>
      </c>
      <c r="D83" s="51"/>
      <c r="E83" s="19">
        <v>0.0</v>
      </c>
      <c r="F83" s="19">
        <v>0.0</v>
      </c>
      <c r="G83" s="19">
        <v>0.0</v>
      </c>
      <c r="H83" s="19">
        <v>0.0</v>
      </c>
      <c r="I83" s="19">
        <v>0.0</v>
      </c>
      <c r="J83" s="19">
        <v>1.0</v>
      </c>
      <c r="K83" s="19">
        <v>0.0</v>
      </c>
      <c r="L83" s="19">
        <v>0.0</v>
      </c>
      <c r="M83" s="19">
        <v>0.0</v>
      </c>
      <c r="N83" s="19">
        <v>0.0</v>
      </c>
      <c r="O83" s="19">
        <v>0.0</v>
      </c>
      <c r="P83" s="19">
        <v>0.0</v>
      </c>
      <c r="Q83" s="19">
        <v>1.0</v>
      </c>
      <c r="R83" s="19">
        <v>0.0</v>
      </c>
      <c r="S83" s="19">
        <v>0.0</v>
      </c>
      <c r="T83" s="19">
        <v>1.0</v>
      </c>
      <c r="U83" s="19">
        <v>0.0</v>
      </c>
      <c r="V83" s="19">
        <v>0.0</v>
      </c>
      <c r="W83" s="19">
        <v>0.0</v>
      </c>
      <c r="X83" s="19">
        <v>0.0</v>
      </c>
      <c r="Y83" s="19">
        <v>2.0</v>
      </c>
      <c r="Z83" s="19">
        <v>1.0</v>
      </c>
      <c r="AA83" s="19">
        <v>0.0</v>
      </c>
      <c r="AB83" s="13">
        <f t="shared" si="14"/>
        <v>6</v>
      </c>
    </row>
    <row r="84" ht="12.75" customHeight="1">
      <c r="A84" s="18"/>
      <c r="B84" s="49">
        <v>3.0</v>
      </c>
      <c r="C84" s="50" t="s">
        <v>72</v>
      </c>
      <c r="D84" s="51"/>
      <c r="E84" s="19">
        <v>0.0</v>
      </c>
      <c r="F84" s="19">
        <v>0.0</v>
      </c>
      <c r="G84" s="19">
        <v>1.0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9">
        <v>1.0</v>
      </c>
      <c r="Q84" s="19">
        <v>0.0</v>
      </c>
      <c r="R84" s="19">
        <v>0.0</v>
      </c>
      <c r="S84" s="19">
        <v>0.0</v>
      </c>
      <c r="T84" s="19">
        <v>0.0</v>
      </c>
      <c r="U84" s="19">
        <v>0.0</v>
      </c>
      <c r="V84" s="19">
        <v>0.0</v>
      </c>
      <c r="W84" s="19">
        <v>0.0</v>
      </c>
      <c r="X84" s="19">
        <v>0.0</v>
      </c>
      <c r="Y84" s="19">
        <v>0.0</v>
      </c>
      <c r="Z84" s="19">
        <v>0.0</v>
      </c>
      <c r="AA84" s="19">
        <v>0.0</v>
      </c>
      <c r="AB84" s="13">
        <f t="shared" si="14"/>
        <v>2</v>
      </c>
    </row>
    <row r="85" ht="12.75" customHeight="1">
      <c r="A85" s="18"/>
      <c r="B85" s="49">
        <v>4.0</v>
      </c>
      <c r="C85" s="50" t="s">
        <v>73</v>
      </c>
      <c r="D85" s="51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9">
        <v>0.0</v>
      </c>
      <c r="V85" s="19">
        <v>0.0</v>
      </c>
      <c r="W85" s="19">
        <v>0.0</v>
      </c>
      <c r="X85" s="19">
        <v>0.0</v>
      </c>
      <c r="Y85" s="19">
        <v>0.0</v>
      </c>
      <c r="Z85" s="19">
        <v>0.0</v>
      </c>
      <c r="AA85" s="19">
        <v>0.0</v>
      </c>
      <c r="AB85" s="13">
        <f t="shared" si="14"/>
        <v>0</v>
      </c>
    </row>
    <row r="86" ht="12.75" customHeight="1">
      <c r="A86" s="18"/>
      <c r="B86" s="49">
        <v>5.0</v>
      </c>
      <c r="C86" s="50" t="s">
        <v>74</v>
      </c>
      <c r="D86" s="51"/>
      <c r="E86" s="19">
        <v>2.0</v>
      </c>
      <c r="F86" s="19">
        <v>1.0</v>
      </c>
      <c r="G86" s="19">
        <v>9.0</v>
      </c>
      <c r="H86" s="19">
        <v>7.0</v>
      </c>
      <c r="I86" s="19">
        <v>3.0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1.0</v>
      </c>
      <c r="P86" s="19">
        <v>0.0</v>
      </c>
      <c r="Q86" s="19">
        <v>1.0</v>
      </c>
      <c r="R86" s="19">
        <v>0.0</v>
      </c>
      <c r="S86" s="19">
        <v>1.0</v>
      </c>
      <c r="T86" s="19">
        <v>0.0</v>
      </c>
      <c r="U86" s="19">
        <v>0.0</v>
      </c>
      <c r="V86" s="19">
        <v>0.0</v>
      </c>
      <c r="W86" s="19">
        <v>1.0</v>
      </c>
      <c r="X86" s="19">
        <v>0.0</v>
      </c>
      <c r="Y86" s="19">
        <v>1.0</v>
      </c>
      <c r="Z86" s="19">
        <v>0.0</v>
      </c>
      <c r="AA86" s="19">
        <v>0.0</v>
      </c>
      <c r="AB86" s="13">
        <f t="shared" si="14"/>
        <v>27</v>
      </c>
    </row>
    <row r="87" ht="12.75" customHeight="1">
      <c r="A87" s="18"/>
      <c r="B87" s="49">
        <v>6.0</v>
      </c>
      <c r="C87" s="50" t="s">
        <v>75</v>
      </c>
      <c r="D87" s="51"/>
      <c r="E87" s="19">
        <v>0.0</v>
      </c>
      <c r="F87" s="19">
        <v>0.0</v>
      </c>
      <c r="G87" s="19">
        <v>0.0</v>
      </c>
      <c r="H87" s="19">
        <v>1.0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1.0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3">
        <f t="shared" si="14"/>
        <v>2</v>
      </c>
    </row>
    <row r="88" ht="12.75" customHeight="1">
      <c r="A88" s="19" t="s">
        <v>15</v>
      </c>
      <c r="B88" s="47" t="s">
        <v>46</v>
      </c>
      <c r="C88" s="15"/>
      <c r="D88" s="16"/>
      <c r="E88" s="56">
        <f t="shared" ref="E88:AA88" si="19">SUM(E81:E87)</f>
        <v>7</v>
      </c>
      <c r="F88" s="56">
        <f t="shared" si="19"/>
        <v>15</v>
      </c>
      <c r="G88" s="56">
        <f t="shared" si="19"/>
        <v>32</v>
      </c>
      <c r="H88" s="56">
        <f t="shared" si="19"/>
        <v>16</v>
      </c>
      <c r="I88" s="56">
        <f t="shared" si="19"/>
        <v>19</v>
      </c>
      <c r="J88" s="56">
        <f t="shared" si="19"/>
        <v>36</v>
      </c>
      <c r="K88" s="56">
        <f t="shared" si="19"/>
        <v>8</v>
      </c>
      <c r="L88" s="56">
        <f t="shared" si="19"/>
        <v>1</v>
      </c>
      <c r="M88" s="56">
        <f t="shared" si="19"/>
        <v>1</v>
      </c>
      <c r="N88" s="56">
        <f t="shared" si="19"/>
        <v>2</v>
      </c>
      <c r="O88" s="56">
        <f t="shared" si="19"/>
        <v>8</v>
      </c>
      <c r="P88" s="56">
        <f t="shared" si="19"/>
        <v>6</v>
      </c>
      <c r="Q88" s="56">
        <f t="shared" si="19"/>
        <v>13</v>
      </c>
      <c r="R88" s="56">
        <f t="shared" si="19"/>
        <v>4</v>
      </c>
      <c r="S88" s="56">
        <f t="shared" si="19"/>
        <v>6</v>
      </c>
      <c r="T88" s="56">
        <f t="shared" si="19"/>
        <v>9</v>
      </c>
      <c r="U88" s="56">
        <f t="shared" si="19"/>
        <v>1</v>
      </c>
      <c r="V88" s="56">
        <f t="shared" si="19"/>
        <v>9</v>
      </c>
      <c r="W88" s="56">
        <f t="shared" si="19"/>
        <v>36</v>
      </c>
      <c r="X88" s="56">
        <f t="shared" si="19"/>
        <v>4</v>
      </c>
      <c r="Y88" s="56">
        <f t="shared" si="19"/>
        <v>21</v>
      </c>
      <c r="Z88" s="56">
        <f t="shared" si="19"/>
        <v>3</v>
      </c>
      <c r="AA88" s="56">
        <f t="shared" si="19"/>
        <v>2</v>
      </c>
      <c r="AB88" s="13">
        <f t="shared" si="14"/>
        <v>259</v>
      </c>
    </row>
    <row r="89" ht="12.75" customHeight="1">
      <c r="A89" s="57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13">
        <f t="shared" si="14"/>
        <v>0</v>
      </c>
    </row>
    <row r="90" ht="12.75" customHeight="1">
      <c r="A90" s="30" t="s">
        <v>37</v>
      </c>
      <c r="B90" s="47" t="s">
        <v>76</v>
      </c>
      <c r="C90" s="48" t="s">
        <v>77</v>
      </c>
      <c r="D90" s="16"/>
      <c r="E90" s="19">
        <v>1.0</v>
      </c>
      <c r="F90" s="19">
        <v>0.0</v>
      </c>
      <c r="G90" s="19">
        <v>0.0</v>
      </c>
      <c r="H90" s="19">
        <v>0.0</v>
      </c>
      <c r="I90" s="19">
        <v>0.0</v>
      </c>
      <c r="J90" s="19">
        <v>1.0</v>
      </c>
      <c r="K90" s="19">
        <v>0.0</v>
      </c>
      <c r="L90" s="19">
        <v>0.0</v>
      </c>
      <c r="M90" s="19">
        <v>1.0</v>
      </c>
      <c r="N90" s="19">
        <v>0.0</v>
      </c>
      <c r="O90" s="19">
        <v>0.0</v>
      </c>
      <c r="P90" s="19">
        <v>1.0</v>
      </c>
      <c r="Q90" s="19">
        <v>0.0</v>
      </c>
      <c r="R90" s="19">
        <v>2.0</v>
      </c>
      <c r="S90" s="19">
        <v>1.0</v>
      </c>
      <c r="T90" s="19">
        <v>1.0</v>
      </c>
      <c r="U90" s="19">
        <v>0.0</v>
      </c>
      <c r="V90" s="19">
        <v>1.0</v>
      </c>
      <c r="W90" s="19">
        <v>0.0</v>
      </c>
      <c r="X90" s="19">
        <v>1.0</v>
      </c>
      <c r="Y90" s="19">
        <v>0.0</v>
      </c>
      <c r="Z90" s="19">
        <v>1.0</v>
      </c>
      <c r="AA90" s="19">
        <v>0.0</v>
      </c>
      <c r="AB90" s="13">
        <f t="shared" si="14"/>
        <v>11</v>
      </c>
    </row>
    <row r="91" ht="15.0" customHeight="1">
      <c r="A91" s="30"/>
      <c r="B91" s="49">
        <v>1.0</v>
      </c>
      <c r="C91" s="50" t="s">
        <v>78</v>
      </c>
      <c r="D91" s="59"/>
      <c r="E91" s="19">
        <v>0.0</v>
      </c>
      <c r="F91" s="19">
        <v>0.0</v>
      </c>
      <c r="G91" s="19">
        <v>0.0</v>
      </c>
      <c r="H91" s="19">
        <v>0.0</v>
      </c>
      <c r="I91" s="19">
        <v>0.0</v>
      </c>
      <c r="J91" s="19">
        <v>0.0</v>
      </c>
      <c r="K91" s="19">
        <v>1.0</v>
      </c>
      <c r="L91" s="19">
        <v>0.0</v>
      </c>
      <c r="M91" s="19">
        <v>0.0</v>
      </c>
      <c r="N91" s="19">
        <v>0.0</v>
      </c>
      <c r="O91" s="19">
        <v>0.0</v>
      </c>
      <c r="P91" s="19">
        <v>0.0</v>
      </c>
      <c r="Q91" s="19">
        <v>0.0</v>
      </c>
      <c r="R91" s="19">
        <v>0.0</v>
      </c>
      <c r="S91" s="19">
        <v>0.0</v>
      </c>
      <c r="T91" s="19">
        <v>2.0</v>
      </c>
      <c r="U91" s="19">
        <v>0.0</v>
      </c>
      <c r="V91" s="19">
        <v>0.0</v>
      </c>
      <c r="W91" s="19">
        <v>0.0</v>
      </c>
      <c r="X91" s="19">
        <v>0.0</v>
      </c>
      <c r="Y91" s="19">
        <v>0.0</v>
      </c>
      <c r="Z91" s="19">
        <v>0.0</v>
      </c>
      <c r="AA91" s="19">
        <v>0.0</v>
      </c>
      <c r="AB91" s="13">
        <f t="shared" si="14"/>
        <v>3</v>
      </c>
    </row>
    <row r="92" ht="12.75" customHeight="1">
      <c r="A92" s="30"/>
      <c r="B92" s="49">
        <v>2.0</v>
      </c>
      <c r="C92" s="50" t="s">
        <v>79</v>
      </c>
      <c r="D92" s="59"/>
      <c r="E92" s="19">
        <v>0.0</v>
      </c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19">
        <v>0.0</v>
      </c>
      <c r="L92" s="19">
        <v>0.0</v>
      </c>
      <c r="M92" s="19">
        <v>0.0</v>
      </c>
      <c r="N92" s="19">
        <v>0.0</v>
      </c>
      <c r="O92" s="19">
        <v>0.0</v>
      </c>
      <c r="P92" s="19">
        <v>0.0</v>
      </c>
      <c r="Q92" s="19">
        <v>0.0</v>
      </c>
      <c r="R92" s="19">
        <v>0.0</v>
      </c>
      <c r="S92" s="19">
        <v>0.0</v>
      </c>
      <c r="T92" s="19">
        <v>1.0</v>
      </c>
      <c r="U92" s="19">
        <v>0.0</v>
      </c>
      <c r="V92" s="19">
        <v>0.0</v>
      </c>
      <c r="W92" s="19">
        <v>0.0</v>
      </c>
      <c r="X92" s="19">
        <v>1.0</v>
      </c>
      <c r="Y92" s="19">
        <v>0.0</v>
      </c>
      <c r="Z92" s="19">
        <v>0.0</v>
      </c>
      <c r="AA92" s="19">
        <v>0.0</v>
      </c>
      <c r="AB92" s="13">
        <f t="shared" si="14"/>
        <v>2</v>
      </c>
    </row>
    <row r="93" ht="12.75" customHeight="1">
      <c r="A93" s="30" t="s">
        <v>39</v>
      </c>
      <c r="B93" s="49">
        <v>3.0</v>
      </c>
      <c r="C93" s="50" t="s">
        <v>80</v>
      </c>
      <c r="D93" s="59"/>
      <c r="E93" s="19">
        <v>0.0</v>
      </c>
      <c r="F93" s="19">
        <v>0.0</v>
      </c>
      <c r="G93" s="19">
        <v>0.0</v>
      </c>
      <c r="H93" s="19">
        <v>0.0</v>
      </c>
      <c r="I93" s="19">
        <v>0.0</v>
      </c>
      <c r="J93" s="19">
        <v>0.0</v>
      </c>
      <c r="K93" s="19">
        <v>0.0</v>
      </c>
      <c r="L93" s="19">
        <v>0.0</v>
      </c>
      <c r="M93" s="19">
        <v>0.0</v>
      </c>
      <c r="N93" s="19">
        <v>0.0</v>
      </c>
      <c r="O93" s="19">
        <v>0.0</v>
      </c>
      <c r="P93" s="19">
        <v>1.0</v>
      </c>
      <c r="Q93" s="19">
        <v>0.0</v>
      </c>
      <c r="R93" s="19">
        <v>0.0</v>
      </c>
      <c r="S93" s="19">
        <v>0.0</v>
      </c>
      <c r="T93" s="19">
        <v>0.0</v>
      </c>
      <c r="U93" s="19">
        <v>0.0</v>
      </c>
      <c r="V93" s="19">
        <v>0.0</v>
      </c>
      <c r="W93" s="19">
        <v>0.0</v>
      </c>
      <c r="X93" s="19">
        <v>0.0</v>
      </c>
      <c r="Y93" s="19">
        <v>0.0</v>
      </c>
      <c r="Z93" s="19">
        <v>0.0</v>
      </c>
      <c r="AA93" s="19">
        <v>0.0</v>
      </c>
      <c r="AB93" s="13">
        <f t="shared" si="14"/>
        <v>1</v>
      </c>
    </row>
    <row r="94" ht="12.75" customHeight="1">
      <c r="A94" s="19" t="s">
        <v>15</v>
      </c>
      <c r="B94" s="47" t="s">
        <v>46</v>
      </c>
      <c r="C94" s="15"/>
      <c r="D94" s="16"/>
      <c r="E94" s="56">
        <f t="shared" ref="E94:AA94" si="20">SUM(E90:E93)</f>
        <v>1</v>
      </c>
      <c r="F94" s="56">
        <f t="shared" si="20"/>
        <v>0</v>
      </c>
      <c r="G94" s="56">
        <f t="shared" si="20"/>
        <v>0</v>
      </c>
      <c r="H94" s="56">
        <f t="shared" si="20"/>
        <v>0</v>
      </c>
      <c r="I94" s="56">
        <f t="shared" si="20"/>
        <v>0</v>
      </c>
      <c r="J94" s="56">
        <f t="shared" si="20"/>
        <v>1</v>
      </c>
      <c r="K94" s="56">
        <f t="shared" si="20"/>
        <v>1</v>
      </c>
      <c r="L94" s="56">
        <f t="shared" si="20"/>
        <v>0</v>
      </c>
      <c r="M94" s="56">
        <f t="shared" si="20"/>
        <v>1</v>
      </c>
      <c r="N94" s="56">
        <f t="shared" si="20"/>
        <v>0</v>
      </c>
      <c r="O94" s="56">
        <f t="shared" si="20"/>
        <v>0</v>
      </c>
      <c r="P94" s="56">
        <f t="shared" si="20"/>
        <v>2</v>
      </c>
      <c r="Q94" s="56">
        <f t="shared" si="20"/>
        <v>0</v>
      </c>
      <c r="R94" s="56">
        <f t="shared" si="20"/>
        <v>2</v>
      </c>
      <c r="S94" s="56">
        <f t="shared" si="20"/>
        <v>1</v>
      </c>
      <c r="T94" s="56">
        <f t="shared" si="20"/>
        <v>4</v>
      </c>
      <c r="U94" s="56">
        <f t="shared" si="20"/>
        <v>0</v>
      </c>
      <c r="V94" s="56">
        <f t="shared" si="20"/>
        <v>1</v>
      </c>
      <c r="W94" s="56">
        <f t="shared" si="20"/>
        <v>0</v>
      </c>
      <c r="X94" s="56">
        <f t="shared" si="20"/>
        <v>2</v>
      </c>
      <c r="Y94" s="56">
        <f t="shared" si="20"/>
        <v>0</v>
      </c>
      <c r="Z94" s="56">
        <f t="shared" si="20"/>
        <v>1</v>
      </c>
      <c r="AA94" s="56">
        <f t="shared" si="20"/>
        <v>0</v>
      </c>
      <c r="AB94" s="13">
        <f t="shared" si="14"/>
        <v>17</v>
      </c>
    </row>
    <row r="95" ht="12.75" customHeight="1">
      <c r="A95" s="57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13">
        <f t="shared" si="14"/>
        <v>0</v>
      </c>
    </row>
    <row r="96" ht="12.75" customHeight="1">
      <c r="A96" s="30" t="s">
        <v>37</v>
      </c>
      <c r="B96" s="47" t="s">
        <v>81</v>
      </c>
      <c r="C96" s="48" t="s">
        <v>82</v>
      </c>
      <c r="D96" s="16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1.0</v>
      </c>
      <c r="R96" s="19">
        <v>0.0</v>
      </c>
      <c r="S96" s="19">
        <v>0.0</v>
      </c>
      <c r="T96" s="19">
        <v>0.0</v>
      </c>
      <c r="U96" s="19">
        <v>2.0</v>
      </c>
      <c r="V96" s="19">
        <v>1.0</v>
      </c>
      <c r="W96" s="19">
        <v>0.0</v>
      </c>
      <c r="X96" s="19">
        <v>1.0</v>
      </c>
      <c r="Y96" s="19">
        <v>1.0</v>
      </c>
      <c r="Z96" s="19">
        <v>0.0</v>
      </c>
      <c r="AA96" s="19">
        <v>0.0</v>
      </c>
      <c r="AB96" s="13">
        <f t="shared" si="14"/>
        <v>6</v>
      </c>
    </row>
    <row r="97" ht="12.75" customHeight="1">
      <c r="A97" s="30" t="s">
        <v>39</v>
      </c>
      <c r="B97" s="49">
        <v>1.0</v>
      </c>
      <c r="C97" s="50" t="s">
        <v>83</v>
      </c>
      <c r="D97" s="51"/>
      <c r="E97" s="19">
        <v>0.0</v>
      </c>
      <c r="F97" s="19">
        <v>0.0</v>
      </c>
      <c r="G97" s="19">
        <v>1.0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0.0</v>
      </c>
      <c r="Z97" s="19">
        <v>0.0</v>
      </c>
      <c r="AA97" s="19">
        <v>0.0</v>
      </c>
      <c r="AB97" s="13">
        <f t="shared" si="14"/>
        <v>1</v>
      </c>
    </row>
    <row r="98" ht="12.75" customHeight="1">
      <c r="A98" s="30"/>
      <c r="B98" s="49">
        <v>2.0</v>
      </c>
      <c r="C98" s="50" t="s">
        <v>84</v>
      </c>
      <c r="D98" s="51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3">
        <f t="shared" si="14"/>
        <v>0</v>
      </c>
    </row>
    <row r="99" ht="12.75" customHeight="1">
      <c r="A99" s="19" t="s">
        <v>15</v>
      </c>
      <c r="B99" s="47" t="s">
        <v>46</v>
      </c>
      <c r="C99" s="15"/>
      <c r="D99" s="16"/>
      <c r="E99" s="56">
        <f t="shared" ref="E99:AA99" si="21">SUM(E96:E98)</f>
        <v>0</v>
      </c>
      <c r="F99" s="56">
        <f t="shared" si="21"/>
        <v>0</v>
      </c>
      <c r="G99" s="56">
        <f t="shared" si="21"/>
        <v>1</v>
      </c>
      <c r="H99" s="56">
        <f t="shared" si="21"/>
        <v>0</v>
      </c>
      <c r="I99" s="56">
        <f t="shared" si="21"/>
        <v>0</v>
      </c>
      <c r="J99" s="56">
        <f t="shared" si="21"/>
        <v>0</v>
      </c>
      <c r="K99" s="56">
        <f t="shared" si="21"/>
        <v>0</v>
      </c>
      <c r="L99" s="56">
        <f t="shared" si="21"/>
        <v>0</v>
      </c>
      <c r="M99" s="56">
        <f t="shared" si="21"/>
        <v>0</v>
      </c>
      <c r="N99" s="56">
        <f t="shared" si="21"/>
        <v>0</v>
      </c>
      <c r="O99" s="56">
        <f t="shared" si="21"/>
        <v>0</v>
      </c>
      <c r="P99" s="56">
        <f t="shared" si="21"/>
        <v>0</v>
      </c>
      <c r="Q99" s="56">
        <f t="shared" si="21"/>
        <v>1</v>
      </c>
      <c r="R99" s="56">
        <f t="shared" si="21"/>
        <v>0</v>
      </c>
      <c r="S99" s="56">
        <f t="shared" si="21"/>
        <v>0</v>
      </c>
      <c r="T99" s="56">
        <f t="shared" si="21"/>
        <v>0</v>
      </c>
      <c r="U99" s="56">
        <f t="shared" si="21"/>
        <v>2</v>
      </c>
      <c r="V99" s="56">
        <f t="shared" si="21"/>
        <v>1</v>
      </c>
      <c r="W99" s="56">
        <f t="shared" si="21"/>
        <v>0</v>
      </c>
      <c r="X99" s="56">
        <f t="shared" si="21"/>
        <v>1</v>
      </c>
      <c r="Y99" s="56">
        <f t="shared" si="21"/>
        <v>1</v>
      </c>
      <c r="Z99" s="56">
        <f t="shared" si="21"/>
        <v>0</v>
      </c>
      <c r="AA99" s="56">
        <f t="shared" si="21"/>
        <v>0</v>
      </c>
      <c r="AB99" s="13">
        <f t="shared" si="14"/>
        <v>7</v>
      </c>
    </row>
    <row r="100" ht="12.75" customHeight="1">
      <c r="A100" s="57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13">
        <f t="shared" si="14"/>
        <v>0</v>
      </c>
    </row>
    <row r="101" ht="12.75" customHeight="1">
      <c r="A101" s="30" t="s">
        <v>37</v>
      </c>
      <c r="B101" s="47" t="s">
        <v>85</v>
      </c>
      <c r="C101" s="48" t="s">
        <v>86</v>
      </c>
      <c r="D101" s="16"/>
      <c r="E101" s="19">
        <v>1.0</v>
      </c>
      <c r="F101" s="19">
        <v>2.0</v>
      </c>
      <c r="G101" s="19">
        <v>1.0</v>
      </c>
      <c r="H101" s="19">
        <v>0.0</v>
      </c>
      <c r="I101" s="19">
        <v>0.0</v>
      </c>
      <c r="J101" s="19">
        <v>1.0</v>
      </c>
      <c r="K101" s="19">
        <v>1.0</v>
      </c>
      <c r="L101" s="19">
        <v>0.0</v>
      </c>
      <c r="M101" s="19">
        <v>0.0</v>
      </c>
      <c r="N101" s="19">
        <v>1.0</v>
      </c>
      <c r="O101" s="19">
        <v>0.0</v>
      </c>
      <c r="P101" s="19">
        <v>0.0</v>
      </c>
      <c r="Q101" s="19">
        <v>0.0</v>
      </c>
      <c r="R101" s="19">
        <v>1.0</v>
      </c>
      <c r="S101" s="19">
        <v>1.0</v>
      </c>
      <c r="T101" s="19">
        <v>1.0</v>
      </c>
      <c r="U101" s="19">
        <v>0.0</v>
      </c>
      <c r="V101" s="19">
        <v>1.0</v>
      </c>
      <c r="W101" s="19">
        <v>0.0</v>
      </c>
      <c r="X101" s="19">
        <v>0.0</v>
      </c>
      <c r="Y101" s="19">
        <v>0.0</v>
      </c>
      <c r="Z101" s="19">
        <v>1.0</v>
      </c>
      <c r="AA101" s="19">
        <v>0.0</v>
      </c>
      <c r="AB101" s="13">
        <f t="shared" si="14"/>
        <v>12</v>
      </c>
    </row>
    <row r="102" ht="12.75" customHeight="1">
      <c r="A102" s="30" t="s">
        <v>39</v>
      </c>
      <c r="B102" s="49">
        <v>1.0</v>
      </c>
      <c r="C102" s="50" t="s">
        <v>87</v>
      </c>
      <c r="D102" s="51"/>
      <c r="E102" s="19">
        <v>1.0</v>
      </c>
      <c r="F102" s="19">
        <v>4.0</v>
      </c>
      <c r="G102" s="19">
        <v>3.0</v>
      </c>
      <c r="H102" s="19">
        <v>0.0</v>
      </c>
      <c r="I102" s="19">
        <v>1.0</v>
      </c>
      <c r="J102" s="19">
        <v>4.0</v>
      </c>
      <c r="K102" s="19">
        <v>1.0</v>
      </c>
      <c r="L102" s="19">
        <v>0.0</v>
      </c>
      <c r="M102" s="19">
        <v>0.0</v>
      </c>
      <c r="N102" s="19">
        <v>0.0</v>
      </c>
      <c r="O102" s="19">
        <v>0.0</v>
      </c>
      <c r="P102" s="19">
        <v>0.0</v>
      </c>
      <c r="Q102" s="19">
        <v>2.0</v>
      </c>
      <c r="R102" s="19">
        <v>0.0</v>
      </c>
      <c r="S102" s="19">
        <v>0.0</v>
      </c>
      <c r="T102" s="19">
        <v>3.0</v>
      </c>
      <c r="U102" s="19">
        <v>0.0</v>
      </c>
      <c r="V102" s="19">
        <v>3.0</v>
      </c>
      <c r="W102" s="19">
        <v>0.0</v>
      </c>
      <c r="X102" s="19">
        <v>1.0</v>
      </c>
      <c r="Y102" s="19">
        <v>3.0</v>
      </c>
      <c r="Z102" s="19">
        <v>4.0</v>
      </c>
      <c r="AA102" s="19">
        <v>2.0</v>
      </c>
      <c r="AB102" s="13">
        <f t="shared" si="14"/>
        <v>32</v>
      </c>
    </row>
    <row r="103" ht="15.0" customHeight="1">
      <c r="A103" s="18"/>
      <c r="B103" s="49">
        <v>2.0</v>
      </c>
      <c r="C103" s="50" t="s">
        <v>88</v>
      </c>
      <c r="D103" s="51"/>
      <c r="E103" s="19">
        <v>0.0</v>
      </c>
      <c r="F103" s="19">
        <v>0.0</v>
      </c>
      <c r="G103" s="19">
        <v>2.0</v>
      </c>
      <c r="H103" s="19">
        <v>0.0</v>
      </c>
      <c r="I103" s="19">
        <v>0.0</v>
      </c>
      <c r="J103" s="19">
        <v>0.0</v>
      </c>
      <c r="K103" s="19">
        <v>0.0</v>
      </c>
      <c r="L103" s="19">
        <v>1.0</v>
      </c>
      <c r="M103" s="19">
        <v>0.0</v>
      </c>
      <c r="N103" s="19">
        <v>0.0</v>
      </c>
      <c r="O103" s="19">
        <v>0.0</v>
      </c>
      <c r="P103" s="19">
        <v>0.0</v>
      </c>
      <c r="Q103" s="19">
        <v>0.0</v>
      </c>
      <c r="R103" s="19">
        <v>0.0</v>
      </c>
      <c r="S103" s="19">
        <v>0.0</v>
      </c>
      <c r="T103" s="19">
        <v>0.0</v>
      </c>
      <c r="U103" s="19">
        <v>0.0</v>
      </c>
      <c r="V103" s="19">
        <v>0.0</v>
      </c>
      <c r="W103" s="19">
        <v>0.0</v>
      </c>
      <c r="X103" s="19">
        <v>0.0</v>
      </c>
      <c r="Y103" s="19">
        <v>0.0</v>
      </c>
      <c r="Z103" s="19">
        <v>0.0</v>
      </c>
      <c r="AA103" s="19">
        <v>0.0</v>
      </c>
      <c r="AB103" s="13">
        <f t="shared" si="14"/>
        <v>3</v>
      </c>
    </row>
    <row r="104" ht="12.75" customHeight="1">
      <c r="A104" s="18"/>
      <c r="B104" s="49">
        <v>3.0</v>
      </c>
      <c r="C104" s="50" t="s">
        <v>89</v>
      </c>
      <c r="D104" s="51"/>
      <c r="E104" s="19">
        <v>0.0</v>
      </c>
      <c r="F104" s="19">
        <v>0.0</v>
      </c>
      <c r="G104" s="19">
        <v>0.0</v>
      </c>
      <c r="H104" s="19">
        <v>0.0</v>
      </c>
      <c r="I104" s="19">
        <v>1.0</v>
      </c>
      <c r="J104" s="19">
        <v>0.0</v>
      </c>
      <c r="K104" s="19">
        <v>1.0</v>
      </c>
      <c r="L104" s="19">
        <v>0.0</v>
      </c>
      <c r="M104" s="19">
        <v>1.0</v>
      </c>
      <c r="N104" s="19">
        <v>1.0</v>
      </c>
      <c r="O104" s="19">
        <v>0.0</v>
      </c>
      <c r="P104" s="19">
        <v>0.0</v>
      </c>
      <c r="Q104" s="19">
        <v>0.0</v>
      </c>
      <c r="R104" s="19">
        <v>0.0</v>
      </c>
      <c r="S104" s="19">
        <v>0.0</v>
      </c>
      <c r="T104" s="19">
        <v>0.0</v>
      </c>
      <c r="U104" s="19">
        <v>0.0</v>
      </c>
      <c r="V104" s="19">
        <v>0.0</v>
      </c>
      <c r="W104" s="19">
        <v>1.0</v>
      </c>
      <c r="X104" s="19">
        <v>0.0</v>
      </c>
      <c r="Y104" s="19">
        <v>0.0</v>
      </c>
      <c r="Z104" s="19">
        <v>0.0</v>
      </c>
      <c r="AA104" s="19">
        <v>0.0</v>
      </c>
      <c r="AB104" s="13">
        <f t="shared" si="14"/>
        <v>5</v>
      </c>
    </row>
    <row r="105" ht="12.75" customHeight="1">
      <c r="A105" s="18"/>
      <c r="B105" s="49">
        <v>4.0</v>
      </c>
      <c r="C105" s="50" t="s">
        <v>90</v>
      </c>
      <c r="D105" s="51"/>
      <c r="E105" s="19">
        <v>0.0</v>
      </c>
      <c r="F105" s="19">
        <v>1.0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1.0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1.0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3">
        <f t="shared" si="14"/>
        <v>3</v>
      </c>
    </row>
    <row r="106" ht="12.75" customHeight="1">
      <c r="A106" s="18"/>
      <c r="B106" s="49">
        <v>5.0</v>
      </c>
      <c r="C106" s="50" t="s">
        <v>91</v>
      </c>
      <c r="D106" s="51"/>
      <c r="E106" s="19">
        <v>1.0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3">
        <f t="shared" si="14"/>
        <v>1</v>
      </c>
    </row>
    <row r="107" ht="12.75" customHeight="1">
      <c r="A107" s="18"/>
      <c r="B107" s="49">
        <v>6.0</v>
      </c>
      <c r="C107" s="50" t="s">
        <v>92</v>
      </c>
      <c r="D107" s="51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1.0</v>
      </c>
      <c r="U107" s="19">
        <v>1.0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3">
        <f t="shared" si="14"/>
        <v>2</v>
      </c>
    </row>
    <row r="108" ht="12.75" customHeight="1">
      <c r="A108" s="19" t="s">
        <v>15</v>
      </c>
      <c r="B108" s="47" t="s">
        <v>46</v>
      </c>
      <c r="C108" s="15"/>
      <c r="D108" s="16"/>
      <c r="E108" s="56">
        <f t="shared" ref="E108:AA108" si="22">SUM(E101:E107)</f>
        <v>3</v>
      </c>
      <c r="F108" s="56">
        <f t="shared" si="22"/>
        <v>7</v>
      </c>
      <c r="G108" s="56">
        <f t="shared" si="22"/>
        <v>6</v>
      </c>
      <c r="H108" s="56">
        <f t="shared" si="22"/>
        <v>0</v>
      </c>
      <c r="I108" s="56">
        <f t="shared" si="22"/>
        <v>2</v>
      </c>
      <c r="J108" s="56">
        <f t="shared" si="22"/>
        <v>5</v>
      </c>
      <c r="K108" s="56">
        <f t="shared" si="22"/>
        <v>3</v>
      </c>
      <c r="L108" s="56">
        <f t="shared" si="22"/>
        <v>2</v>
      </c>
      <c r="M108" s="56">
        <f t="shared" si="22"/>
        <v>1</v>
      </c>
      <c r="N108" s="56">
        <f t="shared" si="22"/>
        <v>2</v>
      </c>
      <c r="O108" s="56">
        <f t="shared" si="22"/>
        <v>0</v>
      </c>
      <c r="P108" s="56">
        <f t="shared" si="22"/>
        <v>0</v>
      </c>
      <c r="Q108" s="56">
        <f t="shared" si="22"/>
        <v>2</v>
      </c>
      <c r="R108" s="56">
        <f t="shared" si="22"/>
        <v>2</v>
      </c>
      <c r="S108" s="56">
        <f t="shared" si="22"/>
        <v>1</v>
      </c>
      <c r="T108" s="56">
        <f t="shared" si="22"/>
        <v>5</v>
      </c>
      <c r="U108" s="56">
        <f t="shared" si="22"/>
        <v>1</v>
      </c>
      <c r="V108" s="56">
        <f t="shared" si="22"/>
        <v>4</v>
      </c>
      <c r="W108" s="56">
        <f t="shared" si="22"/>
        <v>1</v>
      </c>
      <c r="X108" s="56">
        <f t="shared" si="22"/>
        <v>1</v>
      </c>
      <c r="Y108" s="56">
        <f t="shared" si="22"/>
        <v>3</v>
      </c>
      <c r="Z108" s="56">
        <f t="shared" si="22"/>
        <v>5</v>
      </c>
      <c r="AA108" s="56">
        <f t="shared" si="22"/>
        <v>2</v>
      </c>
      <c r="AB108" s="13">
        <f t="shared" si="14"/>
        <v>58</v>
      </c>
    </row>
    <row r="109" ht="12.75" customHeight="1">
      <c r="A109" s="57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13">
        <f t="shared" si="14"/>
        <v>0</v>
      </c>
    </row>
    <row r="110" ht="12.75" customHeight="1">
      <c r="A110" s="30" t="s">
        <v>37</v>
      </c>
      <c r="B110" s="47" t="s">
        <v>93</v>
      </c>
      <c r="C110" s="48" t="s">
        <v>94</v>
      </c>
      <c r="D110" s="16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1.0</v>
      </c>
      <c r="AA110" s="19">
        <v>0.0</v>
      </c>
      <c r="AB110" s="13">
        <f t="shared" si="14"/>
        <v>1</v>
      </c>
    </row>
    <row r="111" ht="12.75" customHeight="1">
      <c r="A111" s="30"/>
      <c r="B111" s="47">
        <v>1.0</v>
      </c>
      <c r="C111" s="50" t="s">
        <v>95</v>
      </c>
      <c r="D111" s="59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1.0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3">
        <f t="shared" si="14"/>
        <v>1</v>
      </c>
    </row>
    <row r="112" ht="12.75" customHeight="1">
      <c r="A112" s="30"/>
      <c r="B112" s="47">
        <v>2.0</v>
      </c>
      <c r="C112" s="50" t="s">
        <v>96</v>
      </c>
      <c r="D112" s="59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3">
        <f t="shared" si="14"/>
        <v>0</v>
      </c>
    </row>
    <row r="113" ht="12.75" customHeight="1">
      <c r="A113" s="30"/>
      <c r="B113" s="47">
        <v>3.0</v>
      </c>
      <c r="C113" s="50" t="s">
        <v>97</v>
      </c>
      <c r="D113" s="59"/>
      <c r="E113" s="19">
        <v>0.0</v>
      </c>
      <c r="F113" s="19">
        <v>0.0</v>
      </c>
      <c r="G113" s="19">
        <v>0.0</v>
      </c>
      <c r="H113" s="19">
        <v>0.0</v>
      </c>
      <c r="I113" s="19">
        <v>0.0</v>
      </c>
      <c r="J113" s="19">
        <v>1.0</v>
      </c>
      <c r="K113" s="19">
        <v>0.0</v>
      </c>
      <c r="L113" s="19">
        <v>0.0</v>
      </c>
      <c r="M113" s="19">
        <v>0.0</v>
      </c>
      <c r="N113" s="19">
        <v>0.0</v>
      </c>
      <c r="O113" s="19">
        <v>0.0</v>
      </c>
      <c r="P113" s="19">
        <v>0.0</v>
      </c>
      <c r="Q113" s="19">
        <v>0.0</v>
      </c>
      <c r="R113" s="19">
        <v>0.0</v>
      </c>
      <c r="S113" s="19">
        <v>0.0</v>
      </c>
      <c r="T113" s="19">
        <v>0.0</v>
      </c>
      <c r="U113" s="19">
        <v>0.0</v>
      </c>
      <c r="V113" s="19">
        <v>0.0</v>
      </c>
      <c r="W113" s="19">
        <v>0.0</v>
      </c>
      <c r="X113" s="19">
        <v>0.0</v>
      </c>
      <c r="Y113" s="19">
        <v>0.0</v>
      </c>
      <c r="Z113" s="19">
        <v>0.0</v>
      </c>
      <c r="AA113" s="19">
        <v>0.0</v>
      </c>
      <c r="AB113" s="13">
        <f t="shared" si="14"/>
        <v>1</v>
      </c>
    </row>
    <row r="114" ht="12.75" customHeight="1">
      <c r="A114" s="30" t="s">
        <v>39</v>
      </c>
      <c r="B114" s="49">
        <v>4.0</v>
      </c>
      <c r="C114" s="50" t="s">
        <v>98</v>
      </c>
      <c r="D114" s="51"/>
      <c r="E114" s="19">
        <v>0.0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9">
        <v>0.0</v>
      </c>
      <c r="N114" s="19">
        <v>0.0</v>
      </c>
      <c r="O114" s="19">
        <v>0.0</v>
      </c>
      <c r="P114" s="19">
        <v>0.0</v>
      </c>
      <c r="Q114" s="19">
        <v>0.0</v>
      </c>
      <c r="R114" s="19">
        <v>0.0</v>
      </c>
      <c r="S114" s="19">
        <v>0.0</v>
      </c>
      <c r="T114" s="19">
        <v>0.0</v>
      </c>
      <c r="U114" s="19">
        <v>0.0</v>
      </c>
      <c r="V114" s="19">
        <v>0.0</v>
      </c>
      <c r="W114" s="19">
        <v>0.0</v>
      </c>
      <c r="X114" s="19">
        <v>0.0</v>
      </c>
      <c r="Y114" s="19">
        <v>0.0</v>
      </c>
      <c r="Z114" s="19">
        <v>0.0</v>
      </c>
      <c r="AA114" s="19">
        <v>1.0</v>
      </c>
      <c r="AB114" s="13">
        <f t="shared" si="14"/>
        <v>1</v>
      </c>
    </row>
    <row r="115" ht="12.75" customHeight="1">
      <c r="A115" s="19" t="s">
        <v>15</v>
      </c>
      <c r="B115" s="47" t="s">
        <v>46</v>
      </c>
      <c r="C115" s="15"/>
      <c r="D115" s="16"/>
      <c r="E115" s="56">
        <f t="shared" ref="E115:AA115" si="23">SUM(E110:E114)</f>
        <v>0</v>
      </c>
      <c r="F115" s="56">
        <f t="shared" si="23"/>
        <v>0</v>
      </c>
      <c r="G115" s="56">
        <f t="shared" si="23"/>
        <v>0</v>
      </c>
      <c r="H115" s="56">
        <f t="shared" si="23"/>
        <v>0</v>
      </c>
      <c r="I115" s="56">
        <f t="shared" si="23"/>
        <v>0</v>
      </c>
      <c r="J115" s="56">
        <f t="shared" si="23"/>
        <v>1</v>
      </c>
      <c r="K115" s="56">
        <f t="shared" si="23"/>
        <v>0</v>
      </c>
      <c r="L115" s="56">
        <f t="shared" si="23"/>
        <v>0</v>
      </c>
      <c r="M115" s="56">
        <f t="shared" si="23"/>
        <v>1</v>
      </c>
      <c r="N115" s="56">
        <f t="shared" si="23"/>
        <v>0</v>
      </c>
      <c r="O115" s="56">
        <f t="shared" si="23"/>
        <v>0</v>
      </c>
      <c r="P115" s="56">
        <f t="shared" si="23"/>
        <v>0</v>
      </c>
      <c r="Q115" s="56">
        <f t="shared" si="23"/>
        <v>0</v>
      </c>
      <c r="R115" s="56">
        <f t="shared" si="23"/>
        <v>0</v>
      </c>
      <c r="S115" s="56">
        <f t="shared" si="23"/>
        <v>0</v>
      </c>
      <c r="T115" s="56">
        <f t="shared" si="23"/>
        <v>0</v>
      </c>
      <c r="U115" s="56">
        <f t="shared" si="23"/>
        <v>0</v>
      </c>
      <c r="V115" s="56">
        <f t="shared" si="23"/>
        <v>0</v>
      </c>
      <c r="W115" s="56">
        <f t="shared" si="23"/>
        <v>0</v>
      </c>
      <c r="X115" s="56">
        <f t="shared" si="23"/>
        <v>0</v>
      </c>
      <c r="Y115" s="56">
        <f t="shared" si="23"/>
        <v>0</v>
      </c>
      <c r="Z115" s="56">
        <f t="shared" si="23"/>
        <v>1</v>
      </c>
      <c r="AA115" s="56">
        <f t="shared" si="23"/>
        <v>1</v>
      </c>
      <c r="AB115" s="13">
        <f t="shared" si="14"/>
        <v>4</v>
      </c>
    </row>
    <row r="116" ht="12.75" customHeight="1">
      <c r="A116" s="57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13">
        <f t="shared" si="14"/>
        <v>0</v>
      </c>
    </row>
    <row r="117" ht="12.75" customHeight="1">
      <c r="A117" s="30" t="s">
        <v>37</v>
      </c>
      <c r="B117" s="47" t="s">
        <v>99</v>
      </c>
      <c r="C117" s="48" t="s">
        <v>100</v>
      </c>
      <c r="D117" s="16"/>
      <c r="E117" s="19">
        <v>0.0</v>
      </c>
      <c r="F117" s="19">
        <v>0.0</v>
      </c>
      <c r="G117" s="19">
        <v>1.0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1.0</v>
      </c>
      <c r="O117" s="19">
        <v>0.0</v>
      </c>
      <c r="P117" s="19">
        <v>0.0</v>
      </c>
      <c r="Q117" s="19">
        <v>1.0</v>
      </c>
      <c r="R117" s="19">
        <v>0.0</v>
      </c>
      <c r="S117" s="19">
        <v>0.0</v>
      </c>
      <c r="T117" s="19">
        <v>1.0</v>
      </c>
      <c r="U117" s="19">
        <v>1.0</v>
      </c>
      <c r="V117" s="19">
        <v>1.0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3">
        <f t="shared" si="14"/>
        <v>6</v>
      </c>
      <c r="AC117" s="5"/>
      <c r="AD117" s="5"/>
    </row>
    <row r="118" ht="12.75" customHeight="1">
      <c r="A118" s="30" t="s">
        <v>39</v>
      </c>
      <c r="B118" s="49">
        <v>1.0</v>
      </c>
      <c r="C118" s="50" t="s">
        <v>101</v>
      </c>
      <c r="D118" s="51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1.0</v>
      </c>
      <c r="R118" s="19">
        <v>2.0</v>
      </c>
      <c r="S118" s="19">
        <v>0.0</v>
      </c>
      <c r="T118" s="19">
        <v>1.0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3">
        <f t="shared" si="14"/>
        <v>4</v>
      </c>
      <c r="AC118" s="5"/>
      <c r="AD118" s="5"/>
    </row>
    <row r="119" ht="12.75" customHeight="1">
      <c r="A119" s="18"/>
      <c r="B119" s="49">
        <v>2.0</v>
      </c>
      <c r="C119" s="50" t="s">
        <v>102</v>
      </c>
      <c r="D119" s="51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3">
        <f t="shared" si="14"/>
        <v>0</v>
      </c>
      <c r="AC119" s="5"/>
      <c r="AD119" s="5"/>
    </row>
    <row r="120" ht="12.75" customHeight="1">
      <c r="A120" s="18"/>
      <c r="B120" s="49">
        <v>3.0</v>
      </c>
      <c r="C120" s="50" t="s">
        <v>103</v>
      </c>
      <c r="D120" s="51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3">
        <f t="shared" si="14"/>
        <v>0</v>
      </c>
      <c r="AC120" s="5"/>
      <c r="AD120" s="5"/>
    </row>
    <row r="121" ht="12.75" customHeight="1">
      <c r="A121" s="18"/>
      <c r="B121" s="49">
        <v>4.0</v>
      </c>
      <c r="C121" s="50" t="s">
        <v>104</v>
      </c>
      <c r="D121" s="51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0.0</v>
      </c>
      <c r="U121" s="19">
        <v>0.0</v>
      </c>
      <c r="V121" s="19">
        <v>0.0</v>
      </c>
      <c r="W121" s="19">
        <v>0.0</v>
      </c>
      <c r="X121" s="19">
        <v>0.0</v>
      </c>
      <c r="Y121" s="19">
        <v>0.0</v>
      </c>
      <c r="Z121" s="19">
        <v>0.0</v>
      </c>
      <c r="AA121" s="19">
        <v>0.0</v>
      </c>
      <c r="AB121" s="13">
        <f t="shared" si="14"/>
        <v>0</v>
      </c>
      <c r="AC121" s="5"/>
      <c r="AD121" s="5"/>
    </row>
    <row r="122" ht="12.75" customHeight="1">
      <c r="A122" s="18"/>
      <c r="B122" s="49">
        <v>5.0</v>
      </c>
      <c r="C122" s="50" t="s">
        <v>105</v>
      </c>
      <c r="D122" s="51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9">
        <v>0.0</v>
      </c>
      <c r="S122" s="19">
        <v>0.0</v>
      </c>
      <c r="T122" s="19">
        <v>0.0</v>
      </c>
      <c r="U122" s="19">
        <v>0.0</v>
      </c>
      <c r="V122" s="19">
        <v>0.0</v>
      </c>
      <c r="W122" s="19">
        <v>0.0</v>
      </c>
      <c r="X122" s="19">
        <v>0.0</v>
      </c>
      <c r="Y122" s="19">
        <v>0.0</v>
      </c>
      <c r="Z122" s="19">
        <v>2.0</v>
      </c>
      <c r="AA122" s="19">
        <v>0.0</v>
      </c>
      <c r="AB122" s="13">
        <f t="shared" si="14"/>
        <v>2</v>
      </c>
      <c r="AC122" s="5"/>
      <c r="AD122" s="5"/>
    </row>
    <row r="123" ht="12.75" customHeight="1">
      <c r="A123" s="18"/>
      <c r="B123" s="49">
        <v>6.0</v>
      </c>
      <c r="C123" s="50" t="s">
        <v>106</v>
      </c>
      <c r="D123" s="51"/>
      <c r="E123" s="19">
        <v>0.0</v>
      </c>
      <c r="F123" s="19">
        <v>0.0</v>
      </c>
      <c r="G123" s="19">
        <v>0.0</v>
      </c>
      <c r="H123" s="19">
        <v>1.0</v>
      </c>
      <c r="I123" s="19">
        <v>0.0</v>
      </c>
      <c r="J123" s="19">
        <v>0.0</v>
      </c>
      <c r="K123" s="19">
        <v>0.0</v>
      </c>
      <c r="L123" s="19">
        <v>0.0</v>
      </c>
      <c r="M123" s="19">
        <v>2.0</v>
      </c>
      <c r="N123" s="19">
        <v>0.0</v>
      </c>
      <c r="O123" s="19">
        <v>0.0</v>
      </c>
      <c r="P123" s="19">
        <v>0.0</v>
      </c>
      <c r="Q123" s="19">
        <v>0.0</v>
      </c>
      <c r="R123" s="19">
        <v>0.0</v>
      </c>
      <c r="S123" s="19">
        <v>0.0</v>
      </c>
      <c r="T123" s="19">
        <v>0.0</v>
      </c>
      <c r="U123" s="19">
        <v>0.0</v>
      </c>
      <c r="V123" s="19">
        <v>0.0</v>
      </c>
      <c r="W123" s="19">
        <v>0.0</v>
      </c>
      <c r="X123" s="19">
        <v>0.0</v>
      </c>
      <c r="Y123" s="19">
        <v>6.0</v>
      </c>
      <c r="Z123" s="19">
        <v>1.0</v>
      </c>
      <c r="AA123" s="19">
        <v>1.0</v>
      </c>
      <c r="AB123" s="13">
        <f t="shared" si="14"/>
        <v>11</v>
      </c>
      <c r="AC123" s="5"/>
      <c r="AD123" s="5"/>
    </row>
    <row r="124" ht="12.75" customHeight="1">
      <c r="A124" s="19" t="s">
        <v>15</v>
      </c>
      <c r="B124" s="47" t="s">
        <v>46</v>
      </c>
      <c r="C124" s="15"/>
      <c r="D124" s="16"/>
      <c r="E124" s="56">
        <f t="shared" ref="E124:AA124" si="24">SUM(E117:E123)</f>
        <v>0</v>
      </c>
      <c r="F124" s="56">
        <f t="shared" si="24"/>
        <v>0</v>
      </c>
      <c r="G124" s="56">
        <f t="shared" si="24"/>
        <v>1</v>
      </c>
      <c r="H124" s="56">
        <f t="shared" si="24"/>
        <v>1</v>
      </c>
      <c r="I124" s="56">
        <f t="shared" si="24"/>
        <v>0</v>
      </c>
      <c r="J124" s="56">
        <f t="shared" si="24"/>
        <v>0</v>
      </c>
      <c r="K124" s="56">
        <f t="shared" si="24"/>
        <v>0</v>
      </c>
      <c r="L124" s="56">
        <f t="shared" si="24"/>
        <v>0</v>
      </c>
      <c r="M124" s="56">
        <f t="shared" si="24"/>
        <v>2</v>
      </c>
      <c r="N124" s="56">
        <f t="shared" si="24"/>
        <v>1</v>
      </c>
      <c r="O124" s="56">
        <f t="shared" si="24"/>
        <v>0</v>
      </c>
      <c r="P124" s="56">
        <f t="shared" si="24"/>
        <v>0</v>
      </c>
      <c r="Q124" s="56">
        <f t="shared" si="24"/>
        <v>2</v>
      </c>
      <c r="R124" s="56">
        <f t="shared" si="24"/>
        <v>2</v>
      </c>
      <c r="S124" s="56">
        <f t="shared" si="24"/>
        <v>0</v>
      </c>
      <c r="T124" s="56">
        <f t="shared" si="24"/>
        <v>2</v>
      </c>
      <c r="U124" s="56">
        <f t="shared" si="24"/>
        <v>1</v>
      </c>
      <c r="V124" s="56">
        <f t="shared" si="24"/>
        <v>1</v>
      </c>
      <c r="W124" s="56">
        <f t="shared" si="24"/>
        <v>0</v>
      </c>
      <c r="X124" s="56">
        <f t="shared" si="24"/>
        <v>0</v>
      </c>
      <c r="Y124" s="56">
        <f t="shared" si="24"/>
        <v>6</v>
      </c>
      <c r="Z124" s="56">
        <f t="shared" si="24"/>
        <v>3</v>
      </c>
      <c r="AA124" s="56">
        <f t="shared" si="24"/>
        <v>1</v>
      </c>
      <c r="AB124" s="13">
        <f t="shared" si="14"/>
        <v>23</v>
      </c>
      <c r="AC124" s="5"/>
      <c r="AD124" s="5"/>
    </row>
    <row r="125" ht="12.75" customHeight="1">
      <c r="A125" s="57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13">
        <f t="shared" si="14"/>
        <v>0</v>
      </c>
      <c r="AC125" s="5"/>
      <c r="AD125" s="5"/>
    </row>
    <row r="126" ht="12.75" customHeight="1">
      <c r="A126" s="30" t="s">
        <v>37</v>
      </c>
      <c r="B126" s="47" t="s">
        <v>107</v>
      </c>
      <c r="C126" s="48" t="s">
        <v>108</v>
      </c>
      <c r="D126" s="16"/>
      <c r="E126" s="19">
        <v>1.0</v>
      </c>
      <c r="F126" s="19">
        <v>0.0</v>
      </c>
      <c r="G126" s="19">
        <v>0.0</v>
      </c>
      <c r="H126" s="19">
        <v>1.0</v>
      </c>
      <c r="I126" s="19">
        <v>0.0</v>
      </c>
      <c r="J126" s="19">
        <v>1.0</v>
      </c>
      <c r="K126" s="19">
        <v>0.0</v>
      </c>
      <c r="L126" s="19">
        <v>0.0</v>
      </c>
      <c r="M126" s="19">
        <v>0.0</v>
      </c>
      <c r="N126" s="19">
        <v>0.0</v>
      </c>
      <c r="O126" s="19">
        <v>0.0</v>
      </c>
      <c r="P126" s="19">
        <v>0.0</v>
      </c>
      <c r="Q126" s="19">
        <v>0.0</v>
      </c>
      <c r="R126" s="19">
        <v>0.0</v>
      </c>
      <c r="S126" s="19">
        <v>0.0</v>
      </c>
      <c r="T126" s="19">
        <v>1.0</v>
      </c>
      <c r="U126" s="19">
        <v>0.0</v>
      </c>
      <c r="V126" s="19">
        <v>0.0</v>
      </c>
      <c r="W126" s="19">
        <v>0.0</v>
      </c>
      <c r="X126" s="19">
        <v>0.0</v>
      </c>
      <c r="Y126" s="19">
        <v>1.0</v>
      </c>
      <c r="Z126" s="19">
        <v>0.0</v>
      </c>
      <c r="AA126" s="19">
        <v>0.0</v>
      </c>
      <c r="AB126" s="13">
        <f t="shared" si="14"/>
        <v>5</v>
      </c>
      <c r="AC126" s="5"/>
      <c r="AD126" s="5"/>
    </row>
    <row r="127" ht="15.0" customHeight="1">
      <c r="A127" s="30" t="s">
        <v>39</v>
      </c>
      <c r="B127" s="49"/>
      <c r="C127" s="50"/>
      <c r="D127" s="51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3">
        <f t="shared" si="14"/>
        <v>0</v>
      </c>
      <c r="AC127" s="5"/>
      <c r="AD127" s="5"/>
    </row>
    <row r="128" ht="12.75" customHeight="1">
      <c r="A128" s="19" t="s">
        <v>15</v>
      </c>
      <c r="B128" s="47" t="s">
        <v>46</v>
      </c>
      <c r="C128" s="15"/>
      <c r="D128" s="16"/>
      <c r="E128" s="56">
        <f t="shared" ref="E128:AA128" si="25">SUM(E126:E127)</f>
        <v>1</v>
      </c>
      <c r="F128" s="56">
        <f t="shared" si="25"/>
        <v>0</v>
      </c>
      <c r="G128" s="56">
        <f t="shared" si="25"/>
        <v>0</v>
      </c>
      <c r="H128" s="56">
        <f t="shared" si="25"/>
        <v>1</v>
      </c>
      <c r="I128" s="56">
        <f t="shared" si="25"/>
        <v>0</v>
      </c>
      <c r="J128" s="56">
        <f t="shared" si="25"/>
        <v>1</v>
      </c>
      <c r="K128" s="56">
        <f t="shared" si="25"/>
        <v>0</v>
      </c>
      <c r="L128" s="56">
        <f t="shared" si="25"/>
        <v>0</v>
      </c>
      <c r="M128" s="56">
        <f t="shared" si="25"/>
        <v>0</v>
      </c>
      <c r="N128" s="56">
        <f t="shared" si="25"/>
        <v>0</v>
      </c>
      <c r="O128" s="56">
        <f t="shared" si="25"/>
        <v>0</v>
      </c>
      <c r="P128" s="56">
        <f t="shared" si="25"/>
        <v>0</v>
      </c>
      <c r="Q128" s="56">
        <f t="shared" si="25"/>
        <v>0</v>
      </c>
      <c r="R128" s="56">
        <f t="shared" si="25"/>
        <v>0</v>
      </c>
      <c r="S128" s="56">
        <f t="shared" si="25"/>
        <v>0</v>
      </c>
      <c r="T128" s="56">
        <f t="shared" si="25"/>
        <v>1</v>
      </c>
      <c r="U128" s="56">
        <f t="shared" si="25"/>
        <v>0</v>
      </c>
      <c r="V128" s="56">
        <f t="shared" si="25"/>
        <v>0</v>
      </c>
      <c r="W128" s="56">
        <f t="shared" si="25"/>
        <v>0</v>
      </c>
      <c r="X128" s="56">
        <f t="shared" si="25"/>
        <v>0</v>
      </c>
      <c r="Y128" s="56">
        <f t="shared" si="25"/>
        <v>1</v>
      </c>
      <c r="Z128" s="56">
        <f t="shared" si="25"/>
        <v>0</v>
      </c>
      <c r="AA128" s="56">
        <f t="shared" si="25"/>
        <v>0</v>
      </c>
      <c r="AB128" s="13">
        <f t="shared" si="14"/>
        <v>5</v>
      </c>
      <c r="AC128" s="5"/>
      <c r="AD128" s="5"/>
    </row>
    <row r="129" ht="12.75" customHeight="1">
      <c r="A129" s="57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13">
        <f t="shared" si="14"/>
        <v>0</v>
      </c>
      <c r="AC129" s="5"/>
      <c r="AD129" s="5"/>
    </row>
    <row r="130" ht="12.75" customHeight="1">
      <c r="A130" s="30" t="s">
        <v>37</v>
      </c>
      <c r="B130" s="47" t="s">
        <v>109</v>
      </c>
      <c r="C130" s="48" t="s">
        <v>110</v>
      </c>
      <c r="D130" s="16"/>
      <c r="E130" s="19">
        <v>2.0</v>
      </c>
      <c r="F130" s="19">
        <v>0.0</v>
      </c>
      <c r="G130" s="19">
        <v>0.0</v>
      </c>
      <c r="H130" s="19">
        <v>0.0</v>
      </c>
      <c r="I130" s="19">
        <v>0.0</v>
      </c>
      <c r="J130" s="19">
        <v>0.0</v>
      </c>
      <c r="K130" s="19">
        <v>0.0</v>
      </c>
      <c r="L130" s="19">
        <v>0.0</v>
      </c>
      <c r="M130" s="19">
        <v>2.0</v>
      </c>
      <c r="N130" s="19">
        <v>0.0</v>
      </c>
      <c r="O130" s="19">
        <v>0.0</v>
      </c>
      <c r="P130" s="19">
        <v>1.0</v>
      </c>
      <c r="Q130" s="19">
        <v>1.0</v>
      </c>
      <c r="R130" s="19">
        <v>0.0</v>
      </c>
      <c r="S130" s="19">
        <v>0.0</v>
      </c>
      <c r="T130" s="19">
        <v>0.0</v>
      </c>
      <c r="U130" s="19">
        <v>1.0</v>
      </c>
      <c r="V130" s="19">
        <v>0.0</v>
      </c>
      <c r="W130" s="19">
        <v>0.0</v>
      </c>
      <c r="X130" s="19">
        <v>0.0</v>
      </c>
      <c r="Y130" s="19">
        <v>0.0</v>
      </c>
      <c r="Z130" s="19">
        <v>0.0</v>
      </c>
      <c r="AA130" s="19">
        <v>1.0</v>
      </c>
      <c r="AB130" s="13">
        <f t="shared" si="14"/>
        <v>8</v>
      </c>
      <c r="AC130" s="1"/>
      <c r="AD130" s="1"/>
    </row>
    <row r="131" ht="12.75" customHeight="1">
      <c r="A131" s="30" t="s">
        <v>39</v>
      </c>
      <c r="B131" s="49">
        <v>1.0</v>
      </c>
      <c r="C131" s="50" t="s">
        <v>111</v>
      </c>
      <c r="D131" s="51"/>
      <c r="E131" s="19">
        <v>0.0</v>
      </c>
      <c r="F131" s="19">
        <v>0.0</v>
      </c>
      <c r="G131" s="19">
        <v>0.0</v>
      </c>
      <c r="H131" s="19">
        <v>0.0</v>
      </c>
      <c r="I131" s="19">
        <v>1.0</v>
      </c>
      <c r="J131" s="19">
        <v>1.0</v>
      </c>
      <c r="K131" s="19">
        <v>2.0</v>
      </c>
      <c r="L131" s="19">
        <v>2.0</v>
      </c>
      <c r="M131" s="19">
        <v>4.0</v>
      </c>
      <c r="N131" s="19">
        <v>0.0</v>
      </c>
      <c r="O131" s="19">
        <v>1.0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1.0</v>
      </c>
      <c r="AB131" s="13">
        <f t="shared" si="14"/>
        <v>12</v>
      </c>
      <c r="AC131" s="53"/>
      <c r="AD131" s="53"/>
    </row>
    <row r="132" ht="12.75" customHeight="1">
      <c r="A132" s="18"/>
      <c r="B132" s="49">
        <v>2.0</v>
      </c>
      <c r="C132" s="50" t="s">
        <v>112</v>
      </c>
      <c r="D132" s="51"/>
      <c r="E132" s="19">
        <v>0.0</v>
      </c>
      <c r="F132" s="19">
        <v>0.0</v>
      </c>
      <c r="G132" s="19">
        <v>0.0</v>
      </c>
      <c r="H132" s="19">
        <v>0.0</v>
      </c>
      <c r="I132" s="19">
        <v>1.0</v>
      </c>
      <c r="J132" s="19">
        <v>1.0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1.0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1.0</v>
      </c>
      <c r="AA132" s="19">
        <v>0.0</v>
      </c>
      <c r="AB132" s="13">
        <f t="shared" si="14"/>
        <v>4</v>
      </c>
      <c r="AC132" s="5"/>
      <c r="AD132" s="5"/>
    </row>
    <row r="133" ht="12.75" customHeight="1">
      <c r="A133" s="18"/>
      <c r="B133" s="49">
        <v>3.0</v>
      </c>
      <c r="C133" s="50" t="s">
        <v>113</v>
      </c>
      <c r="D133" s="51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1.0</v>
      </c>
      <c r="N133" s="19">
        <v>0.0</v>
      </c>
      <c r="O133" s="19">
        <v>0.0</v>
      </c>
      <c r="P133" s="19">
        <v>1.0</v>
      </c>
      <c r="Q133" s="19">
        <v>0.0</v>
      </c>
      <c r="R133" s="19">
        <v>0.0</v>
      </c>
      <c r="S133" s="19">
        <v>1.0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3">
        <f t="shared" si="14"/>
        <v>3</v>
      </c>
      <c r="AC133" s="5"/>
      <c r="AD133" s="5"/>
    </row>
    <row r="134" ht="12.75" customHeight="1">
      <c r="A134" s="18"/>
      <c r="B134" s="49">
        <v>4.0</v>
      </c>
      <c r="C134" s="50" t="s">
        <v>114</v>
      </c>
      <c r="D134" s="51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1.0</v>
      </c>
      <c r="L134" s="19">
        <v>0.0</v>
      </c>
      <c r="M134" s="19">
        <v>0.0</v>
      </c>
      <c r="N134" s="19">
        <v>1.0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3">
        <f t="shared" si="14"/>
        <v>2</v>
      </c>
      <c r="AC134" s="5"/>
      <c r="AD134" s="5"/>
    </row>
    <row r="135" ht="12.75" customHeight="1">
      <c r="A135" s="19" t="s">
        <v>15</v>
      </c>
      <c r="B135" s="47" t="s">
        <v>46</v>
      </c>
      <c r="C135" s="15"/>
      <c r="D135" s="16"/>
      <c r="E135" s="56">
        <f t="shared" ref="E135:AA135" si="26">SUM(E130:E134)</f>
        <v>2</v>
      </c>
      <c r="F135" s="56">
        <f t="shared" si="26"/>
        <v>0</v>
      </c>
      <c r="G135" s="56">
        <f t="shared" si="26"/>
        <v>0</v>
      </c>
      <c r="H135" s="56">
        <f t="shared" si="26"/>
        <v>0</v>
      </c>
      <c r="I135" s="56">
        <f t="shared" si="26"/>
        <v>2</v>
      </c>
      <c r="J135" s="56">
        <f t="shared" si="26"/>
        <v>2</v>
      </c>
      <c r="K135" s="56">
        <f t="shared" si="26"/>
        <v>3</v>
      </c>
      <c r="L135" s="56">
        <f t="shared" si="26"/>
        <v>2</v>
      </c>
      <c r="M135" s="56">
        <f t="shared" si="26"/>
        <v>7</v>
      </c>
      <c r="N135" s="56">
        <f t="shared" si="26"/>
        <v>1</v>
      </c>
      <c r="O135" s="56">
        <f t="shared" si="26"/>
        <v>1</v>
      </c>
      <c r="P135" s="56">
        <f t="shared" si="26"/>
        <v>3</v>
      </c>
      <c r="Q135" s="56">
        <f t="shared" si="26"/>
        <v>1</v>
      </c>
      <c r="R135" s="56">
        <f t="shared" si="26"/>
        <v>0</v>
      </c>
      <c r="S135" s="56">
        <f t="shared" si="26"/>
        <v>1</v>
      </c>
      <c r="T135" s="56">
        <f t="shared" si="26"/>
        <v>0</v>
      </c>
      <c r="U135" s="56">
        <f t="shared" si="26"/>
        <v>1</v>
      </c>
      <c r="V135" s="56">
        <f t="shared" si="26"/>
        <v>0</v>
      </c>
      <c r="W135" s="56">
        <f t="shared" si="26"/>
        <v>0</v>
      </c>
      <c r="X135" s="56">
        <f t="shared" si="26"/>
        <v>0</v>
      </c>
      <c r="Y135" s="56">
        <f t="shared" si="26"/>
        <v>0</v>
      </c>
      <c r="Z135" s="56">
        <f t="shared" si="26"/>
        <v>1</v>
      </c>
      <c r="AA135" s="56">
        <f t="shared" si="26"/>
        <v>2</v>
      </c>
      <c r="AB135" s="13">
        <f t="shared" si="14"/>
        <v>29</v>
      </c>
      <c r="AC135" s="5"/>
      <c r="AD135" s="5"/>
    </row>
    <row r="136" ht="12.75" customHeight="1">
      <c r="A136" s="57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13">
        <f t="shared" si="14"/>
        <v>0</v>
      </c>
      <c r="AC136" s="5"/>
      <c r="AD136" s="5"/>
    </row>
    <row r="137" ht="12.75" customHeight="1">
      <c r="A137" s="30" t="s">
        <v>37</v>
      </c>
      <c r="B137" s="47" t="s">
        <v>115</v>
      </c>
      <c r="C137" s="48" t="s">
        <v>116</v>
      </c>
      <c r="D137" s="16"/>
      <c r="E137" s="19">
        <v>1.0</v>
      </c>
      <c r="F137" s="19">
        <v>0.0</v>
      </c>
      <c r="G137" s="19">
        <v>0.0</v>
      </c>
      <c r="H137" s="19">
        <v>0.0</v>
      </c>
      <c r="I137" s="19">
        <v>0.0</v>
      </c>
      <c r="J137" s="19">
        <v>0.0</v>
      </c>
      <c r="K137" s="19">
        <v>0.0</v>
      </c>
      <c r="L137" s="19">
        <v>0.0</v>
      </c>
      <c r="M137" s="19">
        <v>0.0</v>
      </c>
      <c r="N137" s="19">
        <v>0.0</v>
      </c>
      <c r="O137" s="19">
        <v>0.0</v>
      </c>
      <c r="P137" s="19">
        <v>0.0</v>
      </c>
      <c r="Q137" s="19">
        <v>0.0</v>
      </c>
      <c r="R137" s="19">
        <v>0.0</v>
      </c>
      <c r="S137" s="19">
        <v>1.0</v>
      </c>
      <c r="T137" s="19">
        <v>0.0</v>
      </c>
      <c r="U137" s="19">
        <v>1.0</v>
      </c>
      <c r="V137" s="19">
        <v>1.0</v>
      </c>
      <c r="W137" s="19">
        <v>0.0</v>
      </c>
      <c r="X137" s="19">
        <v>0.0</v>
      </c>
      <c r="Y137" s="19">
        <v>0.0</v>
      </c>
      <c r="Z137" s="19">
        <v>0.0</v>
      </c>
      <c r="AA137" s="19">
        <v>0.0</v>
      </c>
      <c r="AB137" s="13">
        <f t="shared" si="14"/>
        <v>4</v>
      </c>
      <c r="AC137" s="5"/>
      <c r="AD137" s="5"/>
    </row>
    <row r="138" ht="12.75" customHeight="1">
      <c r="A138" s="30" t="s">
        <v>39</v>
      </c>
      <c r="B138" s="49">
        <v>1.0</v>
      </c>
      <c r="C138" s="50" t="s">
        <v>117</v>
      </c>
      <c r="D138" s="51"/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0.0</v>
      </c>
      <c r="K138" s="19">
        <v>1.0</v>
      </c>
      <c r="L138" s="19">
        <v>0.0</v>
      </c>
      <c r="M138" s="19">
        <v>0.0</v>
      </c>
      <c r="N138" s="19">
        <v>0.0</v>
      </c>
      <c r="O138" s="19">
        <v>0.0</v>
      </c>
      <c r="P138" s="19">
        <v>0.0</v>
      </c>
      <c r="Q138" s="19">
        <v>0.0</v>
      </c>
      <c r="R138" s="19">
        <v>0.0</v>
      </c>
      <c r="S138" s="19">
        <v>0.0</v>
      </c>
      <c r="T138" s="19">
        <v>0.0</v>
      </c>
      <c r="U138" s="19">
        <v>0.0</v>
      </c>
      <c r="V138" s="19">
        <v>0.0</v>
      </c>
      <c r="W138" s="19">
        <v>0.0</v>
      </c>
      <c r="X138" s="19">
        <v>0.0</v>
      </c>
      <c r="Y138" s="19">
        <v>0.0</v>
      </c>
      <c r="Z138" s="19">
        <v>0.0</v>
      </c>
      <c r="AA138" s="19">
        <v>0.0</v>
      </c>
      <c r="AB138" s="13">
        <f t="shared" si="14"/>
        <v>1</v>
      </c>
      <c r="AC138" s="5"/>
      <c r="AD138" s="5"/>
    </row>
    <row r="139" ht="15.0" customHeight="1">
      <c r="A139" s="18"/>
      <c r="B139" s="49">
        <v>2.0</v>
      </c>
      <c r="C139" s="50" t="s">
        <v>118</v>
      </c>
      <c r="D139" s="51"/>
      <c r="E139" s="19">
        <v>0.0</v>
      </c>
      <c r="F139" s="19">
        <v>0.0</v>
      </c>
      <c r="G139" s="19">
        <v>0.0</v>
      </c>
      <c r="H139" s="19">
        <v>0.0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19">
        <v>0.0</v>
      </c>
      <c r="Q139" s="19">
        <v>1.0</v>
      </c>
      <c r="R139" s="19">
        <v>0.0</v>
      </c>
      <c r="S139" s="19">
        <v>0.0</v>
      </c>
      <c r="T139" s="19">
        <v>0.0</v>
      </c>
      <c r="U139" s="19">
        <v>0.0</v>
      </c>
      <c r="V139" s="19">
        <v>0.0</v>
      </c>
      <c r="W139" s="19">
        <v>0.0</v>
      </c>
      <c r="X139" s="19">
        <v>0.0</v>
      </c>
      <c r="Y139" s="19">
        <v>0.0</v>
      </c>
      <c r="Z139" s="19">
        <v>0.0</v>
      </c>
      <c r="AA139" s="19">
        <v>0.0</v>
      </c>
      <c r="AB139" s="13">
        <f t="shared" si="14"/>
        <v>1</v>
      </c>
      <c r="AC139" s="5"/>
      <c r="AD139" s="5"/>
    </row>
    <row r="140" ht="12.75" customHeight="1">
      <c r="A140" s="18"/>
      <c r="B140" s="49">
        <v>3.0</v>
      </c>
      <c r="C140" s="50" t="s">
        <v>119</v>
      </c>
      <c r="D140" s="51"/>
      <c r="E140" s="19">
        <v>0.0</v>
      </c>
      <c r="F140" s="19">
        <v>0.0</v>
      </c>
      <c r="G140" s="19">
        <v>0.0</v>
      </c>
      <c r="H140" s="19">
        <v>0.0</v>
      </c>
      <c r="I140" s="19">
        <v>0.0</v>
      </c>
      <c r="J140" s="19">
        <v>0.0</v>
      </c>
      <c r="K140" s="19">
        <v>0.0</v>
      </c>
      <c r="L140" s="19">
        <v>0.0</v>
      </c>
      <c r="M140" s="19">
        <v>0.0</v>
      </c>
      <c r="N140" s="19">
        <v>0.0</v>
      </c>
      <c r="O140" s="19">
        <v>0.0</v>
      </c>
      <c r="P140" s="19">
        <v>0.0</v>
      </c>
      <c r="Q140" s="19">
        <v>0.0</v>
      </c>
      <c r="R140" s="19">
        <v>0.0</v>
      </c>
      <c r="S140" s="19">
        <v>0.0</v>
      </c>
      <c r="T140" s="19">
        <v>0.0</v>
      </c>
      <c r="U140" s="19">
        <v>0.0</v>
      </c>
      <c r="V140" s="19">
        <v>0.0</v>
      </c>
      <c r="W140" s="19">
        <v>0.0</v>
      </c>
      <c r="X140" s="19">
        <v>0.0</v>
      </c>
      <c r="Y140" s="19">
        <v>0.0</v>
      </c>
      <c r="Z140" s="19">
        <v>0.0</v>
      </c>
      <c r="AA140" s="19">
        <v>0.0</v>
      </c>
      <c r="AB140" s="13">
        <f t="shared" si="14"/>
        <v>0</v>
      </c>
      <c r="AC140" s="5"/>
      <c r="AD140" s="5"/>
    </row>
    <row r="141" ht="12.75" customHeight="1">
      <c r="A141" s="18"/>
      <c r="B141" s="49">
        <v>4.0</v>
      </c>
      <c r="C141" s="50" t="s">
        <v>120</v>
      </c>
      <c r="D141" s="51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3">
        <f t="shared" si="14"/>
        <v>0</v>
      </c>
      <c r="AC141" s="1"/>
      <c r="AD141" s="1"/>
    </row>
    <row r="142" ht="12.75" customHeight="1">
      <c r="A142" s="18"/>
      <c r="B142" s="49">
        <v>5.0</v>
      </c>
      <c r="C142" s="50" t="s">
        <v>121</v>
      </c>
      <c r="D142" s="51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3">
        <f t="shared" si="14"/>
        <v>0</v>
      </c>
      <c r="AC142" s="53"/>
      <c r="AD142" s="53"/>
    </row>
    <row r="143" ht="12.75" customHeight="1">
      <c r="A143" s="18"/>
      <c r="B143" s="49">
        <v>6.0</v>
      </c>
      <c r="C143" s="50" t="s">
        <v>122</v>
      </c>
      <c r="D143" s="51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3">
        <f t="shared" si="14"/>
        <v>0</v>
      </c>
      <c r="AC143" s="5"/>
      <c r="AD143" s="5"/>
    </row>
    <row r="144" ht="12.75" customHeight="1">
      <c r="A144" s="19" t="s">
        <v>15</v>
      </c>
      <c r="B144" s="47" t="s">
        <v>46</v>
      </c>
      <c r="C144" s="15"/>
      <c r="D144" s="16"/>
      <c r="E144" s="56">
        <f t="shared" ref="E144:AA144" si="27">SUM(E137:E143)</f>
        <v>1</v>
      </c>
      <c r="F144" s="56">
        <f t="shared" si="27"/>
        <v>0</v>
      </c>
      <c r="G144" s="56">
        <f t="shared" si="27"/>
        <v>0</v>
      </c>
      <c r="H144" s="56">
        <f t="shared" si="27"/>
        <v>0</v>
      </c>
      <c r="I144" s="56">
        <f t="shared" si="27"/>
        <v>0</v>
      </c>
      <c r="J144" s="56">
        <f t="shared" si="27"/>
        <v>0</v>
      </c>
      <c r="K144" s="56">
        <f t="shared" si="27"/>
        <v>1</v>
      </c>
      <c r="L144" s="56">
        <f t="shared" si="27"/>
        <v>0</v>
      </c>
      <c r="M144" s="56">
        <f t="shared" si="27"/>
        <v>0</v>
      </c>
      <c r="N144" s="56">
        <f t="shared" si="27"/>
        <v>0</v>
      </c>
      <c r="O144" s="56">
        <f t="shared" si="27"/>
        <v>0</v>
      </c>
      <c r="P144" s="56">
        <f t="shared" si="27"/>
        <v>0</v>
      </c>
      <c r="Q144" s="56">
        <f t="shared" si="27"/>
        <v>1</v>
      </c>
      <c r="R144" s="56">
        <f t="shared" si="27"/>
        <v>0</v>
      </c>
      <c r="S144" s="56">
        <f t="shared" si="27"/>
        <v>1</v>
      </c>
      <c r="T144" s="56">
        <f t="shared" si="27"/>
        <v>0</v>
      </c>
      <c r="U144" s="56">
        <f t="shared" si="27"/>
        <v>1</v>
      </c>
      <c r="V144" s="56">
        <f t="shared" si="27"/>
        <v>1</v>
      </c>
      <c r="W144" s="56">
        <f t="shared" si="27"/>
        <v>0</v>
      </c>
      <c r="X144" s="56">
        <f t="shared" si="27"/>
        <v>0</v>
      </c>
      <c r="Y144" s="56">
        <f t="shared" si="27"/>
        <v>0</v>
      </c>
      <c r="Z144" s="56">
        <f t="shared" si="27"/>
        <v>0</v>
      </c>
      <c r="AA144" s="56">
        <f t="shared" si="27"/>
        <v>0</v>
      </c>
      <c r="AB144" s="13">
        <f t="shared" si="14"/>
        <v>6</v>
      </c>
      <c r="AC144" s="5"/>
      <c r="AD144" s="5"/>
    </row>
    <row r="145" ht="12.75" customHeight="1">
      <c r="A145" s="57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13">
        <f t="shared" si="14"/>
        <v>0</v>
      </c>
      <c r="AC145" s="5"/>
      <c r="AD145" s="5"/>
    </row>
    <row r="146" ht="12.75" customHeight="1">
      <c r="A146" s="30" t="s">
        <v>37</v>
      </c>
      <c r="B146" s="47" t="s">
        <v>123</v>
      </c>
      <c r="C146" s="48" t="s">
        <v>124</v>
      </c>
      <c r="D146" s="16"/>
      <c r="E146" s="19">
        <v>9.0</v>
      </c>
      <c r="F146" s="19">
        <v>0.0</v>
      </c>
      <c r="G146" s="19">
        <v>5.0</v>
      </c>
      <c r="H146" s="19">
        <v>0.0</v>
      </c>
      <c r="I146" s="19">
        <v>1.0</v>
      </c>
      <c r="J146" s="19">
        <v>0.0</v>
      </c>
      <c r="K146" s="19">
        <v>3.0</v>
      </c>
      <c r="L146" s="19">
        <v>3.0</v>
      </c>
      <c r="M146" s="19">
        <v>1.0</v>
      </c>
      <c r="N146" s="19">
        <v>4.0</v>
      </c>
      <c r="O146" s="19">
        <v>0.0</v>
      </c>
      <c r="P146" s="19">
        <v>3.0</v>
      </c>
      <c r="Q146" s="19">
        <v>0.0</v>
      </c>
      <c r="R146" s="19">
        <v>2.0</v>
      </c>
      <c r="S146" s="19">
        <v>0.0</v>
      </c>
      <c r="T146" s="19">
        <v>5.0</v>
      </c>
      <c r="U146" s="19">
        <v>2.0</v>
      </c>
      <c r="V146" s="19">
        <v>4.0</v>
      </c>
      <c r="W146" s="19">
        <v>0.0</v>
      </c>
      <c r="X146" s="19">
        <v>1.0</v>
      </c>
      <c r="Y146" s="19">
        <v>0.0</v>
      </c>
      <c r="Z146" s="19">
        <v>3.0</v>
      </c>
      <c r="AA146" s="19">
        <v>2.0</v>
      </c>
      <c r="AB146" s="13">
        <f t="shared" si="14"/>
        <v>48</v>
      </c>
      <c r="AC146" s="5"/>
      <c r="AD146" s="5"/>
    </row>
    <row r="147" ht="12.75" customHeight="1">
      <c r="A147" s="30" t="s">
        <v>39</v>
      </c>
      <c r="B147" s="49">
        <v>1.0</v>
      </c>
      <c r="C147" s="50" t="s">
        <v>125</v>
      </c>
      <c r="D147" s="51"/>
      <c r="E147" s="19">
        <v>4.0</v>
      </c>
      <c r="F147" s="19">
        <v>5.0</v>
      </c>
      <c r="G147" s="19">
        <v>2.0</v>
      </c>
      <c r="H147" s="19">
        <v>9.0</v>
      </c>
      <c r="I147" s="19">
        <v>2.0</v>
      </c>
      <c r="J147" s="19">
        <v>1.0</v>
      </c>
      <c r="K147" s="19">
        <v>4.0</v>
      </c>
      <c r="L147" s="19">
        <v>8.0</v>
      </c>
      <c r="M147" s="19">
        <v>9.0</v>
      </c>
      <c r="N147" s="19">
        <v>6.0</v>
      </c>
      <c r="O147" s="19">
        <v>3.0</v>
      </c>
      <c r="P147" s="19">
        <v>0.0</v>
      </c>
      <c r="Q147" s="19">
        <v>1.0</v>
      </c>
      <c r="R147" s="19">
        <v>7.0</v>
      </c>
      <c r="S147" s="19">
        <v>7.0</v>
      </c>
      <c r="T147" s="19">
        <v>3.0</v>
      </c>
      <c r="U147" s="19">
        <v>1.0</v>
      </c>
      <c r="V147" s="19">
        <v>1.0</v>
      </c>
      <c r="W147" s="19">
        <v>3.0</v>
      </c>
      <c r="X147" s="19">
        <v>4.0</v>
      </c>
      <c r="Y147" s="19">
        <v>1.0</v>
      </c>
      <c r="Z147" s="19">
        <v>11.0</v>
      </c>
      <c r="AA147" s="19">
        <v>22.0</v>
      </c>
      <c r="AB147" s="13">
        <f t="shared" si="14"/>
        <v>114</v>
      </c>
      <c r="AC147" s="5"/>
      <c r="AD147" s="5"/>
    </row>
    <row r="148" ht="12.75" customHeight="1">
      <c r="A148" s="18"/>
      <c r="B148" s="49">
        <v>2.0</v>
      </c>
      <c r="C148" s="50" t="s">
        <v>126</v>
      </c>
      <c r="D148" s="51"/>
      <c r="E148" s="19">
        <v>1.0</v>
      </c>
      <c r="F148" s="19">
        <v>0.0</v>
      </c>
      <c r="G148" s="19">
        <v>0.0</v>
      </c>
      <c r="H148" s="19">
        <v>0.0</v>
      </c>
      <c r="I148" s="19">
        <v>0.0</v>
      </c>
      <c r="J148" s="19">
        <v>2.0</v>
      </c>
      <c r="K148" s="19">
        <v>0.0</v>
      </c>
      <c r="L148" s="19">
        <v>1.0</v>
      </c>
      <c r="M148" s="19">
        <v>2.0</v>
      </c>
      <c r="N148" s="19">
        <v>2.0</v>
      </c>
      <c r="O148" s="19">
        <v>1.0</v>
      </c>
      <c r="P148" s="19">
        <v>2.0</v>
      </c>
      <c r="Q148" s="19">
        <v>2.0</v>
      </c>
      <c r="R148" s="19">
        <v>0.0</v>
      </c>
      <c r="S148" s="19">
        <v>0.0</v>
      </c>
      <c r="T148" s="19">
        <v>1.0</v>
      </c>
      <c r="U148" s="19">
        <v>0.0</v>
      </c>
      <c r="V148" s="19">
        <v>1.0</v>
      </c>
      <c r="W148" s="19">
        <v>2.0</v>
      </c>
      <c r="X148" s="19">
        <v>1.0</v>
      </c>
      <c r="Y148" s="19">
        <v>3.0</v>
      </c>
      <c r="Z148" s="19">
        <v>0.0</v>
      </c>
      <c r="AA148" s="19">
        <v>1.0</v>
      </c>
      <c r="AB148" s="13">
        <f t="shared" si="14"/>
        <v>22</v>
      </c>
      <c r="AC148" s="5"/>
      <c r="AD148" s="5"/>
    </row>
    <row r="149" ht="12.75" customHeight="1">
      <c r="A149" s="18"/>
      <c r="B149" s="49">
        <v>3.0</v>
      </c>
      <c r="C149" s="50" t="s">
        <v>127</v>
      </c>
      <c r="D149" s="51"/>
      <c r="E149" s="19">
        <v>40.0</v>
      </c>
      <c r="F149" s="19">
        <v>0.0</v>
      </c>
      <c r="G149" s="19">
        <v>0.0</v>
      </c>
      <c r="H149" s="19">
        <v>0.0</v>
      </c>
      <c r="I149" s="19">
        <v>0.0</v>
      </c>
      <c r="J149" s="19">
        <v>0.0</v>
      </c>
      <c r="K149" s="19">
        <v>2.0</v>
      </c>
      <c r="L149" s="19">
        <v>1.0</v>
      </c>
      <c r="M149" s="19">
        <v>2.0</v>
      </c>
      <c r="N149" s="19">
        <v>1.0</v>
      </c>
      <c r="O149" s="19">
        <v>0.0</v>
      </c>
      <c r="P149" s="19">
        <v>2.0</v>
      </c>
      <c r="Q149" s="19">
        <v>1.0</v>
      </c>
      <c r="R149" s="19">
        <v>1.0</v>
      </c>
      <c r="S149" s="19">
        <v>3.0</v>
      </c>
      <c r="T149" s="19">
        <v>1.0</v>
      </c>
      <c r="U149" s="19">
        <v>0.0</v>
      </c>
      <c r="V149" s="19">
        <v>0.0</v>
      </c>
      <c r="W149" s="19">
        <v>0.0</v>
      </c>
      <c r="X149" s="19">
        <v>0.0</v>
      </c>
      <c r="Y149" s="19">
        <v>0.0</v>
      </c>
      <c r="Z149" s="19">
        <v>2.0</v>
      </c>
      <c r="AA149" s="19">
        <v>3.0</v>
      </c>
      <c r="AB149" s="13">
        <f t="shared" si="14"/>
        <v>59</v>
      </c>
      <c r="AC149" s="5"/>
      <c r="AD149" s="5"/>
    </row>
    <row r="150" ht="12.75" customHeight="1">
      <c r="A150" s="18"/>
      <c r="B150" s="49">
        <v>4.0</v>
      </c>
      <c r="C150" s="50" t="s">
        <v>128</v>
      </c>
      <c r="D150" s="51"/>
      <c r="E150" s="19">
        <v>0.0</v>
      </c>
      <c r="F150" s="19">
        <v>0.0</v>
      </c>
      <c r="G150" s="19">
        <v>0.0</v>
      </c>
      <c r="H150" s="19">
        <v>0.0</v>
      </c>
      <c r="I150" s="19">
        <v>0.0</v>
      </c>
      <c r="J150" s="19">
        <v>0.0</v>
      </c>
      <c r="K150" s="19">
        <v>0.0</v>
      </c>
      <c r="L150" s="19">
        <v>0.0</v>
      </c>
      <c r="M150" s="19">
        <v>1.0</v>
      </c>
      <c r="N150" s="19">
        <v>0.0</v>
      </c>
      <c r="O150" s="19">
        <v>0.0</v>
      </c>
      <c r="P150" s="19">
        <v>2.0</v>
      </c>
      <c r="Q150" s="19">
        <v>0.0</v>
      </c>
      <c r="R150" s="19">
        <v>0.0</v>
      </c>
      <c r="S150" s="19">
        <v>0.0</v>
      </c>
      <c r="T150" s="19">
        <v>0.0</v>
      </c>
      <c r="U150" s="19">
        <v>0.0</v>
      </c>
      <c r="V150" s="19">
        <v>0.0</v>
      </c>
      <c r="W150" s="19">
        <v>1.0</v>
      </c>
      <c r="X150" s="19">
        <v>0.0</v>
      </c>
      <c r="Y150" s="19">
        <v>0.0</v>
      </c>
      <c r="Z150" s="19">
        <v>0.0</v>
      </c>
      <c r="AA150" s="19">
        <v>0.0</v>
      </c>
      <c r="AB150" s="13">
        <f t="shared" si="14"/>
        <v>4</v>
      </c>
      <c r="AC150" s="5"/>
      <c r="AD150" s="5"/>
    </row>
    <row r="151" ht="12.75" customHeight="1">
      <c r="A151" s="18"/>
      <c r="B151" s="49">
        <v>5.0</v>
      </c>
      <c r="C151" s="50" t="s">
        <v>129</v>
      </c>
      <c r="D151" s="51"/>
      <c r="E151" s="19">
        <v>1.0</v>
      </c>
      <c r="F151" s="19">
        <v>0.0</v>
      </c>
      <c r="G151" s="19">
        <v>0.0</v>
      </c>
      <c r="H151" s="19">
        <v>0.0</v>
      </c>
      <c r="I151" s="19">
        <v>0.0</v>
      </c>
      <c r="J151" s="19">
        <v>1.0</v>
      </c>
      <c r="K151" s="19">
        <v>0.0</v>
      </c>
      <c r="L151" s="19">
        <v>0.0</v>
      </c>
      <c r="M151" s="19">
        <v>0.0</v>
      </c>
      <c r="N151" s="19">
        <v>1.0</v>
      </c>
      <c r="O151" s="19">
        <v>0.0</v>
      </c>
      <c r="P151" s="19">
        <v>0.0</v>
      </c>
      <c r="Q151" s="19">
        <v>0.0</v>
      </c>
      <c r="R151" s="19">
        <v>1.0</v>
      </c>
      <c r="S151" s="19">
        <v>0.0</v>
      </c>
      <c r="T151" s="19">
        <v>0.0</v>
      </c>
      <c r="U151" s="19">
        <v>0.0</v>
      </c>
      <c r="V151" s="19">
        <v>0.0</v>
      </c>
      <c r="W151" s="19">
        <v>0.0</v>
      </c>
      <c r="X151" s="19">
        <v>0.0</v>
      </c>
      <c r="Y151" s="19">
        <v>0.0</v>
      </c>
      <c r="Z151" s="19">
        <v>1.0</v>
      </c>
      <c r="AA151" s="19">
        <v>0.0</v>
      </c>
      <c r="AB151" s="13">
        <f t="shared" si="14"/>
        <v>5</v>
      </c>
      <c r="AC151" s="1"/>
      <c r="AD151" s="1"/>
    </row>
    <row r="152" ht="12.75" customHeight="1">
      <c r="A152" s="18"/>
      <c r="B152" s="49">
        <v>6.0</v>
      </c>
      <c r="C152" s="50" t="s">
        <v>130</v>
      </c>
      <c r="D152" s="51"/>
      <c r="E152" s="19">
        <v>0.0</v>
      </c>
      <c r="F152" s="19">
        <v>0.0</v>
      </c>
      <c r="G152" s="19">
        <v>0.0</v>
      </c>
      <c r="H152" s="19">
        <v>0.0</v>
      </c>
      <c r="I152" s="19">
        <v>0.0</v>
      </c>
      <c r="J152" s="19">
        <v>0.0</v>
      </c>
      <c r="K152" s="19">
        <v>1.0</v>
      </c>
      <c r="L152" s="19">
        <v>0.0</v>
      </c>
      <c r="M152" s="19">
        <v>2.0</v>
      </c>
      <c r="N152" s="19">
        <v>2.0</v>
      </c>
      <c r="O152" s="19">
        <v>0.0</v>
      </c>
      <c r="P152" s="19">
        <v>3.0</v>
      </c>
      <c r="Q152" s="19">
        <v>0.0</v>
      </c>
      <c r="R152" s="19">
        <v>0.0</v>
      </c>
      <c r="S152" s="19">
        <v>0.0</v>
      </c>
      <c r="T152" s="19">
        <v>52.0</v>
      </c>
      <c r="U152" s="19">
        <v>8.0</v>
      </c>
      <c r="V152" s="19">
        <v>4.0</v>
      </c>
      <c r="W152" s="19">
        <v>0.0</v>
      </c>
      <c r="X152" s="19">
        <v>1.0</v>
      </c>
      <c r="Y152" s="19">
        <v>1.0</v>
      </c>
      <c r="Z152" s="19">
        <v>4.0</v>
      </c>
      <c r="AA152" s="19">
        <v>3.0</v>
      </c>
      <c r="AB152" s="13">
        <f t="shared" si="14"/>
        <v>81</v>
      </c>
      <c r="AC152" s="53"/>
      <c r="AD152" s="53"/>
    </row>
    <row r="153" ht="12.75" customHeight="1">
      <c r="A153" s="19" t="s">
        <v>15</v>
      </c>
      <c r="B153" s="47" t="s">
        <v>46</v>
      </c>
      <c r="C153" s="15"/>
      <c r="D153" s="16"/>
      <c r="E153" s="56">
        <f t="shared" ref="E153:AA153" si="28">SUM(E146:E152)</f>
        <v>55</v>
      </c>
      <c r="F153" s="56">
        <f t="shared" si="28"/>
        <v>5</v>
      </c>
      <c r="G153" s="56">
        <f t="shared" si="28"/>
        <v>7</v>
      </c>
      <c r="H153" s="56">
        <f t="shared" si="28"/>
        <v>9</v>
      </c>
      <c r="I153" s="56">
        <f t="shared" si="28"/>
        <v>3</v>
      </c>
      <c r="J153" s="56">
        <f t="shared" si="28"/>
        <v>4</v>
      </c>
      <c r="K153" s="56">
        <f t="shared" si="28"/>
        <v>10</v>
      </c>
      <c r="L153" s="56">
        <f t="shared" si="28"/>
        <v>13</v>
      </c>
      <c r="M153" s="56">
        <f t="shared" si="28"/>
        <v>17</v>
      </c>
      <c r="N153" s="56">
        <f t="shared" si="28"/>
        <v>16</v>
      </c>
      <c r="O153" s="56">
        <f t="shared" si="28"/>
        <v>4</v>
      </c>
      <c r="P153" s="56">
        <f t="shared" si="28"/>
        <v>12</v>
      </c>
      <c r="Q153" s="56">
        <f t="shared" si="28"/>
        <v>4</v>
      </c>
      <c r="R153" s="56">
        <f t="shared" si="28"/>
        <v>11</v>
      </c>
      <c r="S153" s="56">
        <f t="shared" si="28"/>
        <v>10</v>
      </c>
      <c r="T153" s="56">
        <f t="shared" si="28"/>
        <v>62</v>
      </c>
      <c r="U153" s="56">
        <f t="shared" si="28"/>
        <v>11</v>
      </c>
      <c r="V153" s="56">
        <f t="shared" si="28"/>
        <v>10</v>
      </c>
      <c r="W153" s="56">
        <f t="shared" si="28"/>
        <v>6</v>
      </c>
      <c r="X153" s="56">
        <f t="shared" si="28"/>
        <v>7</v>
      </c>
      <c r="Y153" s="56">
        <f t="shared" si="28"/>
        <v>5</v>
      </c>
      <c r="Z153" s="56">
        <f t="shared" si="28"/>
        <v>21</v>
      </c>
      <c r="AA153" s="56">
        <f t="shared" si="28"/>
        <v>31</v>
      </c>
      <c r="AB153" s="13">
        <f t="shared" si="14"/>
        <v>333</v>
      </c>
      <c r="AC153" s="5"/>
      <c r="AD153" s="5"/>
    </row>
    <row r="154" ht="12.75" customHeight="1">
      <c r="A154" s="57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13">
        <f t="shared" si="14"/>
        <v>0</v>
      </c>
      <c r="AC154" s="5"/>
      <c r="AD154" s="5"/>
    </row>
    <row r="155" ht="12.75" customHeight="1">
      <c r="A155" s="30" t="s">
        <v>37</v>
      </c>
      <c r="B155" s="47" t="s">
        <v>131</v>
      </c>
      <c r="C155" s="48" t="s">
        <v>132</v>
      </c>
      <c r="D155" s="16"/>
      <c r="E155" s="19">
        <v>1.0</v>
      </c>
      <c r="F155" s="19">
        <v>0.0</v>
      </c>
      <c r="G155" s="19">
        <v>0.0</v>
      </c>
      <c r="H155" s="19">
        <v>0.0</v>
      </c>
      <c r="I155" s="19">
        <v>0.0</v>
      </c>
      <c r="J155" s="19">
        <v>1.0</v>
      </c>
      <c r="K155" s="19">
        <v>0.0</v>
      </c>
      <c r="L155" s="19">
        <v>0.0</v>
      </c>
      <c r="M155" s="19">
        <v>0.0</v>
      </c>
      <c r="N155" s="19">
        <v>1.0</v>
      </c>
      <c r="O155" s="19">
        <v>0.0</v>
      </c>
      <c r="P155" s="19">
        <v>1.0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2.0</v>
      </c>
      <c r="X155" s="19">
        <v>1.0</v>
      </c>
      <c r="Y155" s="19">
        <v>1.0</v>
      </c>
      <c r="Z155" s="19">
        <v>1.0</v>
      </c>
      <c r="AA155" s="19">
        <v>1.0</v>
      </c>
      <c r="AB155" s="13">
        <f t="shared" si="14"/>
        <v>10</v>
      </c>
      <c r="AC155" s="5"/>
      <c r="AD155" s="5"/>
    </row>
    <row r="156" ht="12.75" customHeight="1">
      <c r="A156" s="30" t="s">
        <v>39</v>
      </c>
      <c r="B156" s="49"/>
      <c r="C156" s="50" t="s">
        <v>133</v>
      </c>
      <c r="D156" s="51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3">
        <f t="shared" si="14"/>
        <v>0</v>
      </c>
      <c r="AC156" s="5"/>
      <c r="AD156" s="5"/>
    </row>
    <row r="157" ht="12.75" customHeight="1">
      <c r="A157" s="19" t="s">
        <v>15</v>
      </c>
      <c r="B157" s="47" t="s">
        <v>46</v>
      </c>
      <c r="C157" s="15"/>
      <c r="D157" s="16"/>
      <c r="E157" s="56">
        <f t="shared" ref="E157:AA157" si="29">SUM(E155:E156)</f>
        <v>1</v>
      </c>
      <c r="F157" s="56">
        <f t="shared" si="29"/>
        <v>0</v>
      </c>
      <c r="G157" s="56">
        <f t="shared" si="29"/>
        <v>0</v>
      </c>
      <c r="H157" s="56">
        <f t="shared" si="29"/>
        <v>0</v>
      </c>
      <c r="I157" s="56">
        <f t="shared" si="29"/>
        <v>0</v>
      </c>
      <c r="J157" s="56">
        <f t="shared" si="29"/>
        <v>1</v>
      </c>
      <c r="K157" s="56">
        <f t="shared" si="29"/>
        <v>0</v>
      </c>
      <c r="L157" s="56">
        <f t="shared" si="29"/>
        <v>0</v>
      </c>
      <c r="M157" s="56">
        <f t="shared" si="29"/>
        <v>0</v>
      </c>
      <c r="N157" s="56">
        <f t="shared" si="29"/>
        <v>1</v>
      </c>
      <c r="O157" s="56">
        <f t="shared" si="29"/>
        <v>0</v>
      </c>
      <c r="P157" s="56">
        <f t="shared" si="29"/>
        <v>1</v>
      </c>
      <c r="Q157" s="56">
        <f t="shared" si="29"/>
        <v>0</v>
      </c>
      <c r="R157" s="56">
        <f t="shared" si="29"/>
        <v>0</v>
      </c>
      <c r="S157" s="56">
        <f t="shared" si="29"/>
        <v>0</v>
      </c>
      <c r="T157" s="56">
        <f t="shared" si="29"/>
        <v>0</v>
      </c>
      <c r="U157" s="56">
        <f t="shared" si="29"/>
        <v>0</v>
      </c>
      <c r="V157" s="56">
        <f t="shared" si="29"/>
        <v>0</v>
      </c>
      <c r="W157" s="56">
        <f t="shared" si="29"/>
        <v>2</v>
      </c>
      <c r="X157" s="56">
        <f t="shared" si="29"/>
        <v>1</v>
      </c>
      <c r="Y157" s="56">
        <f t="shared" si="29"/>
        <v>1</v>
      </c>
      <c r="Z157" s="56">
        <f t="shared" si="29"/>
        <v>1</v>
      </c>
      <c r="AA157" s="56">
        <f t="shared" si="29"/>
        <v>1</v>
      </c>
      <c r="AB157" s="13">
        <f t="shared" si="14"/>
        <v>10</v>
      </c>
      <c r="AC157" s="5"/>
      <c r="AD157" s="5"/>
    </row>
    <row r="158" ht="12.75" customHeight="1">
      <c r="A158" s="57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13">
        <f t="shared" si="14"/>
        <v>0</v>
      </c>
      <c r="AC158" s="5"/>
      <c r="AD158" s="5"/>
    </row>
    <row r="159" ht="12.75" customHeight="1">
      <c r="A159" s="30" t="s">
        <v>37</v>
      </c>
      <c r="B159" s="47" t="s">
        <v>134</v>
      </c>
      <c r="C159" s="48" t="s">
        <v>135</v>
      </c>
      <c r="D159" s="16"/>
      <c r="E159" s="19">
        <v>1.0</v>
      </c>
      <c r="F159" s="19">
        <v>0.0</v>
      </c>
      <c r="G159" s="19">
        <v>0.0</v>
      </c>
      <c r="H159" s="19">
        <v>1.0</v>
      </c>
      <c r="I159" s="19">
        <v>1.0</v>
      </c>
      <c r="J159" s="19">
        <v>0.0</v>
      </c>
      <c r="K159" s="19">
        <v>0.0</v>
      </c>
      <c r="L159" s="19">
        <v>1.0</v>
      </c>
      <c r="M159" s="19">
        <v>0.0</v>
      </c>
      <c r="N159" s="19">
        <v>0.0</v>
      </c>
      <c r="O159" s="19">
        <v>0.0</v>
      </c>
      <c r="P159" s="19">
        <v>0.0</v>
      </c>
      <c r="Q159" s="19">
        <v>0.0</v>
      </c>
      <c r="R159" s="19">
        <v>0.0</v>
      </c>
      <c r="S159" s="19">
        <v>0.0</v>
      </c>
      <c r="T159" s="19">
        <v>0.0</v>
      </c>
      <c r="U159" s="19">
        <v>0.0</v>
      </c>
      <c r="V159" s="19">
        <v>0.0</v>
      </c>
      <c r="W159" s="19">
        <v>0.0</v>
      </c>
      <c r="X159" s="19">
        <v>0.0</v>
      </c>
      <c r="Y159" s="19">
        <v>0.0</v>
      </c>
      <c r="Z159" s="19">
        <v>0.0</v>
      </c>
      <c r="AA159" s="19">
        <v>0.0</v>
      </c>
      <c r="AB159" s="13">
        <f t="shared" si="14"/>
        <v>4</v>
      </c>
      <c r="AC159" s="5"/>
      <c r="AD159" s="5"/>
    </row>
    <row r="160" ht="12.75" customHeight="1">
      <c r="A160" s="30"/>
      <c r="B160" s="49">
        <v>1.0</v>
      </c>
      <c r="C160" s="50" t="s">
        <v>136</v>
      </c>
      <c r="D160" s="59"/>
      <c r="E160" s="19">
        <v>1.0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0.0</v>
      </c>
      <c r="P160" s="19">
        <v>1.0</v>
      </c>
      <c r="Q160" s="19">
        <v>0.0</v>
      </c>
      <c r="R160" s="19">
        <v>1.0</v>
      </c>
      <c r="S160" s="19">
        <v>0.0</v>
      </c>
      <c r="T160" s="19">
        <v>0.0</v>
      </c>
      <c r="U160" s="19">
        <v>0.0</v>
      </c>
      <c r="V160" s="19">
        <v>0.0</v>
      </c>
      <c r="W160" s="19">
        <v>0.0</v>
      </c>
      <c r="X160" s="19">
        <v>0.0</v>
      </c>
      <c r="Y160" s="19">
        <v>1.0</v>
      </c>
      <c r="Z160" s="19">
        <v>0.0</v>
      </c>
      <c r="AA160" s="19">
        <v>0.0</v>
      </c>
      <c r="AB160" s="13">
        <f t="shared" si="14"/>
        <v>4</v>
      </c>
      <c r="AC160" s="5"/>
      <c r="AD160" s="5"/>
    </row>
    <row r="161" ht="12.75" customHeight="1">
      <c r="A161" s="30"/>
      <c r="B161" s="49">
        <v>2.0</v>
      </c>
      <c r="C161" s="50" t="s">
        <v>137</v>
      </c>
      <c r="D161" s="59"/>
      <c r="E161" s="19">
        <v>2.0</v>
      </c>
      <c r="F161" s="19">
        <v>2.0</v>
      </c>
      <c r="G161" s="19">
        <v>1.0</v>
      </c>
      <c r="H161" s="19">
        <v>1.0</v>
      </c>
      <c r="I161" s="19">
        <v>3.0</v>
      </c>
      <c r="J161" s="19">
        <v>0.0</v>
      </c>
      <c r="K161" s="19">
        <v>0.0</v>
      </c>
      <c r="L161" s="19">
        <v>2.0</v>
      </c>
      <c r="M161" s="19">
        <v>1.0</v>
      </c>
      <c r="N161" s="19">
        <v>0.0</v>
      </c>
      <c r="O161" s="19">
        <v>1.0</v>
      </c>
      <c r="P161" s="19">
        <v>0.0</v>
      </c>
      <c r="Q161" s="19">
        <v>1.0</v>
      </c>
      <c r="R161" s="19">
        <v>0.0</v>
      </c>
      <c r="S161" s="19">
        <v>0.0</v>
      </c>
      <c r="T161" s="19">
        <v>1.0</v>
      </c>
      <c r="U161" s="19">
        <v>3.0</v>
      </c>
      <c r="V161" s="19">
        <v>0.0</v>
      </c>
      <c r="W161" s="19">
        <v>0.0</v>
      </c>
      <c r="X161" s="19">
        <v>0.0</v>
      </c>
      <c r="Y161" s="19">
        <v>0.0</v>
      </c>
      <c r="Z161" s="19">
        <v>0.0</v>
      </c>
      <c r="AA161" s="19">
        <v>2.0</v>
      </c>
      <c r="AB161" s="13">
        <f t="shared" si="14"/>
        <v>20</v>
      </c>
      <c r="AC161" s="5"/>
      <c r="AD161" s="5"/>
    </row>
    <row r="162" ht="12.75" customHeight="1">
      <c r="A162" s="30" t="s">
        <v>39</v>
      </c>
      <c r="B162" s="49">
        <v>3.0</v>
      </c>
      <c r="C162" s="50" t="s">
        <v>138</v>
      </c>
      <c r="D162" s="59"/>
      <c r="E162" s="19">
        <v>0.0</v>
      </c>
      <c r="F162" s="19">
        <v>0.0</v>
      </c>
      <c r="G162" s="19">
        <v>0.0</v>
      </c>
      <c r="H162" s="19">
        <v>0.0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0.0</v>
      </c>
      <c r="P162" s="19">
        <v>0.0</v>
      </c>
      <c r="Q162" s="19">
        <v>0.0</v>
      </c>
      <c r="R162" s="19">
        <v>0.0</v>
      </c>
      <c r="S162" s="19">
        <v>0.0</v>
      </c>
      <c r="T162" s="19">
        <v>0.0</v>
      </c>
      <c r="U162" s="19">
        <v>0.0</v>
      </c>
      <c r="V162" s="19">
        <v>1.0</v>
      </c>
      <c r="W162" s="19">
        <v>0.0</v>
      </c>
      <c r="X162" s="19">
        <v>0.0</v>
      </c>
      <c r="Y162" s="19">
        <v>0.0</v>
      </c>
      <c r="Z162" s="19">
        <v>0.0</v>
      </c>
      <c r="AA162" s="19">
        <v>0.0</v>
      </c>
      <c r="AB162" s="13">
        <f t="shared" si="14"/>
        <v>1</v>
      </c>
      <c r="AC162" s="5"/>
      <c r="AD162" s="5"/>
    </row>
    <row r="163" ht="15.0" customHeight="1">
      <c r="A163" s="19" t="s">
        <v>15</v>
      </c>
      <c r="B163" s="47" t="s">
        <v>46</v>
      </c>
      <c r="C163" s="15"/>
      <c r="D163" s="16"/>
      <c r="E163" s="56">
        <f t="shared" ref="E163:AA163" si="30">SUM(E159:E162)</f>
        <v>4</v>
      </c>
      <c r="F163" s="56">
        <f t="shared" si="30"/>
        <v>2</v>
      </c>
      <c r="G163" s="56">
        <f t="shared" si="30"/>
        <v>1</v>
      </c>
      <c r="H163" s="56">
        <f t="shared" si="30"/>
        <v>2</v>
      </c>
      <c r="I163" s="56">
        <f t="shared" si="30"/>
        <v>4</v>
      </c>
      <c r="J163" s="56">
        <f t="shared" si="30"/>
        <v>0</v>
      </c>
      <c r="K163" s="56">
        <f t="shared" si="30"/>
        <v>0</v>
      </c>
      <c r="L163" s="56">
        <f t="shared" si="30"/>
        <v>3</v>
      </c>
      <c r="M163" s="56">
        <f t="shared" si="30"/>
        <v>1</v>
      </c>
      <c r="N163" s="56">
        <f t="shared" si="30"/>
        <v>0</v>
      </c>
      <c r="O163" s="56">
        <f t="shared" si="30"/>
        <v>1</v>
      </c>
      <c r="P163" s="56">
        <f t="shared" si="30"/>
        <v>1</v>
      </c>
      <c r="Q163" s="56">
        <f t="shared" si="30"/>
        <v>1</v>
      </c>
      <c r="R163" s="56">
        <f t="shared" si="30"/>
        <v>1</v>
      </c>
      <c r="S163" s="56">
        <f t="shared" si="30"/>
        <v>0</v>
      </c>
      <c r="T163" s="56">
        <f t="shared" si="30"/>
        <v>1</v>
      </c>
      <c r="U163" s="56">
        <f t="shared" si="30"/>
        <v>3</v>
      </c>
      <c r="V163" s="56">
        <f t="shared" si="30"/>
        <v>1</v>
      </c>
      <c r="W163" s="56">
        <f t="shared" si="30"/>
        <v>0</v>
      </c>
      <c r="X163" s="56">
        <f t="shared" si="30"/>
        <v>0</v>
      </c>
      <c r="Y163" s="56">
        <f t="shared" si="30"/>
        <v>1</v>
      </c>
      <c r="Z163" s="56">
        <f t="shared" si="30"/>
        <v>0</v>
      </c>
      <c r="AA163" s="56">
        <f t="shared" si="30"/>
        <v>2</v>
      </c>
      <c r="AB163" s="13">
        <f t="shared" si="14"/>
        <v>29</v>
      </c>
      <c r="AC163" s="5"/>
      <c r="AD163" s="5"/>
    </row>
    <row r="164" ht="12.75" customHeight="1">
      <c r="A164" s="57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13">
        <f t="shared" si="14"/>
        <v>0</v>
      </c>
      <c r="AC164" s="5"/>
      <c r="AD164" s="5"/>
    </row>
    <row r="165" ht="12.75" customHeight="1">
      <c r="A165" s="30" t="s">
        <v>37</v>
      </c>
      <c r="B165" s="47" t="s">
        <v>139</v>
      </c>
      <c r="C165" s="48" t="s">
        <v>140</v>
      </c>
      <c r="D165" s="16"/>
      <c r="E165" s="19">
        <v>0.0</v>
      </c>
      <c r="F165" s="19">
        <v>2.0</v>
      </c>
      <c r="G165" s="19">
        <v>4.0</v>
      </c>
      <c r="H165" s="19">
        <v>4.0</v>
      </c>
      <c r="I165" s="19">
        <v>5.0</v>
      </c>
      <c r="J165" s="19">
        <v>0.0</v>
      </c>
      <c r="K165" s="19">
        <v>1.0</v>
      </c>
      <c r="L165" s="19">
        <v>9.0</v>
      </c>
      <c r="M165" s="19">
        <v>0.0</v>
      </c>
      <c r="N165" s="19">
        <v>2.0</v>
      </c>
      <c r="O165" s="19">
        <v>1.0</v>
      </c>
      <c r="P165" s="19">
        <v>0.0</v>
      </c>
      <c r="Q165" s="19">
        <v>3.0</v>
      </c>
      <c r="R165" s="19">
        <v>3.0</v>
      </c>
      <c r="S165" s="19">
        <v>1.0</v>
      </c>
      <c r="T165" s="19">
        <v>1.0</v>
      </c>
      <c r="U165" s="19">
        <v>3.0</v>
      </c>
      <c r="V165" s="19">
        <v>5.0</v>
      </c>
      <c r="W165" s="19">
        <v>4.0</v>
      </c>
      <c r="X165" s="19">
        <v>6.0</v>
      </c>
      <c r="Y165" s="19">
        <v>2.0</v>
      </c>
      <c r="Z165" s="19">
        <v>2.0</v>
      </c>
      <c r="AA165" s="19">
        <v>1.0</v>
      </c>
      <c r="AB165" s="13">
        <f t="shared" si="14"/>
        <v>59</v>
      </c>
      <c r="AC165" s="1"/>
      <c r="AD165" s="1"/>
    </row>
    <row r="166" ht="12.75" customHeight="1">
      <c r="A166" s="30" t="s">
        <v>39</v>
      </c>
      <c r="B166" s="49">
        <v>1.0</v>
      </c>
      <c r="C166" s="50" t="s">
        <v>141</v>
      </c>
      <c r="D166" s="51"/>
      <c r="E166" s="19">
        <v>4.0</v>
      </c>
      <c r="F166" s="19">
        <v>2.0</v>
      </c>
      <c r="G166" s="19">
        <v>9.0</v>
      </c>
      <c r="H166" s="19">
        <v>17.0</v>
      </c>
      <c r="I166" s="19">
        <v>7.0</v>
      </c>
      <c r="J166" s="19">
        <v>9.0</v>
      </c>
      <c r="K166" s="19">
        <v>5.0</v>
      </c>
      <c r="L166" s="19">
        <v>8.0</v>
      </c>
      <c r="M166" s="19">
        <v>1.0</v>
      </c>
      <c r="N166" s="19">
        <v>6.0</v>
      </c>
      <c r="O166" s="19">
        <v>0.0</v>
      </c>
      <c r="P166" s="19">
        <v>0.0</v>
      </c>
      <c r="Q166" s="19">
        <v>0.0</v>
      </c>
      <c r="R166" s="19">
        <v>0.0</v>
      </c>
      <c r="S166" s="19">
        <v>3.0</v>
      </c>
      <c r="T166" s="19">
        <v>3.0</v>
      </c>
      <c r="U166" s="19">
        <v>7.0</v>
      </c>
      <c r="V166" s="19">
        <v>2.0</v>
      </c>
      <c r="W166" s="19">
        <v>1.0</v>
      </c>
      <c r="X166" s="19">
        <v>2.0</v>
      </c>
      <c r="Y166" s="19">
        <v>8.0</v>
      </c>
      <c r="Z166" s="19">
        <v>2.0</v>
      </c>
      <c r="AA166" s="19">
        <v>0.0</v>
      </c>
      <c r="AB166" s="13">
        <f t="shared" si="14"/>
        <v>96</v>
      </c>
      <c r="AC166" s="53"/>
      <c r="AD166" s="53"/>
    </row>
    <row r="167" ht="12.75" customHeight="1">
      <c r="A167" s="18"/>
      <c r="B167" s="49">
        <v>2.0</v>
      </c>
      <c r="C167" s="50" t="s">
        <v>142</v>
      </c>
      <c r="D167" s="51"/>
      <c r="E167" s="19">
        <v>12.0</v>
      </c>
      <c r="F167" s="19">
        <v>42.0</v>
      </c>
      <c r="G167" s="19">
        <v>25.0</v>
      </c>
      <c r="H167" s="19">
        <v>36.0</v>
      </c>
      <c r="I167" s="19">
        <v>35.0</v>
      </c>
      <c r="J167" s="19">
        <v>8.0</v>
      </c>
      <c r="K167" s="19">
        <v>1.0</v>
      </c>
      <c r="L167" s="19">
        <v>106.0</v>
      </c>
      <c r="M167" s="19">
        <v>18.0</v>
      </c>
      <c r="N167" s="19">
        <v>11.0</v>
      </c>
      <c r="O167" s="19">
        <v>53.0</v>
      </c>
      <c r="P167" s="19">
        <v>39.0</v>
      </c>
      <c r="Q167" s="19">
        <v>22.0</v>
      </c>
      <c r="R167" s="19">
        <v>37.0</v>
      </c>
      <c r="S167" s="19">
        <v>1.0</v>
      </c>
      <c r="T167" s="19">
        <v>4.0</v>
      </c>
      <c r="U167" s="19">
        <v>7.0</v>
      </c>
      <c r="V167" s="19">
        <v>2.0</v>
      </c>
      <c r="W167" s="19">
        <v>50.0</v>
      </c>
      <c r="X167" s="19">
        <v>45.0</v>
      </c>
      <c r="Y167" s="19">
        <v>42.0</v>
      </c>
      <c r="Z167" s="19">
        <v>5.0</v>
      </c>
      <c r="AA167" s="19">
        <v>13.0</v>
      </c>
      <c r="AB167" s="13">
        <f t="shared" si="14"/>
        <v>614</v>
      </c>
      <c r="AC167" s="5"/>
      <c r="AD167" s="5"/>
    </row>
    <row r="168" ht="12.75" customHeight="1">
      <c r="A168" s="18"/>
      <c r="B168" s="49">
        <v>3.0</v>
      </c>
      <c r="C168" s="50" t="s">
        <v>143</v>
      </c>
      <c r="D168" s="51"/>
      <c r="E168" s="19">
        <v>0.0</v>
      </c>
      <c r="F168" s="19">
        <v>0.0</v>
      </c>
      <c r="G168" s="19">
        <v>1.0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1.0</v>
      </c>
      <c r="O168" s="19">
        <v>1.0</v>
      </c>
      <c r="P168" s="19">
        <v>1.0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1.0</v>
      </c>
      <c r="Y168" s="19">
        <v>0.0</v>
      </c>
      <c r="Z168" s="19">
        <v>0.0</v>
      </c>
      <c r="AA168" s="19">
        <v>0.0</v>
      </c>
      <c r="AB168" s="13">
        <f t="shared" si="14"/>
        <v>5</v>
      </c>
      <c r="AC168" s="5"/>
      <c r="AD168" s="5"/>
    </row>
    <row r="169" ht="12.75" customHeight="1">
      <c r="A169" s="18"/>
      <c r="B169" s="49">
        <v>4.0</v>
      </c>
      <c r="C169" s="50" t="s">
        <v>144</v>
      </c>
      <c r="D169" s="51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1.0</v>
      </c>
      <c r="M169" s="19">
        <v>0.0</v>
      </c>
      <c r="N169" s="19">
        <v>1.0</v>
      </c>
      <c r="O169" s="19">
        <v>0.0</v>
      </c>
      <c r="P169" s="19">
        <v>1.0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3">
        <f t="shared" si="14"/>
        <v>3</v>
      </c>
      <c r="AC169" s="5"/>
      <c r="AD169" s="5"/>
    </row>
    <row r="170" ht="12.75" customHeight="1">
      <c r="A170" s="18"/>
      <c r="B170" s="49">
        <v>5.0</v>
      </c>
      <c r="C170" s="50" t="s">
        <v>145</v>
      </c>
      <c r="D170" s="51"/>
      <c r="E170" s="19">
        <v>1.0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1.0</v>
      </c>
      <c r="M170" s="19">
        <v>0.0</v>
      </c>
      <c r="N170" s="19">
        <v>0.0</v>
      </c>
      <c r="O170" s="19">
        <v>0.0</v>
      </c>
      <c r="P170" s="19">
        <v>1.0</v>
      </c>
      <c r="Q170" s="19">
        <v>0.0</v>
      </c>
      <c r="R170" s="19">
        <v>1.0</v>
      </c>
      <c r="S170" s="19">
        <v>0.0</v>
      </c>
      <c r="T170" s="19">
        <v>0.0</v>
      </c>
      <c r="U170" s="19">
        <v>0.0</v>
      </c>
      <c r="V170" s="19">
        <v>0.0</v>
      </c>
      <c r="W170" s="19">
        <v>1.0</v>
      </c>
      <c r="X170" s="19">
        <v>0.0</v>
      </c>
      <c r="Y170" s="19">
        <v>0.0</v>
      </c>
      <c r="Z170" s="19">
        <v>0.0</v>
      </c>
      <c r="AA170" s="19">
        <v>0.0</v>
      </c>
      <c r="AB170" s="13">
        <f t="shared" si="14"/>
        <v>5</v>
      </c>
      <c r="AC170" s="5"/>
      <c r="AD170" s="5"/>
    </row>
    <row r="171" ht="12.75" customHeight="1">
      <c r="A171" s="18"/>
      <c r="B171" s="49">
        <v>6.0</v>
      </c>
      <c r="C171" s="50" t="s">
        <v>146</v>
      </c>
      <c r="D171" s="51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1.0</v>
      </c>
      <c r="M171" s="19">
        <v>0.0</v>
      </c>
      <c r="N171" s="19">
        <v>1.0</v>
      </c>
      <c r="O171" s="19">
        <v>0.0</v>
      </c>
      <c r="P171" s="19">
        <v>0.0</v>
      </c>
      <c r="Q171" s="19">
        <v>0.0</v>
      </c>
      <c r="R171" s="19">
        <v>1.0</v>
      </c>
      <c r="S171" s="19">
        <v>0.0</v>
      </c>
      <c r="T171" s="19">
        <v>0.0</v>
      </c>
      <c r="U171" s="19">
        <v>0.0</v>
      </c>
      <c r="V171" s="19">
        <v>2.0</v>
      </c>
      <c r="W171" s="19">
        <v>0.0</v>
      </c>
      <c r="X171" s="19">
        <v>0.0</v>
      </c>
      <c r="Y171" s="19">
        <v>1.0</v>
      </c>
      <c r="Z171" s="19">
        <v>0.0</v>
      </c>
      <c r="AA171" s="19">
        <v>0.0</v>
      </c>
      <c r="AB171" s="13">
        <f t="shared" si="14"/>
        <v>6</v>
      </c>
      <c r="AC171" s="5"/>
      <c r="AD171" s="5"/>
    </row>
    <row r="172" ht="12.75" customHeight="1">
      <c r="A172" s="19" t="s">
        <v>15</v>
      </c>
      <c r="B172" s="47" t="s">
        <v>46</v>
      </c>
      <c r="C172" s="15"/>
      <c r="D172" s="16"/>
      <c r="E172" s="56">
        <f t="shared" ref="E172:AA172" si="31">SUM(E165:E171)</f>
        <v>17</v>
      </c>
      <c r="F172" s="56">
        <f t="shared" si="31"/>
        <v>46</v>
      </c>
      <c r="G172" s="56">
        <f t="shared" si="31"/>
        <v>39</v>
      </c>
      <c r="H172" s="56">
        <f t="shared" si="31"/>
        <v>57</v>
      </c>
      <c r="I172" s="56">
        <f t="shared" si="31"/>
        <v>47</v>
      </c>
      <c r="J172" s="56">
        <f t="shared" si="31"/>
        <v>17</v>
      </c>
      <c r="K172" s="56">
        <f t="shared" si="31"/>
        <v>7</v>
      </c>
      <c r="L172" s="56">
        <f t="shared" si="31"/>
        <v>126</v>
      </c>
      <c r="M172" s="56">
        <f t="shared" si="31"/>
        <v>19</v>
      </c>
      <c r="N172" s="56">
        <f t="shared" si="31"/>
        <v>22</v>
      </c>
      <c r="O172" s="56">
        <f t="shared" si="31"/>
        <v>55</v>
      </c>
      <c r="P172" s="56">
        <f t="shared" si="31"/>
        <v>42</v>
      </c>
      <c r="Q172" s="56">
        <f t="shared" si="31"/>
        <v>25</v>
      </c>
      <c r="R172" s="56">
        <f t="shared" si="31"/>
        <v>42</v>
      </c>
      <c r="S172" s="56">
        <f t="shared" si="31"/>
        <v>5</v>
      </c>
      <c r="T172" s="56">
        <f t="shared" si="31"/>
        <v>8</v>
      </c>
      <c r="U172" s="56">
        <f t="shared" si="31"/>
        <v>17</v>
      </c>
      <c r="V172" s="56">
        <f t="shared" si="31"/>
        <v>11</v>
      </c>
      <c r="W172" s="56">
        <f t="shared" si="31"/>
        <v>56</v>
      </c>
      <c r="X172" s="56">
        <f t="shared" si="31"/>
        <v>54</v>
      </c>
      <c r="Y172" s="56">
        <f t="shared" si="31"/>
        <v>53</v>
      </c>
      <c r="Z172" s="56">
        <f t="shared" si="31"/>
        <v>9</v>
      </c>
      <c r="AA172" s="56">
        <f t="shared" si="31"/>
        <v>14</v>
      </c>
      <c r="AB172" s="13">
        <f t="shared" si="14"/>
        <v>788</v>
      </c>
      <c r="AC172" s="5"/>
      <c r="AD172" s="5"/>
    </row>
    <row r="173" ht="12.75" customHeight="1">
      <c r="A173" s="57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13">
        <f t="shared" si="14"/>
        <v>0</v>
      </c>
      <c r="AC173" s="5"/>
      <c r="AD173" s="5"/>
    </row>
    <row r="174" ht="12.75" customHeight="1">
      <c r="A174" s="30" t="s">
        <v>37</v>
      </c>
      <c r="B174" s="47" t="s">
        <v>147</v>
      </c>
      <c r="C174" s="48" t="s">
        <v>148</v>
      </c>
      <c r="D174" s="16"/>
      <c r="E174" s="19">
        <v>0.0</v>
      </c>
      <c r="F174" s="19">
        <v>2.0</v>
      </c>
      <c r="G174" s="19">
        <v>1.0</v>
      </c>
      <c r="H174" s="19">
        <v>2.0</v>
      </c>
      <c r="I174" s="19">
        <v>1.0</v>
      </c>
      <c r="J174" s="19">
        <v>0.0</v>
      </c>
      <c r="K174" s="19">
        <v>0.0</v>
      </c>
      <c r="L174" s="19">
        <v>0.0</v>
      </c>
      <c r="M174" s="19">
        <v>1.0</v>
      </c>
      <c r="N174" s="19">
        <v>0.0</v>
      </c>
      <c r="O174" s="19">
        <v>0.0</v>
      </c>
      <c r="P174" s="19">
        <v>0.0</v>
      </c>
      <c r="Q174" s="19">
        <v>0.0</v>
      </c>
      <c r="R174" s="19">
        <v>0.0</v>
      </c>
      <c r="S174" s="19">
        <v>0.0</v>
      </c>
      <c r="T174" s="19">
        <v>0.0</v>
      </c>
      <c r="U174" s="19">
        <v>0.0</v>
      </c>
      <c r="V174" s="19">
        <v>0.0</v>
      </c>
      <c r="W174" s="19">
        <v>0.0</v>
      </c>
      <c r="X174" s="19">
        <v>0.0</v>
      </c>
      <c r="Y174" s="19">
        <v>0.0</v>
      </c>
      <c r="Z174" s="19">
        <v>0.0</v>
      </c>
      <c r="AA174" s="19">
        <v>0.0</v>
      </c>
      <c r="AB174" s="13">
        <f t="shared" si="14"/>
        <v>7</v>
      </c>
      <c r="AC174" s="5"/>
      <c r="AD174" s="5"/>
    </row>
    <row r="175" ht="15.0" customHeight="1">
      <c r="A175" s="30"/>
      <c r="B175" s="49">
        <v>1.0</v>
      </c>
      <c r="C175" s="50" t="s">
        <v>149</v>
      </c>
      <c r="D175" s="59"/>
      <c r="E175" s="19">
        <v>0.0</v>
      </c>
      <c r="F175" s="19">
        <v>2.0</v>
      </c>
      <c r="G175" s="19">
        <v>3.0</v>
      </c>
      <c r="H175" s="19">
        <v>2.0</v>
      </c>
      <c r="I175" s="19">
        <v>0.0</v>
      </c>
      <c r="J175" s="19">
        <v>2.0</v>
      </c>
      <c r="K175" s="19">
        <v>2.0</v>
      </c>
      <c r="L175" s="19">
        <v>0.0</v>
      </c>
      <c r="M175" s="19">
        <v>0.0</v>
      </c>
      <c r="N175" s="19">
        <v>0.0</v>
      </c>
      <c r="O175" s="19">
        <v>0.0</v>
      </c>
      <c r="P175" s="19">
        <v>2.0</v>
      </c>
      <c r="Q175" s="19">
        <v>0.0</v>
      </c>
      <c r="R175" s="19">
        <v>1.0</v>
      </c>
      <c r="S175" s="19">
        <v>0.0</v>
      </c>
      <c r="T175" s="19">
        <v>0.0</v>
      </c>
      <c r="U175" s="19">
        <v>0.0</v>
      </c>
      <c r="V175" s="19">
        <v>0.0</v>
      </c>
      <c r="W175" s="19">
        <v>0.0</v>
      </c>
      <c r="X175" s="19">
        <v>0.0</v>
      </c>
      <c r="Y175" s="19">
        <v>0.0</v>
      </c>
      <c r="Z175" s="19">
        <v>0.0</v>
      </c>
      <c r="AA175" s="19">
        <v>0.0</v>
      </c>
      <c r="AB175" s="13">
        <f t="shared" si="14"/>
        <v>14</v>
      </c>
      <c r="AC175" s="5"/>
      <c r="AD175" s="5"/>
    </row>
    <row r="176" ht="12.75" customHeight="1">
      <c r="A176" s="30" t="s">
        <v>39</v>
      </c>
      <c r="B176" s="49">
        <v>2.0</v>
      </c>
      <c r="C176" s="50" t="s">
        <v>150</v>
      </c>
      <c r="D176" s="51"/>
      <c r="E176" s="19">
        <v>0.0</v>
      </c>
      <c r="F176" s="19">
        <v>0.0</v>
      </c>
      <c r="G176" s="19">
        <v>0.0</v>
      </c>
      <c r="H176" s="19">
        <v>0.0</v>
      </c>
      <c r="I176" s="19">
        <v>0.0</v>
      </c>
      <c r="J176" s="19">
        <v>0.0</v>
      </c>
      <c r="K176" s="19">
        <v>0.0</v>
      </c>
      <c r="L176" s="19">
        <v>0.0</v>
      </c>
      <c r="M176" s="19">
        <v>0.0</v>
      </c>
      <c r="N176" s="19">
        <v>0.0</v>
      </c>
      <c r="O176" s="19">
        <v>0.0</v>
      </c>
      <c r="P176" s="19">
        <v>0.0</v>
      </c>
      <c r="Q176" s="19">
        <v>0.0</v>
      </c>
      <c r="R176" s="19">
        <v>0.0</v>
      </c>
      <c r="S176" s="19">
        <v>0.0</v>
      </c>
      <c r="T176" s="19">
        <v>0.0</v>
      </c>
      <c r="U176" s="19">
        <v>0.0</v>
      </c>
      <c r="V176" s="19">
        <v>0.0</v>
      </c>
      <c r="W176" s="19">
        <v>0.0</v>
      </c>
      <c r="X176" s="19">
        <v>0.0</v>
      </c>
      <c r="Y176" s="19">
        <v>0.0</v>
      </c>
      <c r="Z176" s="19">
        <v>1.0</v>
      </c>
      <c r="AA176" s="19">
        <v>0.0</v>
      </c>
      <c r="AB176" s="13">
        <f t="shared" si="14"/>
        <v>1</v>
      </c>
      <c r="AC176" s="1"/>
      <c r="AD176" s="1"/>
    </row>
    <row r="177" ht="12.75" customHeight="1">
      <c r="A177" s="19" t="s">
        <v>15</v>
      </c>
      <c r="B177" s="47" t="s">
        <v>46</v>
      </c>
      <c r="C177" s="15"/>
      <c r="D177" s="16"/>
      <c r="E177" s="56">
        <f t="shared" ref="E177:AA177" si="32">SUM(E174:E176)</f>
        <v>0</v>
      </c>
      <c r="F177" s="56">
        <f t="shared" si="32"/>
        <v>4</v>
      </c>
      <c r="G177" s="56">
        <f t="shared" si="32"/>
        <v>4</v>
      </c>
      <c r="H177" s="56">
        <f t="shared" si="32"/>
        <v>4</v>
      </c>
      <c r="I177" s="56">
        <f t="shared" si="32"/>
        <v>1</v>
      </c>
      <c r="J177" s="56">
        <f t="shared" si="32"/>
        <v>2</v>
      </c>
      <c r="K177" s="56">
        <f t="shared" si="32"/>
        <v>2</v>
      </c>
      <c r="L177" s="56">
        <f t="shared" si="32"/>
        <v>0</v>
      </c>
      <c r="M177" s="56">
        <f t="shared" si="32"/>
        <v>1</v>
      </c>
      <c r="N177" s="56">
        <f t="shared" si="32"/>
        <v>0</v>
      </c>
      <c r="O177" s="56">
        <f t="shared" si="32"/>
        <v>0</v>
      </c>
      <c r="P177" s="56">
        <f t="shared" si="32"/>
        <v>2</v>
      </c>
      <c r="Q177" s="56">
        <f t="shared" si="32"/>
        <v>0</v>
      </c>
      <c r="R177" s="56">
        <f t="shared" si="32"/>
        <v>1</v>
      </c>
      <c r="S177" s="56">
        <f t="shared" si="32"/>
        <v>0</v>
      </c>
      <c r="T177" s="56">
        <f t="shared" si="32"/>
        <v>0</v>
      </c>
      <c r="U177" s="56">
        <f t="shared" si="32"/>
        <v>0</v>
      </c>
      <c r="V177" s="56">
        <f t="shared" si="32"/>
        <v>0</v>
      </c>
      <c r="W177" s="56">
        <f t="shared" si="32"/>
        <v>0</v>
      </c>
      <c r="X177" s="56">
        <f t="shared" si="32"/>
        <v>0</v>
      </c>
      <c r="Y177" s="56">
        <f t="shared" si="32"/>
        <v>0</v>
      </c>
      <c r="Z177" s="56">
        <f t="shared" si="32"/>
        <v>1</v>
      </c>
      <c r="AA177" s="56">
        <f t="shared" si="32"/>
        <v>0</v>
      </c>
      <c r="AB177" s="13">
        <f t="shared" si="14"/>
        <v>22</v>
      </c>
    </row>
    <row r="178" ht="12.75" customHeight="1">
      <c r="A178" s="45"/>
      <c r="B178" s="44"/>
      <c r="C178" s="44"/>
      <c r="D178" s="28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13">
        <f t="shared" si="14"/>
        <v>0</v>
      </c>
      <c r="AC178" s="5"/>
      <c r="AD178" s="5"/>
    </row>
    <row r="179" ht="12.75" customHeight="1">
      <c r="A179" s="42" t="s">
        <v>151</v>
      </c>
      <c r="B179" s="14" t="s">
        <v>152</v>
      </c>
      <c r="C179" s="15"/>
      <c r="D179" s="16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13">
        <f t="shared" si="14"/>
        <v>0</v>
      </c>
      <c r="AC179" s="5"/>
      <c r="AD179" s="5"/>
    </row>
    <row r="180" ht="12.75" customHeight="1">
      <c r="A180" s="42"/>
      <c r="B180" s="60" t="s">
        <v>153</v>
      </c>
      <c r="C180" s="61" t="s">
        <v>154</v>
      </c>
      <c r="D180" s="16"/>
      <c r="E180" s="19">
        <f t="shared" ref="E180:AA180" si="33">E177+E172+E163+E157+E153+E144+E135+E128+E124+E115+E108+E99+E94+E88+E79+E70+E61+E52</f>
        <v>187</v>
      </c>
      <c r="F180" s="19">
        <f t="shared" si="33"/>
        <v>172</v>
      </c>
      <c r="G180" s="19">
        <f t="shared" si="33"/>
        <v>177</v>
      </c>
      <c r="H180" s="19">
        <f t="shared" si="33"/>
        <v>183</v>
      </c>
      <c r="I180" s="19">
        <f t="shared" si="33"/>
        <v>203</v>
      </c>
      <c r="J180" s="19">
        <f t="shared" si="33"/>
        <v>202</v>
      </c>
      <c r="K180" s="19">
        <f t="shared" si="33"/>
        <v>225</v>
      </c>
      <c r="L180" s="19">
        <f t="shared" si="33"/>
        <v>218</v>
      </c>
      <c r="M180" s="19">
        <f t="shared" si="33"/>
        <v>221</v>
      </c>
      <c r="N180" s="19">
        <f t="shared" si="33"/>
        <v>209</v>
      </c>
      <c r="O180" s="19">
        <f t="shared" si="33"/>
        <v>183</v>
      </c>
      <c r="P180" s="19">
        <f t="shared" si="33"/>
        <v>179</v>
      </c>
      <c r="Q180" s="19">
        <f t="shared" si="33"/>
        <v>229</v>
      </c>
      <c r="R180" s="19">
        <f t="shared" si="33"/>
        <v>226</v>
      </c>
      <c r="S180" s="19">
        <f t="shared" si="33"/>
        <v>178</v>
      </c>
      <c r="T180" s="19">
        <f t="shared" si="33"/>
        <v>186</v>
      </c>
      <c r="U180" s="19">
        <f t="shared" si="33"/>
        <v>205</v>
      </c>
      <c r="V180" s="19">
        <f t="shared" si="33"/>
        <v>180</v>
      </c>
      <c r="W180" s="19">
        <f t="shared" si="33"/>
        <v>187</v>
      </c>
      <c r="X180" s="19">
        <f t="shared" si="33"/>
        <v>176</v>
      </c>
      <c r="Y180" s="19">
        <f t="shared" si="33"/>
        <v>184</v>
      </c>
      <c r="Z180" s="19">
        <f t="shared" si="33"/>
        <v>160</v>
      </c>
      <c r="AA180" s="19">
        <f t="shared" si="33"/>
        <v>163</v>
      </c>
      <c r="AB180" s="13">
        <f t="shared" si="14"/>
        <v>4433</v>
      </c>
      <c r="AC180" s="5"/>
      <c r="AD180" s="5"/>
    </row>
    <row r="181" ht="12.75" customHeight="1">
      <c r="A181" s="35"/>
      <c r="B181" s="60" t="s">
        <v>155</v>
      </c>
      <c r="C181" s="61" t="s">
        <v>156</v>
      </c>
      <c r="D181" s="16"/>
      <c r="E181" s="19">
        <v>17.0</v>
      </c>
      <c r="F181" s="19">
        <v>14.0</v>
      </c>
      <c r="G181" s="19">
        <v>21.0</v>
      </c>
      <c r="H181" s="19">
        <v>15.0</v>
      </c>
      <c r="I181" s="19">
        <v>18.0</v>
      </c>
      <c r="J181" s="19">
        <v>25.0</v>
      </c>
      <c r="K181" s="19">
        <v>9.0</v>
      </c>
      <c r="L181" s="19">
        <v>11.0</v>
      </c>
      <c r="M181" s="19">
        <v>12.0</v>
      </c>
      <c r="N181" s="19">
        <v>20.0</v>
      </c>
      <c r="O181" s="19">
        <v>9.0</v>
      </c>
      <c r="P181" s="19">
        <v>4.0</v>
      </c>
      <c r="Q181" s="19">
        <v>20.0</v>
      </c>
      <c r="R181" s="19">
        <v>8.0</v>
      </c>
      <c r="S181" s="19">
        <v>9.0</v>
      </c>
      <c r="T181" s="19">
        <v>9.0</v>
      </c>
      <c r="U181" s="19">
        <v>7.0</v>
      </c>
      <c r="V181" s="19">
        <v>8.0</v>
      </c>
      <c r="W181" s="19">
        <v>3.0</v>
      </c>
      <c r="X181" s="19">
        <v>11.0</v>
      </c>
      <c r="Y181" s="19">
        <v>21.0</v>
      </c>
      <c r="Z181" s="19">
        <v>17.0</v>
      </c>
      <c r="AA181" s="19">
        <v>8.0</v>
      </c>
      <c r="AB181" s="13">
        <f t="shared" si="14"/>
        <v>296</v>
      </c>
      <c r="AC181" s="5"/>
      <c r="AD181" s="5"/>
    </row>
    <row r="182" ht="12.75" customHeight="1">
      <c r="A182" s="41"/>
      <c r="B182" s="60" t="s">
        <v>157</v>
      </c>
      <c r="C182" s="61" t="s">
        <v>158</v>
      </c>
      <c r="D182" s="16"/>
      <c r="E182" s="29">
        <f t="shared" ref="E182:AA182" si="34">SUM(E180:E181)</f>
        <v>204</v>
      </c>
      <c r="F182" s="29">
        <f t="shared" si="34"/>
        <v>186</v>
      </c>
      <c r="G182" s="29">
        <f t="shared" si="34"/>
        <v>198</v>
      </c>
      <c r="H182" s="29">
        <f t="shared" si="34"/>
        <v>198</v>
      </c>
      <c r="I182" s="29">
        <f t="shared" si="34"/>
        <v>221</v>
      </c>
      <c r="J182" s="29">
        <f t="shared" si="34"/>
        <v>227</v>
      </c>
      <c r="K182" s="29">
        <f t="shared" si="34"/>
        <v>234</v>
      </c>
      <c r="L182" s="29">
        <f t="shared" si="34"/>
        <v>229</v>
      </c>
      <c r="M182" s="29">
        <f t="shared" si="34"/>
        <v>233</v>
      </c>
      <c r="N182" s="29">
        <f t="shared" si="34"/>
        <v>229</v>
      </c>
      <c r="O182" s="29">
        <f t="shared" si="34"/>
        <v>192</v>
      </c>
      <c r="P182" s="29">
        <f t="shared" si="34"/>
        <v>183</v>
      </c>
      <c r="Q182" s="29">
        <f t="shared" si="34"/>
        <v>249</v>
      </c>
      <c r="R182" s="29">
        <f t="shared" si="34"/>
        <v>234</v>
      </c>
      <c r="S182" s="29">
        <f t="shared" si="34"/>
        <v>187</v>
      </c>
      <c r="T182" s="29">
        <f t="shared" si="34"/>
        <v>195</v>
      </c>
      <c r="U182" s="29">
        <f t="shared" si="34"/>
        <v>212</v>
      </c>
      <c r="V182" s="29">
        <f t="shared" si="34"/>
        <v>188</v>
      </c>
      <c r="W182" s="29">
        <f t="shared" si="34"/>
        <v>190</v>
      </c>
      <c r="X182" s="29">
        <f t="shared" si="34"/>
        <v>187</v>
      </c>
      <c r="Y182" s="29">
        <f t="shared" si="34"/>
        <v>205</v>
      </c>
      <c r="Z182" s="29">
        <f t="shared" si="34"/>
        <v>177</v>
      </c>
      <c r="AA182" s="29">
        <f t="shared" si="34"/>
        <v>171</v>
      </c>
      <c r="AB182" s="13">
        <f t="shared" si="14"/>
        <v>4729</v>
      </c>
      <c r="AC182" s="5"/>
      <c r="AD182" s="5"/>
    </row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0">
    <mergeCell ref="B108:D108"/>
    <mergeCell ref="C110:D110"/>
    <mergeCell ref="B115:D115"/>
    <mergeCell ref="C117:D117"/>
    <mergeCell ref="B124:D124"/>
    <mergeCell ref="C126:D126"/>
    <mergeCell ref="B128:D128"/>
    <mergeCell ref="C130:D130"/>
    <mergeCell ref="B135:D135"/>
    <mergeCell ref="C137:D137"/>
    <mergeCell ref="B144:D144"/>
    <mergeCell ref="C146:D146"/>
    <mergeCell ref="B153:D153"/>
    <mergeCell ref="C155:D155"/>
    <mergeCell ref="A178:D178"/>
    <mergeCell ref="B179:D179"/>
    <mergeCell ref="C180:D180"/>
    <mergeCell ref="C181:D181"/>
    <mergeCell ref="C182:D182"/>
    <mergeCell ref="B157:D157"/>
    <mergeCell ref="C159:D159"/>
    <mergeCell ref="B163:D163"/>
    <mergeCell ref="C165:D165"/>
    <mergeCell ref="B172:D172"/>
    <mergeCell ref="C174:D174"/>
    <mergeCell ref="B177:D177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S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4:D94"/>
    <mergeCell ref="C96:D96"/>
    <mergeCell ref="B99:D99"/>
    <mergeCell ref="C101:D101"/>
  </mergeCells>
  <conditionalFormatting sqref="E34:T34">
    <cfRule type="expression" dxfId="0" priority="1">
      <formula>E34&lt;&gt;E64</formula>
    </cfRule>
  </conditionalFormatting>
  <conditionalFormatting sqref="E14:AA15">
    <cfRule type="containsBlanks" dxfId="1" priority="2">
      <formula>LEN(TRIM(E14))=0</formula>
    </cfRule>
  </conditionalFormatting>
  <conditionalFormatting sqref="E19:AA20">
    <cfRule type="containsBlanks" dxfId="1" priority="3">
      <formula>LEN(TRIM(E19))=0</formula>
    </cfRule>
  </conditionalFormatting>
  <conditionalFormatting sqref="E22:AA23 E25:AA26 E33:AA33 E35:AA35 E39:AA40">
    <cfRule type="containsBlanks" dxfId="1" priority="4">
      <formula>LEN(TRIM(E22))=0</formula>
    </cfRule>
  </conditionalFormatting>
  <conditionalFormatting sqref="E30:AA30">
    <cfRule type="expression" dxfId="0" priority="5">
      <formula>E30&lt;&gt;E47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45:AA51">
    <cfRule type="containsBlanks" dxfId="1" priority="10">
      <formula>LEN(TRIM(E45))=0</formula>
    </cfRule>
  </conditionalFormatting>
  <conditionalFormatting sqref="E54:AA60">
    <cfRule type="containsBlanks" dxfId="1" priority="11">
      <formula>LEN(TRIM(E54))=0</formula>
    </cfRule>
  </conditionalFormatting>
  <conditionalFormatting sqref="E63:AA69">
    <cfRule type="containsBlanks" dxfId="1" priority="12">
      <formula>LEN(TRIM(E63))=0</formula>
    </cfRule>
  </conditionalFormatting>
  <conditionalFormatting sqref="E72:AA78">
    <cfRule type="containsBlanks" dxfId="1" priority="13">
      <formula>LEN(TRIM(E72))=0</formula>
    </cfRule>
  </conditionalFormatting>
  <conditionalFormatting sqref="E81:AA87">
    <cfRule type="containsBlanks" dxfId="1" priority="14">
      <formula>LEN(TRIM(E81))=0</formula>
    </cfRule>
  </conditionalFormatting>
  <conditionalFormatting sqref="E90:AA93">
    <cfRule type="containsBlanks" dxfId="1" priority="15">
      <formula>LEN(TRIM(E90))=0</formula>
    </cfRule>
  </conditionalFormatting>
  <conditionalFormatting sqref="E96:AA98">
    <cfRule type="containsBlanks" dxfId="1" priority="16">
      <formula>LEN(TRIM(E96))=0</formula>
    </cfRule>
  </conditionalFormatting>
  <conditionalFormatting sqref="E101:AA107">
    <cfRule type="containsBlanks" dxfId="1" priority="17">
      <formula>LEN(TRIM(E101))=0</formula>
    </cfRule>
  </conditionalFormatting>
  <conditionalFormatting sqref="E110:AA114">
    <cfRule type="containsBlanks" dxfId="1" priority="18">
      <formula>LEN(TRIM(E110))=0</formula>
    </cfRule>
  </conditionalFormatting>
  <conditionalFormatting sqref="E117:AA123">
    <cfRule type="containsBlanks" dxfId="1" priority="19">
      <formula>LEN(TRIM(E117))=0</formula>
    </cfRule>
  </conditionalFormatting>
  <conditionalFormatting sqref="E126:AA127">
    <cfRule type="containsBlanks" dxfId="1" priority="20">
      <formula>LEN(TRIM(E126))=0</formula>
    </cfRule>
  </conditionalFormatting>
  <conditionalFormatting sqref="E130:AA134">
    <cfRule type="containsBlanks" dxfId="1" priority="21">
      <formula>LEN(TRIM(E130))=0</formula>
    </cfRule>
  </conditionalFormatting>
  <conditionalFormatting sqref="E137:AA143">
    <cfRule type="containsBlanks" dxfId="1" priority="22">
      <formula>LEN(TRIM(E137))=0</formula>
    </cfRule>
  </conditionalFormatting>
  <conditionalFormatting sqref="E146:AA152">
    <cfRule type="containsBlanks" dxfId="1" priority="23">
      <formula>LEN(TRIM(E146))=0</formula>
    </cfRule>
  </conditionalFormatting>
  <conditionalFormatting sqref="E155:AA156">
    <cfRule type="containsBlanks" dxfId="1" priority="24">
      <formula>LEN(TRIM(E155))=0</formula>
    </cfRule>
  </conditionalFormatting>
  <conditionalFormatting sqref="E159:AA162">
    <cfRule type="containsBlanks" dxfId="1" priority="25">
      <formula>LEN(TRIM(E159))=0</formula>
    </cfRule>
  </conditionalFormatting>
  <conditionalFormatting sqref="E165:AA171">
    <cfRule type="containsBlanks" dxfId="1" priority="26">
      <formula>LEN(TRIM(E165))=0</formula>
    </cfRule>
  </conditionalFormatting>
  <conditionalFormatting sqref="E174:AA176">
    <cfRule type="containsBlanks" dxfId="1" priority="27">
      <formula>LEN(TRIM(E174))=0</formula>
    </cfRule>
  </conditionalFormatting>
  <conditionalFormatting sqref="E180:AA181">
    <cfRule type="containsBlanks" dxfId="1" priority="28">
      <formula>LEN(TRIM(E180))=0</formula>
    </cfRule>
  </conditionalFormatting>
  <conditionalFormatting sqref="E182:AA182">
    <cfRule type="expression" dxfId="0" priority="29">
      <formula>E182&lt;&gt;E30</formula>
    </cfRule>
  </conditionalFormatting>
  <conditionalFormatting sqref="E182:AA182">
    <cfRule type="expression" dxfId="0" priority="30">
      <formula>E182&lt;&gt;E34</formula>
    </cfRule>
  </conditionalFormatting>
  <conditionalFormatting sqref="U34:AA34">
    <cfRule type="expression" dxfId="0" priority="31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