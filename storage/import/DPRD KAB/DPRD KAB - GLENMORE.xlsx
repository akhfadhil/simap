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GLENMORE\"/>
    </mc:Choice>
  </mc:AlternateContent>
  <xr:revisionPtr revIDLastSave="0" documentId="13_ncr:1_{95390E61-B74F-432E-A29C-4D34BFF168A0}" xr6:coauthVersionLast="47" xr6:coauthVersionMax="47" xr10:uidLastSave="{00000000-0000-0000-0000-000000000000}"/>
  <bookViews>
    <workbookView xWindow="0" yWindow="5295" windowWidth="21600" windowHeight="7395" tabRatio="868" activeTab="3" xr2:uid="{F263E089-6C93-4E6F-AA5B-BD89F8333161}"/>
  </bookViews>
  <sheets>
    <sheet name="DPRD KABUPATEN" sheetId="1" r:id="rId1"/>
    <sheet name="BUMIHARJO" sheetId="9" r:id="rId2"/>
    <sheet name="KARANGHARJO" sheetId="10" r:id="rId3"/>
    <sheet name="MARGOMULYO" sheetId="11" r:id="rId4"/>
    <sheet name="SEPANJANG" sheetId="15" r:id="rId5"/>
    <sheet name="SUMBERGONDO" sheetId="16" r:id="rId6"/>
    <sheet name="TEGALHARJO" sheetId="17" r:id="rId7"/>
    <sheet name="TULUNGREJO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2" i="11" l="1"/>
  <c r="S161" i="11"/>
  <c r="S160" i="11"/>
  <c r="S159" i="11"/>
  <c r="S158" i="11"/>
  <c r="S157" i="11"/>
  <c r="S156" i="11"/>
  <c r="S155" i="11"/>
  <c r="S154" i="11"/>
  <c r="S153" i="11"/>
  <c r="AE162" i="9"/>
  <c r="AE161" i="9"/>
  <c r="AE160" i="9"/>
  <c r="AE159" i="9"/>
  <c r="AE158" i="9"/>
  <c r="AE157" i="9"/>
  <c r="AE156" i="9"/>
  <c r="AE155" i="9"/>
  <c r="AE154" i="9"/>
  <c r="AE153" i="9"/>
  <c r="AB162" i="16"/>
  <c r="AB161" i="16"/>
  <c r="AB160" i="16"/>
  <c r="AB159" i="16"/>
  <c r="AB158" i="16"/>
  <c r="AB157" i="16"/>
  <c r="AB156" i="16"/>
  <c r="AB155" i="16"/>
  <c r="AB154" i="16"/>
  <c r="AB153" i="16"/>
  <c r="BL162" i="18"/>
  <c r="BL161" i="18"/>
  <c r="BL160" i="18"/>
  <c r="BL159" i="18"/>
  <c r="BL158" i="18"/>
  <c r="BL157" i="18"/>
  <c r="BL156" i="18"/>
  <c r="BL155" i="18"/>
  <c r="BL154" i="18"/>
  <c r="BL153" i="18"/>
  <c r="BK162" i="10"/>
  <c r="BK161" i="10"/>
  <c r="BK160" i="10"/>
  <c r="BK159" i="10"/>
  <c r="BK158" i="10"/>
  <c r="BK157" i="10"/>
  <c r="BK156" i="10"/>
  <c r="BK155" i="10"/>
  <c r="BK154" i="10"/>
  <c r="BK153" i="10"/>
  <c r="AJ162" i="15"/>
  <c r="AJ161" i="15"/>
  <c r="AJ160" i="15"/>
  <c r="AJ159" i="15"/>
  <c r="AJ158" i="15"/>
  <c r="AJ157" i="15"/>
  <c r="AJ156" i="15"/>
  <c r="AJ155" i="15"/>
  <c r="AJ154" i="15"/>
  <c r="AJ153" i="15"/>
  <c r="AP162" i="17"/>
  <c r="AP161" i="17"/>
  <c r="AP160" i="17"/>
  <c r="AP159" i="17"/>
  <c r="AP158" i="17"/>
  <c r="AP157" i="17"/>
  <c r="AP156" i="17"/>
  <c r="AP155" i="17"/>
  <c r="AP154" i="17"/>
  <c r="AP153" i="17"/>
  <c r="E158" i="1" l="1"/>
  <c r="E160" i="1"/>
  <c r="E159" i="1"/>
  <c r="BI259" i="18"/>
  <c r="BI247" i="18"/>
  <c r="BI235" i="18"/>
  <c r="BI223" i="18"/>
  <c r="BI211" i="18"/>
  <c r="BI199" i="18"/>
  <c r="BI187" i="18"/>
  <c r="BI175" i="18"/>
  <c r="BI163" i="18"/>
  <c r="BI151" i="18"/>
  <c r="BI139" i="18"/>
  <c r="BI127" i="18"/>
  <c r="BI115" i="18"/>
  <c r="BI103" i="18"/>
  <c r="BI91" i="18"/>
  <c r="BI79" i="18"/>
  <c r="BI67" i="18"/>
  <c r="BI55" i="18"/>
  <c r="BI262" i="18" s="1"/>
  <c r="BI264" i="18" s="1"/>
  <c r="BI41" i="18"/>
  <c r="BI36" i="18"/>
  <c r="BI29" i="18"/>
  <c r="BI28" i="18"/>
  <c r="BI30" i="18" s="1"/>
  <c r="BI27" i="18"/>
  <c r="BI24" i="18"/>
  <c r="BI21" i="18"/>
  <c r="BI16" i="18"/>
  <c r="BL263" i="18"/>
  <c r="BK259" i="18"/>
  <c r="BJ259" i="18"/>
  <c r="BH259" i="18"/>
  <c r="BG259" i="18"/>
  <c r="BF259" i="18"/>
  <c r="BE259" i="18"/>
  <c r="BD259" i="18"/>
  <c r="BC259" i="18"/>
  <c r="BB259" i="18"/>
  <c r="BA259" i="18"/>
  <c r="AZ259" i="18"/>
  <c r="AY259" i="18"/>
  <c r="AX259" i="18"/>
  <c r="AW259" i="18"/>
  <c r="AV259" i="18"/>
  <c r="AU259" i="18"/>
  <c r="AT259" i="18"/>
  <c r="AS259" i="18"/>
  <c r="AR259" i="18"/>
  <c r="AQ259" i="18"/>
  <c r="AP259" i="18"/>
  <c r="AO259" i="18"/>
  <c r="AN259" i="18"/>
  <c r="AM259" i="18"/>
  <c r="AL259" i="18"/>
  <c r="AK259" i="18"/>
  <c r="AJ259" i="18"/>
  <c r="AI259" i="18"/>
  <c r="AH259" i="18"/>
  <c r="AG259" i="18"/>
  <c r="AF259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BL258" i="18"/>
  <c r="BL257" i="18"/>
  <c r="BL256" i="18"/>
  <c r="BL255" i="18"/>
  <c r="BL254" i="18"/>
  <c r="BL253" i="18"/>
  <c r="BL252" i="18"/>
  <c r="BL251" i="18"/>
  <c r="BL250" i="18"/>
  <c r="BL249" i="18"/>
  <c r="BK247" i="18"/>
  <c r="BJ247" i="18"/>
  <c r="BH247" i="18"/>
  <c r="BG247" i="18"/>
  <c r="BF247" i="18"/>
  <c r="BE247" i="18"/>
  <c r="BD247" i="18"/>
  <c r="BC247" i="18"/>
  <c r="BB247" i="18"/>
  <c r="BA247" i="18"/>
  <c r="AZ247" i="18"/>
  <c r="AY247" i="18"/>
  <c r="AX247" i="18"/>
  <c r="AW247" i="18"/>
  <c r="AV247" i="18"/>
  <c r="AU247" i="18"/>
  <c r="AT247" i="18"/>
  <c r="AS247" i="18"/>
  <c r="AR247" i="18"/>
  <c r="AQ247" i="18"/>
  <c r="AP247" i="18"/>
  <c r="AO247" i="18"/>
  <c r="AN247" i="18"/>
  <c r="AM247" i="18"/>
  <c r="AL247" i="18"/>
  <c r="AK247" i="18"/>
  <c r="AJ247" i="18"/>
  <c r="AI247" i="18"/>
  <c r="AH247" i="18"/>
  <c r="AG247" i="18"/>
  <c r="AF247" i="18"/>
  <c r="AE247" i="18"/>
  <c r="AD247" i="18"/>
  <c r="AC247" i="18"/>
  <c r="AB247" i="18"/>
  <c r="AA247" i="18"/>
  <c r="Z247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BL246" i="18"/>
  <c r="BL245" i="18"/>
  <c r="BL244" i="18"/>
  <c r="BL243" i="18"/>
  <c r="BL242" i="18"/>
  <c r="BL241" i="18"/>
  <c r="BL240" i="18"/>
  <c r="BL239" i="18"/>
  <c r="BL238" i="18"/>
  <c r="BL237" i="18"/>
  <c r="BK235" i="18"/>
  <c r="BJ235" i="18"/>
  <c r="BH235" i="18"/>
  <c r="BG235" i="18"/>
  <c r="BF235" i="18"/>
  <c r="BE235" i="18"/>
  <c r="BD235" i="18"/>
  <c r="BC235" i="18"/>
  <c r="BB235" i="18"/>
  <c r="BA235" i="18"/>
  <c r="AZ235" i="18"/>
  <c r="AY235" i="18"/>
  <c r="AX235" i="18"/>
  <c r="AW235" i="18"/>
  <c r="AV235" i="18"/>
  <c r="AU235" i="18"/>
  <c r="AT235" i="18"/>
  <c r="AS235" i="18"/>
  <c r="AR235" i="18"/>
  <c r="AQ235" i="18"/>
  <c r="AP235" i="18"/>
  <c r="AO235" i="18"/>
  <c r="AN235" i="18"/>
  <c r="AM235" i="18"/>
  <c r="AL235" i="18"/>
  <c r="AK235" i="18"/>
  <c r="AJ235" i="18"/>
  <c r="AI235" i="18"/>
  <c r="AH235" i="18"/>
  <c r="AG235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BL234" i="18"/>
  <c r="BL233" i="18"/>
  <c r="BL232" i="18"/>
  <c r="BL231" i="18"/>
  <c r="BL230" i="18"/>
  <c r="BL229" i="18"/>
  <c r="BL228" i="18"/>
  <c r="BL227" i="18"/>
  <c r="BL226" i="18"/>
  <c r="BL225" i="18"/>
  <c r="BK223" i="18"/>
  <c r="BJ223" i="18"/>
  <c r="BH223" i="18"/>
  <c r="BG223" i="18"/>
  <c r="BF223" i="18"/>
  <c r="BE223" i="18"/>
  <c r="BD223" i="18"/>
  <c r="BC223" i="18"/>
  <c r="BB223" i="18"/>
  <c r="BA223" i="18"/>
  <c r="AZ223" i="18"/>
  <c r="AY223" i="18"/>
  <c r="AX223" i="18"/>
  <c r="AW223" i="18"/>
  <c r="AV223" i="18"/>
  <c r="AU223" i="18"/>
  <c r="AT223" i="18"/>
  <c r="AS223" i="18"/>
  <c r="AR223" i="18"/>
  <c r="AQ223" i="18"/>
  <c r="AP223" i="18"/>
  <c r="AO223" i="18"/>
  <c r="AN223" i="18"/>
  <c r="AM223" i="18"/>
  <c r="AL223" i="18"/>
  <c r="AK223" i="18"/>
  <c r="AJ223" i="18"/>
  <c r="AI223" i="18"/>
  <c r="AH223" i="18"/>
  <c r="AG223" i="18"/>
  <c r="AF223" i="18"/>
  <c r="AE223" i="18"/>
  <c r="AD223" i="18"/>
  <c r="AC223" i="18"/>
  <c r="AB223" i="18"/>
  <c r="AA223" i="18"/>
  <c r="Z223" i="18"/>
  <c r="Y223" i="18"/>
  <c r="X223" i="18"/>
  <c r="W223" i="18"/>
  <c r="V223" i="18"/>
  <c r="U223" i="18"/>
  <c r="T223" i="18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BL222" i="18"/>
  <c r="BL221" i="18"/>
  <c r="BL220" i="18"/>
  <c r="BL219" i="18"/>
  <c r="BL218" i="18"/>
  <c r="BL217" i="18"/>
  <c r="BL216" i="18"/>
  <c r="BL215" i="18"/>
  <c r="BL214" i="18"/>
  <c r="BL213" i="18"/>
  <c r="BK211" i="18"/>
  <c r="BJ211" i="18"/>
  <c r="BH211" i="18"/>
  <c r="BG211" i="18"/>
  <c r="BF211" i="18"/>
  <c r="BE211" i="18"/>
  <c r="BD211" i="18"/>
  <c r="BC211" i="18"/>
  <c r="BB211" i="18"/>
  <c r="BA211" i="18"/>
  <c r="AZ211" i="18"/>
  <c r="AY211" i="18"/>
  <c r="AX211" i="18"/>
  <c r="AW211" i="18"/>
  <c r="AV211" i="18"/>
  <c r="AU211" i="18"/>
  <c r="AT211" i="18"/>
  <c r="AS211" i="18"/>
  <c r="AR211" i="18"/>
  <c r="AQ211" i="18"/>
  <c r="AP211" i="18"/>
  <c r="AO211" i="18"/>
  <c r="AN211" i="18"/>
  <c r="AM211" i="18"/>
  <c r="AL211" i="18"/>
  <c r="AK211" i="18"/>
  <c r="AJ211" i="18"/>
  <c r="AI211" i="18"/>
  <c r="AH211" i="18"/>
  <c r="AG211" i="18"/>
  <c r="AF211" i="18"/>
  <c r="AE211" i="18"/>
  <c r="AD211" i="18"/>
  <c r="AC211" i="18"/>
  <c r="AB211" i="18"/>
  <c r="AA211" i="18"/>
  <c r="Z211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BL210" i="18"/>
  <c r="BL209" i="18"/>
  <c r="BL208" i="18"/>
  <c r="BL207" i="18"/>
  <c r="BL206" i="18"/>
  <c r="BL205" i="18"/>
  <c r="BL204" i="18"/>
  <c r="BL203" i="18"/>
  <c r="BL202" i="18"/>
  <c r="BL201" i="18"/>
  <c r="BK199" i="18"/>
  <c r="BJ199" i="18"/>
  <c r="BH199" i="18"/>
  <c r="BG199" i="18"/>
  <c r="BF199" i="18"/>
  <c r="BE199" i="18"/>
  <c r="BD199" i="18"/>
  <c r="BC199" i="18"/>
  <c r="BB199" i="18"/>
  <c r="BA199" i="18"/>
  <c r="AZ199" i="18"/>
  <c r="AY199" i="18"/>
  <c r="AX199" i="18"/>
  <c r="AW199" i="18"/>
  <c r="AV199" i="18"/>
  <c r="AU199" i="18"/>
  <c r="AT199" i="18"/>
  <c r="AS199" i="18"/>
  <c r="AR199" i="18"/>
  <c r="AQ199" i="18"/>
  <c r="AP199" i="18"/>
  <c r="AO199" i="18"/>
  <c r="AN199" i="18"/>
  <c r="AM199" i="18"/>
  <c r="AL199" i="18"/>
  <c r="AK199" i="18"/>
  <c r="AJ199" i="18"/>
  <c r="AI199" i="18"/>
  <c r="AH199" i="18"/>
  <c r="AG199" i="18"/>
  <c r="AF199" i="18"/>
  <c r="AE199" i="18"/>
  <c r="AD199" i="18"/>
  <c r="AC199" i="18"/>
  <c r="AB199" i="18"/>
  <c r="AA199" i="18"/>
  <c r="Z199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BL198" i="18"/>
  <c r="BL197" i="18"/>
  <c r="BL196" i="18"/>
  <c r="BL195" i="18"/>
  <c r="BL194" i="18"/>
  <c r="BL193" i="18"/>
  <c r="BL192" i="18"/>
  <c r="BL191" i="18"/>
  <c r="BL190" i="18"/>
  <c r="BL189" i="18"/>
  <c r="BK187" i="18"/>
  <c r="BJ187" i="18"/>
  <c r="BH187" i="18"/>
  <c r="BG187" i="18"/>
  <c r="BF187" i="18"/>
  <c r="BE187" i="18"/>
  <c r="BD187" i="18"/>
  <c r="BC187" i="18"/>
  <c r="BB187" i="18"/>
  <c r="BA187" i="18"/>
  <c r="AZ187" i="18"/>
  <c r="AY187" i="18"/>
  <c r="AX187" i="18"/>
  <c r="AW187" i="18"/>
  <c r="AV187" i="18"/>
  <c r="AU187" i="18"/>
  <c r="AT187" i="18"/>
  <c r="AS187" i="18"/>
  <c r="AR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E187" i="18"/>
  <c r="AD187" i="18"/>
  <c r="AC187" i="18"/>
  <c r="AB187" i="18"/>
  <c r="AA187" i="18"/>
  <c r="Z187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BL186" i="18"/>
  <c r="BL185" i="18"/>
  <c r="BL184" i="18"/>
  <c r="BL183" i="18"/>
  <c r="BL182" i="18"/>
  <c r="BL181" i="18"/>
  <c r="BL180" i="18"/>
  <c r="BL179" i="18"/>
  <c r="BL178" i="18"/>
  <c r="BL177" i="18"/>
  <c r="BK175" i="18"/>
  <c r="BJ175" i="18"/>
  <c r="BH175" i="18"/>
  <c r="BG175" i="18"/>
  <c r="BF175" i="18"/>
  <c r="BE175" i="18"/>
  <c r="BD175" i="18"/>
  <c r="BC175" i="18"/>
  <c r="BB175" i="18"/>
  <c r="BA175" i="18"/>
  <c r="AZ175" i="18"/>
  <c r="AY175" i="18"/>
  <c r="AX175" i="18"/>
  <c r="AW175" i="18"/>
  <c r="AV175" i="18"/>
  <c r="AU175" i="18"/>
  <c r="AT175" i="18"/>
  <c r="AS175" i="18"/>
  <c r="AR175" i="18"/>
  <c r="AQ175" i="18"/>
  <c r="AP175" i="18"/>
  <c r="AO175" i="18"/>
  <c r="AN175" i="18"/>
  <c r="AM175" i="18"/>
  <c r="AL175" i="18"/>
  <c r="AK175" i="18"/>
  <c r="AJ175" i="18"/>
  <c r="AI175" i="18"/>
  <c r="AH175" i="18"/>
  <c r="AG175" i="18"/>
  <c r="AF175" i="18"/>
  <c r="AE175" i="18"/>
  <c r="AD175" i="18"/>
  <c r="AC175" i="18"/>
  <c r="AB175" i="18"/>
  <c r="AA175" i="18"/>
  <c r="Z175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BL174" i="18"/>
  <c r="BL173" i="18"/>
  <c r="BL172" i="18"/>
  <c r="BL171" i="18"/>
  <c r="BL170" i="18"/>
  <c r="BL169" i="18"/>
  <c r="BL168" i="18"/>
  <c r="BL167" i="18"/>
  <c r="BL166" i="18"/>
  <c r="BL165" i="18"/>
  <c r="BK163" i="18"/>
  <c r="BJ163" i="18"/>
  <c r="BH163" i="18"/>
  <c r="BG163" i="18"/>
  <c r="BF163" i="18"/>
  <c r="BE163" i="18"/>
  <c r="BD163" i="18"/>
  <c r="BC163" i="18"/>
  <c r="BB163" i="18"/>
  <c r="BA163" i="18"/>
  <c r="AZ163" i="18"/>
  <c r="AY163" i="18"/>
  <c r="AX163" i="18"/>
  <c r="AW163" i="18"/>
  <c r="AV163" i="18"/>
  <c r="AU163" i="18"/>
  <c r="AT163" i="18"/>
  <c r="AS163" i="18"/>
  <c r="AR163" i="18"/>
  <c r="AQ163" i="18"/>
  <c r="AP163" i="18"/>
  <c r="AO163" i="18"/>
  <c r="AN163" i="18"/>
  <c r="AM163" i="18"/>
  <c r="AL163" i="18"/>
  <c r="AK163" i="18"/>
  <c r="AJ163" i="18"/>
  <c r="AI163" i="18"/>
  <c r="AH163" i="18"/>
  <c r="AG163" i="18"/>
  <c r="AF163" i="18"/>
  <c r="AE163" i="18"/>
  <c r="AD163" i="18"/>
  <c r="AC163" i="18"/>
  <c r="AB163" i="18"/>
  <c r="AA163" i="18"/>
  <c r="Z163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BK151" i="18"/>
  <c r="BJ151" i="18"/>
  <c r="BH151" i="18"/>
  <c r="BG151" i="18"/>
  <c r="BF151" i="18"/>
  <c r="BE151" i="18"/>
  <c r="BD151" i="18"/>
  <c r="BC151" i="18"/>
  <c r="BB151" i="18"/>
  <c r="BA151" i="18"/>
  <c r="AZ151" i="18"/>
  <c r="AY151" i="18"/>
  <c r="AX151" i="18"/>
  <c r="AW151" i="18"/>
  <c r="AV151" i="18"/>
  <c r="AU151" i="18"/>
  <c r="AT151" i="18"/>
  <c r="AS151" i="18"/>
  <c r="AR151" i="18"/>
  <c r="AQ151" i="18"/>
  <c r="AP151" i="18"/>
  <c r="AO151" i="18"/>
  <c r="AN151" i="18"/>
  <c r="AM151" i="18"/>
  <c r="AL151" i="18"/>
  <c r="AK151" i="18"/>
  <c r="AJ151" i="18"/>
  <c r="AI151" i="18"/>
  <c r="AH151" i="18"/>
  <c r="AG151" i="18"/>
  <c r="AF151" i="18"/>
  <c r="AE151" i="18"/>
  <c r="AD151" i="18"/>
  <c r="AC151" i="18"/>
  <c r="AB151" i="18"/>
  <c r="AA151" i="18"/>
  <c r="Z151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BL150" i="18"/>
  <c r="BL149" i="18"/>
  <c r="BL148" i="18"/>
  <c r="BL147" i="18"/>
  <c r="BL146" i="18"/>
  <c r="BL145" i="18"/>
  <c r="BL144" i="18"/>
  <c r="BL143" i="18"/>
  <c r="BL142" i="18"/>
  <c r="BL141" i="18"/>
  <c r="BK139" i="18"/>
  <c r="BJ139" i="18"/>
  <c r="BH139" i="18"/>
  <c r="BG139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BL138" i="18"/>
  <c r="BL137" i="18"/>
  <c r="BL136" i="18"/>
  <c r="BL135" i="18"/>
  <c r="BL134" i="18"/>
  <c r="BL133" i="18"/>
  <c r="BL132" i="18"/>
  <c r="BL131" i="18"/>
  <c r="BL130" i="18"/>
  <c r="BL129" i="18"/>
  <c r="BK127" i="18"/>
  <c r="BJ127" i="18"/>
  <c r="BH127" i="18"/>
  <c r="BG127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BL126" i="18"/>
  <c r="BL125" i="18"/>
  <c r="BL124" i="18"/>
  <c r="BL123" i="18"/>
  <c r="BL122" i="18"/>
  <c r="BL121" i="18"/>
  <c r="BL120" i="18"/>
  <c r="BL119" i="18"/>
  <c r="BL118" i="18"/>
  <c r="BL117" i="18"/>
  <c r="BK115" i="18"/>
  <c r="BJ115" i="18"/>
  <c r="BH115" i="18"/>
  <c r="BG115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BL114" i="18"/>
  <c r="BL113" i="18"/>
  <c r="BL112" i="18"/>
  <c r="BL111" i="18"/>
  <c r="BL110" i="18"/>
  <c r="BL109" i="18"/>
  <c r="BL108" i="18"/>
  <c r="BL107" i="18"/>
  <c r="BL106" i="18"/>
  <c r="BL105" i="18"/>
  <c r="BK103" i="18"/>
  <c r="BJ103" i="18"/>
  <c r="BH103" i="18"/>
  <c r="BG103" i="18"/>
  <c r="BF103" i="18"/>
  <c r="BE103" i="18"/>
  <c r="BD103" i="18"/>
  <c r="BC103" i="18"/>
  <c r="BB103" i="18"/>
  <c r="BA103" i="18"/>
  <c r="AZ103" i="18"/>
  <c r="AY103" i="18"/>
  <c r="AX103" i="18"/>
  <c r="AW103" i="18"/>
  <c r="AV103" i="18"/>
  <c r="AU103" i="18"/>
  <c r="AT103" i="18"/>
  <c r="AS103" i="18"/>
  <c r="AR103" i="18"/>
  <c r="AQ103" i="18"/>
  <c r="AP103" i="18"/>
  <c r="AO103" i="18"/>
  <c r="AN103" i="18"/>
  <c r="AM103" i="18"/>
  <c r="AL103" i="18"/>
  <c r="AK103" i="18"/>
  <c r="AJ103" i="18"/>
  <c r="AI103" i="18"/>
  <c r="AH103" i="18"/>
  <c r="AG103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BL102" i="18"/>
  <c r="BL101" i="18"/>
  <c r="BL100" i="18"/>
  <c r="BL99" i="18"/>
  <c r="BL98" i="18"/>
  <c r="BL97" i="18"/>
  <c r="BL96" i="18"/>
  <c r="BL95" i="18"/>
  <c r="BL94" i="18"/>
  <c r="BL93" i="18"/>
  <c r="BK91" i="18"/>
  <c r="BJ91" i="18"/>
  <c r="BH91" i="18"/>
  <c r="BG91" i="18"/>
  <c r="BF91" i="18"/>
  <c r="BE91" i="18"/>
  <c r="BD91" i="18"/>
  <c r="BC91" i="18"/>
  <c r="BB91" i="18"/>
  <c r="BA91" i="18"/>
  <c r="AZ91" i="18"/>
  <c r="AY91" i="18"/>
  <c r="AX91" i="18"/>
  <c r="AW91" i="18"/>
  <c r="AV91" i="18"/>
  <c r="AU91" i="18"/>
  <c r="AT91" i="18"/>
  <c r="AS91" i="18"/>
  <c r="AR91" i="18"/>
  <c r="AQ91" i="18"/>
  <c r="AP91" i="18"/>
  <c r="AO91" i="18"/>
  <c r="AN91" i="18"/>
  <c r="AM91" i="18"/>
  <c r="AL91" i="18"/>
  <c r="AK91" i="18"/>
  <c r="AJ91" i="18"/>
  <c r="AI91" i="18"/>
  <c r="AH91" i="18"/>
  <c r="AG91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BL90" i="18"/>
  <c r="BL89" i="18"/>
  <c r="BL88" i="18"/>
  <c r="BL87" i="18"/>
  <c r="BL86" i="18"/>
  <c r="BL85" i="18"/>
  <c r="BL84" i="18"/>
  <c r="BL83" i="18"/>
  <c r="BL82" i="18"/>
  <c r="BL81" i="18"/>
  <c r="BK79" i="18"/>
  <c r="BJ79" i="18"/>
  <c r="BH79" i="18"/>
  <c r="BG79" i="18"/>
  <c r="BF79" i="18"/>
  <c r="BE79" i="18"/>
  <c r="BD79" i="18"/>
  <c r="BC79" i="18"/>
  <c r="BB79" i="18"/>
  <c r="BA79" i="18"/>
  <c r="AZ79" i="18"/>
  <c r="AY79" i="18"/>
  <c r="AX79" i="18"/>
  <c r="AW79" i="18"/>
  <c r="AV79" i="18"/>
  <c r="AU79" i="18"/>
  <c r="AT79" i="18"/>
  <c r="AS79" i="18"/>
  <c r="AR79" i="18"/>
  <c r="AQ79" i="18"/>
  <c r="AP79" i="18"/>
  <c r="AO79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BL78" i="18"/>
  <c r="BL77" i="18"/>
  <c r="BL76" i="18"/>
  <c r="BL75" i="18"/>
  <c r="BL74" i="18"/>
  <c r="BL73" i="18"/>
  <c r="BL72" i="18"/>
  <c r="BL71" i="18"/>
  <c r="BL70" i="18"/>
  <c r="BL69" i="18"/>
  <c r="BK67" i="18"/>
  <c r="BJ67" i="18"/>
  <c r="BH67" i="18"/>
  <c r="BG67" i="18"/>
  <c r="BF67" i="18"/>
  <c r="BE67" i="18"/>
  <c r="BD67" i="18"/>
  <c r="BC67" i="18"/>
  <c r="BB67" i="18"/>
  <c r="BA67" i="18"/>
  <c r="AZ67" i="18"/>
  <c r="AY67" i="18"/>
  <c r="AX67" i="18"/>
  <c r="AW67" i="18"/>
  <c r="AV67" i="18"/>
  <c r="AU67" i="18"/>
  <c r="AT67" i="18"/>
  <c r="AS67" i="18"/>
  <c r="AR67" i="18"/>
  <c r="AQ67" i="18"/>
  <c r="AP67" i="18"/>
  <c r="AO67" i="18"/>
  <c r="AN67" i="18"/>
  <c r="AM67" i="18"/>
  <c r="AL67" i="18"/>
  <c r="AK67" i="18"/>
  <c r="AJ67" i="18"/>
  <c r="AI67" i="18"/>
  <c r="AH67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BL66" i="18"/>
  <c r="BL65" i="18"/>
  <c r="BL64" i="18"/>
  <c r="BL63" i="18"/>
  <c r="BL62" i="18"/>
  <c r="BL61" i="18"/>
  <c r="BL60" i="18"/>
  <c r="BL59" i="18"/>
  <c r="BL58" i="18"/>
  <c r="BL57" i="18"/>
  <c r="BK55" i="18"/>
  <c r="BJ55" i="18"/>
  <c r="BH55" i="18"/>
  <c r="BG55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BL54" i="18"/>
  <c r="BL53" i="18"/>
  <c r="BL52" i="18"/>
  <c r="BL51" i="18"/>
  <c r="BL50" i="18"/>
  <c r="BL49" i="18"/>
  <c r="BL48" i="18"/>
  <c r="BL47" i="18"/>
  <c r="BL46" i="18"/>
  <c r="BL45" i="18"/>
  <c r="BK41" i="18"/>
  <c r="BJ41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BL40" i="18"/>
  <c r="BL39" i="18"/>
  <c r="BK36" i="18"/>
  <c r="BJ36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U36" i="18"/>
  <c r="AT36" i="18"/>
  <c r="AS36" i="18"/>
  <c r="AR36" i="18"/>
  <c r="AQ36" i="18"/>
  <c r="AP36" i="18"/>
  <c r="AO36" i="18"/>
  <c r="AN36" i="18"/>
  <c r="AM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BL35" i="18"/>
  <c r="BL34" i="18"/>
  <c r="BL33" i="18"/>
  <c r="BK29" i="18"/>
  <c r="BJ29" i="18"/>
  <c r="BH29" i="18"/>
  <c r="BG29" i="18"/>
  <c r="BG30" i="18" s="1"/>
  <c r="BF29" i="18"/>
  <c r="BE29" i="18"/>
  <c r="BE30" i="18" s="1"/>
  <c r="BD29" i="18"/>
  <c r="BD30" i="18" s="1"/>
  <c r="BC29" i="18"/>
  <c r="BC30" i="18" s="1"/>
  <c r="BB29" i="18"/>
  <c r="BB30" i="18" s="1"/>
  <c r="BA29" i="18"/>
  <c r="BA30" i="18" s="1"/>
  <c r="AZ29" i="18"/>
  <c r="AZ30" i="18" s="1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K30" i="18" s="1"/>
  <c r="AJ29" i="18"/>
  <c r="AI29" i="18"/>
  <c r="AI30" i="18" s="1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L30" i="18" s="1"/>
  <c r="K29" i="18"/>
  <c r="J29" i="18"/>
  <c r="I29" i="18"/>
  <c r="H29" i="18"/>
  <c r="G29" i="18"/>
  <c r="F29" i="18"/>
  <c r="E29" i="18"/>
  <c r="BK28" i="18"/>
  <c r="BJ28" i="18"/>
  <c r="BH28" i="18"/>
  <c r="BG28" i="18"/>
  <c r="BF28" i="18"/>
  <c r="BE28" i="18"/>
  <c r="BD28" i="18"/>
  <c r="BC28" i="18"/>
  <c r="BB28" i="18"/>
  <c r="BA28" i="18"/>
  <c r="AZ28" i="18"/>
  <c r="AY28" i="18"/>
  <c r="AX28" i="18"/>
  <c r="AX30" i="18" s="1"/>
  <c r="AW28" i="18"/>
  <c r="AW30" i="18" s="1"/>
  <c r="AV28" i="18"/>
  <c r="AV30" i="18" s="1"/>
  <c r="AU28" i="18"/>
  <c r="AU30" i="18" s="1"/>
  <c r="AT28" i="18"/>
  <c r="AT30" i="18" s="1"/>
  <c r="AS28" i="18"/>
  <c r="AS30" i="18" s="1"/>
  <c r="AR28" i="18"/>
  <c r="AR30" i="18" s="1"/>
  <c r="AQ28" i="18"/>
  <c r="AP28" i="18"/>
  <c r="AO28" i="18"/>
  <c r="AN28" i="18"/>
  <c r="AM28" i="18"/>
  <c r="AL28" i="18"/>
  <c r="AK28" i="18"/>
  <c r="AJ28" i="18"/>
  <c r="AI28" i="18"/>
  <c r="AH28" i="18"/>
  <c r="AH30" i="18" s="1"/>
  <c r="AG28" i="18"/>
  <c r="AF28" i="18"/>
  <c r="AE28" i="18"/>
  <c r="AD28" i="18"/>
  <c r="AC28" i="18"/>
  <c r="AB28" i="18"/>
  <c r="AB30" i="18" s="1"/>
  <c r="AA28" i="18"/>
  <c r="AA30" i="18" s="1"/>
  <c r="Z28" i="18"/>
  <c r="Z30" i="18" s="1"/>
  <c r="Y28" i="18"/>
  <c r="X28" i="18"/>
  <c r="X30" i="18" s="1"/>
  <c r="W28" i="18"/>
  <c r="W30" i="18" s="1"/>
  <c r="V28" i="18"/>
  <c r="V30" i="18" s="1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E30" i="18" s="1"/>
  <c r="BK27" i="18"/>
  <c r="BJ27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BL26" i="18"/>
  <c r="BL25" i="18"/>
  <c r="BK24" i="18"/>
  <c r="BJ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BL23" i="18"/>
  <c r="BL22" i="18"/>
  <c r="BK21" i="18"/>
  <c r="BJ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BL20" i="18"/>
  <c r="BL19" i="18"/>
  <c r="BK16" i="18"/>
  <c r="BJ16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BL15" i="18"/>
  <c r="BL14" i="18"/>
  <c r="AP263" i="17"/>
  <c r="AO259" i="17"/>
  <c r="AN259" i="17"/>
  <c r="AM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AP258" i="17"/>
  <c r="AP257" i="17"/>
  <c r="AP256" i="17"/>
  <c r="AP255" i="17"/>
  <c r="AP254" i="17"/>
  <c r="AP253" i="17"/>
  <c r="AP252" i="17"/>
  <c r="AP251" i="17"/>
  <c r="AP250" i="17"/>
  <c r="AP249" i="17"/>
  <c r="AO247" i="17"/>
  <c r="AN247" i="17"/>
  <c r="AM247" i="17"/>
  <c r="AL247" i="17"/>
  <c r="AK247" i="17"/>
  <c r="AJ247" i="17"/>
  <c r="AI247" i="17"/>
  <c r="AH247" i="17"/>
  <c r="AG247" i="17"/>
  <c r="AF247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AP246" i="17"/>
  <c r="AP245" i="17"/>
  <c r="AP244" i="17"/>
  <c r="AP243" i="17"/>
  <c r="AP242" i="17"/>
  <c r="AP241" i="17"/>
  <c r="AP240" i="17"/>
  <c r="AP239" i="17"/>
  <c r="AP238" i="17"/>
  <c r="AP237" i="17"/>
  <c r="AO235" i="17"/>
  <c r="AN235" i="17"/>
  <c r="AM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AP234" i="17"/>
  <c r="AP233" i="17"/>
  <c r="AP232" i="17"/>
  <c r="AP231" i="17"/>
  <c r="AP230" i="17"/>
  <c r="AP229" i="17"/>
  <c r="AP228" i="17"/>
  <c r="AP227" i="17"/>
  <c r="AP226" i="17"/>
  <c r="AP225" i="17"/>
  <c r="AO223" i="17"/>
  <c r="AN223" i="17"/>
  <c r="AM223" i="17"/>
  <c r="AL223" i="17"/>
  <c r="AK223" i="17"/>
  <c r="AJ223" i="17"/>
  <c r="AI223" i="17"/>
  <c r="AH223" i="17"/>
  <c r="AG223" i="17"/>
  <c r="AF223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AP222" i="17"/>
  <c r="AP221" i="17"/>
  <c r="AP220" i="17"/>
  <c r="AP219" i="17"/>
  <c r="AP218" i="17"/>
  <c r="AP217" i="17"/>
  <c r="AP216" i="17"/>
  <c r="AP215" i="17"/>
  <c r="AP214" i="17"/>
  <c r="AP213" i="17"/>
  <c r="AO211" i="17"/>
  <c r="AN211" i="17"/>
  <c r="AM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AP210" i="17"/>
  <c r="AP209" i="17"/>
  <c r="AP208" i="17"/>
  <c r="AP207" i="17"/>
  <c r="AP206" i="17"/>
  <c r="AP205" i="17"/>
  <c r="AP204" i="17"/>
  <c r="AP203" i="17"/>
  <c r="AP202" i="17"/>
  <c r="AP201" i="17"/>
  <c r="AO199" i="17"/>
  <c r="AN199" i="17"/>
  <c r="AM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AP198" i="17"/>
  <c r="AP197" i="17"/>
  <c r="AP196" i="17"/>
  <c r="AP195" i="17"/>
  <c r="E195" i="1" s="1"/>
  <c r="AP194" i="17"/>
  <c r="AP193" i="17"/>
  <c r="AP192" i="17"/>
  <c r="AP191" i="17"/>
  <c r="AP190" i="17"/>
  <c r="AP189" i="17"/>
  <c r="AO187" i="17"/>
  <c r="AN187" i="17"/>
  <c r="AM187" i="17"/>
  <c r="AL187" i="17"/>
  <c r="AK187" i="17"/>
  <c r="AJ187" i="17"/>
  <c r="AI187" i="17"/>
  <c r="AH187" i="17"/>
  <c r="AG187" i="17"/>
  <c r="AF187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AP186" i="17"/>
  <c r="AP185" i="17"/>
  <c r="AP184" i="17"/>
  <c r="AP183" i="17"/>
  <c r="AP182" i="17"/>
  <c r="AP181" i="17"/>
  <c r="AP180" i="17"/>
  <c r="AP179" i="17"/>
  <c r="AP178" i="17"/>
  <c r="AP177" i="17"/>
  <c r="AO175" i="17"/>
  <c r="AN175" i="17"/>
  <c r="AM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AP174" i="17"/>
  <c r="AP173" i="17"/>
  <c r="AP172" i="17"/>
  <c r="AP171" i="17"/>
  <c r="AP170" i="17"/>
  <c r="AP169" i="17"/>
  <c r="AP168" i="17"/>
  <c r="AP167" i="17"/>
  <c r="AP166" i="17"/>
  <c r="AP165" i="17"/>
  <c r="AO163" i="17"/>
  <c r="AN163" i="17"/>
  <c r="AM163" i="17"/>
  <c r="AL163" i="17"/>
  <c r="AK163" i="17"/>
  <c r="AJ163" i="17"/>
  <c r="AI163" i="17"/>
  <c r="AH163" i="17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AO151" i="17"/>
  <c r="AN151" i="17"/>
  <c r="AM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AP150" i="17"/>
  <c r="AP149" i="17"/>
  <c r="AP148" i="17"/>
  <c r="AP147" i="17"/>
  <c r="AP146" i="17"/>
  <c r="AP145" i="17"/>
  <c r="AP144" i="17"/>
  <c r="AP143" i="17"/>
  <c r="E143" i="1" s="1"/>
  <c r="AP142" i="17"/>
  <c r="AP141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AP138" i="17"/>
  <c r="AP137" i="17"/>
  <c r="AP136" i="17"/>
  <c r="AP135" i="17"/>
  <c r="AP134" i="17"/>
  <c r="AP133" i="17"/>
  <c r="AP132" i="17"/>
  <c r="AP131" i="17"/>
  <c r="AP130" i="17"/>
  <c r="AP129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AP126" i="17"/>
  <c r="AP125" i="17"/>
  <c r="AP124" i="17"/>
  <c r="AP123" i="17"/>
  <c r="AP122" i="17"/>
  <c r="AP121" i="17"/>
  <c r="AP120" i="17"/>
  <c r="AP119" i="17"/>
  <c r="AP118" i="17"/>
  <c r="AP117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AP114" i="17"/>
  <c r="AP113" i="17"/>
  <c r="AP112" i="17"/>
  <c r="AP111" i="17"/>
  <c r="AP110" i="17"/>
  <c r="AP109" i="17"/>
  <c r="AP108" i="17"/>
  <c r="AP107" i="17"/>
  <c r="AP106" i="17"/>
  <c r="AP105" i="17"/>
  <c r="AO103" i="17"/>
  <c r="AN103" i="17"/>
  <c r="AM103" i="17"/>
  <c r="AL103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AP102" i="17"/>
  <c r="AP101" i="17"/>
  <c r="AP100" i="17"/>
  <c r="AP99" i="17"/>
  <c r="AP98" i="17"/>
  <c r="AP97" i="17"/>
  <c r="AP96" i="17"/>
  <c r="AP95" i="17"/>
  <c r="AP94" i="17"/>
  <c r="AP93" i="17"/>
  <c r="AO91" i="17"/>
  <c r="AN91" i="17"/>
  <c r="AM91" i="17"/>
  <c r="AL91" i="17"/>
  <c r="AK91" i="17"/>
  <c r="AJ91" i="17"/>
  <c r="AI91" i="17"/>
  <c r="AH91" i="17"/>
  <c r="AG91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AP90" i="17"/>
  <c r="AP89" i="17"/>
  <c r="AP88" i="17"/>
  <c r="AP87" i="17"/>
  <c r="AP86" i="17"/>
  <c r="AP85" i="17"/>
  <c r="AP84" i="17"/>
  <c r="AP83" i="17"/>
  <c r="AP82" i="17"/>
  <c r="AP81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P78" i="17"/>
  <c r="AP77" i="17"/>
  <c r="AP76" i="17"/>
  <c r="AP75" i="17"/>
  <c r="AP74" i="17"/>
  <c r="AP73" i="17"/>
  <c r="AP72" i="17"/>
  <c r="AP71" i="17"/>
  <c r="AP70" i="17"/>
  <c r="AP69" i="17"/>
  <c r="AO67" i="17"/>
  <c r="AN67" i="17"/>
  <c r="AM67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AP66" i="17"/>
  <c r="AP65" i="17"/>
  <c r="AP64" i="17"/>
  <c r="AP63" i="17"/>
  <c r="AP62" i="17"/>
  <c r="AP61" i="17"/>
  <c r="AP60" i="17"/>
  <c r="AP59" i="17"/>
  <c r="AP58" i="17"/>
  <c r="AP57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AP54" i="17"/>
  <c r="AP53" i="17"/>
  <c r="AP52" i="17"/>
  <c r="AP51" i="17"/>
  <c r="AP50" i="17"/>
  <c r="AP49" i="17"/>
  <c r="AP48" i="17"/>
  <c r="AP47" i="17"/>
  <c r="AP46" i="17"/>
  <c r="AP45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AP40" i="17"/>
  <c r="AP39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P35" i="17"/>
  <c r="AP34" i="17"/>
  <c r="AP33" i="17"/>
  <c r="AD30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AO28" i="17"/>
  <c r="AN28" i="17"/>
  <c r="AM28" i="17"/>
  <c r="AL28" i="17"/>
  <c r="AL30" i="17" s="1"/>
  <c r="AK28" i="17"/>
  <c r="AJ28" i="17"/>
  <c r="AI28" i="17"/>
  <c r="AH28" i="17"/>
  <c r="AG28" i="17"/>
  <c r="AG30" i="17" s="1"/>
  <c r="AF28" i="17"/>
  <c r="AF30" i="17" s="1"/>
  <c r="AE28" i="17"/>
  <c r="AE30" i="17" s="1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P30" i="17" s="1"/>
  <c r="O28" i="17"/>
  <c r="N28" i="17"/>
  <c r="M28" i="17"/>
  <c r="L28" i="17"/>
  <c r="K28" i="17"/>
  <c r="K30" i="17" s="1"/>
  <c r="J28" i="17"/>
  <c r="J30" i="17" s="1"/>
  <c r="I28" i="17"/>
  <c r="I30" i="17" s="1"/>
  <c r="H28" i="17"/>
  <c r="H30" i="17" s="1"/>
  <c r="G28" i="17"/>
  <c r="F28" i="17"/>
  <c r="E28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AP26" i="17"/>
  <c r="AP25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AP23" i="17"/>
  <c r="AP22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AP20" i="17"/>
  <c r="AP19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AP15" i="17"/>
  <c r="AP14" i="17"/>
  <c r="Z259" i="15"/>
  <c r="Y259" i="15"/>
  <c r="X259" i="15"/>
  <c r="W259" i="15"/>
  <c r="V259" i="15"/>
  <c r="U259" i="15"/>
  <c r="T259" i="15"/>
  <c r="S259" i="15"/>
  <c r="Z247" i="15"/>
  <c r="Y247" i="15"/>
  <c r="X247" i="15"/>
  <c r="W247" i="15"/>
  <c r="V247" i="15"/>
  <c r="U247" i="15"/>
  <c r="T247" i="15"/>
  <c r="S247" i="15"/>
  <c r="Z235" i="15"/>
  <c r="Y235" i="15"/>
  <c r="X235" i="15"/>
  <c r="W235" i="15"/>
  <c r="V235" i="15"/>
  <c r="U235" i="15"/>
  <c r="T235" i="15"/>
  <c r="S235" i="15"/>
  <c r="Z223" i="15"/>
  <c r="Y223" i="15"/>
  <c r="X223" i="15"/>
  <c r="W223" i="15"/>
  <c r="V223" i="15"/>
  <c r="U223" i="15"/>
  <c r="T223" i="15"/>
  <c r="S223" i="15"/>
  <c r="Z211" i="15"/>
  <c r="Y211" i="15"/>
  <c r="X211" i="15"/>
  <c r="W211" i="15"/>
  <c r="V211" i="15"/>
  <c r="U211" i="15"/>
  <c r="T211" i="15"/>
  <c r="S211" i="15"/>
  <c r="Z199" i="15"/>
  <c r="Y199" i="15"/>
  <c r="X199" i="15"/>
  <c r="W199" i="15"/>
  <c r="V199" i="15"/>
  <c r="U199" i="15"/>
  <c r="T199" i="15"/>
  <c r="S199" i="15"/>
  <c r="Z187" i="15"/>
  <c r="Y187" i="15"/>
  <c r="X187" i="15"/>
  <c r="W187" i="15"/>
  <c r="V187" i="15"/>
  <c r="U187" i="15"/>
  <c r="T187" i="15"/>
  <c r="S187" i="15"/>
  <c r="Z175" i="15"/>
  <c r="Y175" i="15"/>
  <c r="X175" i="15"/>
  <c r="W175" i="15"/>
  <c r="V175" i="15"/>
  <c r="U175" i="15"/>
  <c r="T175" i="15"/>
  <c r="S175" i="15"/>
  <c r="Z163" i="15"/>
  <c r="Y163" i="15"/>
  <c r="X163" i="15"/>
  <c r="W163" i="15"/>
  <c r="V163" i="15"/>
  <c r="U163" i="15"/>
  <c r="T163" i="15"/>
  <c r="S163" i="15"/>
  <c r="Z151" i="15"/>
  <c r="Y151" i="15"/>
  <c r="X151" i="15"/>
  <c r="W151" i="15"/>
  <c r="V151" i="15"/>
  <c r="U151" i="15"/>
  <c r="T151" i="15"/>
  <c r="S151" i="15"/>
  <c r="Z139" i="15"/>
  <c r="Y139" i="15"/>
  <c r="X139" i="15"/>
  <c r="W139" i="15"/>
  <c r="V139" i="15"/>
  <c r="U139" i="15"/>
  <c r="T139" i="15"/>
  <c r="S139" i="15"/>
  <c r="Z127" i="15"/>
  <c r="Y127" i="15"/>
  <c r="X127" i="15"/>
  <c r="W127" i="15"/>
  <c r="V127" i="15"/>
  <c r="U127" i="15"/>
  <c r="T127" i="15"/>
  <c r="S127" i="15"/>
  <c r="Z115" i="15"/>
  <c r="Y115" i="15"/>
  <c r="X115" i="15"/>
  <c r="W115" i="15"/>
  <c r="V115" i="15"/>
  <c r="U115" i="15"/>
  <c r="T115" i="15"/>
  <c r="S115" i="15"/>
  <c r="Z103" i="15"/>
  <c r="Y103" i="15"/>
  <c r="X103" i="15"/>
  <c r="W103" i="15"/>
  <c r="V103" i="15"/>
  <c r="U103" i="15"/>
  <c r="T103" i="15"/>
  <c r="S103" i="15"/>
  <c r="Z91" i="15"/>
  <c r="Y91" i="15"/>
  <c r="X91" i="15"/>
  <c r="W91" i="15"/>
  <c r="V91" i="15"/>
  <c r="U91" i="15"/>
  <c r="T91" i="15"/>
  <c r="S91" i="15"/>
  <c r="Z79" i="15"/>
  <c r="Y79" i="15"/>
  <c r="X79" i="15"/>
  <c r="W79" i="15"/>
  <c r="V79" i="15"/>
  <c r="U79" i="15"/>
  <c r="T79" i="15"/>
  <c r="S79" i="15"/>
  <c r="Z67" i="15"/>
  <c r="Y67" i="15"/>
  <c r="X67" i="15"/>
  <c r="W67" i="15"/>
  <c r="V67" i="15"/>
  <c r="U67" i="15"/>
  <c r="T67" i="15"/>
  <c r="S67" i="15"/>
  <c r="Z55" i="15"/>
  <c r="Y55" i="15"/>
  <c r="X55" i="15"/>
  <c r="W55" i="15"/>
  <c r="V55" i="15"/>
  <c r="U55" i="15"/>
  <c r="T55" i="15"/>
  <c r="S55" i="15"/>
  <c r="Z41" i="15"/>
  <c r="Y41" i="15"/>
  <c r="X41" i="15"/>
  <c r="W41" i="15"/>
  <c r="V41" i="15"/>
  <c r="U41" i="15"/>
  <c r="T41" i="15"/>
  <c r="S41" i="15"/>
  <c r="Z36" i="15"/>
  <c r="Y36" i="15"/>
  <c r="X36" i="15"/>
  <c r="W36" i="15"/>
  <c r="V36" i="15"/>
  <c r="U36" i="15"/>
  <c r="T36" i="15"/>
  <c r="S36" i="15"/>
  <c r="Z29" i="15"/>
  <c r="Z30" i="15" s="1"/>
  <c r="Y29" i="15"/>
  <c r="X29" i="15"/>
  <c r="W29" i="15"/>
  <c r="V29" i="15"/>
  <c r="U29" i="15"/>
  <c r="T29" i="15"/>
  <c r="S29" i="15"/>
  <c r="Z28" i="15"/>
  <c r="Y28" i="15"/>
  <c r="Y30" i="15" s="1"/>
  <c r="X28" i="15"/>
  <c r="W28" i="15"/>
  <c r="V28" i="15"/>
  <c r="U28" i="15"/>
  <c r="T28" i="15"/>
  <c r="S28" i="15"/>
  <c r="S30" i="15" s="1"/>
  <c r="Z27" i="15"/>
  <c r="Y27" i="15"/>
  <c r="X27" i="15"/>
  <c r="W27" i="15"/>
  <c r="V27" i="15"/>
  <c r="U27" i="15"/>
  <c r="T27" i="15"/>
  <c r="S27" i="15"/>
  <c r="Z24" i="15"/>
  <c r="Y24" i="15"/>
  <c r="X24" i="15"/>
  <c r="W24" i="15"/>
  <c r="V24" i="15"/>
  <c r="U24" i="15"/>
  <c r="T24" i="15"/>
  <c r="S24" i="15"/>
  <c r="Z21" i="15"/>
  <c r="Y21" i="15"/>
  <c r="X21" i="15"/>
  <c r="W21" i="15"/>
  <c r="V21" i="15"/>
  <c r="U21" i="15"/>
  <c r="T21" i="15"/>
  <c r="S21" i="15"/>
  <c r="Z16" i="15"/>
  <c r="Y16" i="15"/>
  <c r="X16" i="15"/>
  <c r="W16" i="15"/>
  <c r="V16" i="15"/>
  <c r="U16" i="15"/>
  <c r="T16" i="15"/>
  <c r="S16" i="15"/>
  <c r="AW259" i="10"/>
  <c r="AV259" i="10"/>
  <c r="AU259" i="10"/>
  <c r="AT259" i="10"/>
  <c r="AS259" i="10"/>
  <c r="AR259" i="10"/>
  <c r="AQ259" i="10"/>
  <c r="AP259" i="10"/>
  <c r="AO259" i="10"/>
  <c r="AN259" i="10"/>
  <c r="AM259" i="10"/>
  <c r="AL259" i="10"/>
  <c r="AW247" i="10"/>
  <c r="AV247" i="10"/>
  <c r="AU247" i="10"/>
  <c r="AT247" i="10"/>
  <c r="AS247" i="10"/>
  <c r="AR247" i="10"/>
  <c r="AQ247" i="10"/>
  <c r="AP247" i="10"/>
  <c r="AO247" i="10"/>
  <c r="AN247" i="10"/>
  <c r="AM247" i="10"/>
  <c r="AL247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W223" i="10"/>
  <c r="AV223" i="10"/>
  <c r="AU223" i="10"/>
  <c r="AT223" i="10"/>
  <c r="AS223" i="10"/>
  <c r="AR223" i="10"/>
  <c r="AQ223" i="10"/>
  <c r="AP223" i="10"/>
  <c r="AO223" i="10"/>
  <c r="AN223" i="10"/>
  <c r="AM223" i="10"/>
  <c r="AL223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W151" i="10"/>
  <c r="AV151" i="10"/>
  <c r="AU151" i="10"/>
  <c r="AT151" i="10"/>
  <c r="AS151" i="10"/>
  <c r="AR151" i="10"/>
  <c r="AQ151" i="10"/>
  <c r="AP151" i="10"/>
  <c r="AO151" i="10"/>
  <c r="AN151" i="10"/>
  <c r="AM151" i="10"/>
  <c r="AL151" i="10"/>
  <c r="AW139" i="10"/>
  <c r="AV139" i="10"/>
  <c r="AU139" i="10"/>
  <c r="AT139" i="10"/>
  <c r="AS139" i="10"/>
  <c r="AR139" i="10"/>
  <c r="AQ139" i="10"/>
  <c r="AP139" i="10"/>
  <c r="AO139" i="10"/>
  <c r="AN139" i="10"/>
  <c r="AM139" i="10"/>
  <c r="AL139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W29" i="10"/>
  <c r="AW30" i="10" s="1"/>
  <c r="AV29" i="10"/>
  <c r="AU29" i="10"/>
  <c r="AT29" i="10"/>
  <c r="AS29" i="10"/>
  <c r="AR29" i="10"/>
  <c r="AQ29" i="10"/>
  <c r="AP29" i="10"/>
  <c r="AO29" i="10"/>
  <c r="AN29" i="10"/>
  <c r="AM29" i="10"/>
  <c r="AL29" i="10"/>
  <c r="AW28" i="10"/>
  <c r="AV28" i="10"/>
  <c r="AU28" i="10"/>
  <c r="AT28" i="10"/>
  <c r="AS28" i="10"/>
  <c r="AR28" i="10"/>
  <c r="AR30" i="10" s="1"/>
  <c r="AQ28" i="10"/>
  <c r="AQ30" i="10" s="1"/>
  <c r="AP28" i="10"/>
  <c r="AP30" i="10" s="1"/>
  <c r="AO28" i="10"/>
  <c r="AO30" i="10" s="1"/>
  <c r="AN28" i="10"/>
  <c r="AN30" i="10" s="1"/>
  <c r="AM28" i="10"/>
  <c r="AM30" i="10" s="1"/>
  <c r="AL28" i="10"/>
  <c r="AL30" i="10" s="1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AA55" i="10"/>
  <c r="Z55" i="10"/>
  <c r="Z262" i="10" s="1"/>
  <c r="Z264" i="10" s="1"/>
  <c r="Y55" i="10"/>
  <c r="X55" i="10"/>
  <c r="W55" i="10"/>
  <c r="V55" i="10"/>
  <c r="V262" i="10" s="1"/>
  <c r="V264" i="10" s="1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AA28" i="10"/>
  <c r="Z28" i="10"/>
  <c r="Z30" i="10" s="1"/>
  <c r="Y28" i="10"/>
  <c r="X28" i="10"/>
  <c r="X30" i="10" s="1"/>
  <c r="W28" i="10"/>
  <c r="W30" i="10" s="1"/>
  <c r="V28" i="10"/>
  <c r="V30" i="10" s="1"/>
  <c r="U28" i="10"/>
  <c r="U30" i="10" s="1"/>
  <c r="T28" i="10"/>
  <c r="T30" i="10" s="1"/>
  <c r="S28" i="10"/>
  <c r="S30" i="10" s="1"/>
  <c r="R28" i="10"/>
  <c r="Q28" i="10"/>
  <c r="Q30" i="10" s="1"/>
  <c r="P28" i="10"/>
  <c r="P30" i="10" s="1"/>
  <c r="O28" i="10"/>
  <c r="O30" i="10" s="1"/>
  <c r="N28" i="10"/>
  <c r="N30" i="10" s="1"/>
  <c r="M28" i="10"/>
  <c r="M30" i="10" s="1"/>
  <c r="L28" i="10"/>
  <c r="L30" i="10" s="1"/>
  <c r="K28" i="10"/>
  <c r="K30" i="10" s="1"/>
  <c r="J28" i="10"/>
  <c r="J30" i="10" s="1"/>
  <c r="I28" i="10"/>
  <c r="I30" i="10" s="1"/>
  <c r="H28" i="10"/>
  <c r="H30" i="10" s="1"/>
  <c r="G28" i="10"/>
  <c r="G30" i="10" s="1"/>
  <c r="F28" i="10"/>
  <c r="F30" i="10" s="1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BL247" i="18" l="1"/>
  <c r="BL199" i="18"/>
  <c r="BL187" i="18"/>
  <c r="BL103" i="18"/>
  <c r="BF262" i="18"/>
  <c r="BF264" i="18" s="1"/>
  <c r="BL91" i="18"/>
  <c r="BL79" i="18"/>
  <c r="AJ262" i="18"/>
  <c r="AJ264" i="18" s="1"/>
  <c r="Y30" i="18"/>
  <c r="M30" i="18"/>
  <c r="F30" i="18"/>
  <c r="AS262" i="10"/>
  <c r="AS264" i="10" s="1"/>
  <c r="AR262" i="10"/>
  <c r="AR264" i="10" s="1"/>
  <c r="AO262" i="10"/>
  <c r="AO264" i="10" s="1"/>
  <c r="AP262" i="10"/>
  <c r="AP264" i="10" s="1"/>
  <c r="AM262" i="10"/>
  <c r="AM264" i="10" s="1"/>
  <c r="AT262" i="10"/>
  <c r="AT264" i="10" s="1"/>
  <c r="AQ262" i="10"/>
  <c r="AQ264" i="10" s="1"/>
  <c r="AL262" i="10"/>
  <c r="AL264" i="10" s="1"/>
  <c r="AV262" i="10"/>
  <c r="AV264" i="10" s="1"/>
  <c r="N262" i="10"/>
  <c r="N264" i="10" s="1"/>
  <c r="P262" i="10"/>
  <c r="P264" i="10" s="1"/>
  <c r="AN262" i="10"/>
  <c r="AN264" i="10" s="1"/>
  <c r="AW262" i="10"/>
  <c r="AW264" i="10" s="1"/>
  <c r="AU262" i="10"/>
  <c r="AU264" i="10" s="1"/>
  <c r="AA262" i="10"/>
  <c r="AA264" i="10" s="1"/>
  <c r="Y262" i="10"/>
  <c r="Y264" i="10" s="1"/>
  <c r="W262" i="10"/>
  <c r="W264" i="10" s="1"/>
  <c r="U262" i="10"/>
  <c r="U264" i="10" s="1"/>
  <c r="T262" i="10"/>
  <c r="T264" i="10" s="1"/>
  <c r="Q262" i="10"/>
  <c r="Q264" i="10" s="1"/>
  <c r="O262" i="10"/>
  <c r="O264" i="10" s="1"/>
  <c r="J262" i="10"/>
  <c r="J264" i="10" s="1"/>
  <c r="I262" i="10"/>
  <c r="I264" i="10" s="1"/>
  <c r="T262" i="15"/>
  <c r="T264" i="15" s="1"/>
  <c r="Z262" i="15"/>
  <c r="Z264" i="15" s="1"/>
  <c r="Y262" i="15"/>
  <c r="Y264" i="15" s="1"/>
  <c r="X262" i="15"/>
  <c r="X264" i="15" s="1"/>
  <c r="W262" i="15"/>
  <c r="W264" i="15" s="1"/>
  <c r="V262" i="15"/>
  <c r="V264" i="15" s="1"/>
  <c r="U262" i="15"/>
  <c r="U264" i="15" s="1"/>
  <c r="S262" i="15"/>
  <c r="S264" i="15" s="1"/>
  <c r="AP235" i="17"/>
  <c r="AP223" i="17"/>
  <c r="AP211" i="17"/>
  <c r="AP139" i="17"/>
  <c r="AP127" i="17"/>
  <c r="AP103" i="17"/>
  <c r="AJ262" i="17"/>
  <c r="AJ264" i="17" s="1"/>
  <c r="AC262" i="17"/>
  <c r="AC264" i="17" s="1"/>
  <c r="G262" i="17"/>
  <c r="G264" i="17" s="1"/>
  <c r="AK30" i="17"/>
  <c r="AI30" i="17"/>
  <c r="AJ30" i="17"/>
  <c r="AH30" i="17"/>
  <c r="O30" i="17"/>
  <c r="M30" i="17"/>
  <c r="L30" i="17"/>
  <c r="N30" i="17"/>
  <c r="AC30" i="18"/>
  <c r="AY30" i="18"/>
  <c r="H30" i="18"/>
  <c r="I30" i="18"/>
  <c r="AE30" i="18"/>
  <c r="J30" i="18"/>
  <c r="AF30" i="18"/>
  <c r="G30" i="18"/>
  <c r="AD30" i="18"/>
  <c r="K30" i="18"/>
  <c r="AG30" i="18"/>
  <c r="O30" i="18"/>
  <c r="T30" i="15"/>
  <c r="U30" i="15"/>
  <c r="V30" i="15"/>
  <c r="W30" i="15"/>
  <c r="X30" i="15"/>
  <c r="AS30" i="10"/>
  <c r="AT30" i="10"/>
  <c r="AU30" i="10"/>
  <c r="AV30" i="10"/>
  <c r="V262" i="18"/>
  <c r="V264" i="18" s="1"/>
  <c r="AR262" i="18"/>
  <c r="AR264" i="18" s="1"/>
  <c r="BL211" i="18"/>
  <c r="BL223" i="18"/>
  <c r="BL235" i="18"/>
  <c r="I262" i="18"/>
  <c r="I264" i="18" s="1"/>
  <c r="AE262" i="18"/>
  <c r="AE264" i="18" s="1"/>
  <c r="BA262" i="18"/>
  <c r="BA264" i="18" s="1"/>
  <c r="BL139" i="18"/>
  <c r="AO262" i="18"/>
  <c r="AO264" i="18" s="1"/>
  <c r="T262" i="18"/>
  <c r="T264" i="18" s="1"/>
  <c r="AQ262" i="18"/>
  <c r="AQ264" i="18" s="1"/>
  <c r="AS262" i="18"/>
  <c r="AS264" i="18" s="1"/>
  <c r="AU262" i="18"/>
  <c r="AU264" i="18" s="1"/>
  <c r="AV262" i="18"/>
  <c r="AV264" i="18" s="1"/>
  <c r="E262" i="18"/>
  <c r="E264" i="18" s="1"/>
  <c r="AA262" i="18"/>
  <c r="AA264" i="18" s="1"/>
  <c r="AW262" i="18"/>
  <c r="AW264" i="18" s="1"/>
  <c r="F262" i="18"/>
  <c r="F264" i="18" s="1"/>
  <c r="AB262" i="18"/>
  <c r="AB264" i="18" s="1"/>
  <c r="AX262" i="18"/>
  <c r="AX264" i="18" s="1"/>
  <c r="BL259" i="18"/>
  <c r="G262" i="18"/>
  <c r="G264" i="18" s="1"/>
  <c r="AC262" i="18"/>
  <c r="AC264" i="18" s="1"/>
  <c r="AY262" i="18"/>
  <c r="AY264" i="18" s="1"/>
  <c r="BL115" i="18"/>
  <c r="BG262" i="18"/>
  <c r="BG264" i="18" s="1"/>
  <c r="H262" i="18"/>
  <c r="H264" i="18" s="1"/>
  <c r="AD262" i="18"/>
  <c r="AD264" i="18" s="1"/>
  <c r="AZ262" i="18"/>
  <c r="AZ264" i="18" s="1"/>
  <c r="BL127" i="18"/>
  <c r="R262" i="18"/>
  <c r="R264" i="18" s="1"/>
  <c r="AN262" i="18"/>
  <c r="AN264" i="18" s="1"/>
  <c r="BK262" i="18"/>
  <c r="BK264" i="18" s="1"/>
  <c r="N30" i="18"/>
  <c r="AJ30" i="18"/>
  <c r="BF30" i="18"/>
  <c r="J262" i="18"/>
  <c r="J264" i="18" s="1"/>
  <c r="AF262" i="18"/>
  <c r="AF264" i="18" s="1"/>
  <c r="BB262" i="18"/>
  <c r="BB264" i="18" s="1"/>
  <c r="X262" i="18"/>
  <c r="X264" i="18" s="1"/>
  <c r="AT262" i="18"/>
  <c r="AT264" i="18" s="1"/>
  <c r="K262" i="18"/>
  <c r="K264" i="18" s="1"/>
  <c r="AG262" i="18"/>
  <c r="AG264" i="18" s="1"/>
  <c r="BC262" i="18"/>
  <c r="BC264" i="18" s="1"/>
  <c r="P30" i="18"/>
  <c r="AH262" i="18"/>
  <c r="AH264" i="18" s="1"/>
  <c r="BL27" i="18"/>
  <c r="Q30" i="18"/>
  <c r="AI262" i="18"/>
  <c r="AI264" i="18" s="1"/>
  <c r="R30" i="18"/>
  <c r="BK30" i="18"/>
  <c r="N262" i="18"/>
  <c r="N264" i="18" s="1"/>
  <c r="BL175" i="18"/>
  <c r="BL24" i="18"/>
  <c r="S30" i="18"/>
  <c r="AO30" i="18"/>
  <c r="BL29" i="18"/>
  <c r="BL41" i="18"/>
  <c r="O262" i="18"/>
  <c r="O264" i="18" s="1"/>
  <c r="AK262" i="18"/>
  <c r="AK264" i="18" s="1"/>
  <c r="S262" i="18"/>
  <c r="S264" i="18" s="1"/>
  <c r="AP262" i="18"/>
  <c r="AP264" i="18" s="1"/>
  <c r="U262" i="18"/>
  <c r="U264" i="18" s="1"/>
  <c r="Y262" i="18"/>
  <c r="Y264" i="18" s="1"/>
  <c r="Z262" i="18"/>
  <c r="Z264" i="18" s="1"/>
  <c r="BJ30" i="18"/>
  <c r="BL67" i="18"/>
  <c r="BL21" i="18"/>
  <c r="W262" i="18"/>
  <c r="W264" i="18" s="1"/>
  <c r="BL163" i="18"/>
  <c r="AL30" i="18"/>
  <c r="BH30" i="18"/>
  <c r="L262" i="18"/>
  <c r="L264" i="18" s="1"/>
  <c r="BD262" i="18"/>
  <c r="BD264" i="18" s="1"/>
  <c r="AM30" i="18"/>
  <c r="M262" i="18"/>
  <c r="M264" i="18" s="1"/>
  <c r="BE262" i="18"/>
  <c r="BE264" i="18" s="1"/>
  <c r="BL151" i="18"/>
  <c r="AN30" i="18"/>
  <c r="BL16" i="18"/>
  <c r="T30" i="18"/>
  <c r="AP30" i="18"/>
  <c r="BL36" i="18"/>
  <c r="P262" i="18"/>
  <c r="P264" i="18" s="1"/>
  <c r="AL262" i="18"/>
  <c r="AL264" i="18" s="1"/>
  <c r="BH262" i="18"/>
  <c r="BH264" i="18" s="1"/>
  <c r="U30" i="18"/>
  <c r="AQ30" i="18"/>
  <c r="BL55" i="18"/>
  <c r="Q262" i="18"/>
  <c r="Q264" i="18" s="1"/>
  <c r="AM262" i="18"/>
  <c r="AM264" i="18" s="1"/>
  <c r="BJ262" i="18"/>
  <c r="BJ264" i="18" s="1"/>
  <c r="BL28" i="18"/>
  <c r="AP16" i="17"/>
  <c r="AP27" i="17"/>
  <c r="M262" i="17"/>
  <c r="M264" i="17" s="1"/>
  <c r="AI262" i="17"/>
  <c r="AI264" i="17" s="1"/>
  <c r="Z30" i="17"/>
  <c r="W262" i="17"/>
  <c r="W264" i="17" s="1"/>
  <c r="AP79" i="17"/>
  <c r="AD262" i="17"/>
  <c r="AD264" i="17" s="1"/>
  <c r="I262" i="17"/>
  <c r="I264" i="17" s="1"/>
  <c r="AP115" i="17"/>
  <c r="AO30" i="17"/>
  <c r="Q262" i="17"/>
  <c r="Q264" i="17" s="1"/>
  <c r="U30" i="17"/>
  <c r="R262" i="17"/>
  <c r="R264" i="17" s="1"/>
  <c r="S262" i="17"/>
  <c r="S264" i="17" s="1"/>
  <c r="H262" i="17"/>
  <c r="H264" i="17" s="1"/>
  <c r="AE262" i="17"/>
  <c r="AE264" i="17" s="1"/>
  <c r="J262" i="17"/>
  <c r="J264" i="17" s="1"/>
  <c r="AG262" i="17"/>
  <c r="AG264" i="17" s="1"/>
  <c r="L262" i="17"/>
  <c r="L264" i="17" s="1"/>
  <c r="AM30" i="17"/>
  <c r="R30" i="17"/>
  <c r="AN30" i="17"/>
  <c r="O262" i="17"/>
  <c r="O264" i="17" s="1"/>
  <c r="Y262" i="17"/>
  <c r="Y264" i="17" s="1"/>
  <c r="S30" i="17"/>
  <c r="P262" i="17"/>
  <c r="P264" i="17" s="1"/>
  <c r="AL262" i="17"/>
  <c r="AL264" i="17" s="1"/>
  <c r="T30" i="17"/>
  <c r="AP55" i="17"/>
  <c r="AN262" i="17"/>
  <c r="AN264" i="17" s="1"/>
  <c r="AO262" i="17"/>
  <c r="AO264" i="17" s="1"/>
  <c r="W30" i="17"/>
  <c r="T262" i="17"/>
  <c r="T264" i="17" s="1"/>
  <c r="X30" i="17"/>
  <c r="AP67" i="17"/>
  <c r="AP163" i="17"/>
  <c r="E30" i="17"/>
  <c r="AA30" i="17"/>
  <c r="X262" i="17"/>
  <c r="X264" i="17" s="1"/>
  <c r="AP175" i="17"/>
  <c r="AP259" i="17"/>
  <c r="F30" i="17"/>
  <c r="AB30" i="17"/>
  <c r="AF262" i="17"/>
  <c r="AF264" i="17" s="1"/>
  <c r="AP199" i="17"/>
  <c r="K262" i="17"/>
  <c r="K264" i="17" s="1"/>
  <c r="AH262" i="17"/>
  <c r="AH264" i="17" s="1"/>
  <c r="AP24" i="17"/>
  <c r="Q30" i="17"/>
  <c r="AP36" i="17"/>
  <c r="AP41" i="17"/>
  <c r="N262" i="17"/>
  <c r="N264" i="17" s="1"/>
  <c r="AK262" i="17"/>
  <c r="AK264" i="17" s="1"/>
  <c r="AP29" i="17"/>
  <c r="AM262" i="17"/>
  <c r="AM264" i="17" s="1"/>
  <c r="AP21" i="17"/>
  <c r="V30" i="17"/>
  <c r="U262" i="17"/>
  <c r="U264" i="17" s="1"/>
  <c r="AP151" i="17"/>
  <c r="AP247" i="17"/>
  <c r="Y30" i="17"/>
  <c r="V262" i="17"/>
  <c r="V264" i="17" s="1"/>
  <c r="G30" i="17"/>
  <c r="AC30" i="17"/>
  <c r="Z262" i="17"/>
  <c r="Z264" i="17" s="1"/>
  <c r="AP91" i="17"/>
  <c r="E262" i="17"/>
  <c r="E264" i="17" s="1"/>
  <c r="AA262" i="17"/>
  <c r="AA264" i="17" s="1"/>
  <c r="AP187" i="17"/>
  <c r="F262" i="17"/>
  <c r="F264" i="17" s="1"/>
  <c r="AB262" i="17"/>
  <c r="AB264" i="17" s="1"/>
  <c r="AP28" i="17"/>
  <c r="X262" i="10"/>
  <c r="X264" i="10" s="1"/>
  <c r="AA30" i="10"/>
  <c r="F262" i="10"/>
  <c r="F264" i="10" s="1"/>
  <c r="R30" i="10"/>
  <c r="R262" i="10"/>
  <c r="R264" i="10" s="1"/>
  <c r="S262" i="10"/>
  <c r="S264" i="10" s="1"/>
  <c r="Y30" i="10"/>
  <c r="H262" i="10"/>
  <c r="H264" i="10" s="1"/>
  <c r="K262" i="10"/>
  <c r="K264" i="10" s="1"/>
  <c r="L262" i="10"/>
  <c r="L264" i="10" s="1"/>
  <c r="M262" i="10"/>
  <c r="M264" i="10" s="1"/>
  <c r="G262" i="10"/>
  <c r="G264" i="10" s="1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Q28" i="16"/>
  <c r="P28" i="16"/>
  <c r="O28" i="16"/>
  <c r="N28" i="16"/>
  <c r="M28" i="16"/>
  <c r="L28" i="16"/>
  <c r="K28" i="16"/>
  <c r="J28" i="16"/>
  <c r="I28" i="16"/>
  <c r="H28" i="16"/>
  <c r="G28" i="16"/>
  <c r="G30" i="16" s="1"/>
  <c r="F28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AA259" i="15"/>
  <c r="R259" i="15"/>
  <c r="Q259" i="15"/>
  <c r="P259" i="15"/>
  <c r="O259" i="15"/>
  <c r="N259" i="15"/>
  <c r="M259" i="15"/>
  <c r="AA247" i="15"/>
  <c r="R247" i="15"/>
  <c r="Q247" i="15"/>
  <c r="P247" i="15"/>
  <c r="O247" i="15"/>
  <c r="N247" i="15"/>
  <c r="M247" i="15"/>
  <c r="AA235" i="15"/>
  <c r="R235" i="15"/>
  <c r="Q235" i="15"/>
  <c r="P235" i="15"/>
  <c r="O235" i="15"/>
  <c r="N235" i="15"/>
  <c r="M235" i="15"/>
  <c r="AA223" i="15"/>
  <c r="R223" i="15"/>
  <c r="Q223" i="15"/>
  <c r="P223" i="15"/>
  <c r="O223" i="15"/>
  <c r="N223" i="15"/>
  <c r="M223" i="15"/>
  <c r="AA211" i="15"/>
  <c r="R211" i="15"/>
  <c r="Q211" i="15"/>
  <c r="P211" i="15"/>
  <c r="O211" i="15"/>
  <c r="N211" i="15"/>
  <c r="M211" i="15"/>
  <c r="AA199" i="15"/>
  <c r="R199" i="15"/>
  <c r="Q199" i="15"/>
  <c r="P199" i="15"/>
  <c r="O199" i="15"/>
  <c r="N199" i="15"/>
  <c r="M199" i="15"/>
  <c r="AA187" i="15"/>
  <c r="R187" i="15"/>
  <c r="Q187" i="15"/>
  <c r="P187" i="15"/>
  <c r="O187" i="15"/>
  <c r="N187" i="15"/>
  <c r="M187" i="15"/>
  <c r="AA175" i="15"/>
  <c r="R175" i="15"/>
  <c r="Q175" i="15"/>
  <c r="P175" i="15"/>
  <c r="O175" i="15"/>
  <c r="N175" i="15"/>
  <c r="M175" i="15"/>
  <c r="AA163" i="15"/>
  <c r="R163" i="15"/>
  <c r="Q163" i="15"/>
  <c r="P163" i="15"/>
  <c r="O163" i="15"/>
  <c r="N163" i="15"/>
  <c r="M163" i="15"/>
  <c r="AA151" i="15"/>
  <c r="R151" i="15"/>
  <c r="Q151" i="15"/>
  <c r="P151" i="15"/>
  <c r="O151" i="15"/>
  <c r="N151" i="15"/>
  <c r="M151" i="15"/>
  <c r="AA139" i="15"/>
  <c r="R139" i="15"/>
  <c r="Q139" i="15"/>
  <c r="P139" i="15"/>
  <c r="O139" i="15"/>
  <c r="N139" i="15"/>
  <c r="M139" i="15"/>
  <c r="AA127" i="15"/>
  <c r="R127" i="15"/>
  <c r="Q127" i="15"/>
  <c r="P127" i="15"/>
  <c r="O127" i="15"/>
  <c r="N127" i="15"/>
  <c r="M127" i="15"/>
  <c r="AA115" i="15"/>
  <c r="R115" i="15"/>
  <c r="Q115" i="15"/>
  <c r="P115" i="15"/>
  <c r="O115" i="15"/>
  <c r="N115" i="15"/>
  <c r="M115" i="15"/>
  <c r="AA103" i="15"/>
  <c r="R103" i="15"/>
  <c r="Q103" i="15"/>
  <c r="P103" i="15"/>
  <c r="O103" i="15"/>
  <c r="N103" i="15"/>
  <c r="M103" i="15"/>
  <c r="AA91" i="15"/>
  <c r="R91" i="15"/>
  <c r="Q91" i="15"/>
  <c r="P91" i="15"/>
  <c r="O91" i="15"/>
  <c r="N91" i="15"/>
  <c r="M91" i="15"/>
  <c r="AA79" i="15"/>
  <c r="R79" i="15"/>
  <c r="Q79" i="15"/>
  <c r="P79" i="15"/>
  <c r="O79" i="15"/>
  <c r="N79" i="15"/>
  <c r="M79" i="15"/>
  <c r="AA67" i="15"/>
  <c r="R67" i="15"/>
  <c r="Q67" i="15"/>
  <c r="P67" i="15"/>
  <c r="O67" i="15"/>
  <c r="N67" i="15"/>
  <c r="M67" i="15"/>
  <c r="AA55" i="15"/>
  <c r="R55" i="15"/>
  <c r="Q55" i="15"/>
  <c r="P55" i="15"/>
  <c r="O55" i="15"/>
  <c r="N55" i="15"/>
  <c r="M55" i="15"/>
  <c r="AA41" i="15"/>
  <c r="R41" i="15"/>
  <c r="Q41" i="15"/>
  <c r="P41" i="15"/>
  <c r="O41" i="15"/>
  <c r="N41" i="15"/>
  <c r="M41" i="15"/>
  <c r="AA36" i="15"/>
  <c r="R36" i="15"/>
  <c r="Q36" i="15"/>
  <c r="P36" i="15"/>
  <c r="O36" i="15"/>
  <c r="N36" i="15"/>
  <c r="M36" i="15"/>
  <c r="AA29" i="15"/>
  <c r="R29" i="15"/>
  <c r="Q29" i="15"/>
  <c r="P29" i="15"/>
  <c r="O29" i="15"/>
  <c r="N29" i="15"/>
  <c r="M29" i="15"/>
  <c r="AA28" i="15"/>
  <c r="R28" i="15"/>
  <c r="Q28" i="15"/>
  <c r="P28" i="15"/>
  <c r="P30" i="15" s="1"/>
  <c r="O28" i="15"/>
  <c r="N28" i="15"/>
  <c r="M28" i="15"/>
  <c r="M30" i="15" s="1"/>
  <c r="AA27" i="15"/>
  <c r="R27" i="15"/>
  <c r="Q27" i="15"/>
  <c r="P27" i="15"/>
  <c r="O27" i="15"/>
  <c r="N27" i="15"/>
  <c r="M27" i="15"/>
  <c r="AA24" i="15"/>
  <c r="R24" i="15"/>
  <c r="Q24" i="15"/>
  <c r="P24" i="15"/>
  <c r="O24" i="15"/>
  <c r="N24" i="15"/>
  <c r="M24" i="15"/>
  <c r="AA21" i="15"/>
  <c r="R21" i="15"/>
  <c r="Q21" i="15"/>
  <c r="P21" i="15"/>
  <c r="O21" i="15"/>
  <c r="N21" i="15"/>
  <c r="M21" i="15"/>
  <c r="AA16" i="15"/>
  <c r="R16" i="15"/>
  <c r="Q16" i="15"/>
  <c r="P16" i="15"/>
  <c r="O16" i="15"/>
  <c r="N16" i="15"/>
  <c r="M16" i="15"/>
  <c r="L259" i="15"/>
  <c r="K259" i="15"/>
  <c r="J259" i="15"/>
  <c r="I259" i="15"/>
  <c r="H259" i="15"/>
  <c r="G259" i="15"/>
  <c r="F259" i="15"/>
  <c r="L247" i="15"/>
  <c r="K247" i="15"/>
  <c r="J247" i="15"/>
  <c r="I247" i="15"/>
  <c r="H247" i="15"/>
  <c r="G247" i="15"/>
  <c r="F247" i="15"/>
  <c r="L235" i="15"/>
  <c r="K235" i="15"/>
  <c r="J235" i="15"/>
  <c r="I235" i="15"/>
  <c r="H235" i="15"/>
  <c r="G235" i="15"/>
  <c r="F235" i="15"/>
  <c r="L223" i="15"/>
  <c r="K223" i="15"/>
  <c r="J223" i="15"/>
  <c r="I223" i="15"/>
  <c r="H223" i="15"/>
  <c r="G223" i="15"/>
  <c r="F223" i="15"/>
  <c r="L211" i="15"/>
  <c r="K211" i="15"/>
  <c r="J211" i="15"/>
  <c r="I211" i="15"/>
  <c r="H211" i="15"/>
  <c r="G211" i="15"/>
  <c r="F211" i="15"/>
  <c r="L199" i="15"/>
  <c r="K199" i="15"/>
  <c r="J199" i="15"/>
  <c r="I199" i="15"/>
  <c r="H199" i="15"/>
  <c r="G199" i="15"/>
  <c r="F199" i="15"/>
  <c r="L187" i="15"/>
  <c r="K187" i="15"/>
  <c r="J187" i="15"/>
  <c r="I187" i="15"/>
  <c r="H187" i="15"/>
  <c r="G187" i="15"/>
  <c r="F187" i="15"/>
  <c r="L175" i="15"/>
  <c r="K175" i="15"/>
  <c r="J175" i="15"/>
  <c r="I175" i="15"/>
  <c r="H175" i="15"/>
  <c r="G175" i="15"/>
  <c r="F175" i="15"/>
  <c r="L163" i="15"/>
  <c r="K163" i="15"/>
  <c r="J163" i="15"/>
  <c r="I163" i="15"/>
  <c r="H163" i="15"/>
  <c r="G163" i="15"/>
  <c r="F163" i="15"/>
  <c r="L151" i="15"/>
  <c r="K151" i="15"/>
  <c r="J151" i="15"/>
  <c r="I151" i="15"/>
  <c r="H151" i="15"/>
  <c r="G151" i="15"/>
  <c r="F151" i="15"/>
  <c r="L139" i="15"/>
  <c r="K139" i="15"/>
  <c r="J139" i="15"/>
  <c r="I139" i="15"/>
  <c r="H139" i="15"/>
  <c r="G139" i="15"/>
  <c r="F139" i="15"/>
  <c r="L127" i="15"/>
  <c r="K127" i="15"/>
  <c r="J127" i="15"/>
  <c r="I127" i="15"/>
  <c r="H127" i="15"/>
  <c r="G127" i="15"/>
  <c r="F127" i="15"/>
  <c r="L115" i="15"/>
  <c r="K115" i="15"/>
  <c r="J115" i="15"/>
  <c r="I115" i="15"/>
  <c r="H115" i="15"/>
  <c r="G115" i="15"/>
  <c r="F115" i="15"/>
  <c r="L103" i="15"/>
  <c r="K103" i="15"/>
  <c r="J103" i="15"/>
  <c r="I103" i="15"/>
  <c r="H103" i="15"/>
  <c r="G103" i="15"/>
  <c r="F103" i="15"/>
  <c r="L91" i="15"/>
  <c r="K91" i="15"/>
  <c r="J91" i="15"/>
  <c r="I91" i="15"/>
  <c r="H91" i="15"/>
  <c r="G91" i="15"/>
  <c r="F91" i="15"/>
  <c r="L79" i="15"/>
  <c r="K79" i="15"/>
  <c r="J79" i="15"/>
  <c r="I79" i="15"/>
  <c r="H79" i="15"/>
  <c r="G79" i="15"/>
  <c r="F79" i="15"/>
  <c r="L67" i="15"/>
  <c r="K67" i="15"/>
  <c r="J67" i="15"/>
  <c r="I67" i="15"/>
  <c r="H67" i="15"/>
  <c r="G67" i="15"/>
  <c r="F67" i="15"/>
  <c r="L55" i="15"/>
  <c r="K55" i="15"/>
  <c r="J55" i="15"/>
  <c r="I55" i="15"/>
  <c r="H55" i="15"/>
  <c r="G55" i="15"/>
  <c r="F55" i="15"/>
  <c r="L41" i="15"/>
  <c r="K41" i="15"/>
  <c r="J41" i="15"/>
  <c r="I41" i="15"/>
  <c r="H41" i="15"/>
  <c r="G41" i="15"/>
  <c r="F41" i="15"/>
  <c r="L36" i="15"/>
  <c r="K36" i="15"/>
  <c r="J36" i="15"/>
  <c r="I36" i="15"/>
  <c r="H36" i="15"/>
  <c r="G36" i="15"/>
  <c r="F36" i="15"/>
  <c r="L29" i="15"/>
  <c r="K29" i="15"/>
  <c r="J29" i="15"/>
  <c r="I29" i="15"/>
  <c r="H29" i="15"/>
  <c r="G29" i="15"/>
  <c r="F29" i="15"/>
  <c r="L28" i="15"/>
  <c r="L30" i="15" s="1"/>
  <c r="K28" i="15"/>
  <c r="K30" i="15" s="1"/>
  <c r="J28" i="15"/>
  <c r="I28" i="15"/>
  <c r="H28" i="15"/>
  <c r="G28" i="15"/>
  <c r="F28" i="15"/>
  <c r="L27" i="15"/>
  <c r="K27" i="15"/>
  <c r="J27" i="15"/>
  <c r="I27" i="15"/>
  <c r="H27" i="15"/>
  <c r="G27" i="15"/>
  <c r="F27" i="15"/>
  <c r="L24" i="15"/>
  <c r="K24" i="15"/>
  <c r="J24" i="15"/>
  <c r="I24" i="15"/>
  <c r="H24" i="15"/>
  <c r="G24" i="15"/>
  <c r="F24" i="15"/>
  <c r="L21" i="15"/>
  <c r="K21" i="15"/>
  <c r="J21" i="15"/>
  <c r="I21" i="15"/>
  <c r="H21" i="15"/>
  <c r="G21" i="15"/>
  <c r="F21" i="15"/>
  <c r="L16" i="15"/>
  <c r="K16" i="15"/>
  <c r="J16" i="15"/>
  <c r="I16" i="15"/>
  <c r="H16" i="15"/>
  <c r="G16" i="15"/>
  <c r="F16" i="15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Y259" i="10"/>
  <c r="AY247" i="10"/>
  <c r="AY235" i="10"/>
  <c r="AY223" i="10"/>
  <c r="AY211" i="10"/>
  <c r="AY199" i="10"/>
  <c r="AY187" i="10"/>
  <c r="AY175" i="10"/>
  <c r="AY163" i="10"/>
  <c r="AY151" i="10"/>
  <c r="AY139" i="10"/>
  <c r="AY127" i="10"/>
  <c r="AY115" i="10"/>
  <c r="AY103" i="10"/>
  <c r="AY91" i="10"/>
  <c r="AY79" i="10"/>
  <c r="AY67" i="10"/>
  <c r="AY55" i="10"/>
  <c r="AY41" i="10"/>
  <c r="AY36" i="10"/>
  <c r="AY29" i="10"/>
  <c r="AY28" i="10"/>
  <c r="AY30" i="10" s="1"/>
  <c r="AY27" i="10"/>
  <c r="AY24" i="10"/>
  <c r="AY21" i="10"/>
  <c r="AY16" i="10"/>
  <c r="AZ259" i="10"/>
  <c r="AX259" i="10"/>
  <c r="AK259" i="10"/>
  <c r="AJ259" i="10"/>
  <c r="AI259" i="10"/>
  <c r="AH259" i="10"/>
  <c r="AG259" i="10"/>
  <c r="AF259" i="10"/>
  <c r="AE259" i="10"/>
  <c r="AD259" i="10"/>
  <c r="AC259" i="10"/>
  <c r="AB259" i="10"/>
  <c r="AZ247" i="10"/>
  <c r="AX247" i="10"/>
  <c r="AK247" i="10"/>
  <c r="AJ247" i="10"/>
  <c r="AI247" i="10"/>
  <c r="AH247" i="10"/>
  <c r="AG247" i="10"/>
  <c r="AF247" i="10"/>
  <c r="AE247" i="10"/>
  <c r="AD247" i="10"/>
  <c r="AC247" i="10"/>
  <c r="AB247" i="10"/>
  <c r="AZ235" i="10"/>
  <c r="AX235" i="10"/>
  <c r="AK235" i="10"/>
  <c r="AJ235" i="10"/>
  <c r="AI235" i="10"/>
  <c r="AH235" i="10"/>
  <c r="AG235" i="10"/>
  <c r="AF235" i="10"/>
  <c r="AE235" i="10"/>
  <c r="AD235" i="10"/>
  <c r="AC235" i="10"/>
  <c r="AB235" i="10"/>
  <c r="AZ223" i="10"/>
  <c r="AX223" i="10"/>
  <c r="AK223" i="10"/>
  <c r="AJ223" i="10"/>
  <c r="AI223" i="10"/>
  <c r="AH223" i="10"/>
  <c r="AG223" i="10"/>
  <c r="AF223" i="10"/>
  <c r="AE223" i="10"/>
  <c r="AD223" i="10"/>
  <c r="AC223" i="10"/>
  <c r="AB223" i="10"/>
  <c r="AZ211" i="10"/>
  <c r="AX211" i="10"/>
  <c r="AK211" i="10"/>
  <c r="AJ211" i="10"/>
  <c r="AI211" i="10"/>
  <c r="AH211" i="10"/>
  <c r="AG211" i="10"/>
  <c r="AF211" i="10"/>
  <c r="AE211" i="10"/>
  <c r="AD211" i="10"/>
  <c r="AC211" i="10"/>
  <c r="AB211" i="10"/>
  <c r="AZ199" i="10"/>
  <c r="AX199" i="10"/>
  <c r="AK199" i="10"/>
  <c r="AJ199" i="10"/>
  <c r="AI199" i="10"/>
  <c r="AH199" i="10"/>
  <c r="AG199" i="10"/>
  <c r="AF199" i="10"/>
  <c r="AE199" i="10"/>
  <c r="AD199" i="10"/>
  <c r="AC199" i="10"/>
  <c r="AB199" i="10"/>
  <c r="AZ187" i="10"/>
  <c r="AX187" i="10"/>
  <c r="AK187" i="10"/>
  <c r="AJ187" i="10"/>
  <c r="AI187" i="10"/>
  <c r="AH187" i="10"/>
  <c r="AG187" i="10"/>
  <c r="AF187" i="10"/>
  <c r="AE187" i="10"/>
  <c r="AD187" i="10"/>
  <c r="AC187" i="10"/>
  <c r="AB187" i="10"/>
  <c r="AZ175" i="10"/>
  <c r="AX175" i="10"/>
  <c r="AK175" i="10"/>
  <c r="AJ175" i="10"/>
  <c r="AI175" i="10"/>
  <c r="AH175" i="10"/>
  <c r="AG175" i="10"/>
  <c r="AF175" i="10"/>
  <c r="AE175" i="10"/>
  <c r="AD175" i="10"/>
  <c r="AC175" i="10"/>
  <c r="AB175" i="10"/>
  <c r="AZ163" i="10"/>
  <c r="AX163" i="10"/>
  <c r="AK163" i="10"/>
  <c r="AJ163" i="10"/>
  <c r="AI163" i="10"/>
  <c r="AH163" i="10"/>
  <c r="AG163" i="10"/>
  <c r="AF163" i="10"/>
  <c r="AE163" i="10"/>
  <c r="AD163" i="10"/>
  <c r="AC163" i="10"/>
  <c r="AB163" i="10"/>
  <c r="AZ151" i="10"/>
  <c r="AX151" i="10"/>
  <c r="AK151" i="10"/>
  <c r="AJ151" i="10"/>
  <c r="AI151" i="10"/>
  <c r="AH151" i="10"/>
  <c r="AG151" i="10"/>
  <c r="AF151" i="10"/>
  <c r="AE151" i="10"/>
  <c r="AD151" i="10"/>
  <c r="AC151" i="10"/>
  <c r="AB151" i="10"/>
  <c r="AZ139" i="10"/>
  <c r="AX139" i="10"/>
  <c r="AK139" i="10"/>
  <c r="AJ139" i="10"/>
  <c r="AI139" i="10"/>
  <c r="AH139" i="10"/>
  <c r="AG139" i="10"/>
  <c r="AF139" i="10"/>
  <c r="AE139" i="10"/>
  <c r="AD139" i="10"/>
  <c r="AC139" i="10"/>
  <c r="AB139" i="10"/>
  <c r="AZ127" i="10"/>
  <c r="AX127" i="10"/>
  <c r="AK127" i="10"/>
  <c r="AJ127" i="10"/>
  <c r="AI127" i="10"/>
  <c r="AH127" i="10"/>
  <c r="AG127" i="10"/>
  <c r="AF127" i="10"/>
  <c r="AE127" i="10"/>
  <c r="AD127" i="10"/>
  <c r="AC127" i="10"/>
  <c r="AB127" i="10"/>
  <c r="AZ115" i="10"/>
  <c r="AX115" i="10"/>
  <c r="AK115" i="10"/>
  <c r="AJ115" i="10"/>
  <c r="AI115" i="10"/>
  <c r="AH115" i="10"/>
  <c r="AG115" i="10"/>
  <c r="AF115" i="10"/>
  <c r="AE115" i="10"/>
  <c r="AD115" i="10"/>
  <c r="AC115" i="10"/>
  <c r="AB115" i="10"/>
  <c r="AZ103" i="10"/>
  <c r="AX103" i="10"/>
  <c r="AK103" i="10"/>
  <c r="AJ103" i="10"/>
  <c r="AI103" i="10"/>
  <c r="AH103" i="10"/>
  <c r="AG103" i="10"/>
  <c r="AF103" i="10"/>
  <c r="AE103" i="10"/>
  <c r="AD103" i="10"/>
  <c r="AC103" i="10"/>
  <c r="AB103" i="10"/>
  <c r="AZ91" i="10"/>
  <c r="AX91" i="10"/>
  <c r="AK91" i="10"/>
  <c r="AJ91" i="10"/>
  <c r="AI91" i="10"/>
  <c r="AH91" i="10"/>
  <c r="AG91" i="10"/>
  <c r="AF91" i="10"/>
  <c r="AE91" i="10"/>
  <c r="AD91" i="10"/>
  <c r="AC91" i="10"/>
  <c r="AB91" i="10"/>
  <c r="AZ79" i="10"/>
  <c r="AX79" i="10"/>
  <c r="AK79" i="10"/>
  <c r="AJ79" i="10"/>
  <c r="AI79" i="10"/>
  <c r="AH79" i="10"/>
  <c r="AG79" i="10"/>
  <c r="AF79" i="10"/>
  <c r="AE79" i="10"/>
  <c r="AD79" i="10"/>
  <c r="AC79" i="10"/>
  <c r="AB79" i="10"/>
  <c r="AZ67" i="10"/>
  <c r="AX67" i="10"/>
  <c r="AK67" i="10"/>
  <c r="AJ67" i="10"/>
  <c r="AI67" i="10"/>
  <c r="AH67" i="10"/>
  <c r="AG67" i="10"/>
  <c r="AF67" i="10"/>
  <c r="AE67" i="10"/>
  <c r="AD67" i="10"/>
  <c r="AC67" i="10"/>
  <c r="AB67" i="10"/>
  <c r="AZ55" i="10"/>
  <c r="AX55" i="10"/>
  <c r="AK55" i="10"/>
  <c r="AJ55" i="10"/>
  <c r="AI55" i="10"/>
  <c r="AH55" i="10"/>
  <c r="AG55" i="10"/>
  <c r="AF55" i="10"/>
  <c r="AE55" i="10"/>
  <c r="AD55" i="10"/>
  <c r="AC55" i="10"/>
  <c r="AB55" i="10"/>
  <c r="AZ41" i="10"/>
  <c r="AX41" i="10"/>
  <c r="AK41" i="10"/>
  <c r="AJ41" i="10"/>
  <c r="AI41" i="10"/>
  <c r="AH41" i="10"/>
  <c r="AG41" i="10"/>
  <c r="AF41" i="10"/>
  <c r="AE41" i="10"/>
  <c r="AD41" i="10"/>
  <c r="AC41" i="10"/>
  <c r="AB41" i="10"/>
  <c r="AZ36" i="10"/>
  <c r="AX36" i="10"/>
  <c r="AK36" i="10"/>
  <c r="AJ36" i="10"/>
  <c r="AI36" i="10"/>
  <c r="AH36" i="10"/>
  <c r="AG36" i="10"/>
  <c r="AF36" i="10"/>
  <c r="AE36" i="10"/>
  <c r="AD36" i="10"/>
  <c r="AC36" i="10"/>
  <c r="AB36" i="10"/>
  <c r="AZ29" i="10"/>
  <c r="AX29" i="10"/>
  <c r="AK29" i="10"/>
  <c r="AJ29" i="10"/>
  <c r="AI29" i="10"/>
  <c r="AH29" i="10"/>
  <c r="AG29" i="10"/>
  <c r="AF29" i="10"/>
  <c r="AE29" i="10"/>
  <c r="AD29" i="10"/>
  <c r="AC29" i="10"/>
  <c r="AB29" i="10"/>
  <c r="AZ28" i="10"/>
  <c r="AX28" i="10"/>
  <c r="AK28" i="10"/>
  <c r="AJ28" i="10"/>
  <c r="AI28" i="10"/>
  <c r="AH28" i="10"/>
  <c r="AG28" i="10"/>
  <c r="AF28" i="10"/>
  <c r="AE28" i="10"/>
  <c r="AD28" i="10"/>
  <c r="AC28" i="10"/>
  <c r="AB28" i="10"/>
  <c r="AZ27" i="10"/>
  <c r="AX27" i="10"/>
  <c r="AK27" i="10"/>
  <c r="AJ27" i="10"/>
  <c r="AI27" i="10"/>
  <c r="AH27" i="10"/>
  <c r="AG27" i="10"/>
  <c r="AF27" i="10"/>
  <c r="AE27" i="10"/>
  <c r="AD27" i="10"/>
  <c r="AC27" i="10"/>
  <c r="AB27" i="10"/>
  <c r="AZ24" i="10"/>
  <c r="AX24" i="10"/>
  <c r="AK24" i="10"/>
  <c r="AJ24" i="10"/>
  <c r="AI24" i="10"/>
  <c r="AH24" i="10"/>
  <c r="AG24" i="10"/>
  <c r="AF24" i="10"/>
  <c r="AE24" i="10"/>
  <c r="AD24" i="10"/>
  <c r="AC24" i="10"/>
  <c r="AB24" i="10"/>
  <c r="AZ21" i="10"/>
  <c r="AX21" i="10"/>
  <c r="AK21" i="10"/>
  <c r="AJ21" i="10"/>
  <c r="AI21" i="10"/>
  <c r="AH21" i="10"/>
  <c r="AG21" i="10"/>
  <c r="AF21" i="10"/>
  <c r="AE21" i="10"/>
  <c r="AD21" i="10"/>
  <c r="AC21" i="10"/>
  <c r="AB21" i="10"/>
  <c r="AZ16" i="10"/>
  <c r="AX16" i="10"/>
  <c r="AK16" i="10"/>
  <c r="AJ16" i="10"/>
  <c r="AI16" i="10"/>
  <c r="AH16" i="10"/>
  <c r="AG16" i="10"/>
  <c r="AF16" i="10"/>
  <c r="AE16" i="10"/>
  <c r="AD16" i="10"/>
  <c r="AC16" i="10"/>
  <c r="AB16" i="10"/>
  <c r="AD259" i="9"/>
  <c r="AC259" i="9"/>
  <c r="AB259" i="9"/>
  <c r="AA259" i="9"/>
  <c r="Z259" i="9"/>
  <c r="Y259" i="9"/>
  <c r="X259" i="9"/>
  <c r="W259" i="9"/>
  <c r="AD247" i="9"/>
  <c r="AC247" i="9"/>
  <c r="AB247" i="9"/>
  <c r="AA247" i="9"/>
  <c r="Z247" i="9"/>
  <c r="Y247" i="9"/>
  <c r="X247" i="9"/>
  <c r="W247" i="9"/>
  <c r="AD235" i="9"/>
  <c r="AC235" i="9"/>
  <c r="AB235" i="9"/>
  <c r="AA235" i="9"/>
  <c r="Z235" i="9"/>
  <c r="Y235" i="9"/>
  <c r="X235" i="9"/>
  <c r="W235" i="9"/>
  <c r="AD223" i="9"/>
  <c r="AC223" i="9"/>
  <c r="AB223" i="9"/>
  <c r="AA223" i="9"/>
  <c r="Z223" i="9"/>
  <c r="Y223" i="9"/>
  <c r="X223" i="9"/>
  <c r="W223" i="9"/>
  <c r="AD211" i="9"/>
  <c r="AC211" i="9"/>
  <c r="AB211" i="9"/>
  <c r="AA211" i="9"/>
  <c r="Z211" i="9"/>
  <c r="Y211" i="9"/>
  <c r="X211" i="9"/>
  <c r="W211" i="9"/>
  <c r="AD199" i="9"/>
  <c r="AC199" i="9"/>
  <c r="AB199" i="9"/>
  <c r="AA199" i="9"/>
  <c r="Z199" i="9"/>
  <c r="Y199" i="9"/>
  <c r="X199" i="9"/>
  <c r="W199" i="9"/>
  <c r="AD187" i="9"/>
  <c r="AC187" i="9"/>
  <c r="AB187" i="9"/>
  <c r="AA187" i="9"/>
  <c r="Z187" i="9"/>
  <c r="Y187" i="9"/>
  <c r="X187" i="9"/>
  <c r="W187" i="9"/>
  <c r="AD175" i="9"/>
  <c r="AC175" i="9"/>
  <c r="AB175" i="9"/>
  <c r="AA175" i="9"/>
  <c r="Z175" i="9"/>
  <c r="Y175" i="9"/>
  <c r="X175" i="9"/>
  <c r="W175" i="9"/>
  <c r="AD163" i="9"/>
  <c r="AC163" i="9"/>
  <c r="AB163" i="9"/>
  <c r="AA163" i="9"/>
  <c r="Z163" i="9"/>
  <c r="Y163" i="9"/>
  <c r="X163" i="9"/>
  <c r="W163" i="9"/>
  <c r="AD151" i="9"/>
  <c r="AC151" i="9"/>
  <c r="AB151" i="9"/>
  <c r="AA151" i="9"/>
  <c r="Z151" i="9"/>
  <c r="Y151" i="9"/>
  <c r="X151" i="9"/>
  <c r="W151" i="9"/>
  <c r="AD139" i="9"/>
  <c r="AC139" i="9"/>
  <c r="AB139" i="9"/>
  <c r="AA139" i="9"/>
  <c r="Z139" i="9"/>
  <c r="Y139" i="9"/>
  <c r="X139" i="9"/>
  <c r="W139" i="9"/>
  <c r="AD127" i="9"/>
  <c r="AC127" i="9"/>
  <c r="AB127" i="9"/>
  <c r="AA127" i="9"/>
  <c r="Z127" i="9"/>
  <c r="Y127" i="9"/>
  <c r="X127" i="9"/>
  <c r="W127" i="9"/>
  <c r="AD115" i="9"/>
  <c r="AC115" i="9"/>
  <c r="AB115" i="9"/>
  <c r="AA115" i="9"/>
  <c r="Z115" i="9"/>
  <c r="Y115" i="9"/>
  <c r="X115" i="9"/>
  <c r="W115" i="9"/>
  <c r="AD103" i="9"/>
  <c r="AC103" i="9"/>
  <c r="AB103" i="9"/>
  <c r="AA103" i="9"/>
  <c r="Z103" i="9"/>
  <c r="Y103" i="9"/>
  <c r="X103" i="9"/>
  <c r="W103" i="9"/>
  <c r="AD91" i="9"/>
  <c r="AC91" i="9"/>
  <c r="AB91" i="9"/>
  <c r="AA91" i="9"/>
  <c r="Z91" i="9"/>
  <c r="Y91" i="9"/>
  <c r="X91" i="9"/>
  <c r="W91" i="9"/>
  <c r="AD79" i="9"/>
  <c r="AC79" i="9"/>
  <c r="AB79" i="9"/>
  <c r="AA79" i="9"/>
  <c r="Z79" i="9"/>
  <c r="Y79" i="9"/>
  <c r="X79" i="9"/>
  <c r="W79" i="9"/>
  <c r="AD67" i="9"/>
  <c r="AC67" i="9"/>
  <c r="AB67" i="9"/>
  <c r="AA67" i="9"/>
  <c r="Z67" i="9"/>
  <c r="Y67" i="9"/>
  <c r="X67" i="9"/>
  <c r="W67" i="9"/>
  <c r="AD55" i="9"/>
  <c r="AC55" i="9"/>
  <c r="AB55" i="9"/>
  <c r="AA55" i="9"/>
  <c r="Z55" i="9"/>
  <c r="Y55" i="9"/>
  <c r="X55" i="9"/>
  <c r="W55" i="9"/>
  <c r="AD41" i="9"/>
  <c r="AC41" i="9"/>
  <c r="AB41" i="9"/>
  <c r="AA41" i="9"/>
  <c r="Z41" i="9"/>
  <c r="Y41" i="9"/>
  <c r="X41" i="9"/>
  <c r="W41" i="9"/>
  <c r="AD36" i="9"/>
  <c r="AC36" i="9"/>
  <c r="AB36" i="9"/>
  <c r="AA36" i="9"/>
  <c r="Z36" i="9"/>
  <c r="Y36" i="9"/>
  <c r="X36" i="9"/>
  <c r="W36" i="9"/>
  <c r="AD29" i="9"/>
  <c r="AC29" i="9"/>
  <c r="AB29" i="9"/>
  <c r="AA29" i="9"/>
  <c r="Z29" i="9"/>
  <c r="Y29" i="9"/>
  <c r="X29" i="9"/>
  <c r="W29" i="9"/>
  <c r="AD28" i="9"/>
  <c r="AC28" i="9"/>
  <c r="AC30" i="9" s="1"/>
  <c r="AB28" i="9"/>
  <c r="AB30" i="9" s="1"/>
  <c r="AA28" i="9"/>
  <c r="AA30" i="9" s="1"/>
  <c r="Z28" i="9"/>
  <c r="Y28" i="9"/>
  <c r="X28" i="9"/>
  <c r="W28" i="9"/>
  <c r="AD27" i="9"/>
  <c r="AC27" i="9"/>
  <c r="AB27" i="9"/>
  <c r="AA27" i="9"/>
  <c r="Z27" i="9"/>
  <c r="Y27" i="9"/>
  <c r="X27" i="9"/>
  <c r="W27" i="9"/>
  <c r="AD24" i="9"/>
  <c r="AC24" i="9"/>
  <c r="AB24" i="9"/>
  <c r="AA24" i="9"/>
  <c r="Z24" i="9"/>
  <c r="Y24" i="9"/>
  <c r="X24" i="9"/>
  <c r="W24" i="9"/>
  <c r="AD21" i="9"/>
  <c r="AC21" i="9"/>
  <c r="AB21" i="9"/>
  <c r="AA21" i="9"/>
  <c r="Z21" i="9"/>
  <c r="Y21" i="9"/>
  <c r="X21" i="9"/>
  <c r="W21" i="9"/>
  <c r="AD16" i="9"/>
  <c r="AC16" i="9"/>
  <c r="AB16" i="9"/>
  <c r="AA16" i="9"/>
  <c r="Z16" i="9"/>
  <c r="Y16" i="9"/>
  <c r="X16" i="9"/>
  <c r="W16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F30" i="9" s="1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J262" i="11" l="1"/>
  <c r="J264" i="11" s="1"/>
  <c r="AA262" i="9"/>
  <c r="AA264" i="9" s="1"/>
  <c r="W30" i="9"/>
  <c r="O30" i="9"/>
  <c r="N30" i="9"/>
  <c r="BL264" i="18"/>
  <c r="Q262" i="15"/>
  <c r="Q264" i="15" s="1"/>
  <c r="O30" i="15"/>
  <c r="N30" i="15"/>
  <c r="BL30" i="18"/>
  <c r="AP30" i="17"/>
  <c r="L30" i="16"/>
  <c r="M30" i="16"/>
  <c r="N30" i="16"/>
  <c r="AD30" i="9"/>
  <c r="R30" i="9"/>
  <c r="P30" i="9"/>
  <c r="Q30" i="9"/>
  <c r="BL262" i="18"/>
  <c r="AP262" i="17"/>
  <c r="AP264" i="17"/>
  <c r="M262" i="15"/>
  <c r="M264" i="15" s="1"/>
  <c r="P262" i="15"/>
  <c r="P264" i="15" s="1"/>
  <c r="Q30" i="15"/>
  <c r="R262" i="15"/>
  <c r="R264" i="15" s="1"/>
  <c r="R30" i="15"/>
  <c r="AA30" i="15"/>
  <c r="N262" i="15"/>
  <c r="N264" i="15" s="1"/>
  <c r="O262" i="15"/>
  <c r="O264" i="15" s="1"/>
  <c r="AA262" i="15"/>
  <c r="AA264" i="15" s="1"/>
  <c r="F30" i="11"/>
  <c r="G30" i="11"/>
  <c r="H30" i="11"/>
  <c r="R30" i="11"/>
  <c r="K30" i="11"/>
  <c r="L30" i="11"/>
  <c r="I30" i="11"/>
  <c r="J30" i="11"/>
  <c r="M30" i="11"/>
  <c r="AJ30" i="10"/>
  <c r="AK30" i="10"/>
  <c r="W262" i="9"/>
  <c r="W264" i="9" s="1"/>
  <c r="N262" i="9"/>
  <c r="N264" i="9" s="1"/>
  <c r="P262" i="9"/>
  <c r="P264" i="9" s="1"/>
  <c r="Z262" i="9"/>
  <c r="Z264" i="9" s="1"/>
  <c r="X262" i="9"/>
  <c r="X264" i="9" s="1"/>
  <c r="Y262" i="9"/>
  <c r="Y264" i="9" s="1"/>
  <c r="L30" i="9"/>
  <c r="M30" i="9"/>
  <c r="AD262" i="9"/>
  <c r="AD264" i="9" s="1"/>
  <c r="X30" i="9"/>
  <c r="AB262" i="9"/>
  <c r="AB264" i="9" s="1"/>
  <c r="Y30" i="9"/>
  <c r="AC262" i="9"/>
  <c r="AC264" i="9" s="1"/>
  <c r="Z30" i="9"/>
  <c r="H30" i="16"/>
  <c r="Q30" i="16"/>
  <c r="G262" i="16"/>
  <c r="G264" i="16" s="1"/>
  <c r="K262" i="16"/>
  <c r="K264" i="16" s="1"/>
  <c r="I262" i="16"/>
  <c r="I264" i="16" s="1"/>
  <c r="M262" i="16"/>
  <c r="M264" i="16" s="1"/>
  <c r="J262" i="16"/>
  <c r="J264" i="16" s="1"/>
  <c r="F30" i="16"/>
  <c r="O30" i="16"/>
  <c r="I30" i="16"/>
  <c r="L262" i="16"/>
  <c r="L264" i="16" s="1"/>
  <c r="J30" i="16"/>
  <c r="O262" i="16"/>
  <c r="O264" i="16" s="1"/>
  <c r="Q262" i="16"/>
  <c r="Q264" i="16" s="1"/>
  <c r="P30" i="16"/>
  <c r="N262" i="16"/>
  <c r="N264" i="16" s="1"/>
  <c r="H262" i="16"/>
  <c r="H264" i="16" s="1"/>
  <c r="K30" i="16"/>
  <c r="F262" i="16"/>
  <c r="F264" i="16" s="1"/>
  <c r="P262" i="16"/>
  <c r="P264" i="16" s="1"/>
  <c r="I262" i="15"/>
  <c r="I264" i="15" s="1"/>
  <c r="J262" i="15"/>
  <c r="J264" i="15" s="1"/>
  <c r="K262" i="15"/>
  <c r="K264" i="15" s="1"/>
  <c r="L262" i="15"/>
  <c r="L264" i="15" s="1"/>
  <c r="G262" i="15"/>
  <c r="G264" i="15" s="1"/>
  <c r="F30" i="15"/>
  <c r="H262" i="15"/>
  <c r="H264" i="15" s="1"/>
  <c r="F262" i="15"/>
  <c r="F264" i="15" s="1"/>
  <c r="G30" i="15"/>
  <c r="H30" i="15"/>
  <c r="I30" i="15"/>
  <c r="J30" i="15"/>
  <c r="K262" i="11"/>
  <c r="K264" i="11" s="1"/>
  <c r="M262" i="11"/>
  <c r="M264" i="11" s="1"/>
  <c r="N262" i="11"/>
  <c r="N264" i="11" s="1"/>
  <c r="N30" i="11"/>
  <c r="F262" i="11"/>
  <c r="F264" i="11" s="1"/>
  <c r="O262" i="11"/>
  <c r="O264" i="11" s="1"/>
  <c r="O30" i="11"/>
  <c r="G262" i="11"/>
  <c r="G264" i="11" s="1"/>
  <c r="P262" i="11"/>
  <c r="P264" i="11" s="1"/>
  <c r="P30" i="11"/>
  <c r="H262" i="11"/>
  <c r="H264" i="11" s="1"/>
  <c r="Q262" i="11"/>
  <c r="Q264" i="11" s="1"/>
  <c r="R262" i="11"/>
  <c r="R264" i="11" s="1"/>
  <c r="L262" i="11"/>
  <c r="L264" i="11" s="1"/>
  <c r="I262" i="11"/>
  <c r="I264" i="11" s="1"/>
  <c r="Q30" i="11"/>
  <c r="AX30" i="10"/>
  <c r="AY262" i="10"/>
  <c r="AY264" i="10" s="1"/>
  <c r="AD262" i="10"/>
  <c r="AD264" i="10" s="1"/>
  <c r="AE30" i="10"/>
  <c r="AK262" i="10"/>
  <c r="AK264" i="10" s="1"/>
  <c r="AI262" i="10"/>
  <c r="AI264" i="10" s="1"/>
  <c r="AG262" i="10"/>
  <c r="AG264" i="10" s="1"/>
  <c r="AE262" i="10"/>
  <c r="AE264" i="10" s="1"/>
  <c r="AB30" i="10"/>
  <c r="AZ30" i="10"/>
  <c r="AF262" i="10"/>
  <c r="AF264" i="10" s="1"/>
  <c r="AC30" i="10"/>
  <c r="AD30" i="10"/>
  <c r="AJ262" i="10"/>
  <c r="AJ264" i="10" s="1"/>
  <c r="AH262" i="10"/>
  <c r="AH264" i="10" s="1"/>
  <c r="AF30" i="10"/>
  <c r="AB262" i="10"/>
  <c r="AB264" i="10" s="1"/>
  <c r="AX262" i="10"/>
  <c r="AX264" i="10" s="1"/>
  <c r="AG30" i="10"/>
  <c r="AC262" i="10"/>
  <c r="AC264" i="10" s="1"/>
  <c r="AZ262" i="10"/>
  <c r="AZ264" i="10" s="1"/>
  <c r="AH30" i="10"/>
  <c r="AI30" i="10"/>
  <c r="T262" i="9"/>
  <c r="T264" i="9" s="1"/>
  <c r="O262" i="9"/>
  <c r="O264" i="9" s="1"/>
  <c r="S262" i="9"/>
  <c r="S264" i="9" s="1"/>
  <c r="K262" i="9"/>
  <c r="K264" i="9" s="1"/>
  <c r="S30" i="9"/>
  <c r="F262" i="9"/>
  <c r="F264" i="9" s="1"/>
  <c r="Q262" i="9"/>
  <c r="Q264" i="9" s="1"/>
  <c r="T30" i="9"/>
  <c r="H30" i="9"/>
  <c r="I30" i="9"/>
  <c r="R262" i="9"/>
  <c r="R264" i="9" s="1"/>
  <c r="G262" i="9"/>
  <c r="G264" i="9" s="1"/>
  <c r="I262" i="9"/>
  <c r="I264" i="9" s="1"/>
  <c r="G30" i="9"/>
  <c r="L262" i="9"/>
  <c r="L264" i="9" s="1"/>
  <c r="M262" i="9"/>
  <c r="M264" i="9" s="1"/>
  <c r="J30" i="9"/>
  <c r="H262" i="9"/>
  <c r="H264" i="9" s="1"/>
  <c r="J262" i="9"/>
  <c r="J264" i="9" s="1"/>
  <c r="K30" i="9"/>
  <c r="V259" i="9"/>
  <c r="U259" i="9"/>
  <c r="E259" i="9"/>
  <c r="BJ259" i="10"/>
  <c r="BI259" i="10"/>
  <c r="BH259" i="10"/>
  <c r="BG259" i="10"/>
  <c r="BF259" i="10"/>
  <c r="BE259" i="10"/>
  <c r="BD259" i="10"/>
  <c r="BC259" i="10"/>
  <c r="BB259" i="10"/>
  <c r="BA259" i="10"/>
  <c r="E259" i="10"/>
  <c r="E259" i="11"/>
  <c r="AI259" i="15"/>
  <c r="AH259" i="15"/>
  <c r="AG259" i="15"/>
  <c r="AF259" i="15"/>
  <c r="AE259" i="15"/>
  <c r="AD259" i="15"/>
  <c r="AC259" i="15"/>
  <c r="AB259" i="15"/>
  <c r="E259" i="15"/>
  <c r="AA259" i="16"/>
  <c r="Z259" i="16"/>
  <c r="Y259" i="16"/>
  <c r="X259" i="16"/>
  <c r="W259" i="16"/>
  <c r="V259" i="16"/>
  <c r="U259" i="16"/>
  <c r="T259" i="16"/>
  <c r="S259" i="16"/>
  <c r="R259" i="16"/>
  <c r="E259" i="16"/>
  <c r="V247" i="9"/>
  <c r="U247" i="9"/>
  <c r="E247" i="9"/>
  <c r="BJ247" i="10"/>
  <c r="BI247" i="10"/>
  <c r="BH247" i="10"/>
  <c r="BG247" i="10"/>
  <c r="BF247" i="10"/>
  <c r="BE247" i="10"/>
  <c r="BD247" i="10"/>
  <c r="BC247" i="10"/>
  <c r="BB247" i="10"/>
  <c r="BA247" i="10"/>
  <c r="E247" i="10"/>
  <c r="E247" i="11"/>
  <c r="AI247" i="15"/>
  <c r="AH247" i="15"/>
  <c r="AG247" i="15"/>
  <c r="AF247" i="15"/>
  <c r="AE247" i="15"/>
  <c r="AD247" i="15"/>
  <c r="AC247" i="15"/>
  <c r="AB247" i="15"/>
  <c r="E247" i="15"/>
  <c r="AA247" i="16"/>
  <c r="Z247" i="16"/>
  <c r="Y247" i="16"/>
  <c r="X247" i="16"/>
  <c r="W247" i="16"/>
  <c r="V247" i="16"/>
  <c r="U247" i="16"/>
  <c r="T247" i="16"/>
  <c r="S247" i="16"/>
  <c r="R247" i="16"/>
  <c r="E247" i="16"/>
  <c r="V235" i="9"/>
  <c r="U235" i="9"/>
  <c r="E235" i="9"/>
  <c r="BJ235" i="10"/>
  <c r="BI235" i="10"/>
  <c r="BH235" i="10"/>
  <c r="BG235" i="10"/>
  <c r="BF235" i="10"/>
  <c r="BE235" i="10"/>
  <c r="BD235" i="10"/>
  <c r="BC235" i="10"/>
  <c r="BB235" i="10"/>
  <c r="BA235" i="10"/>
  <c r="E235" i="10"/>
  <c r="E235" i="11"/>
  <c r="AI235" i="15"/>
  <c r="AH235" i="15"/>
  <c r="AG235" i="15"/>
  <c r="AF235" i="15"/>
  <c r="AE235" i="15"/>
  <c r="AD235" i="15"/>
  <c r="AC235" i="15"/>
  <c r="AB235" i="15"/>
  <c r="E235" i="15"/>
  <c r="AA235" i="16"/>
  <c r="Z235" i="16"/>
  <c r="Y235" i="16"/>
  <c r="X235" i="16"/>
  <c r="W235" i="16"/>
  <c r="V235" i="16"/>
  <c r="U235" i="16"/>
  <c r="T235" i="16"/>
  <c r="S235" i="16"/>
  <c r="R235" i="16"/>
  <c r="E235" i="16"/>
  <c r="V223" i="9"/>
  <c r="U223" i="9"/>
  <c r="E223" i="9"/>
  <c r="BJ223" i="10"/>
  <c r="BI223" i="10"/>
  <c r="BH223" i="10"/>
  <c r="BG223" i="10"/>
  <c r="BF223" i="10"/>
  <c r="BE223" i="10"/>
  <c r="BD223" i="10"/>
  <c r="BC223" i="10"/>
  <c r="BB223" i="10"/>
  <c r="BA223" i="10"/>
  <c r="E223" i="10"/>
  <c r="E223" i="11"/>
  <c r="AI223" i="15"/>
  <c r="AH223" i="15"/>
  <c r="AG223" i="15"/>
  <c r="AF223" i="15"/>
  <c r="AE223" i="15"/>
  <c r="AD223" i="15"/>
  <c r="AC223" i="15"/>
  <c r="AB223" i="15"/>
  <c r="E223" i="15"/>
  <c r="AA223" i="16"/>
  <c r="Z223" i="16"/>
  <c r="Y223" i="16"/>
  <c r="X223" i="16"/>
  <c r="W223" i="16"/>
  <c r="V223" i="16"/>
  <c r="U223" i="16"/>
  <c r="T223" i="16"/>
  <c r="S223" i="16"/>
  <c r="R223" i="16"/>
  <c r="E223" i="16"/>
  <c r="V211" i="9"/>
  <c r="U211" i="9"/>
  <c r="E211" i="9"/>
  <c r="BJ211" i="10"/>
  <c r="BI211" i="10"/>
  <c r="BH211" i="10"/>
  <c r="BG211" i="10"/>
  <c r="BF211" i="10"/>
  <c r="BE211" i="10"/>
  <c r="BD211" i="10"/>
  <c r="BC211" i="10"/>
  <c r="BB211" i="10"/>
  <c r="BA211" i="10"/>
  <c r="E211" i="10"/>
  <c r="E211" i="11"/>
  <c r="AI211" i="15"/>
  <c r="AH211" i="15"/>
  <c r="AG211" i="15"/>
  <c r="AF211" i="15"/>
  <c r="AE211" i="15"/>
  <c r="AD211" i="15"/>
  <c r="AC211" i="15"/>
  <c r="AB211" i="15"/>
  <c r="E211" i="15"/>
  <c r="AA211" i="16"/>
  <c r="Z211" i="16"/>
  <c r="Y211" i="16"/>
  <c r="X211" i="16"/>
  <c r="W211" i="16"/>
  <c r="V211" i="16"/>
  <c r="U211" i="16"/>
  <c r="T211" i="16"/>
  <c r="S211" i="16"/>
  <c r="R211" i="16"/>
  <c r="E211" i="16"/>
  <c r="V199" i="9"/>
  <c r="U199" i="9"/>
  <c r="E199" i="9"/>
  <c r="BJ199" i="10"/>
  <c r="BI199" i="10"/>
  <c r="BH199" i="10"/>
  <c r="BG199" i="10"/>
  <c r="BF199" i="10"/>
  <c r="BE199" i="10"/>
  <c r="BD199" i="10"/>
  <c r="BC199" i="10"/>
  <c r="BB199" i="10"/>
  <c r="BA199" i="10"/>
  <c r="E199" i="10"/>
  <c r="E199" i="11"/>
  <c r="AI199" i="15"/>
  <c r="AH199" i="15"/>
  <c r="AG199" i="15"/>
  <c r="AF199" i="15"/>
  <c r="AE199" i="15"/>
  <c r="AD199" i="15"/>
  <c r="AC199" i="15"/>
  <c r="AB199" i="15"/>
  <c r="E199" i="15"/>
  <c r="AA199" i="16"/>
  <c r="Z199" i="16"/>
  <c r="Y199" i="16"/>
  <c r="X199" i="16"/>
  <c r="W199" i="16"/>
  <c r="V199" i="16"/>
  <c r="U199" i="16"/>
  <c r="T199" i="16"/>
  <c r="S199" i="16"/>
  <c r="R199" i="16"/>
  <c r="E199" i="16"/>
  <c r="V187" i="9"/>
  <c r="U187" i="9"/>
  <c r="E187" i="9"/>
  <c r="BJ187" i="10"/>
  <c r="BI187" i="10"/>
  <c r="BH187" i="10"/>
  <c r="BG187" i="10"/>
  <c r="BF187" i="10"/>
  <c r="BE187" i="10"/>
  <c r="BD187" i="10"/>
  <c r="BC187" i="10"/>
  <c r="BB187" i="10"/>
  <c r="BA187" i="10"/>
  <c r="E187" i="10"/>
  <c r="E187" i="11"/>
  <c r="AI187" i="15"/>
  <c r="AH187" i="15"/>
  <c r="AG187" i="15"/>
  <c r="AF187" i="15"/>
  <c r="AE187" i="15"/>
  <c r="AD187" i="15"/>
  <c r="AC187" i="15"/>
  <c r="AB187" i="15"/>
  <c r="E187" i="15"/>
  <c r="AA187" i="16"/>
  <c r="Z187" i="16"/>
  <c r="Y187" i="16"/>
  <c r="X187" i="16"/>
  <c r="W187" i="16"/>
  <c r="V187" i="16"/>
  <c r="U187" i="16"/>
  <c r="T187" i="16"/>
  <c r="S187" i="16"/>
  <c r="R187" i="16"/>
  <c r="E187" i="16"/>
  <c r="V175" i="9"/>
  <c r="U175" i="9"/>
  <c r="E175" i="9"/>
  <c r="BJ175" i="10"/>
  <c r="BI175" i="10"/>
  <c r="BH175" i="10"/>
  <c r="BG175" i="10"/>
  <c r="BF175" i="10"/>
  <c r="BE175" i="10"/>
  <c r="BD175" i="10"/>
  <c r="BC175" i="10"/>
  <c r="BB175" i="10"/>
  <c r="BA175" i="10"/>
  <c r="E175" i="10"/>
  <c r="E175" i="11"/>
  <c r="AI175" i="15"/>
  <c r="AH175" i="15"/>
  <c r="AG175" i="15"/>
  <c r="AF175" i="15"/>
  <c r="AE175" i="15"/>
  <c r="AD175" i="15"/>
  <c r="AC175" i="15"/>
  <c r="AB175" i="15"/>
  <c r="E175" i="15"/>
  <c r="AA175" i="16"/>
  <c r="Z175" i="16"/>
  <c r="Y175" i="16"/>
  <c r="X175" i="16"/>
  <c r="W175" i="16"/>
  <c r="V175" i="16"/>
  <c r="U175" i="16"/>
  <c r="T175" i="16"/>
  <c r="S175" i="16"/>
  <c r="R175" i="16"/>
  <c r="E175" i="16"/>
  <c r="V163" i="9"/>
  <c r="U163" i="9"/>
  <c r="E163" i="9"/>
  <c r="BJ163" i="10"/>
  <c r="BI163" i="10"/>
  <c r="BH163" i="10"/>
  <c r="BG163" i="10"/>
  <c r="BF163" i="10"/>
  <c r="BE163" i="10"/>
  <c r="BD163" i="10"/>
  <c r="BC163" i="10"/>
  <c r="BB163" i="10"/>
  <c r="BA163" i="10"/>
  <c r="E163" i="10"/>
  <c r="E163" i="11"/>
  <c r="AI163" i="15"/>
  <c r="AH163" i="15"/>
  <c r="AG163" i="15"/>
  <c r="AF163" i="15"/>
  <c r="AE163" i="15"/>
  <c r="AD163" i="15"/>
  <c r="AC163" i="15"/>
  <c r="AB163" i="15"/>
  <c r="E163" i="15"/>
  <c r="AA163" i="16"/>
  <c r="Z163" i="16"/>
  <c r="Y163" i="16"/>
  <c r="X163" i="16"/>
  <c r="W163" i="16"/>
  <c r="V163" i="16"/>
  <c r="U163" i="16"/>
  <c r="T163" i="16"/>
  <c r="S163" i="16"/>
  <c r="R163" i="16"/>
  <c r="E163" i="16"/>
  <c r="V151" i="9"/>
  <c r="U151" i="9"/>
  <c r="E151" i="9"/>
  <c r="BJ151" i="10"/>
  <c r="BI151" i="10"/>
  <c r="BH151" i="10"/>
  <c r="BG151" i="10"/>
  <c r="BF151" i="10"/>
  <c r="BE151" i="10"/>
  <c r="BD151" i="10"/>
  <c r="BC151" i="10"/>
  <c r="BB151" i="10"/>
  <c r="BA151" i="10"/>
  <c r="E151" i="10"/>
  <c r="E151" i="11"/>
  <c r="AI151" i="15"/>
  <c r="AH151" i="15"/>
  <c r="AG151" i="15"/>
  <c r="AF151" i="15"/>
  <c r="AE151" i="15"/>
  <c r="AD151" i="15"/>
  <c r="AC151" i="15"/>
  <c r="AB151" i="15"/>
  <c r="E151" i="15"/>
  <c r="AA151" i="16"/>
  <c r="Z151" i="16"/>
  <c r="Y151" i="16"/>
  <c r="X151" i="16"/>
  <c r="W151" i="16"/>
  <c r="V151" i="16"/>
  <c r="U151" i="16"/>
  <c r="T151" i="16"/>
  <c r="S151" i="16"/>
  <c r="R151" i="16"/>
  <c r="E151" i="16"/>
  <c r="V139" i="9"/>
  <c r="U139" i="9"/>
  <c r="E139" i="9"/>
  <c r="BJ139" i="10"/>
  <c r="BI139" i="10"/>
  <c r="BH139" i="10"/>
  <c r="BG139" i="10"/>
  <c r="BF139" i="10"/>
  <c r="BE139" i="10"/>
  <c r="BD139" i="10"/>
  <c r="BC139" i="10"/>
  <c r="BB139" i="10"/>
  <c r="BA139" i="10"/>
  <c r="E139" i="10"/>
  <c r="E139" i="11"/>
  <c r="AI139" i="15"/>
  <c r="AH139" i="15"/>
  <c r="AG139" i="15"/>
  <c r="AF139" i="15"/>
  <c r="AE139" i="15"/>
  <c r="AD139" i="15"/>
  <c r="AC139" i="15"/>
  <c r="AB139" i="15"/>
  <c r="E139" i="15"/>
  <c r="AA139" i="16"/>
  <c r="Z139" i="16"/>
  <c r="Y139" i="16"/>
  <c r="X139" i="16"/>
  <c r="W139" i="16"/>
  <c r="V139" i="16"/>
  <c r="U139" i="16"/>
  <c r="T139" i="16"/>
  <c r="S139" i="16"/>
  <c r="R139" i="16"/>
  <c r="E139" i="16"/>
  <c r="V127" i="9"/>
  <c r="U127" i="9"/>
  <c r="E127" i="9"/>
  <c r="BJ127" i="10"/>
  <c r="BI127" i="10"/>
  <c r="BH127" i="10"/>
  <c r="BG127" i="10"/>
  <c r="BF127" i="10"/>
  <c r="BE127" i="10"/>
  <c r="BD127" i="10"/>
  <c r="BC127" i="10"/>
  <c r="BB127" i="10"/>
  <c r="BA127" i="10"/>
  <c r="E127" i="10"/>
  <c r="E127" i="11"/>
  <c r="AI127" i="15"/>
  <c r="AH127" i="15"/>
  <c r="AG127" i="15"/>
  <c r="AF127" i="15"/>
  <c r="AE127" i="15"/>
  <c r="AD127" i="15"/>
  <c r="AC127" i="15"/>
  <c r="AB127" i="15"/>
  <c r="E127" i="15"/>
  <c r="AA127" i="16"/>
  <c r="Z127" i="16"/>
  <c r="Y127" i="16"/>
  <c r="X127" i="16"/>
  <c r="W127" i="16"/>
  <c r="V127" i="16"/>
  <c r="U127" i="16"/>
  <c r="T127" i="16"/>
  <c r="S127" i="16"/>
  <c r="R127" i="16"/>
  <c r="E127" i="16"/>
  <c r="V115" i="9"/>
  <c r="U115" i="9"/>
  <c r="E115" i="9"/>
  <c r="BJ115" i="10"/>
  <c r="BI115" i="10"/>
  <c r="BH115" i="10"/>
  <c r="BG115" i="10"/>
  <c r="BF115" i="10"/>
  <c r="BE115" i="10"/>
  <c r="BD115" i="10"/>
  <c r="BC115" i="10"/>
  <c r="BB115" i="10"/>
  <c r="BA115" i="10"/>
  <c r="E115" i="10"/>
  <c r="E115" i="11"/>
  <c r="AI115" i="15"/>
  <c r="AH115" i="15"/>
  <c r="AG115" i="15"/>
  <c r="AF115" i="15"/>
  <c r="AE115" i="15"/>
  <c r="AD115" i="15"/>
  <c r="AC115" i="15"/>
  <c r="AB115" i="15"/>
  <c r="E115" i="15"/>
  <c r="AA115" i="16"/>
  <c r="Z115" i="16"/>
  <c r="Y115" i="16"/>
  <c r="X115" i="16"/>
  <c r="W115" i="16"/>
  <c r="V115" i="16"/>
  <c r="U115" i="16"/>
  <c r="T115" i="16"/>
  <c r="S115" i="16"/>
  <c r="R115" i="16"/>
  <c r="E115" i="16"/>
  <c r="V103" i="9"/>
  <c r="U103" i="9"/>
  <c r="E103" i="9"/>
  <c r="BJ103" i="10"/>
  <c r="BI103" i="10"/>
  <c r="BH103" i="10"/>
  <c r="BG103" i="10"/>
  <c r="BF103" i="10"/>
  <c r="BE103" i="10"/>
  <c r="BD103" i="10"/>
  <c r="BC103" i="10"/>
  <c r="BB103" i="10"/>
  <c r="BA103" i="10"/>
  <c r="E103" i="10"/>
  <c r="E103" i="11"/>
  <c r="AI103" i="15"/>
  <c r="AH103" i="15"/>
  <c r="AG103" i="15"/>
  <c r="AF103" i="15"/>
  <c r="AE103" i="15"/>
  <c r="AD103" i="15"/>
  <c r="AC103" i="15"/>
  <c r="AB103" i="15"/>
  <c r="E103" i="15"/>
  <c r="AA103" i="16"/>
  <c r="Z103" i="16"/>
  <c r="Y103" i="16"/>
  <c r="X103" i="16"/>
  <c r="W103" i="16"/>
  <c r="V103" i="16"/>
  <c r="U103" i="16"/>
  <c r="T103" i="16"/>
  <c r="S103" i="16"/>
  <c r="R103" i="16"/>
  <c r="E103" i="16"/>
  <c r="V91" i="9"/>
  <c r="U91" i="9"/>
  <c r="E91" i="9"/>
  <c r="BJ91" i="10"/>
  <c r="BI91" i="10"/>
  <c r="BH91" i="10"/>
  <c r="BG91" i="10"/>
  <c r="BF91" i="10"/>
  <c r="BE91" i="10"/>
  <c r="BD91" i="10"/>
  <c r="BC91" i="10"/>
  <c r="BB91" i="10"/>
  <c r="BA91" i="10"/>
  <c r="E91" i="10"/>
  <c r="E91" i="11"/>
  <c r="AI91" i="15"/>
  <c r="AH91" i="15"/>
  <c r="AG91" i="15"/>
  <c r="AF91" i="15"/>
  <c r="AE91" i="15"/>
  <c r="AD91" i="15"/>
  <c r="AC91" i="15"/>
  <c r="AB91" i="15"/>
  <c r="E91" i="15"/>
  <c r="AA91" i="16"/>
  <c r="Z91" i="16"/>
  <c r="Y91" i="16"/>
  <c r="X91" i="16"/>
  <c r="W91" i="16"/>
  <c r="V91" i="16"/>
  <c r="U91" i="16"/>
  <c r="T91" i="16"/>
  <c r="S91" i="16"/>
  <c r="R91" i="16"/>
  <c r="E91" i="16"/>
  <c r="V79" i="9"/>
  <c r="U79" i="9"/>
  <c r="E79" i="9"/>
  <c r="BJ79" i="10"/>
  <c r="BI79" i="10"/>
  <c r="BH79" i="10"/>
  <c r="BG79" i="10"/>
  <c r="BF79" i="10"/>
  <c r="BE79" i="10"/>
  <c r="BD79" i="10"/>
  <c r="BC79" i="10"/>
  <c r="BB79" i="10"/>
  <c r="BA79" i="10"/>
  <c r="E79" i="10"/>
  <c r="E79" i="11"/>
  <c r="AI79" i="15"/>
  <c r="AH79" i="15"/>
  <c r="AG79" i="15"/>
  <c r="AF79" i="15"/>
  <c r="AE79" i="15"/>
  <c r="AD79" i="15"/>
  <c r="AC79" i="15"/>
  <c r="AB79" i="15"/>
  <c r="E79" i="15"/>
  <c r="AA79" i="16"/>
  <c r="Z79" i="16"/>
  <c r="Y79" i="16"/>
  <c r="X79" i="16"/>
  <c r="W79" i="16"/>
  <c r="V79" i="16"/>
  <c r="U79" i="16"/>
  <c r="T79" i="16"/>
  <c r="S79" i="16"/>
  <c r="R79" i="16"/>
  <c r="E79" i="16"/>
  <c r="V67" i="9"/>
  <c r="U67" i="9"/>
  <c r="E67" i="9"/>
  <c r="BJ67" i="10"/>
  <c r="BI67" i="10"/>
  <c r="BH67" i="10"/>
  <c r="BG67" i="10"/>
  <c r="BF67" i="10"/>
  <c r="BE67" i="10"/>
  <c r="BD67" i="10"/>
  <c r="BC67" i="10"/>
  <c r="BB67" i="10"/>
  <c r="BA67" i="10"/>
  <c r="E67" i="10"/>
  <c r="E67" i="11"/>
  <c r="AI67" i="15"/>
  <c r="AH67" i="15"/>
  <c r="AG67" i="15"/>
  <c r="AF67" i="15"/>
  <c r="AE67" i="15"/>
  <c r="AD67" i="15"/>
  <c r="AC67" i="15"/>
  <c r="AB67" i="15"/>
  <c r="E67" i="15"/>
  <c r="AA67" i="16"/>
  <c r="Z67" i="16"/>
  <c r="Y67" i="16"/>
  <c r="X67" i="16"/>
  <c r="W67" i="16"/>
  <c r="V67" i="16"/>
  <c r="U67" i="16"/>
  <c r="T67" i="16"/>
  <c r="S67" i="16"/>
  <c r="R67" i="16"/>
  <c r="E67" i="16"/>
  <c r="V55" i="9"/>
  <c r="U55" i="9"/>
  <c r="BJ55" i="10"/>
  <c r="BI55" i="10"/>
  <c r="BH55" i="10"/>
  <c r="BG55" i="10"/>
  <c r="BF55" i="10"/>
  <c r="BE55" i="10"/>
  <c r="BD55" i="10"/>
  <c r="BC55" i="10"/>
  <c r="BB55" i="10"/>
  <c r="BA55" i="10"/>
  <c r="AI55" i="15"/>
  <c r="AH55" i="15"/>
  <c r="AG55" i="15"/>
  <c r="AF55" i="15"/>
  <c r="AE55" i="15"/>
  <c r="AD55" i="15"/>
  <c r="AC55" i="15"/>
  <c r="AB55" i="15"/>
  <c r="AA55" i="16"/>
  <c r="Z55" i="16"/>
  <c r="Y55" i="16"/>
  <c r="X55" i="16"/>
  <c r="W55" i="16"/>
  <c r="V55" i="16"/>
  <c r="U55" i="16"/>
  <c r="T55" i="16"/>
  <c r="S55" i="16"/>
  <c r="R55" i="16"/>
  <c r="E55" i="9"/>
  <c r="E55" i="10"/>
  <c r="E55" i="11"/>
  <c r="E55" i="15"/>
  <c r="E55" i="16"/>
  <c r="AB251" i="16" l="1"/>
  <c r="AB252" i="16"/>
  <c r="AB253" i="16"/>
  <c r="AB254" i="16"/>
  <c r="AB255" i="16"/>
  <c r="AB256" i="16"/>
  <c r="AB257" i="16"/>
  <c r="AB258" i="16"/>
  <c r="AB229" i="16"/>
  <c r="AB230" i="16"/>
  <c r="AB231" i="16"/>
  <c r="AB232" i="16"/>
  <c r="AB233" i="16"/>
  <c r="AB234" i="16"/>
  <c r="AB216" i="16"/>
  <c r="AB217" i="16"/>
  <c r="AB218" i="16"/>
  <c r="AB219" i="16"/>
  <c r="AB220" i="16"/>
  <c r="AB221" i="16"/>
  <c r="AB222" i="16"/>
  <c r="AB167" i="16"/>
  <c r="AB168" i="16"/>
  <c r="AB169" i="16"/>
  <c r="AB170" i="16"/>
  <c r="AB171" i="16"/>
  <c r="AB172" i="16"/>
  <c r="AB173" i="16"/>
  <c r="AB174" i="16"/>
  <c r="AB144" i="16"/>
  <c r="AB145" i="16"/>
  <c r="AB146" i="16"/>
  <c r="AB147" i="16"/>
  <c r="AB148" i="16"/>
  <c r="AB149" i="16"/>
  <c r="AB150" i="16"/>
  <c r="AB121" i="16"/>
  <c r="AB122" i="16"/>
  <c r="AB123" i="16"/>
  <c r="AB124" i="16"/>
  <c r="AB125" i="16"/>
  <c r="AB126" i="16"/>
  <c r="AB107" i="16"/>
  <c r="AB108" i="16"/>
  <c r="AB109" i="16"/>
  <c r="AB110" i="16"/>
  <c r="AB111" i="16"/>
  <c r="AB112" i="16"/>
  <c r="AB113" i="16"/>
  <c r="AB114" i="16"/>
  <c r="AJ252" i="15"/>
  <c r="AJ253" i="15"/>
  <c r="AJ254" i="15"/>
  <c r="AJ255" i="15"/>
  <c r="AJ256" i="15"/>
  <c r="AJ257" i="15"/>
  <c r="AJ258" i="15"/>
  <c r="AJ229" i="15"/>
  <c r="E229" i="1" s="1"/>
  <c r="AJ230" i="15"/>
  <c r="AJ231" i="15"/>
  <c r="AJ232" i="15"/>
  <c r="AJ233" i="15"/>
  <c r="AJ234" i="15"/>
  <c r="AJ216" i="15"/>
  <c r="AJ217" i="15"/>
  <c r="AJ218" i="15"/>
  <c r="AJ219" i="15"/>
  <c r="AJ220" i="15"/>
  <c r="AJ221" i="15"/>
  <c r="AJ222" i="15"/>
  <c r="AJ167" i="15"/>
  <c r="AJ168" i="15"/>
  <c r="AJ169" i="15"/>
  <c r="AJ170" i="15"/>
  <c r="AJ171" i="15"/>
  <c r="AJ172" i="15"/>
  <c r="AJ173" i="15"/>
  <c r="AJ174" i="15"/>
  <c r="AJ144" i="15"/>
  <c r="AJ145" i="15"/>
  <c r="AJ146" i="15"/>
  <c r="AJ147" i="15"/>
  <c r="AJ148" i="15"/>
  <c r="AJ149" i="15"/>
  <c r="AJ150" i="15"/>
  <c r="AJ123" i="15"/>
  <c r="AJ124" i="15"/>
  <c r="AJ125" i="15"/>
  <c r="AJ126" i="15"/>
  <c r="AJ108" i="15"/>
  <c r="AJ109" i="15"/>
  <c r="AJ110" i="15"/>
  <c r="AJ111" i="15"/>
  <c r="AJ112" i="15"/>
  <c r="AJ113" i="15"/>
  <c r="AJ114" i="15"/>
  <c r="S252" i="11"/>
  <c r="S253" i="11"/>
  <c r="S254" i="11"/>
  <c r="S255" i="11"/>
  <c r="S256" i="11"/>
  <c r="S257" i="11"/>
  <c r="S258" i="11"/>
  <c r="S230" i="11"/>
  <c r="S231" i="11"/>
  <c r="S232" i="11"/>
  <c r="S233" i="11"/>
  <c r="S234" i="11"/>
  <c r="S217" i="11"/>
  <c r="S218" i="11"/>
  <c r="S219" i="11"/>
  <c r="S220" i="11"/>
  <c r="S221" i="11"/>
  <c r="S222" i="11"/>
  <c r="S167" i="11"/>
  <c r="S168" i="11"/>
  <c r="S169" i="11"/>
  <c r="S170" i="11"/>
  <c r="S171" i="11"/>
  <c r="S172" i="11"/>
  <c r="S173" i="11"/>
  <c r="S174" i="11"/>
  <c r="S145" i="11"/>
  <c r="S146" i="11"/>
  <c r="S147" i="11"/>
  <c r="S148" i="11"/>
  <c r="S149" i="11"/>
  <c r="S150" i="11"/>
  <c r="S123" i="11"/>
  <c r="S124" i="11"/>
  <c r="S125" i="11"/>
  <c r="S126" i="11"/>
  <c r="S108" i="11"/>
  <c r="S109" i="11"/>
  <c r="S110" i="11"/>
  <c r="S111" i="11"/>
  <c r="S112" i="11"/>
  <c r="S113" i="11"/>
  <c r="S114" i="11"/>
  <c r="BK253" i="10"/>
  <c r="BK254" i="10"/>
  <c r="BK255" i="10"/>
  <c r="BK256" i="10"/>
  <c r="BK257" i="10"/>
  <c r="BK258" i="10"/>
  <c r="BK229" i="10"/>
  <c r="BK230" i="10"/>
  <c r="BK231" i="10"/>
  <c r="BK232" i="10"/>
  <c r="BK233" i="10"/>
  <c r="BK234" i="10"/>
  <c r="BK217" i="10"/>
  <c r="BK218" i="10"/>
  <c r="BK219" i="10"/>
  <c r="BK220" i="10"/>
  <c r="BK221" i="10"/>
  <c r="BK222" i="10"/>
  <c r="BK167" i="10"/>
  <c r="BK168" i="10"/>
  <c r="BK169" i="10"/>
  <c r="BK170" i="10"/>
  <c r="BK171" i="10"/>
  <c r="BK172" i="10"/>
  <c r="BK173" i="10"/>
  <c r="BK174" i="10"/>
  <c r="BK145" i="10"/>
  <c r="BK146" i="10"/>
  <c r="BK147" i="10"/>
  <c r="BK148" i="10"/>
  <c r="BK149" i="10"/>
  <c r="BK150" i="10"/>
  <c r="BK126" i="10"/>
  <c r="BK123" i="10"/>
  <c r="BK124" i="10"/>
  <c r="BK125" i="10"/>
  <c r="BK114" i="10"/>
  <c r="BK108" i="10"/>
  <c r="BK109" i="10"/>
  <c r="BK110" i="10"/>
  <c r="BK111" i="10"/>
  <c r="BK112" i="10"/>
  <c r="BK113" i="10"/>
  <c r="AE253" i="9"/>
  <c r="AE254" i="9"/>
  <c r="AE255" i="9"/>
  <c r="AE256" i="9"/>
  <c r="AE257" i="9"/>
  <c r="AE258" i="9"/>
  <c r="AE230" i="9"/>
  <c r="AE231" i="9"/>
  <c r="AE232" i="9"/>
  <c r="AE233" i="9"/>
  <c r="AE234" i="9"/>
  <c r="AE217" i="9"/>
  <c r="AE218" i="9"/>
  <c r="AE219" i="9"/>
  <c r="AE220" i="9"/>
  <c r="AE221" i="9"/>
  <c r="AE222" i="9"/>
  <c r="AE167" i="9"/>
  <c r="AE168" i="9"/>
  <c r="AE169" i="9"/>
  <c r="AE170" i="9"/>
  <c r="AE171" i="9"/>
  <c r="AE172" i="9"/>
  <c r="AE173" i="9"/>
  <c r="AE174" i="9"/>
  <c r="AE145" i="9"/>
  <c r="AE146" i="9"/>
  <c r="AE147" i="9"/>
  <c r="AE148" i="9"/>
  <c r="AE149" i="9"/>
  <c r="AE150" i="9"/>
  <c r="AE126" i="9"/>
  <c r="AE114" i="9"/>
  <c r="AE123" i="9"/>
  <c r="AE124" i="9"/>
  <c r="AE125" i="9"/>
  <c r="AE108" i="9"/>
  <c r="AE109" i="9"/>
  <c r="AE110" i="9"/>
  <c r="AE111" i="9"/>
  <c r="AE112" i="9"/>
  <c r="AE113" i="9"/>
  <c r="AA262" i="16" l="1"/>
  <c r="AA264" i="16" s="1"/>
  <c r="Z262" i="16"/>
  <c r="Z264" i="16" s="1"/>
  <c r="Y262" i="16"/>
  <c r="Y264" i="16" s="1"/>
  <c r="X262" i="16"/>
  <c r="X264" i="16" s="1"/>
  <c r="AA41" i="16"/>
  <c r="Z41" i="16"/>
  <c r="Y41" i="16"/>
  <c r="X41" i="16"/>
  <c r="AA36" i="16"/>
  <c r="Z36" i="16"/>
  <c r="Y36" i="16"/>
  <c r="X36" i="16"/>
  <c r="AA29" i="16"/>
  <c r="Z29" i="16"/>
  <c r="Y29" i="16"/>
  <c r="X29" i="16"/>
  <c r="AA28" i="16"/>
  <c r="Z28" i="16"/>
  <c r="Y28" i="16"/>
  <c r="X28" i="16"/>
  <c r="X30" i="16" s="1"/>
  <c r="AA27" i="16"/>
  <c r="Z27" i="16"/>
  <c r="Y27" i="16"/>
  <c r="X27" i="16"/>
  <c r="AA24" i="16"/>
  <c r="Z24" i="16"/>
  <c r="Y24" i="16"/>
  <c r="X24" i="16"/>
  <c r="AA21" i="16"/>
  <c r="Z21" i="16"/>
  <c r="Y21" i="16"/>
  <c r="X21" i="16"/>
  <c r="AA16" i="16"/>
  <c r="Z16" i="16"/>
  <c r="Y16" i="16"/>
  <c r="X16" i="16"/>
  <c r="BF41" i="10"/>
  <c r="BE41" i="10"/>
  <c r="BD41" i="10"/>
  <c r="BC41" i="10"/>
  <c r="BB41" i="10"/>
  <c r="BA41" i="10"/>
  <c r="BF36" i="10"/>
  <c r="BE36" i="10"/>
  <c r="BD36" i="10"/>
  <c r="BC36" i="10"/>
  <c r="BB36" i="10"/>
  <c r="BA36" i="10"/>
  <c r="BF29" i="10"/>
  <c r="BE29" i="10"/>
  <c r="BD29" i="10"/>
  <c r="BC29" i="10"/>
  <c r="BB29" i="10"/>
  <c r="BA29" i="10"/>
  <c r="BF28" i="10"/>
  <c r="BE28" i="10"/>
  <c r="BD28" i="10"/>
  <c r="BC28" i="10"/>
  <c r="BB28" i="10"/>
  <c r="BA28" i="10"/>
  <c r="BA30" i="10" s="1"/>
  <c r="BF27" i="10"/>
  <c r="BE27" i="10"/>
  <c r="BD27" i="10"/>
  <c r="BC27" i="10"/>
  <c r="BB27" i="10"/>
  <c r="BA27" i="10"/>
  <c r="BF24" i="10"/>
  <c r="BE24" i="10"/>
  <c r="BD24" i="10"/>
  <c r="BC24" i="10"/>
  <c r="BB24" i="10"/>
  <c r="BA24" i="10"/>
  <c r="BF21" i="10"/>
  <c r="BE21" i="10"/>
  <c r="BD21" i="10"/>
  <c r="BC21" i="10"/>
  <c r="BB21" i="10"/>
  <c r="BA21" i="10"/>
  <c r="BF16" i="10"/>
  <c r="BE16" i="10"/>
  <c r="BD16" i="10"/>
  <c r="BC16" i="10"/>
  <c r="BB16" i="10"/>
  <c r="BA16" i="10"/>
  <c r="V41" i="9"/>
  <c r="U41" i="9"/>
  <c r="V36" i="9"/>
  <c r="U36" i="9"/>
  <c r="V29" i="9"/>
  <c r="U29" i="9"/>
  <c r="V28" i="9"/>
  <c r="U28" i="9"/>
  <c r="V27" i="9"/>
  <c r="U27" i="9"/>
  <c r="V24" i="9"/>
  <c r="U24" i="9"/>
  <c r="V21" i="9"/>
  <c r="U21" i="9"/>
  <c r="V16" i="9"/>
  <c r="U16" i="9"/>
  <c r="Y30" i="16" l="1"/>
  <c r="Z30" i="16"/>
  <c r="AA30" i="16"/>
  <c r="BD30" i="10"/>
  <c r="BB30" i="10"/>
  <c r="BC30" i="10"/>
  <c r="BE30" i="10"/>
  <c r="BF30" i="10"/>
  <c r="BA262" i="10"/>
  <c r="BA264" i="10" s="1"/>
  <c r="BB262" i="10"/>
  <c r="BB264" i="10" s="1"/>
  <c r="BD262" i="10"/>
  <c r="BD264" i="10" s="1"/>
  <c r="BE262" i="10"/>
  <c r="BE264" i="10" s="1"/>
  <c r="BC262" i="10"/>
  <c r="BC264" i="10" s="1"/>
  <c r="BF262" i="10"/>
  <c r="BF264" i="10" s="1"/>
  <c r="V30" i="9"/>
  <c r="U30" i="9"/>
  <c r="U262" i="9"/>
  <c r="U264" i="9" s="1"/>
  <c r="V262" i="9"/>
  <c r="V264" i="9" s="1"/>
  <c r="AB263" i="16"/>
  <c r="AB250" i="16"/>
  <c r="AB249" i="16"/>
  <c r="AB246" i="16"/>
  <c r="AB245" i="16"/>
  <c r="AB244" i="16"/>
  <c r="AB243" i="16"/>
  <c r="AB242" i="16"/>
  <c r="AB241" i="16"/>
  <c r="AB240" i="16"/>
  <c r="AB239" i="16"/>
  <c r="AB238" i="16"/>
  <c r="AB237" i="16"/>
  <c r="AB228" i="16"/>
  <c r="AB227" i="16"/>
  <c r="AB226" i="16"/>
  <c r="AB225" i="16"/>
  <c r="AB215" i="16"/>
  <c r="AB214" i="16"/>
  <c r="AB213" i="16"/>
  <c r="AB210" i="16"/>
  <c r="AB209" i="16"/>
  <c r="AB208" i="16"/>
  <c r="AB207" i="16"/>
  <c r="AB206" i="16"/>
  <c r="AB205" i="16"/>
  <c r="AB204" i="16"/>
  <c r="AB203" i="16"/>
  <c r="AB202" i="16"/>
  <c r="AB201" i="16"/>
  <c r="AB198" i="16"/>
  <c r="AB197" i="16"/>
  <c r="AB196" i="16"/>
  <c r="AB195" i="16"/>
  <c r="AB194" i="16"/>
  <c r="AB193" i="16"/>
  <c r="AB192" i="16"/>
  <c r="AB191" i="16"/>
  <c r="AB190" i="16"/>
  <c r="AB189" i="16"/>
  <c r="AB186" i="16"/>
  <c r="AB185" i="16"/>
  <c r="AB184" i="16"/>
  <c r="AB183" i="16"/>
  <c r="AB182" i="16"/>
  <c r="AB181" i="16"/>
  <c r="AB180" i="16"/>
  <c r="AB179" i="16"/>
  <c r="AB178" i="16"/>
  <c r="AB177" i="16"/>
  <c r="AB166" i="16"/>
  <c r="AB165" i="16"/>
  <c r="AB175" i="16" s="1"/>
  <c r="AB143" i="16"/>
  <c r="AB142" i="16"/>
  <c r="AB141" i="16"/>
  <c r="AB138" i="16"/>
  <c r="AB137" i="16"/>
  <c r="AB136" i="16"/>
  <c r="AB135" i="16"/>
  <c r="AB134" i="16"/>
  <c r="AB133" i="16"/>
  <c r="AB132" i="16"/>
  <c r="AB131" i="16"/>
  <c r="AB130" i="16"/>
  <c r="AB129" i="16"/>
  <c r="AB120" i="16"/>
  <c r="AB119" i="16"/>
  <c r="AB118" i="16"/>
  <c r="AB117" i="16"/>
  <c r="AB127" i="16" s="1"/>
  <c r="AB106" i="16"/>
  <c r="AB105" i="16"/>
  <c r="AB102" i="16"/>
  <c r="AB101" i="16"/>
  <c r="AB100" i="16"/>
  <c r="AB99" i="16"/>
  <c r="AB98" i="16"/>
  <c r="AB97" i="16"/>
  <c r="AB96" i="16"/>
  <c r="AB95" i="16"/>
  <c r="AB94" i="16"/>
  <c r="AB93" i="16"/>
  <c r="AB90" i="16"/>
  <c r="AB89" i="16"/>
  <c r="AB88" i="16"/>
  <c r="AB87" i="16"/>
  <c r="AB86" i="16"/>
  <c r="AB85" i="16"/>
  <c r="AB84" i="16"/>
  <c r="AB83" i="16"/>
  <c r="AB82" i="16"/>
  <c r="AB81" i="16"/>
  <c r="AB78" i="16"/>
  <c r="AB77" i="16"/>
  <c r="AB76" i="16"/>
  <c r="AB75" i="16"/>
  <c r="AB74" i="16"/>
  <c r="AB73" i="16"/>
  <c r="AB72" i="16"/>
  <c r="AB71" i="16"/>
  <c r="AB70" i="16"/>
  <c r="AB69" i="16"/>
  <c r="AB66" i="16"/>
  <c r="AB65" i="16"/>
  <c r="AB64" i="16"/>
  <c r="AB63" i="16"/>
  <c r="AB62" i="16"/>
  <c r="AB61" i="16"/>
  <c r="AB60" i="16"/>
  <c r="AB59" i="16"/>
  <c r="AB58" i="16"/>
  <c r="AB57" i="16"/>
  <c r="AB54" i="16"/>
  <c r="AB53" i="16"/>
  <c r="AB52" i="16"/>
  <c r="AB51" i="16"/>
  <c r="AB50" i="16"/>
  <c r="AB49" i="16"/>
  <c r="AB48" i="16"/>
  <c r="AB47" i="16"/>
  <c r="AB46" i="16"/>
  <c r="AB45" i="16"/>
  <c r="W41" i="16"/>
  <c r="V41" i="16"/>
  <c r="U41" i="16"/>
  <c r="T41" i="16"/>
  <c r="S41" i="16"/>
  <c r="R41" i="16"/>
  <c r="E41" i="16"/>
  <c r="AB40" i="16"/>
  <c r="AB39" i="16"/>
  <c r="W36" i="16"/>
  <c r="V36" i="16"/>
  <c r="U36" i="16"/>
  <c r="T36" i="16"/>
  <c r="S36" i="16"/>
  <c r="R36" i="16"/>
  <c r="E36" i="16"/>
  <c r="AB35" i="16"/>
  <c r="AB34" i="16"/>
  <c r="AB33" i="16"/>
  <c r="W29" i="16"/>
  <c r="V29" i="16"/>
  <c r="U29" i="16"/>
  <c r="T29" i="16"/>
  <c r="S29" i="16"/>
  <c r="R29" i="16"/>
  <c r="E29" i="16"/>
  <c r="W28" i="16"/>
  <c r="V28" i="16"/>
  <c r="U28" i="16"/>
  <c r="T28" i="16"/>
  <c r="S28" i="16"/>
  <c r="R28" i="16"/>
  <c r="E28" i="16"/>
  <c r="W27" i="16"/>
  <c r="V27" i="16"/>
  <c r="U27" i="16"/>
  <c r="T27" i="16"/>
  <c r="S27" i="16"/>
  <c r="R27" i="16"/>
  <c r="E27" i="16"/>
  <c r="AB26" i="16"/>
  <c r="AB25" i="16"/>
  <c r="W24" i="16"/>
  <c r="V24" i="16"/>
  <c r="U24" i="16"/>
  <c r="T24" i="16"/>
  <c r="S24" i="16"/>
  <c r="R24" i="16"/>
  <c r="E24" i="16"/>
  <c r="AB23" i="16"/>
  <c r="AB22" i="16"/>
  <c r="W21" i="16"/>
  <c r="V21" i="16"/>
  <c r="U21" i="16"/>
  <c r="T21" i="16"/>
  <c r="S21" i="16"/>
  <c r="R21" i="16"/>
  <c r="E21" i="16"/>
  <c r="AB20" i="16"/>
  <c r="AB19" i="16"/>
  <c r="W16" i="16"/>
  <c r="V16" i="16"/>
  <c r="U16" i="16"/>
  <c r="T16" i="16"/>
  <c r="S16" i="16"/>
  <c r="R16" i="16"/>
  <c r="E16" i="16"/>
  <c r="AB15" i="16"/>
  <c r="AB14" i="16"/>
  <c r="AJ263" i="15"/>
  <c r="AJ251" i="15"/>
  <c r="AJ250" i="15"/>
  <c r="AJ249" i="15"/>
  <c r="AJ246" i="15"/>
  <c r="AJ245" i="15"/>
  <c r="AJ244" i="15"/>
  <c r="AJ243" i="15"/>
  <c r="AJ242" i="15"/>
  <c r="AJ241" i="15"/>
  <c r="AJ240" i="15"/>
  <c r="AJ239" i="15"/>
  <c r="AJ238" i="15"/>
  <c r="AJ237" i="15"/>
  <c r="AJ228" i="15"/>
  <c r="AJ227" i="15"/>
  <c r="AJ226" i="15"/>
  <c r="AJ225" i="15"/>
  <c r="AJ215" i="15"/>
  <c r="AJ214" i="15"/>
  <c r="AJ213" i="15"/>
  <c r="AJ210" i="15"/>
  <c r="AJ209" i="15"/>
  <c r="AJ208" i="15"/>
  <c r="AJ207" i="15"/>
  <c r="AJ206" i="15"/>
  <c r="AJ205" i="15"/>
  <c r="AJ204" i="15"/>
  <c r="AJ203" i="15"/>
  <c r="AJ202" i="15"/>
  <c r="AJ201" i="15"/>
  <c r="AJ198" i="15"/>
  <c r="AJ197" i="15"/>
  <c r="AJ196" i="15"/>
  <c r="AJ195" i="15"/>
  <c r="AJ194" i="15"/>
  <c r="AJ193" i="15"/>
  <c r="AJ192" i="15"/>
  <c r="AJ191" i="15"/>
  <c r="AJ190" i="15"/>
  <c r="AJ189" i="15"/>
  <c r="AJ186" i="15"/>
  <c r="AJ185" i="15"/>
  <c r="AJ184" i="15"/>
  <c r="AJ183" i="15"/>
  <c r="AJ182" i="15"/>
  <c r="AJ181" i="15"/>
  <c r="AJ180" i="15"/>
  <c r="AJ179" i="15"/>
  <c r="AJ178" i="15"/>
  <c r="AJ177" i="15"/>
  <c r="AJ166" i="15"/>
  <c r="AJ165" i="15"/>
  <c r="AJ143" i="15"/>
  <c r="AJ142" i="15"/>
  <c r="AJ141" i="15"/>
  <c r="AJ138" i="15"/>
  <c r="AJ137" i="15"/>
  <c r="AJ136" i="15"/>
  <c r="AJ135" i="15"/>
  <c r="AJ134" i="15"/>
  <c r="AJ133" i="15"/>
  <c r="AJ132" i="15"/>
  <c r="AJ131" i="15"/>
  <c r="AJ130" i="15"/>
  <c r="AJ129" i="15"/>
  <c r="AJ122" i="15"/>
  <c r="AJ121" i="15"/>
  <c r="AJ120" i="15"/>
  <c r="AJ119" i="15"/>
  <c r="AJ118" i="15"/>
  <c r="AJ117" i="15"/>
  <c r="AJ107" i="15"/>
  <c r="AJ106" i="15"/>
  <c r="AJ105" i="15"/>
  <c r="AJ102" i="15"/>
  <c r="AJ101" i="15"/>
  <c r="AJ100" i="15"/>
  <c r="AJ99" i="15"/>
  <c r="AJ98" i="15"/>
  <c r="AJ97" i="15"/>
  <c r="AJ96" i="15"/>
  <c r="AJ95" i="15"/>
  <c r="AJ94" i="15"/>
  <c r="AJ93" i="15"/>
  <c r="AJ90" i="15"/>
  <c r="AJ89" i="15"/>
  <c r="AJ88" i="15"/>
  <c r="AJ87" i="15"/>
  <c r="AJ86" i="15"/>
  <c r="AJ85" i="15"/>
  <c r="AJ84" i="15"/>
  <c r="AJ83" i="15"/>
  <c r="AJ82" i="15"/>
  <c r="AJ81" i="15"/>
  <c r="AJ78" i="15"/>
  <c r="AJ77" i="15"/>
  <c r="AJ76" i="15"/>
  <c r="AJ75" i="15"/>
  <c r="AJ74" i="15"/>
  <c r="AJ73" i="15"/>
  <c r="AJ72" i="15"/>
  <c r="AJ71" i="15"/>
  <c r="AJ70" i="15"/>
  <c r="AJ69" i="15"/>
  <c r="AJ66" i="15"/>
  <c r="AJ65" i="15"/>
  <c r="AJ64" i="15"/>
  <c r="AJ63" i="15"/>
  <c r="AJ62" i="15"/>
  <c r="AJ61" i="15"/>
  <c r="AJ60" i="15"/>
  <c r="AJ59" i="15"/>
  <c r="AJ58" i="15"/>
  <c r="AJ57" i="15"/>
  <c r="AJ54" i="15"/>
  <c r="AJ53" i="15"/>
  <c r="AJ52" i="15"/>
  <c r="AJ51" i="15"/>
  <c r="AJ50" i="15"/>
  <c r="AJ49" i="15"/>
  <c r="AJ48" i="15"/>
  <c r="AJ47" i="15"/>
  <c r="AJ46" i="15"/>
  <c r="AJ45" i="15"/>
  <c r="AI41" i="15"/>
  <c r="AH41" i="15"/>
  <c r="AG41" i="15"/>
  <c r="AF41" i="15"/>
  <c r="AE41" i="15"/>
  <c r="AD41" i="15"/>
  <c r="AC41" i="15"/>
  <c r="AB41" i="15"/>
  <c r="E41" i="15"/>
  <c r="AJ40" i="15"/>
  <c r="AJ39" i="15"/>
  <c r="AI36" i="15"/>
  <c r="AH36" i="15"/>
  <c r="AG36" i="15"/>
  <c r="AF36" i="15"/>
  <c r="AE36" i="15"/>
  <c r="AD36" i="15"/>
  <c r="AC36" i="15"/>
  <c r="AB36" i="15"/>
  <c r="E36" i="15"/>
  <c r="AJ35" i="15"/>
  <c r="AJ34" i="15"/>
  <c r="AJ33" i="15"/>
  <c r="AI29" i="15"/>
  <c r="AH29" i="15"/>
  <c r="AG29" i="15"/>
  <c r="AF29" i="15"/>
  <c r="AE29" i="15"/>
  <c r="AD29" i="15"/>
  <c r="AC29" i="15"/>
  <c r="AB29" i="15"/>
  <c r="E29" i="15"/>
  <c r="AI28" i="15"/>
  <c r="AH28" i="15"/>
  <c r="AG28" i="15"/>
  <c r="AF28" i="15"/>
  <c r="AE28" i="15"/>
  <c r="AD28" i="15"/>
  <c r="AC28" i="15"/>
  <c r="AB28" i="15"/>
  <c r="E28" i="15"/>
  <c r="AI27" i="15"/>
  <c r="AH27" i="15"/>
  <c r="AG27" i="15"/>
  <c r="AF27" i="15"/>
  <c r="AE27" i="15"/>
  <c r="AD27" i="15"/>
  <c r="AC27" i="15"/>
  <c r="AB27" i="15"/>
  <c r="E27" i="15"/>
  <c r="AJ26" i="15"/>
  <c r="AJ25" i="15"/>
  <c r="AI24" i="15"/>
  <c r="AH24" i="15"/>
  <c r="AG24" i="15"/>
  <c r="AF24" i="15"/>
  <c r="AE24" i="15"/>
  <c r="AD24" i="15"/>
  <c r="AC24" i="15"/>
  <c r="AB24" i="15"/>
  <c r="E24" i="15"/>
  <c r="AJ23" i="15"/>
  <c r="AJ22" i="15"/>
  <c r="AI21" i="15"/>
  <c r="AH21" i="15"/>
  <c r="AG21" i="15"/>
  <c r="AF21" i="15"/>
  <c r="AE21" i="15"/>
  <c r="AD21" i="15"/>
  <c r="AC21" i="15"/>
  <c r="AB21" i="15"/>
  <c r="E21" i="15"/>
  <c r="AJ20" i="15"/>
  <c r="AJ19" i="15"/>
  <c r="AI16" i="15"/>
  <c r="AH16" i="15"/>
  <c r="AG16" i="15"/>
  <c r="AF16" i="15"/>
  <c r="AE16" i="15"/>
  <c r="AD16" i="15"/>
  <c r="AC16" i="15"/>
  <c r="AB16" i="15"/>
  <c r="E16" i="15"/>
  <c r="AJ15" i="15"/>
  <c r="AJ14" i="15"/>
  <c r="S245" i="11"/>
  <c r="S246" i="11"/>
  <c r="S208" i="11"/>
  <c r="S209" i="11"/>
  <c r="S210" i="11"/>
  <c r="S196" i="11"/>
  <c r="S197" i="11"/>
  <c r="S198" i="11"/>
  <c r="S185" i="11"/>
  <c r="S186" i="11"/>
  <c r="S137" i="11"/>
  <c r="S138" i="11"/>
  <c r="S121" i="11"/>
  <c r="S122" i="11"/>
  <c r="S101" i="11"/>
  <c r="S102" i="11"/>
  <c r="S89" i="11"/>
  <c r="S90" i="11"/>
  <c r="S77" i="11"/>
  <c r="S78" i="11"/>
  <c r="S64" i="11"/>
  <c r="S65" i="11"/>
  <c r="S66" i="11"/>
  <c r="S53" i="11"/>
  <c r="S54" i="11"/>
  <c r="BK245" i="10"/>
  <c r="BK246" i="10"/>
  <c r="BK210" i="10"/>
  <c r="BK209" i="10"/>
  <c r="BK197" i="10"/>
  <c r="BK198" i="10"/>
  <c r="BK186" i="10"/>
  <c r="BK185" i="10"/>
  <c r="BK138" i="10"/>
  <c r="BK137" i="10"/>
  <c r="BK121" i="10"/>
  <c r="BK122" i="10"/>
  <c r="BK102" i="10"/>
  <c r="BK101" i="10"/>
  <c r="BK90" i="10"/>
  <c r="BK89" i="10"/>
  <c r="BK78" i="10"/>
  <c r="BK77" i="10"/>
  <c r="BK66" i="10"/>
  <c r="BK65" i="10"/>
  <c r="BK54" i="10"/>
  <c r="BK53" i="10"/>
  <c r="AE245" i="9"/>
  <c r="AE246" i="9"/>
  <c r="AE209" i="9"/>
  <c r="AE210" i="9"/>
  <c r="AE197" i="9"/>
  <c r="AE198" i="9"/>
  <c r="AE185" i="9"/>
  <c r="AE186" i="9"/>
  <c r="AE137" i="9"/>
  <c r="AE138" i="9"/>
  <c r="AE121" i="9"/>
  <c r="AE122" i="9"/>
  <c r="AE102" i="9"/>
  <c r="AE90" i="9"/>
  <c r="AE101" i="9"/>
  <c r="AE89" i="9"/>
  <c r="AE77" i="9"/>
  <c r="AE78" i="9"/>
  <c r="AE65" i="9"/>
  <c r="AE66" i="9"/>
  <c r="AE53" i="9"/>
  <c r="AE54" i="9"/>
  <c r="E228" i="1" l="1"/>
  <c r="AB223" i="16"/>
  <c r="AJ259" i="15"/>
  <c r="AJ187" i="15"/>
  <c r="AJ175" i="15"/>
  <c r="AJ139" i="15"/>
  <c r="AJ79" i="15"/>
  <c r="AJ211" i="15"/>
  <c r="S30" i="16"/>
  <c r="T30" i="16"/>
  <c r="AB103" i="16"/>
  <c r="U30" i="16"/>
  <c r="V30" i="16"/>
  <c r="AJ67" i="15"/>
  <c r="AJ151" i="15"/>
  <c r="AB199" i="16"/>
  <c r="AB79" i="16"/>
  <c r="AB151" i="16"/>
  <c r="AB235" i="16"/>
  <c r="AB115" i="16"/>
  <c r="E30" i="16"/>
  <c r="AJ103" i="15"/>
  <c r="AJ223" i="15"/>
  <c r="AJ235" i="15"/>
  <c r="AJ91" i="15"/>
  <c r="AJ127" i="15"/>
  <c r="AJ55" i="15"/>
  <c r="AJ199" i="15"/>
  <c r="AJ115" i="15"/>
  <c r="AJ247" i="15"/>
  <c r="AB55" i="16"/>
  <c r="AB247" i="16"/>
  <c r="AB91" i="16"/>
  <c r="AB211" i="16"/>
  <c r="AB67" i="16"/>
  <c r="AB187" i="16"/>
  <c r="AB139" i="16"/>
  <c r="AB259" i="16"/>
  <c r="AB24" i="16"/>
  <c r="R30" i="16"/>
  <c r="AC30" i="15"/>
  <c r="AD30" i="15"/>
  <c r="AG30" i="15"/>
  <c r="AE30" i="15"/>
  <c r="AF30" i="15"/>
  <c r="AB41" i="16"/>
  <c r="AB163" i="16"/>
  <c r="AB21" i="16"/>
  <c r="AB28" i="16"/>
  <c r="AB16" i="16"/>
  <c r="AB36" i="16"/>
  <c r="V262" i="16"/>
  <c r="V264" i="16" s="1"/>
  <c r="E262" i="16"/>
  <c r="E264" i="16" s="1"/>
  <c r="AB27" i="16"/>
  <c r="U262" i="16"/>
  <c r="U264" i="16" s="1"/>
  <c r="S262" i="16"/>
  <c r="S264" i="16" s="1"/>
  <c r="W30" i="16"/>
  <c r="W262" i="16"/>
  <c r="W264" i="16" s="1"/>
  <c r="R262" i="16"/>
  <c r="R264" i="16" s="1"/>
  <c r="T262" i="16"/>
  <c r="T264" i="16" s="1"/>
  <c r="AB30" i="15"/>
  <c r="E30" i="15"/>
  <c r="AB29" i="16"/>
  <c r="AB262" i="15"/>
  <c r="AB264" i="15" s="1"/>
  <c r="AC262" i="15"/>
  <c r="AC264" i="15" s="1"/>
  <c r="AH30" i="15"/>
  <c r="AD262" i="15"/>
  <c r="AD264" i="15" s="1"/>
  <c r="AE262" i="15"/>
  <c r="AE264" i="15" s="1"/>
  <c r="AJ36" i="15"/>
  <c r="AH262" i="15"/>
  <c r="AH264" i="15" s="1"/>
  <c r="AG262" i="15"/>
  <c r="AG264" i="15" s="1"/>
  <c r="AI30" i="15"/>
  <c r="AJ21" i="15"/>
  <c r="AI262" i="15"/>
  <c r="AI264" i="15" s="1"/>
  <c r="AJ41" i="15"/>
  <c r="AJ24" i="15"/>
  <c r="AJ29" i="15"/>
  <c r="AF262" i="15"/>
  <c r="AF264" i="15" s="1"/>
  <c r="AJ16" i="15"/>
  <c r="AJ27" i="15"/>
  <c r="E262" i="15"/>
  <c r="AJ28" i="15"/>
  <c r="AJ163" i="15" l="1"/>
  <c r="AB30" i="16"/>
  <c r="AB264" i="16"/>
  <c r="AJ30" i="15"/>
  <c r="AB262" i="16"/>
  <c r="AJ262" i="15"/>
  <c r="E264" i="15"/>
  <c r="AJ264" i="15" s="1"/>
  <c r="S263" i="11" l="1"/>
  <c r="S251" i="11"/>
  <c r="S250" i="11"/>
  <c r="S249" i="11"/>
  <c r="S244" i="11"/>
  <c r="S243" i="11"/>
  <c r="S242" i="11"/>
  <c r="S241" i="11"/>
  <c r="S240" i="11"/>
  <c r="S239" i="11"/>
  <c r="S238" i="11"/>
  <c r="S237" i="11"/>
  <c r="S229" i="11"/>
  <c r="S228" i="11"/>
  <c r="S227" i="11"/>
  <c r="S226" i="11"/>
  <c r="S225" i="11"/>
  <c r="S216" i="11"/>
  <c r="S215" i="11"/>
  <c r="S214" i="11"/>
  <c r="S213" i="11"/>
  <c r="S207" i="11"/>
  <c r="S206" i="11"/>
  <c r="S205" i="11"/>
  <c r="S204" i="11"/>
  <c r="S203" i="11"/>
  <c r="S202" i="11"/>
  <c r="S201" i="11"/>
  <c r="S195" i="11"/>
  <c r="S194" i="11"/>
  <c r="S193" i="11"/>
  <c r="S192" i="11"/>
  <c r="S191" i="11"/>
  <c r="S190" i="11"/>
  <c r="S189" i="11"/>
  <c r="S184" i="11"/>
  <c r="S183" i="11"/>
  <c r="E183" i="1" s="1"/>
  <c r="S182" i="11"/>
  <c r="S181" i="11"/>
  <c r="S180" i="11"/>
  <c r="S179" i="11"/>
  <c r="S178" i="11"/>
  <c r="S177" i="11"/>
  <c r="S166" i="11"/>
  <c r="S165" i="11"/>
  <c r="E154" i="1"/>
  <c r="E153" i="1"/>
  <c r="S144" i="11"/>
  <c r="S143" i="11"/>
  <c r="S142" i="11"/>
  <c r="S141" i="11"/>
  <c r="S151" i="11" s="1"/>
  <c r="S136" i="11"/>
  <c r="S135" i="11"/>
  <c r="S134" i="11"/>
  <c r="S133" i="11"/>
  <c r="S132" i="11"/>
  <c r="S131" i="11"/>
  <c r="S130" i="11"/>
  <c r="S129" i="11"/>
  <c r="S120" i="11"/>
  <c r="S119" i="11"/>
  <c r="S118" i="11"/>
  <c r="S117" i="11"/>
  <c r="S107" i="11"/>
  <c r="S106" i="11"/>
  <c r="S105" i="11"/>
  <c r="S100" i="11"/>
  <c r="S99" i="11"/>
  <c r="S98" i="11"/>
  <c r="S97" i="11"/>
  <c r="S96" i="11"/>
  <c r="S95" i="11"/>
  <c r="S94" i="11"/>
  <c r="S93" i="11"/>
  <c r="S88" i="11"/>
  <c r="S87" i="11"/>
  <c r="S86" i="11"/>
  <c r="S85" i="11"/>
  <c r="S84" i="11"/>
  <c r="S83" i="11"/>
  <c r="S82" i="11"/>
  <c r="S81" i="11"/>
  <c r="S76" i="11"/>
  <c r="S75" i="11"/>
  <c r="S74" i="11"/>
  <c r="S73" i="11"/>
  <c r="S72" i="11"/>
  <c r="S71" i="11"/>
  <c r="S70" i="11"/>
  <c r="S69" i="11"/>
  <c r="S63" i="11"/>
  <c r="S62" i="11"/>
  <c r="S61" i="11"/>
  <c r="S60" i="11"/>
  <c r="S59" i="11"/>
  <c r="S58" i="11"/>
  <c r="S57" i="11"/>
  <c r="S52" i="11"/>
  <c r="S51" i="11"/>
  <c r="S50" i="11"/>
  <c r="S49" i="11"/>
  <c r="S48" i="11"/>
  <c r="S47" i="11"/>
  <c r="S46" i="11"/>
  <c r="S45" i="11"/>
  <c r="E41" i="11"/>
  <c r="S40" i="11"/>
  <c r="S39" i="11"/>
  <c r="E36" i="11"/>
  <c r="S35" i="11"/>
  <c r="S34" i="11"/>
  <c r="S33" i="11"/>
  <c r="E29" i="11"/>
  <c r="E28" i="11"/>
  <c r="E27" i="11"/>
  <c r="S26" i="11"/>
  <c r="S25" i="11"/>
  <c r="E24" i="11"/>
  <c r="S23" i="11"/>
  <c r="S22" i="11"/>
  <c r="E21" i="11"/>
  <c r="S20" i="11"/>
  <c r="S19" i="11"/>
  <c r="E16" i="11"/>
  <c r="S15" i="11"/>
  <c r="S14" i="11"/>
  <c r="BK263" i="10"/>
  <c r="BK252" i="10"/>
  <c r="BK251" i="10"/>
  <c r="E251" i="1" s="1"/>
  <c r="BK250" i="10"/>
  <c r="E250" i="1" s="1"/>
  <c r="BK249" i="10"/>
  <c r="BK244" i="10"/>
  <c r="BK243" i="10"/>
  <c r="BK242" i="10"/>
  <c r="BK241" i="10"/>
  <c r="E241" i="1" s="1"/>
  <c r="BK240" i="10"/>
  <c r="BK239" i="10"/>
  <c r="BK238" i="10"/>
  <c r="BK237" i="10"/>
  <c r="BK228" i="10"/>
  <c r="BK227" i="10"/>
  <c r="E227" i="1" s="1"/>
  <c r="BK226" i="10"/>
  <c r="BK225" i="10"/>
  <c r="BK216" i="10"/>
  <c r="BK215" i="10"/>
  <c r="BK214" i="10"/>
  <c r="BK213" i="10"/>
  <c r="BK208" i="10"/>
  <c r="BK207" i="10"/>
  <c r="BK206" i="10"/>
  <c r="BK205" i="10"/>
  <c r="E205" i="1" s="1"/>
  <c r="BK204" i="10"/>
  <c r="BK203" i="10"/>
  <c r="BK202" i="10"/>
  <c r="BK201" i="10"/>
  <c r="BK196" i="10"/>
  <c r="E196" i="1" s="1"/>
  <c r="BK195" i="10"/>
  <c r="BK194" i="10"/>
  <c r="BK193" i="10"/>
  <c r="E193" i="1" s="1"/>
  <c r="BK192" i="10"/>
  <c r="BK191" i="10"/>
  <c r="BK190" i="10"/>
  <c r="BK189" i="10"/>
  <c r="BK184" i="10"/>
  <c r="BK183" i="10"/>
  <c r="BK182" i="10"/>
  <c r="BK181" i="10"/>
  <c r="BK180" i="10"/>
  <c r="BK179" i="10"/>
  <c r="E179" i="1" s="1"/>
  <c r="BK178" i="10"/>
  <c r="BK177" i="10"/>
  <c r="BK166" i="10"/>
  <c r="BK165" i="10"/>
  <c r="E156" i="1"/>
  <c r="BK144" i="10"/>
  <c r="BK143" i="10"/>
  <c r="BK142" i="10"/>
  <c r="E142" i="1" s="1"/>
  <c r="BK141" i="10"/>
  <c r="BK136" i="10"/>
  <c r="BK135" i="10"/>
  <c r="E135" i="1" s="1"/>
  <c r="BK134" i="10"/>
  <c r="E134" i="1" s="1"/>
  <c r="BK133" i="10"/>
  <c r="BK132" i="10"/>
  <c r="E132" i="1" s="1"/>
  <c r="BK131" i="10"/>
  <c r="E131" i="1" s="1"/>
  <c r="BK130" i="10"/>
  <c r="BK129" i="10"/>
  <c r="BK120" i="10"/>
  <c r="BK119" i="10"/>
  <c r="BK118" i="10"/>
  <c r="BK117" i="10"/>
  <c r="BK107" i="10"/>
  <c r="BK106" i="10"/>
  <c r="E106" i="1" s="1"/>
  <c r="BK105" i="10"/>
  <c r="BK100" i="10"/>
  <c r="BK99" i="10"/>
  <c r="BK98" i="10"/>
  <c r="BK97" i="10"/>
  <c r="BK96" i="10"/>
  <c r="BK95" i="10"/>
  <c r="BK94" i="10"/>
  <c r="BK93" i="10"/>
  <c r="BK88" i="10"/>
  <c r="BK87" i="10"/>
  <c r="BK86" i="10"/>
  <c r="BK85" i="10"/>
  <c r="BK84" i="10"/>
  <c r="BK83" i="10"/>
  <c r="BK82" i="10"/>
  <c r="BK81" i="10"/>
  <c r="BK76" i="10"/>
  <c r="BK75" i="10"/>
  <c r="BK74" i="10"/>
  <c r="BK73" i="10"/>
  <c r="BK72" i="10"/>
  <c r="BK71" i="10"/>
  <c r="BK70" i="10"/>
  <c r="BK69" i="10"/>
  <c r="BK64" i="10"/>
  <c r="BK63" i="10"/>
  <c r="BK62" i="10"/>
  <c r="BK61" i="10"/>
  <c r="BK60" i="10"/>
  <c r="BK59" i="10"/>
  <c r="BK58" i="10"/>
  <c r="BK57" i="10"/>
  <c r="BK52" i="10"/>
  <c r="BK51" i="10"/>
  <c r="BK50" i="10"/>
  <c r="BK49" i="10"/>
  <c r="BK48" i="10"/>
  <c r="BK47" i="10"/>
  <c r="BK46" i="10"/>
  <c r="BK45" i="10"/>
  <c r="BJ41" i="10"/>
  <c r="BI41" i="10"/>
  <c r="BH41" i="10"/>
  <c r="BG41" i="10"/>
  <c r="E41" i="10"/>
  <c r="BK40" i="10"/>
  <c r="BK39" i="10"/>
  <c r="BJ36" i="10"/>
  <c r="BI36" i="10"/>
  <c r="BH36" i="10"/>
  <c r="BG36" i="10"/>
  <c r="E36" i="10"/>
  <c r="BK35" i="10"/>
  <c r="BK34" i="10"/>
  <c r="BK33" i="10"/>
  <c r="BJ29" i="10"/>
  <c r="BI29" i="10"/>
  <c r="BH29" i="10"/>
  <c r="BG29" i="10"/>
  <c r="E29" i="10"/>
  <c r="BJ28" i="10"/>
  <c r="BI28" i="10"/>
  <c r="BH28" i="10"/>
  <c r="BG28" i="10"/>
  <c r="E28" i="10"/>
  <c r="BJ27" i="10"/>
  <c r="BI27" i="10"/>
  <c r="BH27" i="10"/>
  <c r="BG27" i="10"/>
  <c r="E27" i="10"/>
  <c r="BK26" i="10"/>
  <c r="BK25" i="10"/>
  <c r="BJ24" i="10"/>
  <c r="BI24" i="10"/>
  <c r="BH24" i="10"/>
  <c r="BG24" i="10"/>
  <c r="E24" i="10"/>
  <c r="BK23" i="10"/>
  <c r="BK22" i="10"/>
  <c r="BJ21" i="10"/>
  <c r="BI21" i="10"/>
  <c r="BH21" i="10"/>
  <c r="BG21" i="10"/>
  <c r="E21" i="10"/>
  <c r="BK20" i="10"/>
  <c r="BK19" i="10"/>
  <c r="BJ16" i="10"/>
  <c r="BI16" i="10"/>
  <c r="BH16" i="10"/>
  <c r="BG16" i="10"/>
  <c r="E16" i="10"/>
  <c r="BK15" i="10"/>
  <c r="BK14" i="10"/>
  <c r="AE263" i="9"/>
  <c r="AE252" i="9"/>
  <c r="E252" i="1" s="1"/>
  <c r="AE251" i="9"/>
  <c r="AE250" i="9"/>
  <c r="AE249" i="9"/>
  <c r="AE244" i="9"/>
  <c r="AE243" i="9"/>
  <c r="AE242" i="9"/>
  <c r="AE241" i="9"/>
  <c r="AE240" i="9"/>
  <c r="AE239" i="9"/>
  <c r="AE238" i="9"/>
  <c r="AE237" i="9"/>
  <c r="AE229" i="9"/>
  <c r="AE228" i="9"/>
  <c r="AE227" i="9"/>
  <c r="AE226" i="9"/>
  <c r="AE225" i="9"/>
  <c r="AE216" i="9"/>
  <c r="AE215" i="9"/>
  <c r="AE214" i="9"/>
  <c r="AE213" i="9"/>
  <c r="AE208" i="9"/>
  <c r="AE207" i="9"/>
  <c r="AE206" i="9"/>
  <c r="AE205" i="9"/>
  <c r="AE204" i="9"/>
  <c r="AE203" i="9"/>
  <c r="AE202" i="9"/>
  <c r="AE201" i="9"/>
  <c r="AE196" i="9"/>
  <c r="AE195" i="9"/>
  <c r="AE194" i="9"/>
  <c r="E194" i="1" s="1"/>
  <c r="AE193" i="9"/>
  <c r="AE192" i="9"/>
  <c r="E192" i="1" s="1"/>
  <c r="AE191" i="9"/>
  <c r="AE190" i="9"/>
  <c r="AE189" i="9"/>
  <c r="AE184" i="9"/>
  <c r="AE183" i="9"/>
  <c r="AE182" i="9"/>
  <c r="AE181" i="9"/>
  <c r="AE180" i="9"/>
  <c r="AE179" i="9"/>
  <c r="AE178" i="9"/>
  <c r="AE177" i="9"/>
  <c r="AE166" i="9"/>
  <c r="AE165" i="9"/>
  <c r="E155" i="1"/>
  <c r="AE144" i="9"/>
  <c r="AE143" i="9"/>
  <c r="AE142" i="9"/>
  <c r="AE141" i="9"/>
  <c r="AE136" i="9"/>
  <c r="E136" i="1" s="1"/>
  <c r="AE135" i="9"/>
  <c r="AE134" i="9"/>
  <c r="AE133" i="9"/>
  <c r="AE132" i="9"/>
  <c r="AE131" i="9"/>
  <c r="AE130" i="9"/>
  <c r="AE129" i="9"/>
  <c r="AE120" i="9"/>
  <c r="AE119" i="9"/>
  <c r="AE118" i="9"/>
  <c r="AE117" i="9"/>
  <c r="AE107" i="9"/>
  <c r="AE106" i="9"/>
  <c r="AE105" i="9"/>
  <c r="AE100" i="9"/>
  <c r="AE99" i="9"/>
  <c r="AE98" i="9"/>
  <c r="AE97" i="9"/>
  <c r="AE96" i="9"/>
  <c r="AE95" i="9"/>
  <c r="AE94" i="9"/>
  <c r="AE93" i="9"/>
  <c r="AE88" i="9"/>
  <c r="AE87" i="9"/>
  <c r="AE86" i="9"/>
  <c r="AE85" i="9"/>
  <c r="AE84" i="9"/>
  <c r="AE83" i="9"/>
  <c r="AE82" i="9"/>
  <c r="AE81" i="9"/>
  <c r="AE76" i="9"/>
  <c r="AE75" i="9"/>
  <c r="AE74" i="9"/>
  <c r="AE73" i="9"/>
  <c r="AE72" i="9"/>
  <c r="AE71" i="9"/>
  <c r="AE70" i="9"/>
  <c r="AE69" i="9"/>
  <c r="AE64" i="9"/>
  <c r="AE63" i="9"/>
  <c r="AE62" i="9"/>
  <c r="AE61" i="9"/>
  <c r="AE60" i="9"/>
  <c r="AE59" i="9"/>
  <c r="AE58" i="9"/>
  <c r="AE57" i="9"/>
  <c r="AE52" i="9"/>
  <c r="AE51" i="9"/>
  <c r="AE50" i="9"/>
  <c r="AE49" i="9"/>
  <c r="AE48" i="9"/>
  <c r="AE47" i="9"/>
  <c r="AE46" i="9"/>
  <c r="AE45" i="9"/>
  <c r="E41" i="9"/>
  <c r="AE40" i="9"/>
  <c r="AE39" i="9"/>
  <c r="E36" i="9"/>
  <c r="AE35" i="9"/>
  <c r="AE34" i="9"/>
  <c r="AE33" i="9"/>
  <c r="E29" i="9"/>
  <c r="E28" i="9"/>
  <c r="E30" i="9" s="1"/>
  <c r="E27" i="9"/>
  <c r="AE26" i="9"/>
  <c r="AE25" i="9"/>
  <c r="E24" i="9"/>
  <c r="AE23" i="9"/>
  <c r="AE22" i="9"/>
  <c r="E21" i="9"/>
  <c r="AE20" i="9"/>
  <c r="AE19" i="9"/>
  <c r="E16" i="9"/>
  <c r="AE15" i="9"/>
  <c r="AE14" i="9"/>
  <c r="S235" i="11" l="1"/>
  <c r="E207" i="1"/>
  <c r="E206" i="1"/>
  <c r="E190" i="1"/>
  <c r="E178" i="1"/>
  <c r="E141" i="1"/>
  <c r="E133" i="1"/>
  <c r="S139" i="11"/>
  <c r="S103" i="11"/>
  <c r="E75" i="1"/>
  <c r="E72" i="1"/>
  <c r="S55" i="11"/>
  <c r="E263" i="1"/>
  <c r="E240" i="1"/>
  <c r="E249" i="1"/>
  <c r="E242" i="1"/>
  <c r="E239" i="1"/>
  <c r="E243" i="1"/>
  <c r="E238" i="1"/>
  <c r="E237" i="1"/>
  <c r="E214" i="1"/>
  <c r="E226" i="1"/>
  <c r="E225" i="1"/>
  <c r="E215" i="1"/>
  <c r="E213" i="1"/>
  <c r="E204" i="1"/>
  <c r="E203" i="1"/>
  <c r="E202" i="1"/>
  <c r="E208" i="1"/>
  <c r="E201" i="1"/>
  <c r="E189" i="1"/>
  <c r="E191" i="1"/>
  <c r="E181" i="1"/>
  <c r="E180" i="1"/>
  <c r="E177" i="1"/>
  <c r="E184" i="1"/>
  <c r="E182" i="1"/>
  <c r="E165" i="1"/>
  <c r="E175" i="1" s="1"/>
  <c r="E129" i="1"/>
  <c r="E130" i="1"/>
  <c r="E118" i="1"/>
  <c r="E117" i="1"/>
  <c r="E105" i="1"/>
  <c r="E99" i="1"/>
  <c r="E96" i="1"/>
  <c r="E98" i="1"/>
  <c r="E97" i="1"/>
  <c r="E95" i="1"/>
  <c r="E100" i="1"/>
  <c r="E94" i="1"/>
  <c r="E93" i="1"/>
  <c r="E76" i="1"/>
  <c r="E71" i="1"/>
  <c r="E74" i="1"/>
  <c r="E84" i="1"/>
  <c r="E87" i="1"/>
  <c r="E81" i="1"/>
  <c r="E88" i="1"/>
  <c r="E86" i="1"/>
  <c r="E85" i="1"/>
  <c r="E83" i="1"/>
  <c r="E82" i="1"/>
  <c r="E70" i="1"/>
  <c r="E73" i="1"/>
  <c r="E69" i="1"/>
  <c r="E63" i="1"/>
  <c r="E50" i="1"/>
  <c r="E62" i="1"/>
  <c r="E61" i="1"/>
  <c r="E60" i="1"/>
  <c r="E58" i="1"/>
  <c r="E64" i="1"/>
  <c r="E59" i="1"/>
  <c r="E57" i="1"/>
  <c r="E45" i="1"/>
  <c r="E52" i="1"/>
  <c r="E46" i="1"/>
  <c r="E51" i="1"/>
  <c r="E49" i="1"/>
  <c r="E48" i="1"/>
  <c r="E47" i="1"/>
  <c r="E35" i="1"/>
  <c r="E40" i="1"/>
  <c r="E39" i="1"/>
  <c r="E33" i="1"/>
  <c r="E34" i="1"/>
  <c r="E26" i="1"/>
  <c r="E25" i="1"/>
  <c r="E23" i="1"/>
  <c r="E22" i="1"/>
  <c r="E15" i="1"/>
  <c r="E19" i="1"/>
  <c r="E20" i="1"/>
  <c r="E14" i="1"/>
  <c r="S259" i="11"/>
  <c r="S127" i="11"/>
  <c r="S187" i="11"/>
  <c r="S223" i="11"/>
  <c r="S91" i="11"/>
  <c r="S67" i="11"/>
  <c r="BK199" i="10"/>
  <c r="BK67" i="10"/>
  <c r="BK247" i="10"/>
  <c r="BK103" i="10"/>
  <c r="BK151" i="10"/>
  <c r="BK259" i="10"/>
  <c r="BK115" i="10"/>
  <c r="BK175" i="10"/>
  <c r="BK127" i="10"/>
  <c r="AE127" i="9"/>
  <c r="AE259" i="9"/>
  <c r="AE67" i="9"/>
  <c r="AE199" i="9"/>
  <c r="AE103" i="9"/>
  <c r="AE151" i="9"/>
  <c r="AE175" i="9"/>
  <c r="AE223" i="9"/>
  <c r="AE247" i="9"/>
  <c r="AE115" i="9"/>
  <c r="AE187" i="9"/>
  <c r="AE55" i="9"/>
  <c r="AE91" i="9"/>
  <c r="AE139" i="9"/>
  <c r="AE235" i="9"/>
  <c r="AE211" i="9"/>
  <c r="AE79" i="9"/>
  <c r="BK211" i="10"/>
  <c r="BK79" i="10"/>
  <c r="BK223" i="10"/>
  <c r="BK55" i="10"/>
  <c r="BK139" i="10"/>
  <c r="BK187" i="10"/>
  <c r="BK91" i="10"/>
  <c r="BK235" i="10"/>
  <c r="S199" i="11"/>
  <c r="S247" i="11"/>
  <c r="S79" i="11"/>
  <c r="S115" i="11"/>
  <c r="S211" i="11"/>
  <c r="E30" i="11"/>
  <c r="S175" i="11"/>
  <c r="E30" i="10"/>
  <c r="BG30" i="10"/>
  <c r="BJ30" i="10"/>
  <c r="BG262" i="10"/>
  <c r="BG264" i="10" s="1"/>
  <c r="AE21" i="9"/>
  <c r="S21" i="11"/>
  <c r="S24" i="11"/>
  <c r="S28" i="11"/>
  <c r="E262" i="11"/>
  <c r="E264" i="11" s="1"/>
  <c r="S16" i="11"/>
  <c r="S29" i="11"/>
  <c r="S36" i="11"/>
  <c r="S41" i="11"/>
  <c r="S27" i="11"/>
  <c r="S163" i="11"/>
  <c r="BJ262" i="10"/>
  <c r="BJ264" i="10" s="1"/>
  <c r="BI262" i="10"/>
  <c r="BI264" i="10" s="1"/>
  <c r="BK28" i="10"/>
  <c r="BH262" i="10"/>
  <c r="BH264" i="10" s="1"/>
  <c r="BK27" i="10"/>
  <c r="BK29" i="10"/>
  <c r="BK36" i="10"/>
  <c r="BK16" i="10"/>
  <c r="BH30" i="10"/>
  <c r="BK21" i="10"/>
  <c r="BK24" i="10"/>
  <c r="BK41" i="10"/>
  <c r="BI30" i="10"/>
  <c r="E262" i="10"/>
  <c r="AE36" i="9"/>
  <c r="AE29" i="9"/>
  <c r="AE24" i="9"/>
  <c r="AE41" i="9"/>
  <c r="AE27" i="9"/>
  <c r="AE16" i="9"/>
  <c r="E262" i="9"/>
  <c r="AE28" i="9"/>
  <c r="BK163" i="10" l="1"/>
  <c r="E157" i="1"/>
  <c r="E163" i="1" s="1"/>
  <c r="E115" i="1"/>
  <c r="E139" i="1"/>
  <c r="E211" i="1"/>
  <c r="E79" i="1"/>
  <c r="E127" i="1"/>
  <c r="E91" i="1"/>
  <c r="E67" i="1"/>
  <c r="E187" i="1"/>
  <c r="E55" i="1"/>
  <c r="E199" i="1"/>
  <c r="E223" i="1"/>
  <c r="E235" i="1"/>
  <c r="E259" i="1"/>
  <c r="E151" i="1"/>
  <c r="E247" i="1"/>
  <c r="E103" i="1"/>
  <c r="AE163" i="9"/>
  <c r="AE30" i="9"/>
  <c r="S30" i="11"/>
  <c r="S262" i="11"/>
  <c r="S264" i="11"/>
  <c r="BK30" i="10"/>
  <c r="BK262" i="10"/>
  <c r="E264" i="10"/>
  <c r="BK264" i="10" s="1"/>
  <c r="AE262" i="9"/>
  <c r="E264" i="9"/>
  <c r="AE264" i="9" s="1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<sst xmlns="http://schemas.openxmlformats.org/spreadsheetml/2006/main" count="2318" uniqueCount="236">
  <si>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</si>
  <si>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</si>
  <si>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</si>
  <si>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</si>
  <si>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</si>
  <si>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</si>
  <si>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</si>
  <si>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</si>
  <si>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</si>
  <si>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</si>
  <si>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</si>
  <si>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</si>
  <si>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</si>
  <si>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</si>
  <si>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</si>
  <si>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</si>
  <si>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</si>
  <si>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</si>
  <si>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</si>
  <si>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</si>
  <si>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</si>
  <si>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</si>
  <si>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</si>
  <si>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</si>
  <si>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</si>
  <si>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</si>
  <si>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</si>
  <si>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</si>
  <si>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</si>
  <si>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</si>
  <si>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</si>
  <si>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</si>
  <si>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</si>
  <si>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</si>
  <si>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</si>
  <si>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</si>
  <si>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</si>
  <si>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</si>
  <si>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</si>
  <si>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</si>
  <si>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</si>
  <si>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</si>
  <si>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</si>
  <si>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</si>
  <si>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</si>
  <si>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</si>
  <si>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</si>
  <si>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</si>
  <si>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</si>
  <si>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</si>
  <si>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</si>
  <si>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</si>
  <si>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</si>
  <si>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</si>
  <si>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</si>
  <si>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</si>
  <si>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</si>
  <si>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</si>
  <si>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</si>
  <si>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</si>
  <si>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</si>
  <si>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</si>
  <si>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</si>
  <si>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</si>
  <si>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</si>
  <si>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</si>
  <si>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</si>
  <si>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</si>
  <si>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</si>
  <si>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</si>
  <si>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</si>
  <si>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</si>
  <si>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</si>
  <si>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</si>
  <si>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</si>
  <si>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</si>
  <si>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</si>
  <si>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</si>
  <si>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</si>
  <si>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</si>
  <si>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</si>
  <si>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</si>
  <si>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</si>
  <si>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</si>
  <si>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</si>
  <si>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</si>
  <si>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</si>
  <si>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</si>
  <si>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</si>
  <si>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</si>
  <si>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</si>
  <si>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</si>
  <si>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</si>
  <si>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</si>
  <si>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</si>
  <si>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</si>
  <si>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</si>
  <si>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</si>
  <si>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</si>
  <si>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</si>
  <si>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</si>
  <si>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</si>
  <si>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</si>
  <si>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</si>
  <si>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</si>
  <si>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</si>
  <si>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</si>
  <si>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</si>
  <si>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</si>
  <si>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</si>
  <si>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</si>
  <si>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</si>
  <si>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</si>
  <si>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</si>
  <si>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</si>
  <si>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</si>
  <si>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</si>
  <si>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</si>
  <si>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</si>
  <si>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</si>
  <si>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</si>
  <si>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</si>
  <si>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</si>
  <si>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</si>
  <si>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</si>
  <si>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GLENMORE</t>
  </si>
  <si>
    <t>BUMIHARJO</t>
  </si>
  <si>
    <t>KARANGHARJO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</si>
  <si>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</si>
  <si>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</si>
  <si>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</si>
  <si>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</si>
  <si>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</si>
  <si>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</si>
  <si>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</si>
  <si>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</si>
  <si>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</si>
  <si>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</si>
  <si>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</si>
  <si>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</si>
  <si>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</si>
  <si>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MARGOMULYO</t>
  </si>
  <si>
    <t>SEPANJANG</t>
  </si>
  <si>
    <t>SUMBERGONDO</t>
  </si>
  <si>
    <t>TEGALHARJO</t>
  </si>
  <si>
    <t>TULUNGREJO</t>
  </si>
  <si>
    <t>TPS 059</t>
  </si>
  <si>
    <t>1. H. KHUSNAN, S.Ag., M.Pd.I.</t>
  </si>
  <si>
    <t>2. MARA QONITHA LAYLIA</t>
  </si>
  <si>
    <t>3. ZAKI AL MUBAROK, M.Si.</t>
  </si>
  <si>
    <t>4. INAYATUL MAHMUDAH, S.Pd.</t>
  </si>
  <si>
    <t>5. HABIBURRAHMAN AL KHOLILI</t>
  </si>
  <si>
    <t>6. INDIARTI NOVIDA, A.Md.</t>
  </si>
  <si>
    <t>7. RUDI DARMAWAN, S.Pd.I.</t>
  </si>
  <si>
    <t>1. ABDUL GHOFUR</t>
  </si>
  <si>
    <t>2. Drs. MOCHAMMAD RIFA'I, M.Pd.</t>
  </si>
  <si>
    <t>3. SITI BADRIYAH</t>
  </si>
  <si>
    <t>4. FARUQ</t>
  </si>
  <si>
    <t>5. H. HARIYANTO HARI WIJAYA, S.T.</t>
  </si>
  <si>
    <t>6. SRI ASTUTIK</t>
  </si>
  <si>
    <t>7. MUSTOLIH</t>
  </si>
  <si>
    <t>1. FICKY SEPTALINDA, S.E.</t>
  </si>
  <si>
    <t>2. TATANG SUROYO</t>
  </si>
  <si>
    <t>3. SITI JAMI`AH</t>
  </si>
  <si>
    <t>4. ADNAN</t>
  </si>
  <si>
    <t>5. RINA WIJAYANTI</t>
  </si>
  <si>
    <t>6. RIAS DEMILYA</t>
  </si>
  <si>
    <t>7. EKO PRIYONO, S.E.</t>
  </si>
  <si>
    <t>1. RULIYONO, S.H.</t>
  </si>
  <si>
    <t>2. FAHIRA HUMAIROH</t>
  </si>
  <si>
    <t>3. T. AFNANY AKBAR, S.E.</t>
  </si>
  <si>
    <t>4. MUHAMAD SUBUR</t>
  </si>
  <si>
    <t>5. NYOTO PRAYITNO, S.E.</t>
  </si>
  <si>
    <t>6. UMI LIANA EKAYANTI</t>
  </si>
  <si>
    <t>7. TARMUJI</t>
  </si>
  <si>
    <t>1. SUNGKOWO SARWO EDY, S.H.</t>
  </si>
  <si>
    <t>2. GUNAWAN SATRIA PRATAMA</t>
  </si>
  <si>
    <t>3. Hj. ULFA LAILA, S.E.</t>
  </si>
  <si>
    <t>4. H. KURDI ISMAIL, S.H.</t>
  </si>
  <si>
    <t>5. FEBRY PRIMA SANJAYA</t>
  </si>
  <si>
    <t>6. TRI SETYANINGSIH</t>
  </si>
  <si>
    <t>7. ABDUL MUKSIN, S.Sos</t>
  </si>
  <si>
    <t>1. KHOIRUL ANWARI ARIF</t>
  </si>
  <si>
    <t>1. WASIS</t>
  </si>
  <si>
    <t>1. SRI WAHYUNI, S.Si.</t>
  </si>
  <si>
    <t>2. AHMAD FAISAL RIZAL</t>
  </si>
  <si>
    <t>3. SYAIFUL LATIF, S.P.</t>
  </si>
  <si>
    <t>4. WAWAN PRISTIAWAN, S.Pd.</t>
  </si>
  <si>
    <t>5. FONI AGUSTIN, S.E.</t>
  </si>
  <si>
    <t>6. ST. ROFIAH</t>
  </si>
  <si>
    <t>7. SAPTO LASONGKO, S.S.</t>
  </si>
  <si>
    <t>1. Drs. SUGENG HARIYADI, M.M.</t>
  </si>
  <si>
    <t>2. DENI SEPTI RAHAYU</t>
  </si>
  <si>
    <t>1. H. ABDUL ARIFIN, S.E.</t>
  </si>
  <si>
    <t>2. H. HELMI SUHARTONO, S.E.</t>
  </si>
  <si>
    <t>3. SILVI MAULIDA, S.H.</t>
  </si>
  <si>
    <t>4. RIFQI HISYAM</t>
  </si>
  <si>
    <t>5. ISMI LATIFAH</t>
  </si>
  <si>
    <t>6. H. BAYU BIMANTARA</t>
  </si>
  <si>
    <t>7. PUTRI STEVIA GESTIANAN, S.Sos.</t>
  </si>
  <si>
    <t>1. MUKSON FADILAH, S.E.</t>
  </si>
  <si>
    <t>2. ASIB, S.H., M.H.</t>
  </si>
  <si>
    <t>3. KARAMISAPAN PRAMITHA HIDAYAT</t>
  </si>
  <si>
    <t>4. YANU KARYADI, S.Pd.</t>
  </si>
  <si>
    <t>5. IDA WAHYUNI NURLATIFA</t>
  </si>
  <si>
    <t>6. ARIS UMAMI</t>
  </si>
  <si>
    <t>7. DIAN KUMBARA JAYA</t>
  </si>
  <si>
    <t>1. MAULIDIL AKBAR</t>
  </si>
  <si>
    <t>2. MUHAMMAD FURQON</t>
  </si>
  <si>
    <t>3. RISQA AULIA SEPTIANA</t>
  </si>
  <si>
    <t>4. BUDI PURNOMO</t>
  </si>
  <si>
    <t>5. VITA ARIESTINA PUSPARINI</t>
  </si>
  <si>
    <t>6. DEA EVIONES PUSPITA LESTARI</t>
  </si>
  <si>
    <t>7. QURROTA A'YUNIN</t>
  </si>
  <si>
    <t>1. FADHAN NUR ARIFIN, S.M.</t>
  </si>
  <si>
    <t>2. MOHAMMAD TAUFAN</t>
  </si>
  <si>
    <t>3. KANZA FITRIA</t>
  </si>
  <si>
    <t>4. ENGGAR AYUNI</t>
  </si>
  <si>
    <t>5. MOH. MIQDAD BARLAMAN</t>
  </si>
  <si>
    <t>6. NIAROTUL MUHAROMAH</t>
  </si>
  <si>
    <t>7. NUFAN CHARIS BAHARUDDIN</t>
  </si>
  <si>
    <t>1. FIRMAN ABADI</t>
  </si>
  <si>
    <t>2. INDASYAH</t>
  </si>
  <si>
    <t>1. AULIA FANISHA</t>
  </si>
  <si>
    <t>2. ABDUL AZIS</t>
  </si>
  <si>
    <t>3. ALDIYAN GISTORO</t>
  </si>
  <si>
    <t>4. ULIL ABSHAR, S.Pd.I., M.Pd.I.</t>
  </si>
  <si>
    <t>1. MOHAMMAD TANZILUL FURQAN</t>
  </si>
  <si>
    <t>2. SULISTYANI</t>
  </si>
  <si>
    <t>3. MUSLIH</t>
  </si>
  <si>
    <t>4. HASAN BISRI</t>
  </si>
  <si>
    <t>5. SHINTA MARLIANA PASULU</t>
  </si>
  <si>
    <t>6. HARYONO</t>
  </si>
  <si>
    <t>1. IKHSAN WAHYUDI</t>
  </si>
  <si>
    <t>2. SAYEM</t>
  </si>
  <si>
    <t>3. SYAIROFI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</si>
</sst>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0" fillId="4" borderId="0" xfId="0" applyFill="1"/>
    <xf numFmtId="0" fontId="8" fillId="4" borderId="24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19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235" zoomScaleNormal="100" workbookViewId="0">
      <selection activeCell="E267" sqref="E267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98</v>
      </c>
      <c r="D8" s="43" t="s">
        <v>125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7" t="s">
        <v>1</v>
      </c>
      <c r="C12" s="65"/>
      <c r="D12" s="66"/>
      <c r="E12" s="104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2" t="s">
        <v>3</v>
      </c>
      <c r="C13" s="65"/>
      <c r="D13" s="66"/>
      <c r="E13" s="77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73" t="s">
        <v>22</v>
      </c>
      <c r="C14" s="74"/>
      <c r="D14" s="6" t="s">
        <v>23</v>
      </c>
      <c r="E14" s="9">
        <f>BUMIHARJO!AE14+KARANGHARJO!BK14+MARGOMULYO!S14+SEPANJANG!AJ14+SUMBERGONDO!AB14+TEGALHARJO!AP14+TULUNGREJO!BL14</f>
        <v>29418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75"/>
      <c r="C15" s="76"/>
      <c r="D15" s="6" t="s">
        <v>24</v>
      </c>
      <c r="E15" s="9">
        <f>BUMIHARJO!AE15+KARANGHARJO!BK15+MARGOMULYO!S15+SEPANJANG!AJ15+SUMBERGONDO!AB15+TEGALHARJO!AP15+TULUNGREJO!BL15</f>
        <v>30287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77"/>
      <c r="C16" s="78"/>
      <c r="D16" s="5" t="s">
        <v>25</v>
      </c>
      <c r="E16" s="25">
        <f t="shared" ref="E16" si="0">SUM(E14:E15)</f>
        <v>59705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64"/>
      <c r="B17" s="65"/>
      <c r="C17" s="65"/>
      <c r="D17" s="66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72" t="s">
        <v>27</v>
      </c>
      <c r="C18" s="65"/>
      <c r="D18" s="66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79" t="s">
        <v>28</v>
      </c>
      <c r="C19" s="80" t="s">
        <v>29</v>
      </c>
      <c r="D19" s="6" t="s">
        <v>23</v>
      </c>
      <c r="E19" s="9">
        <f>BUMIHARJO!AE19+KARANGHARJO!BK19+MARGOMULYO!S19+SEPANJANG!AJ19+SUMBERGONDO!AB19+TEGALHARJO!AP19+TULUNGREJO!BL19</f>
        <v>21583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76"/>
      <c r="C20" s="81"/>
      <c r="D20" s="6" t="s">
        <v>24</v>
      </c>
      <c r="E20" s="9">
        <f>BUMIHARJO!AE20+KARANGHARJO!BK20+MARGOMULYO!S20+SEPANJANG!AJ20+SUMBERGONDO!AB20+TEGALHARJO!AP20+TULUNGREJO!BL20</f>
        <v>23929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78"/>
      <c r="C21" s="82"/>
      <c r="D21" s="5" t="s">
        <v>25</v>
      </c>
      <c r="E21" s="25">
        <f t="shared" ref="E21" si="1">SUM(E19:E20)</f>
        <v>45512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79" t="s">
        <v>30</v>
      </c>
      <c r="C22" s="80" t="s">
        <v>31</v>
      </c>
      <c r="D22" s="6" t="s">
        <v>23</v>
      </c>
      <c r="E22" s="9">
        <f>BUMIHARJO!AE22+KARANGHARJO!BK22+MARGOMULYO!S22+SEPANJANG!AJ22+SUMBERGONDO!AB22+TEGALHARJO!AP22+TULUNGREJO!BL22</f>
        <v>74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76"/>
      <c r="C23" s="81"/>
      <c r="D23" s="6" t="s">
        <v>24</v>
      </c>
      <c r="E23" s="9">
        <f>BUMIHARJO!AE23+KARANGHARJO!BK23+MARGOMULYO!S23+SEPANJANG!AJ23+SUMBERGONDO!AB23+TEGALHARJO!AP23+TULUNGREJO!BL23</f>
        <v>54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78"/>
      <c r="C24" s="82"/>
      <c r="D24" s="5" t="s">
        <v>25</v>
      </c>
      <c r="E24" s="25">
        <f t="shared" ref="E24" si="2">SUM(E22:E23)</f>
        <v>128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79" t="s">
        <v>32</v>
      </c>
      <c r="C25" s="80" t="s">
        <v>33</v>
      </c>
      <c r="D25" s="6" t="s">
        <v>23</v>
      </c>
      <c r="E25" s="9">
        <f>BUMIHARJO!AE25+KARANGHARJO!BK25+MARGOMULYO!S25+SEPANJANG!AJ25+SUMBERGONDO!AB25+TEGALHARJO!AP25+TULUNGREJO!BL25</f>
        <v>143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76"/>
      <c r="C26" s="81"/>
      <c r="D26" s="6" t="s">
        <v>24</v>
      </c>
      <c r="E26" s="9">
        <f>BUMIHARJO!AE26+KARANGHARJO!BK26+MARGOMULYO!S26+SEPANJANG!AJ26+SUMBERGONDO!AB26+TEGALHARJO!AP26+TULUNGREJO!BL26</f>
        <v>197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78"/>
      <c r="C27" s="82"/>
      <c r="D27" s="5" t="s">
        <v>25</v>
      </c>
      <c r="E27" s="25">
        <f t="shared" ref="E27" si="3">SUM(E25:E26)</f>
        <v>340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83" t="s">
        <v>34</v>
      </c>
      <c r="C28" s="84" t="s">
        <v>35</v>
      </c>
      <c r="D28" s="5" t="s">
        <v>23</v>
      </c>
      <c r="E28" s="25">
        <f t="shared" ref="E28:E29" si="4">E19+E22+E25</f>
        <v>21800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76"/>
      <c r="C29" s="81"/>
      <c r="D29" s="5" t="s">
        <v>24</v>
      </c>
      <c r="E29" s="25">
        <f t="shared" si="4"/>
        <v>24180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78"/>
      <c r="C30" s="82"/>
      <c r="D30" s="5" t="s">
        <v>25</v>
      </c>
      <c r="E30" s="25">
        <f t="shared" ref="E30" si="5">SUM(E28:E29)</f>
        <v>45980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64"/>
      <c r="B31" s="65"/>
      <c r="C31" s="65"/>
      <c r="D31" s="66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67" t="s">
        <v>37</v>
      </c>
      <c r="C32" s="65"/>
      <c r="D32" s="66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2" t="s">
        <v>38</v>
      </c>
      <c r="C33" s="65"/>
      <c r="D33" s="66"/>
      <c r="E33" s="9">
        <f>BUMIHARJO!AE33+KARANGHARJO!BK33+MARGOMULYO!S33+SEPANJANG!AJ33+SUMBERGONDO!AB33+TEGALHARJO!AP33+TULUNGREJO!BL33</f>
        <v>61110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2" t="s">
        <v>39</v>
      </c>
      <c r="C34" s="65"/>
      <c r="D34" s="66"/>
      <c r="E34" s="9">
        <f>BUMIHARJO!AE34+KARANGHARJO!BK34+MARGOMULYO!S34+SEPANJANG!AJ34+SUMBERGONDO!AB34+TEGALHARJO!AP34+TULUNGREJO!BL34</f>
        <v>45980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2" t="s">
        <v>40</v>
      </c>
      <c r="C35" s="65"/>
      <c r="D35" s="66"/>
      <c r="E35" s="9">
        <f>BUMIHARJO!AE35+KARANGHARJO!BK35+MARGOMULYO!S35+SEPANJANG!AJ35+SUMBERGONDO!AB35+TEGALHARJO!AP35+TULUNGREJO!BL35</f>
        <v>83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2" t="s">
        <v>41</v>
      </c>
      <c r="C36" s="65"/>
      <c r="D36" s="66"/>
      <c r="E36" s="25">
        <f t="shared" ref="E36" si="6">E33-(E34+E35)</f>
        <v>15047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64"/>
      <c r="B37" s="65"/>
      <c r="C37" s="65"/>
      <c r="D37" s="65"/>
      <c r="E37" s="65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67" t="s">
        <v>43</v>
      </c>
      <c r="C38" s="65"/>
      <c r="D38" s="66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7" t="s">
        <v>44</v>
      </c>
      <c r="C39" s="74"/>
      <c r="D39" s="6" t="s">
        <v>23</v>
      </c>
      <c r="E39" s="9">
        <f>BUMIHARJO!AE39+KARANGHARJO!BK39+MARGOMULYO!S39+SEPANJANG!AJ39+SUMBERGONDO!AB39+TEGALHARJO!AP39+TULUNGREJO!BL39</f>
        <v>38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8"/>
      <c r="C40" s="76"/>
      <c r="D40" s="6" t="s">
        <v>24</v>
      </c>
      <c r="E40" s="9">
        <f>BUMIHARJO!AE40+KARANGHARJO!BK40+MARGOMULYO!S40+SEPANJANG!AJ40+SUMBERGONDO!AB40+TEGALHARJO!AP40+TULUNGREJO!BL40</f>
        <v>65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9"/>
      <c r="C41" s="78"/>
      <c r="D41" s="5" t="s">
        <v>25</v>
      </c>
      <c r="E41" s="25">
        <f t="shared" ref="E41" si="7">SUM(E39:E40)</f>
        <v>103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90"/>
      <c r="B42" s="89"/>
      <c r="C42" s="89"/>
      <c r="D42" s="78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67" t="s">
        <v>46</v>
      </c>
      <c r="C43" s="65"/>
      <c r="D43" s="66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7" t="s">
        <v>47</v>
      </c>
      <c r="B44" s="91"/>
      <c r="C44" s="91"/>
      <c r="D44" s="74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92" t="s">
        <v>49</v>
      </c>
      <c r="D45" s="66"/>
      <c r="E45" s="9">
        <f>BUMIHARJO!AE45+KARANGHARJO!BK45+MARGOMULYO!S45+SEPANJANG!AJ45+SUMBERGONDO!AB45+TEGALHARJO!AP45+TULUNGREJO!BL45</f>
        <v>933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0"/>
      <c r="C46" s="24" t="s">
        <v>147</v>
      </c>
      <c r="D46" s="51"/>
      <c r="E46" s="9">
        <f>BUMIHARJO!AE46+KARANGHARJO!BK46+MARGOMULYO!S46+SEPANJANG!AJ46+SUMBERGONDO!AB46+TEGALHARJO!AP46+TULUNGREJO!BL46</f>
        <v>830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0"/>
      <c r="C47" s="24" t="s">
        <v>148</v>
      </c>
      <c r="D47" s="51"/>
      <c r="E47" s="9">
        <f>BUMIHARJO!AE47+KARANGHARJO!BK47+MARGOMULYO!S47+SEPANJANG!AJ47+SUMBERGONDO!AB47+TEGALHARJO!AP47+TULUNGREJO!BL47</f>
        <v>1882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0"/>
      <c r="C48" s="24" t="s">
        <v>149</v>
      </c>
      <c r="D48" s="51"/>
      <c r="E48" s="9">
        <f>BUMIHARJO!AE48+KARANGHARJO!BK48+MARGOMULYO!S48+SEPANJANG!AJ48+SUMBERGONDO!AB48+TEGALHARJO!AP48+TULUNGREJO!BL48</f>
        <v>2289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0"/>
      <c r="C49" s="24" t="s">
        <v>150</v>
      </c>
      <c r="D49" s="51"/>
      <c r="E49" s="9">
        <f>BUMIHARJO!AE49+KARANGHARJO!BK49+MARGOMULYO!S49+SEPANJANG!AJ49+SUMBERGONDO!AB49+TEGALHARJO!AP49+TULUNGREJO!BL49</f>
        <v>97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0"/>
      <c r="C50" s="24" t="s">
        <v>151</v>
      </c>
      <c r="D50" s="51"/>
      <c r="E50" s="9">
        <f>BUMIHARJO!AE50+KARANGHARJO!BK50+MARGOMULYO!S50+SEPANJANG!AJ50+SUMBERGONDO!AB50+TEGALHARJO!AP50+TULUNGREJO!BL50</f>
        <v>45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0"/>
      <c r="C51" s="24" t="s">
        <v>152</v>
      </c>
      <c r="D51" s="51"/>
      <c r="E51" s="9">
        <f>BUMIHARJO!AE51+KARANGHARJO!BK51+MARGOMULYO!S51+SEPANJANG!AJ51+SUMBERGONDO!AB51+TEGALHARJO!AP51+TULUNGREJO!BL51</f>
        <v>8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50"/>
      <c r="C52" s="24" t="s">
        <v>153</v>
      </c>
      <c r="D52" s="51"/>
      <c r="E52" s="9">
        <f>BUMIHARJO!AE52+KARANGHARJO!BK52+MARGOMULYO!S52+SEPANJANG!AJ52+SUMBERGONDO!AB52+TEGALHARJO!AP52+TULUNGREJO!BL52</f>
        <v>23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45"/>
      <c r="C53" s="46"/>
      <c r="D53" s="46"/>
      <c r="E53" s="54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45"/>
      <c r="C54" s="46"/>
      <c r="D54" s="46"/>
      <c r="E54" s="54"/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85" t="s">
        <v>51</v>
      </c>
      <c r="C55" s="65"/>
      <c r="D55" s="66"/>
      <c r="E55" s="5">
        <f>SUM(E45:E54)</f>
        <v>6107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90"/>
      <c r="B56" s="89"/>
      <c r="C56" s="89"/>
      <c r="D56" s="89"/>
      <c r="E56" s="89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92" t="s">
        <v>52</v>
      </c>
      <c r="D57" s="66"/>
      <c r="E57" s="9">
        <f>BUMIHARJO!AE57+KARANGHARJO!BK57+MARGOMULYO!S57+SEPANJANG!AJ57+SUMBERGONDO!AB57+TEGALHARJO!AP57+TULUNGREJO!BL57</f>
        <v>1019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0"/>
      <c r="C58" s="24" t="s">
        <v>154</v>
      </c>
      <c r="D58" s="51"/>
      <c r="E58" s="9">
        <f>BUMIHARJO!AE58+KARANGHARJO!BK58+MARGOMULYO!S58+SEPANJANG!AJ58+SUMBERGONDO!AB58+TEGALHARJO!AP58+TULUNGREJO!BL58</f>
        <v>471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0"/>
      <c r="C59" s="24" t="s">
        <v>155</v>
      </c>
      <c r="D59" s="51"/>
      <c r="E59" s="9">
        <f>BUMIHARJO!AE59+KARANGHARJO!BK59+MARGOMULYO!S59+SEPANJANG!AJ59+SUMBERGONDO!AB59+TEGALHARJO!AP59+TULUNGREJO!BL59</f>
        <v>496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0"/>
      <c r="C60" s="24" t="s">
        <v>156</v>
      </c>
      <c r="D60" s="51"/>
      <c r="E60" s="9">
        <f>BUMIHARJO!AE60+KARANGHARJO!BK60+MARGOMULYO!S60+SEPANJANG!AJ60+SUMBERGONDO!AB60+TEGALHARJO!AP60+TULUNGREJO!BL60</f>
        <v>104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0"/>
      <c r="C61" s="24" t="s">
        <v>157</v>
      </c>
      <c r="D61" s="51"/>
      <c r="E61" s="9">
        <f>BUMIHARJO!AE61+KARANGHARJO!BK61+MARGOMULYO!S61+SEPANJANG!AJ61+SUMBERGONDO!AB61+TEGALHARJO!AP61+TULUNGREJO!BL61</f>
        <v>1502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0"/>
      <c r="C62" s="24" t="s">
        <v>158</v>
      </c>
      <c r="D62" s="51"/>
      <c r="E62" s="9">
        <f>BUMIHARJO!AE62+KARANGHARJO!BK62+MARGOMULYO!S62+SEPANJANG!AJ62+SUMBERGONDO!AB62+TEGALHARJO!AP62+TULUNGREJO!BL62</f>
        <v>311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0"/>
      <c r="C63" s="24" t="s">
        <v>159</v>
      </c>
      <c r="D63" s="51"/>
      <c r="E63" s="9">
        <f>BUMIHARJO!AE63+KARANGHARJO!BK63+MARGOMULYO!S63+SEPANJANG!AJ63+SUMBERGONDO!AB63+TEGALHARJO!AP63+TULUNGREJO!BL63</f>
        <v>18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50"/>
      <c r="C64" s="24" t="s">
        <v>160</v>
      </c>
      <c r="D64" s="51"/>
      <c r="E64" s="9">
        <f>BUMIHARJO!AE64+KARANGHARJO!BK64+MARGOMULYO!S64+SEPANJANG!AJ64+SUMBERGONDO!AB64+TEGALHARJO!AP64+TULUNGREJO!BL64</f>
        <v>579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45"/>
      <c r="C65" s="46"/>
      <c r="D65" s="47"/>
      <c r="E65" s="54"/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5"/>
      <c r="C66" s="46"/>
      <c r="D66" s="47"/>
      <c r="E66" s="54"/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85" t="s">
        <v>51</v>
      </c>
      <c r="C67" s="65"/>
      <c r="D67" s="66"/>
      <c r="E67" s="5">
        <f>SUM(E57:E66)</f>
        <v>4500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90"/>
      <c r="B68" s="89"/>
      <c r="C68" s="89"/>
      <c r="D68" s="89"/>
      <c r="E68" s="89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92" t="s">
        <v>53</v>
      </c>
      <c r="D69" s="66"/>
      <c r="E69" s="9">
        <f>BUMIHARJO!AE69+KARANGHARJO!BK69+MARGOMULYO!S69+SEPANJANG!AJ69+SUMBERGONDO!AB69+TEGALHARJO!AP69+TULUNGREJO!BL69</f>
        <v>1020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0"/>
      <c r="C70" s="24" t="s">
        <v>161</v>
      </c>
      <c r="D70" s="51"/>
      <c r="E70" s="9">
        <f>BUMIHARJO!AE70+KARANGHARJO!BK70+MARGOMULYO!S70+SEPANJANG!AJ70+SUMBERGONDO!AB70+TEGALHARJO!AP70+TULUNGREJO!BL70</f>
        <v>4471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0"/>
      <c r="C71" s="24" t="s">
        <v>162</v>
      </c>
      <c r="D71" s="51"/>
      <c r="E71" s="9">
        <f>BUMIHARJO!AE71+KARANGHARJO!BK71+MARGOMULYO!S71+SEPANJANG!AJ71+SUMBERGONDO!AB71+TEGALHARJO!AP71+TULUNGREJO!BL71</f>
        <v>131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0"/>
      <c r="C72" s="24" t="s">
        <v>163</v>
      </c>
      <c r="D72" s="51"/>
      <c r="E72" s="9">
        <f>BUMIHARJO!AE72+KARANGHARJO!BK72+MARGOMULYO!S72+SEPANJANG!AJ72+SUMBERGONDO!AB72+TEGALHARJO!AP72+TULUNGREJO!BL72</f>
        <v>115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0"/>
      <c r="C73" s="24" t="s">
        <v>164</v>
      </c>
      <c r="D73" s="51"/>
      <c r="E73" s="9">
        <f>BUMIHARJO!AE73+KARANGHARJO!BK73+MARGOMULYO!S73+SEPANJANG!AJ73+SUMBERGONDO!AB73+TEGALHARJO!AP73+TULUNGREJO!BL73</f>
        <v>810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0"/>
      <c r="C74" s="24" t="s">
        <v>165</v>
      </c>
      <c r="D74" s="51"/>
      <c r="E74" s="9">
        <f>BUMIHARJO!AE74+KARANGHARJO!BK74+MARGOMULYO!S74+SEPANJANG!AJ74+SUMBERGONDO!AB74+TEGALHARJO!AP74+TULUNGREJO!BL74</f>
        <v>37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0"/>
      <c r="C75" s="24" t="s">
        <v>166</v>
      </c>
      <c r="D75" s="51"/>
      <c r="E75" s="9">
        <f>BUMIHARJO!AE75+KARANGHARJO!BK75+MARGOMULYO!S75+SEPANJANG!AJ75+SUMBERGONDO!AB75+TEGALHARJO!AP75+TULUNGREJO!BL75</f>
        <v>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50"/>
      <c r="C76" s="24" t="s">
        <v>167</v>
      </c>
      <c r="D76" s="51"/>
      <c r="E76" s="9">
        <f>BUMIHARJO!AE76+KARANGHARJO!BK76+MARGOMULYO!S76+SEPANJANG!AJ76+SUMBERGONDO!AB76+TEGALHARJO!AP76+TULUNGREJO!BL76</f>
        <v>28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5"/>
      <c r="C77" s="46"/>
      <c r="D77" s="48"/>
      <c r="E77" s="54"/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5"/>
      <c r="C78" s="46"/>
      <c r="D78" s="48"/>
      <c r="E78" s="54"/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85" t="s">
        <v>51</v>
      </c>
      <c r="C79" s="65"/>
      <c r="D79" s="66"/>
      <c r="E79" s="5">
        <f>SUM(E69:E78)</f>
        <v>6619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90"/>
      <c r="B80" s="89"/>
      <c r="C80" s="89"/>
      <c r="D80" s="89"/>
      <c r="E80" s="89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92" t="s">
        <v>54</v>
      </c>
      <c r="D81" s="66"/>
      <c r="E81" s="9">
        <f>BUMIHARJO!AE81+KARANGHARJO!BK81+MARGOMULYO!S81+SEPANJANG!AJ81+SUMBERGONDO!AB81+TEGALHARJO!AP81+TULUNGREJO!BL81</f>
        <v>1097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0"/>
      <c r="C82" s="24" t="s">
        <v>168</v>
      </c>
      <c r="D82" s="51"/>
      <c r="E82" s="9">
        <f>BUMIHARJO!AE82+KARANGHARJO!BK82+MARGOMULYO!S82+SEPANJANG!AJ82+SUMBERGONDO!AB82+TEGALHARJO!AP82+TULUNGREJO!BL82</f>
        <v>6287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0"/>
      <c r="C83" s="24" t="s">
        <v>169</v>
      </c>
      <c r="D83" s="51"/>
      <c r="E83" s="9">
        <f>BUMIHARJO!AE83+KARANGHARJO!BK83+MARGOMULYO!S83+SEPANJANG!AJ83+SUMBERGONDO!AB83+TEGALHARJO!AP83+TULUNGREJO!BL83</f>
        <v>97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0"/>
      <c r="C84" s="24" t="s">
        <v>170</v>
      </c>
      <c r="D84" s="51"/>
      <c r="E84" s="9">
        <f>BUMIHARJO!AE84+KARANGHARJO!BK84+MARGOMULYO!S84+SEPANJANG!AJ84+SUMBERGONDO!AB84+TEGALHARJO!AP84+TULUNGREJO!BL84</f>
        <v>362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0"/>
      <c r="C85" s="24" t="s">
        <v>171</v>
      </c>
      <c r="D85" s="51"/>
      <c r="E85" s="9">
        <f>BUMIHARJO!AE85+KARANGHARJO!BK85+MARGOMULYO!S85+SEPANJANG!AJ85+SUMBERGONDO!AB85+TEGALHARJO!AP85+TULUNGREJO!BL85</f>
        <v>77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0"/>
      <c r="C86" s="24" t="s">
        <v>172</v>
      </c>
      <c r="D86" s="51"/>
      <c r="E86" s="9">
        <f>BUMIHARJO!AE86+KARANGHARJO!BK86+MARGOMULYO!S86+SEPANJANG!AJ86+SUMBERGONDO!AB86+TEGALHARJO!AP86+TULUNGREJO!BL86</f>
        <v>16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0"/>
      <c r="C87" s="24" t="s">
        <v>173</v>
      </c>
      <c r="D87" s="51"/>
      <c r="E87" s="9">
        <f>BUMIHARJO!AE87+KARANGHARJO!BK87+MARGOMULYO!S87+SEPANJANG!AJ87+SUMBERGONDO!AB87+TEGALHARJO!AP87+TULUNGREJO!BL87</f>
        <v>9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50"/>
      <c r="C88" s="24" t="s">
        <v>174</v>
      </c>
      <c r="D88" s="51"/>
      <c r="E88" s="9">
        <f>BUMIHARJO!AE88+KARANGHARJO!BK88+MARGOMULYO!S88+SEPANJANG!AJ88+SUMBERGONDO!AB88+TEGALHARJO!AP88+TULUNGREJO!BL88</f>
        <v>94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45"/>
      <c r="C89" s="46"/>
      <c r="D89" s="48"/>
      <c r="E89" s="54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45"/>
      <c r="C90" s="46"/>
      <c r="D90" s="48"/>
      <c r="E90" s="54"/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85" t="s">
        <v>51</v>
      </c>
      <c r="C91" s="65"/>
      <c r="D91" s="66"/>
      <c r="E91" s="5">
        <f>SUM(E81:E90)</f>
        <v>8039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90"/>
      <c r="B92" s="89"/>
      <c r="C92" s="89"/>
      <c r="D92" s="89"/>
      <c r="E92" s="89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92" t="s">
        <v>56</v>
      </c>
      <c r="D93" s="66"/>
      <c r="E93" s="9">
        <f>BUMIHARJO!AE93+KARANGHARJO!BK93+MARGOMULYO!S93+SEPANJANG!AJ93+SUMBERGONDO!AB93+TEGALHARJO!AP93+TULUNGREJO!BL93</f>
        <v>209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0"/>
      <c r="C94" s="24" t="s">
        <v>175</v>
      </c>
      <c r="D94" s="51"/>
      <c r="E94" s="9">
        <f>BUMIHARJO!AE94+KARANGHARJO!BK94+MARGOMULYO!S94+SEPANJANG!AJ94+SUMBERGONDO!AB94+TEGALHARJO!AP94+TULUNGREJO!BL94</f>
        <v>159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0"/>
      <c r="C95" s="24" t="s">
        <v>176</v>
      </c>
      <c r="D95" s="51"/>
      <c r="E95" s="9">
        <f>BUMIHARJO!AE95+KARANGHARJO!BK95+MARGOMULYO!S95+SEPANJANG!AJ95+SUMBERGONDO!AB95+TEGALHARJO!AP95+TULUNGREJO!BL95</f>
        <v>565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0"/>
      <c r="C96" s="24" t="s">
        <v>177</v>
      </c>
      <c r="D96" s="51"/>
      <c r="E96" s="9">
        <f>BUMIHARJO!AE96+KARANGHARJO!BK96+MARGOMULYO!S96+SEPANJANG!AJ96+SUMBERGONDO!AB96+TEGALHARJO!AP96+TULUNGREJO!BL96</f>
        <v>34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0"/>
      <c r="C97" s="24" t="s">
        <v>178</v>
      </c>
      <c r="D97" s="51"/>
      <c r="E97" s="9">
        <f>BUMIHARJO!AE97+KARANGHARJO!BK97+MARGOMULYO!S97+SEPANJANG!AJ97+SUMBERGONDO!AB97+TEGALHARJO!AP97+TULUNGREJO!BL97</f>
        <v>1723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0"/>
      <c r="C98" s="24" t="s">
        <v>179</v>
      </c>
      <c r="D98" s="51"/>
      <c r="E98" s="9">
        <f>BUMIHARJO!AE98+KARANGHARJO!BK98+MARGOMULYO!S98+SEPANJANG!AJ98+SUMBERGONDO!AB98+TEGALHARJO!AP98+TULUNGREJO!BL98</f>
        <v>98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0"/>
      <c r="C99" s="24" t="s">
        <v>180</v>
      </c>
      <c r="D99" s="51"/>
      <c r="E99" s="9">
        <f>BUMIHARJO!AE99+KARANGHARJO!BK99+MARGOMULYO!S99+SEPANJANG!AJ99+SUMBERGONDO!AB99+TEGALHARJO!AP99+TULUNGREJO!BL99</f>
        <v>73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50"/>
      <c r="C100" s="24" t="s">
        <v>181</v>
      </c>
      <c r="D100" s="51"/>
      <c r="E100" s="9">
        <f>BUMIHARJO!AE100+KARANGHARJO!BK100+MARGOMULYO!S100+SEPANJANG!AJ100+SUMBERGONDO!AB100+TEGALHARJO!AP100+TULUNGREJO!BL100</f>
        <v>1249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45"/>
      <c r="C101" s="46"/>
      <c r="D101" s="48"/>
      <c r="E101" s="54"/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5"/>
      <c r="C102" s="46"/>
      <c r="D102" s="48"/>
      <c r="E102" s="54"/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85" t="s">
        <v>51</v>
      </c>
      <c r="C103" s="65"/>
      <c r="D103" s="66"/>
      <c r="E103" s="5">
        <f>SUM(E93:E102)</f>
        <v>4110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90"/>
      <c r="B104" s="89"/>
      <c r="C104" s="89"/>
      <c r="D104" s="89"/>
      <c r="E104" s="89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92" t="s">
        <v>58</v>
      </c>
      <c r="D105" s="66"/>
      <c r="E105" s="9">
        <f>BUMIHARJO!AE105+KARANGHARJO!BK105+MARGOMULYO!S105+SEPANJANG!AJ105+SUMBERGONDO!AB105+TEGALHARJO!AP105+TULUNGREJO!BL105</f>
        <v>35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50"/>
      <c r="C106" s="24" t="s">
        <v>182</v>
      </c>
      <c r="D106" s="49"/>
      <c r="E106" s="9">
        <f>BUMIHARJO!AE106+KARANGHARJO!BK106+MARGOMULYO!S106+SEPANJANG!AJ106+SUMBERGONDO!AB106+TEGALHARJO!AP106+TULUNGREJO!BL106</f>
        <v>26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45"/>
      <c r="C107" s="46"/>
      <c r="D107" s="48"/>
      <c r="E107" s="54"/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85" t="s">
        <v>51</v>
      </c>
      <c r="C115" s="93"/>
      <c r="D115" s="94"/>
      <c r="E115" s="5">
        <f>SUM(E105:E114)</f>
        <v>61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64"/>
      <c r="B116" s="86"/>
      <c r="C116" s="86"/>
      <c r="D116" s="86"/>
      <c r="E116" s="95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92" t="s">
        <v>60</v>
      </c>
      <c r="D117" s="66"/>
      <c r="E117" s="9">
        <f>BUMIHARJO!AE117+KARANGHARJO!BK117+MARGOMULYO!S117+SEPANJANG!AJ117+SUMBERGONDO!AB117+TEGALHARJO!AP117+TULUNGREJO!BL117</f>
        <v>212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0"/>
      <c r="C118" s="24" t="s">
        <v>183</v>
      </c>
      <c r="D118" s="51"/>
      <c r="E118" s="9">
        <f>BUMIHARJO!AE118+KARANGHARJO!BK118+MARGOMULYO!S118+SEPANJANG!AJ118+SUMBERGONDO!AB118+TEGALHARJO!AP118+TULUNGREJO!BL118</f>
        <v>25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45"/>
      <c r="C119" s="46"/>
      <c r="D119" s="47"/>
      <c r="E119" s="54"/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45"/>
      <c r="C120" s="46"/>
      <c r="D120" s="47"/>
      <c r="E120" s="54"/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45"/>
      <c r="C121" s="46"/>
      <c r="D121" s="47"/>
      <c r="E121" s="54"/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45"/>
      <c r="C122" s="46"/>
      <c r="D122" s="48"/>
      <c r="E122" s="54"/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85" t="s">
        <v>51</v>
      </c>
      <c r="C127" s="93"/>
      <c r="D127" s="94"/>
      <c r="E127" s="5">
        <f>SUM(E117:E126)</f>
        <v>237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4"/>
      <c r="B128" s="86"/>
      <c r="C128" s="86"/>
      <c r="D128" s="86"/>
      <c r="E128" s="95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92" t="s">
        <v>62</v>
      </c>
      <c r="D129" s="66"/>
      <c r="E129" s="9">
        <f>BUMIHARJO!AE129+KARANGHARJO!BK129+MARGOMULYO!S129+SEPANJANG!AJ129+SUMBERGONDO!AB129+TEGALHARJO!AP129+TULUNGREJO!BL129</f>
        <v>195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0"/>
      <c r="C130" s="24" t="s">
        <v>184</v>
      </c>
      <c r="D130" s="51"/>
      <c r="E130" s="9">
        <f>BUMIHARJO!AE130+KARANGHARJO!BK130+MARGOMULYO!S130+SEPANJANG!AJ130+SUMBERGONDO!AB130+TEGALHARJO!AP130+TULUNGREJO!BL130</f>
        <v>1390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0"/>
      <c r="C131" s="24" t="s">
        <v>185</v>
      </c>
      <c r="D131" s="51"/>
      <c r="E131" s="9">
        <f>BUMIHARJO!AE131+KARANGHARJO!BK131+MARGOMULYO!S131+SEPANJANG!AJ131+SUMBERGONDO!AB131+TEGALHARJO!AP131+TULUNGREJO!BL131</f>
        <v>25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0"/>
      <c r="C132" s="24" t="s">
        <v>186</v>
      </c>
      <c r="D132" s="51"/>
      <c r="E132" s="9">
        <f>BUMIHARJO!AE132+KARANGHARJO!BK132+MARGOMULYO!S132+SEPANJANG!AJ132+SUMBERGONDO!AB132+TEGALHARJO!AP132+TULUNGREJO!BL132</f>
        <v>48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0"/>
      <c r="C133" s="24" t="s">
        <v>187</v>
      </c>
      <c r="D133" s="51"/>
      <c r="E133" s="9">
        <f>BUMIHARJO!AE133+KARANGHARJO!BK133+MARGOMULYO!S133+SEPANJANG!AJ133+SUMBERGONDO!AB133+TEGALHARJO!AP133+TULUNGREJO!BL133</f>
        <v>12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0"/>
      <c r="C134" s="24" t="s">
        <v>188</v>
      </c>
      <c r="D134" s="51"/>
      <c r="E134" s="9">
        <f>BUMIHARJO!AE134+KARANGHARJO!BK134+MARGOMULYO!S134+SEPANJANG!AJ134+SUMBERGONDO!AB134+TEGALHARJO!AP134+TULUNGREJO!BL134</f>
        <v>4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0"/>
      <c r="C135" s="24" t="s">
        <v>189</v>
      </c>
      <c r="D135" s="51"/>
      <c r="E135" s="9">
        <f>BUMIHARJO!AE135+KARANGHARJO!BK135+MARGOMULYO!S135+SEPANJANG!AJ135+SUMBERGONDO!AB135+TEGALHARJO!AP135+TULUNGREJO!BL135</f>
        <v>12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50"/>
      <c r="C136" s="24" t="s">
        <v>190</v>
      </c>
      <c r="D136" s="51"/>
      <c r="E136" s="9">
        <f>BUMIHARJO!AE136+KARANGHARJO!BK136+MARGOMULYO!S136+SEPANJANG!AJ136+SUMBERGONDO!AB136+TEGALHARJO!AP136+TULUNGREJO!BL136</f>
        <v>7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45"/>
      <c r="C137" s="46"/>
      <c r="D137" s="47"/>
      <c r="E137" s="54"/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45"/>
      <c r="C138" s="46"/>
      <c r="D138" s="47"/>
      <c r="E138" s="54"/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85" t="s">
        <v>51</v>
      </c>
      <c r="C139" s="93"/>
      <c r="D139" s="94"/>
      <c r="E139" s="5">
        <f>SUM(E129:E138)</f>
        <v>1693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64"/>
      <c r="B140" s="86"/>
      <c r="C140" s="86"/>
      <c r="D140" s="86"/>
      <c r="E140" s="95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92" t="s">
        <v>64</v>
      </c>
      <c r="D141" s="66"/>
      <c r="E141" s="9">
        <f>BUMIHARJO!AE141+KARANGHARJO!BK141+MARGOMULYO!S141+SEPANJANG!AJ141+SUMBERGONDO!AB141+TEGALHARJO!AP141+TULUNGREJO!BL141</f>
        <v>7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17"/>
      <c r="C142" s="24" t="s">
        <v>191</v>
      </c>
      <c r="D142" s="49"/>
      <c r="E142" s="9">
        <f>BUMIHARJO!AE142+KARANGHARJO!BK142+MARGOMULYO!S142+SEPANJANG!AJ142+SUMBERGONDO!AB142+TEGALHARJO!AP142+TULUNGREJO!BL142</f>
        <v>13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17"/>
      <c r="C143" s="24" t="s">
        <v>192</v>
      </c>
      <c r="D143" s="49"/>
      <c r="E143" s="9">
        <f>BUMIHARJO!AE143+KARANGHARJO!BK143+MARGOMULYO!S143+SEPANJANG!AJ143+SUMBERGONDO!AB143+TEGALHARJO!AP143+TULUNGREJO!BL143</f>
        <v>2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45"/>
      <c r="C144" s="46"/>
      <c r="D144" s="48"/>
      <c r="E144" s="54"/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85" t="s">
        <v>51</v>
      </c>
      <c r="C151" s="93"/>
      <c r="D151" s="94"/>
      <c r="E151" s="5">
        <f>SUM(E141:E150)</f>
        <v>22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64"/>
      <c r="B152" s="86"/>
      <c r="C152" s="86"/>
      <c r="D152" s="86"/>
      <c r="E152" s="95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96" t="s">
        <v>66</v>
      </c>
      <c r="D153" s="74"/>
      <c r="E153" s="9">
        <f>BUMIHARJO!AE153+KARANGHARJO!BK153+MARGOMULYO!S153+SEPANJANG!AJ153+SUMBERGONDO!AB153+TEGALHARJO!AP153+TULUNGREJO!BL153</f>
        <v>50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2" t="s">
        <v>50</v>
      </c>
      <c r="B154" s="50"/>
      <c r="C154" s="24" t="s">
        <v>193</v>
      </c>
      <c r="D154" s="51"/>
      <c r="E154" s="9">
        <f>BUMIHARJO!AE154+KARANGHARJO!BK154+MARGOMULYO!S154+SEPANJANG!AJ154+SUMBERGONDO!AB154+TEGALHARJO!AP154+TULUNGREJO!BL154</f>
        <v>39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0"/>
      <c r="C155" s="24" t="s">
        <v>194</v>
      </c>
      <c r="D155" s="51"/>
      <c r="E155" s="9">
        <f>BUMIHARJO!AE155+KARANGHARJO!BK155+MARGOMULYO!S155+SEPANJANG!AJ155+SUMBERGONDO!AB155+TEGALHARJO!AP155+TULUNGREJO!BL155</f>
        <v>638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0"/>
      <c r="C156" s="24" t="s">
        <v>195</v>
      </c>
      <c r="D156" s="51"/>
      <c r="E156" s="9">
        <f>BUMIHARJO!AE156+KARANGHARJO!BK156+MARGOMULYO!S156+SEPANJANG!AJ156+SUMBERGONDO!AB156+TEGALHARJO!AP156+TULUNGREJO!BL156</f>
        <v>14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0"/>
      <c r="C157" s="24" t="s">
        <v>196</v>
      </c>
      <c r="D157" s="51"/>
      <c r="E157" s="9">
        <f>BUMIHARJO!AE157+KARANGHARJO!BK157+MARGOMULYO!S157+SEPANJANG!AJ157+SUMBERGONDO!AB157+TEGALHARJO!AP157+TULUNGREJO!BL157</f>
        <v>23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0"/>
      <c r="C158" s="24" t="s">
        <v>197</v>
      </c>
      <c r="D158" s="51"/>
      <c r="E158" s="9">
        <f>BUMIHARJO!AE158+KARANGHARJO!BK158+MARGOMULYO!S158+SEPANJANG!AJ158+SUMBERGONDO!AB158+TEGALHARJO!AP158+TULUNGREJO!BL158</f>
        <v>2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0"/>
      <c r="C159" s="24" t="s">
        <v>198</v>
      </c>
      <c r="D159" s="51"/>
      <c r="E159" s="9">
        <f>BUMIHARJO!AE159+KARANGHARJO!BK159+MARGOMULYO!S159+SEPANJANG!AJ159+SUMBERGONDO!AB159+TEGALHARJO!AP159+TULUNGREJO!BL159</f>
        <v>3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50"/>
      <c r="C160" s="24" t="s">
        <v>199</v>
      </c>
      <c r="D160" s="51"/>
      <c r="E160" s="9">
        <f>BUMIHARJO!AE160+KARANGHARJO!BK160+MARGOMULYO!S160+SEPANJANG!AJ160+SUMBERGONDO!AB160+TEGALHARJO!AP160+TULUNGREJO!BL160</f>
        <v>781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97" t="s">
        <v>51</v>
      </c>
      <c r="C163" s="98"/>
      <c r="D163" s="99"/>
      <c r="E163" s="5">
        <f>SUM(E153:E162)</f>
        <v>1550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64"/>
      <c r="B164" s="86"/>
      <c r="C164" s="86"/>
      <c r="D164" s="86"/>
      <c r="E164" s="95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92" t="s">
        <v>68</v>
      </c>
      <c r="D165" s="66"/>
      <c r="E165" s="9">
        <f>BUMIHARJO!AE165+KARANGHARJO!BK165+MARGOMULYO!S165+SEPANJANG!AJ165+SUMBERGONDO!AB165+TEGALHARJO!AP165+TULUNGREJO!BL165</f>
        <v>35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45"/>
      <c r="C166" s="46"/>
      <c r="D166" s="48"/>
      <c r="E166" s="54"/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85" t="s">
        <v>51</v>
      </c>
      <c r="C175" s="93"/>
      <c r="D175" s="94"/>
      <c r="E175" s="5">
        <f>SUM(E165:E174)</f>
        <v>35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64"/>
      <c r="B176" s="86"/>
      <c r="C176" s="86"/>
      <c r="D176" s="86"/>
      <c r="E176" s="95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92" t="s">
        <v>70</v>
      </c>
      <c r="D177" s="66"/>
      <c r="E177" s="9">
        <f>BUMIHARJO!AE177+KARANGHARJO!BK177+MARGOMULYO!S177+SEPANJANG!AJ177+SUMBERGONDO!AB177+TEGALHARJO!AP177+TULUNGREJO!BL177</f>
        <v>66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0"/>
      <c r="C178" s="24" t="s">
        <v>200</v>
      </c>
      <c r="D178" s="51"/>
      <c r="E178" s="9">
        <f>BUMIHARJO!AE178+KARANGHARJO!BK178+MARGOMULYO!S178+SEPANJANG!AJ178+SUMBERGONDO!AB178+TEGALHARJO!AP178+TULUNGREJO!BL178</f>
        <v>51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0"/>
      <c r="C179" s="24" t="s">
        <v>201</v>
      </c>
      <c r="D179" s="51"/>
      <c r="E179" s="9">
        <f>BUMIHARJO!AE179+KARANGHARJO!BK179+MARGOMULYO!S179+SEPANJANG!AJ179+SUMBERGONDO!AB179+TEGALHARJO!AP179+TULUNGREJO!BL179</f>
        <v>12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0"/>
      <c r="C180" s="24" t="s">
        <v>202</v>
      </c>
      <c r="D180" s="51"/>
      <c r="E180" s="9">
        <f>BUMIHARJO!AE180+KARANGHARJO!BK180+MARGOMULYO!S180+SEPANJANG!AJ180+SUMBERGONDO!AB180+TEGALHARJO!AP180+TULUNGREJO!BL180</f>
        <v>115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0"/>
      <c r="C181" s="24" t="s">
        <v>203</v>
      </c>
      <c r="D181" s="51"/>
      <c r="E181" s="9">
        <f>BUMIHARJO!AE181+KARANGHARJO!BK181+MARGOMULYO!S181+SEPANJANG!AJ181+SUMBERGONDO!AB181+TEGALHARJO!AP181+TULUNGREJO!BL181</f>
        <v>36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0"/>
      <c r="C182" s="24" t="s">
        <v>204</v>
      </c>
      <c r="D182" s="51"/>
      <c r="E182" s="9">
        <f>BUMIHARJO!AE182+KARANGHARJO!BK182+MARGOMULYO!S182+SEPANJANG!AJ182+SUMBERGONDO!AB182+TEGALHARJO!AP182+TULUNGREJO!BL182</f>
        <v>17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0"/>
      <c r="C183" s="24" t="s">
        <v>205</v>
      </c>
      <c r="D183" s="51"/>
      <c r="E183" s="9">
        <f>BUMIHARJO!AE183+KARANGHARJO!BK183+MARGOMULYO!S183+SEPANJANG!AJ183+SUMBERGONDO!AB183+TEGALHARJO!AP183+TULUNGREJO!BL183</f>
        <v>1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50"/>
      <c r="C184" s="24" t="s">
        <v>206</v>
      </c>
      <c r="D184" s="51"/>
      <c r="E184" s="9">
        <f>BUMIHARJO!AE184+KARANGHARJO!BK184+MARGOMULYO!S184+SEPANJANG!AJ184+SUMBERGONDO!AB184+TEGALHARJO!AP184+TULUNGREJO!BL184</f>
        <v>174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45"/>
      <c r="C185" s="46"/>
      <c r="D185" s="48"/>
      <c r="E185" s="54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45"/>
      <c r="C186" s="46"/>
      <c r="D186" s="48"/>
      <c r="E186" s="54"/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85" t="s">
        <v>51</v>
      </c>
      <c r="C187" s="93"/>
      <c r="D187" s="94"/>
      <c r="E187" s="5">
        <f>SUM(E177:E186)</f>
        <v>472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64"/>
      <c r="B188" s="86"/>
      <c r="C188" s="86"/>
      <c r="D188" s="86"/>
      <c r="E188" s="95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92" t="s">
        <v>72</v>
      </c>
      <c r="D189" s="66"/>
      <c r="E189" s="9">
        <f>BUMIHARJO!AE189+KARANGHARJO!BK189+MARGOMULYO!S189+SEPANJANG!AJ189+SUMBERGONDO!AB189+TEGALHARJO!AP189+TULUNGREJO!BL189</f>
        <v>12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0"/>
      <c r="C190" s="24" t="s">
        <v>207</v>
      </c>
      <c r="D190" s="51"/>
      <c r="E190" s="9">
        <f>BUMIHARJO!AE190+KARANGHARJO!BK190+MARGOMULYO!S190+SEPANJANG!AJ190+SUMBERGONDO!AB190+TEGALHARJO!AP190+TULUNGREJO!BL190</f>
        <v>21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0"/>
      <c r="C191" s="24" t="s">
        <v>208</v>
      </c>
      <c r="D191" s="51"/>
      <c r="E191" s="9">
        <f>BUMIHARJO!AE191+KARANGHARJO!BK191+MARGOMULYO!S191+SEPANJANG!AJ191+SUMBERGONDO!AB191+TEGALHARJO!AP191+TULUNGREJO!BL191</f>
        <v>18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0"/>
      <c r="C192" s="24" t="s">
        <v>209</v>
      </c>
      <c r="D192" s="51"/>
      <c r="E192" s="9">
        <f>BUMIHARJO!AE192+KARANGHARJO!BK192+MARGOMULYO!S192+SEPANJANG!AJ192+SUMBERGONDO!AB192+TEGALHARJO!AP192+TULUNGREJO!BL192</f>
        <v>3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0"/>
      <c r="C193" s="24" t="s">
        <v>210</v>
      </c>
      <c r="D193" s="51"/>
      <c r="E193" s="9">
        <f>BUMIHARJO!AE193+KARANGHARJO!BK193+MARGOMULYO!S193+SEPANJANG!AJ193+SUMBERGONDO!AB193+TEGALHARJO!AP193+TULUNGREJO!BL193</f>
        <v>2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0"/>
      <c r="C194" s="24" t="s">
        <v>211</v>
      </c>
      <c r="D194" s="51"/>
      <c r="E194" s="9">
        <f>BUMIHARJO!AE194+KARANGHARJO!BK194+MARGOMULYO!S194+SEPANJANG!AJ194+SUMBERGONDO!AB194+TEGALHARJO!AP194+TULUNGREJO!BL194</f>
        <v>3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50"/>
      <c r="C195" s="24" t="s">
        <v>212</v>
      </c>
      <c r="D195" s="51"/>
      <c r="E195" s="9">
        <f>BUMIHARJO!AE195+KARANGHARJO!BK195+MARGOMULYO!S195+SEPANJANG!AJ195+SUMBERGONDO!AB195+TEGALHARJO!AP195+TULUNGREJO!BL195</f>
        <v>3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50"/>
      <c r="C196" s="24" t="s">
        <v>213</v>
      </c>
      <c r="D196" s="51"/>
      <c r="E196" s="9">
        <f>BUMIHARJO!AE196+KARANGHARJO!BK196+MARGOMULYO!S196+SEPANJANG!AJ196+SUMBERGONDO!AB196+TEGALHARJO!AP196+TULUNGREJO!BL196</f>
        <v>2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45"/>
      <c r="C197" s="46"/>
      <c r="D197" s="48"/>
      <c r="E197" s="54"/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45"/>
      <c r="C198" s="46"/>
      <c r="D198" s="48"/>
      <c r="E198" s="54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85" t="s">
        <v>51</v>
      </c>
      <c r="C199" s="93"/>
      <c r="D199" s="94"/>
      <c r="E199" s="5">
        <f>SUM(E189:E198)</f>
        <v>64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64"/>
      <c r="B200" s="86"/>
      <c r="C200" s="86"/>
      <c r="D200" s="86"/>
      <c r="E200" s="95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92" t="s">
        <v>74</v>
      </c>
      <c r="D201" s="66"/>
      <c r="E201" s="9">
        <f>BUMIHARJO!AE201+KARANGHARJO!BK201+MARGOMULYO!S201+SEPANJANG!AJ201+SUMBERGONDO!AB201+TEGALHARJO!AP201+TULUNGREJO!BL201</f>
        <v>721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0"/>
      <c r="C202" s="24" t="s">
        <v>214</v>
      </c>
      <c r="D202" s="51"/>
      <c r="E202" s="9">
        <f>BUMIHARJO!AE202+KARANGHARJO!BK202+MARGOMULYO!S202+SEPANJANG!AJ202+SUMBERGONDO!AB202+TEGALHARJO!AP202+TULUNGREJO!BL202</f>
        <v>6229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0"/>
      <c r="C203" s="24" t="s">
        <v>215</v>
      </c>
      <c r="D203" s="51"/>
      <c r="E203" s="9">
        <f>BUMIHARJO!AE203+KARANGHARJO!BK203+MARGOMULYO!S203+SEPANJANG!AJ203+SUMBERGONDO!AB203+TEGALHARJO!AP203+TULUNGREJO!BL203</f>
        <v>154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0"/>
      <c r="C204" s="24" t="s">
        <v>216</v>
      </c>
      <c r="D204" s="51"/>
      <c r="E204" s="9">
        <f>BUMIHARJO!AE204+KARANGHARJO!BK204+MARGOMULYO!S204+SEPANJANG!AJ204+SUMBERGONDO!AB204+TEGALHARJO!AP204+TULUNGREJO!BL204</f>
        <v>34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0"/>
      <c r="C205" s="24" t="s">
        <v>217</v>
      </c>
      <c r="D205" s="51"/>
      <c r="E205" s="9">
        <f>BUMIHARJO!AE205+KARANGHARJO!BK205+MARGOMULYO!S205+SEPANJANG!AJ205+SUMBERGONDO!AB205+TEGALHARJO!AP205+TULUNGREJO!BL205</f>
        <v>27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0"/>
      <c r="C206" s="24" t="s">
        <v>218</v>
      </c>
      <c r="D206" s="51"/>
      <c r="E206" s="9">
        <f>BUMIHARJO!AE206+KARANGHARJO!BK206+MARGOMULYO!S206+SEPANJANG!AJ206+SUMBERGONDO!AB206+TEGALHARJO!AP206+TULUNGREJO!BL206</f>
        <v>130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0"/>
      <c r="C207" s="24" t="s">
        <v>219</v>
      </c>
      <c r="D207" s="51"/>
      <c r="E207" s="9">
        <f>BUMIHARJO!AE207+KARANGHARJO!BK207+MARGOMULYO!S207+SEPANJANG!AJ207+SUMBERGONDO!AB207+TEGALHARJO!AP207+TULUNGREJO!BL207</f>
        <v>10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50"/>
      <c r="C208" s="24" t="s">
        <v>220</v>
      </c>
      <c r="D208" s="51"/>
      <c r="E208" s="9">
        <f>BUMIHARJO!AE208+KARANGHARJO!BK208+MARGOMULYO!S208+SEPANJANG!AJ208+SUMBERGONDO!AB208+TEGALHARJO!AP208+TULUNGREJO!BL208</f>
        <v>266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45"/>
      <c r="C209" s="46"/>
      <c r="D209" s="48"/>
      <c r="E209" s="54"/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45"/>
      <c r="C210" s="46"/>
      <c r="D210" s="48"/>
      <c r="E210" s="54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85" t="s">
        <v>51</v>
      </c>
      <c r="C211" s="93"/>
      <c r="D211" s="94"/>
      <c r="E211" s="5">
        <f>SUM(E201:E210)</f>
        <v>7571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64"/>
      <c r="B212" s="86"/>
      <c r="C212" s="86"/>
      <c r="D212" s="86"/>
      <c r="E212" s="95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92" t="s">
        <v>76</v>
      </c>
      <c r="D213" s="66"/>
      <c r="E213" s="9">
        <f>BUMIHARJO!AE213+KARANGHARJO!BK213+MARGOMULYO!S213+SEPANJANG!AJ213+SUMBERGONDO!AB213+TEGALHARJO!AP213+TULUNGREJO!BL213</f>
        <v>90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0"/>
      <c r="C214" s="24" t="s">
        <v>221</v>
      </c>
      <c r="D214" s="51"/>
      <c r="E214" s="9">
        <f>BUMIHARJO!AE214+KARANGHARJO!BK214+MARGOMULYO!S214+SEPANJANG!AJ214+SUMBERGONDO!AB214+TEGALHARJO!AP214+TULUNGREJO!BL214</f>
        <v>83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0"/>
      <c r="C215" s="24" t="s">
        <v>222</v>
      </c>
      <c r="D215" s="51"/>
      <c r="E215" s="9">
        <f>BUMIHARJO!AE215+KARANGHARJO!BK215+MARGOMULYO!S215+SEPANJANG!AJ215+SUMBERGONDO!AB215+TEGALHARJO!AP215+TULUNGREJO!BL215</f>
        <v>18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45"/>
      <c r="C216" s="61"/>
      <c r="D216" s="61"/>
      <c r="E216" s="54"/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85" t="s">
        <v>51</v>
      </c>
      <c r="C223" s="93"/>
      <c r="D223" s="94"/>
      <c r="E223" s="5">
        <f>SUM(E213:E222)</f>
        <v>191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64"/>
      <c r="B224" s="86"/>
      <c r="C224" s="86"/>
      <c r="D224" s="86"/>
      <c r="E224" s="95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92" t="s">
        <v>78</v>
      </c>
      <c r="D225" s="66"/>
      <c r="E225" s="9">
        <f>BUMIHARJO!AE225+KARANGHARJO!BK225+MARGOMULYO!S225+SEPANJANG!AJ225+SUMBERGONDO!AB225+TEGALHARJO!AP225+TULUNGREJO!BL225</f>
        <v>42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17"/>
      <c r="C226" s="24" t="s">
        <v>223</v>
      </c>
      <c r="D226" s="49"/>
      <c r="E226" s="9">
        <f>BUMIHARJO!AE226+KARANGHARJO!BK226+MARGOMULYO!S226+SEPANJANG!AJ226+SUMBERGONDO!AB226+TEGALHARJO!AP226+TULUNGREJO!BL226</f>
        <v>199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17"/>
      <c r="C227" s="24" t="s">
        <v>224</v>
      </c>
      <c r="D227" s="49"/>
      <c r="E227" s="9">
        <f>BUMIHARJO!AE227+KARANGHARJO!BK227+MARGOMULYO!S227+SEPANJANG!AJ227+SUMBERGONDO!AB227+TEGALHARJO!AP227+TULUNGREJO!BL227</f>
        <v>19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17"/>
      <c r="C228" s="24" t="s">
        <v>225</v>
      </c>
      <c r="D228" s="49"/>
      <c r="E228" s="9">
        <f>BUMIHARJO!AE228+KARANGHARJO!BK228+MARGOMULYO!S228+SEPANJANG!AJ228+SUMBERGONDO!AB228+TEGALHARJO!AP228+TULUNGREJO!BL228</f>
        <v>4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50"/>
      <c r="C229" s="24" t="s">
        <v>226</v>
      </c>
      <c r="D229" s="51"/>
      <c r="E229" s="9">
        <f>BUMIHARJO!AE229+KARANGHARJO!BK229+MARGOMULYO!S229+SEPANJANG!AJ229+SUMBERGONDO!AB229+TEGALHARJO!AP229+TULUNGREJO!BL229</f>
        <v>2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85" t="s">
        <v>51</v>
      </c>
      <c r="C235" s="93"/>
      <c r="D235" s="94"/>
      <c r="E235" s="5">
        <f>SUM(E225:E234)</f>
        <v>266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64"/>
      <c r="B236" s="86"/>
      <c r="C236" s="86"/>
      <c r="D236" s="86"/>
      <c r="E236" s="95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92" t="s">
        <v>80</v>
      </c>
      <c r="D237" s="66"/>
      <c r="E237" s="9">
        <f>BUMIHARJO!AE237+KARANGHARJO!BK237+MARGOMULYO!S237+SEPANJANG!AJ237+SUMBERGONDO!AB237+TEGALHARJO!AP237+TULUNGREJO!BL237</f>
        <v>269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0"/>
      <c r="C238" s="24" t="s">
        <v>227</v>
      </c>
      <c r="D238" s="51"/>
      <c r="E238" s="9">
        <f>BUMIHARJO!AE238+KARANGHARJO!BK238+MARGOMULYO!S238+SEPANJANG!AJ238+SUMBERGONDO!AB238+TEGALHARJO!AP238+TULUNGREJO!BL238</f>
        <v>1606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0"/>
      <c r="C239" s="24" t="s">
        <v>228</v>
      </c>
      <c r="D239" s="51"/>
      <c r="E239" s="9">
        <f>BUMIHARJO!AE239+KARANGHARJO!BK239+MARGOMULYO!S239+SEPANJANG!AJ239+SUMBERGONDO!AB239+TEGALHARJO!AP239+TULUNGREJO!BL239</f>
        <v>47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0"/>
      <c r="C240" s="24" t="s">
        <v>229</v>
      </c>
      <c r="D240" s="51"/>
      <c r="E240" s="9">
        <f>BUMIHARJO!AE240+KARANGHARJO!BK240+MARGOMULYO!S240+SEPANJANG!AJ240+SUMBERGONDO!AB240+TEGALHARJO!AP240+TULUNGREJO!BL240</f>
        <v>20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0"/>
      <c r="C241" s="24" t="s">
        <v>230</v>
      </c>
      <c r="D241" s="51"/>
      <c r="E241" s="9">
        <f>BUMIHARJO!AE241+KARANGHARJO!BK241+MARGOMULYO!S241+SEPANJANG!AJ241+SUMBERGONDO!AB241+TEGALHARJO!AP241+TULUNGREJO!BL241</f>
        <v>19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0"/>
      <c r="C242" s="24" t="s">
        <v>231</v>
      </c>
      <c r="D242" s="51"/>
      <c r="E242" s="9">
        <f>BUMIHARJO!AE242+KARANGHARJO!BK242+MARGOMULYO!S242+SEPANJANG!AJ242+SUMBERGONDO!AB242+TEGALHARJO!AP242+TULUNGREJO!BL242</f>
        <v>12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0"/>
      <c r="C243" s="24" t="s">
        <v>232</v>
      </c>
      <c r="D243" s="51"/>
      <c r="E243" s="9">
        <f>BUMIHARJO!AE243+KARANGHARJO!BK243+MARGOMULYO!S243+SEPANJANG!AJ243+SUMBERGONDO!AB243+TEGALHARJO!AP243+TULUNGREJO!BL243</f>
        <v>6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45"/>
      <c r="C244" s="46"/>
      <c r="D244" s="47"/>
      <c r="E244" s="54"/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45"/>
      <c r="C245" s="46"/>
      <c r="D245" s="48"/>
      <c r="E245" s="54"/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45"/>
      <c r="C246" s="46"/>
      <c r="D246" s="48"/>
      <c r="E246" s="54"/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85" t="s">
        <v>51</v>
      </c>
      <c r="C247" s="93"/>
      <c r="D247" s="94"/>
      <c r="E247" s="5">
        <f>SUM(E237:E246)</f>
        <v>1979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64"/>
      <c r="B248" s="86"/>
      <c r="C248" s="86"/>
      <c r="D248" s="86"/>
      <c r="E248" s="95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92" t="s">
        <v>82</v>
      </c>
      <c r="D249" s="66"/>
      <c r="E249" s="9">
        <f>BUMIHARJO!AE249+KARANGHARJO!BK249+MARGOMULYO!S249+SEPANJANG!AJ249+SUMBERGONDO!AB249+TEGALHARJO!AP249+TULUNGREJO!BL249</f>
        <v>27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17"/>
      <c r="C250" s="24" t="s">
        <v>233</v>
      </c>
      <c r="D250" s="49"/>
      <c r="E250" s="9">
        <f>BUMIHARJO!AE250+KARANGHARJO!BK250+MARGOMULYO!S250+SEPANJANG!AJ250+SUMBERGONDO!AB250+TEGALHARJO!AP250+TULUNGREJO!BL250</f>
        <v>29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17"/>
      <c r="C251" s="24" t="s">
        <v>234</v>
      </c>
      <c r="D251" s="49"/>
      <c r="E251" s="9">
        <f>BUMIHARJO!AE251+KARANGHARJO!BK251+MARGOMULYO!S251+SEPANJANG!AJ251+SUMBERGONDO!AB251+TEGALHARJO!AP251+TULUNGREJO!BL251</f>
        <v>9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50"/>
      <c r="C252" s="24" t="s">
        <v>235</v>
      </c>
      <c r="D252" s="51"/>
      <c r="E252" s="9">
        <f>BUMIHARJO!AE252+KARANGHARJO!BK252+MARGOMULYO!S252+SEPANJANG!AJ252+SUMBERGONDO!AB252+TEGALHARJO!AP252+TULUNGREJO!BL252</f>
        <v>2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2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2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2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85" t="s">
        <v>51</v>
      </c>
      <c r="C259" s="93"/>
      <c r="D259" s="94"/>
      <c r="E259" s="5">
        <f>SUM(E249:E258)</f>
        <v>67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67" t="s">
        <v>84</v>
      </c>
      <c r="C261" s="102"/>
      <c r="D261" s="103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100" t="s">
        <v>86</v>
      </c>
      <c r="D262" s="101"/>
      <c r="E262" s="9">
        <f>BUMIHARJO!AE262+KARANGHARJO!BK262+MARGOMULYO!S262+SEPANJANG!AJ262+SUMBERGONDO!AB262+TEGALHARJO!AP262+TULUNGREJO!BL262</f>
        <v>43585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100" t="s">
        <v>88</v>
      </c>
      <c r="D263" s="101"/>
      <c r="E263" s="9">
        <f>BUMIHARJO!AE263+KARANGHARJO!BK263+MARGOMULYO!S263+SEPANJANG!AJ263+SUMBERGONDO!AB263+TEGALHARJO!AP263+TULUNGREJO!BL263</f>
        <v>2395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100" t="s">
        <v>90</v>
      </c>
      <c r="D264" s="101"/>
      <c r="E264" s="5">
        <f t="shared" ref="E264" si="8">SUM(E262:E263)</f>
        <v>45980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198" priority="67">
      <formula>E30&lt;&gt;E264</formula>
    </cfRule>
    <cfRule type="expression" dxfId="197" priority="68">
      <formula>E30&lt;&gt;E34</formula>
    </cfRule>
  </conditionalFormatting>
  <conditionalFormatting sqref="E55">
    <cfRule type="containsBlanks" dxfId="196" priority="1">
      <formula>LEN(TRIM(E55))=0</formula>
    </cfRule>
  </conditionalFormatting>
  <conditionalFormatting sqref="E67">
    <cfRule type="containsBlanks" dxfId="195" priority="2">
      <formula>LEN(TRIM(E67))=0</formula>
    </cfRule>
  </conditionalFormatting>
  <conditionalFormatting sqref="E79">
    <cfRule type="containsBlanks" dxfId="194" priority="3">
      <formula>LEN(TRIM(E79))=0</formula>
    </cfRule>
  </conditionalFormatting>
  <conditionalFormatting sqref="E91">
    <cfRule type="containsBlanks" dxfId="193" priority="4">
      <formula>LEN(TRIM(E91))=0</formula>
    </cfRule>
  </conditionalFormatting>
  <conditionalFormatting sqref="E103">
    <cfRule type="containsBlanks" dxfId="192" priority="5">
      <formula>LEN(TRIM(E103))=0</formula>
    </cfRule>
  </conditionalFormatting>
  <conditionalFormatting sqref="E115">
    <cfRule type="containsBlanks" dxfId="191" priority="6">
      <formula>LEN(TRIM(E115))=0</formula>
    </cfRule>
  </conditionalFormatting>
  <conditionalFormatting sqref="E127">
    <cfRule type="containsBlanks" dxfId="190" priority="7">
      <formula>LEN(TRIM(E127))=0</formula>
    </cfRule>
  </conditionalFormatting>
  <conditionalFormatting sqref="E139">
    <cfRule type="containsBlanks" dxfId="189" priority="8">
      <formula>LEN(TRIM(E139))=0</formula>
    </cfRule>
  </conditionalFormatting>
  <conditionalFormatting sqref="E151">
    <cfRule type="containsBlanks" dxfId="188" priority="9">
      <formula>LEN(TRIM(E151))=0</formula>
    </cfRule>
  </conditionalFormatting>
  <conditionalFormatting sqref="E163">
    <cfRule type="containsBlanks" dxfId="187" priority="10">
      <formula>LEN(TRIM(E163))=0</formula>
    </cfRule>
  </conditionalFormatting>
  <conditionalFormatting sqref="E175">
    <cfRule type="containsBlanks" dxfId="186" priority="11">
      <formula>LEN(TRIM(E175))=0</formula>
    </cfRule>
  </conditionalFormatting>
  <conditionalFormatting sqref="E187">
    <cfRule type="containsBlanks" dxfId="185" priority="12">
      <formula>LEN(TRIM(E187))=0</formula>
    </cfRule>
  </conditionalFormatting>
  <conditionalFormatting sqref="E199">
    <cfRule type="containsBlanks" dxfId="184" priority="13">
      <formula>LEN(TRIM(E199))=0</formula>
    </cfRule>
  </conditionalFormatting>
  <conditionalFormatting sqref="E211">
    <cfRule type="containsBlanks" dxfId="183" priority="14">
      <formula>LEN(TRIM(E211))=0</formula>
    </cfRule>
  </conditionalFormatting>
  <conditionalFormatting sqref="E223">
    <cfRule type="containsBlanks" dxfId="182" priority="15">
      <formula>LEN(TRIM(E223))=0</formula>
    </cfRule>
  </conditionalFormatting>
  <conditionalFormatting sqref="E235">
    <cfRule type="containsBlanks" dxfId="181" priority="16">
      <formula>LEN(TRIM(E235))=0</formula>
    </cfRule>
  </conditionalFormatting>
  <conditionalFormatting sqref="E247">
    <cfRule type="containsBlanks" dxfId="180" priority="17">
      <formula>LEN(TRIM(E247))=0</formula>
    </cfRule>
  </conditionalFormatting>
  <conditionalFormatting sqref="E259">
    <cfRule type="containsBlanks" dxfId="179" priority="25">
      <formula>LEN(TRIM(E259))=0</formula>
    </cfRule>
  </conditionalFormatting>
  <conditionalFormatting sqref="F259:O261">
    <cfRule type="cellIs" dxfId="178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AE264"/>
  <sheetViews>
    <sheetView topLeftCell="P13" zoomScale="130" zoomScaleNormal="130" workbookViewId="0">
      <pane ySplit="1" topLeftCell="A260" activePane="bottomLeft" state="frozen"/>
      <selection activeCell="A13" sqref="A13"/>
      <selection pane="bottomLeft" activeCell="AC264" sqref="AC264"/>
    </sheetView>
  </sheetViews>
  <sheetFormatPr defaultRowHeight="13.15" x14ac:dyDescent="0.4"/>
  <cols>
    <col min="3" max="3" width="67.140625" bestFit="1" customWidth="1"/>
    <col min="4" max="4" width="5.85546875" bestFit="1" customWidth="1"/>
    <col min="31" max="31" width="13.28515625" customWidth="1"/>
  </cols>
  <sheetData>
    <row r="2" spans="1:31" x14ac:dyDescent="0.4">
      <c r="C2" s="43" t="s">
        <v>98</v>
      </c>
      <c r="D2" s="43" t="s">
        <v>125</v>
      </c>
    </row>
    <row r="3" spans="1:31" x14ac:dyDescent="0.4">
      <c r="C3" s="43" t="s">
        <v>99</v>
      </c>
      <c r="D3" s="43" t="s">
        <v>100</v>
      </c>
    </row>
    <row r="4" spans="1:31" x14ac:dyDescent="0.4">
      <c r="C4" s="43" t="s">
        <v>101</v>
      </c>
      <c r="D4" s="43" t="s">
        <v>102</v>
      </c>
    </row>
    <row r="5" spans="1:31" x14ac:dyDescent="0.4">
      <c r="C5" s="43"/>
      <c r="D5" s="43"/>
    </row>
    <row r="6" spans="1:31" x14ac:dyDescent="0.4">
      <c r="C6" s="43"/>
      <c r="D6" s="43"/>
    </row>
    <row r="7" spans="1:31" x14ac:dyDescent="0.4">
      <c r="C7" s="43"/>
      <c r="D7" s="43"/>
    </row>
    <row r="8" spans="1:31" x14ac:dyDescent="0.4">
      <c r="C8" s="43"/>
      <c r="D8" s="43"/>
    </row>
    <row r="9" spans="1:31" x14ac:dyDescent="0.4">
      <c r="C9" s="43" t="s">
        <v>103</v>
      </c>
      <c r="D9" s="43" t="s">
        <v>126</v>
      </c>
    </row>
    <row r="11" spans="1:3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3"/>
      <c r="AD11" s="1"/>
    </row>
    <row r="12" spans="1:31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70" t="s">
        <v>97</v>
      </c>
    </row>
    <row r="13" spans="1:31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104</v>
      </c>
      <c r="AD13" s="5" t="s">
        <v>105</v>
      </c>
      <c r="AE13" s="71"/>
    </row>
    <row r="14" spans="1:31" x14ac:dyDescent="0.4">
      <c r="A14" s="7"/>
      <c r="B14" s="73" t="s">
        <v>22</v>
      </c>
      <c r="C14" s="74"/>
      <c r="D14" s="6" t="s">
        <v>23</v>
      </c>
      <c r="E14" s="63">
        <v>132</v>
      </c>
      <c r="F14" s="63">
        <v>118</v>
      </c>
      <c r="G14" s="63">
        <v>130</v>
      </c>
      <c r="H14" s="63">
        <v>112</v>
      </c>
      <c r="I14" s="63">
        <v>147</v>
      </c>
      <c r="J14" s="63">
        <v>159</v>
      </c>
      <c r="K14" s="63">
        <v>144</v>
      </c>
      <c r="L14" s="63">
        <v>151</v>
      </c>
      <c r="M14" s="63">
        <v>141</v>
      </c>
      <c r="N14" s="63">
        <v>144</v>
      </c>
      <c r="O14" s="6">
        <v>122</v>
      </c>
      <c r="P14" s="6">
        <v>124</v>
      </c>
      <c r="Q14" s="6">
        <v>123</v>
      </c>
      <c r="R14" s="6">
        <v>92</v>
      </c>
      <c r="S14" s="6">
        <v>142</v>
      </c>
      <c r="T14" s="6">
        <v>126</v>
      </c>
      <c r="U14" s="6">
        <v>127</v>
      </c>
      <c r="V14" s="6">
        <v>116</v>
      </c>
      <c r="W14" s="6">
        <v>145</v>
      </c>
      <c r="X14" s="6">
        <v>142</v>
      </c>
      <c r="Y14" s="6">
        <v>119</v>
      </c>
      <c r="Z14" s="6">
        <v>140</v>
      </c>
      <c r="AA14" s="6">
        <v>108</v>
      </c>
      <c r="AB14" s="6">
        <v>103</v>
      </c>
      <c r="AC14" s="6">
        <v>123</v>
      </c>
      <c r="AD14" s="6">
        <v>138</v>
      </c>
      <c r="AE14" s="5">
        <f>SUM(E14:AD14)</f>
        <v>3368</v>
      </c>
    </row>
    <row r="15" spans="1:31" x14ac:dyDescent="0.4">
      <c r="A15" s="7"/>
      <c r="B15" s="75"/>
      <c r="C15" s="76"/>
      <c r="D15" s="6" t="s">
        <v>24</v>
      </c>
      <c r="E15" s="63">
        <v>127</v>
      </c>
      <c r="F15" s="63">
        <v>126</v>
      </c>
      <c r="G15" s="63">
        <v>123</v>
      </c>
      <c r="H15" s="63">
        <v>114</v>
      </c>
      <c r="I15" s="63">
        <v>142</v>
      </c>
      <c r="J15" s="63">
        <v>141</v>
      </c>
      <c r="K15" s="63">
        <v>149</v>
      </c>
      <c r="L15" s="63">
        <v>145</v>
      </c>
      <c r="M15" s="63">
        <v>147</v>
      </c>
      <c r="N15" s="63">
        <v>153</v>
      </c>
      <c r="O15" s="6">
        <v>116</v>
      </c>
      <c r="P15" s="6">
        <v>128</v>
      </c>
      <c r="Q15" s="6">
        <v>116</v>
      </c>
      <c r="R15" s="6">
        <v>106</v>
      </c>
      <c r="S15" s="6">
        <v>126</v>
      </c>
      <c r="T15" s="6">
        <v>124</v>
      </c>
      <c r="U15" s="6">
        <v>145</v>
      </c>
      <c r="V15" s="6">
        <v>97</v>
      </c>
      <c r="W15" s="6">
        <v>134</v>
      </c>
      <c r="X15" s="6">
        <v>137</v>
      </c>
      <c r="Y15" s="6">
        <v>126</v>
      </c>
      <c r="Z15" s="6">
        <v>151</v>
      </c>
      <c r="AA15" s="6">
        <v>115</v>
      </c>
      <c r="AB15" s="6">
        <v>118</v>
      </c>
      <c r="AC15" s="6">
        <v>132</v>
      </c>
      <c r="AD15" s="6">
        <v>149</v>
      </c>
      <c r="AE15" s="5">
        <f>SUM(E15:AD15)</f>
        <v>3387</v>
      </c>
    </row>
    <row r="16" spans="1:31" x14ac:dyDescent="0.4">
      <c r="A16" s="8"/>
      <c r="B16" s="77"/>
      <c r="C16" s="78"/>
      <c r="D16" s="5" t="s">
        <v>25</v>
      </c>
      <c r="E16" s="5">
        <f t="shared" ref="E16:N16" si="0">SUM(E14:E15)</f>
        <v>259</v>
      </c>
      <c r="F16" s="5">
        <f t="shared" si="0"/>
        <v>244</v>
      </c>
      <c r="G16" s="5">
        <f t="shared" si="0"/>
        <v>253</v>
      </c>
      <c r="H16" s="5">
        <f t="shared" si="0"/>
        <v>226</v>
      </c>
      <c r="I16" s="5">
        <f t="shared" si="0"/>
        <v>289</v>
      </c>
      <c r="J16" s="5">
        <f t="shared" si="0"/>
        <v>300</v>
      </c>
      <c r="K16" s="5">
        <f t="shared" si="0"/>
        <v>293</v>
      </c>
      <c r="L16" s="5">
        <f t="shared" si="0"/>
        <v>296</v>
      </c>
      <c r="M16" s="5">
        <f t="shared" si="0"/>
        <v>288</v>
      </c>
      <c r="N16" s="5">
        <f t="shared" si="0"/>
        <v>297</v>
      </c>
      <c r="O16" s="5">
        <f t="shared" ref="O16:T16" si="1">SUM(O14:O15)</f>
        <v>238</v>
      </c>
      <c r="P16" s="5">
        <f t="shared" si="1"/>
        <v>252</v>
      </c>
      <c r="Q16" s="5">
        <f t="shared" si="1"/>
        <v>239</v>
      </c>
      <c r="R16" s="5">
        <f t="shared" si="1"/>
        <v>198</v>
      </c>
      <c r="S16" s="5">
        <f t="shared" si="1"/>
        <v>268</v>
      </c>
      <c r="T16" s="5">
        <f t="shared" si="1"/>
        <v>250</v>
      </c>
      <c r="U16" s="5">
        <f t="shared" ref="U16:V16" si="2">SUM(U14:U15)</f>
        <v>272</v>
      </c>
      <c r="V16" s="5">
        <f t="shared" si="2"/>
        <v>213</v>
      </c>
      <c r="W16" s="5">
        <f t="shared" ref="W16:AD16" si="3">SUM(W14:W15)</f>
        <v>279</v>
      </c>
      <c r="X16" s="5">
        <f t="shared" si="3"/>
        <v>279</v>
      </c>
      <c r="Y16" s="5">
        <f t="shared" si="3"/>
        <v>245</v>
      </c>
      <c r="Z16" s="5">
        <f t="shared" si="3"/>
        <v>291</v>
      </c>
      <c r="AA16" s="5">
        <f t="shared" si="3"/>
        <v>223</v>
      </c>
      <c r="AB16" s="5">
        <f t="shared" si="3"/>
        <v>221</v>
      </c>
      <c r="AC16" s="5">
        <f t="shared" si="3"/>
        <v>255</v>
      </c>
      <c r="AD16" s="5">
        <f t="shared" si="3"/>
        <v>287</v>
      </c>
      <c r="AE16" s="5">
        <f>SUM(E16:AD16)</f>
        <v>6755</v>
      </c>
    </row>
    <row r="17" spans="1:31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  <c r="AD17" s="6"/>
      <c r="AE17" s="28"/>
    </row>
    <row r="18" spans="1:31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  <c r="AD18" s="6"/>
      <c r="AE18" s="28"/>
    </row>
    <row r="19" spans="1:31" x14ac:dyDescent="0.4">
      <c r="A19" s="11"/>
      <c r="B19" s="79" t="s">
        <v>28</v>
      </c>
      <c r="C19" s="80" t="s">
        <v>29</v>
      </c>
      <c r="D19" s="6" t="s">
        <v>23</v>
      </c>
      <c r="E19" s="6">
        <v>105</v>
      </c>
      <c r="F19" s="6">
        <v>100</v>
      </c>
      <c r="G19" s="6">
        <v>94</v>
      </c>
      <c r="H19" s="6">
        <v>91</v>
      </c>
      <c r="I19" s="6">
        <v>104</v>
      </c>
      <c r="J19" s="6">
        <v>118</v>
      </c>
      <c r="K19" s="6">
        <v>109</v>
      </c>
      <c r="L19" s="6">
        <v>115</v>
      </c>
      <c r="M19" s="6">
        <v>105</v>
      </c>
      <c r="N19" s="6">
        <v>107</v>
      </c>
      <c r="O19" s="6">
        <v>87</v>
      </c>
      <c r="P19" s="6">
        <v>97</v>
      </c>
      <c r="Q19" s="6">
        <v>90</v>
      </c>
      <c r="R19" s="6">
        <v>68</v>
      </c>
      <c r="S19" s="6">
        <v>113</v>
      </c>
      <c r="T19" s="6">
        <v>89</v>
      </c>
      <c r="U19" s="6">
        <v>87</v>
      </c>
      <c r="V19" s="6">
        <v>95</v>
      </c>
      <c r="W19" s="6">
        <v>113</v>
      </c>
      <c r="X19" s="6">
        <v>101</v>
      </c>
      <c r="Y19" s="6">
        <v>87</v>
      </c>
      <c r="Z19" s="6">
        <v>96</v>
      </c>
      <c r="AA19" s="6">
        <v>77</v>
      </c>
      <c r="AB19" s="6">
        <v>76</v>
      </c>
      <c r="AC19" s="6">
        <v>80</v>
      </c>
      <c r="AD19" s="6">
        <v>95</v>
      </c>
      <c r="AE19" s="5">
        <f t="shared" ref="AE19:AE30" si="4">SUM(E19:AD19)</f>
        <v>2499</v>
      </c>
    </row>
    <row r="20" spans="1:31" x14ac:dyDescent="0.4">
      <c r="A20" s="12"/>
      <c r="B20" s="76"/>
      <c r="C20" s="81"/>
      <c r="D20" s="6" t="s">
        <v>24</v>
      </c>
      <c r="E20" s="6">
        <v>101</v>
      </c>
      <c r="F20" s="6">
        <v>100</v>
      </c>
      <c r="G20" s="6">
        <v>107</v>
      </c>
      <c r="H20" s="6">
        <v>93</v>
      </c>
      <c r="I20" s="6">
        <v>104</v>
      </c>
      <c r="J20" s="6">
        <v>112</v>
      </c>
      <c r="K20" s="6">
        <v>115</v>
      </c>
      <c r="L20" s="6">
        <v>114</v>
      </c>
      <c r="M20" s="6">
        <v>118</v>
      </c>
      <c r="N20" s="6">
        <v>119</v>
      </c>
      <c r="O20" s="6">
        <v>89</v>
      </c>
      <c r="P20" s="6">
        <v>116</v>
      </c>
      <c r="Q20" s="6">
        <v>93</v>
      </c>
      <c r="R20" s="6">
        <v>86</v>
      </c>
      <c r="S20" s="6">
        <v>107</v>
      </c>
      <c r="T20" s="6">
        <v>105</v>
      </c>
      <c r="U20" s="6">
        <v>112</v>
      </c>
      <c r="V20" s="6">
        <v>86</v>
      </c>
      <c r="W20" s="6">
        <v>110</v>
      </c>
      <c r="X20" s="6">
        <v>105</v>
      </c>
      <c r="Y20" s="6">
        <v>104</v>
      </c>
      <c r="Z20" s="6">
        <v>126</v>
      </c>
      <c r="AA20" s="6">
        <v>100</v>
      </c>
      <c r="AB20" s="6">
        <v>78</v>
      </c>
      <c r="AC20" s="6">
        <v>92</v>
      </c>
      <c r="AD20" s="6">
        <v>112</v>
      </c>
      <c r="AE20" s="5">
        <f t="shared" si="4"/>
        <v>2704</v>
      </c>
    </row>
    <row r="21" spans="1:31" x14ac:dyDescent="0.4">
      <c r="A21" s="13"/>
      <c r="B21" s="78"/>
      <c r="C21" s="82"/>
      <c r="D21" s="5" t="s">
        <v>25</v>
      </c>
      <c r="E21" s="5">
        <f t="shared" ref="E21:N21" si="5">SUM(E19:E20)</f>
        <v>206</v>
      </c>
      <c r="F21" s="5">
        <f t="shared" si="5"/>
        <v>200</v>
      </c>
      <c r="G21" s="5">
        <f t="shared" si="5"/>
        <v>201</v>
      </c>
      <c r="H21" s="5">
        <f t="shared" si="5"/>
        <v>184</v>
      </c>
      <c r="I21" s="5">
        <f t="shared" si="5"/>
        <v>208</v>
      </c>
      <c r="J21" s="5">
        <f t="shared" si="5"/>
        <v>230</v>
      </c>
      <c r="K21" s="5">
        <f t="shared" si="5"/>
        <v>224</v>
      </c>
      <c r="L21" s="5">
        <f t="shared" si="5"/>
        <v>229</v>
      </c>
      <c r="M21" s="5">
        <f t="shared" si="5"/>
        <v>223</v>
      </c>
      <c r="N21" s="5">
        <f t="shared" si="5"/>
        <v>226</v>
      </c>
      <c r="O21" s="5">
        <f t="shared" ref="O21:T21" si="6">SUM(O19:O20)</f>
        <v>176</v>
      </c>
      <c r="P21" s="5">
        <f t="shared" si="6"/>
        <v>213</v>
      </c>
      <c r="Q21" s="5">
        <f t="shared" si="6"/>
        <v>183</v>
      </c>
      <c r="R21" s="5">
        <f t="shared" si="6"/>
        <v>154</v>
      </c>
      <c r="S21" s="5">
        <f t="shared" si="6"/>
        <v>220</v>
      </c>
      <c r="T21" s="5">
        <f t="shared" si="6"/>
        <v>194</v>
      </c>
      <c r="U21" s="5">
        <f t="shared" ref="U21:V21" si="7">SUM(U19:U20)</f>
        <v>199</v>
      </c>
      <c r="V21" s="5">
        <f t="shared" si="7"/>
        <v>181</v>
      </c>
      <c r="W21" s="5">
        <f t="shared" ref="W21:AD21" si="8">SUM(W19:W20)</f>
        <v>223</v>
      </c>
      <c r="X21" s="5">
        <f t="shared" si="8"/>
        <v>206</v>
      </c>
      <c r="Y21" s="5">
        <f t="shared" si="8"/>
        <v>191</v>
      </c>
      <c r="Z21" s="5">
        <f t="shared" si="8"/>
        <v>222</v>
      </c>
      <c r="AA21" s="5">
        <f t="shared" si="8"/>
        <v>177</v>
      </c>
      <c r="AB21" s="5">
        <f t="shared" si="8"/>
        <v>154</v>
      </c>
      <c r="AC21" s="5">
        <f t="shared" si="8"/>
        <v>172</v>
      </c>
      <c r="AD21" s="5">
        <f t="shared" si="8"/>
        <v>207</v>
      </c>
      <c r="AE21" s="5">
        <f t="shared" si="4"/>
        <v>5203</v>
      </c>
    </row>
    <row r="22" spans="1:31" x14ac:dyDescent="0.4">
      <c r="A22" s="12"/>
      <c r="B22" s="79" t="s">
        <v>30</v>
      </c>
      <c r="C22" s="8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>
        <v>2</v>
      </c>
      <c r="O22" s="6"/>
      <c r="P22" s="6">
        <v>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5">
        <f t="shared" si="4"/>
        <v>3</v>
      </c>
    </row>
    <row r="23" spans="1:31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>
        <v>1</v>
      </c>
      <c r="O23" s="6">
        <v>1</v>
      </c>
      <c r="P23" s="6"/>
      <c r="Q23" s="6"/>
      <c r="R23" s="6"/>
      <c r="S23" s="6">
        <v>1</v>
      </c>
      <c r="T23" s="6"/>
      <c r="U23" s="6"/>
      <c r="V23" s="6">
        <v>1</v>
      </c>
      <c r="W23" s="6"/>
      <c r="X23" s="6"/>
      <c r="Y23" s="6"/>
      <c r="Z23" s="6"/>
      <c r="AA23" s="6"/>
      <c r="AB23" s="6"/>
      <c r="AC23" s="6"/>
      <c r="AD23" s="6"/>
      <c r="AE23" s="5">
        <f t="shared" si="4"/>
        <v>4</v>
      </c>
    </row>
    <row r="24" spans="1:31" x14ac:dyDescent="0.4">
      <c r="A24" s="13"/>
      <c r="B24" s="78"/>
      <c r="C24" s="82"/>
      <c r="D24" s="5" t="s">
        <v>25</v>
      </c>
      <c r="E24" s="5">
        <f t="shared" ref="E24:N24" si="9">SUM(E22:E23)</f>
        <v>0</v>
      </c>
      <c r="F24" s="5">
        <f t="shared" si="9"/>
        <v>0</v>
      </c>
      <c r="G24" s="5">
        <f t="shared" si="9"/>
        <v>0</v>
      </c>
      <c r="H24" s="5">
        <f t="shared" si="9"/>
        <v>0</v>
      </c>
      <c r="I24" s="5">
        <f t="shared" si="9"/>
        <v>0</v>
      </c>
      <c r="J24" s="5">
        <f t="shared" si="9"/>
        <v>0</v>
      </c>
      <c r="K24" s="5">
        <f t="shared" si="9"/>
        <v>0</v>
      </c>
      <c r="L24" s="5">
        <f t="shared" si="9"/>
        <v>0</v>
      </c>
      <c r="M24" s="5">
        <f t="shared" si="9"/>
        <v>0</v>
      </c>
      <c r="N24" s="5">
        <f t="shared" si="9"/>
        <v>3</v>
      </c>
      <c r="O24" s="5">
        <f t="shared" ref="O24:T24" si="10">SUM(O22:O23)</f>
        <v>1</v>
      </c>
      <c r="P24" s="5">
        <f t="shared" si="10"/>
        <v>1</v>
      </c>
      <c r="Q24" s="5">
        <f t="shared" si="10"/>
        <v>0</v>
      </c>
      <c r="R24" s="5">
        <f t="shared" si="10"/>
        <v>0</v>
      </c>
      <c r="S24" s="5">
        <f t="shared" si="10"/>
        <v>1</v>
      </c>
      <c r="T24" s="5">
        <f t="shared" si="10"/>
        <v>0</v>
      </c>
      <c r="U24" s="5">
        <f t="shared" ref="U24:V24" si="11">SUM(U22:U23)</f>
        <v>0</v>
      </c>
      <c r="V24" s="5">
        <f t="shared" si="11"/>
        <v>1</v>
      </c>
      <c r="W24" s="5">
        <f t="shared" ref="W24:AD24" si="12">SUM(W22:W23)</f>
        <v>0</v>
      </c>
      <c r="X24" s="5">
        <f t="shared" si="12"/>
        <v>0</v>
      </c>
      <c r="Y24" s="5">
        <f t="shared" si="12"/>
        <v>0</v>
      </c>
      <c r="Z24" s="5">
        <f t="shared" si="12"/>
        <v>0</v>
      </c>
      <c r="AA24" s="5">
        <f t="shared" si="12"/>
        <v>0</v>
      </c>
      <c r="AB24" s="5">
        <f t="shared" si="12"/>
        <v>0</v>
      </c>
      <c r="AC24" s="5">
        <f t="shared" si="12"/>
        <v>0</v>
      </c>
      <c r="AD24" s="5">
        <f t="shared" si="12"/>
        <v>0</v>
      </c>
      <c r="AE24" s="5">
        <f t="shared" si="4"/>
        <v>7</v>
      </c>
    </row>
    <row r="25" spans="1:31" x14ac:dyDescent="0.4">
      <c r="A25" s="12"/>
      <c r="B25" s="79" t="s">
        <v>32</v>
      </c>
      <c r="C25" s="80" t="s">
        <v>33</v>
      </c>
      <c r="D25" s="6" t="s">
        <v>23</v>
      </c>
      <c r="E25" s="6">
        <v>1</v>
      </c>
      <c r="F25" s="6"/>
      <c r="G25" s="6"/>
      <c r="H25" s="6"/>
      <c r="I25" s="6">
        <v>2</v>
      </c>
      <c r="J25" s="6"/>
      <c r="K25" s="6"/>
      <c r="L25" s="6"/>
      <c r="M25" s="6"/>
      <c r="N25" s="6"/>
      <c r="O25" s="6"/>
      <c r="P25" s="6"/>
      <c r="Q25" s="6"/>
      <c r="R25" s="6">
        <v>1</v>
      </c>
      <c r="S25" s="6"/>
      <c r="T25" s="6"/>
      <c r="U25" s="6"/>
      <c r="V25" s="6">
        <v>2</v>
      </c>
      <c r="W25" s="6">
        <v>1</v>
      </c>
      <c r="X25" s="6"/>
      <c r="Y25" s="6"/>
      <c r="Z25" s="6"/>
      <c r="AA25" s="6"/>
      <c r="AB25" s="6"/>
      <c r="AC25" s="6"/>
      <c r="AD25" s="6"/>
      <c r="AE25" s="5">
        <f t="shared" si="4"/>
        <v>7</v>
      </c>
    </row>
    <row r="26" spans="1:31" x14ac:dyDescent="0.4">
      <c r="A26" s="12"/>
      <c r="B26" s="76"/>
      <c r="C26" s="81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</v>
      </c>
      <c r="Q26" s="6"/>
      <c r="R26" s="6"/>
      <c r="S26" s="6"/>
      <c r="T26" s="6"/>
      <c r="U26" s="6"/>
      <c r="V26" s="6">
        <v>1</v>
      </c>
      <c r="W26" s="6">
        <v>1</v>
      </c>
      <c r="X26" s="6">
        <v>4</v>
      </c>
      <c r="Y26" s="6"/>
      <c r="Z26" s="6"/>
      <c r="AA26" s="6"/>
      <c r="AB26" s="6"/>
      <c r="AC26" s="6"/>
      <c r="AD26" s="6"/>
      <c r="AE26" s="5">
        <f t="shared" si="4"/>
        <v>7</v>
      </c>
    </row>
    <row r="27" spans="1:31" x14ac:dyDescent="0.4">
      <c r="A27" s="13"/>
      <c r="B27" s="78"/>
      <c r="C27" s="82"/>
      <c r="D27" s="5" t="s">
        <v>25</v>
      </c>
      <c r="E27" s="5">
        <f t="shared" ref="E27:N27" si="13">SUM(E25:E26)</f>
        <v>1</v>
      </c>
      <c r="F27" s="5">
        <f t="shared" si="13"/>
        <v>0</v>
      </c>
      <c r="G27" s="5">
        <f t="shared" si="13"/>
        <v>0</v>
      </c>
      <c r="H27" s="5">
        <f t="shared" si="13"/>
        <v>0</v>
      </c>
      <c r="I27" s="5">
        <f t="shared" si="13"/>
        <v>2</v>
      </c>
      <c r="J27" s="5">
        <f t="shared" si="13"/>
        <v>0</v>
      </c>
      <c r="K27" s="5">
        <f t="shared" si="13"/>
        <v>0</v>
      </c>
      <c r="L27" s="5">
        <f t="shared" si="13"/>
        <v>0</v>
      </c>
      <c r="M27" s="5">
        <f t="shared" si="13"/>
        <v>0</v>
      </c>
      <c r="N27" s="5">
        <f t="shared" si="13"/>
        <v>0</v>
      </c>
      <c r="O27" s="5">
        <f t="shared" ref="O27:T27" si="14">SUM(O25:O26)</f>
        <v>0</v>
      </c>
      <c r="P27" s="5">
        <f t="shared" si="14"/>
        <v>1</v>
      </c>
      <c r="Q27" s="5">
        <f t="shared" si="14"/>
        <v>0</v>
      </c>
      <c r="R27" s="5">
        <f t="shared" si="14"/>
        <v>1</v>
      </c>
      <c r="S27" s="5">
        <f t="shared" si="14"/>
        <v>0</v>
      </c>
      <c r="T27" s="5">
        <f t="shared" si="14"/>
        <v>0</v>
      </c>
      <c r="U27" s="5">
        <f t="shared" ref="U27:V27" si="15">SUM(U25:U26)</f>
        <v>0</v>
      </c>
      <c r="V27" s="5">
        <f t="shared" si="15"/>
        <v>3</v>
      </c>
      <c r="W27" s="5">
        <f t="shared" ref="W27:AD27" si="16">SUM(W25:W26)</f>
        <v>2</v>
      </c>
      <c r="X27" s="5">
        <f t="shared" si="16"/>
        <v>4</v>
      </c>
      <c r="Y27" s="5">
        <f t="shared" si="16"/>
        <v>0</v>
      </c>
      <c r="Z27" s="5">
        <f t="shared" si="16"/>
        <v>0</v>
      </c>
      <c r="AA27" s="5">
        <f t="shared" si="16"/>
        <v>0</v>
      </c>
      <c r="AB27" s="5">
        <f t="shared" si="16"/>
        <v>0</v>
      </c>
      <c r="AC27" s="5">
        <f t="shared" si="16"/>
        <v>0</v>
      </c>
      <c r="AD27" s="5">
        <f t="shared" si="16"/>
        <v>0</v>
      </c>
      <c r="AE27" s="5">
        <f t="shared" si="4"/>
        <v>14</v>
      </c>
    </row>
    <row r="28" spans="1:31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106</v>
      </c>
      <c r="F28" s="5">
        <f t="shared" ref="F28:T28" si="17">SUM(F19,F22,F25)</f>
        <v>100</v>
      </c>
      <c r="G28" s="5">
        <f t="shared" si="17"/>
        <v>94</v>
      </c>
      <c r="H28" s="5">
        <f t="shared" si="17"/>
        <v>91</v>
      </c>
      <c r="I28" s="5">
        <f t="shared" si="17"/>
        <v>106</v>
      </c>
      <c r="J28" s="5">
        <f t="shared" si="17"/>
        <v>118</v>
      </c>
      <c r="K28" s="5">
        <f t="shared" si="17"/>
        <v>109</v>
      </c>
      <c r="L28" s="5">
        <f t="shared" si="17"/>
        <v>115</v>
      </c>
      <c r="M28" s="5">
        <f t="shared" si="17"/>
        <v>105</v>
      </c>
      <c r="N28" s="5">
        <f t="shared" si="17"/>
        <v>109</v>
      </c>
      <c r="O28" s="5">
        <f t="shared" si="17"/>
        <v>87</v>
      </c>
      <c r="P28" s="5">
        <f t="shared" si="17"/>
        <v>98</v>
      </c>
      <c r="Q28" s="5">
        <f t="shared" si="17"/>
        <v>90</v>
      </c>
      <c r="R28" s="5">
        <f t="shared" si="17"/>
        <v>69</v>
      </c>
      <c r="S28" s="5">
        <f t="shared" si="17"/>
        <v>113</v>
      </c>
      <c r="T28" s="5">
        <f t="shared" si="17"/>
        <v>89</v>
      </c>
      <c r="U28" s="5">
        <f t="shared" ref="U28:V28" si="18">SUM(U19,U22,U25)</f>
        <v>87</v>
      </c>
      <c r="V28" s="5">
        <f t="shared" si="18"/>
        <v>97</v>
      </c>
      <c r="W28" s="5">
        <f t="shared" ref="W28:AD28" si="19">SUM(W19,W22,W25)</f>
        <v>114</v>
      </c>
      <c r="X28" s="5">
        <f t="shared" si="19"/>
        <v>101</v>
      </c>
      <c r="Y28" s="5">
        <f t="shared" si="19"/>
        <v>87</v>
      </c>
      <c r="Z28" s="5">
        <f t="shared" si="19"/>
        <v>96</v>
      </c>
      <c r="AA28" s="5">
        <f t="shared" si="19"/>
        <v>77</v>
      </c>
      <c r="AB28" s="5">
        <f t="shared" si="19"/>
        <v>76</v>
      </c>
      <c r="AC28" s="5">
        <f t="shared" si="19"/>
        <v>80</v>
      </c>
      <c r="AD28" s="5">
        <f t="shared" si="19"/>
        <v>95</v>
      </c>
      <c r="AE28" s="5">
        <f t="shared" si="4"/>
        <v>2509</v>
      </c>
    </row>
    <row r="29" spans="1:31" x14ac:dyDescent="0.4">
      <c r="A29" s="13"/>
      <c r="B29" s="76"/>
      <c r="C29" s="81"/>
      <c r="D29" s="5" t="s">
        <v>24</v>
      </c>
      <c r="E29" s="5">
        <f>SUM(E20,E23,E26)</f>
        <v>101</v>
      </c>
      <c r="F29" s="5">
        <f t="shared" ref="F29:T29" si="20">SUM(F20,F23,F26)</f>
        <v>100</v>
      </c>
      <c r="G29" s="5">
        <f t="shared" si="20"/>
        <v>107</v>
      </c>
      <c r="H29" s="5">
        <f t="shared" si="20"/>
        <v>93</v>
      </c>
      <c r="I29" s="5">
        <f t="shared" si="20"/>
        <v>104</v>
      </c>
      <c r="J29" s="5">
        <f t="shared" si="20"/>
        <v>112</v>
      </c>
      <c r="K29" s="5">
        <f t="shared" si="20"/>
        <v>115</v>
      </c>
      <c r="L29" s="5">
        <f t="shared" si="20"/>
        <v>114</v>
      </c>
      <c r="M29" s="5">
        <f t="shared" si="20"/>
        <v>118</v>
      </c>
      <c r="N29" s="5">
        <f t="shared" si="20"/>
        <v>120</v>
      </c>
      <c r="O29" s="5">
        <f t="shared" si="20"/>
        <v>90</v>
      </c>
      <c r="P29" s="5">
        <f t="shared" si="20"/>
        <v>117</v>
      </c>
      <c r="Q29" s="5">
        <f t="shared" si="20"/>
        <v>93</v>
      </c>
      <c r="R29" s="5">
        <f t="shared" si="20"/>
        <v>86</v>
      </c>
      <c r="S29" s="5">
        <f t="shared" si="20"/>
        <v>108</v>
      </c>
      <c r="T29" s="5">
        <f t="shared" si="20"/>
        <v>105</v>
      </c>
      <c r="U29" s="5">
        <f t="shared" ref="U29:V29" si="21">SUM(U20,U23,U26)</f>
        <v>112</v>
      </c>
      <c r="V29" s="5">
        <f t="shared" si="21"/>
        <v>88</v>
      </c>
      <c r="W29" s="5">
        <f t="shared" ref="W29:AD29" si="22">SUM(W20,W23,W26)</f>
        <v>111</v>
      </c>
      <c r="X29" s="5">
        <f t="shared" si="22"/>
        <v>109</v>
      </c>
      <c r="Y29" s="5">
        <f t="shared" si="22"/>
        <v>104</v>
      </c>
      <c r="Z29" s="5">
        <f t="shared" si="22"/>
        <v>126</v>
      </c>
      <c r="AA29" s="5">
        <f t="shared" si="22"/>
        <v>100</v>
      </c>
      <c r="AB29" s="5">
        <f t="shared" si="22"/>
        <v>78</v>
      </c>
      <c r="AC29" s="5">
        <f t="shared" si="22"/>
        <v>92</v>
      </c>
      <c r="AD29" s="5">
        <f t="shared" si="22"/>
        <v>112</v>
      </c>
      <c r="AE29" s="5">
        <f t="shared" si="4"/>
        <v>2715</v>
      </c>
    </row>
    <row r="30" spans="1:31" x14ac:dyDescent="0.4">
      <c r="A30" s="13"/>
      <c r="B30" s="78"/>
      <c r="C30" s="82"/>
      <c r="D30" s="5" t="s">
        <v>25</v>
      </c>
      <c r="E30" s="5">
        <f t="shared" ref="E30:N30" si="23">SUM(E28:E29)</f>
        <v>207</v>
      </c>
      <c r="F30" s="5">
        <f t="shared" si="23"/>
        <v>200</v>
      </c>
      <c r="G30" s="5">
        <f t="shared" si="23"/>
        <v>201</v>
      </c>
      <c r="H30" s="5">
        <f t="shared" si="23"/>
        <v>184</v>
      </c>
      <c r="I30" s="5">
        <f t="shared" si="23"/>
        <v>210</v>
      </c>
      <c r="J30" s="5">
        <f t="shared" si="23"/>
        <v>230</v>
      </c>
      <c r="K30" s="5">
        <f t="shared" si="23"/>
        <v>224</v>
      </c>
      <c r="L30" s="5">
        <f t="shared" si="23"/>
        <v>229</v>
      </c>
      <c r="M30" s="5">
        <f t="shared" si="23"/>
        <v>223</v>
      </c>
      <c r="N30" s="5">
        <f t="shared" si="23"/>
        <v>229</v>
      </c>
      <c r="O30" s="5">
        <f t="shared" ref="O30:T30" si="24">SUM(O28:O29)</f>
        <v>177</v>
      </c>
      <c r="P30" s="5">
        <f t="shared" si="24"/>
        <v>215</v>
      </c>
      <c r="Q30" s="5">
        <f t="shared" si="24"/>
        <v>183</v>
      </c>
      <c r="R30" s="5">
        <f t="shared" si="24"/>
        <v>155</v>
      </c>
      <c r="S30" s="5">
        <f t="shared" si="24"/>
        <v>221</v>
      </c>
      <c r="T30" s="5">
        <f t="shared" si="24"/>
        <v>194</v>
      </c>
      <c r="U30" s="5">
        <f t="shared" ref="U30:V30" si="25">SUM(U28:U29)</f>
        <v>199</v>
      </c>
      <c r="V30" s="5">
        <f t="shared" si="25"/>
        <v>185</v>
      </c>
      <c r="W30" s="5">
        <f t="shared" ref="W30:AD30" si="26">SUM(W28:W29)</f>
        <v>225</v>
      </c>
      <c r="X30" s="5">
        <f t="shared" si="26"/>
        <v>210</v>
      </c>
      <c r="Y30" s="5">
        <f t="shared" si="26"/>
        <v>191</v>
      </c>
      <c r="Z30" s="5">
        <f t="shared" si="26"/>
        <v>222</v>
      </c>
      <c r="AA30" s="5">
        <f t="shared" si="26"/>
        <v>177</v>
      </c>
      <c r="AB30" s="5">
        <f t="shared" si="26"/>
        <v>154</v>
      </c>
      <c r="AC30" s="5">
        <f t="shared" si="26"/>
        <v>172</v>
      </c>
      <c r="AD30" s="5">
        <f t="shared" si="26"/>
        <v>207</v>
      </c>
      <c r="AE30" s="5">
        <f t="shared" si="4"/>
        <v>5224</v>
      </c>
    </row>
    <row r="31" spans="1:31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  <c r="AD31" s="6"/>
      <c r="AE31" s="28"/>
    </row>
    <row r="32" spans="1:31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5"/>
      <c r="AD32" s="5"/>
      <c r="AE32" s="28"/>
    </row>
    <row r="33" spans="1:31" x14ac:dyDescent="0.4">
      <c r="A33" s="6">
        <v>1</v>
      </c>
      <c r="B33" s="72" t="s">
        <v>38</v>
      </c>
      <c r="C33" s="65"/>
      <c r="D33" s="66"/>
      <c r="E33" s="6">
        <v>265</v>
      </c>
      <c r="F33" s="6">
        <v>249</v>
      </c>
      <c r="G33" s="6">
        <v>259</v>
      </c>
      <c r="H33" s="6">
        <v>231</v>
      </c>
      <c r="I33" s="6">
        <v>295</v>
      </c>
      <c r="J33" s="6">
        <v>306</v>
      </c>
      <c r="K33" s="6">
        <v>299</v>
      </c>
      <c r="L33" s="6">
        <v>302</v>
      </c>
      <c r="M33" s="6">
        <v>294</v>
      </c>
      <c r="N33" s="6">
        <v>303</v>
      </c>
      <c r="O33" s="6">
        <v>243</v>
      </c>
      <c r="P33" s="6">
        <v>258</v>
      </c>
      <c r="Q33" s="6">
        <v>244</v>
      </c>
      <c r="R33" s="6">
        <v>202</v>
      </c>
      <c r="S33" s="6">
        <v>274</v>
      </c>
      <c r="T33" s="6">
        <v>255</v>
      </c>
      <c r="U33" s="6">
        <v>278</v>
      </c>
      <c r="V33" s="6">
        <v>218</v>
      </c>
      <c r="W33" s="6">
        <v>285</v>
      </c>
      <c r="X33" s="6">
        <v>285</v>
      </c>
      <c r="Y33" s="6">
        <v>250</v>
      </c>
      <c r="Z33" s="6">
        <v>297</v>
      </c>
      <c r="AA33" s="6">
        <v>228</v>
      </c>
      <c r="AB33" s="6">
        <v>226</v>
      </c>
      <c r="AC33" s="6">
        <v>261</v>
      </c>
      <c r="AD33" s="6">
        <v>293</v>
      </c>
      <c r="AE33" s="5">
        <f>SUM(E33:AD33)</f>
        <v>6900</v>
      </c>
    </row>
    <row r="34" spans="1:31" x14ac:dyDescent="0.4">
      <c r="A34" s="6">
        <v>2</v>
      </c>
      <c r="B34" s="72" t="s">
        <v>39</v>
      </c>
      <c r="C34" s="65"/>
      <c r="D34" s="66"/>
      <c r="E34" s="5">
        <v>207</v>
      </c>
      <c r="F34" s="5">
        <v>200</v>
      </c>
      <c r="G34" s="5">
        <v>201</v>
      </c>
      <c r="H34" s="5">
        <v>184</v>
      </c>
      <c r="I34" s="5">
        <v>210</v>
      </c>
      <c r="J34" s="5">
        <v>230</v>
      </c>
      <c r="K34" s="5">
        <v>224</v>
      </c>
      <c r="L34" s="5">
        <v>229</v>
      </c>
      <c r="M34" s="5">
        <v>223</v>
      </c>
      <c r="N34" s="5">
        <v>229</v>
      </c>
      <c r="O34" s="5">
        <v>177</v>
      </c>
      <c r="P34" s="5">
        <v>215</v>
      </c>
      <c r="Q34" s="5">
        <v>183</v>
      </c>
      <c r="R34" s="5">
        <v>155</v>
      </c>
      <c r="S34" s="5">
        <v>221</v>
      </c>
      <c r="T34" s="5">
        <v>194</v>
      </c>
      <c r="U34" s="5">
        <v>199</v>
      </c>
      <c r="V34" s="5">
        <v>185</v>
      </c>
      <c r="W34" s="5">
        <v>225</v>
      </c>
      <c r="X34" s="5">
        <v>210</v>
      </c>
      <c r="Y34" s="5">
        <v>191</v>
      </c>
      <c r="Z34" s="5">
        <v>222</v>
      </c>
      <c r="AA34" s="5">
        <v>177</v>
      </c>
      <c r="AB34" s="5">
        <v>154</v>
      </c>
      <c r="AC34" s="5">
        <v>172</v>
      </c>
      <c r="AD34" s="5">
        <v>207</v>
      </c>
      <c r="AE34" s="5">
        <f>SUM(E34:AD34)</f>
        <v>5224</v>
      </c>
    </row>
    <row r="35" spans="1:31" x14ac:dyDescent="0.4">
      <c r="A35" s="6">
        <v>3</v>
      </c>
      <c r="B35" s="72" t="s">
        <v>40</v>
      </c>
      <c r="C35" s="65"/>
      <c r="D35" s="66"/>
      <c r="E35" s="6"/>
      <c r="F35" s="6">
        <v>1</v>
      </c>
      <c r="G35" s="6"/>
      <c r="H35" s="6">
        <v>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</v>
      </c>
      <c r="AB35" s="6"/>
      <c r="AC35" s="6"/>
      <c r="AD35" s="6"/>
      <c r="AE35" s="5">
        <f>SUM(E35:AD35)</f>
        <v>4</v>
      </c>
    </row>
    <row r="36" spans="1:31" x14ac:dyDescent="0.4">
      <c r="A36" s="6">
        <v>4</v>
      </c>
      <c r="B36" s="72" t="s">
        <v>41</v>
      </c>
      <c r="C36" s="65"/>
      <c r="D36" s="66"/>
      <c r="E36" s="5">
        <f t="shared" ref="E36:N36" si="27">E33-(E34+E35)</f>
        <v>58</v>
      </c>
      <c r="F36" s="5">
        <f t="shared" si="27"/>
        <v>48</v>
      </c>
      <c r="G36" s="5">
        <f t="shared" si="27"/>
        <v>58</v>
      </c>
      <c r="H36" s="5">
        <f t="shared" si="27"/>
        <v>45</v>
      </c>
      <c r="I36" s="5">
        <f t="shared" si="27"/>
        <v>85</v>
      </c>
      <c r="J36" s="5">
        <f t="shared" si="27"/>
        <v>76</v>
      </c>
      <c r="K36" s="5">
        <f t="shared" si="27"/>
        <v>75</v>
      </c>
      <c r="L36" s="5">
        <f t="shared" si="27"/>
        <v>73</v>
      </c>
      <c r="M36" s="5">
        <f t="shared" si="27"/>
        <v>71</v>
      </c>
      <c r="N36" s="5">
        <f t="shared" si="27"/>
        <v>74</v>
      </c>
      <c r="O36" s="5">
        <f t="shared" ref="O36:T36" si="28">O33-(O34+O35)</f>
        <v>66</v>
      </c>
      <c r="P36" s="5">
        <f t="shared" si="28"/>
        <v>43</v>
      </c>
      <c r="Q36" s="5">
        <f t="shared" si="28"/>
        <v>61</v>
      </c>
      <c r="R36" s="5">
        <f t="shared" si="28"/>
        <v>47</v>
      </c>
      <c r="S36" s="5">
        <f t="shared" si="28"/>
        <v>53</v>
      </c>
      <c r="T36" s="5">
        <f t="shared" si="28"/>
        <v>61</v>
      </c>
      <c r="U36" s="5">
        <f t="shared" ref="U36:V36" si="29">U33-(U34+U35)</f>
        <v>79</v>
      </c>
      <c r="V36" s="5">
        <f t="shared" si="29"/>
        <v>33</v>
      </c>
      <c r="W36" s="5">
        <f t="shared" ref="W36:AD36" si="30">W33-(W34+W35)</f>
        <v>60</v>
      </c>
      <c r="X36" s="5">
        <f t="shared" si="30"/>
        <v>75</v>
      </c>
      <c r="Y36" s="5">
        <f t="shared" si="30"/>
        <v>59</v>
      </c>
      <c r="Z36" s="5">
        <f t="shared" si="30"/>
        <v>75</v>
      </c>
      <c r="AA36" s="5">
        <f t="shared" si="30"/>
        <v>50</v>
      </c>
      <c r="AB36" s="5">
        <f t="shared" si="30"/>
        <v>72</v>
      </c>
      <c r="AC36" s="5">
        <f t="shared" si="30"/>
        <v>89</v>
      </c>
      <c r="AD36" s="5">
        <f t="shared" si="30"/>
        <v>86</v>
      </c>
      <c r="AE36" s="5">
        <f>SUM(E36:AD36)</f>
        <v>1672</v>
      </c>
    </row>
    <row r="37" spans="1:31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28"/>
    </row>
    <row r="38" spans="1:31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5"/>
      <c r="AD38" s="5"/>
      <c r="AE38" s="28"/>
    </row>
    <row r="39" spans="1:31" x14ac:dyDescent="0.4">
      <c r="A39" s="11"/>
      <c r="B39" s="87" t="s">
        <v>44</v>
      </c>
      <c r="C39" s="74"/>
      <c r="D39" s="6" t="s">
        <v>23</v>
      </c>
      <c r="E39" s="6">
        <v>2</v>
      </c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</v>
      </c>
      <c r="V39" s="6">
        <v>1</v>
      </c>
      <c r="W39" s="6"/>
      <c r="X39" s="6"/>
      <c r="Y39" s="6">
        <v>1</v>
      </c>
      <c r="Z39" s="6"/>
      <c r="AA39" s="6">
        <v>3</v>
      </c>
      <c r="AB39" s="6">
        <v>1</v>
      </c>
      <c r="AC39" s="6"/>
      <c r="AD39" s="6"/>
      <c r="AE39" s="5">
        <f>SUM(E39:AD39)</f>
        <v>10</v>
      </c>
    </row>
    <row r="40" spans="1:31" x14ac:dyDescent="0.4">
      <c r="A40" s="12"/>
      <c r="B40" s="88"/>
      <c r="C40" s="76"/>
      <c r="D40" s="6" t="s">
        <v>24</v>
      </c>
      <c r="E40" s="6">
        <v>2</v>
      </c>
      <c r="F40" s="6"/>
      <c r="G40" s="6"/>
      <c r="H40" s="6"/>
      <c r="I40" s="6">
        <v>1</v>
      </c>
      <c r="J40" s="6"/>
      <c r="K40" s="6"/>
      <c r="L40" s="6"/>
      <c r="M40" s="6"/>
      <c r="N40" s="6"/>
      <c r="O40" s="6"/>
      <c r="P40" s="6"/>
      <c r="Q40" s="6"/>
      <c r="R40" s="6">
        <v>2</v>
      </c>
      <c r="S40" s="6"/>
      <c r="T40" s="6"/>
      <c r="U40" s="6"/>
      <c r="V40" s="6"/>
      <c r="W40" s="6">
        <v>2</v>
      </c>
      <c r="X40" s="6"/>
      <c r="Y40" s="6">
        <v>1</v>
      </c>
      <c r="Z40" s="6">
        <v>1</v>
      </c>
      <c r="AA40" s="6">
        <v>2</v>
      </c>
      <c r="AB40" s="6">
        <v>3</v>
      </c>
      <c r="AC40" s="6"/>
      <c r="AD40" s="6"/>
      <c r="AE40" s="5">
        <f>SUM(E40:AD40)</f>
        <v>14</v>
      </c>
    </row>
    <row r="41" spans="1:31" x14ac:dyDescent="0.4">
      <c r="A41" s="14"/>
      <c r="B41" s="89"/>
      <c r="C41" s="78"/>
      <c r="D41" s="5" t="s">
        <v>25</v>
      </c>
      <c r="E41" s="5">
        <f t="shared" ref="E41:N41" si="31">SUM(E39:E40)</f>
        <v>4</v>
      </c>
      <c r="F41" s="5">
        <f t="shared" si="31"/>
        <v>0</v>
      </c>
      <c r="G41" s="5">
        <f t="shared" si="31"/>
        <v>0</v>
      </c>
      <c r="H41" s="5">
        <f t="shared" si="31"/>
        <v>0</v>
      </c>
      <c r="I41" s="5">
        <f t="shared" si="31"/>
        <v>1</v>
      </c>
      <c r="J41" s="5">
        <f t="shared" si="31"/>
        <v>1</v>
      </c>
      <c r="K41" s="5">
        <f t="shared" si="31"/>
        <v>0</v>
      </c>
      <c r="L41" s="5">
        <f t="shared" si="31"/>
        <v>0</v>
      </c>
      <c r="M41" s="5">
        <f t="shared" si="31"/>
        <v>0</v>
      </c>
      <c r="N41" s="5">
        <f t="shared" si="31"/>
        <v>0</v>
      </c>
      <c r="O41" s="5">
        <f t="shared" ref="O41:T41" si="32">SUM(O39:O40)</f>
        <v>0</v>
      </c>
      <c r="P41" s="5">
        <f t="shared" si="32"/>
        <v>0</v>
      </c>
      <c r="Q41" s="5">
        <f t="shared" si="32"/>
        <v>0</v>
      </c>
      <c r="R41" s="5">
        <f t="shared" si="32"/>
        <v>2</v>
      </c>
      <c r="S41" s="5">
        <f t="shared" si="32"/>
        <v>0</v>
      </c>
      <c r="T41" s="5">
        <f t="shared" si="32"/>
        <v>0</v>
      </c>
      <c r="U41" s="5">
        <f t="shared" ref="U41:V41" si="33">SUM(U39:U40)</f>
        <v>1</v>
      </c>
      <c r="V41" s="5">
        <f t="shared" si="33"/>
        <v>1</v>
      </c>
      <c r="W41" s="5">
        <f t="shared" ref="W41:AD41" si="34">SUM(W39:W40)</f>
        <v>2</v>
      </c>
      <c r="X41" s="5">
        <f t="shared" si="34"/>
        <v>0</v>
      </c>
      <c r="Y41" s="5">
        <f t="shared" si="34"/>
        <v>2</v>
      </c>
      <c r="Z41" s="5">
        <f t="shared" si="34"/>
        <v>1</v>
      </c>
      <c r="AA41" s="5">
        <f t="shared" si="34"/>
        <v>5</v>
      </c>
      <c r="AB41" s="5">
        <f t="shared" si="34"/>
        <v>4</v>
      </c>
      <c r="AC41" s="5">
        <f t="shared" si="34"/>
        <v>0</v>
      </c>
      <c r="AD41" s="5">
        <f t="shared" si="34"/>
        <v>0</v>
      </c>
      <c r="AE41" s="5">
        <f>SUM(E41:AD41)</f>
        <v>24</v>
      </c>
    </row>
    <row r="42" spans="1:31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5"/>
    </row>
    <row r="43" spans="1:31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5"/>
      <c r="AD43" s="5"/>
      <c r="AE43" s="5"/>
    </row>
    <row r="44" spans="1:31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10"/>
      <c r="AD44" s="6"/>
      <c r="AE44" s="5"/>
    </row>
    <row r="45" spans="1:31" x14ac:dyDescent="0.4">
      <c r="A45" s="11" t="s">
        <v>48</v>
      </c>
      <c r="B45" s="17" t="s">
        <v>28</v>
      </c>
      <c r="C45" s="92" t="s">
        <v>49</v>
      </c>
      <c r="D45" s="66"/>
      <c r="E45" s="6">
        <v>4</v>
      </c>
      <c r="F45" s="6">
        <v>6</v>
      </c>
      <c r="G45" s="6">
        <v>2</v>
      </c>
      <c r="H45" s="6">
        <v>1</v>
      </c>
      <c r="I45" s="6">
        <v>6</v>
      </c>
      <c r="J45" s="6">
        <v>5</v>
      </c>
      <c r="K45" s="6">
        <v>5</v>
      </c>
      <c r="L45" s="6">
        <v>4</v>
      </c>
      <c r="M45" s="6">
        <v>5</v>
      </c>
      <c r="N45" s="6">
        <v>2</v>
      </c>
      <c r="O45" s="6">
        <v>4</v>
      </c>
      <c r="P45" s="6">
        <v>6</v>
      </c>
      <c r="Q45" s="6">
        <v>4</v>
      </c>
      <c r="R45" s="6">
        <v>1</v>
      </c>
      <c r="S45" s="6">
        <v>4</v>
      </c>
      <c r="T45" s="6">
        <v>4</v>
      </c>
      <c r="U45" s="6">
        <v>3</v>
      </c>
      <c r="V45" s="6">
        <v>1</v>
      </c>
      <c r="W45" s="6">
        <v>5</v>
      </c>
      <c r="X45" s="6">
        <v>5</v>
      </c>
      <c r="Y45" s="6">
        <v>11</v>
      </c>
      <c r="Z45" s="6">
        <v>5</v>
      </c>
      <c r="AA45" s="6">
        <v>4</v>
      </c>
      <c r="AB45" s="6">
        <v>2</v>
      </c>
      <c r="AC45" s="6">
        <v>1</v>
      </c>
      <c r="AD45" s="6">
        <v>6</v>
      </c>
      <c r="AE45" s="5">
        <f t="shared" ref="AE45:AE54" si="35">SUM(E45:AD45)</f>
        <v>106</v>
      </c>
    </row>
    <row r="46" spans="1:31" x14ac:dyDescent="0.4">
      <c r="A46" s="11" t="s">
        <v>50</v>
      </c>
      <c r="B46" s="50"/>
      <c r="C46" s="24" t="s">
        <v>147</v>
      </c>
      <c r="D46" s="51"/>
      <c r="E46" s="6">
        <v>3</v>
      </c>
      <c r="F46" s="6"/>
      <c r="G46" s="6">
        <v>3</v>
      </c>
      <c r="H46" s="6">
        <v>2</v>
      </c>
      <c r="I46" s="6">
        <v>4</v>
      </c>
      <c r="J46" s="6">
        <v>2</v>
      </c>
      <c r="K46" s="6">
        <v>3</v>
      </c>
      <c r="L46" s="6">
        <v>5</v>
      </c>
      <c r="M46" s="6">
        <v>3</v>
      </c>
      <c r="N46" s="6">
        <v>5</v>
      </c>
      <c r="O46" s="6"/>
      <c r="P46" s="6">
        <v>1</v>
      </c>
      <c r="Q46" s="6">
        <v>3</v>
      </c>
      <c r="R46" s="6">
        <v>1</v>
      </c>
      <c r="S46" s="6">
        <v>1</v>
      </c>
      <c r="T46" s="6">
        <v>4</v>
      </c>
      <c r="U46" s="6">
        <v>2</v>
      </c>
      <c r="V46" s="6"/>
      <c r="W46" s="6">
        <v>1</v>
      </c>
      <c r="X46" s="6"/>
      <c r="Y46" s="6">
        <v>61</v>
      </c>
      <c r="Z46" s="6">
        <v>12</v>
      </c>
      <c r="AA46" s="6">
        <v>8</v>
      </c>
      <c r="AB46" s="6">
        <v>1</v>
      </c>
      <c r="AC46" s="6">
        <v>3</v>
      </c>
      <c r="AD46" s="6">
        <v>6</v>
      </c>
      <c r="AE46" s="5">
        <f t="shared" si="35"/>
        <v>134</v>
      </c>
    </row>
    <row r="47" spans="1:31" x14ac:dyDescent="0.4">
      <c r="A47" s="7"/>
      <c r="B47" s="50"/>
      <c r="C47" s="24" t="s">
        <v>148</v>
      </c>
      <c r="D47" s="51"/>
      <c r="E47" s="6">
        <v>7</v>
      </c>
      <c r="F47" s="6">
        <v>17</v>
      </c>
      <c r="G47" s="6">
        <v>24</v>
      </c>
      <c r="H47" s="6">
        <v>11</v>
      </c>
      <c r="I47" s="6">
        <v>9</v>
      </c>
      <c r="J47" s="6">
        <v>10</v>
      </c>
      <c r="K47" s="6"/>
      <c r="L47" s="6">
        <v>13</v>
      </c>
      <c r="M47" s="6">
        <v>13</v>
      </c>
      <c r="N47" s="6">
        <v>13</v>
      </c>
      <c r="O47" s="6">
        <v>13</v>
      </c>
      <c r="P47" s="6">
        <v>16</v>
      </c>
      <c r="Q47" s="6">
        <v>8</v>
      </c>
      <c r="R47" s="6">
        <v>6</v>
      </c>
      <c r="S47" s="6">
        <v>35</v>
      </c>
      <c r="T47" s="6">
        <v>30</v>
      </c>
      <c r="U47" s="6">
        <v>6</v>
      </c>
      <c r="V47" s="6">
        <v>5</v>
      </c>
      <c r="W47" s="6">
        <v>6</v>
      </c>
      <c r="X47" s="6">
        <v>4</v>
      </c>
      <c r="Y47" s="6">
        <v>11</v>
      </c>
      <c r="Z47" s="6">
        <v>4</v>
      </c>
      <c r="AA47" s="6">
        <v>9</v>
      </c>
      <c r="AB47" s="6">
        <v>2</v>
      </c>
      <c r="AC47" s="6">
        <v>8</v>
      </c>
      <c r="AD47" s="6">
        <v>10</v>
      </c>
      <c r="AE47" s="5">
        <f t="shared" si="35"/>
        <v>290</v>
      </c>
    </row>
    <row r="48" spans="1:31" x14ac:dyDescent="0.4">
      <c r="A48" s="7"/>
      <c r="B48" s="50"/>
      <c r="C48" s="24" t="s">
        <v>149</v>
      </c>
      <c r="D48" s="51"/>
      <c r="E48" s="6">
        <v>7</v>
      </c>
      <c r="F48" s="6">
        <v>11</v>
      </c>
      <c r="G48" s="6">
        <v>35</v>
      </c>
      <c r="H48" s="6"/>
      <c r="I48" s="6">
        <v>5</v>
      </c>
      <c r="J48" s="6">
        <v>5</v>
      </c>
      <c r="K48" s="6">
        <v>4</v>
      </c>
      <c r="L48" s="6">
        <v>16</v>
      </c>
      <c r="M48" s="6">
        <v>46</v>
      </c>
      <c r="N48" s="6">
        <v>14</v>
      </c>
      <c r="O48" s="6">
        <v>40</v>
      </c>
      <c r="P48" s="6">
        <v>2</v>
      </c>
      <c r="Q48" s="6">
        <v>29</v>
      </c>
      <c r="R48" s="6">
        <v>3</v>
      </c>
      <c r="S48" s="6">
        <v>8</v>
      </c>
      <c r="T48" s="6">
        <v>7</v>
      </c>
      <c r="U48" s="6">
        <v>5</v>
      </c>
      <c r="V48" s="6">
        <v>1</v>
      </c>
      <c r="W48" s="6">
        <v>22</v>
      </c>
      <c r="X48" s="6">
        <v>16</v>
      </c>
      <c r="Y48" s="6">
        <v>14</v>
      </c>
      <c r="Z48" s="6">
        <v>44</v>
      </c>
      <c r="AA48" s="6">
        <v>10</v>
      </c>
      <c r="AB48" s="6">
        <v>7</v>
      </c>
      <c r="AC48" s="6">
        <v>15</v>
      </c>
      <c r="AD48" s="6">
        <v>9</v>
      </c>
      <c r="AE48" s="5">
        <f t="shared" si="35"/>
        <v>375</v>
      </c>
    </row>
    <row r="49" spans="1:31" x14ac:dyDescent="0.4">
      <c r="A49" s="7"/>
      <c r="B49" s="50"/>
      <c r="C49" s="24" t="s">
        <v>150</v>
      </c>
      <c r="D49" s="51"/>
      <c r="E49" s="6"/>
      <c r="F49" s="6"/>
      <c r="G49" s="6">
        <v>1</v>
      </c>
      <c r="H49" s="6"/>
      <c r="I49" s="6">
        <v>4</v>
      </c>
      <c r="J49" s="6"/>
      <c r="K49" s="6"/>
      <c r="L49" s="6"/>
      <c r="M49" s="6"/>
      <c r="N49" s="6">
        <v>2</v>
      </c>
      <c r="O49" s="6"/>
      <c r="P49" s="6">
        <v>1</v>
      </c>
      <c r="Q49" s="6"/>
      <c r="R49" s="6"/>
      <c r="S49" s="6"/>
      <c r="T49" s="6"/>
      <c r="U49" s="6">
        <v>1</v>
      </c>
      <c r="V49" s="6"/>
      <c r="W49" s="6"/>
      <c r="X49" s="6"/>
      <c r="Y49" s="6"/>
      <c r="Z49" s="6"/>
      <c r="AA49" s="6">
        <v>2</v>
      </c>
      <c r="AB49" s="6"/>
      <c r="AC49" s="6"/>
      <c r="AD49" s="6">
        <v>1</v>
      </c>
      <c r="AE49" s="5">
        <f t="shared" si="35"/>
        <v>12</v>
      </c>
    </row>
    <row r="50" spans="1:31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>
        <v>1</v>
      </c>
      <c r="K50" s="6"/>
      <c r="L50" s="6"/>
      <c r="M50" s="6"/>
      <c r="N50" s="6">
        <v>1</v>
      </c>
      <c r="O50" s="6"/>
      <c r="P50" s="6"/>
      <c r="Q50" s="6"/>
      <c r="R50" s="6"/>
      <c r="S50" s="6">
        <v>3</v>
      </c>
      <c r="T50" s="6"/>
      <c r="U50" s="6"/>
      <c r="V50" s="6"/>
      <c r="W50" s="6">
        <v>4</v>
      </c>
      <c r="X50" s="6"/>
      <c r="Y50" s="6"/>
      <c r="Z50" s="6"/>
      <c r="AA50" s="6"/>
      <c r="AB50" s="6"/>
      <c r="AC50" s="6"/>
      <c r="AD50" s="6">
        <v>1</v>
      </c>
      <c r="AE50" s="5">
        <f t="shared" si="35"/>
        <v>10</v>
      </c>
    </row>
    <row r="51" spans="1:31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>
        <v>1</v>
      </c>
      <c r="L51" s="6"/>
      <c r="M51" s="6"/>
      <c r="N51" s="6"/>
      <c r="O51" s="6"/>
      <c r="P51" s="6"/>
      <c r="Q51" s="6"/>
      <c r="R51" s="6"/>
      <c r="S51" s="6">
        <v>1</v>
      </c>
      <c r="T51" s="6"/>
      <c r="U51" s="6"/>
      <c r="V51" s="6"/>
      <c r="W51" s="6"/>
      <c r="X51" s="6"/>
      <c r="Y51" s="6"/>
      <c r="Z51" s="6"/>
      <c r="AA51" s="6">
        <v>1</v>
      </c>
      <c r="AB51" s="6"/>
      <c r="AC51" s="6"/>
      <c r="AD51" s="6"/>
      <c r="AE51" s="5">
        <f t="shared" si="35"/>
        <v>3</v>
      </c>
    </row>
    <row r="52" spans="1:31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/>
      <c r="K52" s="6"/>
      <c r="L52" s="6"/>
      <c r="M52" s="6"/>
      <c r="N52" s="6">
        <v>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1</v>
      </c>
      <c r="AA52" s="6"/>
      <c r="AB52" s="6"/>
      <c r="AC52" s="6"/>
      <c r="AD52" s="6"/>
      <c r="AE52" s="5">
        <f t="shared" si="35"/>
        <v>2</v>
      </c>
    </row>
    <row r="53" spans="1:31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5">
        <f t="shared" si="35"/>
        <v>0</v>
      </c>
    </row>
    <row r="54" spans="1:31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5">
        <f t="shared" si="35"/>
        <v>0</v>
      </c>
    </row>
    <row r="55" spans="1:31" x14ac:dyDescent="0.4">
      <c r="A55" s="6" t="s">
        <v>26</v>
      </c>
      <c r="B55" s="85" t="s">
        <v>51</v>
      </c>
      <c r="C55" s="65"/>
      <c r="D55" s="66"/>
      <c r="E55" s="5">
        <f>SUM(E45:E54)</f>
        <v>21</v>
      </c>
      <c r="F55" s="5">
        <f t="shared" ref="F55:T55" si="36">SUM(F45:F54)</f>
        <v>34</v>
      </c>
      <c r="G55" s="5">
        <f t="shared" si="36"/>
        <v>65</v>
      </c>
      <c r="H55" s="5">
        <f t="shared" si="36"/>
        <v>14</v>
      </c>
      <c r="I55" s="5">
        <f t="shared" si="36"/>
        <v>28</v>
      </c>
      <c r="J55" s="5">
        <f t="shared" si="36"/>
        <v>23</v>
      </c>
      <c r="K55" s="5">
        <f t="shared" si="36"/>
        <v>13</v>
      </c>
      <c r="L55" s="5">
        <f t="shared" si="36"/>
        <v>38</v>
      </c>
      <c r="M55" s="5">
        <f t="shared" si="36"/>
        <v>67</v>
      </c>
      <c r="N55" s="5">
        <f t="shared" si="36"/>
        <v>38</v>
      </c>
      <c r="O55" s="5">
        <f t="shared" si="36"/>
        <v>57</v>
      </c>
      <c r="P55" s="5">
        <f t="shared" si="36"/>
        <v>26</v>
      </c>
      <c r="Q55" s="5">
        <f t="shared" si="36"/>
        <v>44</v>
      </c>
      <c r="R55" s="5">
        <f t="shared" si="36"/>
        <v>11</v>
      </c>
      <c r="S55" s="5">
        <f t="shared" si="36"/>
        <v>52</v>
      </c>
      <c r="T55" s="5">
        <f t="shared" si="36"/>
        <v>45</v>
      </c>
      <c r="U55" s="5">
        <f t="shared" ref="U55:AE55" si="37">SUM(U45:U54)</f>
        <v>17</v>
      </c>
      <c r="V55" s="5">
        <f t="shared" si="37"/>
        <v>7</v>
      </c>
      <c r="W55" s="5">
        <f t="shared" ref="W55:AD55" si="38">SUM(W45:W54)</f>
        <v>38</v>
      </c>
      <c r="X55" s="5">
        <f t="shared" si="38"/>
        <v>25</v>
      </c>
      <c r="Y55" s="5">
        <f t="shared" si="38"/>
        <v>97</v>
      </c>
      <c r="Z55" s="5">
        <f t="shared" si="38"/>
        <v>66</v>
      </c>
      <c r="AA55" s="5">
        <f t="shared" si="38"/>
        <v>34</v>
      </c>
      <c r="AB55" s="5">
        <f t="shared" si="38"/>
        <v>12</v>
      </c>
      <c r="AC55" s="5">
        <f t="shared" si="38"/>
        <v>27</v>
      </c>
      <c r="AD55" s="5">
        <f t="shared" si="38"/>
        <v>33</v>
      </c>
      <c r="AE55" s="5">
        <f t="shared" si="37"/>
        <v>932</v>
      </c>
    </row>
    <row r="56" spans="1:31" x14ac:dyDescent="0.4">
      <c r="A56" s="90"/>
      <c r="B56" s="89"/>
      <c r="C56" s="89"/>
      <c r="D56" s="89"/>
      <c r="E56" s="89"/>
      <c r="AE56" s="5"/>
    </row>
    <row r="57" spans="1:31" x14ac:dyDescent="0.4">
      <c r="A57" s="11" t="s">
        <v>48</v>
      </c>
      <c r="B57" s="17" t="s">
        <v>30</v>
      </c>
      <c r="C57" s="92" t="s">
        <v>52</v>
      </c>
      <c r="D57" s="66"/>
      <c r="E57" s="6">
        <v>6</v>
      </c>
      <c r="F57" s="6">
        <v>2</v>
      </c>
      <c r="G57" s="6">
        <v>3</v>
      </c>
      <c r="H57" s="6">
        <v>6</v>
      </c>
      <c r="I57" s="6">
        <v>5</v>
      </c>
      <c r="J57" s="6">
        <v>12</v>
      </c>
      <c r="K57" s="6">
        <v>7</v>
      </c>
      <c r="L57" s="6">
        <v>8</v>
      </c>
      <c r="M57" s="6">
        <v>6</v>
      </c>
      <c r="N57" s="6">
        <v>11</v>
      </c>
      <c r="O57" s="6">
        <v>8</v>
      </c>
      <c r="P57" s="6">
        <v>1</v>
      </c>
      <c r="Q57" s="6">
        <v>2</v>
      </c>
      <c r="R57" s="6">
        <v>1</v>
      </c>
      <c r="S57" s="6">
        <v>2</v>
      </c>
      <c r="T57" s="6">
        <v>5</v>
      </c>
      <c r="U57" s="6">
        <v>10</v>
      </c>
      <c r="V57" s="6"/>
      <c r="W57" s="6">
        <v>3</v>
      </c>
      <c r="X57" s="6">
        <v>4</v>
      </c>
      <c r="Y57" s="6">
        <v>2</v>
      </c>
      <c r="Z57" s="6">
        <v>4</v>
      </c>
      <c r="AA57" s="6">
        <v>3</v>
      </c>
      <c r="AB57" s="6">
        <v>4</v>
      </c>
      <c r="AC57" s="6">
        <v>10</v>
      </c>
      <c r="AD57" s="6">
        <v>8</v>
      </c>
      <c r="AE57" s="5">
        <f t="shared" ref="AE57:AE66" si="39">SUM(E57:AD57)</f>
        <v>133</v>
      </c>
    </row>
    <row r="58" spans="1:31" x14ac:dyDescent="0.4">
      <c r="A58" s="11" t="s">
        <v>50</v>
      </c>
      <c r="B58" s="50"/>
      <c r="C58" s="24" t="s">
        <v>154</v>
      </c>
      <c r="D58" s="51"/>
      <c r="E58" s="6">
        <v>1</v>
      </c>
      <c r="F58" s="6">
        <v>1</v>
      </c>
      <c r="G58" s="6">
        <v>2</v>
      </c>
      <c r="H58" s="6"/>
      <c r="I58" s="6">
        <v>2</v>
      </c>
      <c r="J58" s="6"/>
      <c r="K58" s="6"/>
      <c r="L58" s="6"/>
      <c r="M58" s="6">
        <v>4</v>
      </c>
      <c r="N58" s="6">
        <v>2</v>
      </c>
      <c r="O58" s="6">
        <v>2</v>
      </c>
      <c r="P58" s="6"/>
      <c r="Q58" s="6">
        <v>4</v>
      </c>
      <c r="R58" s="6"/>
      <c r="S58" s="6">
        <v>3</v>
      </c>
      <c r="T58" s="6">
        <v>1</v>
      </c>
      <c r="U58" s="6"/>
      <c r="V58" s="6">
        <v>2</v>
      </c>
      <c r="W58" s="6">
        <v>1</v>
      </c>
      <c r="X58" s="6">
        <v>4</v>
      </c>
      <c r="Y58" s="6">
        <v>1</v>
      </c>
      <c r="Z58" s="6">
        <v>1</v>
      </c>
      <c r="AA58" s="6">
        <v>2</v>
      </c>
      <c r="AB58" s="6">
        <v>1</v>
      </c>
      <c r="AC58" s="6"/>
      <c r="AD58" s="6">
        <v>1</v>
      </c>
      <c r="AE58" s="5">
        <f t="shared" si="39"/>
        <v>35</v>
      </c>
    </row>
    <row r="59" spans="1:31" x14ac:dyDescent="0.4">
      <c r="A59" s="7"/>
      <c r="B59" s="50"/>
      <c r="C59" s="24" t="s">
        <v>155</v>
      </c>
      <c r="D59" s="51"/>
      <c r="E59" s="6">
        <v>2</v>
      </c>
      <c r="F59" s="6">
        <v>2</v>
      </c>
      <c r="G59" s="6">
        <v>1</v>
      </c>
      <c r="H59" s="6">
        <v>2</v>
      </c>
      <c r="I59" s="6">
        <v>1</v>
      </c>
      <c r="J59" s="6">
        <v>4</v>
      </c>
      <c r="K59" s="6">
        <v>1</v>
      </c>
      <c r="L59" s="6">
        <v>8</v>
      </c>
      <c r="M59" s="6">
        <v>1</v>
      </c>
      <c r="N59" s="6">
        <v>1</v>
      </c>
      <c r="O59" s="6">
        <v>4</v>
      </c>
      <c r="P59" s="6">
        <v>1</v>
      </c>
      <c r="Q59" s="6">
        <v>3</v>
      </c>
      <c r="R59" s="6"/>
      <c r="S59" s="6">
        <v>7</v>
      </c>
      <c r="T59" s="6">
        <v>1</v>
      </c>
      <c r="U59" s="6">
        <v>2</v>
      </c>
      <c r="V59" s="6">
        <v>3</v>
      </c>
      <c r="W59" s="6"/>
      <c r="X59" s="6">
        <v>1</v>
      </c>
      <c r="Y59" s="6"/>
      <c r="Z59" s="6">
        <v>3</v>
      </c>
      <c r="AA59" s="6">
        <v>2</v>
      </c>
      <c r="AB59" s="6"/>
      <c r="AC59" s="6">
        <v>2</v>
      </c>
      <c r="AD59" s="6">
        <v>1</v>
      </c>
      <c r="AE59" s="5">
        <f t="shared" si="39"/>
        <v>53</v>
      </c>
    </row>
    <row r="60" spans="1:31" x14ac:dyDescent="0.4">
      <c r="A60" s="7"/>
      <c r="B60" s="50"/>
      <c r="C60" s="24" t="s">
        <v>156</v>
      </c>
      <c r="D60" s="51"/>
      <c r="E60" s="6"/>
      <c r="F60" s="6"/>
      <c r="G60" s="6">
        <v>1</v>
      </c>
      <c r="H60" s="6"/>
      <c r="I60" s="6"/>
      <c r="J60" s="6">
        <v>1</v>
      </c>
      <c r="K60" s="6"/>
      <c r="L60" s="6">
        <v>2</v>
      </c>
      <c r="M60" s="6"/>
      <c r="N60" s="6">
        <v>1</v>
      </c>
      <c r="O60" s="6">
        <v>3</v>
      </c>
      <c r="P60" s="6">
        <v>1</v>
      </c>
      <c r="Q60" s="6"/>
      <c r="R60" s="6"/>
      <c r="S60" s="6"/>
      <c r="T60" s="6"/>
      <c r="U60" s="6">
        <v>2</v>
      </c>
      <c r="V60" s="6"/>
      <c r="W60" s="6">
        <v>1</v>
      </c>
      <c r="X60" s="6"/>
      <c r="Y60" s="6"/>
      <c r="Z60" s="6"/>
      <c r="AA60" s="6"/>
      <c r="AB60" s="6"/>
      <c r="AC60" s="6"/>
      <c r="AD60" s="6"/>
      <c r="AE60" s="5">
        <f t="shared" si="39"/>
        <v>12</v>
      </c>
    </row>
    <row r="61" spans="1:31" x14ac:dyDescent="0.4">
      <c r="A61" s="7"/>
      <c r="B61" s="50"/>
      <c r="C61" s="24" t="s">
        <v>157</v>
      </c>
      <c r="D61" s="51"/>
      <c r="E61" s="6"/>
      <c r="F61" s="6"/>
      <c r="G61" s="6"/>
      <c r="H61" s="6"/>
      <c r="I61" s="6">
        <v>3</v>
      </c>
      <c r="J61" s="6"/>
      <c r="K61" s="6">
        <v>2</v>
      </c>
      <c r="L61" s="6"/>
      <c r="M61" s="6">
        <v>1</v>
      </c>
      <c r="N61" s="6"/>
      <c r="O61" s="6"/>
      <c r="P61" s="6"/>
      <c r="Q61" s="6">
        <v>1</v>
      </c>
      <c r="R61" s="6"/>
      <c r="S61" s="6"/>
      <c r="T61" s="6"/>
      <c r="U61" s="6"/>
      <c r="V61" s="6"/>
      <c r="W61" s="6"/>
      <c r="X61" s="6"/>
      <c r="Y61" s="6">
        <v>2</v>
      </c>
      <c r="Z61" s="6"/>
      <c r="AA61" s="6"/>
      <c r="AB61" s="6">
        <v>1</v>
      </c>
      <c r="AC61" s="6"/>
      <c r="AD61" s="6">
        <v>1</v>
      </c>
      <c r="AE61" s="5">
        <f t="shared" si="39"/>
        <v>11</v>
      </c>
    </row>
    <row r="62" spans="1:31" x14ac:dyDescent="0.4">
      <c r="A62" s="7"/>
      <c r="B62" s="50"/>
      <c r="C62" s="24" t="s">
        <v>158</v>
      </c>
      <c r="D62" s="51"/>
      <c r="E62" s="6"/>
      <c r="F62" s="6"/>
      <c r="G62" s="6"/>
      <c r="H62" s="6"/>
      <c r="I62" s="6"/>
      <c r="J62" s="6"/>
      <c r="K62" s="6"/>
      <c r="L62" s="6"/>
      <c r="M62" s="6"/>
      <c r="N62" s="6">
        <v>1</v>
      </c>
      <c r="O62" s="6"/>
      <c r="P62" s="6"/>
      <c r="Q62" s="6">
        <v>1</v>
      </c>
      <c r="R62" s="6"/>
      <c r="S62" s="6"/>
      <c r="T62" s="6">
        <v>1</v>
      </c>
      <c r="U62" s="6"/>
      <c r="V62" s="6"/>
      <c r="W62" s="6"/>
      <c r="X62" s="6"/>
      <c r="Y62" s="6"/>
      <c r="Z62" s="6">
        <v>1</v>
      </c>
      <c r="AA62" s="6"/>
      <c r="AB62" s="6"/>
      <c r="AC62" s="6"/>
      <c r="AD62" s="6"/>
      <c r="AE62" s="5">
        <f t="shared" si="39"/>
        <v>4</v>
      </c>
    </row>
    <row r="63" spans="1:31" ht="13.15" customHeight="1" x14ac:dyDescent="0.4">
      <c r="A63" s="7"/>
      <c r="B63" s="50"/>
      <c r="C63" s="24" t="s">
        <v>159</v>
      </c>
      <c r="D63" s="51"/>
      <c r="E63" s="6"/>
      <c r="F63" s="6"/>
      <c r="G63" s="6"/>
      <c r="H63" s="6"/>
      <c r="I63" s="6"/>
      <c r="J63" s="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>
        <v>1</v>
      </c>
      <c r="AE63" s="5">
        <f t="shared" si="39"/>
        <v>2</v>
      </c>
    </row>
    <row r="64" spans="1:31" x14ac:dyDescent="0.4">
      <c r="A64" s="7"/>
      <c r="B64" s="50"/>
      <c r="C64" s="24" t="s">
        <v>160</v>
      </c>
      <c r="D64" s="51"/>
      <c r="E64" s="6">
        <v>1</v>
      </c>
      <c r="F64" s="6"/>
      <c r="G64" s="6"/>
      <c r="H64" s="6"/>
      <c r="I64" s="6">
        <v>1</v>
      </c>
      <c r="J64" s="6">
        <v>1</v>
      </c>
      <c r="K64" s="6">
        <v>2</v>
      </c>
      <c r="L64" s="6"/>
      <c r="M64" s="6">
        <v>1</v>
      </c>
      <c r="N64" s="6"/>
      <c r="O64" s="6">
        <v>1</v>
      </c>
      <c r="P64" s="6"/>
      <c r="Q64" s="6"/>
      <c r="R64" s="6">
        <v>2</v>
      </c>
      <c r="S64" s="6"/>
      <c r="T64" s="6"/>
      <c r="U64" s="6"/>
      <c r="V64" s="6"/>
      <c r="W64" s="6"/>
      <c r="X64" s="6">
        <v>1</v>
      </c>
      <c r="Y64" s="6">
        <v>1</v>
      </c>
      <c r="Z64" s="6"/>
      <c r="AA64" s="6">
        <v>1</v>
      </c>
      <c r="AB64" s="6"/>
      <c r="AC64" s="6"/>
      <c r="AD64" s="6"/>
      <c r="AE64" s="5">
        <f t="shared" si="39"/>
        <v>12</v>
      </c>
    </row>
    <row r="65" spans="1:31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5">
        <f t="shared" si="39"/>
        <v>0</v>
      </c>
    </row>
    <row r="66" spans="1:31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5">
        <f t="shared" si="39"/>
        <v>0</v>
      </c>
    </row>
    <row r="67" spans="1:31" x14ac:dyDescent="0.4">
      <c r="A67" s="6" t="s">
        <v>26</v>
      </c>
      <c r="B67" s="85" t="s">
        <v>51</v>
      </c>
      <c r="C67" s="65"/>
      <c r="D67" s="66"/>
      <c r="E67" s="5">
        <f t="shared" ref="E67:AE67" si="40">SUM(E57:E66)</f>
        <v>10</v>
      </c>
      <c r="F67" s="5">
        <f t="shared" ref="F67:T67" si="41">SUM(F57:F66)</f>
        <v>5</v>
      </c>
      <c r="G67" s="5">
        <f t="shared" si="41"/>
        <v>7</v>
      </c>
      <c r="H67" s="5">
        <f t="shared" si="41"/>
        <v>8</v>
      </c>
      <c r="I67" s="5">
        <f t="shared" si="41"/>
        <v>12</v>
      </c>
      <c r="J67" s="5">
        <f t="shared" si="41"/>
        <v>19</v>
      </c>
      <c r="K67" s="5">
        <f t="shared" si="41"/>
        <v>12</v>
      </c>
      <c r="L67" s="5">
        <f t="shared" si="41"/>
        <v>18</v>
      </c>
      <c r="M67" s="5">
        <f t="shared" si="41"/>
        <v>13</v>
      </c>
      <c r="N67" s="5">
        <f t="shared" si="41"/>
        <v>16</v>
      </c>
      <c r="O67" s="5">
        <f t="shared" si="41"/>
        <v>18</v>
      </c>
      <c r="P67" s="5">
        <f t="shared" si="41"/>
        <v>3</v>
      </c>
      <c r="Q67" s="5">
        <f t="shared" si="41"/>
        <v>11</v>
      </c>
      <c r="R67" s="5">
        <f t="shared" si="41"/>
        <v>3</v>
      </c>
      <c r="S67" s="5">
        <f t="shared" si="41"/>
        <v>12</v>
      </c>
      <c r="T67" s="5">
        <f t="shared" si="41"/>
        <v>8</v>
      </c>
      <c r="U67" s="5">
        <f t="shared" si="40"/>
        <v>14</v>
      </c>
      <c r="V67" s="5">
        <f t="shared" si="40"/>
        <v>5</v>
      </c>
      <c r="W67" s="5">
        <f t="shared" ref="W67:AD67" si="42">SUM(W57:W66)</f>
        <v>5</v>
      </c>
      <c r="X67" s="5">
        <f t="shared" si="42"/>
        <v>10</v>
      </c>
      <c r="Y67" s="5">
        <f t="shared" si="42"/>
        <v>6</v>
      </c>
      <c r="Z67" s="5">
        <f t="shared" si="42"/>
        <v>9</v>
      </c>
      <c r="AA67" s="5">
        <f t="shared" si="42"/>
        <v>8</v>
      </c>
      <c r="AB67" s="5">
        <f t="shared" si="42"/>
        <v>6</v>
      </c>
      <c r="AC67" s="5">
        <f t="shared" si="42"/>
        <v>12</v>
      </c>
      <c r="AD67" s="5">
        <f t="shared" si="42"/>
        <v>12</v>
      </c>
      <c r="AE67" s="5">
        <f t="shared" si="40"/>
        <v>262</v>
      </c>
    </row>
    <row r="68" spans="1:31" x14ac:dyDescent="0.4">
      <c r="A68" s="90"/>
      <c r="B68" s="89"/>
      <c r="C68" s="89"/>
      <c r="D68" s="89"/>
      <c r="E68" s="89"/>
    </row>
    <row r="69" spans="1:31" x14ac:dyDescent="0.4">
      <c r="A69" s="11" t="s">
        <v>48</v>
      </c>
      <c r="B69" s="17" t="s">
        <v>32</v>
      </c>
      <c r="C69" s="92" t="s">
        <v>53</v>
      </c>
      <c r="D69" s="66"/>
      <c r="E69" s="6">
        <v>17</v>
      </c>
      <c r="F69" s="6">
        <v>8</v>
      </c>
      <c r="G69" s="6">
        <v>8</v>
      </c>
      <c r="H69" s="6">
        <v>8</v>
      </c>
      <c r="I69" s="6">
        <v>6</v>
      </c>
      <c r="J69" s="6">
        <v>15</v>
      </c>
      <c r="K69" s="6">
        <v>12</v>
      </c>
      <c r="L69" s="6">
        <v>10</v>
      </c>
      <c r="M69" s="6">
        <v>8</v>
      </c>
      <c r="N69" s="6">
        <v>11</v>
      </c>
      <c r="O69" s="6">
        <v>4</v>
      </c>
      <c r="P69" s="6">
        <v>14</v>
      </c>
      <c r="Q69" s="6">
        <v>7</v>
      </c>
      <c r="R69" s="6">
        <v>6</v>
      </c>
      <c r="S69" s="6">
        <v>2</v>
      </c>
      <c r="T69" s="6">
        <v>4</v>
      </c>
      <c r="U69" s="6">
        <v>1</v>
      </c>
      <c r="V69" s="6">
        <v>10</v>
      </c>
      <c r="W69" s="6">
        <v>11</v>
      </c>
      <c r="X69" s="6">
        <v>17</v>
      </c>
      <c r="Y69" s="6"/>
      <c r="Z69" s="6">
        <v>10</v>
      </c>
      <c r="AA69" s="6">
        <v>7</v>
      </c>
      <c r="AB69" s="6">
        <v>4</v>
      </c>
      <c r="AC69" s="6">
        <v>4</v>
      </c>
      <c r="AD69" s="6">
        <v>7</v>
      </c>
      <c r="AE69" s="5">
        <f t="shared" ref="AE69:AE78" si="43">SUM(E69:AD69)</f>
        <v>211</v>
      </c>
    </row>
    <row r="70" spans="1:31" x14ac:dyDescent="0.4">
      <c r="A70" s="11" t="s">
        <v>50</v>
      </c>
      <c r="B70" s="50"/>
      <c r="C70" s="24" t="s">
        <v>161</v>
      </c>
      <c r="D70" s="51"/>
      <c r="E70" s="6">
        <v>67</v>
      </c>
      <c r="F70" s="6">
        <v>53</v>
      </c>
      <c r="G70" s="6">
        <v>25</v>
      </c>
      <c r="H70" s="6">
        <v>85</v>
      </c>
      <c r="I70" s="6">
        <v>27</v>
      </c>
      <c r="J70" s="6">
        <v>24</v>
      </c>
      <c r="K70" s="6">
        <v>41</v>
      </c>
      <c r="L70" s="6">
        <v>48</v>
      </c>
      <c r="M70" s="6">
        <v>49</v>
      </c>
      <c r="N70" s="6">
        <v>51</v>
      </c>
      <c r="O70" s="6">
        <v>18</v>
      </c>
      <c r="P70" s="6">
        <v>102</v>
      </c>
      <c r="Q70" s="6">
        <v>54</v>
      </c>
      <c r="R70" s="6">
        <v>113</v>
      </c>
      <c r="S70" s="6">
        <v>23</v>
      </c>
      <c r="T70" s="6">
        <v>22</v>
      </c>
      <c r="U70" s="6">
        <v>20</v>
      </c>
      <c r="V70" s="6">
        <v>100</v>
      </c>
      <c r="W70" s="6">
        <v>64</v>
      </c>
      <c r="X70" s="6">
        <v>49</v>
      </c>
      <c r="Y70" s="6">
        <v>9</v>
      </c>
      <c r="Z70" s="6">
        <v>74</v>
      </c>
      <c r="AA70" s="6">
        <v>59</v>
      </c>
      <c r="AB70" s="6">
        <v>52</v>
      </c>
      <c r="AC70" s="6">
        <v>23</v>
      </c>
      <c r="AD70" s="6">
        <v>18</v>
      </c>
      <c r="AE70" s="5">
        <f t="shared" si="43"/>
        <v>1270</v>
      </c>
    </row>
    <row r="71" spans="1:31" x14ac:dyDescent="0.4">
      <c r="A71" s="7"/>
      <c r="B71" s="50"/>
      <c r="C71" s="24" t="s">
        <v>162</v>
      </c>
      <c r="D71" s="51"/>
      <c r="E71" s="6">
        <v>1</v>
      </c>
      <c r="F71" s="6"/>
      <c r="G71" s="6"/>
      <c r="H71" s="6"/>
      <c r="I71" s="6">
        <v>1</v>
      </c>
      <c r="J71" s="6">
        <v>1</v>
      </c>
      <c r="K71" s="6">
        <v>3</v>
      </c>
      <c r="L71" s="6"/>
      <c r="M71" s="6"/>
      <c r="N71" s="6">
        <v>3</v>
      </c>
      <c r="O71" s="6">
        <v>1</v>
      </c>
      <c r="P71" s="6">
        <v>1</v>
      </c>
      <c r="Q71" s="6"/>
      <c r="R71" s="6">
        <v>1</v>
      </c>
      <c r="S71" s="6"/>
      <c r="T71" s="6"/>
      <c r="U71" s="6">
        <v>1</v>
      </c>
      <c r="V71" s="6"/>
      <c r="W71" s="6">
        <v>1</v>
      </c>
      <c r="X71" s="6"/>
      <c r="Y71" s="6"/>
      <c r="Z71" s="6"/>
      <c r="AA71" s="6">
        <v>1</v>
      </c>
      <c r="AB71" s="6">
        <v>2</v>
      </c>
      <c r="AC71" s="6"/>
      <c r="AD71" s="6">
        <v>1</v>
      </c>
      <c r="AE71" s="5">
        <f t="shared" si="43"/>
        <v>18</v>
      </c>
    </row>
    <row r="72" spans="1:31" x14ac:dyDescent="0.4">
      <c r="A72" s="7"/>
      <c r="B72" s="50"/>
      <c r="C72" s="24" t="s">
        <v>163</v>
      </c>
      <c r="D72" s="51"/>
      <c r="E72" s="6"/>
      <c r="F72" s="6"/>
      <c r="G72" s="6"/>
      <c r="H72" s="6"/>
      <c r="I72" s="6"/>
      <c r="J72" s="6">
        <v>1</v>
      </c>
      <c r="K72" s="6">
        <v>1</v>
      </c>
      <c r="L72" s="6">
        <v>3</v>
      </c>
      <c r="M72" s="6"/>
      <c r="N72" s="6"/>
      <c r="O72" s="6"/>
      <c r="P72" s="6">
        <v>2</v>
      </c>
      <c r="Q72" s="6"/>
      <c r="R72" s="6"/>
      <c r="S72" s="6"/>
      <c r="T72" s="6"/>
      <c r="U72" s="6"/>
      <c r="V72" s="6">
        <v>2</v>
      </c>
      <c r="W72" s="6"/>
      <c r="X72" s="6"/>
      <c r="Y72" s="6"/>
      <c r="Z72" s="6">
        <v>1</v>
      </c>
      <c r="AA72" s="6"/>
      <c r="AB72" s="6">
        <v>1</v>
      </c>
      <c r="AC72" s="6"/>
      <c r="AD72" s="6">
        <v>3</v>
      </c>
      <c r="AE72" s="5">
        <f t="shared" si="43"/>
        <v>14</v>
      </c>
    </row>
    <row r="73" spans="1:31" x14ac:dyDescent="0.4">
      <c r="A73" s="7"/>
      <c r="B73" s="50"/>
      <c r="C73" s="24" t="s">
        <v>164</v>
      </c>
      <c r="D73" s="51"/>
      <c r="E73" s="6">
        <v>1</v>
      </c>
      <c r="F73" s="6">
        <v>1</v>
      </c>
      <c r="G73" s="6"/>
      <c r="H73" s="6"/>
      <c r="I73" s="6"/>
      <c r="J73" s="6">
        <v>1</v>
      </c>
      <c r="K73" s="6"/>
      <c r="L73" s="6">
        <v>1</v>
      </c>
      <c r="M73" s="6">
        <v>1</v>
      </c>
      <c r="N73" s="6"/>
      <c r="O73" s="6"/>
      <c r="P73" s="6"/>
      <c r="Q73" s="6"/>
      <c r="R73" s="6"/>
      <c r="S73" s="6">
        <v>1</v>
      </c>
      <c r="T73" s="6"/>
      <c r="U73" s="6">
        <v>1</v>
      </c>
      <c r="V73" s="6"/>
      <c r="W73" s="6"/>
      <c r="X73" s="6"/>
      <c r="Y73" s="6"/>
      <c r="Z73" s="6"/>
      <c r="AA73" s="6"/>
      <c r="AB73" s="6"/>
      <c r="AC73" s="6">
        <v>1</v>
      </c>
      <c r="AD73" s="6"/>
      <c r="AE73" s="5">
        <f t="shared" si="43"/>
        <v>8</v>
      </c>
    </row>
    <row r="74" spans="1:31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</v>
      </c>
      <c r="X74" s="6"/>
      <c r="Y74" s="6">
        <v>1</v>
      </c>
      <c r="Z74" s="6"/>
      <c r="AA74" s="6"/>
      <c r="AB74" s="6"/>
      <c r="AC74" s="6"/>
      <c r="AD74" s="6">
        <v>1</v>
      </c>
      <c r="AE74" s="5">
        <f t="shared" si="43"/>
        <v>3</v>
      </c>
    </row>
    <row r="75" spans="1:31" x14ac:dyDescent="0.4">
      <c r="A75" s="7"/>
      <c r="B75" s="50"/>
      <c r="C75" s="24" t="s">
        <v>166</v>
      </c>
      <c r="D75" s="51"/>
      <c r="E75" s="6"/>
      <c r="F75" s="6"/>
      <c r="G75" s="6"/>
      <c r="H75" s="6">
        <v>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5">
        <f t="shared" si="43"/>
        <v>1</v>
      </c>
    </row>
    <row r="76" spans="1:31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>
        <v>1</v>
      </c>
      <c r="K76" s="6"/>
      <c r="L76" s="6">
        <v>1</v>
      </c>
      <c r="M76" s="6">
        <v>1</v>
      </c>
      <c r="N76" s="6"/>
      <c r="O76" s="6"/>
      <c r="P76" s="6"/>
      <c r="Q76" s="6"/>
      <c r="R76" s="6"/>
      <c r="S76" s="6"/>
      <c r="T76" s="6"/>
      <c r="U76" s="6"/>
      <c r="V76" s="6"/>
      <c r="W76" s="6">
        <v>1</v>
      </c>
      <c r="X76" s="6">
        <v>1</v>
      </c>
      <c r="Y76" s="6"/>
      <c r="Z76" s="6"/>
      <c r="AA76" s="6">
        <v>1</v>
      </c>
      <c r="AB76" s="6"/>
      <c r="AC76" s="6"/>
      <c r="AD76" s="6"/>
      <c r="AE76" s="5">
        <f t="shared" si="43"/>
        <v>6</v>
      </c>
    </row>
    <row r="77" spans="1:31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5">
        <f t="shared" si="43"/>
        <v>0</v>
      </c>
    </row>
    <row r="78" spans="1:31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5">
        <f t="shared" si="43"/>
        <v>0</v>
      </c>
    </row>
    <row r="79" spans="1:31" x14ac:dyDescent="0.4">
      <c r="A79" s="6" t="s">
        <v>26</v>
      </c>
      <c r="B79" s="85" t="s">
        <v>51</v>
      </c>
      <c r="C79" s="65"/>
      <c r="D79" s="66"/>
      <c r="E79" s="5">
        <f t="shared" ref="E79:AE79" si="44">SUM(E69:E78)</f>
        <v>86</v>
      </c>
      <c r="F79" s="5">
        <f t="shared" ref="F79:T79" si="45">SUM(F69:F78)</f>
        <v>62</v>
      </c>
      <c r="G79" s="5">
        <f t="shared" si="45"/>
        <v>33</v>
      </c>
      <c r="H79" s="5">
        <f t="shared" si="45"/>
        <v>94</v>
      </c>
      <c r="I79" s="5">
        <f t="shared" si="45"/>
        <v>34</v>
      </c>
      <c r="J79" s="5">
        <f t="shared" si="45"/>
        <v>43</v>
      </c>
      <c r="K79" s="5">
        <f t="shared" si="45"/>
        <v>57</v>
      </c>
      <c r="L79" s="5">
        <f t="shared" si="45"/>
        <v>63</v>
      </c>
      <c r="M79" s="5">
        <f t="shared" si="45"/>
        <v>59</v>
      </c>
      <c r="N79" s="5">
        <f t="shared" si="45"/>
        <v>65</v>
      </c>
      <c r="O79" s="5">
        <f t="shared" si="45"/>
        <v>23</v>
      </c>
      <c r="P79" s="5">
        <f t="shared" si="45"/>
        <v>119</v>
      </c>
      <c r="Q79" s="5">
        <f t="shared" si="45"/>
        <v>61</v>
      </c>
      <c r="R79" s="5">
        <f t="shared" si="45"/>
        <v>120</v>
      </c>
      <c r="S79" s="5">
        <f t="shared" si="45"/>
        <v>26</v>
      </c>
      <c r="T79" s="5">
        <f t="shared" si="45"/>
        <v>26</v>
      </c>
      <c r="U79" s="5">
        <f t="shared" si="44"/>
        <v>23</v>
      </c>
      <c r="V79" s="5">
        <f t="shared" si="44"/>
        <v>112</v>
      </c>
      <c r="W79" s="5">
        <f t="shared" ref="W79:AD79" si="46">SUM(W69:W78)</f>
        <v>78</v>
      </c>
      <c r="X79" s="5">
        <f t="shared" si="46"/>
        <v>67</v>
      </c>
      <c r="Y79" s="5">
        <f t="shared" si="46"/>
        <v>10</v>
      </c>
      <c r="Z79" s="5">
        <f t="shared" si="46"/>
        <v>85</v>
      </c>
      <c r="AA79" s="5">
        <f t="shared" si="46"/>
        <v>68</v>
      </c>
      <c r="AB79" s="5">
        <f t="shared" si="46"/>
        <v>59</v>
      </c>
      <c r="AC79" s="5">
        <f t="shared" si="46"/>
        <v>28</v>
      </c>
      <c r="AD79" s="5">
        <f t="shared" si="46"/>
        <v>30</v>
      </c>
      <c r="AE79" s="5">
        <f t="shared" si="44"/>
        <v>1531</v>
      </c>
    </row>
    <row r="80" spans="1:31" x14ac:dyDescent="0.4">
      <c r="A80" s="90"/>
      <c r="B80" s="89"/>
      <c r="C80" s="89"/>
      <c r="D80" s="89"/>
      <c r="E80" s="89"/>
    </row>
    <row r="81" spans="1:31" x14ac:dyDescent="0.4">
      <c r="A81" s="11" t="s">
        <v>48</v>
      </c>
      <c r="B81" s="17" t="s">
        <v>34</v>
      </c>
      <c r="C81" s="92" t="s">
        <v>54</v>
      </c>
      <c r="D81" s="66"/>
      <c r="E81" s="6">
        <v>1</v>
      </c>
      <c r="F81" s="6">
        <v>2</v>
      </c>
      <c r="G81" s="6">
        <v>9</v>
      </c>
      <c r="H81" s="6">
        <v>4</v>
      </c>
      <c r="I81" s="6">
        <v>8</v>
      </c>
      <c r="J81" s="6">
        <v>7</v>
      </c>
      <c r="K81" s="6">
        <v>4</v>
      </c>
      <c r="L81" s="6">
        <v>5</v>
      </c>
      <c r="M81" s="6">
        <v>4</v>
      </c>
      <c r="N81" s="6">
        <v>8</v>
      </c>
      <c r="O81" s="6">
        <v>5</v>
      </c>
      <c r="P81" s="6">
        <v>1</v>
      </c>
      <c r="Q81" s="6">
        <v>1</v>
      </c>
      <c r="R81" s="6">
        <v>1</v>
      </c>
      <c r="S81" s="6">
        <v>3</v>
      </c>
      <c r="T81" s="6">
        <v>7</v>
      </c>
      <c r="U81" s="6">
        <v>5</v>
      </c>
      <c r="V81" s="6">
        <v>6</v>
      </c>
      <c r="W81" s="6">
        <v>4</v>
      </c>
      <c r="X81" s="6">
        <v>2</v>
      </c>
      <c r="Y81" s="6">
        <v>6</v>
      </c>
      <c r="Z81" s="6">
        <v>1</v>
      </c>
      <c r="AA81" s="6">
        <v>2</v>
      </c>
      <c r="AB81" s="6">
        <v>3</v>
      </c>
      <c r="AC81" s="6">
        <v>9</v>
      </c>
      <c r="AD81" s="6">
        <v>8</v>
      </c>
      <c r="AE81" s="5">
        <f t="shared" ref="AE81:AE90" si="47">SUM(E81:AD81)</f>
        <v>116</v>
      </c>
    </row>
    <row r="82" spans="1:31" x14ac:dyDescent="0.4">
      <c r="A82" s="11" t="s">
        <v>50</v>
      </c>
      <c r="B82" s="50"/>
      <c r="C82" s="24" t="s">
        <v>168</v>
      </c>
      <c r="D82" s="51"/>
      <c r="E82" s="6">
        <v>7</v>
      </c>
      <c r="F82" s="6">
        <v>5</v>
      </c>
      <c r="G82" s="6">
        <v>6</v>
      </c>
      <c r="H82" s="6">
        <v>8</v>
      </c>
      <c r="I82" s="6">
        <v>11</v>
      </c>
      <c r="J82" s="6">
        <v>8</v>
      </c>
      <c r="K82" s="6">
        <v>13</v>
      </c>
      <c r="L82" s="6">
        <v>41</v>
      </c>
      <c r="M82" s="6">
        <v>8</v>
      </c>
      <c r="N82" s="6">
        <v>9</v>
      </c>
      <c r="O82" s="6">
        <v>16</v>
      </c>
      <c r="P82" s="6">
        <v>8</v>
      </c>
      <c r="Q82" s="6">
        <v>4</v>
      </c>
      <c r="R82" s="6">
        <v>5</v>
      </c>
      <c r="S82" s="6">
        <v>27</v>
      </c>
      <c r="T82" s="6">
        <v>53</v>
      </c>
      <c r="U82" s="6">
        <v>15</v>
      </c>
      <c r="V82" s="6">
        <v>27</v>
      </c>
      <c r="W82" s="6">
        <v>15</v>
      </c>
      <c r="X82" s="6">
        <v>9</v>
      </c>
      <c r="Y82" s="6">
        <v>10</v>
      </c>
      <c r="Z82" s="6">
        <v>6</v>
      </c>
      <c r="AA82" s="6">
        <v>9</v>
      </c>
      <c r="AB82" s="6">
        <v>9</v>
      </c>
      <c r="AC82" s="6">
        <v>38</v>
      </c>
      <c r="AD82" s="6">
        <v>20</v>
      </c>
      <c r="AE82" s="5">
        <f t="shared" si="47"/>
        <v>387</v>
      </c>
    </row>
    <row r="83" spans="1:31" x14ac:dyDescent="0.4">
      <c r="A83" s="7"/>
      <c r="B83" s="50"/>
      <c r="C83" s="24" t="s">
        <v>169</v>
      </c>
      <c r="D83" s="51"/>
      <c r="E83" s="6">
        <v>2</v>
      </c>
      <c r="F83" s="6">
        <v>3</v>
      </c>
      <c r="G83" s="6">
        <v>3</v>
      </c>
      <c r="H83" s="6">
        <v>1</v>
      </c>
      <c r="I83" s="6">
        <v>1</v>
      </c>
      <c r="J83" s="6"/>
      <c r="K83" s="6">
        <v>1</v>
      </c>
      <c r="L83" s="6">
        <v>1</v>
      </c>
      <c r="M83" s="6">
        <v>1</v>
      </c>
      <c r="N83" s="6"/>
      <c r="O83" s="6"/>
      <c r="P83" s="6">
        <v>1</v>
      </c>
      <c r="Q83" s="6">
        <v>1</v>
      </c>
      <c r="R83" s="6">
        <v>2</v>
      </c>
      <c r="S83" s="6">
        <v>1</v>
      </c>
      <c r="T83" s="6"/>
      <c r="U83" s="6">
        <v>1</v>
      </c>
      <c r="V83" s="6"/>
      <c r="W83" s="6">
        <v>1</v>
      </c>
      <c r="X83" s="6"/>
      <c r="Y83" s="6"/>
      <c r="Z83" s="6"/>
      <c r="AA83" s="6"/>
      <c r="AB83" s="6"/>
      <c r="AC83" s="6"/>
      <c r="AD83" s="6"/>
      <c r="AE83" s="5">
        <f t="shared" si="47"/>
        <v>20</v>
      </c>
    </row>
    <row r="84" spans="1:31" x14ac:dyDescent="0.4">
      <c r="A84" s="7"/>
      <c r="B84" s="50"/>
      <c r="C84" s="24" t="s">
        <v>170</v>
      </c>
      <c r="D84" s="51"/>
      <c r="E84" s="6"/>
      <c r="F84" s="6"/>
      <c r="G84" s="6"/>
      <c r="H84" s="6"/>
      <c r="I84" s="6"/>
      <c r="J84" s="6">
        <v>2</v>
      </c>
      <c r="K84" s="6"/>
      <c r="L84" s="6"/>
      <c r="M84" s="6">
        <v>1</v>
      </c>
      <c r="N84" s="6">
        <v>1</v>
      </c>
      <c r="O84" s="6">
        <v>2</v>
      </c>
      <c r="P84" s="6"/>
      <c r="Q84" s="6"/>
      <c r="R84" s="6"/>
      <c r="S84" s="6"/>
      <c r="T84" s="6"/>
      <c r="U84" s="6"/>
      <c r="V84" s="6">
        <v>3</v>
      </c>
      <c r="W84" s="6"/>
      <c r="X84" s="6"/>
      <c r="Y84" s="6"/>
      <c r="Z84" s="6">
        <v>1</v>
      </c>
      <c r="AA84" s="6"/>
      <c r="AB84" s="6"/>
      <c r="AC84" s="6">
        <v>1</v>
      </c>
      <c r="AD84" s="6">
        <v>1</v>
      </c>
      <c r="AE84" s="5">
        <f t="shared" si="47"/>
        <v>12</v>
      </c>
    </row>
    <row r="85" spans="1:31" ht="13.15" customHeight="1" x14ac:dyDescent="0.4">
      <c r="A85" s="7"/>
      <c r="B85" s="50"/>
      <c r="C85" s="24" t="s">
        <v>171</v>
      </c>
      <c r="D85" s="51"/>
      <c r="E85" s="6">
        <v>1</v>
      </c>
      <c r="F85" s="6"/>
      <c r="G85" s="6"/>
      <c r="H85" s="6"/>
      <c r="I85" s="6">
        <v>1</v>
      </c>
      <c r="J85" s="6"/>
      <c r="K85" s="6"/>
      <c r="L85" s="6"/>
      <c r="M85" s="6"/>
      <c r="N85" s="6"/>
      <c r="O85" s="6">
        <v>1</v>
      </c>
      <c r="P85" s="6"/>
      <c r="Q85" s="6"/>
      <c r="R85" s="6"/>
      <c r="S85" s="6">
        <v>2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5">
        <f t="shared" si="47"/>
        <v>5</v>
      </c>
    </row>
    <row r="86" spans="1:31" x14ac:dyDescent="0.4">
      <c r="A86" s="7"/>
      <c r="B86" s="50"/>
      <c r="C86" s="24" t="s">
        <v>172</v>
      </c>
      <c r="D86" s="51"/>
      <c r="E86" s="6">
        <v>2</v>
      </c>
      <c r="F86" s="6"/>
      <c r="G86" s="6"/>
      <c r="H86" s="6">
        <v>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5">
        <f t="shared" si="47"/>
        <v>3</v>
      </c>
    </row>
    <row r="87" spans="1:31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5">
        <f t="shared" si="47"/>
        <v>0</v>
      </c>
    </row>
    <row r="88" spans="1:31" x14ac:dyDescent="0.4">
      <c r="A88" s="7"/>
      <c r="B88" s="50"/>
      <c r="C88" s="24" t="s">
        <v>174</v>
      </c>
      <c r="D88" s="51"/>
      <c r="E88" s="6"/>
      <c r="F88" s="6">
        <v>1</v>
      </c>
      <c r="G88" s="6"/>
      <c r="H88" s="6"/>
      <c r="I88" s="6"/>
      <c r="J88" s="6"/>
      <c r="K88" s="6">
        <v>1</v>
      </c>
      <c r="L88" s="6">
        <v>1</v>
      </c>
      <c r="M88" s="6"/>
      <c r="N88" s="6"/>
      <c r="O88" s="6"/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>
        <v>1</v>
      </c>
      <c r="AB88" s="6"/>
      <c r="AC88" s="6"/>
      <c r="AD88" s="6"/>
      <c r="AE88" s="5">
        <f t="shared" si="47"/>
        <v>5</v>
      </c>
    </row>
    <row r="89" spans="1:31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5">
        <f t="shared" si="47"/>
        <v>0</v>
      </c>
    </row>
    <row r="90" spans="1:31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5">
        <f t="shared" si="47"/>
        <v>0</v>
      </c>
    </row>
    <row r="91" spans="1:31" x14ac:dyDescent="0.4">
      <c r="A91" s="6" t="s">
        <v>26</v>
      </c>
      <c r="B91" s="85" t="s">
        <v>51</v>
      </c>
      <c r="C91" s="65"/>
      <c r="D91" s="66"/>
      <c r="E91" s="5">
        <f t="shared" ref="E91:AE91" si="48">SUM(E81:E90)</f>
        <v>13</v>
      </c>
      <c r="F91" s="5">
        <f t="shared" ref="F91:T91" si="49">SUM(F81:F90)</f>
        <v>11</v>
      </c>
      <c r="G91" s="5">
        <f t="shared" si="49"/>
        <v>18</v>
      </c>
      <c r="H91" s="5">
        <f t="shared" si="49"/>
        <v>14</v>
      </c>
      <c r="I91" s="5">
        <f t="shared" si="49"/>
        <v>21</v>
      </c>
      <c r="J91" s="5">
        <f t="shared" si="49"/>
        <v>17</v>
      </c>
      <c r="K91" s="5">
        <f t="shared" si="49"/>
        <v>19</v>
      </c>
      <c r="L91" s="5">
        <f t="shared" si="49"/>
        <v>48</v>
      </c>
      <c r="M91" s="5">
        <f t="shared" si="49"/>
        <v>14</v>
      </c>
      <c r="N91" s="5">
        <f t="shared" si="49"/>
        <v>18</v>
      </c>
      <c r="O91" s="5">
        <f t="shared" si="49"/>
        <v>24</v>
      </c>
      <c r="P91" s="5">
        <f t="shared" si="49"/>
        <v>10</v>
      </c>
      <c r="Q91" s="5">
        <f t="shared" si="49"/>
        <v>6</v>
      </c>
      <c r="R91" s="5">
        <f t="shared" si="49"/>
        <v>8</v>
      </c>
      <c r="S91" s="5">
        <f t="shared" si="49"/>
        <v>33</v>
      </c>
      <c r="T91" s="5">
        <f t="shared" si="49"/>
        <v>60</v>
      </c>
      <c r="U91" s="5">
        <f t="shared" si="48"/>
        <v>22</v>
      </c>
      <c r="V91" s="5">
        <f t="shared" si="48"/>
        <v>36</v>
      </c>
      <c r="W91" s="5">
        <f t="shared" ref="W91:AD91" si="50">SUM(W81:W90)</f>
        <v>20</v>
      </c>
      <c r="X91" s="5">
        <f t="shared" si="50"/>
        <v>11</v>
      </c>
      <c r="Y91" s="5">
        <f t="shared" si="50"/>
        <v>16</v>
      </c>
      <c r="Z91" s="5">
        <f t="shared" si="50"/>
        <v>8</v>
      </c>
      <c r="AA91" s="5">
        <f t="shared" si="50"/>
        <v>12</v>
      </c>
      <c r="AB91" s="5">
        <f t="shared" si="50"/>
        <v>12</v>
      </c>
      <c r="AC91" s="5">
        <f t="shared" si="50"/>
        <v>48</v>
      </c>
      <c r="AD91" s="5">
        <f t="shared" si="50"/>
        <v>29</v>
      </c>
      <c r="AE91" s="5">
        <f t="shared" si="48"/>
        <v>548</v>
      </c>
    </row>
    <row r="92" spans="1:31" x14ac:dyDescent="0.4">
      <c r="A92" s="90"/>
      <c r="B92" s="89"/>
      <c r="C92" s="89"/>
      <c r="D92" s="89"/>
      <c r="E92" s="89"/>
    </row>
    <row r="93" spans="1:31" x14ac:dyDescent="0.4">
      <c r="A93" s="11" t="s">
        <v>48</v>
      </c>
      <c r="B93" s="17" t="s">
        <v>55</v>
      </c>
      <c r="C93" s="92" t="s">
        <v>56</v>
      </c>
      <c r="D93" s="66"/>
      <c r="E93" s="6">
        <v>1</v>
      </c>
      <c r="F93" s="6">
        <v>1</v>
      </c>
      <c r="G93" s="6"/>
      <c r="H93" s="6">
        <v>1</v>
      </c>
      <c r="I93" s="6">
        <v>1</v>
      </c>
      <c r="J93" s="6">
        <v>1</v>
      </c>
      <c r="K93" s="6">
        <v>1</v>
      </c>
      <c r="L93" s="6"/>
      <c r="M93" s="6"/>
      <c r="N93" s="6">
        <v>1</v>
      </c>
      <c r="O93" s="6">
        <v>1</v>
      </c>
      <c r="P93" s="6">
        <v>1</v>
      </c>
      <c r="Q93" s="6"/>
      <c r="R93" s="6"/>
      <c r="S93" s="6"/>
      <c r="T93" s="6"/>
      <c r="U93" s="6">
        <v>1</v>
      </c>
      <c r="V93" s="6"/>
      <c r="W93" s="6"/>
      <c r="X93" s="6">
        <v>3</v>
      </c>
      <c r="Y93" s="6"/>
      <c r="Z93" s="6"/>
      <c r="AA93" s="6"/>
      <c r="AB93" s="6"/>
      <c r="AC93" s="6"/>
      <c r="AD93" s="6"/>
      <c r="AE93" s="5">
        <f t="shared" ref="AE93:AE102" si="51">SUM(E93:AD93)</f>
        <v>13</v>
      </c>
    </row>
    <row r="94" spans="1:31" x14ac:dyDescent="0.4">
      <c r="A94" s="11" t="s">
        <v>50</v>
      </c>
      <c r="B94" s="50"/>
      <c r="C94" s="24" t="s">
        <v>175</v>
      </c>
      <c r="D94" s="51"/>
      <c r="E94" s="6">
        <v>2</v>
      </c>
      <c r="F94" s="6"/>
      <c r="G94" s="6"/>
      <c r="H94" s="6"/>
      <c r="I94" s="6"/>
      <c r="J94" s="6"/>
      <c r="K94" s="6">
        <v>1</v>
      </c>
      <c r="L94" s="6"/>
      <c r="M94" s="6"/>
      <c r="N94" s="6"/>
      <c r="O94" s="6"/>
      <c r="P94" s="6"/>
      <c r="Q94" s="6"/>
      <c r="R94" s="6"/>
      <c r="S94" s="6"/>
      <c r="T94" s="6"/>
      <c r="U94" s="6">
        <v>1</v>
      </c>
      <c r="V94" s="6"/>
      <c r="W94" s="6">
        <v>1</v>
      </c>
      <c r="X94" s="6">
        <v>1</v>
      </c>
      <c r="Y94" s="6"/>
      <c r="Z94" s="6"/>
      <c r="AA94" s="6"/>
      <c r="AB94" s="6"/>
      <c r="AC94" s="6"/>
      <c r="AD94" s="6"/>
      <c r="AE94" s="5">
        <f t="shared" si="51"/>
        <v>6</v>
      </c>
    </row>
    <row r="95" spans="1:31" x14ac:dyDescent="0.4">
      <c r="A95" s="7"/>
      <c r="B95" s="50"/>
      <c r="C95" s="24" t="s">
        <v>176</v>
      </c>
      <c r="D95" s="51"/>
      <c r="E95" s="6">
        <v>20</v>
      </c>
      <c r="F95" s="6">
        <v>19</v>
      </c>
      <c r="G95" s="6">
        <v>3</v>
      </c>
      <c r="H95" s="6">
        <v>18</v>
      </c>
      <c r="I95" s="6">
        <v>16</v>
      </c>
      <c r="J95" s="6">
        <v>7</v>
      </c>
      <c r="K95" s="6">
        <v>14</v>
      </c>
      <c r="L95" s="6">
        <v>5</v>
      </c>
      <c r="M95" s="6"/>
      <c r="N95" s="6">
        <v>6</v>
      </c>
      <c r="O95" s="6"/>
      <c r="P95" s="6"/>
      <c r="Q95" s="6">
        <v>2</v>
      </c>
      <c r="R95" s="6"/>
      <c r="S95" s="6"/>
      <c r="T95" s="6">
        <v>1</v>
      </c>
      <c r="U95" s="6">
        <v>2</v>
      </c>
      <c r="V95" s="6"/>
      <c r="W95" s="6">
        <v>7</v>
      </c>
      <c r="X95" s="6">
        <v>51</v>
      </c>
      <c r="Y95" s="6"/>
      <c r="Z95" s="6"/>
      <c r="AA95" s="6"/>
      <c r="AB95" s="6"/>
      <c r="AC95" s="6"/>
      <c r="AD95" s="6">
        <v>1</v>
      </c>
      <c r="AE95" s="5">
        <f t="shared" si="51"/>
        <v>172</v>
      </c>
    </row>
    <row r="96" spans="1:31" ht="13.15" customHeight="1" x14ac:dyDescent="0.4">
      <c r="A96" s="7"/>
      <c r="B96" s="50"/>
      <c r="C96" s="24" t="s">
        <v>177</v>
      </c>
      <c r="D96" s="5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</v>
      </c>
      <c r="R96" s="6"/>
      <c r="S96" s="6"/>
      <c r="T96" s="6"/>
      <c r="U96" s="6"/>
      <c r="V96" s="6"/>
      <c r="W96" s="6">
        <v>1</v>
      </c>
      <c r="X96" s="6"/>
      <c r="Y96" s="6"/>
      <c r="Z96" s="6"/>
      <c r="AA96" s="6"/>
      <c r="AB96" s="6"/>
      <c r="AC96" s="6"/>
      <c r="AD96" s="6"/>
      <c r="AE96" s="5">
        <f t="shared" si="51"/>
        <v>2</v>
      </c>
    </row>
    <row r="97" spans="1:31" x14ac:dyDescent="0.4">
      <c r="A97" s="7"/>
      <c r="B97" s="50"/>
      <c r="C97" s="24" t="s">
        <v>178</v>
      </c>
      <c r="D97" s="51"/>
      <c r="E97" s="6"/>
      <c r="F97" s="6">
        <v>7</v>
      </c>
      <c r="G97" s="6">
        <v>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>
        <v>1</v>
      </c>
      <c r="Y97" s="6"/>
      <c r="Z97" s="6">
        <v>1</v>
      </c>
      <c r="AA97" s="6"/>
      <c r="AB97" s="6"/>
      <c r="AC97" s="6"/>
      <c r="AD97" s="6"/>
      <c r="AE97" s="5">
        <f t="shared" si="51"/>
        <v>10</v>
      </c>
    </row>
    <row r="98" spans="1:31" x14ac:dyDescent="0.4">
      <c r="A98" s="7"/>
      <c r="B98" s="50"/>
      <c r="C98" s="24" t="s">
        <v>179</v>
      </c>
      <c r="D98" s="51"/>
      <c r="E98" s="6"/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5">
        <f t="shared" si="51"/>
        <v>1</v>
      </c>
    </row>
    <row r="99" spans="1:31" x14ac:dyDescent="0.4">
      <c r="A99" s="7"/>
      <c r="B99" s="50"/>
      <c r="C99" s="24" t="s">
        <v>180</v>
      </c>
      <c r="D99" s="51"/>
      <c r="E99" s="6"/>
      <c r="F99" s="6"/>
      <c r="G99" s="6"/>
      <c r="H99" s="6"/>
      <c r="I99" s="6">
        <v>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5">
        <f t="shared" si="51"/>
        <v>1</v>
      </c>
    </row>
    <row r="100" spans="1:31" x14ac:dyDescent="0.4">
      <c r="A100" s="7"/>
      <c r="B100" s="50"/>
      <c r="C100" s="24" t="s">
        <v>181</v>
      </c>
      <c r="D100" s="51"/>
      <c r="E100" s="6">
        <v>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1</v>
      </c>
      <c r="V100" s="6"/>
      <c r="W100" s="6"/>
      <c r="X100" s="6"/>
      <c r="Y100" s="6"/>
      <c r="Z100" s="6">
        <v>6</v>
      </c>
      <c r="AA100" s="6">
        <v>3</v>
      </c>
      <c r="AB100" s="6">
        <v>2</v>
      </c>
      <c r="AC100" s="6"/>
      <c r="AD100" s="6">
        <v>2</v>
      </c>
      <c r="AE100" s="5">
        <f t="shared" si="51"/>
        <v>15</v>
      </c>
    </row>
    <row r="101" spans="1:31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5">
        <f t="shared" si="51"/>
        <v>0</v>
      </c>
    </row>
    <row r="102" spans="1:31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5">
        <f t="shared" si="51"/>
        <v>0</v>
      </c>
    </row>
    <row r="103" spans="1:31" x14ac:dyDescent="0.4">
      <c r="A103" s="6" t="s">
        <v>26</v>
      </c>
      <c r="B103" s="85" t="s">
        <v>51</v>
      </c>
      <c r="C103" s="65"/>
      <c r="D103" s="66"/>
      <c r="E103" s="5">
        <f t="shared" ref="E103:AE103" si="52">SUM(E93:E102)</f>
        <v>24</v>
      </c>
      <c r="F103" s="5">
        <f t="shared" ref="F103:T103" si="53">SUM(F93:F102)</f>
        <v>28</v>
      </c>
      <c r="G103" s="5">
        <f t="shared" si="53"/>
        <v>4</v>
      </c>
      <c r="H103" s="5">
        <f t="shared" si="53"/>
        <v>19</v>
      </c>
      <c r="I103" s="5">
        <f t="shared" si="53"/>
        <v>18</v>
      </c>
      <c r="J103" s="5">
        <f t="shared" si="53"/>
        <v>8</v>
      </c>
      <c r="K103" s="5">
        <f t="shared" si="53"/>
        <v>16</v>
      </c>
      <c r="L103" s="5">
        <f t="shared" si="53"/>
        <v>5</v>
      </c>
      <c r="M103" s="5">
        <f t="shared" si="53"/>
        <v>0</v>
      </c>
      <c r="N103" s="5">
        <f t="shared" si="53"/>
        <v>7</v>
      </c>
      <c r="O103" s="5">
        <f t="shared" si="53"/>
        <v>1</v>
      </c>
      <c r="P103" s="5">
        <f t="shared" si="53"/>
        <v>1</v>
      </c>
      <c r="Q103" s="5">
        <f t="shared" si="53"/>
        <v>3</v>
      </c>
      <c r="R103" s="5">
        <f t="shared" si="53"/>
        <v>0</v>
      </c>
      <c r="S103" s="5">
        <f t="shared" si="53"/>
        <v>0</v>
      </c>
      <c r="T103" s="5">
        <f t="shared" si="53"/>
        <v>1</v>
      </c>
      <c r="U103" s="5">
        <f t="shared" si="52"/>
        <v>5</v>
      </c>
      <c r="V103" s="5">
        <f t="shared" si="52"/>
        <v>0</v>
      </c>
      <c r="W103" s="5">
        <f t="shared" ref="W103:AD103" si="54">SUM(W93:W102)</f>
        <v>9</v>
      </c>
      <c r="X103" s="5">
        <f t="shared" si="54"/>
        <v>56</v>
      </c>
      <c r="Y103" s="5">
        <f t="shared" si="54"/>
        <v>0</v>
      </c>
      <c r="Z103" s="5">
        <f t="shared" si="54"/>
        <v>7</v>
      </c>
      <c r="AA103" s="5">
        <f t="shared" si="54"/>
        <v>3</v>
      </c>
      <c r="AB103" s="5">
        <f t="shared" si="54"/>
        <v>2</v>
      </c>
      <c r="AC103" s="5">
        <f t="shared" si="54"/>
        <v>0</v>
      </c>
      <c r="AD103" s="5">
        <f t="shared" si="54"/>
        <v>3</v>
      </c>
      <c r="AE103" s="5">
        <f t="shared" si="52"/>
        <v>220</v>
      </c>
    </row>
    <row r="104" spans="1:31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/>
      <c r="I105" s="6">
        <v>1</v>
      </c>
      <c r="J105" s="6"/>
      <c r="K105" s="6"/>
      <c r="L105" s="6"/>
      <c r="M105" s="6"/>
      <c r="N105" s="6"/>
      <c r="O105" s="6"/>
      <c r="P105" s="6"/>
      <c r="Q105" s="6">
        <v>1</v>
      </c>
      <c r="R105" s="6"/>
      <c r="S105" s="6"/>
      <c r="T105" s="6"/>
      <c r="U105" s="6">
        <v>1</v>
      </c>
      <c r="V105" s="6"/>
      <c r="W105" s="6"/>
      <c r="X105" s="6"/>
      <c r="Y105" s="6"/>
      <c r="Z105" s="6"/>
      <c r="AA105" s="6"/>
      <c r="AB105" s="6"/>
      <c r="AC105" s="6"/>
      <c r="AD105" s="6"/>
      <c r="AE105" s="5">
        <f t="shared" ref="AE105:AE114" si="55">SUM(E105:AD105)</f>
        <v>3</v>
      </c>
    </row>
    <row r="106" spans="1:31" x14ac:dyDescent="0.4">
      <c r="A106" s="11" t="s">
        <v>50</v>
      </c>
      <c r="B106" s="50"/>
      <c r="C106" s="24" t="s">
        <v>182</v>
      </c>
      <c r="D106" s="49"/>
      <c r="E106" s="6"/>
      <c r="F106" s="6"/>
      <c r="G106" s="6">
        <v>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>
        <v>1</v>
      </c>
      <c r="V106" s="6"/>
      <c r="W106" s="6"/>
      <c r="X106" s="6"/>
      <c r="Y106" s="6"/>
      <c r="Z106" s="6"/>
      <c r="AA106" s="6"/>
      <c r="AB106" s="6"/>
      <c r="AC106" s="6"/>
      <c r="AD106" s="6"/>
      <c r="AE106" s="5">
        <f t="shared" si="55"/>
        <v>2</v>
      </c>
    </row>
    <row r="107" spans="1:31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5">
        <f t="shared" si="55"/>
        <v>0</v>
      </c>
    </row>
    <row r="108" spans="1:31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5">
        <f t="shared" si="55"/>
        <v>0</v>
      </c>
    </row>
    <row r="109" spans="1:31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5">
        <f t="shared" si="55"/>
        <v>0</v>
      </c>
    </row>
    <row r="110" spans="1:31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5">
        <f t="shared" si="55"/>
        <v>0</v>
      </c>
    </row>
    <row r="111" spans="1:31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5">
        <f t="shared" si="55"/>
        <v>0</v>
      </c>
    </row>
    <row r="112" spans="1:31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5">
        <f t="shared" si="55"/>
        <v>0</v>
      </c>
    </row>
    <row r="113" spans="1:3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5">
        <f t="shared" si="55"/>
        <v>0</v>
      </c>
    </row>
    <row r="114" spans="1:3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5">
        <f t="shared" si="55"/>
        <v>0</v>
      </c>
    </row>
    <row r="115" spans="1:31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AE115" si="56">SUM(E105:E114)</f>
        <v>0</v>
      </c>
      <c r="F115" s="5">
        <f t="shared" ref="F115:T115" si="57">SUM(F105:F114)</f>
        <v>0</v>
      </c>
      <c r="G115" s="5">
        <f t="shared" si="57"/>
        <v>1</v>
      </c>
      <c r="H115" s="5">
        <f t="shared" si="57"/>
        <v>0</v>
      </c>
      <c r="I115" s="5">
        <f t="shared" si="57"/>
        <v>1</v>
      </c>
      <c r="J115" s="5">
        <f t="shared" si="57"/>
        <v>0</v>
      </c>
      <c r="K115" s="5">
        <f t="shared" si="57"/>
        <v>0</v>
      </c>
      <c r="L115" s="5">
        <f t="shared" si="57"/>
        <v>0</v>
      </c>
      <c r="M115" s="5">
        <f t="shared" si="57"/>
        <v>0</v>
      </c>
      <c r="N115" s="5">
        <f t="shared" si="57"/>
        <v>0</v>
      </c>
      <c r="O115" s="5">
        <f t="shared" si="57"/>
        <v>0</v>
      </c>
      <c r="P115" s="5">
        <f t="shared" si="57"/>
        <v>0</v>
      </c>
      <c r="Q115" s="5">
        <f t="shared" si="57"/>
        <v>1</v>
      </c>
      <c r="R115" s="5">
        <f t="shared" si="57"/>
        <v>0</v>
      </c>
      <c r="S115" s="5">
        <f t="shared" si="57"/>
        <v>0</v>
      </c>
      <c r="T115" s="5">
        <f t="shared" si="57"/>
        <v>0</v>
      </c>
      <c r="U115" s="5">
        <f t="shared" si="56"/>
        <v>2</v>
      </c>
      <c r="V115" s="5">
        <f t="shared" si="56"/>
        <v>0</v>
      </c>
      <c r="W115" s="5">
        <f t="shared" ref="W115:AD115" si="58">SUM(W105:W114)</f>
        <v>0</v>
      </c>
      <c r="X115" s="5">
        <f t="shared" si="58"/>
        <v>0</v>
      </c>
      <c r="Y115" s="5">
        <f t="shared" si="58"/>
        <v>0</v>
      </c>
      <c r="Z115" s="5">
        <f t="shared" si="58"/>
        <v>0</v>
      </c>
      <c r="AA115" s="5">
        <f t="shared" si="58"/>
        <v>0</v>
      </c>
      <c r="AB115" s="5">
        <f t="shared" si="58"/>
        <v>0</v>
      </c>
      <c r="AC115" s="5">
        <f t="shared" si="58"/>
        <v>0</v>
      </c>
      <c r="AD115" s="5">
        <f t="shared" si="58"/>
        <v>0</v>
      </c>
      <c r="AE115" s="5">
        <f t="shared" si="56"/>
        <v>5</v>
      </c>
    </row>
    <row r="116" spans="1:31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5"/>
    </row>
    <row r="117" spans="1:31" x14ac:dyDescent="0.4">
      <c r="A117" s="11" t="s">
        <v>48</v>
      </c>
      <c r="B117" s="17" t="s">
        <v>59</v>
      </c>
      <c r="C117" s="92" t="s">
        <v>60</v>
      </c>
      <c r="D117" s="66"/>
      <c r="E117" s="6">
        <v>1</v>
      </c>
      <c r="F117" s="6">
        <v>2</v>
      </c>
      <c r="G117" s="6"/>
      <c r="H117" s="6"/>
      <c r="I117" s="6">
        <v>6</v>
      </c>
      <c r="J117" s="6">
        <v>8</v>
      </c>
      <c r="K117" s="6">
        <v>12</v>
      </c>
      <c r="L117" s="6">
        <v>2</v>
      </c>
      <c r="M117" s="6">
        <v>1</v>
      </c>
      <c r="N117" s="6">
        <v>5</v>
      </c>
      <c r="O117" s="6">
        <v>3</v>
      </c>
      <c r="P117" s="6"/>
      <c r="Q117" s="6">
        <v>2</v>
      </c>
      <c r="R117" s="6"/>
      <c r="S117" s="6">
        <v>2</v>
      </c>
      <c r="T117" s="6">
        <v>3</v>
      </c>
      <c r="U117" s="6">
        <v>4</v>
      </c>
      <c r="V117" s="6"/>
      <c r="W117" s="6">
        <v>1</v>
      </c>
      <c r="X117" s="6">
        <v>2</v>
      </c>
      <c r="Y117" s="6"/>
      <c r="Z117" s="6">
        <v>2</v>
      </c>
      <c r="AA117" s="6">
        <v>1</v>
      </c>
      <c r="AB117" s="6">
        <v>5</v>
      </c>
      <c r="AC117" s="6">
        <v>2</v>
      </c>
      <c r="AD117" s="6">
        <v>3</v>
      </c>
      <c r="AE117" s="5">
        <f t="shared" ref="AE117:AE126" si="59">SUM(E117:AD117)</f>
        <v>67</v>
      </c>
    </row>
    <row r="118" spans="1:31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>
        <v>1</v>
      </c>
      <c r="M118" s="6">
        <v>2</v>
      </c>
      <c r="N118" s="6">
        <v>1</v>
      </c>
      <c r="O118" s="6">
        <v>2</v>
      </c>
      <c r="P118" s="6"/>
      <c r="Q118" s="6">
        <v>1</v>
      </c>
      <c r="R118" s="6"/>
      <c r="S118" s="6"/>
      <c r="T118" s="6"/>
      <c r="U118" s="6"/>
      <c r="V118" s="6"/>
      <c r="W118" s="6"/>
      <c r="X118" s="6">
        <v>1</v>
      </c>
      <c r="Y118" s="6"/>
      <c r="Z118" s="6">
        <v>1</v>
      </c>
      <c r="AA118" s="6"/>
      <c r="AB118" s="6"/>
      <c r="AC118" s="6"/>
      <c r="AD118" s="6"/>
      <c r="AE118" s="5">
        <f t="shared" si="59"/>
        <v>9</v>
      </c>
    </row>
    <row r="119" spans="1:31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5">
        <f t="shared" si="59"/>
        <v>0</v>
      </c>
    </row>
    <row r="120" spans="1:31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5">
        <f t="shared" si="59"/>
        <v>0</v>
      </c>
    </row>
    <row r="121" spans="1:31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5">
        <f t="shared" si="59"/>
        <v>0</v>
      </c>
    </row>
    <row r="122" spans="1:31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5">
        <f t="shared" si="59"/>
        <v>0</v>
      </c>
    </row>
    <row r="123" spans="1:3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5">
        <f t="shared" si="59"/>
        <v>0</v>
      </c>
    </row>
    <row r="124" spans="1:3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5">
        <f t="shared" si="59"/>
        <v>0</v>
      </c>
    </row>
    <row r="125" spans="1:3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5">
        <f t="shared" si="59"/>
        <v>0</v>
      </c>
    </row>
    <row r="126" spans="1:3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5">
        <f t="shared" si="59"/>
        <v>0</v>
      </c>
    </row>
    <row r="127" spans="1:31" x14ac:dyDescent="0.4">
      <c r="A127" s="6" t="s">
        <v>26</v>
      </c>
      <c r="B127" s="85" t="s">
        <v>51</v>
      </c>
      <c r="C127" s="93"/>
      <c r="D127" s="94"/>
      <c r="E127" s="5">
        <f t="shared" ref="E127:AE127" si="60">SUM(E117:E126)</f>
        <v>1</v>
      </c>
      <c r="F127" s="5">
        <f t="shared" ref="F127:T127" si="61">SUM(F117:F126)</f>
        <v>2</v>
      </c>
      <c r="G127" s="5">
        <f t="shared" si="61"/>
        <v>0</v>
      </c>
      <c r="H127" s="5">
        <f t="shared" si="61"/>
        <v>0</v>
      </c>
      <c r="I127" s="5">
        <f t="shared" si="61"/>
        <v>6</v>
      </c>
      <c r="J127" s="5">
        <f t="shared" si="61"/>
        <v>8</v>
      </c>
      <c r="K127" s="5">
        <f t="shared" si="61"/>
        <v>12</v>
      </c>
      <c r="L127" s="5">
        <f t="shared" si="61"/>
        <v>3</v>
      </c>
      <c r="M127" s="5">
        <f t="shared" si="61"/>
        <v>3</v>
      </c>
      <c r="N127" s="5">
        <f t="shared" si="61"/>
        <v>6</v>
      </c>
      <c r="O127" s="5">
        <f t="shared" si="61"/>
        <v>5</v>
      </c>
      <c r="P127" s="5">
        <f t="shared" si="61"/>
        <v>0</v>
      </c>
      <c r="Q127" s="5">
        <f t="shared" si="61"/>
        <v>3</v>
      </c>
      <c r="R127" s="5">
        <f t="shared" si="61"/>
        <v>0</v>
      </c>
      <c r="S127" s="5">
        <f t="shared" si="61"/>
        <v>2</v>
      </c>
      <c r="T127" s="5">
        <f t="shared" si="61"/>
        <v>3</v>
      </c>
      <c r="U127" s="5">
        <f t="shared" si="60"/>
        <v>4</v>
      </c>
      <c r="V127" s="5">
        <f t="shared" si="60"/>
        <v>0</v>
      </c>
      <c r="W127" s="5">
        <f t="shared" ref="W127:AD127" si="62">SUM(W117:W126)</f>
        <v>1</v>
      </c>
      <c r="X127" s="5">
        <f t="shared" si="62"/>
        <v>3</v>
      </c>
      <c r="Y127" s="5">
        <f t="shared" si="62"/>
        <v>0</v>
      </c>
      <c r="Z127" s="5">
        <f t="shared" si="62"/>
        <v>3</v>
      </c>
      <c r="AA127" s="5">
        <f t="shared" si="62"/>
        <v>1</v>
      </c>
      <c r="AB127" s="5">
        <f t="shared" si="62"/>
        <v>5</v>
      </c>
      <c r="AC127" s="5">
        <f t="shared" si="62"/>
        <v>2</v>
      </c>
      <c r="AD127" s="5">
        <f t="shared" si="62"/>
        <v>3</v>
      </c>
      <c r="AE127" s="5">
        <f t="shared" si="60"/>
        <v>76</v>
      </c>
    </row>
    <row r="128" spans="1:31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x14ac:dyDescent="0.4">
      <c r="A129" s="11" t="s">
        <v>48</v>
      </c>
      <c r="B129" s="17" t="s">
        <v>61</v>
      </c>
      <c r="C129" s="92" t="s">
        <v>62</v>
      </c>
      <c r="D129" s="66"/>
      <c r="E129" s="6"/>
      <c r="F129" s="6"/>
      <c r="G129" s="6"/>
      <c r="H129" s="6"/>
      <c r="I129" s="6"/>
      <c r="J129" s="6"/>
      <c r="K129" s="6"/>
      <c r="L129" s="6"/>
      <c r="M129" s="6"/>
      <c r="N129" s="6">
        <v>2</v>
      </c>
      <c r="O129" s="6"/>
      <c r="P129" s="6">
        <v>3</v>
      </c>
      <c r="Q129" s="6"/>
      <c r="R129" s="6"/>
      <c r="S129" s="6"/>
      <c r="T129" s="6">
        <v>1</v>
      </c>
      <c r="U129" s="6"/>
      <c r="V129" s="6"/>
      <c r="W129" s="6"/>
      <c r="X129" s="6"/>
      <c r="Y129" s="6">
        <v>2</v>
      </c>
      <c r="Z129" s="6"/>
      <c r="AA129" s="6"/>
      <c r="AB129" s="6">
        <v>2</v>
      </c>
      <c r="AC129" s="6"/>
      <c r="AD129" s="6"/>
      <c r="AE129" s="5">
        <f t="shared" ref="AE129:AE138" si="63">SUM(E129:AD129)</f>
        <v>10</v>
      </c>
    </row>
    <row r="130" spans="1:31" ht="13.15" customHeight="1" x14ac:dyDescent="0.4">
      <c r="A130" s="11" t="s">
        <v>50</v>
      </c>
      <c r="B130" s="50"/>
      <c r="C130" s="24" t="s">
        <v>184</v>
      </c>
      <c r="D130" s="51"/>
      <c r="E130" s="6"/>
      <c r="F130" s="6">
        <v>2</v>
      </c>
      <c r="G130" s="6"/>
      <c r="H130" s="6"/>
      <c r="I130" s="6">
        <v>1</v>
      </c>
      <c r="J130" s="6">
        <v>1</v>
      </c>
      <c r="K130" s="6">
        <v>1</v>
      </c>
      <c r="L130" s="6"/>
      <c r="M130" s="6"/>
      <c r="N130" s="6"/>
      <c r="O130" s="6">
        <v>1</v>
      </c>
      <c r="P130" s="6">
        <v>26</v>
      </c>
      <c r="Q130" s="6">
        <v>6</v>
      </c>
      <c r="R130" s="6">
        <v>3</v>
      </c>
      <c r="S130" s="6"/>
      <c r="T130" s="6">
        <v>4</v>
      </c>
      <c r="U130" s="6">
        <v>1</v>
      </c>
      <c r="V130" s="6">
        <v>2</v>
      </c>
      <c r="W130" s="6"/>
      <c r="X130" s="6"/>
      <c r="Y130" s="6">
        <v>35</v>
      </c>
      <c r="Z130" s="6">
        <v>9</v>
      </c>
      <c r="AA130" s="6">
        <v>6</v>
      </c>
      <c r="AB130" s="6"/>
      <c r="AC130" s="6">
        <v>8</v>
      </c>
      <c r="AD130" s="6"/>
      <c r="AE130" s="5">
        <f t="shared" si="63"/>
        <v>106</v>
      </c>
    </row>
    <row r="131" spans="1:31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5">
        <f t="shared" si="63"/>
        <v>0</v>
      </c>
    </row>
    <row r="132" spans="1:31" x14ac:dyDescent="0.4">
      <c r="A132" s="7"/>
      <c r="B132" s="50"/>
      <c r="C132" s="24" t="s">
        <v>186</v>
      </c>
      <c r="D132" s="5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5">
        <f t="shared" si="63"/>
        <v>0</v>
      </c>
    </row>
    <row r="133" spans="1:31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5">
        <f t="shared" si="63"/>
        <v>0</v>
      </c>
    </row>
    <row r="134" spans="1:31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5">
        <f t="shared" si="63"/>
        <v>0</v>
      </c>
    </row>
    <row r="135" spans="1:31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5">
        <f t="shared" si="63"/>
        <v>0</v>
      </c>
    </row>
    <row r="136" spans="1:31" x14ac:dyDescent="0.4">
      <c r="A136" s="7"/>
      <c r="B136" s="50"/>
      <c r="C136" s="24" t="s">
        <v>190</v>
      </c>
      <c r="D136" s="51"/>
      <c r="E136" s="6"/>
      <c r="F136" s="6"/>
      <c r="G136" s="6"/>
      <c r="H136" s="6">
        <v>1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5">
        <f t="shared" si="63"/>
        <v>1</v>
      </c>
    </row>
    <row r="137" spans="1:31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5">
        <f t="shared" si="63"/>
        <v>0</v>
      </c>
    </row>
    <row r="138" spans="1:31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5">
        <f t="shared" si="63"/>
        <v>0</v>
      </c>
    </row>
    <row r="139" spans="1:31" x14ac:dyDescent="0.4">
      <c r="A139" s="6" t="s">
        <v>26</v>
      </c>
      <c r="B139" s="85" t="s">
        <v>51</v>
      </c>
      <c r="C139" s="93"/>
      <c r="D139" s="94"/>
      <c r="E139" s="5">
        <f t="shared" ref="E139:AE139" si="64">SUM(E129:E138)</f>
        <v>0</v>
      </c>
      <c r="F139" s="5">
        <f t="shared" ref="F139:T139" si="65">SUM(F129:F138)</f>
        <v>2</v>
      </c>
      <c r="G139" s="5">
        <f t="shared" si="65"/>
        <v>0</v>
      </c>
      <c r="H139" s="5">
        <f t="shared" si="65"/>
        <v>1</v>
      </c>
      <c r="I139" s="5">
        <f t="shared" si="65"/>
        <v>1</v>
      </c>
      <c r="J139" s="5">
        <f t="shared" si="65"/>
        <v>1</v>
      </c>
      <c r="K139" s="5">
        <f t="shared" si="65"/>
        <v>1</v>
      </c>
      <c r="L139" s="5">
        <f t="shared" si="65"/>
        <v>0</v>
      </c>
      <c r="M139" s="5">
        <f t="shared" si="65"/>
        <v>0</v>
      </c>
      <c r="N139" s="5">
        <f t="shared" si="65"/>
        <v>2</v>
      </c>
      <c r="O139" s="5">
        <f t="shared" si="65"/>
        <v>1</v>
      </c>
      <c r="P139" s="5">
        <f t="shared" si="65"/>
        <v>29</v>
      </c>
      <c r="Q139" s="5">
        <f t="shared" si="65"/>
        <v>6</v>
      </c>
      <c r="R139" s="5">
        <f t="shared" si="65"/>
        <v>3</v>
      </c>
      <c r="S139" s="5">
        <f t="shared" si="65"/>
        <v>0</v>
      </c>
      <c r="T139" s="5">
        <f t="shared" si="65"/>
        <v>5</v>
      </c>
      <c r="U139" s="5">
        <f t="shared" si="64"/>
        <v>1</v>
      </c>
      <c r="V139" s="5">
        <f t="shared" si="64"/>
        <v>2</v>
      </c>
      <c r="W139" s="5">
        <f t="shared" ref="W139:AD139" si="66">SUM(W129:W138)</f>
        <v>0</v>
      </c>
      <c r="X139" s="5">
        <f t="shared" si="66"/>
        <v>0</v>
      </c>
      <c r="Y139" s="5">
        <f t="shared" si="66"/>
        <v>37</v>
      </c>
      <c r="Z139" s="5">
        <f t="shared" si="66"/>
        <v>9</v>
      </c>
      <c r="AA139" s="5">
        <f t="shared" si="66"/>
        <v>6</v>
      </c>
      <c r="AB139" s="5">
        <f t="shared" si="66"/>
        <v>2</v>
      </c>
      <c r="AC139" s="5">
        <f t="shared" si="66"/>
        <v>8</v>
      </c>
      <c r="AD139" s="5">
        <f t="shared" si="66"/>
        <v>0</v>
      </c>
      <c r="AE139" s="5">
        <f t="shared" si="64"/>
        <v>117</v>
      </c>
    </row>
    <row r="140" spans="1:31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5">
        <f t="shared" ref="AE141:AE150" si="67">SUM(E141:AD141)</f>
        <v>0</v>
      </c>
    </row>
    <row r="142" spans="1:31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>
        <v>1</v>
      </c>
      <c r="AD142" s="6"/>
      <c r="AE142" s="5">
        <f t="shared" si="67"/>
        <v>1</v>
      </c>
    </row>
    <row r="143" spans="1:31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5">
        <f t="shared" si="67"/>
        <v>0</v>
      </c>
    </row>
    <row r="144" spans="1:31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5">
        <f t="shared" si="67"/>
        <v>0</v>
      </c>
    </row>
    <row r="145" spans="1:3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5">
        <f t="shared" si="67"/>
        <v>0</v>
      </c>
    </row>
    <row r="146" spans="1:3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5">
        <f t="shared" si="67"/>
        <v>0</v>
      </c>
    </row>
    <row r="147" spans="1:3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5">
        <f t="shared" si="67"/>
        <v>0</v>
      </c>
    </row>
    <row r="148" spans="1:3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5">
        <f t="shared" si="67"/>
        <v>0</v>
      </c>
    </row>
    <row r="149" spans="1:3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5">
        <f t="shared" si="67"/>
        <v>0</v>
      </c>
    </row>
    <row r="150" spans="1:3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5">
        <f t="shared" si="67"/>
        <v>0</v>
      </c>
    </row>
    <row r="151" spans="1:31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AE151" si="68">SUM(E141:E150)</f>
        <v>0</v>
      </c>
      <c r="F151" s="5">
        <f t="shared" ref="F151:T151" si="69">SUM(F141:F150)</f>
        <v>0</v>
      </c>
      <c r="G151" s="5">
        <f t="shared" si="69"/>
        <v>0</v>
      </c>
      <c r="H151" s="5">
        <f t="shared" si="69"/>
        <v>0</v>
      </c>
      <c r="I151" s="5">
        <f t="shared" si="69"/>
        <v>0</v>
      </c>
      <c r="J151" s="5">
        <f t="shared" si="69"/>
        <v>0</v>
      </c>
      <c r="K151" s="5">
        <f t="shared" si="69"/>
        <v>0</v>
      </c>
      <c r="L151" s="5">
        <f t="shared" si="69"/>
        <v>0</v>
      </c>
      <c r="M151" s="5">
        <f t="shared" si="69"/>
        <v>0</v>
      </c>
      <c r="N151" s="5">
        <f t="shared" si="69"/>
        <v>0</v>
      </c>
      <c r="O151" s="5">
        <f t="shared" si="69"/>
        <v>0</v>
      </c>
      <c r="P151" s="5">
        <f t="shared" si="69"/>
        <v>0</v>
      </c>
      <c r="Q151" s="5">
        <f t="shared" si="69"/>
        <v>0</v>
      </c>
      <c r="R151" s="5">
        <f t="shared" si="69"/>
        <v>0</v>
      </c>
      <c r="S151" s="5">
        <f t="shared" si="69"/>
        <v>0</v>
      </c>
      <c r="T151" s="5">
        <f t="shared" si="69"/>
        <v>0</v>
      </c>
      <c r="U151" s="5">
        <f t="shared" si="68"/>
        <v>0</v>
      </c>
      <c r="V151" s="5">
        <f t="shared" si="68"/>
        <v>0</v>
      </c>
      <c r="W151" s="5">
        <f t="shared" ref="W151:AD151" si="70">SUM(W141:W150)</f>
        <v>0</v>
      </c>
      <c r="X151" s="5">
        <f t="shared" si="70"/>
        <v>0</v>
      </c>
      <c r="Y151" s="5">
        <f t="shared" si="70"/>
        <v>0</v>
      </c>
      <c r="Z151" s="5">
        <f t="shared" si="70"/>
        <v>0</v>
      </c>
      <c r="AA151" s="5">
        <f t="shared" si="70"/>
        <v>0</v>
      </c>
      <c r="AB151" s="5">
        <f t="shared" si="70"/>
        <v>0</v>
      </c>
      <c r="AC151" s="5">
        <f t="shared" si="70"/>
        <v>1</v>
      </c>
      <c r="AD151" s="5">
        <f t="shared" si="70"/>
        <v>0</v>
      </c>
      <c r="AE151" s="5">
        <f t="shared" si="68"/>
        <v>1</v>
      </c>
    </row>
    <row r="152" spans="1:31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5"/>
    </row>
    <row r="153" spans="1:31" x14ac:dyDescent="0.4">
      <c r="A153" s="11" t="s">
        <v>48</v>
      </c>
      <c r="B153" s="44" t="s">
        <v>65</v>
      </c>
      <c r="C153" s="96" t="s">
        <v>66</v>
      </c>
      <c r="D153" s="74"/>
      <c r="E153" s="6">
        <v>1</v>
      </c>
      <c r="F153" s="6">
        <v>1</v>
      </c>
      <c r="G153" s="6">
        <v>1</v>
      </c>
      <c r="H153" s="6"/>
      <c r="I153" s="6">
        <v>1</v>
      </c>
      <c r="J153" s="6">
        <v>3</v>
      </c>
      <c r="K153" s="6">
        <v>1</v>
      </c>
      <c r="L153" s="6">
        <v>2</v>
      </c>
      <c r="M153" s="6"/>
      <c r="N153" s="6">
        <v>2</v>
      </c>
      <c r="O153" s="6"/>
      <c r="P153" s="6"/>
      <c r="Q153" s="6">
        <v>1</v>
      </c>
      <c r="R153" s="6"/>
      <c r="S153" s="6">
        <v>1</v>
      </c>
      <c r="T153" s="6"/>
      <c r="U153" s="6">
        <v>1</v>
      </c>
      <c r="V153" s="6">
        <v>1</v>
      </c>
      <c r="W153" s="6">
        <v>3</v>
      </c>
      <c r="X153" s="6"/>
      <c r="Y153" s="6"/>
      <c r="Z153" s="6"/>
      <c r="AA153" s="6">
        <v>1</v>
      </c>
      <c r="AB153" s="6">
        <v>1</v>
      </c>
      <c r="AC153" s="6">
        <v>1</v>
      </c>
      <c r="AD153" s="6">
        <v>1</v>
      </c>
      <c r="AE153" s="5">
        <f t="shared" ref="AE153:AE162" si="71">SUM(E153:AD153)</f>
        <v>23</v>
      </c>
    </row>
    <row r="154" spans="1:31" x14ac:dyDescent="0.4">
      <c r="A154" s="52" t="s">
        <v>50</v>
      </c>
      <c r="B154" s="50"/>
      <c r="C154" s="24" t="s">
        <v>193</v>
      </c>
      <c r="D154" s="51"/>
      <c r="E154" s="53">
        <v>1</v>
      </c>
      <c r="F154" s="6">
        <v>1</v>
      </c>
      <c r="G154" s="6">
        <v>1</v>
      </c>
      <c r="H154" s="6">
        <v>2</v>
      </c>
      <c r="I154" s="6"/>
      <c r="J154" s="6"/>
      <c r="K154" s="6">
        <v>1</v>
      </c>
      <c r="L154" s="6"/>
      <c r="M154" s="6"/>
      <c r="N154" s="6"/>
      <c r="O154" s="6"/>
      <c r="P154" s="6"/>
      <c r="Q154" s="6"/>
      <c r="R154" s="6"/>
      <c r="S154" s="6"/>
      <c r="T154" s="6"/>
      <c r="U154" s="6">
        <v>1</v>
      </c>
      <c r="V154" s="6"/>
      <c r="W154" s="6"/>
      <c r="X154" s="6"/>
      <c r="Y154" s="6"/>
      <c r="Z154" s="6"/>
      <c r="AA154" s="6"/>
      <c r="AB154" s="6"/>
      <c r="AC154" s="6"/>
      <c r="AD154" s="6"/>
      <c r="AE154" s="5">
        <f t="shared" si="71"/>
        <v>7</v>
      </c>
    </row>
    <row r="155" spans="1:31" x14ac:dyDescent="0.4">
      <c r="A155" s="7"/>
      <c r="B155" s="50"/>
      <c r="C155" s="24" t="s">
        <v>194</v>
      </c>
      <c r="D155" s="51"/>
      <c r="E155" s="53"/>
      <c r="F155" s="6"/>
      <c r="G155" s="6"/>
      <c r="H155" s="6"/>
      <c r="I155" s="6"/>
      <c r="J155" s="6">
        <v>1</v>
      </c>
      <c r="K155" s="6"/>
      <c r="L155" s="6"/>
      <c r="M155" s="6"/>
      <c r="N155" s="6"/>
      <c r="O155" s="6"/>
      <c r="P155" s="6">
        <v>1</v>
      </c>
      <c r="Q155" s="6"/>
      <c r="R155" s="6"/>
      <c r="S155" s="6"/>
      <c r="T155" s="6"/>
      <c r="U155" s="6"/>
      <c r="V155" s="6"/>
      <c r="W155" s="6">
        <v>1</v>
      </c>
      <c r="X155" s="6"/>
      <c r="Y155" s="6"/>
      <c r="Z155" s="6"/>
      <c r="AA155" s="6">
        <v>1</v>
      </c>
      <c r="AB155" s="6"/>
      <c r="AC155" s="6"/>
      <c r="AD155" s="6"/>
      <c r="AE155" s="5">
        <f t="shared" si="71"/>
        <v>4</v>
      </c>
    </row>
    <row r="156" spans="1:31" x14ac:dyDescent="0.4">
      <c r="A156" s="7"/>
      <c r="B156" s="50"/>
      <c r="C156" s="24" t="s">
        <v>195</v>
      </c>
      <c r="D156" s="51"/>
      <c r="E156" s="53">
        <v>1</v>
      </c>
      <c r="F156" s="6">
        <v>1</v>
      </c>
      <c r="G156" s="6"/>
      <c r="H156" s="6"/>
      <c r="I156" s="6"/>
      <c r="J156" s="6"/>
      <c r="K156" s="6"/>
      <c r="L156" s="6"/>
      <c r="M156" s="6">
        <v>1</v>
      </c>
      <c r="N156" s="6"/>
      <c r="O156" s="6">
        <v>1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5">
        <f t="shared" si="71"/>
        <v>4</v>
      </c>
    </row>
    <row r="157" spans="1:31" x14ac:dyDescent="0.4">
      <c r="A157" s="7"/>
      <c r="B157" s="50"/>
      <c r="C157" s="24" t="s">
        <v>196</v>
      </c>
      <c r="D157" s="51"/>
      <c r="E157" s="53"/>
      <c r="F157" s="6"/>
      <c r="G157" s="6"/>
      <c r="H157" s="6"/>
      <c r="I157" s="6"/>
      <c r="J157" s="6"/>
      <c r="K157" s="6"/>
      <c r="L157" s="6"/>
      <c r="M157" s="6">
        <v>1</v>
      </c>
      <c r="N157" s="6">
        <v>2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5">
        <f t="shared" si="71"/>
        <v>3</v>
      </c>
    </row>
    <row r="158" spans="1:31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5">
        <f t="shared" si="71"/>
        <v>0</v>
      </c>
    </row>
    <row r="159" spans="1:31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>
        <v>1</v>
      </c>
      <c r="K159" s="6"/>
      <c r="L159" s="6">
        <v>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5">
        <f t="shared" si="71"/>
        <v>2</v>
      </c>
    </row>
    <row r="160" spans="1:31" x14ac:dyDescent="0.4">
      <c r="A160" s="7"/>
      <c r="B160" s="50"/>
      <c r="C160" s="24" t="s">
        <v>199</v>
      </c>
      <c r="D160" s="51"/>
      <c r="E160" s="53">
        <v>27</v>
      </c>
      <c r="F160" s="6">
        <v>33</v>
      </c>
      <c r="G160" s="6">
        <v>19</v>
      </c>
      <c r="H160" s="6">
        <v>12</v>
      </c>
      <c r="I160" s="6">
        <v>21</v>
      </c>
      <c r="J160" s="6">
        <v>31</v>
      </c>
      <c r="K160" s="6">
        <v>33</v>
      </c>
      <c r="L160" s="6">
        <v>24</v>
      </c>
      <c r="M160" s="6">
        <v>16</v>
      </c>
      <c r="N160" s="6">
        <v>33</v>
      </c>
      <c r="O160" s="6">
        <v>8</v>
      </c>
      <c r="P160" s="6">
        <v>14</v>
      </c>
      <c r="Q160" s="6">
        <v>15</v>
      </c>
      <c r="R160" s="6">
        <v>6</v>
      </c>
      <c r="S160" s="6">
        <v>73</v>
      </c>
      <c r="T160" s="6">
        <v>7</v>
      </c>
      <c r="U160" s="6">
        <v>94</v>
      </c>
      <c r="V160" s="6">
        <v>1</v>
      </c>
      <c r="W160" s="6">
        <v>43</v>
      </c>
      <c r="X160" s="6">
        <v>13</v>
      </c>
      <c r="Y160" s="6">
        <v>7</v>
      </c>
      <c r="Z160" s="6">
        <v>19</v>
      </c>
      <c r="AA160" s="6">
        <v>23</v>
      </c>
      <c r="AB160" s="6">
        <v>43</v>
      </c>
      <c r="AC160" s="6">
        <v>2</v>
      </c>
      <c r="AD160" s="6">
        <v>12</v>
      </c>
      <c r="AE160" s="5">
        <f t="shared" si="71"/>
        <v>629</v>
      </c>
    </row>
    <row r="161" spans="1:3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5">
        <f t="shared" si="71"/>
        <v>0</v>
      </c>
    </row>
    <row r="162" spans="1:3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5">
        <f t="shared" si="71"/>
        <v>0</v>
      </c>
    </row>
    <row r="163" spans="1:31" x14ac:dyDescent="0.4">
      <c r="A163" s="6" t="s">
        <v>26</v>
      </c>
      <c r="B163" s="97" t="s">
        <v>51</v>
      </c>
      <c r="C163" s="98"/>
      <c r="D163" s="99"/>
      <c r="E163" s="5">
        <f t="shared" ref="E163:AE163" si="72">SUM(E153:E162)</f>
        <v>30</v>
      </c>
      <c r="F163" s="5">
        <f t="shared" ref="F163:T163" si="73">SUM(F153:F162)</f>
        <v>36</v>
      </c>
      <c r="G163" s="5">
        <f t="shared" si="73"/>
        <v>21</v>
      </c>
      <c r="H163" s="5">
        <f t="shared" si="73"/>
        <v>14</v>
      </c>
      <c r="I163" s="5">
        <f t="shared" si="73"/>
        <v>22</v>
      </c>
      <c r="J163" s="5">
        <f t="shared" si="73"/>
        <v>36</v>
      </c>
      <c r="K163" s="5">
        <f t="shared" si="73"/>
        <v>35</v>
      </c>
      <c r="L163" s="5">
        <f t="shared" si="73"/>
        <v>27</v>
      </c>
      <c r="M163" s="5">
        <f t="shared" si="73"/>
        <v>18</v>
      </c>
      <c r="N163" s="5">
        <f t="shared" si="73"/>
        <v>37</v>
      </c>
      <c r="O163" s="5">
        <f t="shared" si="73"/>
        <v>9</v>
      </c>
      <c r="P163" s="5">
        <f t="shared" si="73"/>
        <v>15</v>
      </c>
      <c r="Q163" s="5">
        <f t="shared" si="73"/>
        <v>16</v>
      </c>
      <c r="R163" s="5">
        <f t="shared" si="73"/>
        <v>6</v>
      </c>
      <c r="S163" s="5">
        <f t="shared" si="73"/>
        <v>74</v>
      </c>
      <c r="T163" s="5">
        <f t="shared" si="73"/>
        <v>7</v>
      </c>
      <c r="U163" s="5">
        <f t="shared" si="72"/>
        <v>96</v>
      </c>
      <c r="V163" s="5">
        <f t="shared" si="72"/>
        <v>2</v>
      </c>
      <c r="W163" s="5">
        <f t="shared" ref="W163:AD163" si="74">SUM(W153:W162)</f>
        <v>47</v>
      </c>
      <c r="X163" s="5">
        <f t="shared" si="74"/>
        <v>13</v>
      </c>
      <c r="Y163" s="5">
        <f t="shared" si="74"/>
        <v>7</v>
      </c>
      <c r="Z163" s="5">
        <f t="shared" si="74"/>
        <v>19</v>
      </c>
      <c r="AA163" s="5">
        <f t="shared" si="74"/>
        <v>25</v>
      </c>
      <c r="AB163" s="5">
        <f t="shared" si="74"/>
        <v>44</v>
      </c>
      <c r="AC163" s="5">
        <f t="shared" si="74"/>
        <v>3</v>
      </c>
      <c r="AD163" s="5">
        <f t="shared" si="74"/>
        <v>13</v>
      </c>
      <c r="AE163" s="5">
        <f t="shared" si="72"/>
        <v>672</v>
      </c>
    </row>
    <row r="164" spans="1:31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/>
      <c r="F165" s="6">
        <v>2</v>
      </c>
      <c r="G165" s="6"/>
      <c r="H165" s="6"/>
      <c r="I165" s="6"/>
      <c r="J165" s="6">
        <v>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5">
        <f t="shared" ref="AE165:AE174" si="75">SUM(E165:AD165)</f>
        <v>3</v>
      </c>
    </row>
    <row r="166" spans="1:3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5">
        <f t="shared" si="75"/>
        <v>0</v>
      </c>
    </row>
    <row r="167" spans="1:3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5">
        <f t="shared" si="75"/>
        <v>0</v>
      </c>
    </row>
    <row r="168" spans="1:3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5">
        <f t="shared" si="75"/>
        <v>0</v>
      </c>
    </row>
    <row r="169" spans="1:3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5">
        <f t="shared" si="75"/>
        <v>0</v>
      </c>
    </row>
    <row r="170" spans="1:3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5">
        <f t="shared" si="75"/>
        <v>0</v>
      </c>
    </row>
    <row r="171" spans="1:3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5">
        <f t="shared" si="75"/>
        <v>0</v>
      </c>
    </row>
    <row r="172" spans="1:3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5">
        <f t="shared" si="75"/>
        <v>0</v>
      </c>
    </row>
    <row r="173" spans="1:3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5">
        <f t="shared" si="75"/>
        <v>0</v>
      </c>
    </row>
    <row r="174" spans="1:3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5">
        <f t="shared" si="75"/>
        <v>0</v>
      </c>
    </row>
    <row r="175" spans="1:31" x14ac:dyDescent="0.4">
      <c r="A175" s="6" t="s">
        <v>26</v>
      </c>
      <c r="B175" s="85" t="s">
        <v>51</v>
      </c>
      <c r="C175" s="93"/>
      <c r="D175" s="94"/>
      <c r="E175" s="5">
        <f t="shared" ref="E175:AE175" si="76">SUM(E165:E174)</f>
        <v>0</v>
      </c>
      <c r="F175" s="5">
        <f t="shared" ref="F175:T175" si="77">SUM(F165:F174)</f>
        <v>2</v>
      </c>
      <c r="G175" s="5">
        <f t="shared" si="77"/>
        <v>0</v>
      </c>
      <c r="H175" s="5">
        <f t="shared" si="77"/>
        <v>0</v>
      </c>
      <c r="I175" s="5">
        <f t="shared" si="77"/>
        <v>0</v>
      </c>
      <c r="J175" s="5">
        <f t="shared" si="77"/>
        <v>1</v>
      </c>
      <c r="K175" s="5">
        <f t="shared" si="77"/>
        <v>0</v>
      </c>
      <c r="L175" s="5">
        <f t="shared" si="77"/>
        <v>0</v>
      </c>
      <c r="M175" s="5">
        <f t="shared" si="77"/>
        <v>0</v>
      </c>
      <c r="N175" s="5">
        <f t="shared" si="77"/>
        <v>0</v>
      </c>
      <c r="O175" s="5">
        <f t="shared" si="77"/>
        <v>0</v>
      </c>
      <c r="P175" s="5">
        <f t="shared" si="77"/>
        <v>0</v>
      </c>
      <c r="Q175" s="5">
        <f t="shared" si="77"/>
        <v>0</v>
      </c>
      <c r="R175" s="5">
        <f t="shared" si="77"/>
        <v>0</v>
      </c>
      <c r="S175" s="5">
        <f t="shared" si="77"/>
        <v>0</v>
      </c>
      <c r="T175" s="5">
        <f t="shared" si="77"/>
        <v>0</v>
      </c>
      <c r="U175" s="5">
        <f t="shared" si="76"/>
        <v>0</v>
      </c>
      <c r="V175" s="5">
        <f t="shared" si="76"/>
        <v>0</v>
      </c>
      <c r="W175" s="5">
        <f t="shared" ref="W175:AD175" si="78">SUM(W165:W174)</f>
        <v>0</v>
      </c>
      <c r="X175" s="5">
        <f t="shared" si="78"/>
        <v>0</v>
      </c>
      <c r="Y175" s="5">
        <f t="shared" si="78"/>
        <v>0</v>
      </c>
      <c r="Z175" s="5">
        <f t="shared" si="78"/>
        <v>0</v>
      </c>
      <c r="AA175" s="5">
        <f t="shared" si="78"/>
        <v>0</v>
      </c>
      <c r="AB175" s="5">
        <f t="shared" si="78"/>
        <v>0</v>
      </c>
      <c r="AC175" s="5">
        <f t="shared" si="78"/>
        <v>0</v>
      </c>
      <c r="AD175" s="5">
        <f t="shared" si="78"/>
        <v>0</v>
      </c>
      <c r="AE175" s="5">
        <f t="shared" si="76"/>
        <v>3</v>
      </c>
    </row>
    <row r="176" spans="1:31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/>
      <c r="G177" s="6"/>
      <c r="H177" s="6"/>
      <c r="I177" s="6"/>
      <c r="J177" s="6"/>
      <c r="K177" s="6">
        <v>1</v>
      </c>
      <c r="L177" s="6"/>
      <c r="M177" s="6"/>
      <c r="N177" s="6">
        <v>1</v>
      </c>
      <c r="O177" s="6">
        <v>1</v>
      </c>
      <c r="P177" s="6"/>
      <c r="Q177" s="6">
        <v>1</v>
      </c>
      <c r="R177" s="6"/>
      <c r="S177" s="6"/>
      <c r="T177" s="6"/>
      <c r="U177" s="6">
        <v>1</v>
      </c>
      <c r="V177" s="6"/>
      <c r="W177" s="6"/>
      <c r="X177" s="6"/>
      <c r="Y177" s="6"/>
      <c r="Z177" s="6"/>
      <c r="AA177" s="6"/>
      <c r="AB177" s="6">
        <v>1</v>
      </c>
      <c r="AC177" s="6"/>
      <c r="AD177" s="6"/>
      <c r="AE177" s="5">
        <f t="shared" ref="AE177:AE186" si="79">SUM(E177:AD177)</f>
        <v>6</v>
      </c>
    </row>
    <row r="178" spans="1:31" x14ac:dyDescent="0.4">
      <c r="A178" s="11" t="s">
        <v>50</v>
      </c>
      <c r="B178" s="50"/>
      <c r="C178" s="24" t="s">
        <v>200</v>
      </c>
      <c r="D178" s="51"/>
      <c r="E178" s="6"/>
      <c r="F178" s="6"/>
      <c r="G178" s="6"/>
      <c r="H178" s="6"/>
      <c r="I178" s="6"/>
      <c r="J178" s="6">
        <v>1</v>
      </c>
      <c r="K178" s="6"/>
      <c r="L178" s="6"/>
      <c r="M178" s="6"/>
      <c r="N178" s="6"/>
      <c r="O178" s="6"/>
      <c r="P178" s="6">
        <v>1</v>
      </c>
      <c r="Q178" s="6">
        <v>4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5">
        <f t="shared" si="79"/>
        <v>6</v>
      </c>
    </row>
    <row r="179" spans="1:31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>
        <v>1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5">
        <f t="shared" si="79"/>
        <v>1</v>
      </c>
    </row>
    <row r="180" spans="1:31" x14ac:dyDescent="0.4">
      <c r="A180" s="7"/>
      <c r="B180" s="50"/>
      <c r="C180" s="24" t="s">
        <v>202</v>
      </c>
      <c r="D180" s="51"/>
      <c r="E180" s="6"/>
      <c r="F180" s="6"/>
      <c r="G180" s="6"/>
      <c r="H180" s="6"/>
      <c r="I180" s="6"/>
      <c r="J180" s="6"/>
      <c r="K180" s="6">
        <v>1</v>
      </c>
      <c r="L180" s="6"/>
      <c r="M180" s="6"/>
      <c r="N180" s="6"/>
      <c r="O180" s="6"/>
      <c r="P180" s="6">
        <v>1</v>
      </c>
      <c r="Q180" s="6"/>
      <c r="R180" s="6"/>
      <c r="S180" s="6"/>
      <c r="T180" s="6">
        <v>20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5">
        <f t="shared" si="79"/>
        <v>22</v>
      </c>
    </row>
    <row r="181" spans="1:31" x14ac:dyDescent="0.4">
      <c r="A181" s="7"/>
      <c r="B181" s="50"/>
      <c r="C181" s="24" t="s">
        <v>203</v>
      </c>
      <c r="D181" s="5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>
        <v>1</v>
      </c>
      <c r="U181" s="6">
        <v>1</v>
      </c>
      <c r="V181" s="6"/>
      <c r="W181" s="6">
        <v>1</v>
      </c>
      <c r="X181" s="6">
        <v>1</v>
      </c>
      <c r="Y181" s="6"/>
      <c r="Z181" s="6"/>
      <c r="AA181" s="6"/>
      <c r="AB181" s="6"/>
      <c r="AC181" s="6"/>
      <c r="AD181" s="6"/>
      <c r="AE181" s="5">
        <f t="shared" si="79"/>
        <v>4</v>
      </c>
    </row>
    <row r="182" spans="1:31" x14ac:dyDescent="0.4">
      <c r="A182" s="7"/>
      <c r="B182" s="50"/>
      <c r="C182" s="24" t="s">
        <v>204</v>
      </c>
      <c r="D182" s="51"/>
      <c r="E182" s="6"/>
      <c r="F182" s="6"/>
      <c r="G182" s="6"/>
      <c r="H182" s="6"/>
      <c r="I182" s="6"/>
      <c r="J182" s="6"/>
      <c r="K182" s="6">
        <v>1</v>
      </c>
      <c r="L182" s="6">
        <v>1</v>
      </c>
      <c r="M182" s="6"/>
      <c r="N182" s="6"/>
      <c r="O182" s="6"/>
      <c r="P182" s="6"/>
      <c r="Q182" s="6"/>
      <c r="R182" s="6"/>
      <c r="S182" s="6"/>
      <c r="T182" s="6">
        <v>1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5">
        <f t="shared" si="79"/>
        <v>3</v>
      </c>
    </row>
    <row r="183" spans="1:31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5">
        <f t="shared" si="79"/>
        <v>0</v>
      </c>
    </row>
    <row r="184" spans="1:31" x14ac:dyDescent="0.4">
      <c r="A184" s="7"/>
      <c r="B184" s="50"/>
      <c r="C184" s="24" t="s">
        <v>206</v>
      </c>
      <c r="D184" s="51"/>
      <c r="E184" s="6"/>
      <c r="F184" s="6"/>
      <c r="G184" s="6"/>
      <c r="H184" s="6"/>
      <c r="I184" s="6"/>
      <c r="J184" s="6"/>
      <c r="K184" s="6"/>
      <c r="L184" s="6"/>
      <c r="M184" s="6">
        <v>2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5">
        <f t="shared" si="79"/>
        <v>2</v>
      </c>
    </row>
    <row r="185" spans="1:3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5">
        <f t="shared" si="79"/>
        <v>0</v>
      </c>
    </row>
    <row r="186" spans="1:3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5">
        <f t="shared" si="79"/>
        <v>0</v>
      </c>
    </row>
    <row r="187" spans="1:31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AE187" si="80">SUM(E177:E186)</f>
        <v>0</v>
      </c>
      <c r="F187" s="5">
        <f t="shared" ref="F187:T187" si="81">SUM(F177:F186)</f>
        <v>0</v>
      </c>
      <c r="G187" s="5">
        <f t="shared" si="81"/>
        <v>0</v>
      </c>
      <c r="H187" s="5">
        <f t="shared" si="81"/>
        <v>0</v>
      </c>
      <c r="I187" s="5">
        <f t="shared" si="81"/>
        <v>0</v>
      </c>
      <c r="J187" s="5">
        <f t="shared" si="81"/>
        <v>1</v>
      </c>
      <c r="K187" s="5">
        <f t="shared" si="81"/>
        <v>3</v>
      </c>
      <c r="L187" s="5">
        <f t="shared" si="81"/>
        <v>1</v>
      </c>
      <c r="M187" s="5">
        <f t="shared" si="81"/>
        <v>2</v>
      </c>
      <c r="N187" s="5">
        <f t="shared" si="81"/>
        <v>1</v>
      </c>
      <c r="O187" s="5">
        <f t="shared" si="81"/>
        <v>1</v>
      </c>
      <c r="P187" s="5">
        <f t="shared" si="81"/>
        <v>3</v>
      </c>
      <c r="Q187" s="5">
        <f t="shared" si="81"/>
        <v>5</v>
      </c>
      <c r="R187" s="5">
        <f t="shared" si="81"/>
        <v>0</v>
      </c>
      <c r="S187" s="5">
        <f t="shared" si="81"/>
        <v>0</v>
      </c>
      <c r="T187" s="5">
        <f t="shared" si="81"/>
        <v>22</v>
      </c>
      <c r="U187" s="5">
        <f t="shared" si="80"/>
        <v>2</v>
      </c>
      <c r="V187" s="5">
        <f t="shared" si="80"/>
        <v>0</v>
      </c>
      <c r="W187" s="5">
        <f t="shared" ref="W187:AD187" si="82">SUM(W177:W186)</f>
        <v>1</v>
      </c>
      <c r="X187" s="5">
        <f t="shared" si="82"/>
        <v>1</v>
      </c>
      <c r="Y187" s="5">
        <f t="shared" si="82"/>
        <v>0</v>
      </c>
      <c r="Z187" s="5">
        <f t="shared" si="82"/>
        <v>0</v>
      </c>
      <c r="AA187" s="5">
        <f t="shared" si="82"/>
        <v>0</v>
      </c>
      <c r="AB187" s="5">
        <f t="shared" si="82"/>
        <v>1</v>
      </c>
      <c r="AC187" s="5">
        <f t="shared" si="82"/>
        <v>0</v>
      </c>
      <c r="AD187" s="5">
        <f t="shared" si="82"/>
        <v>0</v>
      </c>
      <c r="AE187" s="5">
        <f t="shared" si="80"/>
        <v>44</v>
      </c>
    </row>
    <row r="188" spans="1:31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5"/>
    </row>
    <row r="189" spans="1:31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>
        <v>1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>
        <v>1</v>
      </c>
      <c r="AB189" s="6"/>
      <c r="AC189" s="6"/>
      <c r="AD189" s="6"/>
      <c r="AE189" s="5">
        <f t="shared" ref="AE189:AE198" si="83">SUM(E189:AD189)</f>
        <v>2</v>
      </c>
    </row>
    <row r="190" spans="1:31" x14ac:dyDescent="0.4">
      <c r="A190" s="11" t="s">
        <v>50</v>
      </c>
      <c r="B190" s="50"/>
      <c r="C190" s="24" t="s">
        <v>207</v>
      </c>
      <c r="D190" s="5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5">
        <f t="shared" si="83"/>
        <v>0</v>
      </c>
    </row>
    <row r="191" spans="1:31" x14ac:dyDescent="0.4">
      <c r="A191" s="7"/>
      <c r="B191" s="50"/>
      <c r="C191" s="24" t="s">
        <v>208</v>
      </c>
      <c r="D191" s="51"/>
      <c r="E191" s="6"/>
      <c r="F191" s="6"/>
      <c r="G191" s="6"/>
      <c r="H191" s="6">
        <v>1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5">
        <f t="shared" si="83"/>
        <v>1</v>
      </c>
    </row>
    <row r="192" spans="1:31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>
        <v>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>
        <v>1</v>
      </c>
      <c r="X192" s="6"/>
      <c r="Y192" s="6"/>
      <c r="Z192" s="6"/>
      <c r="AA192" s="6"/>
      <c r="AB192" s="6"/>
      <c r="AC192" s="6"/>
      <c r="AD192" s="6"/>
      <c r="AE192" s="5">
        <f t="shared" si="83"/>
        <v>2</v>
      </c>
    </row>
    <row r="193" spans="1:31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5">
        <f t="shared" si="83"/>
        <v>0</v>
      </c>
    </row>
    <row r="194" spans="1:31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>
        <v>1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5">
        <f t="shared" si="83"/>
        <v>1</v>
      </c>
    </row>
    <row r="195" spans="1:31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5">
        <f t="shared" si="83"/>
        <v>0</v>
      </c>
    </row>
    <row r="196" spans="1:31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5">
        <f t="shared" si="83"/>
        <v>0</v>
      </c>
    </row>
    <row r="197" spans="1:3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5">
        <f t="shared" si="83"/>
        <v>0</v>
      </c>
    </row>
    <row r="198" spans="1:3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5">
        <f t="shared" si="83"/>
        <v>0</v>
      </c>
    </row>
    <row r="199" spans="1:31" x14ac:dyDescent="0.4">
      <c r="A199" s="6" t="s">
        <v>26</v>
      </c>
      <c r="B199" s="85" t="s">
        <v>51</v>
      </c>
      <c r="C199" s="93"/>
      <c r="D199" s="94"/>
      <c r="E199" s="5">
        <f t="shared" ref="E199:AE199" si="84">SUM(E189:E198)</f>
        <v>0</v>
      </c>
      <c r="F199" s="5">
        <f t="shared" ref="F199:T199" si="85">SUM(F189:F198)</f>
        <v>0</v>
      </c>
      <c r="G199" s="5">
        <f t="shared" si="85"/>
        <v>0</v>
      </c>
      <c r="H199" s="5">
        <f t="shared" si="85"/>
        <v>1</v>
      </c>
      <c r="I199" s="5">
        <f t="shared" si="85"/>
        <v>1</v>
      </c>
      <c r="J199" s="5">
        <f t="shared" si="85"/>
        <v>0</v>
      </c>
      <c r="K199" s="5">
        <f t="shared" si="85"/>
        <v>0</v>
      </c>
      <c r="L199" s="5">
        <f t="shared" si="85"/>
        <v>0</v>
      </c>
      <c r="M199" s="5">
        <f t="shared" si="85"/>
        <v>1</v>
      </c>
      <c r="N199" s="5">
        <f t="shared" si="85"/>
        <v>0</v>
      </c>
      <c r="O199" s="5">
        <f t="shared" si="85"/>
        <v>0</v>
      </c>
      <c r="P199" s="5">
        <f t="shared" si="85"/>
        <v>0</v>
      </c>
      <c r="Q199" s="5">
        <f t="shared" si="85"/>
        <v>0</v>
      </c>
      <c r="R199" s="5">
        <f t="shared" si="85"/>
        <v>0</v>
      </c>
      <c r="S199" s="5">
        <f t="shared" si="85"/>
        <v>1</v>
      </c>
      <c r="T199" s="5">
        <f t="shared" si="85"/>
        <v>0</v>
      </c>
      <c r="U199" s="5">
        <f t="shared" si="84"/>
        <v>0</v>
      </c>
      <c r="V199" s="5">
        <f t="shared" si="84"/>
        <v>0</v>
      </c>
      <c r="W199" s="5">
        <f t="shared" ref="W199:AD199" si="86">SUM(W189:W198)</f>
        <v>1</v>
      </c>
      <c r="X199" s="5">
        <f t="shared" si="86"/>
        <v>0</v>
      </c>
      <c r="Y199" s="5">
        <f t="shared" si="86"/>
        <v>0</v>
      </c>
      <c r="Z199" s="5">
        <f t="shared" si="86"/>
        <v>0</v>
      </c>
      <c r="AA199" s="5">
        <f t="shared" si="86"/>
        <v>1</v>
      </c>
      <c r="AB199" s="5">
        <f t="shared" si="86"/>
        <v>0</v>
      </c>
      <c r="AC199" s="5">
        <f t="shared" si="86"/>
        <v>0</v>
      </c>
      <c r="AD199" s="5">
        <f t="shared" si="86"/>
        <v>0</v>
      </c>
      <c r="AE199" s="5">
        <f t="shared" si="84"/>
        <v>6</v>
      </c>
    </row>
    <row r="200" spans="1:31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 x14ac:dyDescent="0.4">
      <c r="A201" s="11" t="s">
        <v>48</v>
      </c>
      <c r="B201" s="17" t="s">
        <v>73</v>
      </c>
      <c r="C201" s="92" t="s">
        <v>74</v>
      </c>
      <c r="D201" s="66"/>
      <c r="E201" s="6">
        <v>2</v>
      </c>
      <c r="F201" s="6">
        <v>3</v>
      </c>
      <c r="G201" s="6">
        <v>2</v>
      </c>
      <c r="H201" s="6"/>
      <c r="I201" s="6">
        <v>4</v>
      </c>
      <c r="J201" s="6">
        <v>3</v>
      </c>
      <c r="K201" s="6">
        <v>5</v>
      </c>
      <c r="L201" s="6">
        <v>1</v>
      </c>
      <c r="M201" s="6">
        <v>2</v>
      </c>
      <c r="N201" s="6"/>
      <c r="O201" s="6">
        <v>2</v>
      </c>
      <c r="P201" s="6">
        <v>3</v>
      </c>
      <c r="Q201" s="6">
        <v>2</v>
      </c>
      <c r="R201" s="6"/>
      <c r="S201" s="6">
        <v>1</v>
      </c>
      <c r="T201" s="6"/>
      <c r="U201" s="6">
        <v>1</v>
      </c>
      <c r="V201" s="6"/>
      <c r="W201" s="6">
        <v>1</v>
      </c>
      <c r="X201" s="6">
        <v>3</v>
      </c>
      <c r="Y201" s="6">
        <v>1</v>
      </c>
      <c r="Z201" s="6">
        <v>3</v>
      </c>
      <c r="AA201" s="6"/>
      <c r="AB201" s="6">
        <v>1</v>
      </c>
      <c r="AC201" s="6">
        <v>4</v>
      </c>
      <c r="AD201" s="6">
        <v>7</v>
      </c>
      <c r="AE201" s="5">
        <f t="shared" ref="AE201:AE210" si="87">SUM(E201:AD201)</f>
        <v>51</v>
      </c>
    </row>
    <row r="202" spans="1:31" x14ac:dyDescent="0.4">
      <c r="A202" s="11" t="s">
        <v>50</v>
      </c>
      <c r="B202" s="50"/>
      <c r="C202" s="24" t="s">
        <v>214</v>
      </c>
      <c r="D202" s="51"/>
      <c r="E202" s="6">
        <v>2</v>
      </c>
      <c r="F202" s="6">
        <v>2</v>
      </c>
      <c r="G202" s="6">
        <v>38</v>
      </c>
      <c r="H202" s="6">
        <v>3</v>
      </c>
      <c r="I202" s="6">
        <v>20</v>
      </c>
      <c r="J202" s="6">
        <v>1</v>
      </c>
      <c r="K202" s="6">
        <v>4</v>
      </c>
      <c r="L202" s="6">
        <v>6</v>
      </c>
      <c r="M202" s="6">
        <v>22</v>
      </c>
      <c r="N202" s="6">
        <v>3</v>
      </c>
      <c r="O202" s="6">
        <v>11</v>
      </c>
      <c r="P202" s="6"/>
      <c r="Q202" s="6">
        <v>4</v>
      </c>
      <c r="R202" s="6"/>
      <c r="S202" s="6">
        <v>3</v>
      </c>
      <c r="T202" s="6">
        <v>2</v>
      </c>
      <c r="U202" s="6">
        <v>1</v>
      </c>
      <c r="V202" s="6">
        <v>1</v>
      </c>
      <c r="W202" s="6">
        <v>2</v>
      </c>
      <c r="X202" s="6">
        <v>2</v>
      </c>
      <c r="Y202" s="6">
        <v>4</v>
      </c>
      <c r="Z202" s="6">
        <v>4</v>
      </c>
      <c r="AA202" s="6">
        <v>4</v>
      </c>
      <c r="AB202" s="6">
        <v>4</v>
      </c>
      <c r="AC202" s="6">
        <v>21</v>
      </c>
      <c r="AD202" s="6">
        <v>16</v>
      </c>
      <c r="AE202" s="5">
        <f t="shared" si="87"/>
        <v>180</v>
      </c>
    </row>
    <row r="203" spans="1:31" x14ac:dyDescent="0.4">
      <c r="A203" s="7"/>
      <c r="B203" s="50"/>
      <c r="C203" s="24" t="s">
        <v>215</v>
      </c>
      <c r="D203" s="51"/>
      <c r="E203" s="6"/>
      <c r="F203" s="6">
        <v>1</v>
      </c>
      <c r="G203" s="6">
        <v>1</v>
      </c>
      <c r="H203" s="6"/>
      <c r="I203" s="6">
        <v>1</v>
      </c>
      <c r="J203" s="6">
        <v>1</v>
      </c>
      <c r="K203" s="6">
        <v>2</v>
      </c>
      <c r="L203" s="6">
        <v>1</v>
      </c>
      <c r="M203" s="6"/>
      <c r="N203" s="6">
        <v>1</v>
      </c>
      <c r="O203" s="6"/>
      <c r="P203" s="6">
        <v>2</v>
      </c>
      <c r="Q203" s="6">
        <v>1</v>
      </c>
      <c r="R203" s="6"/>
      <c r="S203" s="6"/>
      <c r="T203" s="6">
        <v>1</v>
      </c>
      <c r="U203" s="6"/>
      <c r="V203" s="6"/>
      <c r="W203" s="6"/>
      <c r="X203" s="6">
        <v>1</v>
      </c>
      <c r="Y203" s="6"/>
      <c r="Z203" s="6">
        <v>1</v>
      </c>
      <c r="AA203" s="6"/>
      <c r="AB203" s="6"/>
      <c r="AC203" s="6"/>
      <c r="AD203" s="6">
        <v>5</v>
      </c>
      <c r="AE203" s="5">
        <f t="shared" si="87"/>
        <v>19</v>
      </c>
    </row>
    <row r="204" spans="1:31" x14ac:dyDescent="0.4">
      <c r="A204" s="7"/>
      <c r="B204" s="50"/>
      <c r="C204" s="24" t="s">
        <v>216</v>
      </c>
      <c r="D204" s="51"/>
      <c r="E204" s="6"/>
      <c r="F204" s="6"/>
      <c r="G204" s="6"/>
      <c r="H204" s="6"/>
      <c r="I204" s="6"/>
      <c r="J204" s="6"/>
      <c r="K204" s="6"/>
      <c r="L204" s="6"/>
      <c r="M204" s="6">
        <v>1</v>
      </c>
      <c r="N204" s="6"/>
      <c r="O204" s="6"/>
      <c r="P204" s="6"/>
      <c r="Q204" s="6"/>
      <c r="R204" s="6"/>
      <c r="S204" s="6"/>
      <c r="T204" s="6"/>
      <c r="U204" s="6"/>
      <c r="V204" s="6"/>
      <c r="W204" s="6">
        <v>1</v>
      </c>
      <c r="X204" s="6"/>
      <c r="Y204" s="6"/>
      <c r="Z204" s="6"/>
      <c r="AA204" s="6"/>
      <c r="AB204" s="6"/>
      <c r="AC204" s="6"/>
      <c r="AD204" s="6"/>
      <c r="AE204" s="5">
        <f t="shared" si="87"/>
        <v>2</v>
      </c>
    </row>
    <row r="205" spans="1:31" x14ac:dyDescent="0.4">
      <c r="A205" s="7"/>
      <c r="B205" s="50"/>
      <c r="C205" s="24" t="s">
        <v>217</v>
      </c>
      <c r="D205" s="51"/>
      <c r="E205" s="6"/>
      <c r="F205" s="6"/>
      <c r="G205" s="6"/>
      <c r="H205" s="6"/>
      <c r="I205" s="6"/>
      <c r="J205" s="6"/>
      <c r="K205" s="6">
        <v>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>
        <v>1</v>
      </c>
      <c r="AA205" s="6"/>
      <c r="AB205" s="6"/>
      <c r="AC205" s="6"/>
      <c r="AD205" s="6"/>
      <c r="AE205" s="5">
        <f t="shared" si="87"/>
        <v>2</v>
      </c>
    </row>
    <row r="206" spans="1:31" x14ac:dyDescent="0.4">
      <c r="A206" s="7"/>
      <c r="B206" s="50"/>
      <c r="C206" s="24" t="s">
        <v>218</v>
      </c>
      <c r="D206" s="51"/>
      <c r="E206" s="6">
        <v>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>
        <v>3</v>
      </c>
      <c r="T206" s="6"/>
      <c r="U206" s="6"/>
      <c r="V206" s="6"/>
      <c r="W206" s="6"/>
      <c r="X206" s="6"/>
      <c r="Y206" s="6"/>
      <c r="Z206" s="6">
        <v>1</v>
      </c>
      <c r="AA206" s="6"/>
      <c r="AB206" s="6">
        <v>1</v>
      </c>
      <c r="AC206" s="6"/>
      <c r="AD206" s="6"/>
      <c r="AE206" s="5">
        <f t="shared" si="87"/>
        <v>6</v>
      </c>
    </row>
    <row r="207" spans="1:31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>
        <v>1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5">
        <f t="shared" si="87"/>
        <v>1</v>
      </c>
    </row>
    <row r="208" spans="1:31" x14ac:dyDescent="0.4">
      <c r="A208" s="7"/>
      <c r="B208" s="50"/>
      <c r="C208" s="24" t="s">
        <v>220</v>
      </c>
      <c r="D208" s="51"/>
      <c r="E208" s="6">
        <v>5</v>
      </c>
      <c r="F208" s="6"/>
      <c r="G208" s="6">
        <v>3</v>
      </c>
      <c r="H208" s="6">
        <v>2</v>
      </c>
      <c r="I208" s="6">
        <v>22</v>
      </c>
      <c r="J208" s="6">
        <v>52</v>
      </c>
      <c r="K208" s="6">
        <v>22</v>
      </c>
      <c r="L208" s="6">
        <v>1</v>
      </c>
      <c r="M208" s="6">
        <v>8</v>
      </c>
      <c r="N208" s="6">
        <v>13</v>
      </c>
      <c r="O208" s="6">
        <v>14</v>
      </c>
      <c r="P208" s="6"/>
      <c r="Q208" s="6">
        <v>9</v>
      </c>
      <c r="R208" s="6"/>
      <c r="S208" s="6"/>
      <c r="T208" s="6"/>
      <c r="U208" s="6">
        <v>3</v>
      </c>
      <c r="V208" s="6"/>
      <c r="W208" s="6">
        <v>3</v>
      </c>
      <c r="X208" s="6">
        <v>1</v>
      </c>
      <c r="Y208" s="6"/>
      <c r="Z208" s="6">
        <v>1</v>
      </c>
      <c r="AA208" s="6"/>
      <c r="AB208" s="6"/>
      <c r="AC208" s="6">
        <v>1</v>
      </c>
      <c r="AD208" s="6">
        <v>40</v>
      </c>
      <c r="AE208" s="5">
        <f t="shared" si="87"/>
        <v>200</v>
      </c>
    </row>
    <row r="209" spans="1:3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5">
        <f t="shared" si="87"/>
        <v>0</v>
      </c>
    </row>
    <row r="210" spans="1:3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5">
        <f t="shared" si="87"/>
        <v>0</v>
      </c>
    </row>
    <row r="211" spans="1:31" x14ac:dyDescent="0.4">
      <c r="A211" s="6" t="s">
        <v>26</v>
      </c>
      <c r="B211" s="85" t="s">
        <v>51</v>
      </c>
      <c r="C211" s="93"/>
      <c r="D211" s="94"/>
      <c r="E211" s="5">
        <f t="shared" ref="E211:AE211" si="88">SUM(E201:E210)</f>
        <v>10</v>
      </c>
      <c r="F211" s="5">
        <f t="shared" ref="F211:T211" si="89">SUM(F201:F210)</f>
        <v>6</v>
      </c>
      <c r="G211" s="5">
        <f t="shared" si="89"/>
        <v>44</v>
      </c>
      <c r="H211" s="5">
        <f t="shared" si="89"/>
        <v>5</v>
      </c>
      <c r="I211" s="5">
        <f t="shared" si="89"/>
        <v>48</v>
      </c>
      <c r="J211" s="5">
        <f t="shared" si="89"/>
        <v>57</v>
      </c>
      <c r="K211" s="5">
        <f t="shared" si="89"/>
        <v>34</v>
      </c>
      <c r="L211" s="5">
        <f t="shared" si="89"/>
        <v>9</v>
      </c>
      <c r="M211" s="5">
        <f t="shared" si="89"/>
        <v>33</v>
      </c>
      <c r="N211" s="5">
        <f t="shared" si="89"/>
        <v>17</v>
      </c>
      <c r="O211" s="5">
        <f t="shared" si="89"/>
        <v>27</v>
      </c>
      <c r="P211" s="5">
        <f t="shared" si="89"/>
        <v>5</v>
      </c>
      <c r="Q211" s="5">
        <f t="shared" si="89"/>
        <v>16</v>
      </c>
      <c r="R211" s="5">
        <f t="shared" si="89"/>
        <v>0</v>
      </c>
      <c r="S211" s="5">
        <f t="shared" si="89"/>
        <v>7</v>
      </c>
      <c r="T211" s="5">
        <f t="shared" si="89"/>
        <v>3</v>
      </c>
      <c r="U211" s="5">
        <f t="shared" si="88"/>
        <v>5</v>
      </c>
      <c r="V211" s="5">
        <f t="shared" si="88"/>
        <v>1</v>
      </c>
      <c r="W211" s="5">
        <f t="shared" ref="W211:AD211" si="90">SUM(W201:W210)</f>
        <v>7</v>
      </c>
      <c r="X211" s="5">
        <f t="shared" si="90"/>
        <v>7</v>
      </c>
      <c r="Y211" s="5">
        <f t="shared" si="90"/>
        <v>5</v>
      </c>
      <c r="Z211" s="5">
        <f t="shared" si="90"/>
        <v>11</v>
      </c>
      <c r="AA211" s="5">
        <f t="shared" si="90"/>
        <v>4</v>
      </c>
      <c r="AB211" s="5">
        <f t="shared" si="90"/>
        <v>6</v>
      </c>
      <c r="AC211" s="5">
        <f t="shared" si="90"/>
        <v>26</v>
      </c>
      <c r="AD211" s="5">
        <f t="shared" si="90"/>
        <v>68</v>
      </c>
      <c r="AE211" s="5">
        <f t="shared" si="88"/>
        <v>461</v>
      </c>
    </row>
    <row r="212" spans="1:31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>
        <v>1</v>
      </c>
      <c r="H213" s="6"/>
      <c r="I213" s="6"/>
      <c r="J213" s="6"/>
      <c r="K213" s="6">
        <v>1</v>
      </c>
      <c r="L213" s="6"/>
      <c r="M213" s="6"/>
      <c r="N213" s="6">
        <v>1</v>
      </c>
      <c r="O213" s="6"/>
      <c r="P213" s="6">
        <v>1</v>
      </c>
      <c r="Q213" s="6"/>
      <c r="R213" s="6"/>
      <c r="S213" s="6"/>
      <c r="T213" s="6">
        <v>1</v>
      </c>
      <c r="U213" s="6"/>
      <c r="V213" s="6"/>
      <c r="W213" s="6"/>
      <c r="X213" s="6"/>
      <c r="Y213" s="6"/>
      <c r="Z213" s="6"/>
      <c r="AA213" s="6">
        <v>2</v>
      </c>
      <c r="AB213" s="6"/>
      <c r="AC213" s="6"/>
      <c r="AD213" s="6"/>
      <c r="AE213" s="5">
        <f t="shared" ref="AE213:AE222" si="91">SUM(E213:AD213)</f>
        <v>7</v>
      </c>
    </row>
    <row r="214" spans="1:31" x14ac:dyDescent="0.4">
      <c r="A214" s="11" t="s">
        <v>50</v>
      </c>
      <c r="B214" s="50"/>
      <c r="C214" s="24" t="s">
        <v>221</v>
      </c>
      <c r="D214" s="51"/>
      <c r="E214" s="6"/>
      <c r="F214" s="6"/>
      <c r="G214" s="6"/>
      <c r="H214" s="6"/>
      <c r="I214" s="6"/>
      <c r="J214" s="6"/>
      <c r="K214" s="6">
        <v>1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>
        <v>1</v>
      </c>
      <c r="X214" s="6">
        <v>1</v>
      </c>
      <c r="Y214" s="6">
        <v>1</v>
      </c>
      <c r="Z214" s="6"/>
      <c r="AA214" s="6"/>
      <c r="AB214" s="6">
        <v>1</v>
      </c>
      <c r="AC214" s="6"/>
      <c r="AD214" s="6"/>
      <c r="AE214" s="5">
        <f t="shared" si="91"/>
        <v>5</v>
      </c>
    </row>
    <row r="215" spans="1:31" x14ac:dyDescent="0.4">
      <c r="A215" s="7"/>
      <c r="B215" s="50"/>
      <c r="C215" s="24" t="s">
        <v>222</v>
      </c>
      <c r="D215" s="51"/>
      <c r="E215" s="6"/>
      <c r="F215" s="6"/>
      <c r="G215" s="6"/>
      <c r="H215" s="6"/>
      <c r="I215" s="6"/>
      <c r="J215" s="6"/>
      <c r="K215" s="6"/>
      <c r="L215" s="6">
        <v>1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5">
        <f t="shared" si="91"/>
        <v>1</v>
      </c>
    </row>
    <row r="216" spans="1:31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5">
        <f t="shared" si="91"/>
        <v>0</v>
      </c>
    </row>
    <row r="217" spans="1:3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5">
        <f t="shared" si="91"/>
        <v>0</v>
      </c>
    </row>
    <row r="218" spans="1:3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5">
        <f t="shared" si="91"/>
        <v>0</v>
      </c>
    </row>
    <row r="219" spans="1:3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5">
        <f t="shared" si="91"/>
        <v>0</v>
      </c>
    </row>
    <row r="220" spans="1:3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5">
        <f t="shared" si="91"/>
        <v>0</v>
      </c>
    </row>
    <row r="221" spans="1:3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5">
        <f t="shared" si="91"/>
        <v>0</v>
      </c>
    </row>
    <row r="222" spans="1:3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5">
        <f t="shared" si="91"/>
        <v>0</v>
      </c>
    </row>
    <row r="223" spans="1:31" x14ac:dyDescent="0.4">
      <c r="A223" s="6" t="s">
        <v>26</v>
      </c>
      <c r="B223" s="85" t="s">
        <v>51</v>
      </c>
      <c r="C223" s="93"/>
      <c r="D223" s="94"/>
      <c r="E223" s="5">
        <f t="shared" ref="E223:AE223" si="92">SUM(E213:E222)</f>
        <v>0</v>
      </c>
      <c r="F223" s="5">
        <f t="shared" ref="F223:T223" si="93">SUM(F213:F222)</f>
        <v>0</v>
      </c>
      <c r="G223" s="5">
        <f t="shared" si="93"/>
        <v>1</v>
      </c>
      <c r="H223" s="5">
        <f t="shared" si="93"/>
        <v>0</v>
      </c>
      <c r="I223" s="5">
        <f t="shared" si="93"/>
        <v>0</v>
      </c>
      <c r="J223" s="5">
        <f t="shared" si="93"/>
        <v>0</v>
      </c>
      <c r="K223" s="5">
        <f t="shared" si="93"/>
        <v>2</v>
      </c>
      <c r="L223" s="5">
        <f t="shared" si="93"/>
        <v>1</v>
      </c>
      <c r="M223" s="5">
        <f t="shared" si="93"/>
        <v>0</v>
      </c>
      <c r="N223" s="5">
        <f t="shared" si="93"/>
        <v>1</v>
      </c>
      <c r="O223" s="5">
        <f t="shared" si="93"/>
        <v>0</v>
      </c>
      <c r="P223" s="5">
        <f t="shared" si="93"/>
        <v>1</v>
      </c>
      <c r="Q223" s="5">
        <f t="shared" si="93"/>
        <v>0</v>
      </c>
      <c r="R223" s="5">
        <f t="shared" si="93"/>
        <v>0</v>
      </c>
      <c r="S223" s="5">
        <f t="shared" si="93"/>
        <v>0</v>
      </c>
      <c r="T223" s="5">
        <f t="shared" si="93"/>
        <v>1</v>
      </c>
      <c r="U223" s="5">
        <f t="shared" si="92"/>
        <v>0</v>
      </c>
      <c r="V223" s="5">
        <f t="shared" si="92"/>
        <v>0</v>
      </c>
      <c r="W223" s="5">
        <f t="shared" ref="W223:AD223" si="94">SUM(W213:W222)</f>
        <v>1</v>
      </c>
      <c r="X223" s="5">
        <f t="shared" si="94"/>
        <v>1</v>
      </c>
      <c r="Y223" s="5">
        <f t="shared" si="94"/>
        <v>1</v>
      </c>
      <c r="Z223" s="5">
        <f t="shared" si="94"/>
        <v>0</v>
      </c>
      <c r="AA223" s="5">
        <f t="shared" si="94"/>
        <v>2</v>
      </c>
      <c r="AB223" s="5">
        <f t="shared" si="94"/>
        <v>1</v>
      </c>
      <c r="AC223" s="5">
        <f t="shared" si="94"/>
        <v>0</v>
      </c>
      <c r="AD223" s="5">
        <f t="shared" si="94"/>
        <v>0</v>
      </c>
      <c r="AE223" s="5">
        <f t="shared" si="92"/>
        <v>13</v>
      </c>
    </row>
    <row r="224" spans="1:31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x14ac:dyDescent="0.4">
      <c r="A225" s="11" t="s">
        <v>48</v>
      </c>
      <c r="B225" s="17" t="s">
        <v>77</v>
      </c>
      <c r="C225" s="92" t="s">
        <v>78</v>
      </c>
      <c r="D225" s="66"/>
      <c r="E225" s="6"/>
      <c r="F225" s="6"/>
      <c r="G225" s="6"/>
      <c r="H225" s="6"/>
      <c r="I225" s="6"/>
      <c r="J225" s="6">
        <v>1</v>
      </c>
      <c r="K225" s="6"/>
      <c r="L225" s="6"/>
      <c r="M225" s="6"/>
      <c r="N225" s="6"/>
      <c r="O225" s="6">
        <v>1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5">
        <f t="shared" ref="AE225:AE234" si="95">SUM(E225:AD225)</f>
        <v>2</v>
      </c>
    </row>
    <row r="226" spans="1:31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/>
      <c r="I226" s="6"/>
      <c r="J226" s="6"/>
      <c r="K226" s="6">
        <v>1</v>
      </c>
      <c r="L226" s="6">
        <v>1</v>
      </c>
      <c r="M226" s="6">
        <v>2</v>
      </c>
      <c r="N226" s="6"/>
      <c r="O226" s="6"/>
      <c r="P226" s="6"/>
      <c r="Q226" s="6"/>
      <c r="R226" s="6"/>
      <c r="S226" s="6"/>
      <c r="T226" s="6">
        <v>1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5">
        <f t="shared" si="95"/>
        <v>5</v>
      </c>
    </row>
    <row r="227" spans="1:31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5">
        <f t="shared" si="95"/>
        <v>0</v>
      </c>
    </row>
    <row r="228" spans="1:31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5">
        <f t="shared" si="95"/>
        <v>0</v>
      </c>
    </row>
    <row r="229" spans="1:31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5">
        <f t="shared" si="95"/>
        <v>0</v>
      </c>
    </row>
    <row r="230" spans="1:3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5">
        <f t="shared" si="95"/>
        <v>0</v>
      </c>
    </row>
    <row r="231" spans="1:3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5">
        <f t="shared" si="95"/>
        <v>0</v>
      </c>
    </row>
    <row r="232" spans="1:3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5">
        <f t="shared" si="95"/>
        <v>0</v>
      </c>
    </row>
    <row r="233" spans="1:3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5">
        <f t="shared" si="95"/>
        <v>0</v>
      </c>
    </row>
    <row r="234" spans="1:3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5">
        <f t="shared" si="95"/>
        <v>0</v>
      </c>
    </row>
    <row r="235" spans="1:31" x14ac:dyDescent="0.4">
      <c r="A235" s="6" t="s">
        <v>26</v>
      </c>
      <c r="B235" s="85" t="s">
        <v>51</v>
      </c>
      <c r="C235" s="93"/>
      <c r="D235" s="94"/>
      <c r="E235" s="5">
        <f t="shared" ref="E235:AE235" si="96">SUM(E225:E234)</f>
        <v>0</v>
      </c>
      <c r="F235" s="5">
        <f t="shared" ref="F235:T235" si="97">SUM(F225:F234)</f>
        <v>0</v>
      </c>
      <c r="G235" s="5">
        <f t="shared" si="97"/>
        <v>0</v>
      </c>
      <c r="H235" s="5">
        <f t="shared" si="97"/>
        <v>0</v>
      </c>
      <c r="I235" s="5">
        <f t="shared" si="97"/>
        <v>0</v>
      </c>
      <c r="J235" s="5">
        <f t="shared" si="97"/>
        <v>1</v>
      </c>
      <c r="K235" s="5">
        <f t="shared" si="97"/>
        <v>1</v>
      </c>
      <c r="L235" s="5">
        <f t="shared" si="97"/>
        <v>1</v>
      </c>
      <c r="M235" s="5">
        <f t="shared" si="97"/>
        <v>2</v>
      </c>
      <c r="N235" s="5">
        <f t="shared" si="97"/>
        <v>0</v>
      </c>
      <c r="O235" s="5">
        <f t="shared" si="97"/>
        <v>1</v>
      </c>
      <c r="P235" s="5">
        <f t="shared" si="97"/>
        <v>0</v>
      </c>
      <c r="Q235" s="5">
        <f t="shared" si="97"/>
        <v>0</v>
      </c>
      <c r="R235" s="5">
        <f t="shared" si="97"/>
        <v>0</v>
      </c>
      <c r="S235" s="5">
        <f t="shared" si="97"/>
        <v>0</v>
      </c>
      <c r="T235" s="5">
        <f t="shared" si="97"/>
        <v>1</v>
      </c>
      <c r="U235" s="5">
        <f t="shared" si="96"/>
        <v>0</v>
      </c>
      <c r="V235" s="5">
        <f t="shared" si="96"/>
        <v>0</v>
      </c>
      <c r="W235" s="5">
        <f t="shared" ref="W235:AD235" si="98">SUM(W225:W234)</f>
        <v>0</v>
      </c>
      <c r="X235" s="5">
        <f t="shared" si="98"/>
        <v>0</v>
      </c>
      <c r="Y235" s="5">
        <f t="shared" si="98"/>
        <v>0</v>
      </c>
      <c r="Z235" s="5">
        <f t="shared" si="98"/>
        <v>0</v>
      </c>
      <c r="AA235" s="5">
        <f t="shared" si="98"/>
        <v>0</v>
      </c>
      <c r="AB235" s="5">
        <f t="shared" si="98"/>
        <v>0</v>
      </c>
      <c r="AC235" s="5">
        <f t="shared" si="98"/>
        <v>0</v>
      </c>
      <c r="AD235" s="5">
        <f t="shared" si="98"/>
        <v>0</v>
      </c>
      <c r="AE235" s="5">
        <f t="shared" si="96"/>
        <v>7</v>
      </c>
    </row>
    <row r="236" spans="1:31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 x14ac:dyDescent="0.4">
      <c r="A237" s="11" t="s">
        <v>48</v>
      </c>
      <c r="B237" s="17" t="s">
        <v>79</v>
      </c>
      <c r="C237" s="92" t="s">
        <v>80</v>
      </c>
      <c r="D237" s="66"/>
      <c r="E237" s="6"/>
      <c r="F237" s="6">
        <v>1</v>
      </c>
      <c r="G237" s="6"/>
      <c r="H237" s="6">
        <v>3</v>
      </c>
      <c r="I237" s="6"/>
      <c r="J237" s="6"/>
      <c r="K237" s="6"/>
      <c r="L237" s="6"/>
      <c r="M237" s="6">
        <v>1</v>
      </c>
      <c r="N237" s="6">
        <v>2</v>
      </c>
      <c r="O237" s="6"/>
      <c r="P237" s="6"/>
      <c r="Q237" s="6">
        <v>1</v>
      </c>
      <c r="R237" s="6"/>
      <c r="S237" s="6"/>
      <c r="T237" s="6">
        <v>1</v>
      </c>
      <c r="U237" s="6">
        <v>1</v>
      </c>
      <c r="V237" s="6"/>
      <c r="W237" s="6"/>
      <c r="X237" s="6"/>
      <c r="Y237" s="6"/>
      <c r="Z237" s="6"/>
      <c r="AA237" s="6"/>
      <c r="AB237" s="6"/>
      <c r="AC237" s="6">
        <v>2</v>
      </c>
      <c r="AD237" s="6"/>
      <c r="AE237" s="5">
        <f t="shared" ref="AE237:AE246" si="99">SUM(E237:AD237)</f>
        <v>12</v>
      </c>
    </row>
    <row r="238" spans="1:31" x14ac:dyDescent="0.4">
      <c r="A238" s="11" t="s">
        <v>50</v>
      </c>
      <c r="B238" s="50"/>
      <c r="C238" s="24" t="s">
        <v>227</v>
      </c>
      <c r="D238" s="51"/>
      <c r="E238" s="6"/>
      <c r="F238" s="6">
        <v>5</v>
      </c>
      <c r="G238" s="6">
        <v>1</v>
      </c>
      <c r="H238" s="6"/>
      <c r="I238" s="6">
        <v>1</v>
      </c>
      <c r="J238" s="6"/>
      <c r="K238" s="6"/>
      <c r="L238" s="6">
        <v>1</v>
      </c>
      <c r="M238" s="6">
        <v>1</v>
      </c>
      <c r="N238" s="6"/>
      <c r="O238" s="6">
        <v>1</v>
      </c>
      <c r="P238" s="6"/>
      <c r="Q238" s="6"/>
      <c r="R238" s="6"/>
      <c r="S238" s="6"/>
      <c r="T238" s="6"/>
      <c r="U238" s="6"/>
      <c r="V238" s="6">
        <v>1</v>
      </c>
      <c r="W238" s="6"/>
      <c r="X238" s="6"/>
      <c r="Y238" s="6"/>
      <c r="Z238" s="6"/>
      <c r="AA238" s="6"/>
      <c r="AB238" s="6"/>
      <c r="AC238" s="6">
        <v>2</v>
      </c>
      <c r="AD238" s="6">
        <v>1</v>
      </c>
      <c r="AE238" s="5">
        <f t="shared" si="99"/>
        <v>14</v>
      </c>
    </row>
    <row r="239" spans="1:31" x14ac:dyDescent="0.4">
      <c r="A239" s="7"/>
      <c r="B239" s="50"/>
      <c r="C239" s="24" t="s">
        <v>228</v>
      </c>
      <c r="D239" s="51"/>
      <c r="E239" s="6"/>
      <c r="F239" s="6"/>
      <c r="G239" s="6"/>
      <c r="H239" s="6">
        <v>1</v>
      </c>
      <c r="I239" s="6"/>
      <c r="J239" s="6"/>
      <c r="K239" s="6"/>
      <c r="L239" s="6"/>
      <c r="M239" s="6"/>
      <c r="N239" s="6"/>
      <c r="O239" s="6">
        <v>1</v>
      </c>
      <c r="P239" s="6"/>
      <c r="Q239" s="6"/>
      <c r="R239" s="6"/>
      <c r="S239" s="6"/>
      <c r="T239" s="6"/>
      <c r="U239" s="6"/>
      <c r="V239" s="6"/>
      <c r="W239" s="6"/>
      <c r="X239" s="6">
        <v>1</v>
      </c>
      <c r="Y239" s="6"/>
      <c r="Z239" s="6"/>
      <c r="AA239" s="6"/>
      <c r="AB239" s="6"/>
      <c r="AC239" s="6"/>
      <c r="AD239" s="6"/>
      <c r="AE239" s="5">
        <f t="shared" si="99"/>
        <v>3</v>
      </c>
    </row>
    <row r="240" spans="1:31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>
        <v>1</v>
      </c>
      <c r="Y240" s="6"/>
      <c r="Z240" s="6"/>
      <c r="AA240" s="6"/>
      <c r="AB240" s="6"/>
      <c r="AC240" s="6"/>
      <c r="AD240" s="6">
        <v>1</v>
      </c>
      <c r="AE240" s="5">
        <f t="shared" si="99"/>
        <v>2</v>
      </c>
    </row>
    <row r="241" spans="1:31" x14ac:dyDescent="0.4">
      <c r="A241" s="7"/>
      <c r="B241" s="50"/>
      <c r="C241" s="24" t="s">
        <v>230</v>
      </c>
      <c r="D241" s="5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5">
        <f t="shared" si="99"/>
        <v>0</v>
      </c>
    </row>
    <row r="242" spans="1:31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>
        <v>1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>
        <v>1</v>
      </c>
      <c r="Y242" s="6"/>
      <c r="Z242" s="6"/>
      <c r="AA242" s="6"/>
      <c r="AB242" s="6"/>
      <c r="AC242" s="6"/>
      <c r="AD242" s="6"/>
      <c r="AE242" s="5">
        <f t="shared" si="99"/>
        <v>2</v>
      </c>
    </row>
    <row r="243" spans="1:31" x14ac:dyDescent="0.4">
      <c r="A243" s="7"/>
      <c r="B243" s="50"/>
      <c r="C243" s="24" t="s">
        <v>232</v>
      </c>
      <c r="D243" s="51"/>
      <c r="E243" s="6"/>
      <c r="F243" s="6">
        <v>1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5">
        <f t="shared" si="99"/>
        <v>1</v>
      </c>
    </row>
    <row r="244" spans="1:31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5">
        <f t="shared" si="99"/>
        <v>0</v>
      </c>
    </row>
    <row r="245" spans="1:31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5">
        <f t="shared" si="99"/>
        <v>0</v>
      </c>
    </row>
    <row r="246" spans="1:31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5">
        <f t="shared" si="99"/>
        <v>0</v>
      </c>
    </row>
    <row r="247" spans="1:31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AE247" si="100">SUM(E237:E246)</f>
        <v>0</v>
      </c>
      <c r="F247" s="5">
        <f t="shared" ref="F247:T247" si="101">SUM(F237:F246)</f>
        <v>7</v>
      </c>
      <c r="G247" s="5">
        <f t="shared" si="101"/>
        <v>1</v>
      </c>
      <c r="H247" s="5">
        <f t="shared" si="101"/>
        <v>5</v>
      </c>
      <c r="I247" s="5">
        <f t="shared" si="101"/>
        <v>1</v>
      </c>
      <c r="J247" s="5">
        <f t="shared" si="101"/>
        <v>0</v>
      </c>
      <c r="K247" s="5">
        <f t="shared" si="101"/>
        <v>0</v>
      </c>
      <c r="L247" s="5">
        <f t="shared" si="101"/>
        <v>1</v>
      </c>
      <c r="M247" s="5">
        <f t="shared" si="101"/>
        <v>2</v>
      </c>
      <c r="N247" s="5">
        <f t="shared" si="101"/>
        <v>2</v>
      </c>
      <c r="O247" s="5">
        <f t="shared" si="101"/>
        <v>2</v>
      </c>
      <c r="P247" s="5">
        <f t="shared" si="101"/>
        <v>0</v>
      </c>
      <c r="Q247" s="5">
        <f t="shared" si="101"/>
        <v>1</v>
      </c>
      <c r="R247" s="5">
        <f t="shared" si="101"/>
        <v>0</v>
      </c>
      <c r="S247" s="5">
        <f t="shared" si="101"/>
        <v>0</v>
      </c>
      <c r="T247" s="5">
        <f t="shared" si="101"/>
        <v>1</v>
      </c>
      <c r="U247" s="5">
        <f t="shared" si="100"/>
        <v>1</v>
      </c>
      <c r="V247" s="5">
        <f t="shared" si="100"/>
        <v>1</v>
      </c>
      <c r="W247" s="5">
        <f t="shared" ref="W247:AD247" si="102">SUM(W237:W246)</f>
        <v>0</v>
      </c>
      <c r="X247" s="5">
        <f t="shared" si="102"/>
        <v>3</v>
      </c>
      <c r="Y247" s="5">
        <f t="shared" si="102"/>
        <v>0</v>
      </c>
      <c r="Z247" s="5">
        <f t="shared" si="102"/>
        <v>0</v>
      </c>
      <c r="AA247" s="5">
        <f t="shared" si="102"/>
        <v>0</v>
      </c>
      <c r="AB247" s="5">
        <f t="shared" si="102"/>
        <v>0</v>
      </c>
      <c r="AC247" s="5">
        <f t="shared" si="102"/>
        <v>4</v>
      </c>
      <c r="AD247" s="5">
        <f t="shared" si="102"/>
        <v>2</v>
      </c>
      <c r="AE247" s="5">
        <f t="shared" si="100"/>
        <v>34</v>
      </c>
    </row>
    <row r="248" spans="1:31" x14ac:dyDescent="0.4">
      <c r="A248" s="64"/>
      <c r="B248" s="86"/>
      <c r="C248" s="86"/>
      <c r="D248" s="86"/>
      <c r="E248" s="95"/>
    </row>
    <row r="249" spans="1:31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/>
      <c r="H249" s="6"/>
      <c r="I249" s="6"/>
      <c r="J249" s="6">
        <v>1</v>
      </c>
      <c r="K249" s="6">
        <v>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5">
        <f t="shared" ref="AE249:AE258" si="103">SUM(E249:AD249)</f>
        <v>3</v>
      </c>
    </row>
    <row r="250" spans="1:31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5">
        <f t="shared" si="103"/>
        <v>1</v>
      </c>
    </row>
    <row r="251" spans="1:31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>
        <v>1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5">
        <f t="shared" si="103"/>
        <v>1</v>
      </c>
    </row>
    <row r="252" spans="1:31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>
        <v>1</v>
      </c>
      <c r="W252" s="6"/>
      <c r="X252" s="6"/>
      <c r="Y252" s="6"/>
      <c r="Z252" s="6"/>
      <c r="AA252" s="6"/>
      <c r="AB252" s="6"/>
      <c r="AC252" s="6"/>
      <c r="AD252" s="6"/>
      <c r="AE252" s="5">
        <f t="shared" si="103"/>
        <v>1</v>
      </c>
    </row>
    <row r="253" spans="1:31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5">
        <f t="shared" si="103"/>
        <v>0</v>
      </c>
    </row>
    <row r="254" spans="1:31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5">
        <f t="shared" si="103"/>
        <v>0</v>
      </c>
    </row>
    <row r="255" spans="1:31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5">
        <f t="shared" si="103"/>
        <v>0</v>
      </c>
    </row>
    <row r="256" spans="1:31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5">
        <f t="shared" si="103"/>
        <v>0</v>
      </c>
    </row>
    <row r="257" spans="1:31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5">
        <f t="shared" si="103"/>
        <v>0</v>
      </c>
    </row>
    <row r="258" spans="1:31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5">
        <f t="shared" si="103"/>
        <v>0</v>
      </c>
    </row>
    <row r="259" spans="1:31" x14ac:dyDescent="0.4">
      <c r="A259" s="6" t="s">
        <v>26</v>
      </c>
      <c r="B259" s="85" t="s">
        <v>51</v>
      </c>
      <c r="C259" s="93"/>
      <c r="D259" s="94"/>
      <c r="E259" s="5">
        <f t="shared" ref="E259:AE259" si="104">SUM(E249:E258)</f>
        <v>0</v>
      </c>
      <c r="F259" s="5">
        <f t="shared" ref="F259:T259" si="105">SUM(F249:F258)</f>
        <v>0</v>
      </c>
      <c r="G259" s="5">
        <f t="shared" si="105"/>
        <v>0</v>
      </c>
      <c r="H259" s="5">
        <f t="shared" si="105"/>
        <v>0</v>
      </c>
      <c r="I259" s="5">
        <f t="shared" si="105"/>
        <v>0</v>
      </c>
      <c r="J259" s="5">
        <f t="shared" si="105"/>
        <v>1</v>
      </c>
      <c r="K259" s="5">
        <f t="shared" si="105"/>
        <v>2</v>
      </c>
      <c r="L259" s="5">
        <f t="shared" si="105"/>
        <v>1</v>
      </c>
      <c r="M259" s="5">
        <f t="shared" si="105"/>
        <v>0</v>
      </c>
      <c r="N259" s="5">
        <f t="shared" si="105"/>
        <v>1</v>
      </c>
      <c r="O259" s="5">
        <f t="shared" si="105"/>
        <v>0</v>
      </c>
      <c r="P259" s="5">
        <f t="shared" si="105"/>
        <v>0</v>
      </c>
      <c r="Q259" s="5">
        <f t="shared" si="105"/>
        <v>0</v>
      </c>
      <c r="R259" s="5">
        <f t="shared" si="105"/>
        <v>0</v>
      </c>
      <c r="S259" s="5">
        <f t="shared" si="105"/>
        <v>0</v>
      </c>
      <c r="T259" s="5">
        <f t="shared" si="105"/>
        <v>0</v>
      </c>
      <c r="U259" s="5">
        <f t="shared" si="104"/>
        <v>0</v>
      </c>
      <c r="V259" s="5">
        <f t="shared" si="104"/>
        <v>1</v>
      </c>
      <c r="W259" s="5">
        <f t="shared" ref="W259:AD259" si="106">SUM(W249:W258)</f>
        <v>0</v>
      </c>
      <c r="X259" s="5">
        <f t="shared" si="106"/>
        <v>0</v>
      </c>
      <c r="Y259" s="5">
        <f t="shared" si="106"/>
        <v>0</v>
      </c>
      <c r="Z259" s="5">
        <f t="shared" si="106"/>
        <v>0</v>
      </c>
      <c r="AA259" s="5">
        <f t="shared" si="106"/>
        <v>0</v>
      </c>
      <c r="AB259" s="5">
        <f t="shared" si="106"/>
        <v>0</v>
      </c>
      <c r="AC259" s="5">
        <f t="shared" si="106"/>
        <v>0</v>
      </c>
      <c r="AD259" s="5">
        <f t="shared" si="106"/>
        <v>0</v>
      </c>
      <c r="AE259" s="5">
        <f t="shared" si="104"/>
        <v>6</v>
      </c>
    </row>
    <row r="261" spans="1:31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15"/>
      <c r="AD261" s="5"/>
      <c r="AE261" s="5"/>
    </row>
    <row r="262" spans="1:31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195</v>
      </c>
      <c r="F262" s="6">
        <f t="shared" ref="F262:T262" si="107">F55+F67+F79+F91+F103+F115+F127+F139+F151+F163+F175+F187+F199+F211+F223+F235+F247+F259</f>
        <v>195</v>
      </c>
      <c r="G262" s="6">
        <f t="shared" si="107"/>
        <v>195</v>
      </c>
      <c r="H262" s="6">
        <f t="shared" si="107"/>
        <v>175</v>
      </c>
      <c r="I262" s="6">
        <f t="shared" si="107"/>
        <v>193</v>
      </c>
      <c r="J262" s="6">
        <f t="shared" si="107"/>
        <v>216</v>
      </c>
      <c r="K262" s="6">
        <f t="shared" si="107"/>
        <v>207</v>
      </c>
      <c r="L262" s="6">
        <f t="shared" si="107"/>
        <v>216</v>
      </c>
      <c r="M262" s="6">
        <f t="shared" si="107"/>
        <v>214</v>
      </c>
      <c r="N262" s="6">
        <f t="shared" si="107"/>
        <v>211</v>
      </c>
      <c r="O262" s="6">
        <f t="shared" si="107"/>
        <v>169</v>
      </c>
      <c r="P262" s="6">
        <f t="shared" si="107"/>
        <v>212</v>
      </c>
      <c r="Q262" s="6">
        <f t="shared" si="107"/>
        <v>173</v>
      </c>
      <c r="R262" s="6">
        <f t="shared" si="107"/>
        <v>151</v>
      </c>
      <c r="S262" s="6">
        <f t="shared" si="107"/>
        <v>207</v>
      </c>
      <c r="T262" s="6">
        <f t="shared" si="107"/>
        <v>183</v>
      </c>
      <c r="U262" s="6">
        <f t="shared" ref="U262:V262" si="108">U55+U67+U79+U91+U103+U115+U127+U139+U151+U163+U175+U187+U199+U211+U223+U235+U247+U259</f>
        <v>192</v>
      </c>
      <c r="V262" s="6">
        <f t="shared" si="108"/>
        <v>167</v>
      </c>
      <c r="W262" s="6">
        <f t="shared" ref="W262:AD262" si="109">W55+W67+W79+W91+W103+W115+W127+W139+W151+W163+W175+W187+W199+W211+W223+W235+W247+W259</f>
        <v>208</v>
      </c>
      <c r="X262" s="6">
        <f t="shared" si="109"/>
        <v>197</v>
      </c>
      <c r="Y262" s="6">
        <f t="shared" si="109"/>
        <v>179</v>
      </c>
      <c r="Z262" s="6">
        <f t="shared" si="109"/>
        <v>217</v>
      </c>
      <c r="AA262" s="6">
        <f t="shared" si="109"/>
        <v>164</v>
      </c>
      <c r="AB262" s="6">
        <f t="shared" si="109"/>
        <v>150</v>
      </c>
      <c r="AC262" s="6">
        <f t="shared" si="109"/>
        <v>159</v>
      </c>
      <c r="AD262" s="6">
        <f t="shared" si="109"/>
        <v>193</v>
      </c>
      <c r="AE262" s="5">
        <f>SUM(E262:AD262)</f>
        <v>4938</v>
      </c>
    </row>
    <row r="263" spans="1:31" x14ac:dyDescent="0.4">
      <c r="A263" s="13"/>
      <c r="B263" s="19" t="s">
        <v>87</v>
      </c>
      <c r="C263" s="100" t="s">
        <v>88</v>
      </c>
      <c r="D263" s="101"/>
      <c r="E263" s="6">
        <v>12</v>
      </c>
      <c r="F263" s="6">
        <v>5</v>
      </c>
      <c r="G263" s="6">
        <v>6</v>
      </c>
      <c r="H263" s="6">
        <v>9</v>
      </c>
      <c r="I263" s="6">
        <v>17</v>
      </c>
      <c r="J263" s="6">
        <v>14</v>
      </c>
      <c r="K263" s="6">
        <v>17</v>
      </c>
      <c r="L263" s="6">
        <v>13</v>
      </c>
      <c r="M263" s="6">
        <v>9</v>
      </c>
      <c r="N263" s="6">
        <v>18</v>
      </c>
      <c r="O263" s="6">
        <v>8</v>
      </c>
      <c r="P263" s="6">
        <v>3</v>
      </c>
      <c r="Q263" s="6">
        <v>10</v>
      </c>
      <c r="R263" s="6">
        <v>4</v>
      </c>
      <c r="S263" s="6">
        <v>14</v>
      </c>
      <c r="T263" s="6">
        <v>11</v>
      </c>
      <c r="U263" s="6">
        <v>7</v>
      </c>
      <c r="V263" s="6">
        <v>18</v>
      </c>
      <c r="W263" s="6">
        <v>17</v>
      </c>
      <c r="X263" s="6">
        <v>13</v>
      </c>
      <c r="Y263" s="6">
        <v>12</v>
      </c>
      <c r="Z263" s="6">
        <v>5</v>
      </c>
      <c r="AA263" s="6">
        <v>13</v>
      </c>
      <c r="AB263" s="6">
        <v>4</v>
      </c>
      <c r="AC263" s="6">
        <v>13</v>
      </c>
      <c r="AD263" s="6">
        <v>14</v>
      </c>
      <c r="AE263" s="5">
        <f>SUM(E263:AD263)</f>
        <v>286</v>
      </c>
    </row>
    <row r="264" spans="1:31" x14ac:dyDescent="0.4">
      <c r="A264" s="14"/>
      <c r="B264" s="19" t="s">
        <v>89</v>
      </c>
      <c r="C264" s="100" t="s">
        <v>90</v>
      </c>
      <c r="D264" s="101"/>
      <c r="E264" s="5">
        <f>SUM(E262:E263)</f>
        <v>207</v>
      </c>
      <c r="F264" s="5">
        <f t="shared" ref="F264:T264" si="110">SUM(F262:F263)</f>
        <v>200</v>
      </c>
      <c r="G264" s="5">
        <f t="shared" si="110"/>
        <v>201</v>
      </c>
      <c r="H264" s="5">
        <f t="shared" si="110"/>
        <v>184</v>
      </c>
      <c r="I264" s="5">
        <f t="shared" si="110"/>
        <v>210</v>
      </c>
      <c r="J264" s="5">
        <f t="shared" si="110"/>
        <v>230</v>
      </c>
      <c r="K264" s="5">
        <f t="shared" si="110"/>
        <v>224</v>
      </c>
      <c r="L264" s="5">
        <f t="shared" si="110"/>
        <v>229</v>
      </c>
      <c r="M264" s="5">
        <f t="shared" si="110"/>
        <v>223</v>
      </c>
      <c r="N264" s="5">
        <f t="shared" si="110"/>
        <v>229</v>
      </c>
      <c r="O264" s="5">
        <f t="shared" si="110"/>
        <v>177</v>
      </c>
      <c r="P264" s="5">
        <f t="shared" si="110"/>
        <v>215</v>
      </c>
      <c r="Q264" s="5">
        <f t="shared" si="110"/>
        <v>183</v>
      </c>
      <c r="R264" s="5">
        <f t="shared" si="110"/>
        <v>155</v>
      </c>
      <c r="S264" s="5">
        <f t="shared" si="110"/>
        <v>221</v>
      </c>
      <c r="T264" s="5">
        <f t="shared" si="110"/>
        <v>194</v>
      </c>
      <c r="U264" s="5">
        <f t="shared" ref="U264:V264" si="111">SUM(U262:U263)</f>
        <v>199</v>
      </c>
      <c r="V264" s="5">
        <f t="shared" si="111"/>
        <v>185</v>
      </c>
      <c r="W264" s="5">
        <f t="shared" ref="W264:AD264" si="112">SUM(W262:W263)</f>
        <v>225</v>
      </c>
      <c r="X264" s="5">
        <f t="shared" si="112"/>
        <v>210</v>
      </c>
      <c r="Y264" s="5">
        <f t="shared" si="112"/>
        <v>191</v>
      </c>
      <c r="Z264" s="5">
        <f t="shared" si="112"/>
        <v>222</v>
      </c>
      <c r="AA264" s="5">
        <f t="shared" si="112"/>
        <v>177</v>
      </c>
      <c r="AB264" s="5">
        <f t="shared" si="112"/>
        <v>154</v>
      </c>
      <c r="AC264" s="5">
        <f t="shared" si="112"/>
        <v>172</v>
      </c>
      <c r="AD264" s="5">
        <f t="shared" si="112"/>
        <v>207</v>
      </c>
      <c r="AE264" s="5">
        <f>SUM(E264:AD264)</f>
        <v>5224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D12"/>
    <mergeCell ref="AE12:AE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D37"/>
    <mergeCell ref="B38:D38"/>
    <mergeCell ref="A42:D42"/>
    <mergeCell ref="E42:AD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AD15">
    <cfRule type="containsBlanks" dxfId="177" priority="4">
      <formula>LEN(TRIM(E14))=0</formula>
    </cfRule>
  </conditionalFormatting>
  <conditionalFormatting sqref="E19:AD20">
    <cfRule type="containsBlanks" dxfId="176" priority="1">
      <formula>LEN(TRIM(E19))=0</formula>
    </cfRule>
  </conditionalFormatting>
  <conditionalFormatting sqref="E22:AD23 E25:AD26 E33:AD33 E35:AD35 E39:AD40 E45:AD54 E57:AD66 E69:AD78 E105:AD114 E117:AD126 E129:AD138 E141:AD150 E153:AD162 E165:AD174 E177:AD186 E189:AD198 E201:AD210 E213:AD222 E225:AD234 E237:AD246 E249:AD258 E262:AD263 E81:AD90 E93:AD102">
    <cfRule type="containsBlanks" dxfId="175" priority="25">
      <formula>LEN(TRIM(E22))=0</formula>
    </cfRule>
  </conditionalFormatting>
  <conditionalFormatting sqref="E30:AD30">
    <cfRule type="expression" dxfId="174" priority="30">
      <formula>E30&lt;&gt;E47</formula>
    </cfRule>
    <cfRule type="expression" dxfId="173" priority="31">
      <formula>E30&lt;&gt;E34</formula>
    </cfRule>
  </conditionalFormatting>
  <conditionalFormatting sqref="E34:AD34">
    <cfRule type="expression" dxfId="172" priority="26">
      <formula>E30&lt;&gt;E34</formula>
    </cfRule>
    <cfRule type="expression" dxfId="171" priority="27">
      <formula>E30=E34</formula>
    </cfRule>
    <cfRule type="expression" dxfId="170" priority="32">
      <formula>E34&lt;&gt;E30</formula>
    </cfRule>
    <cfRule type="expression" dxfId="169" priority="34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BK264"/>
  <sheetViews>
    <sheetView topLeftCell="AT13" zoomScale="115" zoomScaleNormal="115" workbookViewId="0">
      <pane ySplit="1" topLeftCell="A266" activePane="bottomLeft" state="frozen"/>
      <selection activeCell="A13" sqref="A13"/>
      <selection pane="bottomLeft" activeCell="AZ269" sqref="AZ269"/>
    </sheetView>
  </sheetViews>
  <sheetFormatPr defaultRowHeight="13.15" x14ac:dyDescent="0.4"/>
  <cols>
    <col min="3" max="3" width="67.140625" bestFit="1" customWidth="1"/>
    <col min="4" max="4" width="5.85546875" bestFit="1" customWidth="1"/>
    <col min="63" max="63" width="13.28515625" customWidth="1"/>
  </cols>
  <sheetData>
    <row r="2" spans="1:63" x14ac:dyDescent="0.4">
      <c r="C2" s="43" t="s">
        <v>98</v>
      </c>
      <c r="D2" s="43" t="s">
        <v>125</v>
      </c>
    </row>
    <row r="3" spans="1:63" x14ac:dyDescent="0.4">
      <c r="C3" s="43" t="s">
        <v>99</v>
      </c>
      <c r="D3" s="43" t="s">
        <v>100</v>
      </c>
    </row>
    <row r="4" spans="1:63" x14ac:dyDescent="0.4">
      <c r="C4" s="43" t="s">
        <v>101</v>
      </c>
      <c r="D4" s="43" t="s">
        <v>102</v>
      </c>
    </row>
    <row r="5" spans="1:63" x14ac:dyDescent="0.4">
      <c r="C5" s="43"/>
      <c r="D5" s="43"/>
    </row>
    <row r="6" spans="1:63" x14ac:dyDescent="0.4">
      <c r="C6" s="43"/>
      <c r="D6" s="43"/>
    </row>
    <row r="7" spans="1:63" x14ac:dyDescent="0.4">
      <c r="C7" s="43"/>
      <c r="D7" s="43"/>
    </row>
    <row r="8" spans="1:63" x14ac:dyDescent="0.4">
      <c r="C8" s="43"/>
      <c r="D8" s="43"/>
    </row>
    <row r="9" spans="1:63" x14ac:dyDescent="0.4">
      <c r="C9" s="43" t="s">
        <v>103</v>
      </c>
      <c r="D9" s="43" t="s">
        <v>127</v>
      </c>
    </row>
    <row r="11" spans="1:6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3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70" t="s">
        <v>97</v>
      </c>
    </row>
    <row r="13" spans="1:63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104</v>
      </c>
      <c r="AD13" s="5" t="s">
        <v>105</v>
      </c>
      <c r="AE13" s="5" t="s">
        <v>106</v>
      </c>
      <c r="AF13" s="5" t="s">
        <v>107</v>
      </c>
      <c r="AG13" s="5" t="s">
        <v>108</v>
      </c>
      <c r="AH13" s="5" t="s">
        <v>109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114</v>
      </c>
      <c r="AN13" s="5" t="s">
        <v>115</v>
      </c>
      <c r="AO13" s="5" t="s">
        <v>116</v>
      </c>
      <c r="AP13" s="5" t="s">
        <v>117</v>
      </c>
      <c r="AQ13" s="5" t="s">
        <v>118</v>
      </c>
      <c r="AR13" s="5" t="s">
        <v>119</v>
      </c>
      <c r="AS13" s="5" t="s">
        <v>120</v>
      </c>
      <c r="AT13" s="5" t="s">
        <v>121</v>
      </c>
      <c r="AU13" s="5" t="s">
        <v>122</v>
      </c>
      <c r="AV13" s="5" t="s">
        <v>123</v>
      </c>
      <c r="AW13" s="5" t="s">
        <v>124</v>
      </c>
      <c r="AX13" s="5" t="s">
        <v>128</v>
      </c>
      <c r="AY13" s="5" t="s">
        <v>129</v>
      </c>
      <c r="AZ13" s="5" t="s">
        <v>130</v>
      </c>
      <c r="BA13" s="5" t="s">
        <v>131</v>
      </c>
      <c r="BB13" s="5" t="s">
        <v>132</v>
      </c>
      <c r="BC13" s="5" t="s">
        <v>133</v>
      </c>
      <c r="BD13" s="5" t="s">
        <v>134</v>
      </c>
      <c r="BE13" s="5" t="s">
        <v>135</v>
      </c>
      <c r="BF13" s="5" t="s">
        <v>136</v>
      </c>
      <c r="BG13" s="5" t="s">
        <v>137</v>
      </c>
      <c r="BH13" s="5" t="s">
        <v>138</v>
      </c>
      <c r="BI13" s="5" t="s">
        <v>139</v>
      </c>
      <c r="BJ13" s="5" t="s">
        <v>140</v>
      </c>
      <c r="BK13" s="71"/>
    </row>
    <row r="14" spans="1:63" x14ac:dyDescent="0.4">
      <c r="A14" s="7"/>
      <c r="B14" s="73" t="s">
        <v>22</v>
      </c>
      <c r="C14" s="74"/>
      <c r="D14" s="6" t="s">
        <v>23</v>
      </c>
      <c r="E14" s="6">
        <v>48</v>
      </c>
      <c r="F14" s="6">
        <v>60</v>
      </c>
      <c r="G14" s="6">
        <v>57</v>
      </c>
      <c r="H14" s="6">
        <v>49</v>
      </c>
      <c r="I14" s="6">
        <v>111</v>
      </c>
      <c r="J14" s="6">
        <v>137</v>
      </c>
      <c r="K14" s="6">
        <v>142</v>
      </c>
      <c r="L14" s="6">
        <v>129</v>
      </c>
      <c r="M14" s="6">
        <v>134</v>
      </c>
      <c r="N14" s="6">
        <v>50</v>
      </c>
      <c r="O14" s="6">
        <v>120</v>
      </c>
      <c r="P14" s="6">
        <v>109</v>
      </c>
      <c r="Q14" s="6">
        <v>109</v>
      </c>
      <c r="R14" s="6">
        <v>73</v>
      </c>
      <c r="S14" s="6">
        <v>120</v>
      </c>
      <c r="T14" s="6">
        <v>78</v>
      </c>
      <c r="U14" s="6">
        <v>127</v>
      </c>
      <c r="V14" s="6">
        <v>147</v>
      </c>
      <c r="W14" s="6">
        <v>111</v>
      </c>
      <c r="X14" s="6">
        <v>150</v>
      </c>
      <c r="Y14" s="6">
        <v>128</v>
      </c>
      <c r="Z14" s="6">
        <v>100</v>
      </c>
      <c r="AA14" s="6">
        <v>119</v>
      </c>
      <c r="AB14" s="6">
        <v>97</v>
      </c>
      <c r="AC14" s="6">
        <v>150</v>
      </c>
      <c r="AD14" s="6">
        <v>108</v>
      </c>
      <c r="AE14" s="6">
        <v>87</v>
      </c>
      <c r="AF14" s="6">
        <v>66</v>
      </c>
      <c r="AG14" s="6">
        <v>128</v>
      </c>
      <c r="AH14" s="6">
        <v>143</v>
      </c>
      <c r="AI14" s="6">
        <v>113</v>
      </c>
      <c r="AJ14" s="6">
        <v>92</v>
      </c>
      <c r="AK14" s="6">
        <v>99</v>
      </c>
      <c r="AL14" s="6">
        <v>130</v>
      </c>
      <c r="AM14" s="6">
        <v>107</v>
      </c>
      <c r="AN14" s="6">
        <v>94</v>
      </c>
      <c r="AO14" s="6">
        <v>81</v>
      </c>
      <c r="AP14" s="6">
        <v>102</v>
      </c>
      <c r="AQ14" s="6">
        <v>90</v>
      </c>
      <c r="AR14" s="6">
        <v>99</v>
      </c>
      <c r="AS14" s="6">
        <v>81</v>
      </c>
      <c r="AT14" s="6">
        <v>145</v>
      </c>
      <c r="AU14" s="6">
        <v>141</v>
      </c>
      <c r="AV14" s="6">
        <v>131</v>
      </c>
      <c r="AW14" s="6">
        <v>138</v>
      </c>
      <c r="AX14" s="6">
        <v>105</v>
      </c>
      <c r="AY14" s="6">
        <v>132</v>
      </c>
      <c r="AZ14" s="6">
        <v>81</v>
      </c>
      <c r="BA14" s="6">
        <v>103</v>
      </c>
      <c r="BB14" s="6">
        <v>87</v>
      </c>
      <c r="BC14" s="6">
        <v>128</v>
      </c>
      <c r="BD14" s="6">
        <v>117</v>
      </c>
      <c r="BE14" s="6">
        <v>132</v>
      </c>
      <c r="BF14" s="6">
        <v>84</v>
      </c>
      <c r="BG14" s="6">
        <v>135</v>
      </c>
      <c r="BH14" s="6">
        <v>139</v>
      </c>
      <c r="BI14" s="6">
        <v>117</v>
      </c>
      <c r="BJ14" s="6">
        <v>134</v>
      </c>
      <c r="BK14" s="5">
        <f>SUM(E14:BJ14)</f>
        <v>6324</v>
      </c>
    </row>
    <row r="15" spans="1:63" x14ac:dyDescent="0.4">
      <c r="A15" s="7"/>
      <c r="B15" s="75"/>
      <c r="C15" s="76"/>
      <c r="D15" s="6" t="s">
        <v>24</v>
      </c>
      <c r="E15" s="6">
        <v>53</v>
      </c>
      <c r="F15" s="6">
        <v>48</v>
      </c>
      <c r="G15" s="6">
        <v>58</v>
      </c>
      <c r="H15" s="6">
        <v>39</v>
      </c>
      <c r="I15" s="6">
        <v>110</v>
      </c>
      <c r="J15" s="6">
        <v>137</v>
      </c>
      <c r="K15" s="6">
        <v>146</v>
      </c>
      <c r="L15" s="6">
        <v>145</v>
      </c>
      <c r="M15" s="6">
        <v>132</v>
      </c>
      <c r="N15" s="6">
        <v>43</v>
      </c>
      <c r="O15" s="6">
        <v>152</v>
      </c>
      <c r="P15" s="6">
        <v>115</v>
      </c>
      <c r="Q15" s="6">
        <v>101</v>
      </c>
      <c r="R15" s="6">
        <v>68</v>
      </c>
      <c r="S15" s="6">
        <v>123</v>
      </c>
      <c r="T15" s="6">
        <v>84</v>
      </c>
      <c r="U15" s="6">
        <v>118</v>
      </c>
      <c r="V15" s="6">
        <v>147</v>
      </c>
      <c r="W15" s="6">
        <v>122</v>
      </c>
      <c r="X15" s="6">
        <v>138</v>
      </c>
      <c r="Y15" s="6">
        <v>125</v>
      </c>
      <c r="Z15" s="6">
        <v>109</v>
      </c>
      <c r="AA15" s="6">
        <v>136</v>
      </c>
      <c r="AB15" s="6">
        <v>82</v>
      </c>
      <c r="AC15" s="6">
        <v>144</v>
      </c>
      <c r="AD15" s="6">
        <v>97</v>
      </c>
      <c r="AE15" s="6">
        <v>95</v>
      </c>
      <c r="AF15" s="6">
        <v>74</v>
      </c>
      <c r="AG15" s="6">
        <v>139</v>
      </c>
      <c r="AH15" s="6">
        <v>154</v>
      </c>
      <c r="AI15" s="6">
        <v>125</v>
      </c>
      <c r="AJ15" s="6">
        <v>101</v>
      </c>
      <c r="AK15" s="6">
        <v>99</v>
      </c>
      <c r="AL15" s="6">
        <v>139</v>
      </c>
      <c r="AM15" s="6">
        <v>121</v>
      </c>
      <c r="AN15" s="6">
        <v>91</v>
      </c>
      <c r="AO15" s="6">
        <v>77</v>
      </c>
      <c r="AP15" s="6">
        <v>109</v>
      </c>
      <c r="AQ15" s="6">
        <v>91</v>
      </c>
      <c r="AR15" s="6">
        <v>89</v>
      </c>
      <c r="AS15" s="6">
        <v>77</v>
      </c>
      <c r="AT15" s="6">
        <v>151</v>
      </c>
      <c r="AU15" s="6">
        <v>133</v>
      </c>
      <c r="AV15" s="6">
        <v>156</v>
      </c>
      <c r="AW15" s="6">
        <v>159</v>
      </c>
      <c r="AX15" s="6">
        <v>121</v>
      </c>
      <c r="AY15" s="6">
        <v>162</v>
      </c>
      <c r="AZ15" s="6">
        <v>93</v>
      </c>
      <c r="BA15" s="6">
        <v>108</v>
      </c>
      <c r="BB15" s="6">
        <v>89</v>
      </c>
      <c r="BC15" s="6">
        <v>130</v>
      </c>
      <c r="BD15" s="6">
        <v>129</v>
      </c>
      <c r="BE15" s="6">
        <v>148</v>
      </c>
      <c r="BF15" s="6">
        <v>99</v>
      </c>
      <c r="BG15" s="6">
        <v>147</v>
      </c>
      <c r="BH15" s="6">
        <v>152</v>
      </c>
      <c r="BI15" s="6">
        <v>121</v>
      </c>
      <c r="BJ15" s="6">
        <v>138</v>
      </c>
      <c r="BK15" s="5">
        <f>SUM(E15:BJ15)</f>
        <v>6589</v>
      </c>
    </row>
    <row r="16" spans="1:63" x14ac:dyDescent="0.4">
      <c r="A16" s="8"/>
      <c r="B16" s="77"/>
      <c r="C16" s="78"/>
      <c r="D16" s="5" t="s">
        <v>25</v>
      </c>
      <c r="E16" s="5">
        <f t="shared" ref="E16:BJ16" si="0">SUM(E14:E15)</f>
        <v>101</v>
      </c>
      <c r="F16" s="5">
        <f t="shared" ref="F16:AA16" si="1">SUM(F14:F15)</f>
        <v>108</v>
      </c>
      <c r="G16" s="5">
        <f t="shared" si="1"/>
        <v>115</v>
      </c>
      <c r="H16" s="5">
        <f t="shared" si="1"/>
        <v>88</v>
      </c>
      <c r="I16" s="5">
        <f t="shared" si="1"/>
        <v>221</v>
      </c>
      <c r="J16" s="5">
        <f t="shared" si="1"/>
        <v>274</v>
      </c>
      <c r="K16" s="5">
        <f t="shared" si="1"/>
        <v>288</v>
      </c>
      <c r="L16" s="5">
        <f t="shared" si="1"/>
        <v>274</v>
      </c>
      <c r="M16" s="5">
        <f t="shared" si="1"/>
        <v>266</v>
      </c>
      <c r="N16" s="5">
        <f t="shared" si="1"/>
        <v>93</v>
      </c>
      <c r="O16" s="5">
        <f t="shared" si="1"/>
        <v>272</v>
      </c>
      <c r="P16" s="5">
        <f t="shared" si="1"/>
        <v>224</v>
      </c>
      <c r="Q16" s="5">
        <f t="shared" si="1"/>
        <v>210</v>
      </c>
      <c r="R16" s="5">
        <f t="shared" si="1"/>
        <v>141</v>
      </c>
      <c r="S16" s="5">
        <f t="shared" si="1"/>
        <v>243</v>
      </c>
      <c r="T16" s="5">
        <f t="shared" si="1"/>
        <v>162</v>
      </c>
      <c r="U16" s="5">
        <f t="shared" si="1"/>
        <v>245</v>
      </c>
      <c r="V16" s="5">
        <f t="shared" si="1"/>
        <v>294</v>
      </c>
      <c r="W16" s="5">
        <f t="shared" si="1"/>
        <v>233</v>
      </c>
      <c r="X16" s="5">
        <f t="shared" si="1"/>
        <v>288</v>
      </c>
      <c r="Y16" s="5">
        <f t="shared" si="1"/>
        <v>253</v>
      </c>
      <c r="Z16" s="5">
        <f t="shared" si="1"/>
        <v>209</v>
      </c>
      <c r="AA16" s="5">
        <f t="shared" si="1"/>
        <v>255</v>
      </c>
      <c r="AB16" s="5">
        <f t="shared" si="0"/>
        <v>179</v>
      </c>
      <c r="AC16" s="5">
        <f t="shared" si="0"/>
        <v>294</v>
      </c>
      <c r="AD16" s="5">
        <f t="shared" si="0"/>
        <v>205</v>
      </c>
      <c r="AE16" s="5">
        <f t="shared" si="0"/>
        <v>182</v>
      </c>
      <c r="AF16" s="5">
        <f t="shared" si="0"/>
        <v>140</v>
      </c>
      <c r="AG16" s="5">
        <f t="shared" si="0"/>
        <v>267</v>
      </c>
      <c r="AH16" s="5">
        <f t="shared" ref="AH16:AZ16" si="2">SUM(AH14:AH15)</f>
        <v>297</v>
      </c>
      <c r="AI16" s="5">
        <f t="shared" si="2"/>
        <v>238</v>
      </c>
      <c r="AJ16" s="5">
        <f t="shared" si="2"/>
        <v>193</v>
      </c>
      <c r="AK16" s="5">
        <f t="shared" si="2"/>
        <v>198</v>
      </c>
      <c r="AL16" s="5">
        <f t="shared" ref="AL16:AW16" si="3">SUM(AL14:AL15)</f>
        <v>269</v>
      </c>
      <c r="AM16" s="5">
        <f t="shared" si="3"/>
        <v>228</v>
      </c>
      <c r="AN16" s="5">
        <f t="shared" si="3"/>
        <v>185</v>
      </c>
      <c r="AO16" s="5">
        <f t="shared" si="3"/>
        <v>158</v>
      </c>
      <c r="AP16" s="5">
        <f t="shared" si="3"/>
        <v>211</v>
      </c>
      <c r="AQ16" s="5">
        <f t="shared" si="3"/>
        <v>181</v>
      </c>
      <c r="AR16" s="5">
        <f t="shared" si="3"/>
        <v>188</v>
      </c>
      <c r="AS16" s="5">
        <f t="shared" si="3"/>
        <v>158</v>
      </c>
      <c r="AT16" s="5">
        <f t="shared" si="3"/>
        <v>296</v>
      </c>
      <c r="AU16" s="5">
        <f t="shared" si="3"/>
        <v>274</v>
      </c>
      <c r="AV16" s="5">
        <f t="shared" si="3"/>
        <v>287</v>
      </c>
      <c r="AW16" s="5">
        <f t="shared" si="3"/>
        <v>297</v>
      </c>
      <c r="AX16" s="5">
        <f t="shared" si="2"/>
        <v>226</v>
      </c>
      <c r="AY16" s="5">
        <f t="shared" ref="AY16" si="4">SUM(AY14:AY15)</f>
        <v>294</v>
      </c>
      <c r="AZ16" s="5">
        <f t="shared" si="2"/>
        <v>174</v>
      </c>
      <c r="BA16" s="5">
        <f t="shared" ref="BA16:BF16" si="5">SUM(BA14:BA15)</f>
        <v>211</v>
      </c>
      <c r="BB16" s="5">
        <f t="shared" si="5"/>
        <v>176</v>
      </c>
      <c r="BC16" s="5">
        <f t="shared" si="5"/>
        <v>258</v>
      </c>
      <c r="BD16" s="5">
        <f t="shared" si="5"/>
        <v>246</v>
      </c>
      <c r="BE16" s="5">
        <f t="shared" si="5"/>
        <v>280</v>
      </c>
      <c r="BF16" s="5">
        <f t="shared" si="5"/>
        <v>183</v>
      </c>
      <c r="BG16" s="5">
        <f t="shared" si="0"/>
        <v>282</v>
      </c>
      <c r="BH16" s="5">
        <f t="shared" si="0"/>
        <v>291</v>
      </c>
      <c r="BI16" s="5">
        <f t="shared" si="0"/>
        <v>238</v>
      </c>
      <c r="BJ16" s="5">
        <f t="shared" si="0"/>
        <v>272</v>
      </c>
      <c r="BK16" s="5">
        <f>SUM(E16:BJ16)</f>
        <v>12913</v>
      </c>
    </row>
    <row r="17" spans="1:63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28"/>
    </row>
    <row r="18" spans="1:63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28"/>
    </row>
    <row r="19" spans="1:63" x14ac:dyDescent="0.4">
      <c r="A19" s="11"/>
      <c r="B19" s="79" t="s">
        <v>28</v>
      </c>
      <c r="C19" s="80" t="s">
        <v>29</v>
      </c>
      <c r="D19" s="6" t="s">
        <v>23</v>
      </c>
      <c r="E19" s="6">
        <v>39</v>
      </c>
      <c r="F19" s="6">
        <v>49</v>
      </c>
      <c r="G19" s="6">
        <v>45</v>
      </c>
      <c r="H19" s="6">
        <v>30</v>
      </c>
      <c r="I19" s="6">
        <v>77</v>
      </c>
      <c r="J19" s="6">
        <v>91</v>
      </c>
      <c r="K19" s="6">
        <v>77</v>
      </c>
      <c r="L19" s="6">
        <v>83</v>
      </c>
      <c r="M19" s="6">
        <v>88</v>
      </c>
      <c r="N19" s="6">
        <v>50</v>
      </c>
      <c r="O19" s="6">
        <v>85</v>
      </c>
      <c r="P19" s="6">
        <v>70</v>
      </c>
      <c r="Q19" s="6">
        <v>75</v>
      </c>
      <c r="R19" s="6">
        <v>44</v>
      </c>
      <c r="S19" s="6">
        <v>92</v>
      </c>
      <c r="T19" s="6">
        <v>54</v>
      </c>
      <c r="U19" s="6">
        <v>94</v>
      </c>
      <c r="V19" s="6">
        <v>99</v>
      </c>
      <c r="W19" s="6">
        <v>95</v>
      </c>
      <c r="X19" s="6">
        <v>120</v>
      </c>
      <c r="Y19" s="6">
        <v>76</v>
      </c>
      <c r="Z19" s="6">
        <v>72</v>
      </c>
      <c r="AA19" s="6">
        <v>82</v>
      </c>
      <c r="AB19" s="6">
        <v>56</v>
      </c>
      <c r="AC19" s="6">
        <v>109</v>
      </c>
      <c r="AD19" s="6">
        <v>59</v>
      </c>
      <c r="AE19" s="6">
        <v>67</v>
      </c>
      <c r="AF19" s="6">
        <v>55</v>
      </c>
      <c r="AG19" s="6">
        <v>75</v>
      </c>
      <c r="AH19" s="6">
        <v>109</v>
      </c>
      <c r="AI19" s="6">
        <v>78</v>
      </c>
      <c r="AJ19" s="6">
        <v>64</v>
      </c>
      <c r="AK19" s="6">
        <v>73</v>
      </c>
      <c r="AL19" s="6">
        <v>112</v>
      </c>
      <c r="AM19" s="6">
        <v>74</v>
      </c>
      <c r="AN19" s="6">
        <v>64</v>
      </c>
      <c r="AO19" s="6">
        <v>69</v>
      </c>
      <c r="AP19" s="6">
        <v>86</v>
      </c>
      <c r="AQ19" s="6">
        <v>75</v>
      </c>
      <c r="AR19" s="6">
        <v>79</v>
      </c>
      <c r="AS19" s="6">
        <v>64</v>
      </c>
      <c r="AT19" s="6">
        <v>98</v>
      </c>
      <c r="AU19" s="6">
        <v>101</v>
      </c>
      <c r="AV19" s="6">
        <v>92</v>
      </c>
      <c r="AW19" s="6">
        <v>86</v>
      </c>
      <c r="AX19" s="6">
        <v>68</v>
      </c>
      <c r="AY19" s="6">
        <v>96</v>
      </c>
      <c r="AZ19" s="6">
        <v>59</v>
      </c>
      <c r="BA19" s="6">
        <v>72</v>
      </c>
      <c r="BB19" s="6">
        <v>67</v>
      </c>
      <c r="BC19" s="6">
        <v>99</v>
      </c>
      <c r="BD19" s="6">
        <v>83</v>
      </c>
      <c r="BE19" s="6">
        <v>80</v>
      </c>
      <c r="BF19" s="6">
        <v>72</v>
      </c>
      <c r="BG19" s="6">
        <v>86</v>
      </c>
      <c r="BH19" s="6">
        <v>95</v>
      </c>
      <c r="BI19" s="6">
        <v>99</v>
      </c>
      <c r="BJ19" s="6">
        <v>87</v>
      </c>
      <c r="BK19" s="5">
        <f t="shared" ref="BK19:BK30" si="6">SUM(E19:BJ19)</f>
        <v>4495</v>
      </c>
    </row>
    <row r="20" spans="1:63" x14ac:dyDescent="0.4">
      <c r="A20" s="12"/>
      <c r="B20" s="76"/>
      <c r="C20" s="81"/>
      <c r="D20" s="6" t="s">
        <v>24</v>
      </c>
      <c r="E20" s="6">
        <v>35</v>
      </c>
      <c r="F20" s="6">
        <v>37</v>
      </c>
      <c r="G20" s="6">
        <v>50</v>
      </c>
      <c r="H20" s="6">
        <v>21</v>
      </c>
      <c r="I20" s="6">
        <v>82</v>
      </c>
      <c r="J20" s="6">
        <v>102</v>
      </c>
      <c r="K20" s="6">
        <v>103</v>
      </c>
      <c r="L20" s="6">
        <v>110</v>
      </c>
      <c r="M20" s="6">
        <v>90</v>
      </c>
      <c r="N20" s="6">
        <v>42</v>
      </c>
      <c r="O20" s="6">
        <v>120</v>
      </c>
      <c r="P20" s="6">
        <v>78</v>
      </c>
      <c r="Q20" s="6">
        <v>76</v>
      </c>
      <c r="R20" s="6">
        <v>46</v>
      </c>
      <c r="S20" s="6">
        <v>88</v>
      </c>
      <c r="T20" s="6">
        <v>65</v>
      </c>
      <c r="U20" s="6">
        <v>102</v>
      </c>
      <c r="V20" s="6">
        <v>121</v>
      </c>
      <c r="W20" s="6">
        <v>107</v>
      </c>
      <c r="X20" s="6">
        <v>126</v>
      </c>
      <c r="Y20" s="6">
        <v>89</v>
      </c>
      <c r="Z20" s="6">
        <v>85</v>
      </c>
      <c r="AA20" s="6">
        <v>112</v>
      </c>
      <c r="AB20" s="6">
        <v>68</v>
      </c>
      <c r="AC20" s="6">
        <v>112</v>
      </c>
      <c r="AD20" s="6">
        <v>72</v>
      </c>
      <c r="AE20" s="6">
        <v>78</v>
      </c>
      <c r="AF20" s="6">
        <v>59</v>
      </c>
      <c r="AG20" s="6">
        <v>103</v>
      </c>
      <c r="AH20" s="6">
        <v>116</v>
      </c>
      <c r="AI20" s="6">
        <v>104</v>
      </c>
      <c r="AJ20" s="6">
        <v>71</v>
      </c>
      <c r="AK20" s="6">
        <v>69</v>
      </c>
      <c r="AL20" s="6">
        <v>123</v>
      </c>
      <c r="AM20" s="6">
        <v>86</v>
      </c>
      <c r="AN20" s="6">
        <v>66</v>
      </c>
      <c r="AO20" s="6">
        <v>71</v>
      </c>
      <c r="AP20" s="6">
        <v>86</v>
      </c>
      <c r="AQ20" s="6">
        <v>74</v>
      </c>
      <c r="AR20" s="6">
        <v>79</v>
      </c>
      <c r="AS20" s="6">
        <v>62</v>
      </c>
      <c r="AT20" s="6">
        <v>116</v>
      </c>
      <c r="AU20" s="6">
        <v>100</v>
      </c>
      <c r="AV20" s="6">
        <v>106</v>
      </c>
      <c r="AW20" s="6">
        <v>108</v>
      </c>
      <c r="AX20" s="6">
        <v>92</v>
      </c>
      <c r="AY20" s="6">
        <v>124</v>
      </c>
      <c r="AZ20" s="6">
        <v>83</v>
      </c>
      <c r="BA20" s="6">
        <v>80</v>
      </c>
      <c r="BB20" s="6">
        <v>71</v>
      </c>
      <c r="BC20" s="6">
        <v>102</v>
      </c>
      <c r="BD20" s="6">
        <v>99</v>
      </c>
      <c r="BE20" s="6">
        <v>100</v>
      </c>
      <c r="BF20" s="6">
        <v>86</v>
      </c>
      <c r="BG20" s="6">
        <v>110</v>
      </c>
      <c r="BH20" s="6">
        <v>128</v>
      </c>
      <c r="BI20" s="6">
        <v>99</v>
      </c>
      <c r="BJ20" s="6">
        <v>103</v>
      </c>
      <c r="BK20" s="5">
        <f t="shared" si="6"/>
        <v>5093</v>
      </c>
    </row>
    <row r="21" spans="1:63" x14ac:dyDescent="0.4">
      <c r="A21" s="13"/>
      <c r="B21" s="78"/>
      <c r="C21" s="82"/>
      <c r="D21" s="5" t="s">
        <v>25</v>
      </c>
      <c r="E21" s="5">
        <f t="shared" ref="E21:BJ21" si="7">SUM(E19:E20)</f>
        <v>74</v>
      </c>
      <c r="F21" s="5">
        <f t="shared" ref="F21:AA21" si="8">SUM(F19:F20)</f>
        <v>86</v>
      </c>
      <c r="G21" s="5">
        <f t="shared" si="8"/>
        <v>95</v>
      </c>
      <c r="H21" s="5">
        <f t="shared" si="8"/>
        <v>51</v>
      </c>
      <c r="I21" s="5">
        <f t="shared" si="8"/>
        <v>159</v>
      </c>
      <c r="J21" s="5">
        <f t="shared" si="8"/>
        <v>193</v>
      </c>
      <c r="K21" s="5">
        <f t="shared" si="8"/>
        <v>180</v>
      </c>
      <c r="L21" s="5">
        <f t="shared" si="8"/>
        <v>193</v>
      </c>
      <c r="M21" s="5">
        <f t="shared" si="8"/>
        <v>178</v>
      </c>
      <c r="N21" s="5">
        <f t="shared" si="8"/>
        <v>92</v>
      </c>
      <c r="O21" s="5">
        <f t="shared" si="8"/>
        <v>205</v>
      </c>
      <c r="P21" s="5">
        <f t="shared" si="8"/>
        <v>148</v>
      </c>
      <c r="Q21" s="5">
        <f t="shared" si="8"/>
        <v>151</v>
      </c>
      <c r="R21" s="5">
        <f t="shared" si="8"/>
        <v>90</v>
      </c>
      <c r="S21" s="5">
        <f t="shared" si="8"/>
        <v>180</v>
      </c>
      <c r="T21" s="5">
        <f t="shared" si="8"/>
        <v>119</v>
      </c>
      <c r="U21" s="5">
        <f t="shared" si="8"/>
        <v>196</v>
      </c>
      <c r="V21" s="5">
        <f t="shared" si="8"/>
        <v>220</v>
      </c>
      <c r="W21" s="5">
        <f t="shared" si="8"/>
        <v>202</v>
      </c>
      <c r="X21" s="5">
        <f t="shared" si="8"/>
        <v>246</v>
      </c>
      <c r="Y21" s="5">
        <f t="shared" si="8"/>
        <v>165</v>
      </c>
      <c r="Z21" s="5">
        <f t="shared" si="8"/>
        <v>157</v>
      </c>
      <c r="AA21" s="5">
        <f t="shared" si="8"/>
        <v>194</v>
      </c>
      <c r="AB21" s="5">
        <f t="shared" si="7"/>
        <v>124</v>
      </c>
      <c r="AC21" s="5">
        <f t="shared" si="7"/>
        <v>221</v>
      </c>
      <c r="AD21" s="5">
        <f t="shared" si="7"/>
        <v>131</v>
      </c>
      <c r="AE21" s="5">
        <f t="shared" si="7"/>
        <v>145</v>
      </c>
      <c r="AF21" s="5">
        <f t="shared" si="7"/>
        <v>114</v>
      </c>
      <c r="AG21" s="5">
        <f t="shared" si="7"/>
        <v>178</v>
      </c>
      <c r="AH21" s="5">
        <f t="shared" ref="AH21:AZ21" si="9">SUM(AH19:AH20)</f>
        <v>225</v>
      </c>
      <c r="AI21" s="5">
        <f t="shared" si="9"/>
        <v>182</v>
      </c>
      <c r="AJ21" s="5">
        <f t="shared" si="9"/>
        <v>135</v>
      </c>
      <c r="AK21" s="5">
        <f t="shared" si="9"/>
        <v>142</v>
      </c>
      <c r="AL21" s="5">
        <f t="shared" ref="AL21:AW21" si="10">SUM(AL19:AL20)</f>
        <v>235</v>
      </c>
      <c r="AM21" s="5">
        <f t="shared" si="10"/>
        <v>160</v>
      </c>
      <c r="AN21" s="5">
        <f t="shared" si="10"/>
        <v>130</v>
      </c>
      <c r="AO21" s="5">
        <f t="shared" si="10"/>
        <v>140</v>
      </c>
      <c r="AP21" s="5">
        <f t="shared" si="10"/>
        <v>172</v>
      </c>
      <c r="AQ21" s="5">
        <f t="shared" si="10"/>
        <v>149</v>
      </c>
      <c r="AR21" s="5">
        <f t="shared" si="10"/>
        <v>158</v>
      </c>
      <c r="AS21" s="5">
        <f t="shared" si="10"/>
        <v>126</v>
      </c>
      <c r="AT21" s="5">
        <f t="shared" si="10"/>
        <v>214</v>
      </c>
      <c r="AU21" s="5">
        <f t="shared" si="10"/>
        <v>201</v>
      </c>
      <c r="AV21" s="5">
        <f t="shared" si="10"/>
        <v>198</v>
      </c>
      <c r="AW21" s="5">
        <f t="shared" si="10"/>
        <v>194</v>
      </c>
      <c r="AX21" s="5">
        <f t="shared" si="9"/>
        <v>160</v>
      </c>
      <c r="AY21" s="5">
        <f t="shared" ref="AY21" si="11">SUM(AY19:AY20)</f>
        <v>220</v>
      </c>
      <c r="AZ21" s="5">
        <f t="shared" si="9"/>
        <v>142</v>
      </c>
      <c r="BA21" s="5">
        <f t="shared" ref="BA21:BF21" si="12">SUM(BA19:BA20)</f>
        <v>152</v>
      </c>
      <c r="BB21" s="5">
        <f t="shared" si="12"/>
        <v>138</v>
      </c>
      <c r="BC21" s="5">
        <f t="shared" si="12"/>
        <v>201</v>
      </c>
      <c r="BD21" s="5">
        <f t="shared" si="12"/>
        <v>182</v>
      </c>
      <c r="BE21" s="5">
        <f t="shared" si="12"/>
        <v>180</v>
      </c>
      <c r="BF21" s="5">
        <f t="shared" si="12"/>
        <v>158</v>
      </c>
      <c r="BG21" s="5">
        <f t="shared" si="7"/>
        <v>196</v>
      </c>
      <c r="BH21" s="5">
        <f t="shared" si="7"/>
        <v>223</v>
      </c>
      <c r="BI21" s="5">
        <f t="shared" si="7"/>
        <v>198</v>
      </c>
      <c r="BJ21" s="5">
        <f t="shared" si="7"/>
        <v>190</v>
      </c>
      <c r="BK21" s="5">
        <f t="shared" si="6"/>
        <v>9588</v>
      </c>
    </row>
    <row r="22" spans="1:63" x14ac:dyDescent="0.4">
      <c r="A22" s="12"/>
      <c r="B22" s="79" t="s">
        <v>30</v>
      </c>
      <c r="C22" s="80" t="s">
        <v>31</v>
      </c>
      <c r="D22" s="6" t="s">
        <v>23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/>
      <c r="Q22" s="6"/>
      <c r="R22" s="6">
        <v>1</v>
      </c>
      <c r="S22" s="6"/>
      <c r="T22" s="6"/>
      <c r="U22" s="6">
        <v>1</v>
      </c>
      <c r="V22" s="6">
        <v>1</v>
      </c>
      <c r="W22" s="6">
        <v>1</v>
      </c>
      <c r="X22" s="6"/>
      <c r="Y22" s="6"/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/>
      <c r="AF22" s="6">
        <v>2</v>
      </c>
      <c r="AG22" s="6"/>
      <c r="AH22" s="6"/>
      <c r="AI22" s="6">
        <v>1</v>
      </c>
      <c r="AJ22" s="6">
        <v>1</v>
      </c>
      <c r="AK22" s="6"/>
      <c r="AL22" s="6">
        <v>1</v>
      </c>
      <c r="AM22" s="6"/>
      <c r="AN22" s="6"/>
      <c r="AO22" s="6"/>
      <c r="AP22" s="6">
        <v>1</v>
      </c>
      <c r="AQ22" s="6"/>
      <c r="AR22" s="6"/>
      <c r="AS22" s="6">
        <v>1</v>
      </c>
      <c r="AT22" s="6"/>
      <c r="AU22" s="6">
        <v>1</v>
      </c>
      <c r="AV22" s="6"/>
      <c r="AW22" s="6"/>
      <c r="AX22" s="6">
        <v>1</v>
      </c>
      <c r="AY22" s="6"/>
      <c r="AZ22" s="6"/>
      <c r="BA22" s="6">
        <v>2</v>
      </c>
      <c r="BB22" s="6">
        <v>1</v>
      </c>
      <c r="BC22" s="6"/>
      <c r="BD22" s="6"/>
      <c r="BE22" s="6"/>
      <c r="BF22" s="6"/>
      <c r="BG22" s="6"/>
      <c r="BH22" s="6">
        <v>1</v>
      </c>
      <c r="BI22" s="6"/>
      <c r="BJ22" s="6"/>
      <c r="BK22" s="5">
        <f t="shared" si="6"/>
        <v>33</v>
      </c>
    </row>
    <row r="23" spans="1:63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</v>
      </c>
      <c r="R23" s="6"/>
      <c r="S23" s="6"/>
      <c r="T23" s="6"/>
      <c r="U23" s="6"/>
      <c r="V23" s="6"/>
      <c r="W23" s="6"/>
      <c r="X23" s="6">
        <v>1</v>
      </c>
      <c r="Y23" s="6"/>
      <c r="Z23" s="6"/>
      <c r="AA23" s="6"/>
      <c r="AB23" s="6"/>
      <c r="AC23" s="6"/>
      <c r="AD23" s="6"/>
      <c r="AE23" s="6"/>
      <c r="AF23" s="6">
        <v>1</v>
      </c>
      <c r="AG23" s="6"/>
      <c r="AH23" s="6"/>
      <c r="AI23" s="6"/>
      <c r="AJ23" s="6"/>
      <c r="AK23" s="6">
        <v>1</v>
      </c>
      <c r="AL23" s="6"/>
      <c r="AM23" s="6">
        <v>1</v>
      </c>
      <c r="AN23" s="6">
        <v>1</v>
      </c>
      <c r="AO23" s="6"/>
      <c r="AP23" s="6"/>
      <c r="AQ23" s="6"/>
      <c r="AR23" s="6"/>
      <c r="AS23" s="6"/>
      <c r="AT23" s="6">
        <v>1</v>
      </c>
      <c r="AU23" s="6"/>
      <c r="AV23" s="6">
        <v>1</v>
      </c>
      <c r="AW23" s="6"/>
      <c r="AX23" s="6">
        <v>1</v>
      </c>
      <c r="AY23" s="6">
        <v>2</v>
      </c>
      <c r="AZ23" s="6">
        <v>1</v>
      </c>
      <c r="BA23" s="6">
        <v>2</v>
      </c>
      <c r="BB23" s="6"/>
      <c r="BC23" s="6"/>
      <c r="BD23" s="6"/>
      <c r="BE23" s="6">
        <v>1</v>
      </c>
      <c r="BF23" s="6">
        <v>1</v>
      </c>
      <c r="BG23" s="6">
        <v>1</v>
      </c>
      <c r="BH23" s="6"/>
      <c r="BI23" s="6">
        <v>1</v>
      </c>
      <c r="BJ23" s="6">
        <v>1</v>
      </c>
      <c r="BK23" s="5">
        <f t="shared" si="6"/>
        <v>19</v>
      </c>
    </row>
    <row r="24" spans="1:63" x14ac:dyDescent="0.4">
      <c r="A24" s="13"/>
      <c r="B24" s="78"/>
      <c r="C24" s="82"/>
      <c r="D24" s="5" t="s">
        <v>25</v>
      </c>
      <c r="E24" s="5">
        <f t="shared" ref="E24:BJ24" si="13">SUM(E22:E23)</f>
        <v>1</v>
      </c>
      <c r="F24" s="5">
        <f t="shared" ref="F24:AA24" si="14">SUM(F22:F23)</f>
        <v>1</v>
      </c>
      <c r="G24" s="5">
        <f t="shared" si="14"/>
        <v>1</v>
      </c>
      <c r="H24" s="5">
        <f t="shared" si="14"/>
        <v>1</v>
      </c>
      <c r="I24" s="5">
        <f t="shared" si="14"/>
        <v>1</v>
      </c>
      <c r="J24" s="5">
        <f t="shared" si="14"/>
        <v>1</v>
      </c>
      <c r="K24" s="5">
        <f t="shared" si="14"/>
        <v>1</v>
      </c>
      <c r="L24" s="5">
        <f t="shared" si="14"/>
        <v>1</v>
      </c>
      <c r="M24" s="5">
        <f t="shared" si="14"/>
        <v>1</v>
      </c>
      <c r="N24" s="5">
        <f t="shared" si="14"/>
        <v>1</v>
      </c>
      <c r="O24" s="5">
        <f t="shared" si="14"/>
        <v>1</v>
      </c>
      <c r="P24" s="5">
        <f t="shared" si="14"/>
        <v>0</v>
      </c>
      <c r="Q24" s="5">
        <f t="shared" si="14"/>
        <v>1</v>
      </c>
      <c r="R24" s="5">
        <f t="shared" si="14"/>
        <v>1</v>
      </c>
      <c r="S24" s="5">
        <f t="shared" si="14"/>
        <v>0</v>
      </c>
      <c r="T24" s="5">
        <f t="shared" si="14"/>
        <v>0</v>
      </c>
      <c r="U24" s="5">
        <f t="shared" si="14"/>
        <v>1</v>
      </c>
      <c r="V24" s="5">
        <f t="shared" si="14"/>
        <v>1</v>
      </c>
      <c r="W24" s="5">
        <f t="shared" si="14"/>
        <v>1</v>
      </c>
      <c r="X24" s="5">
        <f t="shared" si="14"/>
        <v>1</v>
      </c>
      <c r="Y24" s="5">
        <f t="shared" si="14"/>
        <v>0</v>
      </c>
      <c r="Z24" s="5">
        <f t="shared" si="14"/>
        <v>1</v>
      </c>
      <c r="AA24" s="5">
        <f t="shared" si="14"/>
        <v>1</v>
      </c>
      <c r="AB24" s="5">
        <f t="shared" si="13"/>
        <v>1</v>
      </c>
      <c r="AC24" s="5">
        <f t="shared" si="13"/>
        <v>1</v>
      </c>
      <c r="AD24" s="5">
        <f t="shared" si="13"/>
        <v>1</v>
      </c>
      <c r="AE24" s="5">
        <f t="shared" si="13"/>
        <v>0</v>
      </c>
      <c r="AF24" s="5">
        <f t="shared" si="13"/>
        <v>3</v>
      </c>
      <c r="AG24" s="5">
        <f t="shared" si="13"/>
        <v>0</v>
      </c>
      <c r="AH24" s="5">
        <f t="shared" ref="AH24:AZ24" si="15">SUM(AH22:AH23)</f>
        <v>0</v>
      </c>
      <c r="AI24" s="5">
        <f t="shared" si="15"/>
        <v>1</v>
      </c>
      <c r="AJ24" s="5">
        <f t="shared" si="15"/>
        <v>1</v>
      </c>
      <c r="AK24" s="5">
        <f t="shared" si="15"/>
        <v>1</v>
      </c>
      <c r="AL24" s="5">
        <f t="shared" ref="AL24:AW24" si="16">SUM(AL22:AL23)</f>
        <v>1</v>
      </c>
      <c r="AM24" s="5">
        <f t="shared" si="16"/>
        <v>1</v>
      </c>
      <c r="AN24" s="5">
        <f t="shared" si="16"/>
        <v>1</v>
      </c>
      <c r="AO24" s="5">
        <f t="shared" si="16"/>
        <v>0</v>
      </c>
      <c r="AP24" s="5">
        <f t="shared" si="16"/>
        <v>1</v>
      </c>
      <c r="AQ24" s="5">
        <f t="shared" si="16"/>
        <v>0</v>
      </c>
      <c r="AR24" s="5">
        <f t="shared" si="16"/>
        <v>0</v>
      </c>
      <c r="AS24" s="5">
        <f t="shared" si="16"/>
        <v>1</v>
      </c>
      <c r="AT24" s="5">
        <f t="shared" si="16"/>
        <v>1</v>
      </c>
      <c r="AU24" s="5">
        <f t="shared" si="16"/>
        <v>1</v>
      </c>
      <c r="AV24" s="5">
        <f t="shared" si="16"/>
        <v>1</v>
      </c>
      <c r="AW24" s="5">
        <f t="shared" si="16"/>
        <v>0</v>
      </c>
      <c r="AX24" s="5">
        <f t="shared" si="15"/>
        <v>2</v>
      </c>
      <c r="AY24" s="5">
        <f t="shared" ref="AY24" si="17">SUM(AY22:AY23)</f>
        <v>2</v>
      </c>
      <c r="AZ24" s="5">
        <f t="shared" si="15"/>
        <v>1</v>
      </c>
      <c r="BA24" s="5">
        <f t="shared" ref="BA24:BF24" si="18">SUM(BA22:BA23)</f>
        <v>4</v>
      </c>
      <c r="BB24" s="5">
        <f t="shared" si="18"/>
        <v>1</v>
      </c>
      <c r="BC24" s="5">
        <f t="shared" si="18"/>
        <v>0</v>
      </c>
      <c r="BD24" s="5">
        <f t="shared" si="18"/>
        <v>0</v>
      </c>
      <c r="BE24" s="5">
        <f t="shared" si="18"/>
        <v>1</v>
      </c>
      <c r="BF24" s="5">
        <f t="shared" si="18"/>
        <v>1</v>
      </c>
      <c r="BG24" s="5">
        <f t="shared" si="13"/>
        <v>1</v>
      </c>
      <c r="BH24" s="5">
        <f t="shared" si="13"/>
        <v>1</v>
      </c>
      <c r="BI24" s="5">
        <f t="shared" si="13"/>
        <v>1</v>
      </c>
      <c r="BJ24" s="5">
        <f t="shared" si="13"/>
        <v>1</v>
      </c>
      <c r="BK24" s="5">
        <f t="shared" si="6"/>
        <v>52</v>
      </c>
    </row>
    <row r="25" spans="1:63" x14ac:dyDescent="0.4">
      <c r="A25" s="12"/>
      <c r="B25" s="79" t="s">
        <v>32</v>
      </c>
      <c r="C25" s="80" t="s">
        <v>33</v>
      </c>
      <c r="D25" s="6" t="s">
        <v>23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3</v>
      </c>
      <c r="AB25" s="6">
        <v>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</v>
      </c>
      <c r="AW25" s="6"/>
      <c r="AX25" s="6">
        <v>1</v>
      </c>
      <c r="AY25" s="6"/>
      <c r="AZ25" s="6"/>
      <c r="BA25" s="6"/>
      <c r="BB25" s="6"/>
      <c r="BC25" s="6"/>
      <c r="BD25" s="6">
        <v>3</v>
      </c>
      <c r="BE25" s="6">
        <v>1</v>
      </c>
      <c r="BF25" s="6"/>
      <c r="BG25" s="6"/>
      <c r="BH25" s="6">
        <v>1</v>
      </c>
      <c r="BI25" s="6">
        <v>1</v>
      </c>
      <c r="BJ25" s="6"/>
      <c r="BK25" s="5">
        <f t="shared" si="6"/>
        <v>17</v>
      </c>
    </row>
    <row r="26" spans="1:63" x14ac:dyDescent="0.4">
      <c r="A26" s="12"/>
      <c r="B26" s="76"/>
      <c r="C26" s="81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>
        <v>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</v>
      </c>
      <c r="AB26" s="6">
        <v>2</v>
      </c>
      <c r="AC26" s="6"/>
      <c r="AD26" s="6"/>
      <c r="AE26" s="6"/>
      <c r="AF26" s="6">
        <v>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</v>
      </c>
      <c r="AR26" s="6"/>
      <c r="AS26" s="6"/>
      <c r="AT26" s="6"/>
      <c r="AU26" s="6"/>
      <c r="AV26" s="6">
        <v>3</v>
      </c>
      <c r="AW26" s="6"/>
      <c r="AX26" s="6"/>
      <c r="AY26" s="6">
        <v>2</v>
      </c>
      <c r="AZ26" s="6"/>
      <c r="BA26" s="6">
        <v>2</v>
      </c>
      <c r="BB26" s="6"/>
      <c r="BC26" s="6"/>
      <c r="BD26" s="6">
        <v>1</v>
      </c>
      <c r="BE26" s="6"/>
      <c r="BF26" s="6"/>
      <c r="BG26" s="6">
        <v>4</v>
      </c>
      <c r="BH26" s="6"/>
      <c r="BI26" s="6">
        <v>4</v>
      </c>
      <c r="BJ26" s="6">
        <v>2</v>
      </c>
      <c r="BK26" s="5">
        <f t="shared" si="6"/>
        <v>30</v>
      </c>
    </row>
    <row r="27" spans="1:63" x14ac:dyDescent="0.4">
      <c r="A27" s="13"/>
      <c r="B27" s="78"/>
      <c r="C27" s="82"/>
      <c r="D27" s="5" t="s">
        <v>25</v>
      </c>
      <c r="E27" s="5">
        <f t="shared" ref="E27:BJ27" si="19">SUM(E25:E26)</f>
        <v>0</v>
      </c>
      <c r="F27" s="5">
        <f t="shared" ref="F27:AA27" si="20">SUM(F25:F26)</f>
        <v>0</v>
      </c>
      <c r="G27" s="5">
        <f t="shared" si="20"/>
        <v>0</v>
      </c>
      <c r="H27" s="5">
        <f t="shared" si="20"/>
        <v>0</v>
      </c>
      <c r="I27" s="5">
        <f t="shared" si="20"/>
        <v>0</v>
      </c>
      <c r="J27" s="5">
        <f t="shared" si="20"/>
        <v>0</v>
      </c>
      <c r="K27" s="5">
        <f t="shared" si="20"/>
        <v>0</v>
      </c>
      <c r="L27" s="5">
        <f t="shared" si="20"/>
        <v>0</v>
      </c>
      <c r="M27" s="5">
        <f t="shared" si="20"/>
        <v>3</v>
      </c>
      <c r="N27" s="5">
        <f t="shared" si="20"/>
        <v>0</v>
      </c>
      <c r="O27" s="5">
        <f t="shared" si="20"/>
        <v>0</v>
      </c>
      <c r="P27" s="5">
        <f t="shared" si="20"/>
        <v>0</v>
      </c>
      <c r="Q27" s="5">
        <f t="shared" si="20"/>
        <v>0</v>
      </c>
      <c r="R27" s="5">
        <f t="shared" si="20"/>
        <v>0</v>
      </c>
      <c r="S27" s="5">
        <f t="shared" si="20"/>
        <v>0</v>
      </c>
      <c r="T27" s="5">
        <f t="shared" si="20"/>
        <v>0</v>
      </c>
      <c r="U27" s="5">
        <f t="shared" si="20"/>
        <v>0</v>
      </c>
      <c r="V27" s="5">
        <f t="shared" si="20"/>
        <v>0</v>
      </c>
      <c r="W27" s="5">
        <f t="shared" si="20"/>
        <v>0</v>
      </c>
      <c r="X27" s="5">
        <f t="shared" si="20"/>
        <v>0</v>
      </c>
      <c r="Y27" s="5">
        <f t="shared" si="20"/>
        <v>0</v>
      </c>
      <c r="Z27" s="5">
        <f t="shared" si="20"/>
        <v>0</v>
      </c>
      <c r="AA27" s="5">
        <f t="shared" si="20"/>
        <v>8</v>
      </c>
      <c r="AB27" s="5">
        <f t="shared" si="19"/>
        <v>3</v>
      </c>
      <c r="AC27" s="5">
        <f t="shared" si="19"/>
        <v>0</v>
      </c>
      <c r="AD27" s="5">
        <f t="shared" si="19"/>
        <v>0</v>
      </c>
      <c r="AE27" s="5">
        <f t="shared" si="19"/>
        <v>0</v>
      </c>
      <c r="AF27" s="5">
        <f t="shared" si="19"/>
        <v>1</v>
      </c>
      <c r="AG27" s="5">
        <f t="shared" si="19"/>
        <v>0</v>
      </c>
      <c r="AH27" s="5">
        <f t="shared" ref="AH27:AZ27" si="21">SUM(AH25:AH26)</f>
        <v>0</v>
      </c>
      <c r="AI27" s="5">
        <f t="shared" si="21"/>
        <v>0</v>
      </c>
      <c r="AJ27" s="5">
        <f t="shared" si="21"/>
        <v>0</v>
      </c>
      <c r="AK27" s="5">
        <f t="shared" si="21"/>
        <v>0</v>
      </c>
      <c r="AL27" s="5">
        <f t="shared" ref="AL27:AW27" si="22">SUM(AL25:AL26)</f>
        <v>0</v>
      </c>
      <c r="AM27" s="5">
        <f t="shared" si="22"/>
        <v>0</v>
      </c>
      <c r="AN27" s="5">
        <f t="shared" si="22"/>
        <v>0</v>
      </c>
      <c r="AO27" s="5">
        <f t="shared" si="22"/>
        <v>0</v>
      </c>
      <c r="AP27" s="5">
        <f t="shared" si="22"/>
        <v>0</v>
      </c>
      <c r="AQ27" s="5">
        <f t="shared" si="22"/>
        <v>1</v>
      </c>
      <c r="AR27" s="5">
        <f t="shared" si="22"/>
        <v>0</v>
      </c>
      <c r="AS27" s="5">
        <f t="shared" si="22"/>
        <v>0</v>
      </c>
      <c r="AT27" s="5">
        <f t="shared" si="22"/>
        <v>0</v>
      </c>
      <c r="AU27" s="5">
        <f t="shared" si="22"/>
        <v>0</v>
      </c>
      <c r="AV27" s="5">
        <f t="shared" si="22"/>
        <v>9</v>
      </c>
      <c r="AW27" s="5">
        <f t="shared" si="22"/>
        <v>0</v>
      </c>
      <c r="AX27" s="5">
        <f t="shared" si="21"/>
        <v>1</v>
      </c>
      <c r="AY27" s="5">
        <f t="shared" ref="AY27" si="23">SUM(AY25:AY26)</f>
        <v>2</v>
      </c>
      <c r="AZ27" s="5">
        <f t="shared" si="21"/>
        <v>0</v>
      </c>
      <c r="BA27" s="5">
        <f t="shared" ref="BA27:BF27" si="24">SUM(BA25:BA26)</f>
        <v>2</v>
      </c>
      <c r="BB27" s="5">
        <f t="shared" si="24"/>
        <v>0</v>
      </c>
      <c r="BC27" s="5">
        <f t="shared" si="24"/>
        <v>0</v>
      </c>
      <c r="BD27" s="5">
        <f t="shared" si="24"/>
        <v>4</v>
      </c>
      <c r="BE27" s="5">
        <f t="shared" si="24"/>
        <v>1</v>
      </c>
      <c r="BF27" s="5">
        <f t="shared" si="24"/>
        <v>0</v>
      </c>
      <c r="BG27" s="5">
        <f t="shared" si="19"/>
        <v>4</v>
      </c>
      <c r="BH27" s="5">
        <f t="shared" si="19"/>
        <v>1</v>
      </c>
      <c r="BI27" s="5">
        <f t="shared" si="19"/>
        <v>5</v>
      </c>
      <c r="BJ27" s="5">
        <f t="shared" si="19"/>
        <v>2</v>
      </c>
      <c r="BK27" s="5">
        <f t="shared" si="6"/>
        <v>47</v>
      </c>
    </row>
    <row r="28" spans="1:63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40</v>
      </c>
      <c r="F28" s="5">
        <f t="shared" ref="F28:AA29" si="25">SUM(F19,F22,F25)</f>
        <v>50</v>
      </c>
      <c r="G28" s="5">
        <f t="shared" si="25"/>
        <v>46</v>
      </c>
      <c r="H28" s="5">
        <f t="shared" si="25"/>
        <v>31</v>
      </c>
      <c r="I28" s="5">
        <f t="shared" si="25"/>
        <v>78</v>
      </c>
      <c r="J28" s="5">
        <f t="shared" si="25"/>
        <v>92</v>
      </c>
      <c r="K28" s="5">
        <f t="shared" si="25"/>
        <v>78</v>
      </c>
      <c r="L28" s="5">
        <f t="shared" si="25"/>
        <v>84</v>
      </c>
      <c r="M28" s="5">
        <f t="shared" si="25"/>
        <v>89</v>
      </c>
      <c r="N28" s="5">
        <f t="shared" si="25"/>
        <v>51</v>
      </c>
      <c r="O28" s="5">
        <f t="shared" si="25"/>
        <v>86</v>
      </c>
      <c r="P28" s="5">
        <f t="shared" si="25"/>
        <v>70</v>
      </c>
      <c r="Q28" s="5">
        <f t="shared" si="25"/>
        <v>75</v>
      </c>
      <c r="R28" s="5">
        <f t="shared" si="25"/>
        <v>45</v>
      </c>
      <c r="S28" s="5">
        <f t="shared" si="25"/>
        <v>92</v>
      </c>
      <c r="T28" s="5">
        <f t="shared" si="25"/>
        <v>54</v>
      </c>
      <c r="U28" s="5">
        <f t="shared" si="25"/>
        <v>95</v>
      </c>
      <c r="V28" s="5">
        <f t="shared" si="25"/>
        <v>100</v>
      </c>
      <c r="W28" s="5">
        <f t="shared" si="25"/>
        <v>96</v>
      </c>
      <c r="X28" s="5">
        <f t="shared" si="25"/>
        <v>120</v>
      </c>
      <c r="Y28" s="5">
        <f t="shared" si="25"/>
        <v>76</v>
      </c>
      <c r="Z28" s="5">
        <f t="shared" si="25"/>
        <v>73</v>
      </c>
      <c r="AA28" s="5">
        <f t="shared" si="25"/>
        <v>86</v>
      </c>
      <c r="AB28" s="5">
        <f t="shared" ref="AB28:AZ28" si="26">SUM(AB19,AB22,AB25)</f>
        <v>58</v>
      </c>
      <c r="AC28" s="5">
        <f t="shared" si="26"/>
        <v>110</v>
      </c>
      <c r="AD28" s="5">
        <f t="shared" si="26"/>
        <v>60</v>
      </c>
      <c r="AE28" s="5">
        <f t="shared" si="26"/>
        <v>67</v>
      </c>
      <c r="AF28" s="5">
        <f t="shared" si="26"/>
        <v>57</v>
      </c>
      <c r="AG28" s="5">
        <f t="shared" si="26"/>
        <v>75</v>
      </c>
      <c r="AH28" s="5">
        <f t="shared" si="26"/>
        <v>109</v>
      </c>
      <c r="AI28" s="5">
        <f t="shared" si="26"/>
        <v>79</v>
      </c>
      <c r="AJ28" s="5">
        <f t="shared" si="26"/>
        <v>65</v>
      </c>
      <c r="AK28" s="5">
        <f t="shared" si="26"/>
        <v>73</v>
      </c>
      <c r="AL28" s="5">
        <f t="shared" ref="AL28:AW29" si="27">SUM(AL19,AL22,AL25)</f>
        <v>113</v>
      </c>
      <c r="AM28" s="5">
        <f t="shared" si="27"/>
        <v>74</v>
      </c>
      <c r="AN28" s="5">
        <f t="shared" si="27"/>
        <v>64</v>
      </c>
      <c r="AO28" s="5">
        <f t="shared" si="27"/>
        <v>69</v>
      </c>
      <c r="AP28" s="5">
        <f t="shared" si="27"/>
        <v>87</v>
      </c>
      <c r="AQ28" s="5">
        <f t="shared" si="27"/>
        <v>75</v>
      </c>
      <c r="AR28" s="5">
        <f t="shared" si="27"/>
        <v>79</v>
      </c>
      <c r="AS28" s="5">
        <f t="shared" si="27"/>
        <v>65</v>
      </c>
      <c r="AT28" s="5">
        <f t="shared" si="27"/>
        <v>98</v>
      </c>
      <c r="AU28" s="5">
        <f t="shared" si="27"/>
        <v>102</v>
      </c>
      <c r="AV28" s="5">
        <f t="shared" si="27"/>
        <v>98</v>
      </c>
      <c r="AW28" s="5">
        <f t="shared" si="27"/>
        <v>86</v>
      </c>
      <c r="AX28" s="5">
        <f t="shared" si="26"/>
        <v>70</v>
      </c>
      <c r="AY28" s="5">
        <f t="shared" ref="AY28" si="28">SUM(AY19,AY22,AY25)</f>
        <v>96</v>
      </c>
      <c r="AZ28" s="5">
        <f t="shared" si="26"/>
        <v>59</v>
      </c>
      <c r="BA28" s="5">
        <f t="shared" ref="BA28:BF28" si="29">SUM(BA19,BA22,BA25)</f>
        <v>74</v>
      </c>
      <c r="BB28" s="5">
        <f t="shared" si="29"/>
        <v>68</v>
      </c>
      <c r="BC28" s="5">
        <f t="shared" si="29"/>
        <v>99</v>
      </c>
      <c r="BD28" s="5">
        <f t="shared" si="29"/>
        <v>86</v>
      </c>
      <c r="BE28" s="5">
        <f t="shared" si="29"/>
        <v>81</v>
      </c>
      <c r="BF28" s="5">
        <f t="shared" si="29"/>
        <v>72</v>
      </c>
      <c r="BG28" s="5">
        <f t="shared" ref="BG28:BJ29" si="30">SUM(BG19,BG22,BG25)</f>
        <v>86</v>
      </c>
      <c r="BH28" s="5">
        <f t="shared" si="30"/>
        <v>97</v>
      </c>
      <c r="BI28" s="5">
        <f t="shared" si="30"/>
        <v>100</v>
      </c>
      <c r="BJ28" s="5">
        <f t="shared" si="30"/>
        <v>87</v>
      </c>
      <c r="BK28" s="5">
        <f t="shared" si="6"/>
        <v>4545</v>
      </c>
    </row>
    <row r="29" spans="1:63" x14ac:dyDescent="0.4">
      <c r="A29" s="13"/>
      <c r="B29" s="76"/>
      <c r="C29" s="81"/>
      <c r="D29" s="5" t="s">
        <v>24</v>
      </c>
      <c r="E29" s="5">
        <f>SUM(E20,E23,E26)</f>
        <v>35</v>
      </c>
      <c r="F29" s="5">
        <f t="shared" ref="F29:P29" si="31">SUM(F20,F23,F26)</f>
        <v>37</v>
      </c>
      <c r="G29" s="5">
        <f t="shared" si="31"/>
        <v>50</v>
      </c>
      <c r="H29" s="5">
        <f t="shared" si="31"/>
        <v>21</v>
      </c>
      <c r="I29" s="5">
        <f t="shared" si="31"/>
        <v>82</v>
      </c>
      <c r="J29" s="5">
        <f t="shared" si="31"/>
        <v>102</v>
      </c>
      <c r="K29" s="5">
        <f t="shared" si="31"/>
        <v>103</v>
      </c>
      <c r="L29" s="5">
        <f t="shared" si="31"/>
        <v>110</v>
      </c>
      <c r="M29" s="5">
        <f t="shared" si="31"/>
        <v>93</v>
      </c>
      <c r="N29" s="5">
        <f t="shared" si="31"/>
        <v>42</v>
      </c>
      <c r="O29" s="5">
        <f t="shared" si="31"/>
        <v>120</v>
      </c>
      <c r="P29" s="5">
        <f t="shared" si="31"/>
        <v>78</v>
      </c>
      <c r="Q29" s="5">
        <f t="shared" si="25"/>
        <v>77</v>
      </c>
      <c r="R29" s="5">
        <f t="shared" si="25"/>
        <v>46</v>
      </c>
      <c r="S29" s="5">
        <f t="shared" si="25"/>
        <v>88</v>
      </c>
      <c r="T29" s="5">
        <f t="shared" si="25"/>
        <v>65</v>
      </c>
      <c r="U29" s="5">
        <f t="shared" si="25"/>
        <v>102</v>
      </c>
      <c r="V29" s="5">
        <f t="shared" si="25"/>
        <v>121</v>
      </c>
      <c r="W29" s="5">
        <f t="shared" si="25"/>
        <v>107</v>
      </c>
      <c r="X29" s="5">
        <f t="shared" si="25"/>
        <v>127</v>
      </c>
      <c r="Y29" s="5">
        <f t="shared" si="25"/>
        <v>89</v>
      </c>
      <c r="Z29" s="5">
        <f t="shared" si="25"/>
        <v>85</v>
      </c>
      <c r="AA29" s="5">
        <f t="shared" si="25"/>
        <v>117</v>
      </c>
      <c r="AB29" s="5">
        <f t="shared" ref="AB29:AZ29" si="32">SUM(AB20,AB23,AB26)</f>
        <v>70</v>
      </c>
      <c r="AC29" s="5">
        <f t="shared" si="32"/>
        <v>112</v>
      </c>
      <c r="AD29" s="5">
        <f t="shared" si="32"/>
        <v>72</v>
      </c>
      <c r="AE29" s="5">
        <f t="shared" si="32"/>
        <v>78</v>
      </c>
      <c r="AF29" s="5">
        <f t="shared" si="32"/>
        <v>61</v>
      </c>
      <c r="AG29" s="5">
        <f t="shared" si="32"/>
        <v>103</v>
      </c>
      <c r="AH29" s="5">
        <f t="shared" si="32"/>
        <v>116</v>
      </c>
      <c r="AI29" s="5">
        <f t="shared" si="32"/>
        <v>104</v>
      </c>
      <c r="AJ29" s="5">
        <f t="shared" si="32"/>
        <v>71</v>
      </c>
      <c r="AK29" s="5">
        <f t="shared" si="32"/>
        <v>70</v>
      </c>
      <c r="AL29" s="5">
        <f t="shared" ref="AL29" si="33">SUM(AL20,AL23,AL26)</f>
        <v>123</v>
      </c>
      <c r="AM29" s="5">
        <f t="shared" si="27"/>
        <v>87</v>
      </c>
      <c r="AN29" s="5">
        <f t="shared" si="27"/>
        <v>67</v>
      </c>
      <c r="AO29" s="5">
        <f t="shared" si="27"/>
        <v>71</v>
      </c>
      <c r="AP29" s="5">
        <f t="shared" si="27"/>
        <v>86</v>
      </c>
      <c r="AQ29" s="5">
        <f t="shared" si="27"/>
        <v>75</v>
      </c>
      <c r="AR29" s="5">
        <f t="shared" si="27"/>
        <v>79</v>
      </c>
      <c r="AS29" s="5">
        <f t="shared" si="27"/>
        <v>62</v>
      </c>
      <c r="AT29" s="5">
        <f t="shared" si="27"/>
        <v>117</v>
      </c>
      <c r="AU29" s="5">
        <f t="shared" si="27"/>
        <v>100</v>
      </c>
      <c r="AV29" s="5">
        <f t="shared" si="27"/>
        <v>110</v>
      </c>
      <c r="AW29" s="5">
        <f t="shared" si="27"/>
        <v>108</v>
      </c>
      <c r="AX29" s="5">
        <f t="shared" si="32"/>
        <v>93</v>
      </c>
      <c r="AY29" s="5">
        <f t="shared" ref="AY29" si="34">SUM(AY20,AY23,AY26)</f>
        <v>128</v>
      </c>
      <c r="AZ29" s="5">
        <f t="shared" si="32"/>
        <v>84</v>
      </c>
      <c r="BA29" s="5">
        <f t="shared" ref="BA29:BF29" si="35">SUM(BA20,BA23,BA26)</f>
        <v>84</v>
      </c>
      <c r="BB29" s="5">
        <f t="shared" si="35"/>
        <v>71</v>
      </c>
      <c r="BC29" s="5">
        <f t="shared" si="35"/>
        <v>102</v>
      </c>
      <c r="BD29" s="5">
        <f t="shared" si="35"/>
        <v>100</v>
      </c>
      <c r="BE29" s="5">
        <f t="shared" si="35"/>
        <v>101</v>
      </c>
      <c r="BF29" s="5">
        <f t="shared" si="35"/>
        <v>87</v>
      </c>
      <c r="BG29" s="5">
        <f t="shared" si="30"/>
        <v>115</v>
      </c>
      <c r="BH29" s="5">
        <f t="shared" si="30"/>
        <v>128</v>
      </c>
      <c r="BI29" s="5">
        <f t="shared" si="30"/>
        <v>104</v>
      </c>
      <c r="BJ29" s="5">
        <f t="shared" si="30"/>
        <v>106</v>
      </c>
      <c r="BK29" s="5">
        <f t="shared" si="6"/>
        <v>5142</v>
      </c>
    </row>
    <row r="30" spans="1:63" x14ac:dyDescent="0.4">
      <c r="A30" s="13"/>
      <c r="B30" s="78"/>
      <c r="C30" s="82"/>
      <c r="D30" s="5" t="s">
        <v>25</v>
      </c>
      <c r="E30" s="5">
        <f t="shared" ref="E30:BJ30" si="36">SUM(E28:E29)</f>
        <v>75</v>
      </c>
      <c r="F30" s="5">
        <f t="shared" ref="F30:AA30" si="37">SUM(F28:F29)</f>
        <v>87</v>
      </c>
      <c r="G30" s="5">
        <f t="shared" si="37"/>
        <v>96</v>
      </c>
      <c r="H30" s="5">
        <f t="shared" si="37"/>
        <v>52</v>
      </c>
      <c r="I30" s="5">
        <f t="shared" si="37"/>
        <v>160</v>
      </c>
      <c r="J30" s="5">
        <f t="shared" si="37"/>
        <v>194</v>
      </c>
      <c r="K30" s="5">
        <f t="shared" si="37"/>
        <v>181</v>
      </c>
      <c r="L30" s="5">
        <f t="shared" si="37"/>
        <v>194</v>
      </c>
      <c r="M30" s="5">
        <f t="shared" si="37"/>
        <v>182</v>
      </c>
      <c r="N30" s="5">
        <f t="shared" si="37"/>
        <v>93</v>
      </c>
      <c r="O30" s="5">
        <f t="shared" si="37"/>
        <v>206</v>
      </c>
      <c r="P30" s="5">
        <f t="shared" si="37"/>
        <v>148</v>
      </c>
      <c r="Q30" s="5">
        <f t="shared" si="37"/>
        <v>152</v>
      </c>
      <c r="R30" s="5">
        <f t="shared" si="37"/>
        <v>91</v>
      </c>
      <c r="S30" s="5">
        <f t="shared" si="37"/>
        <v>180</v>
      </c>
      <c r="T30" s="5">
        <f t="shared" si="37"/>
        <v>119</v>
      </c>
      <c r="U30" s="5">
        <f t="shared" si="37"/>
        <v>197</v>
      </c>
      <c r="V30" s="5">
        <f t="shared" si="37"/>
        <v>221</v>
      </c>
      <c r="W30" s="5">
        <f t="shared" si="37"/>
        <v>203</v>
      </c>
      <c r="X30" s="5">
        <f t="shared" si="37"/>
        <v>247</v>
      </c>
      <c r="Y30" s="5">
        <f t="shared" si="37"/>
        <v>165</v>
      </c>
      <c r="Z30" s="5">
        <f t="shared" si="37"/>
        <v>158</v>
      </c>
      <c r="AA30" s="5">
        <f t="shared" si="37"/>
        <v>203</v>
      </c>
      <c r="AB30" s="5">
        <f t="shared" si="36"/>
        <v>128</v>
      </c>
      <c r="AC30" s="5">
        <f t="shared" si="36"/>
        <v>222</v>
      </c>
      <c r="AD30" s="5">
        <f t="shared" si="36"/>
        <v>132</v>
      </c>
      <c r="AE30" s="5">
        <f t="shared" si="36"/>
        <v>145</v>
      </c>
      <c r="AF30" s="5">
        <f t="shared" si="36"/>
        <v>118</v>
      </c>
      <c r="AG30" s="5">
        <f t="shared" si="36"/>
        <v>178</v>
      </c>
      <c r="AH30" s="5">
        <f t="shared" ref="AH30:AZ30" si="38">SUM(AH28:AH29)</f>
        <v>225</v>
      </c>
      <c r="AI30" s="5">
        <f t="shared" si="38"/>
        <v>183</v>
      </c>
      <c r="AJ30" s="5">
        <f t="shared" si="38"/>
        <v>136</v>
      </c>
      <c r="AK30" s="5">
        <f t="shared" si="38"/>
        <v>143</v>
      </c>
      <c r="AL30" s="5">
        <f t="shared" ref="AL30:AW30" si="39">SUM(AL28:AL29)</f>
        <v>236</v>
      </c>
      <c r="AM30" s="5">
        <f t="shared" si="39"/>
        <v>161</v>
      </c>
      <c r="AN30" s="5">
        <f t="shared" si="39"/>
        <v>131</v>
      </c>
      <c r="AO30" s="5">
        <f t="shared" si="39"/>
        <v>140</v>
      </c>
      <c r="AP30" s="5">
        <f t="shared" si="39"/>
        <v>173</v>
      </c>
      <c r="AQ30" s="5">
        <f t="shared" si="39"/>
        <v>150</v>
      </c>
      <c r="AR30" s="5">
        <f t="shared" si="39"/>
        <v>158</v>
      </c>
      <c r="AS30" s="5">
        <f t="shared" si="39"/>
        <v>127</v>
      </c>
      <c r="AT30" s="5">
        <f t="shared" si="39"/>
        <v>215</v>
      </c>
      <c r="AU30" s="5">
        <f t="shared" si="39"/>
        <v>202</v>
      </c>
      <c r="AV30" s="5">
        <f t="shared" si="39"/>
        <v>208</v>
      </c>
      <c r="AW30" s="5">
        <f t="shared" si="39"/>
        <v>194</v>
      </c>
      <c r="AX30" s="5">
        <f t="shared" si="38"/>
        <v>163</v>
      </c>
      <c r="AY30" s="5">
        <f t="shared" ref="AY30" si="40">SUM(AY28:AY29)</f>
        <v>224</v>
      </c>
      <c r="AZ30" s="5">
        <f t="shared" si="38"/>
        <v>143</v>
      </c>
      <c r="BA30" s="5">
        <f t="shared" ref="BA30:BF30" si="41">SUM(BA28:BA29)</f>
        <v>158</v>
      </c>
      <c r="BB30" s="5">
        <f t="shared" si="41"/>
        <v>139</v>
      </c>
      <c r="BC30" s="5">
        <f t="shared" si="41"/>
        <v>201</v>
      </c>
      <c r="BD30" s="5">
        <f t="shared" si="41"/>
        <v>186</v>
      </c>
      <c r="BE30" s="5">
        <f t="shared" si="41"/>
        <v>182</v>
      </c>
      <c r="BF30" s="5">
        <f t="shared" si="41"/>
        <v>159</v>
      </c>
      <c r="BG30" s="5">
        <f t="shared" si="36"/>
        <v>201</v>
      </c>
      <c r="BH30" s="5">
        <f t="shared" si="36"/>
        <v>225</v>
      </c>
      <c r="BI30" s="5">
        <f t="shared" si="36"/>
        <v>204</v>
      </c>
      <c r="BJ30" s="5">
        <f t="shared" si="36"/>
        <v>193</v>
      </c>
      <c r="BK30" s="5">
        <f t="shared" si="6"/>
        <v>9687</v>
      </c>
    </row>
    <row r="31" spans="1:63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28"/>
    </row>
    <row r="32" spans="1:63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28"/>
    </row>
    <row r="33" spans="1:63" x14ac:dyDescent="0.4">
      <c r="A33" s="6">
        <v>1</v>
      </c>
      <c r="B33" s="72" t="s">
        <v>38</v>
      </c>
      <c r="C33" s="65"/>
      <c r="D33" s="66"/>
      <c r="E33" s="6">
        <v>104</v>
      </c>
      <c r="F33" s="6">
        <v>111</v>
      </c>
      <c r="G33" s="6">
        <v>118</v>
      </c>
      <c r="H33" s="6">
        <v>90</v>
      </c>
      <c r="I33" s="6">
        <v>226</v>
      </c>
      <c r="J33" s="6">
        <v>280</v>
      </c>
      <c r="K33" s="6">
        <v>292</v>
      </c>
      <c r="L33" s="6">
        <v>280</v>
      </c>
      <c r="M33" s="6">
        <v>272</v>
      </c>
      <c r="N33" s="6">
        <v>95</v>
      </c>
      <c r="O33" s="6">
        <v>278</v>
      </c>
      <c r="P33" s="6">
        <v>259</v>
      </c>
      <c r="Q33" s="6">
        <v>215</v>
      </c>
      <c r="R33" s="6">
        <v>120</v>
      </c>
      <c r="S33" s="6">
        <v>248</v>
      </c>
      <c r="T33" s="6">
        <v>166</v>
      </c>
      <c r="U33" s="6">
        <v>250</v>
      </c>
      <c r="V33" s="6">
        <v>310</v>
      </c>
      <c r="W33" s="6">
        <v>238</v>
      </c>
      <c r="X33" s="6">
        <v>294</v>
      </c>
      <c r="Y33" s="6">
        <v>259</v>
      </c>
      <c r="Z33" s="6">
        <v>214</v>
      </c>
      <c r="AA33" s="6">
        <v>261</v>
      </c>
      <c r="AB33" s="6">
        <v>183</v>
      </c>
      <c r="AC33" s="6">
        <v>300</v>
      </c>
      <c r="AD33" s="6">
        <v>210</v>
      </c>
      <c r="AE33" s="6">
        <v>186</v>
      </c>
      <c r="AF33" s="6">
        <v>143</v>
      </c>
      <c r="AG33" s="6">
        <v>273</v>
      </c>
      <c r="AH33" s="6">
        <v>303</v>
      </c>
      <c r="AI33" s="6">
        <v>243</v>
      </c>
      <c r="AJ33" s="6">
        <v>197</v>
      </c>
      <c r="AK33" s="6">
        <v>202</v>
      </c>
      <c r="AL33" s="6">
        <v>275</v>
      </c>
      <c r="AM33" s="6">
        <v>233</v>
      </c>
      <c r="AN33" s="6">
        <v>189</v>
      </c>
      <c r="AO33" s="6">
        <v>162</v>
      </c>
      <c r="AP33" s="6">
        <v>216</v>
      </c>
      <c r="AQ33" s="6">
        <v>185</v>
      </c>
      <c r="AR33" s="6">
        <v>192</v>
      </c>
      <c r="AS33" s="6">
        <v>162</v>
      </c>
      <c r="AT33" s="6">
        <v>302</v>
      </c>
      <c r="AU33" s="6">
        <v>281</v>
      </c>
      <c r="AV33" s="6">
        <v>307</v>
      </c>
      <c r="AW33" s="6">
        <v>303</v>
      </c>
      <c r="AX33" s="6">
        <v>231</v>
      </c>
      <c r="AY33" s="6">
        <v>300</v>
      </c>
      <c r="AZ33" s="6">
        <v>178</v>
      </c>
      <c r="BA33" s="6">
        <v>216</v>
      </c>
      <c r="BB33" s="6">
        <v>180</v>
      </c>
      <c r="BC33" s="6">
        <v>264</v>
      </c>
      <c r="BD33" s="6">
        <v>253</v>
      </c>
      <c r="BE33" s="6">
        <v>286</v>
      </c>
      <c r="BF33" s="6">
        <v>187</v>
      </c>
      <c r="BG33" s="6">
        <v>288</v>
      </c>
      <c r="BH33" s="6">
        <v>297</v>
      </c>
      <c r="BI33" s="6">
        <v>243</v>
      </c>
      <c r="BJ33" s="6">
        <v>278</v>
      </c>
      <c r="BK33" s="5">
        <f>SUM(E33:BJ33)</f>
        <v>13228</v>
      </c>
    </row>
    <row r="34" spans="1:63" x14ac:dyDescent="0.4">
      <c r="A34" s="6">
        <v>2</v>
      </c>
      <c r="B34" s="72" t="s">
        <v>39</v>
      </c>
      <c r="C34" s="65"/>
      <c r="D34" s="66"/>
      <c r="E34" s="5">
        <v>75</v>
      </c>
      <c r="F34" s="5">
        <v>87</v>
      </c>
      <c r="G34" s="5">
        <v>96</v>
      </c>
      <c r="H34" s="5">
        <v>52</v>
      </c>
      <c r="I34" s="5">
        <v>160</v>
      </c>
      <c r="J34" s="5">
        <v>194</v>
      </c>
      <c r="K34" s="5">
        <v>181</v>
      </c>
      <c r="L34" s="5">
        <v>194</v>
      </c>
      <c r="M34" s="5">
        <v>182</v>
      </c>
      <c r="N34" s="5">
        <v>93</v>
      </c>
      <c r="O34" s="5">
        <v>206</v>
      </c>
      <c r="P34" s="5">
        <v>148</v>
      </c>
      <c r="Q34" s="5">
        <v>152</v>
      </c>
      <c r="R34" s="5">
        <v>91</v>
      </c>
      <c r="S34" s="5">
        <v>180</v>
      </c>
      <c r="T34" s="5">
        <v>119</v>
      </c>
      <c r="U34" s="5">
        <v>197</v>
      </c>
      <c r="V34" s="5">
        <v>221</v>
      </c>
      <c r="W34" s="5">
        <v>203</v>
      </c>
      <c r="X34" s="5">
        <v>247</v>
      </c>
      <c r="Y34" s="5">
        <v>165</v>
      </c>
      <c r="Z34" s="5">
        <v>158</v>
      </c>
      <c r="AA34" s="5">
        <v>203</v>
      </c>
      <c r="AB34" s="5">
        <v>128</v>
      </c>
      <c r="AC34" s="5">
        <v>222</v>
      </c>
      <c r="AD34" s="5">
        <v>132</v>
      </c>
      <c r="AE34" s="5">
        <v>145</v>
      </c>
      <c r="AF34" s="5">
        <v>118</v>
      </c>
      <c r="AG34" s="5">
        <v>178</v>
      </c>
      <c r="AH34" s="5">
        <v>225</v>
      </c>
      <c r="AI34" s="5">
        <v>183</v>
      </c>
      <c r="AJ34" s="5">
        <v>136</v>
      </c>
      <c r="AK34" s="5">
        <v>143</v>
      </c>
      <c r="AL34" s="5">
        <v>236</v>
      </c>
      <c r="AM34" s="5">
        <v>161</v>
      </c>
      <c r="AN34" s="5">
        <v>131</v>
      </c>
      <c r="AO34" s="5">
        <v>140</v>
      </c>
      <c r="AP34" s="5">
        <v>173</v>
      </c>
      <c r="AQ34" s="5">
        <v>150</v>
      </c>
      <c r="AR34" s="5">
        <v>158</v>
      </c>
      <c r="AS34" s="5">
        <v>127</v>
      </c>
      <c r="AT34" s="5">
        <v>215</v>
      </c>
      <c r="AU34" s="5">
        <v>202</v>
      </c>
      <c r="AV34" s="5">
        <v>208</v>
      </c>
      <c r="AW34" s="5">
        <v>194</v>
      </c>
      <c r="AX34" s="5">
        <v>163</v>
      </c>
      <c r="AY34" s="5">
        <v>224</v>
      </c>
      <c r="AZ34" s="5">
        <v>143</v>
      </c>
      <c r="BA34" s="5">
        <v>158</v>
      </c>
      <c r="BB34" s="5">
        <v>139</v>
      </c>
      <c r="BC34" s="5">
        <v>201</v>
      </c>
      <c r="BD34" s="5">
        <v>186</v>
      </c>
      <c r="BE34" s="5">
        <v>182</v>
      </c>
      <c r="BF34" s="5">
        <v>159</v>
      </c>
      <c r="BG34" s="5">
        <v>201</v>
      </c>
      <c r="BH34" s="5">
        <v>225</v>
      </c>
      <c r="BI34" s="5">
        <v>204</v>
      </c>
      <c r="BJ34" s="5">
        <v>193</v>
      </c>
      <c r="BK34" s="5">
        <f>SUM(E34:BJ34)</f>
        <v>9687</v>
      </c>
    </row>
    <row r="35" spans="1:63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/>
      <c r="I35" s="6"/>
      <c r="J35" s="6"/>
      <c r="K35" s="6"/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6">
        <v>1</v>
      </c>
      <c r="W35" s="6">
        <v>1</v>
      </c>
      <c r="X35" s="6"/>
      <c r="Y35" s="6"/>
      <c r="Z35" s="6"/>
      <c r="AA35" s="6">
        <v>1</v>
      </c>
      <c r="AB35" s="6"/>
      <c r="AC35" s="6"/>
      <c r="AD35" s="6">
        <v>3</v>
      </c>
      <c r="AE35" s="6"/>
      <c r="AF35" s="6"/>
      <c r="AG35" s="6">
        <v>2</v>
      </c>
      <c r="AH35" s="6">
        <v>1</v>
      </c>
      <c r="AI35" s="6"/>
      <c r="AJ35" s="6"/>
      <c r="AK35" s="6"/>
      <c r="AL35" s="6"/>
      <c r="AM35" s="6">
        <v>1</v>
      </c>
      <c r="AN35" s="6"/>
      <c r="AO35" s="6">
        <v>1</v>
      </c>
      <c r="AP35" s="6"/>
      <c r="AQ35" s="6"/>
      <c r="AR35" s="6"/>
      <c r="AS35" s="6"/>
      <c r="AT35" s="6"/>
      <c r="AU35" s="6">
        <v>1</v>
      </c>
      <c r="AV35" s="6">
        <v>14</v>
      </c>
      <c r="AW35" s="6"/>
      <c r="AX35" s="6"/>
      <c r="AY35" s="6"/>
      <c r="AZ35" s="6"/>
      <c r="BA35" s="6"/>
      <c r="BB35" s="6"/>
      <c r="BC35" s="6"/>
      <c r="BD35" s="6"/>
      <c r="BE35" s="6"/>
      <c r="BF35" s="6">
        <v>1</v>
      </c>
      <c r="BG35" s="6"/>
      <c r="BH35" s="6"/>
      <c r="BI35" s="6">
        <v>2</v>
      </c>
      <c r="BJ35" s="6">
        <v>2</v>
      </c>
      <c r="BK35" s="5">
        <f>SUM(E35:BJ35)</f>
        <v>32</v>
      </c>
    </row>
    <row r="36" spans="1:63" x14ac:dyDescent="0.4">
      <c r="A36" s="6">
        <v>4</v>
      </c>
      <c r="B36" s="72" t="s">
        <v>41</v>
      </c>
      <c r="C36" s="65"/>
      <c r="D36" s="66"/>
      <c r="E36" s="5">
        <f t="shared" ref="E36:BJ36" si="42">E33-(E34+E35)</f>
        <v>29</v>
      </c>
      <c r="F36" s="5">
        <f t="shared" ref="F36:AA36" si="43">F33-(F34+F35)</f>
        <v>24</v>
      </c>
      <c r="G36" s="5">
        <f t="shared" si="43"/>
        <v>22</v>
      </c>
      <c r="H36" s="5">
        <f t="shared" si="43"/>
        <v>38</v>
      </c>
      <c r="I36" s="5">
        <f t="shared" si="43"/>
        <v>66</v>
      </c>
      <c r="J36" s="5">
        <f t="shared" si="43"/>
        <v>86</v>
      </c>
      <c r="K36" s="5">
        <f t="shared" si="43"/>
        <v>111</v>
      </c>
      <c r="L36" s="5">
        <f t="shared" si="43"/>
        <v>85</v>
      </c>
      <c r="M36" s="5">
        <f t="shared" si="43"/>
        <v>90</v>
      </c>
      <c r="N36" s="5">
        <f t="shared" si="43"/>
        <v>2</v>
      </c>
      <c r="O36" s="5">
        <f t="shared" si="43"/>
        <v>72</v>
      </c>
      <c r="P36" s="5">
        <f t="shared" si="43"/>
        <v>111</v>
      </c>
      <c r="Q36" s="5">
        <f t="shared" si="43"/>
        <v>63</v>
      </c>
      <c r="R36" s="5">
        <f t="shared" si="43"/>
        <v>29</v>
      </c>
      <c r="S36" s="5">
        <f t="shared" si="43"/>
        <v>68</v>
      </c>
      <c r="T36" s="5">
        <f t="shared" si="43"/>
        <v>47</v>
      </c>
      <c r="U36" s="5">
        <f t="shared" si="43"/>
        <v>53</v>
      </c>
      <c r="V36" s="5">
        <f t="shared" si="43"/>
        <v>88</v>
      </c>
      <c r="W36" s="5">
        <f t="shared" si="43"/>
        <v>34</v>
      </c>
      <c r="X36" s="5">
        <f t="shared" si="43"/>
        <v>47</v>
      </c>
      <c r="Y36" s="5">
        <f t="shared" si="43"/>
        <v>94</v>
      </c>
      <c r="Z36" s="5">
        <f t="shared" si="43"/>
        <v>56</v>
      </c>
      <c r="AA36" s="5">
        <f t="shared" si="43"/>
        <v>57</v>
      </c>
      <c r="AB36" s="5">
        <f t="shared" si="42"/>
        <v>55</v>
      </c>
      <c r="AC36" s="5">
        <f t="shared" si="42"/>
        <v>78</v>
      </c>
      <c r="AD36" s="5">
        <f t="shared" si="42"/>
        <v>75</v>
      </c>
      <c r="AE36" s="5">
        <f t="shared" si="42"/>
        <v>41</v>
      </c>
      <c r="AF36" s="5">
        <f t="shared" si="42"/>
        <v>25</v>
      </c>
      <c r="AG36" s="5">
        <f t="shared" si="42"/>
        <v>93</v>
      </c>
      <c r="AH36" s="5">
        <f t="shared" ref="AH36:AZ36" si="44">AH33-(AH34+AH35)</f>
        <v>77</v>
      </c>
      <c r="AI36" s="5">
        <f t="shared" si="44"/>
        <v>60</v>
      </c>
      <c r="AJ36" s="5">
        <f t="shared" si="44"/>
        <v>61</v>
      </c>
      <c r="AK36" s="5">
        <f t="shared" si="44"/>
        <v>59</v>
      </c>
      <c r="AL36" s="5">
        <f t="shared" ref="AL36:AW36" si="45">AL33-(AL34+AL35)</f>
        <v>39</v>
      </c>
      <c r="AM36" s="5">
        <f t="shared" si="45"/>
        <v>71</v>
      </c>
      <c r="AN36" s="5">
        <f t="shared" si="45"/>
        <v>58</v>
      </c>
      <c r="AO36" s="5">
        <f t="shared" si="45"/>
        <v>21</v>
      </c>
      <c r="AP36" s="5">
        <f t="shared" si="45"/>
        <v>43</v>
      </c>
      <c r="AQ36" s="5">
        <f t="shared" si="45"/>
        <v>35</v>
      </c>
      <c r="AR36" s="5">
        <f t="shared" si="45"/>
        <v>34</v>
      </c>
      <c r="AS36" s="5">
        <f t="shared" si="45"/>
        <v>35</v>
      </c>
      <c r="AT36" s="5">
        <f t="shared" si="45"/>
        <v>87</v>
      </c>
      <c r="AU36" s="5">
        <f t="shared" si="45"/>
        <v>78</v>
      </c>
      <c r="AV36" s="5">
        <f t="shared" si="45"/>
        <v>85</v>
      </c>
      <c r="AW36" s="5">
        <f t="shared" si="45"/>
        <v>109</v>
      </c>
      <c r="AX36" s="5">
        <f t="shared" si="44"/>
        <v>68</v>
      </c>
      <c r="AY36" s="5">
        <f t="shared" ref="AY36" si="46">AY33-(AY34+AY35)</f>
        <v>76</v>
      </c>
      <c r="AZ36" s="5">
        <f t="shared" si="44"/>
        <v>35</v>
      </c>
      <c r="BA36" s="5">
        <f t="shared" ref="BA36:BF36" si="47">BA33-(BA34+BA35)</f>
        <v>58</v>
      </c>
      <c r="BB36" s="5">
        <f t="shared" si="47"/>
        <v>41</v>
      </c>
      <c r="BC36" s="5">
        <f t="shared" si="47"/>
        <v>63</v>
      </c>
      <c r="BD36" s="5">
        <f t="shared" si="47"/>
        <v>67</v>
      </c>
      <c r="BE36" s="5">
        <f t="shared" si="47"/>
        <v>104</v>
      </c>
      <c r="BF36" s="5">
        <f t="shared" si="47"/>
        <v>27</v>
      </c>
      <c r="BG36" s="5">
        <f t="shared" si="42"/>
        <v>87</v>
      </c>
      <c r="BH36" s="5">
        <f t="shared" si="42"/>
        <v>72</v>
      </c>
      <c r="BI36" s="5">
        <f t="shared" si="42"/>
        <v>37</v>
      </c>
      <c r="BJ36" s="5">
        <f t="shared" si="42"/>
        <v>83</v>
      </c>
      <c r="BK36" s="5">
        <f>SUM(E36:BJ36)</f>
        <v>3509</v>
      </c>
    </row>
    <row r="37" spans="1:63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105"/>
      <c r="BH37" s="105"/>
      <c r="BI37" s="105"/>
      <c r="BJ37" s="106"/>
      <c r="BK37" s="28"/>
    </row>
    <row r="38" spans="1:63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28"/>
    </row>
    <row r="39" spans="1:63" x14ac:dyDescent="0.4">
      <c r="A39" s="11"/>
      <c r="B39" s="87" t="s">
        <v>44</v>
      </c>
      <c r="C39" s="74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6"/>
      <c r="U39" s="6"/>
      <c r="V39" s="6"/>
      <c r="W39" s="6"/>
      <c r="X39" s="6">
        <v>1</v>
      </c>
      <c r="Y39" s="6">
        <v>1</v>
      </c>
      <c r="Z39" s="6">
        <v>1</v>
      </c>
      <c r="AA39" s="6"/>
      <c r="AB39" s="6"/>
      <c r="AC39" s="6"/>
      <c r="AD39" s="6"/>
      <c r="AE39" s="6"/>
      <c r="AF39" s="6"/>
      <c r="AG39" s="6">
        <v>1</v>
      </c>
      <c r="AH39" s="6"/>
      <c r="AI39" s="6">
        <v>2</v>
      </c>
      <c r="AJ39" s="6"/>
      <c r="AK39" s="6"/>
      <c r="AL39" s="6"/>
      <c r="AM39" s="6"/>
      <c r="AN39" s="6"/>
      <c r="AO39" s="6"/>
      <c r="AP39" s="6"/>
      <c r="AQ39" s="6"/>
      <c r="AR39" s="6">
        <v>1</v>
      </c>
      <c r="AS39" s="6"/>
      <c r="AT39" s="6"/>
      <c r="AU39" s="6"/>
      <c r="AV39" s="6"/>
      <c r="AW39" s="6"/>
      <c r="AX39" s="6">
        <v>1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5">
        <f>SUM(E39:BJ39)</f>
        <v>9</v>
      </c>
    </row>
    <row r="40" spans="1:63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</v>
      </c>
      <c r="P40" s="6"/>
      <c r="Q40" s="6"/>
      <c r="R40" s="6"/>
      <c r="S40" s="6">
        <v>2</v>
      </c>
      <c r="T40" s="6">
        <v>1</v>
      </c>
      <c r="U40" s="6"/>
      <c r="V40" s="6"/>
      <c r="W40" s="6"/>
      <c r="X40" s="6">
        <v>3</v>
      </c>
      <c r="Y40" s="6"/>
      <c r="Z40" s="6">
        <v>1</v>
      </c>
      <c r="AA40" s="6"/>
      <c r="AB40" s="6"/>
      <c r="AC40" s="6"/>
      <c r="AD40" s="6"/>
      <c r="AE40" s="6"/>
      <c r="AF40" s="6"/>
      <c r="AG40" s="6"/>
      <c r="AH40" s="6"/>
      <c r="AI40" s="6">
        <v>3</v>
      </c>
      <c r="AJ40" s="6"/>
      <c r="AK40" s="6"/>
      <c r="AL40" s="6"/>
      <c r="AM40" s="6"/>
      <c r="AN40" s="6"/>
      <c r="AO40" s="6"/>
      <c r="AP40" s="6"/>
      <c r="AQ40" s="6"/>
      <c r="AR40" s="6"/>
      <c r="AS40" s="6">
        <v>1</v>
      </c>
      <c r="AT40" s="6"/>
      <c r="AU40" s="6"/>
      <c r="AV40" s="6"/>
      <c r="AW40" s="6"/>
      <c r="AX40" s="6">
        <v>3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5">
        <f>SUM(E40:BJ40)</f>
        <v>15</v>
      </c>
    </row>
    <row r="41" spans="1:63" x14ac:dyDescent="0.4">
      <c r="A41" s="14"/>
      <c r="B41" s="89"/>
      <c r="C41" s="78"/>
      <c r="D41" s="5" t="s">
        <v>25</v>
      </c>
      <c r="E41" s="5">
        <f t="shared" ref="E41:BJ41" si="48">SUM(E39:E40)</f>
        <v>0</v>
      </c>
      <c r="F41" s="5">
        <f t="shared" ref="F41:AA41" si="49">SUM(F39:F40)</f>
        <v>0</v>
      </c>
      <c r="G41" s="5">
        <f t="shared" si="49"/>
        <v>0</v>
      </c>
      <c r="H41" s="5">
        <f t="shared" si="49"/>
        <v>0</v>
      </c>
      <c r="I41" s="5">
        <f t="shared" si="49"/>
        <v>0</v>
      </c>
      <c r="J41" s="5">
        <f t="shared" si="49"/>
        <v>0</v>
      </c>
      <c r="K41" s="5">
        <f t="shared" si="49"/>
        <v>0</v>
      </c>
      <c r="L41" s="5">
        <f t="shared" si="49"/>
        <v>0</v>
      </c>
      <c r="M41" s="5">
        <f t="shared" si="49"/>
        <v>0</v>
      </c>
      <c r="N41" s="5">
        <f t="shared" si="49"/>
        <v>0</v>
      </c>
      <c r="O41" s="5">
        <f t="shared" si="49"/>
        <v>1</v>
      </c>
      <c r="P41" s="5">
        <f t="shared" si="49"/>
        <v>0</v>
      </c>
      <c r="Q41" s="5">
        <f t="shared" si="49"/>
        <v>0</v>
      </c>
      <c r="R41" s="5">
        <f t="shared" si="49"/>
        <v>0</v>
      </c>
      <c r="S41" s="5">
        <f t="shared" si="49"/>
        <v>3</v>
      </c>
      <c r="T41" s="5">
        <f t="shared" si="49"/>
        <v>1</v>
      </c>
      <c r="U41" s="5">
        <f t="shared" si="49"/>
        <v>0</v>
      </c>
      <c r="V41" s="5">
        <f t="shared" si="49"/>
        <v>0</v>
      </c>
      <c r="W41" s="5">
        <f t="shared" si="49"/>
        <v>0</v>
      </c>
      <c r="X41" s="5">
        <f t="shared" si="49"/>
        <v>4</v>
      </c>
      <c r="Y41" s="5">
        <f t="shared" si="49"/>
        <v>1</v>
      </c>
      <c r="Z41" s="5">
        <f t="shared" si="49"/>
        <v>2</v>
      </c>
      <c r="AA41" s="5">
        <f t="shared" si="49"/>
        <v>0</v>
      </c>
      <c r="AB41" s="5">
        <f t="shared" si="48"/>
        <v>0</v>
      </c>
      <c r="AC41" s="5">
        <f t="shared" si="48"/>
        <v>0</v>
      </c>
      <c r="AD41" s="5">
        <f t="shared" si="48"/>
        <v>0</v>
      </c>
      <c r="AE41" s="5">
        <f t="shared" si="48"/>
        <v>0</v>
      </c>
      <c r="AF41" s="5">
        <f t="shared" si="48"/>
        <v>0</v>
      </c>
      <c r="AG41" s="5">
        <f t="shared" si="48"/>
        <v>1</v>
      </c>
      <c r="AH41" s="5">
        <f t="shared" ref="AH41:AZ41" si="50">SUM(AH39:AH40)</f>
        <v>0</v>
      </c>
      <c r="AI41" s="5">
        <f t="shared" si="50"/>
        <v>5</v>
      </c>
      <c r="AJ41" s="5">
        <f t="shared" si="50"/>
        <v>0</v>
      </c>
      <c r="AK41" s="5">
        <f t="shared" si="50"/>
        <v>0</v>
      </c>
      <c r="AL41" s="5">
        <f t="shared" ref="AL41:AW41" si="51">SUM(AL39:AL40)</f>
        <v>0</v>
      </c>
      <c r="AM41" s="5">
        <f t="shared" si="51"/>
        <v>0</v>
      </c>
      <c r="AN41" s="5">
        <f t="shared" si="51"/>
        <v>0</v>
      </c>
      <c r="AO41" s="5">
        <f t="shared" si="51"/>
        <v>0</v>
      </c>
      <c r="AP41" s="5">
        <f t="shared" si="51"/>
        <v>0</v>
      </c>
      <c r="AQ41" s="5">
        <f t="shared" si="51"/>
        <v>0</v>
      </c>
      <c r="AR41" s="5">
        <f t="shared" si="51"/>
        <v>1</v>
      </c>
      <c r="AS41" s="5">
        <f t="shared" si="51"/>
        <v>1</v>
      </c>
      <c r="AT41" s="5">
        <f t="shared" si="51"/>
        <v>0</v>
      </c>
      <c r="AU41" s="5">
        <f t="shared" si="51"/>
        <v>0</v>
      </c>
      <c r="AV41" s="5">
        <f t="shared" si="51"/>
        <v>0</v>
      </c>
      <c r="AW41" s="5">
        <f t="shared" si="51"/>
        <v>0</v>
      </c>
      <c r="AX41" s="5">
        <f t="shared" si="50"/>
        <v>4</v>
      </c>
      <c r="AY41" s="5">
        <f t="shared" ref="AY41" si="52">SUM(AY39:AY40)</f>
        <v>0</v>
      </c>
      <c r="AZ41" s="5">
        <f t="shared" si="50"/>
        <v>0</v>
      </c>
      <c r="BA41" s="5">
        <f t="shared" ref="BA41:BF41" si="53">SUM(BA39:BA40)</f>
        <v>0</v>
      </c>
      <c r="BB41" s="5">
        <f t="shared" si="53"/>
        <v>0</v>
      </c>
      <c r="BC41" s="5">
        <f t="shared" si="53"/>
        <v>0</v>
      </c>
      <c r="BD41" s="5">
        <f t="shared" si="53"/>
        <v>0</v>
      </c>
      <c r="BE41" s="5">
        <f t="shared" si="53"/>
        <v>0</v>
      </c>
      <c r="BF41" s="5">
        <f t="shared" si="53"/>
        <v>0</v>
      </c>
      <c r="BG41" s="5">
        <f t="shared" si="48"/>
        <v>0</v>
      </c>
      <c r="BH41" s="5">
        <f t="shared" si="48"/>
        <v>0</v>
      </c>
      <c r="BI41" s="5">
        <f t="shared" si="48"/>
        <v>0</v>
      </c>
      <c r="BJ41" s="5">
        <f t="shared" si="48"/>
        <v>0</v>
      </c>
      <c r="BK41" s="5">
        <f>SUM(E41:BJ41)</f>
        <v>24</v>
      </c>
    </row>
    <row r="42" spans="1:63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65"/>
      <c r="BH42" s="65"/>
      <c r="BI42" s="65"/>
      <c r="BJ42" s="66"/>
      <c r="BK42" s="5"/>
    </row>
    <row r="43" spans="1:63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</row>
    <row r="44" spans="1:63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5"/>
    </row>
    <row r="45" spans="1:63" x14ac:dyDescent="0.4">
      <c r="A45" s="11" t="s">
        <v>48</v>
      </c>
      <c r="B45" s="17" t="s">
        <v>28</v>
      </c>
      <c r="C45" s="92" t="s">
        <v>49</v>
      </c>
      <c r="D45" s="66"/>
      <c r="E45" s="6"/>
      <c r="F45" s="6"/>
      <c r="G45" s="6"/>
      <c r="H45" s="6"/>
      <c r="I45" s="6">
        <v>4</v>
      </c>
      <c r="J45" s="6">
        <v>4</v>
      </c>
      <c r="K45" s="6">
        <v>6</v>
      </c>
      <c r="L45" s="6">
        <v>4</v>
      </c>
      <c r="M45" s="6">
        <v>6</v>
      </c>
      <c r="N45" s="6"/>
      <c r="O45" s="6">
        <v>4</v>
      </c>
      <c r="P45" s="6">
        <v>4</v>
      </c>
      <c r="Q45" s="6">
        <v>2</v>
      </c>
      <c r="R45" s="6">
        <v>1</v>
      </c>
      <c r="S45" s="6">
        <v>1</v>
      </c>
      <c r="T45" s="6"/>
      <c r="U45" s="6">
        <v>5</v>
      </c>
      <c r="V45" s="6">
        <v>3</v>
      </c>
      <c r="W45" s="6">
        <v>3</v>
      </c>
      <c r="X45" s="6">
        <v>2</v>
      </c>
      <c r="Y45" s="6">
        <v>4</v>
      </c>
      <c r="Z45" s="6">
        <v>2</v>
      </c>
      <c r="AA45" s="6">
        <v>3</v>
      </c>
      <c r="AB45" s="6">
        <v>5</v>
      </c>
      <c r="AC45" s="6">
        <v>4</v>
      </c>
      <c r="AD45" s="6">
        <v>8</v>
      </c>
      <c r="AE45" s="6">
        <v>3</v>
      </c>
      <c r="AF45" s="6"/>
      <c r="AG45" s="6">
        <v>3</v>
      </c>
      <c r="AH45" s="6">
        <v>8</v>
      </c>
      <c r="AI45" s="6">
        <v>7</v>
      </c>
      <c r="AJ45" s="6">
        <v>5</v>
      </c>
      <c r="AK45" s="6">
        <v>3</v>
      </c>
      <c r="AL45" s="6">
        <v>3</v>
      </c>
      <c r="AM45" s="6">
        <v>4</v>
      </c>
      <c r="AN45" s="6">
        <v>2</v>
      </c>
      <c r="AO45" s="6">
        <v>2</v>
      </c>
      <c r="AP45" s="6"/>
      <c r="AQ45" s="6">
        <v>4</v>
      </c>
      <c r="AR45" s="6"/>
      <c r="AS45" s="6"/>
      <c r="AT45" s="6">
        <v>7</v>
      </c>
      <c r="AU45" s="6">
        <v>4</v>
      </c>
      <c r="AV45" s="6">
        <v>5</v>
      </c>
      <c r="AW45" s="6">
        <v>3</v>
      </c>
      <c r="AX45" s="6">
        <v>1</v>
      </c>
      <c r="AY45" s="6">
        <v>5</v>
      </c>
      <c r="AZ45" s="6"/>
      <c r="BA45" s="6">
        <v>1</v>
      </c>
      <c r="BB45" s="6">
        <v>3</v>
      </c>
      <c r="BC45" s="6">
        <v>1</v>
      </c>
      <c r="BD45" s="6">
        <v>3</v>
      </c>
      <c r="BE45" s="6">
        <v>8</v>
      </c>
      <c r="BF45" s="6">
        <v>7</v>
      </c>
      <c r="BG45" s="6">
        <v>9</v>
      </c>
      <c r="BH45" s="6">
        <v>20</v>
      </c>
      <c r="BI45" s="6">
        <v>3</v>
      </c>
      <c r="BJ45" s="6"/>
      <c r="BK45" s="5">
        <f t="shared" ref="BK45:BK54" si="54">SUM(E45:BJ45)</f>
        <v>199</v>
      </c>
    </row>
    <row r="46" spans="1:63" x14ac:dyDescent="0.4">
      <c r="A46" s="11" t="s">
        <v>50</v>
      </c>
      <c r="B46" s="50"/>
      <c r="C46" s="24" t="s">
        <v>147</v>
      </c>
      <c r="D46" s="51"/>
      <c r="E46" s="6">
        <v>2</v>
      </c>
      <c r="F46" s="6"/>
      <c r="G46" s="6"/>
      <c r="H46" s="6"/>
      <c r="I46" s="6">
        <v>3</v>
      </c>
      <c r="J46" s="6">
        <v>1</v>
      </c>
      <c r="K46" s="6">
        <v>4</v>
      </c>
      <c r="L46" s="6">
        <v>1</v>
      </c>
      <c r="M46" s="6">
        <v>6</v>
      </c>
      <c r="N46" s="6"/>
      <c r="O46" s="6">
        <v>3</v>
      </c>
      <c r="P46" s="6">
        <v>2</v>
      </c>
      <c r="Q46" s="6">
        <v>1</v>
      </c>
      <c r="R46" s="6"/>
      <c r="S46" s="6"/>
      <c r="T46" s="6"/>
      <c r="U46" s="6"/>
      <c r="V46" s="6"/>
      <c r="W46" s="6"/>
      <c r="X46" s="6">
        <v>2</v>
      </c>
      <c r="Y46" s="6">
        <v>1</v>
      </c>
      <c r="Z46" s="6"/>
      <c r="AA46" s="6">
        <v>1</v>
      </c>
      <c r="AB46" s="6"/>
      <c r="AC46" s="6">
        <v>4</v>
      </c>
      <c r="AD46" s="6">
        <v>2</v>
      </c>
      <c r="AE46" s="6">
        <v>2</v>
      </c>
      <c r="AF46" s="6">
        <v>2</v>
      </c>
      <c r="AG46" s="6">
        <v>2</v>
      </c>
      <c r="AH46" s="6">
        <v>2</v>
      </c>
      <c r="AI46" s="6">
        <v>5</v>
      </c>
      <c r="AJ46" s="6">
        <v>1</v>
      </c>
      <c r="AK46" s="6"/>
      <c r="AL46" s="6">
        <v>1</v>
      </c>
      <c r="AM46" s="6"/>
      <c r="AN46" s="6">
        <v>2</v>
      </c>
      <c r="AO46" s="6"/>
      <c r="AP46" s="6"/>
      <c r="AQ46" s="6"/>
      <c r="AR46" s="6">
        <v>1</v>
      </c>
      <c r="AS46" s="6">
        <v>2</v>
      </c>
      <c r="AT46" s="6">
        <v>3</v>
      </c>
      <c r="AU46" s="6">
        <v>6</v>
      </c>
      <c r="AV46" s="6">
        <v>1</v>
      </c>
      <c r="AW46" s="6">
        <v>2</v>
      </c>
      <c r="AX46" s="6">
        <v>2</v>
      </c>
      <c r="AY46" s="6">
        <v>4</v>
      </c>
      <c r="AZ46" s="6">
        <v>1</v>
      </c>
      <c r="BA46" s="6">
        <v>1</v>
      </c>
      <c r="BB46" s="6"/>
      <c r="BC46" s="6">
        <v>3</v>
      </c>
      <c r="BD46" s="6"/>
      <c r="BE46" s="6">
        <v>1</v>
      </c>
      <c r="BF46" s="6">
        <v>12</v>
      </c>
      <c r="BG46" s="6">
        <v>34</v>
      </c>
      <c r="BH46" s="6">
        <v>43</v>
      </c>
      <c r="BI46" s="6">
        <v>4</v>
      </c>
      <c r="BJ46" s="6"/>
      <c r="BK46" s="5">
        <f t="shared" si="54"/>
        <v>170</v>
      </c>
    </row>
    <row r="47" spans="1:63" x14ac:dyDescent="0.4">
      <c r="A47" s="7"/>
      <c r="B47" s="50"/>
      <c r="C47" s="24" t="s">
        <v>148</v>
      </c>
      <c r="D47" s="51"/>
      <c r="E47" s="6">
        <v>1</v>
      </c>
      <c r="F47" s="6">
        <v>1</v>
      </c>
      <c r="G47" s="6">
        <v>1</v>
      </c>
      <c r="H47" s="6">
        <v>3</v>
      </c>
      <c r="I47" s="6">
        <v>1</v>
      </c>
      <c r="J47" s="6">
        <v>5</v>
      </c>
      <c r="K47" s="6">
        <v>1</v>
      </c>
      <c r="L47" s="6">
        <v>2</v>
      </c>
      <c r="M47" s="6">
        <v>6</v>
      </c>
      <c r="N47" s="6"/>
      <c r="O47" s="6">
        <v>4</v>
      </c>
      <c r="P47" s="6">
        <v>1</v>
      </c>
      <c r="Q47" s="6">
        <v>1</v>
      </c>
      <c r="R47" s="6">
        <v>3</v>
      </c>
      <c r="S47" s="6"/>
      <c r="T47" s="6"/>
      <c r="U47" s="6"/>
      <c r="V47" s="6">
        <v>5</v>
      </c>
      <c r="W47" s="6">
        <v>1</v>
      </c>
      <c r="X47" s="6">
        <v>2</v>
      </c>
      <c r="Y47" s="6"/>
      <c r="Z47" s="6">
        <v>1</v>
      </c>
      <c r="AA47" s="6">
        <v>1</v>
      </c>
      <c r="AB47" s="6">
        <v>2</v>
      </c>
      <c r="AC47" s="6">
        <v>1</v>
      </c>
      <c r="AD47" s="6">
        <v>3</v>
      </c>
      <c r="AE47" s="6"/>
      <c r="AF47" s="6"/>
      <c r="AG47" s="6">
        <v>2</v>
      </c>
      <c r="AH47" s="6">
        <v>1</v>
      </c>
      <c r="AI47" s="6">
        <v>3</v>
      </c>
      <c r="AJ47" s="6">
        <v>1</v>
      </c>
      <c r="AK47" s="6">
        <v>1</v>
      </c>
      <c r="AL47" s="6">
        <v>1</v>
      </c>
      <c r="AM47" s="6">
        <v>2</v>
      </c>
      <c r="AN47" s="6">
        <v>2</v>
      </c>
      <c r="AO47" s="6">
        <v>2</v>
      </c>
      <c r="AP47" s="6">
        <v>3</v>
      </c>
      <c r="AQ47" s="6">
        <v>3</v>
      </c>
      <c r="AR47" s="6"/>
      <c r="AS47" s="6"/>
      <c r="AT47" s="6">
        <v>9</v>
      </c>
      <c r="AU47" s="6">
        <v>6</v>
      </c>
      <c r="AV47" s="6">
        <v>1</v>
      </c>
      <c r="AW47" s="6">
        <v>4</v>
      </c>
      <c r="AX47" s="6"/>
      <c r="AY47" s="6">
        <v>4</v>
      </c>
      <c r="AZ47" s="6">
        <v>1</v>
      </c>
      <c r="BA47" s="6"/>
      <c r="BB47" s="6"/>
      <c r="BC47" s="6">
        <v>1</v>
      </c>
      <c r="BD47" s="6">
        <v>1</v>
      </c>
      <c r="BE47" s="6">
        <v>12</v>
      </c>
      <c r="BF47" s="6">
        <v>6</v>
      </c>
      <c r="BG47" s="6"/>
      <c r="BH47" s="6">
        <v>9</v>
      </c>
      <c r="BI47" s="6">
        <v>2</v>
      </c>
      <c r="BJ47" s="6"/>
      <c r="BK47" s="5">
        <f t="shared" si="54"/>
        <v>123</v>
      </c>
    </row>
    <row r="48" spans="1:63" x14ac:dyDescent="0.4">
      <c r="A48" s="7"/>
      <c r="B48" s="50"/>
      <c r="C48" s="24" t="s">
        <v>149</v>
      </c>
      <c r="D48" s="51"/>
      <c r="E48" s="6">
        <v>1</v>
      </c>
      <c r="F48" s="6">
        <v>1</v>
      </c>
      <c r="G48" s="6">
        <v>2</v>
      </c>
      <c r="H48" s="6">
        <v>10</v>
      </c>
      <c r="I48" s="6">
        <v>7</v>
      </c>
      <c r="J48" s="6">
        <v>5</v>
      </c>
      <c r="K48" s="6">
        <v>8</v>
      </c>
      <c r="L48" s="6">
        <v>2</v>
      </c>
      <c r="M48" s="6">
        <v>20</v>
      </c>
      <c r="N48" s="6"/>
      <c r="O48" s="6">
        <v>13</v>
      </c>
      <c r="P48" s="6">
        <v>3</v>
      </c>
      <c r="Q48" s="6">
        <v>2</v>
      </c>
      <c r="R48" s="6">
        <v>8</v>
      </c>
      <c r="S48" s="6">
        <v>4</v>
      </c>
      <c r="T48" s="6">
        <v>2</v>
      </c>
      <c r="U48" s="6">
        <v>1</v>
      </c>
      <c r="V48" s="6"/>
      <c r="W48" s="6">
        <v>8</v>
      </c>
      <c r="X48" s="6">
        <v>3</v>
      </c>
      <c r="Y48" s="6">
        <v>2</v>
      </c>
      <c r="Z48" s="6"/>
      <c r="AA48" s="6">
        <v>1</v>
      </c>
      <c r="AB48" s="6"/>
      <c r="AC48" s="6">
        <v>7</v>
      </c>
      <c r="AD48" s="6">
        <v>6</v>
      </c>
      <c r="AE48" s="6">
        <v>2</v>
      </c>
      <c r="AF48" s="6">
        <v>2</v>
      </c>
      <c r="AG48" s="6">
        <v>35</v>
      </c>
      <c r="AH48" s="6">
        <v>3</v>
      </c>
      <c r="AI48" s="6">
        <v>6</v>
      </c>
      <c r="AJ48" s="6">
        <v>7</v>
      </c>
      <c r="AK48" s="6">
        <v>1</v>
      </c>
      <c r="AL48" s="6">
        <v>6</v>
      </c>
      <c r="AM48" s="6">
        <v>2</v>
      </c>
      <c r="AN48" s="6">
        <v>1</v>
      </c>
      <c r="AO48" s="6">
        <v>3</v>
      </c>
      <c r="AP48" s="6">
        <v>3</v>
      </c>
      <c r="AQ48" s="6"/>
      <c r="AR48" s="6"/>
      <c r="AS48" s="6">
        <v>1</v>
      </c>
      <c r="AT48" s="6">
        <v>10</v>
      </c>
      <c r="AU48" s="6">
        <v>36</v>
      </c>
      <c r="AV48" s="6">
        <v>21</v>
      </c>
      <c r="AW48" s="6">
        <v>18</v>
      </c>
      <c r="AX48" s="6">
        <v>6</v>
      </c>
      <c r="AY48" s="6">
        <v>12</v>
      </c>
      <c r="AZ48" s="6">
        <v>8</v>
      </c>
      <c r="BA48" s="6">
        <v>1</v>
      </c>
      <c r="BB48" s="6"/>
      <c r="BC48" s="6">
        <v>3</v>
      </c>
      <c r="BD48" s="6">
        <v>4</v>
      </c>
      <c r="BE48" s="6"/>
      <c r="BF48" s="6">
        <v>3</v>
      </c>
      <c r="BG48" s="6">
        <v>3</v>
      </c>
      <c r="BH48" s="6">
        <v>10</v>
      </c>
      <c r="BI48" s="6">
        <v>2</v>
      </c>
      <c r="BJ48" s="6">
        <v>5</v>
      </c>
      <c r="BK48" s="5">
        <f t="shared" si="54"/>
        <v>330</v>
      </c>
    </row>
    <row r="49" spans="1:63" x14ac:dyDescent="0.4">
      <c r="A49" s="7"/>
      <c r="B49" s="50"/>
      <c r="C49" s="24" t="s">
        <v>150</v>
      </c>
      <c r="D49" s="51"/>
      <c r="E49" s="6"/>
      <c r="F49" s="6"/>
      <c r="G49" s="6"/>
      <c r="H49" s="6"/>
      <c r="I49" s="6">
        <v>1</v>
      </c>
      <c r="J49" s="6">
        <v>2</v>
      </c>
      <c r="K49" s="6"/>
      <c r="L49" s="6"/>
      <c r="M49" s="6">
        <v>2</v>
      </c>
      <c r="N49" s="6"/>
      <c r="O49" s="6">
        <v>1</v>
      </c>
      <c r="P49" s="6">
        <v>1</v>
      </c>
      <c r="Q49" s="6"/>
      <c r="R49" s="6"/>
      <c r="S49" s="6"/>
      <c r="T49" s="6"/>
      <c r="U49" s="6">
        <v>1</v>
      </c>
      <c r="V49" s="6">
        <v>1</v>
      </c>
      <c r="W49" s="6"/>
      <c r="X49" s="6"/>
      <c r="Y49" s="6">
        <v>1</v>
      </c>
      <c r="Z49" s="6"/>
      <c r="AA49" s="6"/>
      <c r="AB49" s="6"/>
      <c r="AC49" s="6"/>
      <c r="AD49" s="6">
        <v>1</v>
      </c>
      <c r="AE49" s="6"/>
      <c r="AF49" s="6">
        <v>1</v>
      </c>
      <c r="AG49" s="6">
        <v>1</v>
      </c>
      <c r="AH49" s="6">
        <v>1</v>
      </c>
      <c r="AI49" s="6"/>
      <c r="AJ49" s="6"/>
      <c r="AK49" s="6">
        <v>2</v>
      </c>
      <c r="AL49" s="6"/>
      <c r="AM49" s="6"/>
      <c r="AN49" s="6">
        <v>1</v>
      </c>
      <c r="AO49" s="6"/>
      <c r="AP49" s="6"/>
      <c r="AQ49" s="6"/>
      <c r="AR49" s="6"/>
      <c r="AS49" s="6"/>
      <c r="AT49" s="6">
        <v>2</v>
      </c>
      <c r="AU49" s="6"/>
      <c r="AV49" s="6"/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>
        <v>1</v>
      </c>
      <c r="BG49" s="6">
        <v>2</v>
      </c>
      <c r="BH49" s="6">
        <v>1</v>
      </c>
      <c r="BI49" s="6"/>
      <c r="BJ49" s="6"/>
      <c r="BK49" s="5">
        <f t="shared" si="54"/>
        <v>24</v>
      </c>
    </row>
    <row r="50" spans="1:63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/>
      <c r="S50" s="6"/>
      <c r="T50" s="6"/>
      <c r="U50" s="6"/>
      <c r="V50" s="6">
        <v>1</v>
      </c>
      <c r="W50" s="6"/>
      <c r="X50" s="6"/>
      <c r="Y50" s="6"/>
      <c r="Z50" s="6"/>
      <c r="AA50" s="6">
        <v>1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1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1</v>
      </c>
      <c r="AY50" s="6"/>
      <c r="AZ50" s="6"/>
      <c r="BA50" s="6"/>
      <c r="BB50" s="6"/>
      <c r="BC50" s="6">
        <v>1</v>
      </c>
      <c r="BD50" s="6"/>
      <c r="BE50" s="6"/>
      <c r="BF50" s="6">
        <v>1</v>
      </c>
      <c r="BG50" s="6">
        <v>1</v>
      </c>
      <c r="BH50" s="6">
        <v>1</v>
      </c>
      <c r="BI50" s="6"/>
      <c r="BJ50" s="6"/>
      <c r="BK50" s="5">
        <f t="shared" si="54"/>
        <v>9</v>
      </c>
    </row>
    <row r="51" spans="1:63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5">
        <f t="shared" si="54"/>
        <v>0</v>
      </c>
    </row>
    <row r="52" spans="1:63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>
        <v>1</v>
      </c>
      <c r="Y52" s="6"/>
      <c r="Z52" s="6"/>
      <c r="AA52" s="6"/>
      <c r="AB52" s="6"/>
      <c r="AC52" s="6">
        <v>1</v>
      </c>
      <c r="AD52" s="6"/>
      <c r="AE52" s="6"/>
      <c r="AF52" s="6"/>
      <c r="AG52" s="6"/>
      <c r="AH52" s="6">
        <v>1</v>
      </c>
      <c r="AI52" s="6"/>
      <c r="AJ52" s="6"/>
      <c r="AK52" s="6"/>
      <c r="AL52" s="6"/>
      <c r="AM52" s="6"/>
      <c r="AN52" s="6"/>
      <c r="AO52" s="6"/>
      <c r="AP52" s="6">
        <v>1</v>
      </c>
      <c r="AQ52" s="6"/>
      <c r="AR52" s="6"/>
      <c r="AS52" s="6">
        <v>1</v>
      </c>
      <c r="AT52" s="6"/>
      <c r="AU52" s="6">
        <v>1</v>
      </c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5">
        <f t="shared" si="54"/>
        <v>6</v>
      </c>
    </row>
    <row r="53" spans="1:63" ht="13.15" customHeight="1" x14ac:dyDescent="0.4">
      <c r="A53" s="7"/>
      <c r="B53" s="45"/>
      <c r="C53" s="46"/>
      <c r="D53" s="46"/>
      <c r="E53" s="6"/>
      <c r="F53" s="6"/>
      <c r="G53" s="6">
        <v>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5">
        <f t="shared" si="54"/>
        <v>1</v>
      </c>
    </row>
    <row r="54" spans="1:63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5">
        <f t="shared" si="54"/>
        <v>0</v>
      </c>
    </row>
    <row r="55" spans="1:63" x14ac:dyDescent="0.4">
      <c r="A55" s="6" t="s">
        <v>26</v>
      </c>
      <c r="B55" s="85" t="s">
        <v>51</v>
      </c>
      <c r="C55" s="65"/>
      <c r="D55" s="66"/>
      <c r="E55" s="5">
        <f>SUM(E45:E54)</f>
        <v>4</v>
      </c>
      <c r="F55" s="5">
        <f t="shared" ref="F55:AA55" si="55">SUM(F45:F54)</f>
        <v>2</v>
      </c>
      <c r="G55" s="5">
        <f t="shared" si="55"/>
        <v>4</v>
      </c>
      <c r="H55" s="5">
        <f t="shared" si="55"/>
        <v>13</v>
      </c>
      <c r="I55" s="5">
        <f t="shared" si="55"/>
        <v>16</v>
      </c>
      <c r="J55" s="5">
        <f t="shared" si="55"/>
        <v>17</v>
      </c>
      <c r="K55" s="5">
        <f t="shared" si="55"/>
        <v>19</v>
      </c>
      <c r="L55" s="5">
        <f t="shared" si="55"/>
        <v>9</v>
      </c>
      <c r="M55" s="5">
        <f t="shared" si="55"/>
        <v>41</v>
      </c>
      <c r="N55" s="5">
        <f t="shared" si="55"/>
        <v>0</v>
      </c>
      <c r="O55" s="5">
        <f t="shared" si="55"/>
        <v>25</v>
      </c>
      <c r="P55" s="5">
        <f t="shared" si="55"/>
        <v>11</v>
      </c>
      <c r="Q55" s="5">
        <f t="shared" si="55"/>
        <v>6</v>
      </c>
      <c r="R55" s="5">
        <f t="shared" si="55"/>
        <v>12</v>
      </c>
      <c r="S55" s="5">
        <f t="shared" si="55"/>
        <v>5</v>
      </c>
      <c r="T55" s="5">
        <f t="shared" si="55"/>
        <v>2</v>
      </c>
      <c r="U55" s="5">
        <f t="shared" si="55"/>
        <v>7</v>
      </c>
      <c r="V55" s="5">
        <f t="shared" si="55"/>
        <v>10</v>
      </c>
      <c r="W55" s="5">
        <f t="shared" si="55"/>
        <v>12</v>
      </c>
      <c r="X55" s="5">
        <f t="shared" si="55"/>
        <v>10</v>
      </c>
      <c r="Y55" s="5">
        <f t="shared" si="55"/>
        <v>8</v>
      </c>
      <c r="Z55" s="5">
        <f t="shared" si="55"/>
        <v>3</v>
      </c>
      <c r="AA55" s="5">
        <f t="shared" si="55"/>
        <v>7</v>
      </c>
      <c r="AB55" s="5">
        <f t="shared" ref="AB55:AZ55" si="56">SUM(AB45:AB54)</f>
        <v>7</v>
      </c>
      <c r="AC55" s="5">
        <f t="shared" si="56"/>
        <v>17</v>
      </c>
      <c r="AD55" s="5">
        <f t="shared" si="56"/>
        <v>20</v>
      </c>
      <c r="AE55" s="5">
        <f t="shared" si="56"/>
        <v>7</v>
      </c>
      <c r="AF55" s="5">
        <f t="shared" si="56"/>
        <v>5</v>
      </c>
      <c r="AG55" s="5">
        <f t="shared" si="56"/>
        <v>43</v>
      </c>
      <c r="AH55" s="5">
        <f t="shared" si="56"/>
        <v>16</v>
      </c>
      <c r="AI55" s="5">
        <f t="shared" si="56"/>
        <v>21</v>
      </c>
      <c r="AJ55" s="5">
        <f t="shared" si="56"/>
        <v>14</v>
      </c>
      <c r="AK55" s="5">
        <f t="shared" si="56"/>
        <v>8</v>
      </c>
      <c r="AL55" s="5">
        <f t="shared" ref="AL55:AW55" si="57">SUM(AL45:AL54)</f>
        <v>11</v>
      </c>
      <c r="AM55" s="5">
        <f t="shared" si="57"/>
        <v>8</v>
      </c>
      <c r="AN55" s="5">
        <f t="shared" si="57"/>
        <v>8</v>
      </c>
      <c r="AO55" s="5">
        <f t="shared" si="57"/>
        <v>7</v>
      </c>
      <c r="AP55" s="5">
        <f t="shared" si="57"/>
        <v>7</v>
      </c>
      <c r="AQ55" s="5">
        <f t="shared" si="57"/>
        <v>7</v>
      </c>
      <c r="AR55" s="5">
        <f t="shared" si="57"/>
        <v>1</v>
      </c>
      <c r="AS55" s="5">
        <f t="shared" si="57"/>
        <v>4</v>
      </c>
      <c r="AT55" s="5">
        <f t="shared" si="57"/>
        <v>31</v>
      </c>
      <c r="AU55" s="5">
        <f t="shared" si="57"/>
        <v>53</v>
      </c>
      <c r="AV55" s="5">
        <f t="shared" si="57"/>
        <v>28</v>
      </c>
      <c r="AW55" s="5">
        <f t="shared" si="57"/>
        <v>28</v>
      </c>
      <c r="AX55" s="5">
        <f t="shared" si="56"/>
        <v>10</v>
      </c>
      <c r="AY55" s="5">
        <f t="shared" ref="AY55" si="58">SUM(AY45:AY54)</f>
        <v>25</v>
      </c>
      <c r="AZ55" s="5">
        <f t="shared" si="56"/>
        <v>10</v>
      </c>
      <c r="BA55" s="5">
        <f t="shared" ref="BA55:BK55" si="59">SUM(BA45:BA54)</f>
        <v>3</v>
      </c>
      <c r="BB55" s="5">
        <f t="shared" si="59"/>
        <v>3</v>
      </c>
      <c r="BC55" s="5">
        <f t="shared" si="59"/>
        <v>9</v>
      </c>
      <c r="BD55" s="5">
        <f t="shared" si="59"/>
        <v>8</v>
      </c>
      <c r="BE55" s="5">
        <f t="shared" si="59"/>
        <v>21</v>
      </c>
      <c r="BF55" s="5">
        <f t="shared" si="59"/>
        <v>30</v>
      </c>
      <c r="BG55" s="5">
        <f t="shared" si="59"/>
        <v>49</v>
      </c>
      <c r="BH55" s="5">
        <f t="shared" si="59"/>
        <v>84</v>
      </c>
      <c r="BI55" s="5">
        <f t="shared" si="59"/>
        <v>11</v>
      </c>
      <c r="BJ55" s="5">
        <f t="shared" si="59"/>
        <v>5</v>
      </c>
      <c r="BK55" s="5">
        <f t="shared" si="59"/>
        <v>862</v>
      </c>
    </row>
    <row r="56" spans="1:63" x14ac:dyDescent="0.4">
      <c r="A56" s="90"/>
      <c r="B56" s="89"/>
      <c r="C56" s="89"/>
      <c r="D56" s="89"/>
      <c r="E56" s="89"/>
      <c r="BK56" s="5"/>
    </row>
    <row r="57" spans="1:63" x14ac:dyDescent="0.4">
      <c r="A57" s="11" t="s">
        <v>48</v>
      </c>
      <c r="B57" s="17" t="s">
        <v>30</v>
      </c>
      <c r="C57" s="92" t="s">
        <v>52</v>
      </c>
      <c r="D57" s="66"/>
      <c r="E57" s="6">
        <v>2</v>
      </c>
      <c r="F57" s="6">
        <v>2</v>
      </c>
      <c r="G57" s="6"/>
      <c r="H57" s="6"/>
      <c r="I57" s="6">
        <v>2</v>
      </c>
      <c r="J57" s="6">
        <v>3</v>
      </c>
      <c r="K57" s="6">
        <v>12</v>
      </c>
      <c r="L57" s="6">
        <v>3</v>
      </c>
      <c r="M57" s="6">
        <v>5</v>
      </c>
      <c r="N57" s="6"/>
      <c r="O57" s="6">
        <v>5</v>
      </c>
      <c r="P57" s="6">
        <v>5</v>
      </c>
      <c r="Q57" s="6">
        <v>2</v>
      </c>
      <c r="R57" s="6"/>
      <c r="S57" s="6">
        <v>3</v>
      </c>
      <c r="T57" s="6">
        <v>1</v>
      </c>
      <c r="U57" s="6">
        <v>3</v>
      </c>
      <c r="V57" s="6">
        <v>4</v>
      </c>
      <c r="W57" s="6"/>
      <c r="X57" s="6">
        <v>7</v>
      </c>
      <c r="Y57" s="6">
        <v>14</v>
      </c>
      <c r="Z57" s="6">
        <v>4</v>
      </c>
      <c r="AA57" s="6">
        <v>4</v>
      </c>
      <c r="AB57" s="6">
        <v>4</v>
      </c>
      <c r="AC57" s="6">
        <v>4</v>
      </c>
      <c r="AD57" s="6">
        <v>3</v>
      </c>
      <c r="AE57" s="6">
        <v>8</v>
      </c>
      <c r="AF57" s="6">
        <v>1</v>
      </c>
      <c r="AG57" s="6">
        <v>4</v>
      </c>
      <c r="AH57" s="6">
        <v>10</v>
      </c>
      <c r="AI57" s="6">
        <v>7</v>
      </c>
      <c r="AJ57" s="6">
        <v>14</v>
      </c>
      <c r="AK57" s="6">
        <v>5</v>
      </c>
      <c r="AL57" s="6">
        <v>9</v>
      </c>
      <c r="AM57" s="6">
        <v>2</v>
      </c>
      <c r="AN57" s="6">
        <v>3</v>
      </c>
      <c r="AO57" s="6">
        <v>6</v>
      </c>
      <c r="AP57" s="6">
        <v>3</v>
      </c>
      <c r="AQ57" s="6">
        <v>4</v>
      </c>
      <c r="AR57" s="6">
        <v>5</v>
      </c>
      <c r="AS57" s="6">
        <v>1</v>
      </c>
      <c r="AT57" s="6">
        <v>6</v>
      </c>
      <c r="AU57" s="6">
        <v>2</v>
      </c>
      <c r="AV57" s="6">
        <v>4</v>
      </c>
      <c r="AW57" s="6">
        <v>5</v>
      </c>
      <c r="AX57" s="6">
        <v>7</v>
      </c>
      <c r="AY57" s="6">
        <v>5</v>
      </c>
      <c r="AZ57" s="6"/>
      <c r="BA57" s="6">
        <v>1</v>
      </c>
      <c r="BB57" s="6">
        <v>3</v>
      </c>
      <c r="BC57" s="6"/>
      <c r="BD57" s="6">
        <v>1</v>
      </c>
      <c r="BE57" s="6">
        <v>9</v>
      </c>
      <c r="BF57" s="6">
        <v>1</v>
      </c>
      <c r="BG57" s="6">
        <v>7</v>
      </c>
      <c r="BH57" s="6">
        <v>6</v>
      </c>
      <c r="BI57" s="6">
        <v>4</v>
      </c>
      <c r="BJ57" s="6">
        <v>3</v>
      </c>
      <c r="BK57" s="5">
        <f t="shared" ref="BK57:BK66" si="60">SUM(E57:BJ57)</f>
        <v>238</v>
      </c>
    </row>
    <row r="58" spans="1:63" x14ac:dyDescent="0.4">
      <c r="A58" s="11" t="s">
        <v>50</v>
      </c>
      <c r="B58" s="50"/>
      <c r="C58" s="24" t="s">
        <v>154</v>
      </c>
      <c r="D58" s="51"/>
      <c r="E58" s="6">
        <v>2</v>
      </c>
      <c r="F58" s="6"/>
      <c r="G58" s="6"/>
      <c r="H58" s="6">
        <v>1</v>
      </c>
      <c r="I58" s="6"/>
      <c r="J58" s="6">
        <v>1</v>
      </c>
      <c r="K58" s="6"/>
      <c r="L58" s="6"/>
      <c r="M58" s="6"/>
      <c r="N58" s="6"/>
      <c r="O58" s="6">
        <v>2</v>
      </c>
      <c r="P58" s="6">
        <v>1</v>
      </c>
      <c r="Q58" s="6"/>
      <c r="R58" s="6">
        <v>2</v>
      </c>
      <c r="S58" s="6"/>
      <c r="T58" s="6"/>
      <c r="U58" s="6">
        <v>1</v>
      </c>
      <c r="V58" s="6">
        <v>2</v>
      </c>
      <c r="W58" s="6"/>
      <c r="X58" s="6">
        <v>3</v>
      </c>
      <c r="Y58" s="6">
        <v>2</v>
      </c>
      <c r="Z58" s="6"/>
      <c r="AA58" s="6">
        <v>3</v>
      </c>
      <c r="AB58" s="6">
        <v>2</v>
      </c>
      <c r="AC58" s="6">
        <v>5</v>
      </c>
      <c r="AD58" s="6">
        <v>4</v>
      </c>
      <c r="AE58" s="6">
        <v>3</v>
      </c>
      <c r="AF58" s="6"/>
      <c r="AG58" s="6">
        <v>2</v>
      </c>
      <c r="AH58" s="6">
        <v>1</v>
      </c>
      <c r="AI58" s="6">
        <v>1</v>
      </c>
      <c r="AJ58" s="6">
        <v>3</v>
      </c>
      <c r="AK58" s="6">
        <v>2</v>
      </c>
      <c r="AL58" s="6">
        <v>3</v>
      </c>
      <c r="AM58" s="6"/>
      <c r="AN58" s="6"/>
      <c r="AO58" s="6">
        <v>3</v>
      </c>
      <c r="AP58" s="6"/>
      <c r="AQ58" s="6">
        <v>2</v>
      </c>
      <c r="AR58" s="6"/>
      <c r="AS58" s="6">
        <v>3</v>
      </c>
      <c r="AT58" s="6">
        <v>4</v>
      </c>
      <c r="AU58" s="6">
        <v>2</v>
      </c>
      <c r="AV58" s="6">
        <v>3</v>
      </c>
      <c r="AW58" s="6">
        <v>7</v>
      </c>
      <c r="AX58" s="6">
        <v>3</v>
      </c>
      <c r="AY58" s="6">
        <v>1</v>
      </c>
      <c r="AZ58" s="6"/>
      <c r="BA58" s="6">
        <v>4</v>
      </c>
      <c r="BB58" s="6">
        <v>1</v>
      </c>
      <c r="BC58" s="6">
        <v>1</v>
      </c>
      <c r="BD58" s="6">
        <v>1</v>
      </c>
      <c r="BE58" s="6">
        <v>3</v>
      </c>
      <c r="BF58" s="6">
        <v>3</v>
      </c>
      <c r="BG58" s="6">
        <v>1</v>
      </c>
      <c r="BH58" s="6">
        <v>3</v>
      </c>
      <c r="BI58" s="6">
        <v>1</v>
      </c>
      <c r="BJ58" s="6">
        <v>11</v>
      </c>
      <c r="BK58" s="5">
        <f t="shared" si="60"/>
        <v>103</v>
      </c>
    </row>
    <row r="59" spans="1:63" x14ac:dyDescent="0.4">
      <c r="A59" s="7"/>
      <c r="B59" s="50"/>
      <c r="C59" s="24" t="s">
        <v>155</v>
      </c>
      <c r="D59" s="51"/>
      <c r="E59" s="6">
        <v>6</v>
      </c>
      <c r="F59" s="6"/>
      <c r="G59" s="6">
        <v>1</v>
      </c>
      <c r="H59" s="6">
        <v>1</v>
      </c>
      <c r="I59" s="6"/>
      <c r="J59" s="6">
        <v>3</v>
      </c>
      <c r="K59" s="6">
        <v>2</v>
      </c>
      <c r="L59" s="6"/>
      <c r="M59" s="6">
        <v>2</v>
      </c>
      <c r="N59" s="6"/>
      <c r="O59" s="6">
        <v>3</v>
      </c>
      <c r="P59" s="6"/>
      <c r="Q59" s="6"/>
      <c r="R59" s="6"/>
      <c r="S59" s="6"/>
      <c r="T59" s="6"/>
      <c r="U59" s="6">
        <v>3</v>
      </c>
      <c r="V59" s="6"/>
      <c r="W59" s="6">
        <v>1</v>
      </c>
      <c r="X59" s="6">
        <v>1</v>
      </c>
      <c r="Y59" s="6">
        <v>3</v>
      </c>
      <c r="Z59" s="6">
        <v>1</v>
      </c>
      <c r="AA59" s="6"/>
      <c r="AB59" s="6"/>
      <c r="AC59" s="6">
        <v>1</v>
      </c>
      <c r="AD59" s="6">
        <v>2</v>
      </c>
      <c r="AE59" s="6">
        <v>4</v>
      </c>
      <c r="AF59" s="6">
        <v>1</v>
      </c>
      <c r="AG59" s="6"/>
      <c r="AH59" s="6">
        <v>1</v>
      </c>
      <c r="AI59" s="6">
        <v>3</v>
      </c>
      <c r="AJ59" s="6">
        <v>3</v>
      </c>
      <c r="AK59" s="6">
        <v>4</v>
      </c>
      <c r="AL59" s="6"/>
      <c r="AM59" s="6"/>
      <c r="AN59" s="6"/>
      <c r="AO59" s="6">
        <v>3</v>
      </c>
      <c r="AP59" s="6"/>
      <c r="AQ59" s="6"/>
      <c r="AR59" s="6">
        <v>2</v>
      </c>
      <c r="AS59" s="6">
        <v>1</v>
      </c>
      <c r="AT59" s="6">
        <v>4</v>
      </c>
      <c r="AU59" s="6">
        <v>1</v>
      </c>
      <c r="AV59" s="6">
        <v>3</v>
      </c>
      <c r="AW59" s="6">
        <v>1</v>
      </c>
      <c r="AX59" s="6">
        <v>7</v>
      </c>
      <c r="AY59" s="6">
        <v>2</v>
      </c>
      <c r="AZ59" s="6">
        <v>1</v>
      </c>
      <c r="BA59" s="6">
        <v>1</v>
      </c>
      <c r="BB59" s="6">
        <v>3</v>
      </c>
      <c r="BC59" s="6">
        <v>1</v>
      </c>
      <c r="BD59" s="6">
        <v>2</v>
      </c>
      <c r="BE59" s="6">
        <v>2</v>
      </c>
      <c r="BF59" s="6">
        <v>1</v>
      </c>
      <c r="BG59" s="6">
        <v>1</v>
      </c>
      <c r="BH59" s="6">
        <v>3</v>
      </c>
      <c r="BI59" s="6">
        <v>2</v>
      </c>
      <c r="BJ59" s="6"/>
      <c r="BK59" s="5">
        <f t="shared" si="60"/>
        <v>87</v>
      </c>
    </row>
    <row r="60" spans="1:63" x14ac:dyDescent="0.4">
      <c r="A60" s="7"/>
      <c r="B60" s="50"/>
      <c r="C60" s="24" t="s">
        <v>156</v>
      </c>
      <c r="D60" s="51"/>
      <c r="E60" s="6"/>
      <c r="F60" s="6"/>
      <c r="G60" s="6"/>
      <c r="H60" s="6"/>
      <c r="I60" s="6">
        <v>1</v>
      </c>
      <c r="J60" s="6"/>
      <c r="K60" s="6"/>
      <c r="L60" s="6"/>
      <c r="M60" s="6">
        <v>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>
        <v>2</v>
      </c>
      <c r="AE60" s="6"/>
      <c r="AF60" s="6">
        <v>1</v>
      </c>
      <c r="AG60" s="6">
        <v>1</v>
      </c>
      <c r="AH60" s="6">
        <v>3</v>
      </c>
      <c r="AI60" s="6"/>
      <c r="AJ60" s="6"/>
      <c r="AK60" s="6"/>
      <c r="AL60" s="6">
        <v>1</v>
      </c>
      <c r="AM60" s="6">
        <v>1</v>
      </c>
      <c r="AN60" s="6"/>
      <c r="AO60" s="6"/>
      <c r="AP60" s="6"/>
      <c r="AQ60" s="6">
        <v>1</v>
      </c>
      <c r="AR60" s="6"/>
      <c r="AS60" s="6">
        <v>2</v>
      </c>
      <c r="AT60" s="6">
        <v>1</v>
      </c>
      <c r="AU60" s="6"/>
      <c r="AV60" s="6">
        <v>1</v>
      </c>
      <c r="AW60" s="6">
        <v>2</v>
      </c>
      <c r="AX60" s="6">
        <v>1</v>
      </c>
      <c r="AY60" s="6"/>
      <c r="AZ60" s="6"/>
      <c r="BA60" s="6"/>
      <c r="BB60" s="6"/>
      <c r="BC60" s="6">
        <v>1</v>
      </c>
      <c r="BD60" s="6"/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/>
      <c r="BK60" s="5">
        <f t="shared" si="60"/>
        <v>26</v>
      </c>
    </row>
    <row r="61" spans="1:63" x14ac:dyDescent="0.4">
      <c r="A61" s="7"/>
      <c r="B61" s="50"/>
      <c r="C61" s="24" t="s">
        <v>157</v>
      </c>
      <c r="D61" s="51"/>
      <c r="E61" s="6">
        <v>2</v>
      </c>
      <c r="F61" s="6">
        <v>8</v>
      </c>
      <c r="G61" s="6">
        <v>1</v>
      </c>
      <c r="H61" s="6">
        <v>2</v>
      </c>
      <c r="I61" s="6">
        <v>11</v>
      </c>
      <c r="J61" s="6">
        <v>12</v>
      </c>
      <c r="K61" s="6">
        <v>12</v>
      </c>
      <c r="L61" s="6">
        <v>1</v>
      </c>
      <c r="M61" s="6">
        <v>9</v>
      </c>
      <c r="N61" s="6"/>
      <c r="O61" s="6">
        <v>25</v>
      </c>
      <c r="P61" s="6">
        <v>22</v>
      </c>
      <c r="Q61" s="6">
        <v>9</v>
      </c>
      <c r="R61" s="6">
        <v>3</v>
      </c>
      <c r="S61" s="6">
        <v>14</v>
      </c>
      <c r="T61" s="6">
        <v>4</v>
      </c>
      <c r="U61" s="6">
        <v>39</v>
      </c>
      <c r="V61" s="6">
        <v>39</v>
      </c>
      <c r="W61" s="6">
        <v>29</v>
      </c>
      <c r="X61" s="6">
        <v>81</v>
      </c>
      <c r="Y61" s="6">
        <v>10</v>
      </c>
      <c r="Z61" s="6">
        <v>20</v>
      </c>
      <c r="AA61" s="6">
        <v>22</v>
      </c>
      <c r="AB61" s="6">
        <v>4</v>
      </c>
      <c r="AC61" s="6">
        <v>14</v>
      </c>
      <c r="AD61" s="6">
        <v>13</v>
      </c>
      <c r="AE61" s="6">
        <v>28</v>
      </c>
      <c r="AF61" s="6">
        <v>20</v>
      </c>
      <c r="AG61" s="6">
        <v>8</v>
      </c>
      <c r="AH61" s="6">
        <v>19</v>
      </c>
      <c r="AI61" s="6">
        <v>5</v>
      </c>
      <c r="AJ61" s="6">
        <v>1</v>
      </c>
      <c r="AK61" s="6">
        <v>14</v>
      </c>
      <c r="AL61" s="6">
        <v>44</v>
      </c>
      <c r="AM61" s="6"/>
      <c r="AN61" s="6">
        <v>1</v>
      </c>
      <c r="AO61" s="6">
        <v>19</v>
      </c>
      <c r="AP61" s="6"/>
      <c r="AQ61" s="6">
        <v>6</v>
      </c>
      <c r="AR61" s="6">
        <v>16</v>
      </c>
      <c r="AS61" s="6">
        <v>31</v>
      </c>
      <c r="AT61" s="6"/>
      <c r="AU61" s="6">
        <v>3</v>
      </c>
      <c r="AV61" s="6">
        <v>28</v>
      </c>
      <c r="AW61" s="6">
        <v>15</v>
      </c>
      <c r="AX61" s="6">
        <v>6</v>
      </c>
      <c r="AY61" s="6"/>
      <c r="AZ61" s="6">
        <v>19</v>
      </c>
      <c r="BA61" s="6">
        <v>2</v>
      </c>
      <c r="BB61" s="6">
        <v>4</v>
      </c>
      <c r="BC61" s="6">
        <v>3</v>
      </c>
      <c r="BD61" s="6">
        <v>4</v>
      </c>
      <c r="BE61" s="6">
        <v>3</v>
      </c>
      <c r="BF61" s="6">
        <v>2</v>
      </c>
      <c r="BG61" s="6">
        <v>11</v>
      </c>
      <c r="BH61" s="6">
        <v>2</v>
      </c>
      <c r="BI61" s="6">
        <v>3</v>
      </c>
      <c r="BJ61" s="6"/>
      <c r="BK61" s="5">
        <f t="shared" si="60"/>
        <v>723</v>
      </c>
    </row>
    <row r="62" spans="1:63" x14ac:dyDescent="0.4">
      <c r="A62" s="7"/>
      <c r="B62" s="50"/>
      <c r="C62" s="24" t="s">
        <v>158</v>
      </c>
      <c r="D62" s="51"/>
      <c r="E62" s="6"/>
      <c r="F62" s="6"/>
      <c r="G62" s="6"/>
      <c r="H62" s="6">
        <v>2</v>
      </c>
      <c r="I62" s="6"/>
      <c r="J62" s="6">
        <v>1</v>
      </c>
      <c r="K62" s="6"/>
      <c r="L62" s="6"/>
      <c r="M62" s="6"/>
      <c r="N62" s="6"/>
      <c r="O62" s="6"/>
      <c r="P62" s="6"/>
      <c r="Q62" s="6">
        <v>1</v>
      </c>
      <c r="R62" s="6"/>
      <c r="S62" s="6"/>
      <c r="T62" s="6"/>
      <c r="U62" s="6"/>
      <c r="V62" s="6"/>
      <c r="W62" s="6">
        <v>6</v>
      </c>
      <c r="X62" s="6"/>
      <c r="Y62" s="6">
        <v>9</v>
      </c>
      <c r="Z62" s="6"/>
      <c r="AA62" s="6"/>
      <c r="AB62" s="6"/>
      <c r="AC62" s="6"/>
      <c r="AD62" s="6">
        <v>2</v>
      </c>
      <c r="AE62" s="6"/>
      <c r="AF62" s="6"/>
      <c r="AG62" s="6"/>
      <c r="AH62" s="6">
        <v>1</v>
      </c>
      <c r="AI62" s="6"/>
      <c r="AJ62" s="6"/>
      <c r="AK62" s="6"/>
      <c r="AL62" s="6"/>
      <c r="AM62" s="6"/>
      <c r="AN62" s="6">
        <v>1</v>
      </c>
      <c r="AO62" s="6"/>
      <c r="AP62" s="6"/>
      <c r="AQ62" s="6">
        <v>15</v>
      </c>
      <c r="AR62" s="6"/>
      <c r="AS62" s="6"/>
      <c r="AT62" s="6">
        <v>5</v>
      </c>
      <c r="AU62" s="6">
        <v>7</v>
      </c>
      <c r="AV62" s="6"/>
      <c r="AW62" s="6">
        <v>2</v>
      </c>
      <c r="AX62" s="6"/>
      <c r="AY62" s="6">
        <v>1</v>
      </c>
      <c r="AZ62" s="6"/>
      <c r="BA62" s="6"/>
      <c r="BB62" s="6">
        <v>2</v>
      </c>
      <c r="BC62" s="6"/>
      <c r="BD62" s="6">
        <v>3</v>
      </c>
      <c r="BE62" s="6"/>
      <c r="BF62" s="6">
        <v>1</v>
      </c>
      <c r="BG62" s="6">
        <v>4</v>
      </c>
      <c r="BH62" s="6">
        <v>5</v>
      </c>
      <c r="BI62" s="6"/>
      <c r="BJ62" s="6"/>
      <c r="BK62" s="5">
        <f t="shared" si="60"/>
        <v>68</v>
      </c>
    </row>
    <row r="63" spans="1:63" ht="13.15" customHeight="1" x14ac:dyDescent="0.4">
      <c r="A63" s="7"/>
      <c r="B63" s="50"/>
      <c r="C63" s="24" t="s">
        <v>159</v>
      </c>
      <c r="D63" s="5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>
        <v>1</v>
      </c>
      <c r="Y63" s="6"/>
      <c r="Z63" s="6"/>
      <c r="AA63" s="6"/>
      <c r="AB63" s="6"/>
      <c r="AC63" s="6"/>
      <c r="AD63" s="6"/>
      <c r="AE63" s="6">
        <v>1</v>
      </c>
      <c r="AF63" s="6"/>
      <c r="AG63" s="6"/>
      <c r="AH63" s="6"/>
      <c r="AI63" s="6"/>
      <c r="AJ63" s="6"/>
      <c r="AK63" s="6"/>
      <c r="AL63" s="6"/>
      <c r="AM63" s="6">
        <v>1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1</v>
      </c>
      <c r="AZ63" s="6"/>
      <c r="BA63" s="6"/>
      <c r="BB63" s="6">
        <v>1</v>
      </c>
      <c r="BC63" s="6"/>
      <c r="BD63" s="6"/>
      <c r="BE63" s="6"/>
      <c r="BF63" s="6"/>
      <c r="BG63" s="6"/>
      <c r="BH63" s="6"/>
      <c r="BI63" s="6"/>
      <c r="BJ63" s="6"/>
      <c r="BK63" s="5">
        <f t="shared" si="60"/>
        <v>5</v>
      </c>
    </row>
    <row r="64" spans="1:63" x14ac:dyDescent="0.4">
      <c r="A64" s="7"/>
      <c r="B64" s="50"/>
      <c r="C64" s="24" t="s">
        <v>160</v>
      </c>
      <c r="D64" s="51"/>
      <c r="E64" s="6">
        <v>1</v>
      </c>
      <c r="F64" s="6"/>
      <c r="G64" s="6"/>
      <c r="H64" s="6"/>
      <c r="I64" s="6"/>
      <c r="J64" s="6"/>
      <c r="K64" s="6">
        <v>4</v>
      </c>
      <c r="L64" s="6"/>
      <c r="M64" s="6"/>
      <c r="N64" s="6"/>
      <c r="O64" s="6"/>
      <c r="P64" s="6"/>
      <c r="Q64" s="6">
        <v>1</v>
      </c>
      <c r="R64" s="6"/>
      <c r="S64" s="6"/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4</v>
      </c>
      <c r="Z64" s="6"/>
      <c r="AA64" s="6"/>
      <c r="AB64" s="6"/>
      <c r="AC64" s="6">
        <v>2</v>
      </c>
      <c r="AD64" s="6">
        <v>6</v>
      </c>
      <c r="AE64" s="6">
        <v>3</v>
      </c>
      <c r="AF64" s="6"/>
      <c r="AG64" s="6">
        <v>11</v>
      </c>
      <c r="AH64" s="6">
        <v>1</v>
      </c>
      <c r="AI64" s="6"/>
      <c r="AJ64" s="6"/>
      <c r="AK64" s="6"/>
      <c r="AL64" s="6"/>
      <c r="AM64" s="6">
        <v>1</v>
      </c>
      <c r="AN64" s="6"/>
      <c r="AO64" s="6">
        <v>27</v>
      </c>
      <c r="AP64" s="6">
        <v>10</v>
      </c>
      <c r="AQ64" s="6">
        <v>1</v>
      </c>
      <c r="AR64" s="6"/>
      <c r="AS64" s="6">
        <v>10</v>
      </c>
      <c r="AT64" s="6">
        <v>8</v>
      </c>
      <c r="AU64" s="6">
        <v>6</v>
      </c>
      <c r="AV64" s="6">
        <v>9</v>
      </c>
      <c r="AW64" s="6">
        <v>13</v>
      </c>
      <c r="AX64" s="6"/>
      <c r="AY64" s="6">
        <v>6</v>
      </c>
      <c r="AZ64" s="6">
        <v>2</v>
      </c>
      <c r="BA64" s="6"/>
      <c r="BB64" s="6"/>
      <c r="BC64" s="6"/>
      <c r="BD64" s="6"/>
      <c r="BE64" s="6"/>
      <c r="BF64" s="6"/>
      <c r="BG64" s="6"/>
      <c r="BH64" s="6"/>
      <c r="BI64" s="6">
        <v>4</v>
      </c>
      <c r="BJ64" s="6">
        <v>20</v>
      </c>
      <c r="BK64" s="5">
        <f t="shared" si="60"/>
        <v>155</v>
      </c>
    </row>
    <row r="65" spans="1:63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5">
        <f t="shared" si="60"/>
        <v>0</v>
      </c>
    </row>
    <row r="66" spans="1:63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5">
        <f t="shared" si="60"/>
        <v>0</v>
      </c>
    </row>
    <row r="67" spans="1:63" x14ac:dyDescent="0.4">
      <c r="A67" s="6" t="s">
        <v>26</v>
      </c>
      <c r="B67" s="85" t="s">
        <v>51</v>
      </c>
      <c r="C67" s="65"/>
      <c r="D67" s="66"/>
      <c r="E67" s="5">
        <f t="shared" ref="E67:BK67" si="61">SUM(E57:E66)</f>
        <v>13</v>
      </c>
      <c r="F67" s="5">
        <f t="shared" si="61"/>
        <v>10</v>
      </c>
      <c r="G67" s="5">
        <f t="shared" si="61"/>
        <v>2</v>
      </c>
      <c r="H67" s="5">
        <f t="shared" si="61"/>
        <v>6</v>
      </c>
      <c r="I67" s="5">
        <f t="shared" si="61"/>
        <v>14</v>
      </c>
      <c r="J67" s="5">
        <f t="shared" si="61"/>
        <v>20</v>
      </c>
      <c r="K67" s="5">
        <f t="shared" si="61"/>
        <v>30</v>
      </c>
      <c r="L67" s="5">
        <f t="shared" si="61"/>
        <v>4</v>
      </c>
      <c r="M67" s="5">
        <f t="shared" si="61"/>
        <v>18</v>
      </c>
      <c r="N67" s="5">
        <f t="shared" si="61"/>
        <v>0</v>
      </c>
      <c r="O67" s="5">
        <f t="shared" si="61"/>
        <v>35</v>
      </c>
      <c r="P67" s="5">
        <f t="shared" si="61"/>
        <v>28</v>
      </c>
      <c r="Q67" s="5">
        <f t="shared" si="61"/>
        <v>13</v>
      </c>
      <c r="R67" s="5">
        <f t="shared" si="61"/>
        <v>5</v>
      </c>
      <c r="S67" s="5">
        <f t="shared" ref="S67:AA67" si="62">SUM(S57:S66)</f>
        <v>17</v>
      </c>
      <c r="T67" s="5">
        <f t="shared" si="62"/>
        <v>6</v>
      </c>
      <c r="U67" s="5">
        <f t="shared" si="62"/>
        <v>47</v>
      </c>
      <c r="V67" s="5">
        <f t="shared" si="62"/>
        <v>46</v>
      </c>
      <c r="W67" s="5">
        <f t="shared" si="62"/>
        <v>37</v>
      </c>
      <c r="X67" s="5">
        <f t="shared" si="62"/>
        <v>94</v>
      </c>
      <c r="Y67" s="5">
        <f t="shared" si="62"/>
        <v>42</v>
      </c>
      <c r="Z67" s="5">
        <f t="shared" si="62"/>
        <v>25</v>
      </c>
      <c r="AA67" s="5">
        <f t="shared" si="62"/>
        <v>29</v>
      </c>
      <c r="AB67" s="5">
        <f t="shared" ref="AB67:AZ67" si="63">SUM(AB57:AB66)</f>
        <v>10</v>
      </c>
      <c r="AC67" s="5">
        <f t="shared" si="63"/>
        <v>26</v>
      </c>
      <c r="AD67" s="5">
        <f t="shared" si="63"/>
        <v>32</v>
      </c>
      <c r="AE67" s="5">
        <f t="shared" si="63"/>
        <v>47</v>
      </c>
      <c r="AF67" s="5">
        <f t="shared" si="63"/>
        <v>23</v>
      </c>
      <c r="AG67" s="5">
        <f t="shared" si="63"/>
        <v>26</v>
      </c>
      <c r="AH67" s="5">
        <f t="shared" si="63"/>
        <v>36</v>
      </c>
      <c r="AI67" s="5">
        <f t="shared" si="63"/>
        <v>16</v>
      </c>
      <c r="AJ67" s="5">
        <f t="shared" si="63"/>
        <v>21</v>
      </c>
      <c r="AK67" s="5">
        <f t="shared" si="63"/>
        <v>25</v>
      </c>
      <c r="AL67" s="5">
        <f t="shared" ref="AL67:AW67" si="64">SUM(AL57:AL66)</f>
        <v>57</v>
      </c>
      <c r="AM67" s="5">
        <f t="shared" si="64"/>
        <v>5</v>
      </c>
      <c r="AN67" s="5">
        <f t="shared" si="64"/>
        <v>5</v>
      </c>
      <c r="AO67" s="5">
        <f t="shared" si="64"/>
        <v>58</v>
      </c>
      <c r="AP67" s="5">
        <f t="shared" si="64"/>
        <v>13</v>
      </c>
      <c r="AQ67" s="5">
        <f t="shared" si="64"/>
        <v>29</v>
      </c>
      <c r="AR67" s="5">
        <f t="shared" si="64"/>
        <v>23</v>
      </c>
      <c r="AS67" s="5">
        <f t="shared" si="64"/>
        <v>48</v>
      </c>
      <c r="AT67" s="5">
        <f t="shared" si="64"/>
        <v>28</v>
      </c>
      <c r="AU67" s="5">
        <f t="shared" si="64"/>
        <v>21</v>
      </c>
      <c r="AV67" s="5">
        <f t="shared" si="64"/>
        <v>48</v>
      </c>
      <c r="AW67" s="5">
        <f t="shared" si="64"/>
        <v>45</v>
      </c>
      <c r="AX67" s="5">
        <f t="shared" si="63"/>
        <v>24</v>
      </c>
      <c r="AY67" s="5">
        <f t="shared" ref="AY67" si="65">SUM(AY57:AY66)</f>
        <v>16</v>
      </c>
      <c r="AZ67" s="5">
        <f t="shared" si="63"/>
        <v>22</v>
      </c>
      <c r="BA67" s="5">
        <f t="shared" si="61"/>
        <v>8</v>
      </c>
      <c r="BB67" s="5">
        <f t="shared" si="61"/>
        <v>14</v>
      </c>
      <c r="BC67" s="5">
        <f t="shared" si="61"/>
        <v>6</v>
      </c>
      <c r="BD67" s="5">
        <f t="shared" si="61"/>
        <v>11</v>
      </c>
      <c r="BE67" s="5">
        <f t="shared" si="61"/>
        <v>18</v>
      </c>
      <c r="BF67" s="5">
        <f t="shared" si="61"/>
        <v>9</v>
      </c>
      <c r="BG67" s="5">
        <f t="shared" si="61"/>
        <v>25</v>
      </c>
      <c r="BH67" s="5">
        <f t="shared" si="61"/>
        <v>20</v>
      </c>
      <c r="BI67" s="5">
        <f t="shared" si="61"/>
        <v>15</v>
      </c>
      <c r="BJ67" s="5">
        <f t="shared" si="61"/>
        <v>34</v>
      </c>
      <c r="BK67" s="5">
        <f t="shared" si="61"/>
        <v>1405</v>
      </c>
    </row>
    <row r="68" spans="1:63" x14ac:dyDescent="0.4">
      <c r="A68" s="90"/>
      <c r="B68" s="89"/>
      <c r="C68" s="89"/>
      <c r="D68" s="89"/>
      <c r="E68" s="89"/>
    </row>
    <row r="69" spans="1:63" x14ac:dyDescent="0.4">
      <c r="A69" s="11" t="s">
        <v>48</v>
      </c>
      <c r="B69" s="17" t="s">
        <v>32</v>
      </c>
      <c r="C69" s="92" t="s">
        <v>53</v>
      </c>
      <c r="D69" s="66"/>
      <c r="E69" s="6"/>
      <c r="F69" s="6">
        <v>1</v>
      </c>
      <c r="G69" s="6">
        <v>1</v>
      </c>
      <c r="H69" s="6"/>
      <c r="I69" s="6"/>
      <c r="J69" s="6"/>
      <c r="K69" s="6">
        <v>1</v>
      </c>
      <c r="L69" s="6">
        <v>1</v>
      </c>
      <c r="M69" s="6">
        <v>1</v>
      </c>
      <c r="N69" s="6"/>
      <c r="O69" s="6">
        <v>1</v>
      </c>
      <c r="P69" s="6">
        <v>1</v>
      </c>
      <c r="Q69" s="6">
        <v>1</v>
      </c>
      <c r="R69" s="6"/>
      <c r="S69" s="6">
        <v>1</v>
      </c>
      <c r="T69" s="6">
        <v>2</v>
      </c>
      <c r="U69" s="6">
        <v>1</v>
      </c>
      <c r="V69" s="6">
        <v>2</v>
      </c>
      <c r="W69" s="6">
        <v>3</v>
      </c>
      <c r="X69" s="6">
        <v>1</v>
      </c>
      <c r="Y69" s="6"/>
      <c r="Z69" s="6">
        <v>3</v>
      </c>
      <c r="AA69" s="6">
        <v>7</v>
      </c>
      <c r="AB69" s="6">
        <v>2</v>
      </c>
      <c r="AC69" s="6">
        <v>8</v>
      </c>
      <c r="AD69" s="6">
        <v>2</v>
      </c>
      <c r="AE69" s="6">
        <v>1</v>
      </c>
      <c r="AF69" s="6">
        <v>4</v>
      </c>
      <c r="AG69" s="6">
        <v>2</v>
      </c>
      <c r="AH69" s="6">
        <v>5</v>
      </c>
      <c r="AI69" s="6">
        <v>25</v>
      </c>
      <c r="AJ69" s="6">
        <v>5</v>
      </c>
      <c r="AK69" s="6">
        <v>3</v>
      </c>
      <c r="AL69" s="6">
        <v>2</v>
      </c>
      <c r="AM69" s="6"/>
      <c r="AN69" s="6">
        <v>1</v>
      </c>
      <c r="AO69" s="6">
        <v>4</v>
      </c>
      <c r="AP69" s="6"/>
      <c r="AQ69" s="6">
        <v>1</v>
      </c>
      <c r="AR69" s="6"/>
      <c r="AS69" s="6">
        <v>1</v>
      </c>
      <c r="AT69" s="6"/>
      <c r="AU69" s="6">
        <v>2</v>
      </c>
      <c r="AV69" s="6">
        <v>1</v>
      </c>
      <c r="AW69" s="6">
        <v>1</v>
      </c>
      <c r="AX69" s="6">
        <v>2</v>
      </c>
      <c r="AY69" s="6">
        <v>1</v>
      </c>
      <c r="AZ69" s="6">
        <v>2</v>
      </c>
      <c r="BA69" s="6">
        <v>2</v>
      </c>
      <c r="BB69" s="6">
        <v>3</v>
      </c>
      <c r="BC69" s="6">
        <v>6</v>
      </c>
      <c r="BD69" s="6">
        <v>6</v>
      </c>
      <c r="BE69" s="6">
        <v>7</v>
      </c>
      <c r="BF69" s="6">
        <v>2</v>
      </c>
      <c r="BG69" s="6"/>
      <c r="BH69" s="6">
        <v>3</v>
      </c>
      <c r="BI69" s="6">
        <v>6</v>
      </c>
      <c r="BJ69" s="6"/>
      <c r="BK69" s="5">
        <f t="shared" ref="BK69:BK78" si="66">SUM(E69:BJ69)</f>
        <v>138</v>
      </c>
    </row>
    <row r="70" spans="1:63" x14ac:dyDescent="0.4">
      <c r="A70" s="11" t="s">
        <v>50</v>
      </c>
      <c r="B70" s="50"/>
      <c r="C70" s="24" t="s">
        <v>161</v>
      </c>
      <c r="D70" s="51"/>
      <c r="E70" s="6"/>
      <c r="F70" s="6"/>
      <c r="G70" s="6"/>
      <c r="H70" s="6"/>
      <c r="I70" s="6"/>
      <c r="J70" s="6"/>
      <c r="K70" s="6">
        <v>1</v>
      </c>
      <c r="L70" s="6">
        <v>1</v>
      </c>
      <c r="M70" s="6"/>
      <c r="N70" s="6"/>
      <c r="O70" s="6">
        <v>1</v>
      </c>
      <c r="P70" s="6"/>
      <c r="Q70" s="6"/>
      <c r="R70" s="6"/>
      <c r="S70" s="6"/>
      <c r="T70" s="6"/>
      <c r="U70" s="6"/>
      <c r="V70" s="6">
        <v>1</v>
      </c>
      <c r="W70" s="6"/>
      <c r="X70" s="6"/>
      <c r="Y70" s="6"/>
      <c r="Z70" s="6"/>
      <c r="AA70" s="6">
        <v>1</v>
      </c>
      <c r="AB70" s="6"/>
      <c r="AC70" s="6">
        <v>4</v>
      </c>
      <c r="AD70" s="6">
        <v>1</v>
      </c>
      <c r="AE70" s="6"/>
      <c r="AF70" s="6">
        <v>1</v>
      </c>
      <c r="AG70" s="6">
        <v>8</v>
      </c>
      <c r="AH70" s="6">
        <v>3</v>
      </c>
      <c r="AI70" s="6">
        <v>6</v>
      </c>
      <c r="AJ70" s="6"/>
      <c r="AK70" s="6">
        <v>1</v>
      </c>
      <c r="AL70" s="6"/>
      <c r="AM70" s="6">
        <v>1</v>
      </c>
      <c r="AN70" s="6"/>
      <c r="AO70" s="6">
        <v>3</v>
      </c>
      <c r="AP70" s="6">
        <v>2</v>
      </c>
      <c r="AQ70" s="6">
        <v>2</v>
      </c>
      <c r="AR70" s="6">
        <v>2</v>
      </c>
      <c r="AS70" s="6"/>
      <c r="AT70" s="6">
        <v>2</v>
      </c>
      <c r="AU70" s="6">
        <v>1</v>
      </c>
      <c r="AV70" s="6">
        <v>2</v>
      </c>
      <c r="AW70" s="6">
        <v>2</v>
      </c>
      <c r="AX70" s="6">
        <v>4</v>
      </c>
      <c r="AY70" s="6">
        <v>2</v>
      </c>
      <c r="AZ70" s="6"/>
      <c r="BA70" s="6">
        <v>1</v>
      </c>
      <c r="BB70" s="6"/>
      <c r="BC70" s="6"/>
      <c r="BD70" s="6">
        <v>7</v>
      </c>
      <c r="BE70" s="6">
        <v>9</v>
      </c>
      <c r="BF70" s="6">
        <v>1</v>
      </c>
      <c r="BG70" s="6">
        <v>2</v>
      </c>
      <c r="BH70" s="6">
        <v>9</v>
      </c>
      <c r="BI70" s="6">
        <v>41</v>
      </c>
      <c r="BJ70" s="6">
        <v>7</v>
      </c>
      <c r="BK70" s="5">
        <f t="shared" si="66"/>
        <v>129</v>
      </c>
    </row>
    <row r="71" spans="1:63" x14ac:dyDescent="0.4">
      <c r="A71" s="7"/>
      <c r="B71" s="50"/>
      <c r="C71" s="24" t="s">
        <v>162</v>
      </c>
      <c r="D71" s="51"/>
      <c r="E71" s="6"/>
      <c r="F71" s="6"/>
      <c r="G71" s="6"/>
      <c r="H71" s="6"/>
      <c r="I71" s="6"/>
      <c r="J71" s="6">
        <v>1</v>
      </c>
      <c r="K71" s="6"/>
      <c r="L71" s="6"/>
      <c r="M71" s="6"/>
      <c r="N71" s="6"/>
      <c r="O71" s="6"/>
      <c r="P71" s="6">
        <v>2</v>
      </c>
      <c r="Q71" s="6"/>
      <c r="R71" s="6"/>
      <c r="S71" s="6"/>
      <c r="T71" s="6"/>
      <c r="U71" s="6"/>
      <c r="V71" s="6"/>
      <c r="W71" s="6"/>
      <c r="X71" s="6"/>
      <c r="Y71" s="6">
        <v>1</v>
      </c>
      <c r="Z71" s="6"/>
      <c r="AA71" s="6">
        <v>3</v>
      </c>
      <c r="AB71" s="6">
        <v>1</v>
      </c>
      <c r="AC71" s="6"/>
      <c r="AD71" s="6"/>
      <c r="AE71" s="6"/>
      <c r="AF71" s="6"/>
      <c r="AG71" s="6"/>
      <c r="AH71" s="6">
        <v>2</v>
      </c>
      <c r="AI71" s="6">
        <v>2</v>
      </c>
      <c r="AJ71" s="6">
        <v>1</v>
      </c>
      <c r="AK71" s="6"/>
      <c r="AL71" s="6"/>
      <c r="AM71" s="6"/>
      <c r="AN71" s="6"/>
      <c r="AO71" s="6"/>
      <c r="AP71" s="6"/>
      <c r="AQ71" s="6"/>
      <c r="AR71" s="6"/>
      <c r="AS71" s="6"/>
      <c r="AT71" s="6">
        <v>1</v>
      </c>
      <c r="AU71" s="6"/>
      <c r="AV71" s="6"/>
      <c r="AW71" s="6"/>
      <c r="AX71" s="6">
        <v>1</v>
      </c>
      <c r="AY71" s="6">
        <v>2</v>
      </c>
      <c r="AZ71" s="6"/>
      <c r="BA71" s="6"/>
      <c r="BB71" s="6">
        <v>1</v>
      </c>
      <c r="BC71" s="6">
        <v>2</v>
      </c>
      <c r="BD71" s="6">
        <v>4</v>
      </c>
      <c r="BE71" s="6">
        <v>6</v>
      </c>
      <c r="BF71" s="6">
        <v>3</v>
      </c>
      <c r="BG71" s="6">
        <v>2</v>
      </c>
      <c r="BH71" s="6">
        <v>2</v>
      </c>
      <c r="BI71" s="6"/>
      <c r="BJ71" s="6"/>
      <c r="BK71" s="5">
        <f t="shared" si="66"/>
        <v>37</v>
      </c>
    </row>
    <row r="72" spans="1:63" x14ac:dyDescent="0.4">
      <c r="A72" s="7"/>
      <c r="B72" s="50"/>
      <c r="C72" s="24" t="s">
        <v>163</v>
      </c>
      <c r="D72" s="5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</v>
      </c>
      <c r="AD72" s="6"/>
      <c r="AE72" s="6"/>
      <c r="AF72" s="6">
        <v>7</v>
      </c>
      <c r="AG72" s="6">
        <v>1</v>
      </c>
      <c r="AH72" s="6">
        <v>1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1</v>
      </c>
      <c r="AS72" s="6"/>
      <c r="AT72" s="6"/>
      <c r="AU72" s="6"/>
      <c r="AV72" s="6">
        <v>2</v>
      </c>
      <c r="AW72" s="6"/>
      <c r="AX72" s="6">
        <v>1</v>
      </c>
      <c r="AY72" s="6"/>
      <c r="AZ72" s="6"/>
      <c r="BA72" s="6"/>
      <c r="BB72" s="6">
        <v>1</v>
      </c>
      <c r="BC72" s="6">
        <v>1</v>
      </c>
      <c r="BD72" s="6"/>
      <c r="BE72" s="6">
        <v>1</v>
      </c>
      <c r="BF72" s="6">
        <v>1</v>
      </c>
      <c r="BG72" s="6"/>
      <c r="BH72" s="6"/>
      <c r="BI72" s="6">
        <v>1</v>
      </c>
      <c r="BJ72" s="6"/>
      <c r="BK72" s="5">
        <f t="shared" si="66"/>
        <v>19</v>
      </c>
    </row>
    <row r="73" spans="1:63" x14ac:dyDescent="0.4">
      <c r="A73" s="7"/>
      <c r="B73" s="50"/>
      <c r="C73" s="24" t="s">
        <v>164</v>
      </c>
      <c r="D73" s="51"/>
      <c r="E73" s="6"/>
      <c r="F73" s="6"/>
      <c r="G73" s="6">
        <v>1</v>
      </c>
      <c r="H73" s="6">
        <v>1</v>
      </c>
      <c r="I73" s="6">
        <v>2</v>
      </c>
      <c r="J73" s="6">
        <v>1</v>
      </c>
      <c r="K73" s="6">
        <v>1</v>
      </c>
      <c r="L73" s="6">
        <v>1</v>
      </c>
      <c r="M73" s="6">
        <v>1</v>
      </c>
      <c r="N73" s="6"/>
      <c r="O73" s="6">
        <v>1</v>
      </c>
      <c r="P73" s="6">
        <v>9</v>
      </c>
      <c r="Q73" s="6">
        <v>2</v>
      </c>
      <c r="R73" s="6"/>
      <c r="S73" s="6">
        <v>2</v>
      </c>
      <c r="T73" s="6"/>
      <c r="U73" s="6">
        <v>2</v>
      </c>
      <c r="V73" s="6">
        <v>1</v>
      </c>
      <c r="W73" s="6">
        <v>3</v>
      </c>
      <c r="X73" s="6">
        <v>1</v>
      </c>
      <c r="Y73" s="6">
        <v>4</v>
      </c>
      <c r="Z73" s="6"/>
      <c r="AA73" s="6">
        <v>14</v>
      </c>
      <c r="AB73" s="6">
        <v>11</v>
      </c>
      <c r="AC73" s="6">
        <v>11</v>
      </c>
      <c r="AD73" s="6">
        <v>2</v>
      </c>
      <c r="AE73" s="6"/>
      <c r="AF73" s="6">
        <v>5</v>
      </c>
      <c r="AG73" s="6">
        <v>4</v>
      </c>
      <c r="AH73" s="6">
        <v>2</v>
      </c>
      <c r="AI73" s="6">
        <v>6</v>
      </c>
      <c r="AJ73" s="6">
        <v>2</v>
      </c>
      <c r="AK73" s="6">
        <v>3</v>
      </c>
      <c r="AL73" s="6">
        <v>1</v>
      </c>
      <c r="AM73" s="6">
        <v>1</v>
      </c>
      <c r="AN73" s="6"/>
      <c r="AO73" s="6">
        <v>5</v>
      </c>
      <c r="AP73" s="6"/>
      <c r="AQ73" s="6"/>
      <c r="AR73" s="6">
        <v>2</v>
      </c>
      <c r="AS73" s="6">
        <v>1</v>
      </c>
      <c r="AT73" s="6">
        <v>4</v>
      </c>
      <c r="AU73" s="6">
        <v>3</v>
      </c>
      <c r="AV73" s="6"/>
      <c r="AW73" s="6">
        <v>2</v>
      </c>
      <c r="AX73" s="6">
        <v>10</v>
      </c>
      <c r="AY73" s="6">
        <v>3</v>
      </c>
      <c r="AZ73" s="6">
        <v>2</v>
      </c>
      <c r="BA73" s="6">
        <v>3</v>
      </c>
      <c r="BB73" s="6">
        <v>2</v>
      </c>
      <c r="BC73" s="6">
        <v>1</v>
      </c>
      <c r="BD73" s="6">
        <v>14</v>
      </c>
      <c r="BE73" s="6">
        <v>1</v>
      </c>
      <c r="BF73" s="6">
        <v>4</v>
      </c>
      <c r="BG73" s="6">
        <v>1</v>
      </c>
      <c r="BH73" s="6">
        <v>13</v>
      </c>
      <c r="BI73" s="6">
        <v>1</v>
      </c>
      <c r="BJ73" s="6"/>
      <c r="BK73" s="5">
        <f t="shared" si="66"/>
        <v>167</v>
      </c>
    </row>
    <row r="74" spans="1:63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</v>
      </c>
      <c r="Z74" s="6"/>
      <c r="AA74" s="6"/>
      <c r="AB74" s="6"/>
      <c r="AC74" s="6">
        <v>1</v>
      </c>
      <c r="AD74" s="6"/>
      <c r="AE74" s="6">
        <v>1</v>
      </c>
      <c r="AF74" s="6">
        <v>2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1</v>
      </c>
      <c r="AW74" s="6"/>
      <c r="AX74" s="6"/>
      <c r="AY74" s="6">
        <v>1</v>
      </c>
      <c r="AZ74" s="6"/>
      <c r="BA74" s="6"/>
      <c r="BB74" s="6">
        <v>1</v>
      </c>
      <c r="BC74" s="6"/>
      <c r="BD74" s="6"/>
      <c r="BE74" s="6"/>
      <c r="BF74" s="6"/>
      <c r="BG74" s="6"/>
      <c r="BH74" s="6">
        <v>2</v>
      </c>
      <c r="BI74" s="6"/>
      <c r="BJ74" s="6"/>
      <c r="BK74" s="5">
        <f t="shared" si="66"/>
        <v>10</v>
      </c>
    </row>
    <row r="75" spans="1:63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1</v>
      </c>
      <c r="AC75" s="6"/>
      <c r="AD75" s="6"/>
      <c r="AE75" s="6"/>
      <c r="AF75" s="6"/>
      <c r="AG75" s="6"/>
      <c r="AH75" s="6">
        <v>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1</v>
      </c>
      <c r="BE75" s="6"/>
      <c r="BF75" s="6"/>
      <c r="BG75" s="6"/>
      <c r="BH75" s="6"/>
      <c r="BI75" s="6"/>
      <c r="BJ75" s="6"/>
      <c r="BK75" s="5">
        <f t="shared" si="66"/>
        <v>3</v>
      </c>
    </row>
    <row r="76" spans="1:63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>
        <v>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1</v>
      </c>
      <c r="AB76" s="6"/>
      <c r="AC76" s="6"/>
      <c r="AD76" s="6"/>
      <c r="AE76" s="6"/>
      <c r="AF76" s="6">
        <v>1</v>
      </c>
      <c r="AG76" s="6"/>
      <c r="AH76" s="6"/>
      <c r="AI76" s="6">
        <v>1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2</v>
      </c>
      <c r="AY76" s="6">
        <v>1</v>
      </c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5">
        <f t="shared" si="66"/>
        <v>7</v>
      </c>
    </row>
    <row r="77" spans="1:63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5">
        <f t="shared" si="66"/>
        <v>0</v>
      </c>
    </row>
    <row r="78" spans="1:63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5">
        <f t="shared" si="66"/>
        <v>0</v>
      </c>
    </row>
    <row r="79" spans="1:63" x14ac:dyDescent="0.4">
      <c r="A79" s="6" t="s">
        <v>26</v>
      </c>
      <c r="B79" s="85" t="s">
        <v>51</v>
      </c>
      <c r="C79" s="65"/>
      <c r="D79" s="66"/>
      <c r="E79" s="5">
        <f t="shared" ref="E79:BK79" si="67">SUM(E69:E78)</f>
        <v>0</v>
      </c>
      <c r="F79" s="5">
        <f t="shared" si="67"/>
        <v>1</v>
      </c>
      <c r="G79" s="5">
        <f t="shared" si="67"/>
        <v>2</v>
      </c>
      <c r="H79" s="5">
        <f t="shared" si="67"/>
        <v>1</v>
      </c>
      <c r="I79" s="5">
        <f t="shared" si="67"/>
        <v>2</v>
      </c>
      <c r="J79" s="5">
        <f t="shared" si="67"/>
        <v>2</v>
      </c>
      <c r="K79" s="5">
        <f t="shared" si="67"/>
        <v>4</v>
      </c>
      <c r="L79" s="5">
        <f t="shared" si="67"/>
        <v>3</v>
      </c>
      <c r="M79" s="5">
        <f t="shared" si="67"/>
        <v>2</v>
      </c>
      <c r="N79" s="5">
        <f t="shared" si="67"/>
        <v>0</v>
      </c>
      <c r="O79" s="5">
        <f t="shared" si="67"/>
        <v>3</v>
      </c>
      <c r="P79" s="5">
        <f t="shared" si="67"/>
        <v>12</v>
      </c>
      <c r="Q79" s="5">
        <f t="shared" si="67"/>
        <v>3</v>
      </c>
      <c r="R79" s="5">
        <f t="shared" si="67"/>
        <v>0</v>
      </c>
      <c r="S79" s="5">
        <f t="shared" ref="S79:AA79" si="68">SUM(S69:S78)</f>
        <v>3</v>
      </c>
      <c r="T79" s="5">
        <f t="shared" si="68"/>
        <v>2</v>
      </c>
      <c r="U79" s="5">
        <f t="shared" si="68"/>
        <v>3</v>
      </c>
      <c r="V79" s="5">
        <f t="shared" si="68"/>
        <v>4</v>
      </c>
      <c r="W79" s="5">
        <f t="shared" si="68"/>
        <v>6</v>
      </c>
      <c r="X79" s="5">
        <f t="shared" si="68"/>
        <v>2</v>
      </c>
      <c r="Y79" s="5">
        <f t="shared" si="68"/>
        <v>6</v>
      </c>
      <c r="Z79" s="5">
        <f t="shared" si="68"/>
        <v>3</v>
      </c>
      <c r="AA79" s="5">
        <f t="shared" si="68"/>
        <v>26</v>
      </c>
      <c r="AB79" s="5">
        <f t="shared" ref="AB79:AZ79" si="69">SUM(AB69:AB78)</f>
        <v>15</v>
      </c>
      <c r="AC79" s="5">
        <f t="shared" si="69"/>
        <v>25</v>
      </c>
      <c r="AD79" s="5">
        <f t="shared" si="69"/>
        <v>5</v>
      </c>
      <c r="AE79" s="5">
        <f t="shared" si="69"/>
        <v>2</v>
      </c>
      <c r="AF79" s="5">
        <f t="shared" si="69"/>
        <v>20</v>
      </c>
      <c r="AG79" s="5">
        <f t="shared" si="69"/>
        <v>15</v>
      </c>
      <c r="AH79" s="5">
        <f t="shared" si="69"/>
        <v>14</v>
      </c>
      <c r="AI79" s="5">
        <f t="shared" si="69"/>
        <v>40</v>
      </c>
      <c r="AJ79" s="5">
        <f t="shared" si="69"/>
        <v>8</v>
      </c>
      <c r="AK79" s="5">
        <f t="shared" si="69"/>
        <v>7</v>
      </c>
      <c r="AL79" s="5">
        <f t="shared" ref="AL79:AW79" si="70">SUM(AL69:AL78)</f>
        <v>3</v>
      </c>
      <c r="AM79" s="5">
        <f t="shared" si="70"/>
        <v>2</v>
      </c>
      <c r="AN79" s="5">
        <f t="shared" si="70"/>
        <v>1</v>
      </c>
      <c r="AO79" s="5">
        <f t="shared" si="70"/>
        <v>12</v>
      </c>
      <c r="AP79" s="5">
        <f t="shared" si="70"/>
        <v>2</v>
      </c>
      <c r="AQ79" s="5">
        <f t="shared" si="70"/>
        <v>3</v>
      </c>
      <c r="AR79" s="5">
        <f t="shared" si="70"/>
        <v>5</v>
      </c>
      <c r="AS79" s="5">
        <f t="shared" si="70"/>
        <v>2</v>
      </c>
      <c r="AT79" s="5">
        <f t="shared" si="70"/>
        <v>7</v>
      </c>
      <c r="AU79" s="5">
        <f t="shared" si="70"/>
        <v>6</v>
      </c>
      <c r="AV79" s="5">
        <f t="shared" si="70"/>
        <v>6</v>
      </c>
      <c r="AW79" s="5">
        <f t="shared" si="70"/>
        <v>5</v>
      </c>
      <c r="AX79" s="5">
        <f t="shared" si="69"/>
        <v>20</v>
      </c>
      <c r="AY79" s="5">
        <f t="shared" ref="AY79" si="71">SUM(AY69:AY78)</f>
        <v>10</v>
      </c>
      <c r="AZ79" s="5">
        <f t="shared" si="69"/>
        <v>4</v>
      </c>
      <c r="BA79" s="5">
        <f t="shared" si="67"/>
        <v>6</v>
      </c>
      <c r="BB79" s="5">
        <f t="shared" si="67"/>
        <v>8</v>
      </c>
      <c r="BC79" s="5">
        <f t="shared" si="67"/>
        <v>10</v>
      </c>
      <c r="BD79" s="5">
        <f t="shared" si="67"/>
        <v>32</v>
      </c>
      <c r="BE79" s="5">
        <f t="shared" si="67"/>
        <v>24</v>
      </c>
      <c r="BF79" s="5">
        <f t="shared" si="67"/>
        <v>11</v>
      </c>
      <c r="BG79" s="5">
        <f t="shared" si="67"/>
        <v>5</v>
      </c>
      <c r="BH79" s="5">
        <f t="shared" si="67"/>
        <v>29</v>
      </c>
      <c r="BI79" s="5">
        <f t="shared" si="67"/>
        <v>49</v>
      </c>
      <c r="BJ79" s="5">
        <f t="shared" si="67"/>
        <v>7</v>
      </c>
      <c r="BK79" s="5">
        <f t="shared" si="67"/>
        <v>510</v>
      </c>
    </row>
    <row r="80" spans="1:63" x14ac:dyDescent="0.4">
      <c r="A80" s="90"/>
      <c r="B80" s="89"/>
      <c r="C80" s="89"/>
      <c r="D80" s="89"/>
      <c r="E80" s="89"/>
    </row>
    <row r="81" spans="1:63" x14ac:dyDescent="0.4">
      <c r="A81" s="11" t="s">
        <v>48</v>
      </c>
      <c r="B81" s="17" t="s">
        <v>34</v>
      </c>
      <c r="C81" s="92" t="s">
        <v>54</v>
      </c>
      <c r="D81" s="66"/>
      <c r="E81" s="6">
        <v>2</v>
      </c>
      <c r="F81" s="6">
        <v>1</v>
      </c>
      <c r="G81" s="6"/>
      <c r="H81" s="6">
        <v>1</v>
      </c>
      <c r="I81" s="6">
        <v>3</v>
      </c>
      <c r="J81" s="6">
        <v>2</v>
      </c>
      <c r="K81" s="6">
        <v>3</v>
      </c>
      <c r="L81" s="6"/>
      <c r="M81" s="6">
        <v>3</v>
      </c>
      <c r="N81" s="6"/>
      <c r="O81" s="6">
        <v>3</v>
      </c>
      <c r="P81" s="6">
        <v>3</v>
      </c>
      <c r="Q81" s="6"/>
      <c r="R81" s="6">
        <v>2</v>
      </c>
      <c r="S81" s="6">
        <v>26</v>
      </c>
      <c r="T81" s="6">
        <v>8</v>
      </c>
      <c r="U81" s="6">
        <v>4</v>
      </c>
      <c r="V81" s="6">
        <v>8</v>
      </c>
      <c r="W81" s="6">
        <v>1</v>
      </c>
      <c r="X81" s="6">
        <v>2</v>
      </c>
      <c r="Y81" s="6">
        <v>6</v>
      </c>
      <c r="Z81" s="6">
        <v>4</v>
      </c>
      <c r="AA81" s="6">
        <v>11</v>
      </c>
      <c r="AB81" s="6">
        <v>14</v>
      </c>
      <c r="AC81" s="6"/>
      <c r="AD81" s="6">
        <v>3</v>
      </c>
      <c r="AE81" s="6">
        <v>9</v>
      </c>
      <c r="AF81" s="6">
        <v>3</v>
      </c>
      <c r="AG81" s="6">
        <v>4</v>
      </c>
      <c r="AH81" s="6">
        <v>6</v>
      </c>
      <c r="AI81" s="6">
        <v>3</v>
      </c>
      <c r="AJ81" s="6">
        <v>1</v>
      </c>
      <c r="AK81" s="6">
        <v>2</v>
      </c>
      <c r="AL81" s="6">
        <v>4</v>
      </c>
      <c r="AM81" s="6">
        <v>6</v>
      </c>
      <c r="AN81" s="6">
        <v>9</v>
      </c>
      <c r="AO81" s="6"/>
      <c r="AP81" s="6">
        <v>1</v>
      </c>
      <c r="AQ81" s="6"/>
      <c r="AR81" s="6">
        <v>1</v>
      </c>
      <c r="AS81" s="6">
        <v>2</v>
      </c>
      <c r="AT81" s="6">
        <v>6</v>
      </c>
      <c r="AU81" s="6">
        <v>2</v>
      </c>
      <c r="AV81" s="6">
        <v>1</v>
      </c>
      <c r="AW81" s="6">
        <v>3</v>
      </c>
      <c r="AX81" s="6">
        <v>3</v>
      </c>
      <c r="AY81" s="6">
        <v>7</v>
      </c>
      <c r="AZ81" s="6">
        <v>4</v>
      </c>
      <c r="BA81" s="6">
        <v>5</v>
      </c>
      <c r="BB81" s="6">
        <v>9</v>
      </c>
      <c r="BC81" s="6">
        <v>3</v>
      </c>
      <c r="BD81" s="6">
        <v>5</v>
      </c>
      <c r="BE81" s="6">
        <v>5</v>
      </c>
      <c r="BF81" s="6">
        <v>9</v>
      </c>
      <c r="BG81" s="6"/>
      <c r="BH81" s="6">
        <v>1</v>
      </c>
      <c r="BI81" s="6">
        <v>3</v>
      </c>
      <c r="BJ81" s="6">
        <v>1</v>
      </c>
      <c r="BK81" s="5">
        <f t="shared" ref="BK81:BK90" si="72">SUM(E81:BJ81)</f>
        <v>228</v>
      </c>
    </row>
    <row r="82" spans="1:63" x14ac:dyDescent="0.4">
      <c r="A82" s="11" t="s">
        <v>50</v>
      </c>
      <c r="B82" s="50"/>
      <c r="C82" s="24" t="s">
        <v>168</v>
      </c>
      <c r="D82" s="51"/>
      <c r="E82" s="6">
        <v>3</v>
      </c>
      <c r="F82" s="6">
        <v>4</v>
      </c>
      <c r="G82" s="6">
        <v>1</v>
      </c>
      <c r="H82" s="6">
        <v>4</v>
      </c>
      <c r="I82" s="6">
        <v>11</v>
      </c>
      <c r="J82" s="6">
        <v>7</v>
      </c>
      <c r="K82" s="6">
        <v>1</v>
      </c>
      <c r="L82" s="6"/>
      <c r="M82" s="6">
        <v>3</v>
      </c>
      <c r="N82" s="6">
        <v>4</v>
      </c>
      <c r="O82" s="6">
        <v>11</v>
      </c>
      <c r="P82" s="6">
        <v>9</v>
      </c>
      <c r="Q82" s="6">
        <v>2</v>
      </c>
      <c r="R82" s="6">
        <v>5</v>
      </c>
      <c r="S82" s="6">
        <v>45</v>
      </c>
      <c r="T82" s="6">
        <v>38</v>
      </c>
      <c r="U82" s="6">
        <v>3</v>
      </c>
      <c r="V82" s="6">
        <v>9</v>
      </c>
      <c r="W82" s="6">
        <v>3</v>
      </c>
      <c r="X82" s="6">
        <v>5</v>
      </c>
      <c r="Y82" s="6">
        <v>17</v>
      </c>
      <c r="Z82" s="6">
        <v>4</v>
      </c>
      <c r="AA82" s="6">
        <v>71</v>
      </c>
      <c r="AB82" s="6">
        <v>28</v>
      </c>
      <c r="AC82" s="6">
        <v>6</v>
      </c>
      <c r="AD82" s="6">
        <v>11</v>
      </c>
      <c r="AE82" s="6">
        <v>12</v>
      </c>
      <c r="AF82" s="6">
        <v>7</v>
      </c>
      <c r="AG82" s="6">
        <v>3</v>
      </c>
      <c r="AH82" s="6">
        <v>3</v>
      </c>
      <c r="AI82" s="6">
        <v>6</v>
      </c>
      <c r="AJ82" s="6">
        <v>3</v>
      </c>
      <c r="AK82" s="6">
        <v>2</v>
      </c>
      <c r="AL82" s="6">
        <v>56</v>
      </c>
      <c r="AM82" s="6">
        <v>23</v>
      </c>
      <c r="AN82" s="6">
        <v>19</v>
      </c>
      <c r="AO82" s="6">
        <v>8</v>
      </c>
      <c r="AP82" s="6">
        <v>9</v>
      </c>
      <c r="AQ82" s="6">
        <v>1</v>
      </c>
      <c r="AR82" s="6">
        <v>4</v>
      </c>
      <c r="AS82" s="6">
        <v>2</v>
      </c>
      <c r="AT82" s="6">
        <v>14</v>
      </c>
      <c r="AU82" s="6">
        <v>19</v>
      </c>
      <c r="AV82" s="6">
        <v>9</v>
      </c>
      <c r="AW82" s="6">
        <v>19</v>
      </c>
      <c r="AX82" s="6">
        <v>25</v>
      </c>
      <c r="AY82" s="6">
        <v>54</v>
      </c>
      <c r="AZ82" s="6">
        <v>10</v>
      </c>
      <c r="BA82" s="6">
        <v>27</v>
      </c>
      <c r="BB82" s="6">
        <v>2</v>
      </c>
      <c r="BC82" s="6">
        <v>11</v>
      </c>
      <c r="BD82" s="6">
        <v>12</v>
      </c>
      <c r="BE82" s="6">
        <v>8</v>
      </c>
      <c r="BF82" s="6">
        <v>35</v>
      </c>
      <c r="BG82" s="6">
        <v>6</v>
      </c>
      <c r="BH82" s="6">
        <v>9</v>
      </c>
      <c r="BI82" s="6">
        <v>20</v>
      </c>
      <c r="BJ82" s="6">
        <v>14</v>
      </c>
      <c r="BK82" s="5">
        <f t="shared" si="72"/>
        <v>757</v>
      </c>
    </row>
    <row r="83" spans="1:63" x14ac:dyDescent="0.4">
      <c r="A83" s="7"/>
      <c r="B83" s="50"/>
      <c r="C83" s="24" t="s">
        <v>169</v>
      </c>
      <c r="D83" s="51"/>
      <c r="E83" s="6"/>
      <c r="F83" s="6"/>
      <c r="G83" s="6"/>
      <c r="H83" s="6"/>
      <c r="I83" s="6"/>
      <c r="J83" s="6">
        <v>1</v>
      </c>
      <c r="K83" s="6">
        <v>1</v>
      </c>
      <c r="L83" s="6"/>
      <c r="M83" s="6"/>
      <c r="N83" s="6"/>
      <c r="O83" s="6"/>
      <c r="P83" s="6">
        <v>1</v>
      </c>
      <c r="Q83" s="6"/>
      <c r="R83" s="6"/>
      <c r="S83" s="6"/>
      <c r="T83" s="6"/>
      <c r="U83" s="6"/>
      <c r="V83" s="6"/>
      <c r="W83" s="6"/>
      <c r="X83" s="6"/>
      <c r="Y83" s="6">
        <v>1</v>
      </c>
      <c r="Z83" s="6"/>
      <c r="AA83" s="6">
        <v>1</v>
      </c>
      <c r="AB83" s="6"/>
      <c r="AC83" s="6"/>
      <c r="AD83" s="6"/>
      <c r="AE83" s="6">
        <v>1</v>
      </c>
      <c r="AF83" s="6">
        <v>1</v>
      </c>
      <c r="AG83" s="6"/>
      <c r="AH83" s="6"/>
      <c r="AI83" s="6"/>
      <c r="AJ83" s="6">
        <v>1</v>
      </c>
      <c r="AK83" s="6"/>
      <c r="AL83" s="6">
        <v>1</v>
      </c>
      <c r="AM83" s="6">
        <v>1</v>
      </c>
      <c r="AN83" s="6"/>
      <c r="AO83" s="6">
        <v>1</v>
      </c>
      <c r="AP83" s="6"/>
      <c r="AQ83" s="6"/>
      <c r="AR83" s="6">
        <v>1</v>
      </c>
      <c r="AS83" s="6"/>
      <c r="AT83" s="6"/>
      <c r="AU83" s="6"/>
      <c r="AV83" s="6"/>
      <c r="AW83" s="6">
        <v>1</v>
      </c>
      <c r="AX83" s="6">
        <v>2</v>
      </c>
      <c r="AY83" s="6">
        <v>1</v>
      </c>
      <c r="AZ83" s="6"/>
      <c r="BA83" s="6"/>
      <c r="BB83" s="6"/>
      <c r="BC83" s="6"/>
      <c r="BD83" s="6"/>
      <c r="BE83" s="6"/>
      <c r="BF83" s="6"/>
      <c r="BG83" s="6">
        <v>1</v>
      </c>
      <c r="BH83" s="6">
        <v>1</v>
      </c>
      <c r="BI83" s="6"/>
      <c r="BJ83" s="6"/>
      <c r="BK83" s="5">
        <f t="shared" si="72"/>
        <v>18</v>
      </c>
    </row>
    <row r="84" spans="1:63" x14ac:dyDescent="0.4">
      <c r="A84" s="7"/>
      <c r="B84" s="50"/>
      <c r="C84" s="24" t="s">
        <v>170</v>
      </c>
      <c r="D84" s="51"/>
      <c r="E84" s="6">
        <v>8</v>
      </c>
      <c r="F84" s="6"/>
      <c r="G84" s="6"/>
      <c r="H84" s="6">
        <v>1</v>
      </c>
      <c r="I84" s="6">
        <v>3</v>
      </c>
      <c r="J84" s="6">
        <v>1</v>
      </c>
      <c r="K84" s="6"/>
      <c r="L84" s="6"/>
      <c r="M84" s="6">
        <v>1</v>
      </c>
      <c r="N84" s="6"/>
      <c r="O84" s="6">
        <v>1</v>
      </c>
      <c r="P84" s="6"/>
      <c r="Q84" s="6"/>
      <c r="R84" s="6"/>
      <c r="S84" s="6"/>
      <c r="T84" s="6"/>
      <c r="U84" s="6"/>
      <c r="V84" s="6">
        <v>1</v>
      </c>
      <c r="W84" s="6"/>
      <c r="X84" s="6"/>
      <c r="Y84" s="6">
        <v>1</v>
      </c>
      <c r="Z84" s="6"/>
      <c r="AA84" s="6">
        <v>2</v>
      </c>
      <c r="AB84" s="6"/>
      <c r="AC84" s="6">
        <v>2</v>
      </c>
      <c r="AD84" s="6">
        <v>3</v>
      </c>
      <c r="AE84" s="6">
        <v>1</v>
      </c>
      <c r="AF84" s="6"/>
      <c r="AG84" s="6">
        <v>1</v>
      </c>
      <c r="AH84" s="6">
        <v>3</v>
      </c>
      <c r="AI84" s="6"/>
      <c r="AJ84" s="6"/>
      <c r="AK84" s="6">
        <v>1</v>
      </c>
      <c r="AL84" s="6"/>
      <c r="AM84" s="6"/>
      <c r="AN84" s="6"/>
      <c r="AO84" s="6"/>
      <c r="AP84" s="6"/>
      <c r="AQ84" s="6"/>
      <c r="AR84" s="6"/>
      <c r="AS84" s="6"/>
      <c r="AT84" s="6">
        <v>5</v>
      </c>
      <c r="AU84" s="6">
        <v>3</v>
      </c>
      <c r="AV84" s="6">
        <v>2</v>
      </c>
      <c r="AW84" s="6"/>
      <c r="AX84" s="6">
        <v>5</v>
      </c>
      <c r="AY84" s="6">
        <v>2</v>
      </c>
      <c r="AZ84" s="6">
        <v>1</v>
      </c>
      <c r="BA84" s="6">
        <v>4</v>
      </c>
      <c r="BB84" s="6">
        <v>46</v>
      </c>
      <c r="BC84" s="6">
        <v>8</v>
      </c>
      <c r="BD84" s="6">
        <v>12</v>
      </c>
      <c r="BE84" s="6">
        <v>18</v>
      </c>
      <c r="BF84" s="6">
        <v>3</v>
      </c>
      <c r="BG84" s="6"/>
      <c r="BH84" s="6">
        <v>2</v>
      </c>
      <c r="BI84" s="6"/>
      <c r="BJ84" s="6"/>
      <c r="BK84" s="5">
        <f t="shared" si="72"/>
        <v>141</v>
      </c>
    </row>
    <row r="85" spans="1:63" ht="13.15" customHeight="1" x14ac:dyDescent="0.4">
      <c r="A85" s="7"/>
      <c r="B85" s="50"/>
      <c r="C85" s="24" t="s">
        <v>171</v>
      </c>
      <c r="D85" s="51"/>
      <c r="E85" s="6"/>
      <c r="F85" s="6"/>
      <c r="G85" s="6"/>
      <c r="H85" s="6"/>
      <c r="I85" s="6">
        <v>1</v>
      </c>
      <c r="J85" s="6"/>
      <c r="K85" s="6"/>
      <c r="L85" s="6"/>
      <c r="M85" s="6"/>
      <c r="N85" s="6"/>
      <c r="O85" s="6">
        <v>1</v>
      </c>
      <c r="P85" s="6"/>
      <c r="Q85" s="6"/>
      <c r="R85" s="6"/>
      <c r="S85" s="6"/>
      <c r="T85" s="6"/>
      <c r="U85" s="6">
        <v>1</v>
      </c>
      <c r="V85" s="6"/>
      <c r="W85" s="6">
        <v>1</v>
      </c>
      <c r="X85" s="6"/>
      <c r="Y85" s="6"/>
      <c r="Z85" s="6"/>
      <c r="AA85" s="6">
        <v>1</v>
      </c>
      <c r="AB85" s="6">
        <v>1</v>
      </c>
      <c r="AC85" s="6"/>
      <c r="AD85" s="6"/>
      <c r="AE85" s="6"/>
      <c r="AF85" s="6">
        <v>1</v>
      </c>
      <c r="AG85" s="6"/>
      <c r="AH85" s="6"/>
      <c r="AI85" s="6"/>
      <c r="AJ85" s="6"/>
      <c r="AK85" s="6"/>
      <c r="AL85" s="6"/>
      <c r="AM85" s="6">
        <v>1</v>
      </c>
      <c r="AN85" s="6"/>
      <c r="AO85" s="6"/>
      <c r="AP85" s="6"/>
      <c r="AQ85" s="6"/>
      <c r="AR85" s="6"/>
      <c r="AS85" s="6"/>
      <c r="AT85" s="6"/>
      <c r="AU85" s="6"/>
      <c r="AV85" s="6">
        <v>1</v>
      </c>
      <c r="AW85" s="6">
        <v>2</v>
      </c>
      <c r="AX85" s="6"/>
      <c r="AY85" s="6"/>
      <c r="AZ85" s="6"/>
      <c r="BA85" s="6"/>
      <c r="BB85" s="6"/>
      <c r="BC85" s="6">
        <v>1</v>
      </c>
      <c r="BD85" s="6"/>
      <c r="BE85" s="6">
        <v>1</v>
      </c>
      <c r="BF85" s="6"/>
      <c r="BG85" s="6"/>
      <c r="BH85" s="6"/>
      <c r="BI85" s="6"/>
      <c r="BJ85" s="6"/>
      <c r="BK85" s="5">
        <f t="shared" si="72"/>
        <v>13</v>
      </c>
    </row>
    <row r="86" spans="1:63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>
        <v>1</v>
      </c>
      <c r="BF86" s="6"/>
      <c r="BG86" s="6"/>
      <c r="BH86" s="6"/>
      <c r="BI86" s="6"/>
      <c r="BJ86" s="6"/>
      <c r="BK86" s="5">
        <f t="shared" si="72"/>
        <v>3</v>
      </c>
    </row>
    <row r="87" spans="1:63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</v>
      </c>
      <c r="AR87" s="6"/>
      <c r="AS87" s="6"/>
      <c r="AT87" s="6"/>
      <c r="AU87" s="6"/>
      <c r="AV87" s="6"/>
      <c r="AW87" s="6"/>
      <c r="AX87" s="6"/>
      <c r="AY87" s="6"/>
      <c r="AZ87" s="6"/>
      <c r="BA87" s="6">
        <v>1</v>
      </c>
      <c r="BB87" s="6"/>
      <c r="BC87" s="6"/>
      <c r="BD87" s="6"/>
      <c r="BE87" s="6"/>
      <c r="BF87" s="6"/>
      <c r="BG87" s="6"/>
      <c r="BH87" s="6"/>
      <c r="BI87" s="6"/>
      <c r="BJ87" s="6"/>
      <c r="BK87" s="5">
        <f t="shared" si="72"/>
        <v>2</v>
      </c>
    </row>
    <row r="88" spans="1:63" x14ac:dyDescent="0.4">
      <c r="A88" s="7"/>
      <c r="B88" s="50"/>
      <c r="C88" s="24" t="s">
        <v>174</v>
      </c>
      <c r="D88" s="51"/>
      <c r="E88" s="6"/>
      <c r="F88" s="6"/>
      <c r="G88" s="6"/>
      <c r="H88" s="6"/>
      <c r="I88" s="6">
        <v>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>
        <v>2</v>
      </c>
      <c r="AX88" s="6"/>
      <c r="AY88" s="6"/>
      <c r="AZ88" s="6"/>
      <c r="BA88" s="6"/>
      <c r="BB88" s="6"/>
      <c r="BC88" s="6"/>
      <c r="BD88" s="6"/>
      <c r="BE88" s="6">
        <v>1</v>
      </c>
      <c r="BF88" s="6">
        <v>1</v>
      </c>
      <c r="BG88" s="6"/>
      <c r="BH88" s="6">
        <v>2</v>
      </c>
      <c r="BI88" s="6"/>
      <c r="BJ88" s="6"/>
      <c r="BK88" s="5">
        <f t="shared" si="72"/>
        <v>8</v>
      </c>
    </row>
    <row r="89" spans="1:63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5">
        <f t="shared" si="72"/>
        <v>0</v>
      </c>
    </row>
    <row r="90" spans="1:63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5">
        <f t="shared" si="72"/>
        <v>0</v>
      </c>
    </row>
    <row r="91" spans="1:63" x14ac:dyDescent="0.4">
      <c r="A91" s="6" t="s">
        <v>26</v>
      </c>
      <c r="B91" s="85" t="s">
        <v>51</v>
      </c>
      <c r="C91" s="65"/>
      <c r="D91" s="66"/>
      <c r="E91" s="5">
        <f t="shared" ref="E91:BK91" si="73">SUM(E81:E90)</f>
        <v>13</v>
      </c>
      <c r="F91" s="5">
        <f t="shared" si="73"/>
        <v>5</v>
      </c>
      <c r="G91" s="5">
        <f t="shared" si="73"/>
        <v>1</v>
      </c>
      <c r="H91" s="5">
        <f t="shared" si="73"/>
        <v>6</v>
      </c>
      <c r="I91" s="5">
        <f t="shared" si="73"/>
        <v>19</v>
      </c>
      <c r="J91" s="5">
        <f t="shared" si="73"/>
        <v>11</v>
      </c>
      <c r="K91" s="5">
        <f t="shared" si="73"/>
        <v>5</v>
      </c>
      <c r="L91" s="5">
        <f t="shared" si="73"/>
        <v>0</v>
      </c>
      <c r="M91" s="5">
        <f t="shared" si="73"/>
        <v>7</v>
      </c>
      <c r="N91" s="5">
        <f t="shared" si="73"/>
        <v>4</v>
      </c>
      <c r="O91" s="5">
        <f t="shared" si="73"/>
        <v>16</v>
      </c>
      <c r="P91" s="5">
        <f t="shared" si="73"/>
        <v>13</v>
      </c>
      <c r="Q91" s="5">
        <f t="shared" si="73"/>
        <v>2</v>
      </c>
      <c r="R91" s="5">
        <f t="shared" si="73"/>
        <v>7</v>
      </c>
      <c r="S91" s="5">
        <f t="shared" ref="S91:AA91" si="74">SUM(S81:S90)</f>
        <v>71</v>
      </c>
      <c r="T91" s="5">
        <f t="shared" si="74"/>
        <v>46</v>
      </c>
      <c r="U91" s="5">
        <f t="shared" si="74"/>
        <v>8</v>
      </c>
      <c r="V91" s="5">
        <f t="shared" si="74"/>
        <v>18</v>
      </c>
      <c r="W91" s="5">
        <f t="shared" si="74"/>
        <v>5</v>
      </c>
      <c r="X91" s="5">
        <f t="shared" si="74"/>
        <v>7</v>
      </c>
      <c r="Y91" s="5">
        <f t="shared" si="74"/>
        <v>26</v>
      </c>
      <c r="Z91" s="5">
        <f t="shared" si="74"/>
        <v>8</v>
      </c>
      <c r="AA91" s="5">
        <f t="shared" si="74"/>
        <v>86</v>
      </c>
      <c r="AB91" s="5">
        <f t="shared" ref="AB91:AZ91" si="75">SUM(AB81:AB90)</f>
        <v>43</v>
      </c>
      <c r="AC91" s="5">
        <f t="shared" si="75"/>
        <v>8</v>
      </c>
      <c r="AD91" s="5">
        <f t="shared" si="75"/>
        <v>17</v>
      </c>
      <c r="AE91" s="5">
        <f t="shared" si="75"/>
        <v>23</v>
      </c>
      <c r="AF91" s="5">
        <f t="shared" si="75"/>
        <v>12</v>
      </c>
      <c r="AG91" s="5">
        <f t="shared" si="75"/>
        <v>8</v>
      </c>
      <c r="AH91" s="5">
        <f t="shared" si="75"/>
        <v>12</v>
      </c>
      <c r="AI91" s="5">
        <f t="shared" si="75"/>
        <v>9</v>
      </c>
      <c r="AJ91" s="5">
        <f t="shared" si="75"/>
        <v>5</v>
      </c>
      <c r="AK91" s="5">
        <f t="shared" si="75"/>
        <v>5</v>
      </c>
      <c r="AL91" s="5">
        <f t="shared" ref="AL91:AW91" si="76">SUM(AL81:AL90)</f>
        <v>63</v>
      </c>
      <c r="AM91" s="5">
        <f t="shared" si="76"/>
        <v>31</v>
      </c>
      <c r="AN91" s="5">
        <f t="shared" si="76"/>
        <v>28</v>
      </c>
      <c r="AO91" s="5">
        <f t="shared" si="76"/>
        <v>9</v>
      </c>
      <c r="AP91" s="5">
        <f t="shared" si="76"/>
        <v>10</v>
      </c>
      <c r="AQ91" s="5">
        <f t="shared" si="76"/>
        <v>2</v>
      </c>
      <c r="AR91" s="5">
        <f t="shared" si="76"/>
        <v>6</v>
      </c>
      <c r="AS91" s="5">
        <f t="shared" si="76"/>
        <v>4</v>
      </c>
      <c r="AT91" s="5">
        <f t="shared" si="76"/>
        <v>25</v>
      </c>
      <c r="AU91" s="5">
        <f t="shared" si="76"/>
        <v>24</v>
      </c>
      <c r="AV91" s="5">
        <f t="shared" si="76"/>
        <v>13</v>
      </c>
      <c r="AW91" s="5">
        <f t="shared" si="76"/>
        <v>27</v>
      </c>
      <c r="AX91" s="5">
        <f t="shared" si="75"/>
        <v>35</v>
      </c>
      <c r="AY91" s="5">
        <f t="shared" ref="AY91" si="77">SUM(AY81:AY90)</f>
        <v>64</v>
      </c>
      <c r="AZ91" s="5">
        <f t="shared" si="75"/>
        <v>15</v>
      </c>
      <c r="BA91" s="5">
        <f t="shared" si="73"/>
        <v>37</v>
      </c>
      <c r="BB91" s="5">
        <f t="shared" si="73"/>
        <v>57</v>
      </c>
      <c r="BC91" s="5">
        <f t="shared" si="73"/>
        <v>23</v>
      </c>
      <c r="BD91" s="5">
        <f t="shared" si="73"/>
        <v>29</v>
      </c>
      <c r="BE91" s="5">
        <f t="shared" si="73"/>
        <v>34</v>
      </c>
      <c r="BF91" s="5">
        <f t="shared" si="73"/>
        <v>48</v>
      </c>
      <c r="BG91" s="5">
        <f t="shared" si="73"/>
        <v>7</v>
      </c>
      <c r="BH91" s="5">
        <f t="shared" si="73"/>
        <v>15</v>
      </c>
      <c r="BI91" s="5">
        <f t="shared" si="73"/>
        <v>23</v>
      </c>
      <c r="BJ91" s="5">
        <f t="shared" si="73"/>
        <v>15</v>
      </c>
      <c r="BK91" s="5">
        <f t="shared" si="73"/>
        <v>1170</v>
      </c>
    </row>
    <row r="92" spans="1:63" x14ac:dyDescent="0.4">
      <c r="A92" s="90"/>
      <c r="B92" s="89"/>
      <c r="C92" s="89"/>
      <c r="D92" s="89"/>
      <c r="E92" s="89"/>
    </row>
    <row r="93" spans="1:63" x14ac:dyDescent="0.4">
      <c r="A93" s="11" t="s">
        <v>48</v>
      </c>
      <c r="B93" s="17" t="s">
        <v>55</v>
      </c>
      <c r="C93" s="92" t="s">
        <v>56</v>
      </c>
      <c r="D93" s="66"/>
      <c r="E93" s="6"/>
      <c r="F93" s="6"/>
      <c r="G93" s="6">
        <v>1</v>
      </c>
      <c r="H93" s="6"/>
      <c r="I93" s="6">
        <v>2</v>
      </c>
      <c r="J93" s="6">
        <v>2</v>
      </c>
      <c r="K93" s="6"/>
      <c r="L93" s="6">
        <v>1</v>
      </c>
      <c r="M93" s="6">
        <v>1</v>
      </c>
      <c r="N93" s="6"/>
      <c r="O93" s="6">
        <v>1</v>
      </c>
      <c r="P93" s="6"/>
      <c r="Q93" s="6">
        <v>1</v>
      </c>
      <c r="R93" s="6">
        <v>1</v>
      </c>
      <c r="S93" s="6"/>
      <c r="T93" s="6"/>
      <c r="U93" s="6">
        <v>3</v>
      </c>
      <c r="V93" s="6">
        <v>1</v>
      </c>
      <c r="W93" s="6"/>
      <c r="X93" s="6">
        <v>1</v>
      </c>
      <c r="Y93" s="6">
        <v>1</v>
      </c>
      <c r="Z93" s="6">
        <v>1</v>
      </c>
      <c r="AA93" s="6"/>
      <c r="AB93" s="6"/>
      <c r="AC93" s="6"/>
      <c r="AD93" s="6">
        <v>1</v>
      </c>
      <c r="AE93" s="6">
        <v>3</v>
      </c>
      <c r="AF93" s="6"/>
      <c r="AG93" s="6">
        <v>2</v>
      </c>
      <c r="AH93" s="6">
        <v>5</v>
      </c>
      <c r="AI93" s="6"/>
      <c r="AJ93" s="6"/>
      <c r="AK93" s="6">
        <v>1</v>
      </c>
      <c r="AL93" s="6"/>
      <c r="AM93" s="6"/>
      <c r="AN93" s="6"/>
      <c r="AO93" s="6">
        <v>1</v>
      </c>
      <c r="AP93" s="6">
        <v>4</v>
      </c>
      <c r="AQ93" s="6">
        <v>5</v>
      </c>
      <c r="AR93" s="6"/>
      <c r="AS93" s="6">
        <v>1</v>
      </c>
      <c r="AT93" s="6">
        <v>2</v>
      </c>
      <c r="AU93" s="6"/>
      <c r="AV93" s="6"/>
      <c r="AW93" s="6"/>
      <c r="AX93" s="6"/>
      <c r="AY93" s="6"/>
      <c r="AZ93" s="6">
        <v>1</v>
      </c>
      <c r="BA93" s="6"/>
      <c r="BB93" s="6"/>
      <c r="BC93" s="6"/>
      <c r="BD93" s="6">
        <v>3</v>
      </c>
      <c r="BE93" s="6">
        <v>3</v>
      </c>
      <c r="BF93" s="6">
        <v>1</v>
      </c>
      <c r="BG93" s="6"/>
      <c r="BH93" s="6">
        <v>1</v>
      </c>
      <c r="BI93" s="6"/>
      <c r="BJ93" s="6"/>
      <c r="BK93" s="5">
        <f t="shared" ref="BK93:BK102" si="78">SUM(E93:BJ93)</f>
        <v>51</v>
      </c>
    </row>
    <row r="94" spans="1:63" x14ac:dyDescent="0.4">
      <c r="A94" s="11" t="s">
        <v>50</v>
      </c>
      <c r="B94" s="50"/>
      <c r="C94" s="24" t="s">
        <v>175</v>
      </c>
      <c r="D94" s="51"/>
      <c r="E94" s="6"/>
      <c r="F94" s="6">
        <v>3</v>
      </c>
      <c r="G94" s="6"/>
      <c r="H94" s="6">
        <v>1</v>
      </c>
      <c r="I94" s="6">
        <v>4</v>
      </c>
      <c r="J94" s="6">
        <v>2</v>
      </c>
      <c r="K94" s="6">
        <v>3</v>
      </c>
      <c r="L94" s="6">
        <v>2</v>
      </c>
      <c r="M94" s="6">
        <v>6</v>
      </c>
      <c r="N94" s="6"/>
      <c r="O94" s="6"/>
      <c r="P94" s="6"/>
      <c r="Q94" s="6"/>
      <c r="R94" s="6"/>
      <c r="S94" s="6"/>
      <c r="T94" s="6"/>
      <c r="U94" s="6"/>
      <c r="V94" s="6">
        <v>1</v>
      </c>
      <c r="W94" s="6"/>
      <c r="X94" s="6"/>
      <c r="Y94" s="6">
        <v>1</v>
      </c>
      <c r="Z94" s="6"/>
      <c r="AA94" s="6"/>
      <c r="AB94" s="6"/>
      <c r="AC94" s="6"/>
      <c r="AD94" s="6">
        <v>1</v>
      </c>
      <c r="AE94" s="6">
        <v>3</v>
      </c>
      <c r="AF94" s="6"/>
      <c r="AG94" s="6"/>
      <c r="AH94" s="6">
        <v>3</v>
      </c>
      <c r="AI94" s="6"/>
      <c r="AJ94" s="6">
        <v>1</v>
      </c>
      <c r="AK94" s="6"/>
      <c r="AL94" s="6"/>
      <c r="AM94" s="6"/>
      <c r="AN94" s="6"/>
      <c r="AO94" s="6"/>
      <c r="AP94" s="6"/>
      <c r="AQ94" s="6">
        <v>2</v>
      </c>
      <c r="AR94" s="6"/>
      <c r="AS94" s="6"/>
      <c r="AT94" s="6"/>
      <c r="AU94" s="6"/>
      <c r="AV94" s="6"/>
      <c r="AW94" s="6">
        <v>1</v>
      </c>
      <c r="AX94" s="6">
        <v>1</v>
      </c>
      <c r="AY94" s="6">
        <v>4</v>
      </c>
      <c r="AZ94" s="6">
        <v>1</v>
      </c>
      <c r="BA94" s="6"/>
      <c r="BB94" s="6"/>
      <c r="BC94" s="6">
        <v>1</v>
      </c>
      <c r="BD94" s="6"/>
      <c r="BE94" s="6"/>
      <c r="BF94" s="6">
        <v>1</v>
      </c>
      <c r="BG94" s="6"/>
      <c r="BH94" s="6">
        <v>1</v>
      </c>
      <c r="BI94" s="6"/>
      <c r="BJ94" s="6">
        <v>1</v>
      </c>
      <c r="BK94" s="5">
        <f t="shared" si="78"/>
        <v>44</v>
      </c>
    </row>
    <row r="95" spans="1:63" x14ac:dyDescent="0.4">
      <c r="A95" s="7"/>
      <c r="B95" s="50"/>
      <c r="C95" s="24" t="s">
        <v>176</v>
      </c>
      <c r="D95" s="51"/>
      <c r="E95" s="6"/>
      <c r="F95" s="6"/>
      <c r="G95" s="6">
        <v>1</v>
      </c>
      <c r="H95" s="6"/>
      <c r="I95" s="6">
        <v>1</v>
      </c>
      <c r="J95" s="6"/>
      <c r="K95" s="6"/>
      <c r="L95" s="6"/>
      <c r="M95" s="6"/>
      <c r="N95" s="6"/>
      <c r="O95" s="6">
        <v>1</v>
      </c>
      <c r="P95" s="6"/>
      <c r="Q95" s="6"/>
      <c r="R95" s="6"/>
      <c r="S95" s="6">
        <v>1</v>
      </c>
      <c r="T95" s="6"/>
      <c r="U95" s="6">
        <v>2</v>
      </c>
      <c r="V95" s="6">
        <v>1</v>
      </c>
      <c r="W95" s="6"/>
      <c r="X95" s="6"/>
      <c r="Y95" s="6"/>
      <c r="Z95" s="6"/>
      <c r="AA95" s="6"/>
      <c r="AB95" s="6">
        <v>1</v>
      </c>
      <c r="AC95" s="6">
        <v>1</v>
      </c>
      <c r="AD95" s="6"/>
      <c r="AE95" s="6">
        <v>1</v>
      </c>
      <c r="AF95" s="6"/>
      <c r="AG95" s="6"/>
      <c r="AH95" s="6">
        <v>2</v>
      </c>
      <c r="AI95" s="6"/>
      <c r="AJ95" s="6"/>
      <c r="AK95" s="6"/>
      <c r="AL95" s="6"/>
      <c r="AM95" s="6">
        <v>1</v>
      </c>
      <c r="AN95" s="6"/>
      <c r="AO95" s="6">
        <v>7</v>
      </c>
      <c r="AP95" s="6">
        <v>19</v>
      </c>
      <c r="AQ95" s="6">
        <v>19</v>
      </c>
      <c r="AR95" s="6">
        <v>2</v>
      </c>
      <c r="AS95" s="6">
        <v>1</v>
      </c>
      <c r="AT95" s="6">
        <v>3</v>
      </c>
      <c r="AU95" s="6"/>
      <c r="AV95" s="6"/>
      <c r="AW95" s="6"/>
      <c r="AX95" s="6"/>
      <c r="AY95" s="6"/>
      <c r="AZ95" s="6">
        <v>2</v>
      </c>
      <c r="BA95" s="6"/>
      <c r="BB95" s="6"/>
      <c r="BC95" s="6"/>
      <c r="BD95" s="6"/>
      <c r="BE95" s="6"/>
      <c r="BF95" s="6">
        <v>1</v>
      </c>
      <c r="BG95" s="6">
        <v>1</v>
      </c>
      <c r="BH95" s="6">
        <v>1</v>
      </c>
      <c r="BI95" s="6"/>
      <c r="BJ95" s="6"/>
      <c r="BK95" s="5">
        <f t="shared" si="78"/>
        <v>69</v>
      </c>
    </row>
    <row r="96" spans="1:63" ht="13.15" customHeight="1" x14ac:dyDescent="0.4">
      <c r="A96" s="7"/>
      <c r="B96" s="50"/>
      <c r="C96" s="24" t="s">
        <v>177</v>
      </c>
      <c r="D96" s="5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</v>
      </c>
      <c r="W96" s="6"/>
      <c r="X96" s="6"/>
      <c r="Y96" s="6"/>
      <c r="Z96" s="6"/>
      <c r="AA96" s="6">
        <v>3</v>
      </c>
      <c r="AB96" s="6"/>
      <c r="AC96" s="6"/>
      <c r="AD96" s="6"/>
      <c r="AE96" s="6">
        <v>1</v>
      </c>
      <c r="AF96" s="6"/>
      <c r="AG96" s="6"/>
      <c r="AH96" s="6">
        <v>3</v>
      </c>
      <c r="AI96" s="6"/>
      <c r="AJ96" s="6"/>
      <c r="AK96" s="6"/>
      <c r="AL96" s="6"/>
      <c r="AM96" s="6"/>
      <c r="AN96" s="6"/>
      <c r="AO96" s="6"/>
      <c r="AP96" s="6">
        <v>1</v>
      </c>
      <c r="AQ96" s="6"/>
      <c r="AR96" s="6"/>
      <c r="AS96" s="6"/>
      <c r="AT96" s="6"/>
      <c r="AU96" s="6"/>
      <c r="AV96" s="6"/>
      <c r="AW96" s="6">
        <v>1</v>
      </c>
      <c r="AX96" s="6"/>
      <c r="AY96" s="6"/>
      <c r="AZ96" s="6"/>
      <c r="BA96" s="6"/>
      <c r="BB96" s="6"/>
      <c r="BC96" s="6"/>
      <c r="BD96" s="6"/>
      <c r="BE96" s="6"/>
      <c r="BF96" s="6"/>
      <c r="BG96" s="6">
        <v>1</v>
      </c>
      <c r="BH96" s="6"/>
      <c r="BI96" s="6">
        <v>1</v>
      </c>
      <c r="BJ96" s="6"/>
      <c r="BK96" s="5">
        <f t="shared" si="78"/>
        <v>12</v>
      </c>
    </row>
    <row r="97" spans="1:63" x14ac:dyDescent="0.4">
      <c r="A97" s="7"/>
      <c r="B97" s="50"/>
      <c r="C97" s="24" t="s">
        <v>178</v>
      </c>
      <c r="D97" s="51"/>
      <c r="E97" s="6">
        <v>1</v>
      </c>
      <c r="F97" s="6"/>
      <c r="G97" s="6">
        <v>1</v>
      </c>
      <c r="H97" s="6">
        <v>1</v>
      </c>
      <c r="I97" s="6"/>
      <c r="J97" s="6"/>
      <c r="K97" s="6"/>
      <c r="L97" s="6"/>
      <c r="M97" s="6"/>
      <c r="N97" s="6"/>
      <c r="O97" s="6">
        <v>15</v>
      </c>
      <c r="P97" s="6">
        <v>3</v>
      </c>
      <c r="Q97" s="6">
        <v>11</v>
      </c>
      <c r="R97" s="6"/>
      <c r="S97" s="6">
        <v>3</v>
      </c>
      <c r="T97" s="6">
        <v>13</v>
      </c>
      <c r="U97" s="6">
        <v>37</v>
      </c>
      <c r="V97" s="6">
        <v>23</v>
      </c>
      <c r="W97" s="6">
        <v>14</v>
      </c>
      <c r="X97" s="6">
        <v>21</v>
      </c>
      <c r="Y97" s="6"/>
      <c r="Z97" s="6">
        <v>14</v>
      </c>
      <c r="AA97" s="6"/>
      <c r="AB97" s="6"/>
      <c r="AC97" s="6">
        <v>13</v>
      </c>
      <c r="AD97" s="6">
        <v>3</v>
      </c>
      <c r="AE97" s="6"/>
      <c r="AF97" s="6"/>
      <c r="AG97" s="6">
        <v>28</v>
      </c>
      <c r="AH97" s="6">
        <v>20</v>
      </c>
      <c r="AI97" s="6">
        <v>6</v>
      </c>
      <c r="AJ97" s="6">
        <v>2</v>
      </c>
      <c r="AK97" s="6">
        <v>14</v>
      </c>
      <c r="AL97" s="6">
        <v>6</v>
      </c>
      <c r="AM97" s="6">
        <v>8</v>
      </c>
      <c r="AN97" s="6">
        <v>4</v>
      </c>
      <c r="AO97" s="6"/>
      <c r="AP97" s="6">
        <v>7</v>
      </c>
      <c r="AQ97" s="6">
        <v>1</v>
      </c>
      <c r="AR97" s="6">
        <v>13</v>
      </c>
      <c r="AS97" s="6"/>
      <c r="AT97" s="6">
        <v>15</v>
      </c>
      <c r="AU97" s="6">
        <v>13</v>
      </c>
      <c r="AV97" s="6">
        <v>8</v>
      </c>
      <c r="AW97" s="6">
        <v>7</v>
      </c>
      <c r="AX97" s="6">
        <v>8</v>
      </c>
      <c r="AY97" s="6">
        <v>4</v>
      </c>
      <c r="AZ97" s="6">
        <v>21</v>
      </c>
      <c r="BA97" s="6">
        <v>3</v>
      </c>
      <c r="BB97" s="6"/>
      <c r="BC97" s="6"/>
      <c r="BD97" s="6">
        <v>4</v>
      </c>
      <c r="BE97" s="6">
        <v>11</v>
      </c>
      <c r="BF97" s="6">
        <v>8</v>
      </c>
      <c r="BG97" s="6"/>
      <c r="BH97" s="6">
        <v>1</v>
      </c>
      <c r="BI97" s="6">
        <v>58</v>
      </c>
      <c r="BJ97" s="6"/>
      <c r="BK97" s="5">
        <f t="shared" si="78"/>
        <v>443</v>
      </c>
    </row>
    <row r="98" spans="1:63" x14ac:dyDescent="0.4">
      <c r="A98" s="7"/>
      <c r="B98" s="50"/>
      <c r="C98" s="24" t="s">
        <v>179</v>
      </c>
      <c r="D98" s="51"/>
      <c r="E98" s="6">
        <v>1</v>
      </c>
      <c r="F98" s="6">
        <v>4</v>
      </c>
      <c r="G98" s="6">
        <v>1</v>
      </c>
      <c r="H98" s="6"/>
      <c r="I98" s="6">
        <v>1</v>
      </c>
      <c r="J98" s="6">
        <v>3</v>
      </c>
      <c r="K98" s="6"/>
      <c r="L98" s="6"/>
      <c r="M98" s="6">
        <v>4</v>
      </c>
      <c r="N98" s="6"/>
      <c r="O98" s="6"/>
      <c r="P98" s="6">
        <v>1</v>
      </c>
      <c r="Q98" s="6"/>
      <c r="R98" s="6"/>
      <c r="S98" s="6">
        <v>1</v>
      </c>
      <c r="T98" s="6">
        <v>1</v>
      </c>
      <c r="U98" s="6"/>
      <c r="V98" s="6"/>
      <c r="W98" s="6">
        <v>2</v>
      </c>
      <c r="X98" s="6"/>
      <c r="Y98" s="6">
        <v>8</v>
      </c>
      <c r="Z98" s="6">
        <v>1</v>
      </c>
      <c r="AA98" s="6"/>
      <c r="AB98" s="6"/>
      <c r="AC98" s="6"/>
      <c r="AD98" s="6"/>
      <c r="AE98" s="6"/>
      <c r="AF98" s="6"/>
      <c r="AG98" s="6">
        <v>2</v>
      </c>
      <c r="AH98" s="6"/>
      <c r="AI98" s="6"/>
      <c r="AJ98" s="6"/>
      <c r="AK98" s="6"/>
      <c r="AL98" s="6"/>
      <c r="AM98" s="6"/>
      <c r="AN98" s="6"/>
      <c r="AO98" s="6">
        <v>1</v>
      </c>
      <c r="AP98" s="6"/>
      <c r="AQ98" s="6"/>
      <c r="AR98" s="6">
        <v>2</v>
      </c>
      <c r="AS98" s="6"/>
      <c r="AT98" s="6"/>
      <c r="AU98" s="6">
        <v>2</v>
      </c>
      <c r="AV98" s="6"/>
      <c r="AW98" s="6"/>
      <c r="AX98" s="6"/>
      <c r="AY98" s="6"/>
      <c r="AZ98" s="6"/>
      <c r="BA98" s="6"/>
      <c r="BB98" s="6">
        <v>10</v>
      </c>
      <c r="BC98" s="6"/>
      <c r="BD98" s="6"/>
      <c r="BE98" s="6"/>
      <c r="BF98" s="6"/>
      <c r="BG98" s="6"/>
      <c r="BH98" s="6"/>
      <c r="BI98" s="6"/>
      <c r="BJ98" s="6"/>
      <c r="BK98" s="5">
        <f t="shared" si="78"/>
        <v>45</v>
      </c>
    </row>
    <row r="99" spans="1:63" x14ac:dyDescent="0.4">
      <c r="A99" s="7"/>
      <c r="B99" s="50"/>
      <c r="C99" s="24" t="s">
        <v>180</v>
      </c>
      <c r="D99" s="51"/>
      <c r="E99" s="6"/>
      <c r="F99" s="6"/>
      <c r="G99" s="6"/>
      <c r="H99" s="6">
        <v>1</v>
      </c>
      <c r="I99" s="6"/>
      <c r="J99" s="6"/>
      <c r="K99" s="6">
        <v>4</v>
      </c>
      <c r="L99" s="6">
        <v>2</v>
      </c>
      <c r="M99" s="6">
        <v>4</v>
      </c>
      <c r="N99" s="6"/>
      <c r="O99" s="6"/>
      <c r="P99" s="6"/>
      <c r="Q99" s="6"/>
      <c r="R99" s="6"/>
      <c r="S99" s="6"/>
      <c r="T99" s="6"/>
      <c r="U99" s="6">
        <v>3</v>
      </c>
      <c r="V99" s="6"/>
      <c r="W99" s="6"/>
      <c r="X99" s="6"/>
      <c r="Y99" s="6"/>
      <c r="Z99" s="6"/>
      <c r="AA99" s="6"/>
      <c r="AB99" s="6"/>
      <c r="AC99" s="6">
        <v>7</v>
      </c>
      <c r="AD99" s="6"/>
      <c r="AE99" s="6"/>
      <c r="AF99" s="6"/>
      <c r="AG99" s="6">
        <v>1</v>
      </c>
      <c r="AH99" s="6"/>
      <c r="AI99" s="6">
        <v>2</v>
      </c>
      <c r="AJ99" s="6">
        <v>3</v>
      </c>
      <c r="AK99" s="6">
        <v>1</v>
      </c>
      <c r="AL99" s="6"/>
      <c r="AM99" s="6"/>
      <c r="AN99" s="6"/>
      <c r="AO99" s="6"/>
      <c r="AP99" s="6"/>
      <c r="AQ99" s="6">
        <v>1</v>
      </c>
      <c r="AR99" s="6"/>
      <c r="AS99" s="6"/>
      <c r="AT99" s="6"/>
      <c r="AU99" s="6"/>
      <c r="AV99" s="6"/>
      <c r="AW99" s="6">
        <v>1</v>
      </c>
      <c r="AX99" s="6"/>
      <c r="AY99" s="6">
        <v>1</v>
      </c>
      <c r="AZ99" s="6"/>
      <c r="BA99" s="6"/>
      <c r="BB99" s="6"/>
      <c r="BC99" s="6">
        <v>1</v>
      </c>
      <c r="BD99" s="6"/>
      <c r="BE99" s="6"/>
      <c r="BF99" s="6"/>
      <c r="BG99" s="6"/>
      <c r="BH99" s="6"/>
      <c r="BI99" s="6"/>
      <c r="BJ99" s="6"/>
      <c r="BK99" s="5">
        <f t="shared" si="78"/>
        <v>32</v>
      </c>
    </row>
    <row r="100" spans="1:63" x14ac:dyDescent="0.4">
      <c r="A100" s="7"/>
      <c r="B100" s="50"/>
      <c r="C100" s="24" t="s">
        <v>181</v>
      </c>
      <c r="D100" s="51"/>
      <c r="E100" s="6"/>
      <c r="F100" s="6"/>
      <c r="G100" s="6"/>
      <c r="H100" s="6"/>
      <c r="I100" s="6">
        <v>4</v>
      </c>
      <c r="J100" s="6">
        <v>3</v>
      </c>
      <c r="K100" s="6"/>
      <c r="L100" s="6"/>
      <c r="M100" s="6"/>
      <c r="N100" s="6"/>
      <c r="O100" s="6"/>
      <c r="P100" s="6"/>
      <c r="Q100" s="6"/>
      <c r="R100" s="6"/>
      <c r="S100" s="6"/>
      <c r="T100" s="6">
        <v>7</v>
      </c>
      <c r="U100" s="6">
        <v>2</v>
      </c>
      <c r="V100" s="6">
        <v>7</v>
      </c>
      <c r="W100" s="6">
        <v>1</v>
      </c>
      <c r="X100" s="6">
        <v>5</v>
      </c>
      <c r="Y100" s="6"/>
      <c r="Z100" s="6">
        <v>1</v>
      </c>
      <c r="AA100" s="6"/>
      <c r="AB100" s="6">
        <v>1</v>
      </c>
      <c r="AC100" s="6">
        <v>14</v>
      </c>
      <c r="AD100" s="6">
        <v>4</v>
      </c>
      <c r="AE100" s="6">
        <v>7</v>
      </c>
      <c r="AF100" s="6">
        <v>4</v>
      </c>
      <c r="AG100" s="6">
        <v>6</v>
      </c>
      <c r="AH100" s="6">
        <v>8</v>
      </c>
      <c r="AI100" s="6"/>
      <c r="AJ100" s="6"/>
      <c r="AK100" s="6"/>
      <c r="AL100" s="6">
        <v>1</v>
      </c>
      <c r="AM100" s="6">
        <v>1</v>
      </c>
      <c r="AN100" s="6"/>
      <c r="AO100" s="6"/>
      <c r="AP100" s="6">
        <v>8</v>
      </c>
      <c r="AQ100" s="6">
        <v>10</v>
      </c>
      <c r="AR100" s="6"/>
      <c r="AS100" s="6">
        <v>8</v>
      </c>
      <c r="AT100" s="6"/>
      <c r="AU100" s="6">
        <v>4</v>
      </c>
      <c r="AV100" s="6"/>
      <c r="AW100" s="6">
        <v>3</v>
      </c>
      <c r="AX100" s="6">
        <v>1</v>
      </c>
      <c r="AY100" s="6">
        <v>2</v>
      </c>
      <c r="AZ100" s="6">
        <v>6</v>
      </c>
      <c r="BA100" s="6">
        <v>3</v>
      </c>
      <c r="BB100" s="6"/>
      <c r="BC100" s="6">
        <v>5</v>
      </c>
      <c r="BD100" s="6">
        <v>17</v>
      </c>
      <c r="BE100" s="6"/>
      <c r="BF100" s="6">
        <v>1</v>
      </c>
      <c r="BG100" s="6">
        <v>3</v>
      </c>
      <c r="BH100" s="6">
        <v>4</v>
      </c>
      <c r="BI100" s="6">
        <v>1</v>
      </c>
      <c r="BJ100" s="6">
        <v>7</v>
      </c>
      <c r="BK100" s="5">
        <f t="shared" si="78"/>
        <v>159</v>
      </c>
    </row>
    <row r="101" spans="1:63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5">
        <f t="shared" si="78"/>
        <v>0</v>
      </c>
    </row>
    <row r="102" spans="1:63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5">
        <f t="shared" si="78"/>
        <v>0</v>
      </c>
    </row>
    <row r="103" spans="1:63" x14ac:dyDescent="0.4">
      <c r="A103" s="6" t="s">
        <v>26</v>
      </c>
      <c r="B103" s="85" t="s">
        <v>51</v>
      </c>
      <c r="C103" s="65"/>
      <c r="D103" s="66"/>
      <c r="E103" s="5">
        <f t="shared" ref="E103:BK103" si="79">SUM(E93:E102)</f>
        <v>2</v>
      </c>
      <c r="F103" s="5">
        <f t="shared" si="79"/>
        <v>7</v>
      </c>
      <c r="G103" s="5">
        <f t="shared" si="79"/>
        <v>4</v>
      </c>
      <c r="H103" s="5">
        <f t="shared" si="79"/>
        <v>3</v>
      </c>
      <c r="I103" s="5">
        <f t="shared" si="79"/>
        <v>12</v>
      </c>
      <c r="J103" s="5">
        <f t="shared" si="79"/>
        <v>10</v>
      </c>
      <c r="K103" s="5">
        <f t="shared" si="79"/>
        <v>7</v>
      </c>
      <c r="L103" s="5">
        <f t="shared" si="79"/>
        <v>5</v>
      </c>
      <c r="M103" s="5">
        <f t="shared" si="79"/>
        <v>15</v>
      </c>
      <c r="N103" s="5">
        <f t="shared" si="79"/>
        <v>0</v>
      </c>
      <c r="O103" s="5">
        <f t="shared" si="79"/>
        <v>17</v>
      </c>
      <c r="P103" s="5">
        <f t="shared" si="79"/>
        <v>4</v>
      </c>
      <c r="Q103" s="5">
        <f t="shared" si="79"/>
        <v>12</v>
      </c>
      <c r="R103" s="5">
        <f t="shared" si="79"/>
        <v>1</v>
      </c>
      <c r="S103" s="5">
        <f t="shared" ref="S103:AA103" si="80">SUM(S93:S102)</f>
        <v>5</v>
      </c>
      <c r="T103" s="5">
        <f t="shared" si="80"/>
        <v>21</v>
      </c>
      <c r="U103" s="5">
        <f t="shared" si="80"/>
        <v>47</v>
      </c>
      <c r="V103" s="5">
        <f t="shared" si="80"/>
        <v>34</v>
      </c>
      <c r="W103" s="5">
        <f t="shared" si="80"/>
        <v>17</v>
      </c>
      <c r="X103" s="5">
        <f t="shared" si="80"/>
        <v>27</v>
      </c>
      <c r="Y103" s="5">
        <f t="shared" si="80"/>
        <v>10</v>
      </c>
      <c r="Z103" s="5">
        <f t="shared" si="80"/>
        <v>17</v>
      </c>
      <c r="AA103" s="5">
        <f t="shared" si="80"/>
        <v>3</v>
      </c>
      <c r="AB103" s="5">
        <f t="shared" ref="AB103:AZ103" si="81">SUM(AB93:AB102)</f>
        <v>2</v>
      </c>
      <c r="AC103" s="5">
        <f t="shared" si="81"/>
        <v>35</v>
      </c>
      <c r="AD103" s="5">
        <f t="shared" si="81"/>
        <v>9</v>
      </c>
      <c r="AE103" s="5">
        <f t="shared" si="81"/>
        <v>15</v>
      </c>
      <c r="AF103" s="5">
        <f t="shared" si="81"/>
        <v>4</v>
      </c>
      <c r="AG103" s="5">
        <f t="shared" si="81"/>
        <v>39</v>
      </c>
      <c r="AH103" s="5">
        <f t="shared" si="81"/>
        <v>41</v>
      </c>
      <c r="AI103" s="5">
        <f t="shared" si="81"/>
        <v>8</v>
      </c>
      <c r="AJ103" s="5">
        <f t="shared" si="81"/>
        <v>6</v>
      </c>
      <c r="AK103" s="5">
        <f t="shared" si="81"/>
        <v>16</v>
      </c>
      <c r="AL103" s="5">
        <f t="shared" ref="AL103:AW103" si="82">SUM(AL93:AL102)</f>
        <v>7</v>
      </c>
      <c r="AM103" s="5">
        <f t="shared" si="82"/>
        <v>10</v>
      </c>
      <c r="AN103" s="5">
        <f t="shared" si="82"/>
        <v>4</v>
      </c>
      <c r="AO103" s="5">
        <f t="shared" si="82"/>
        <v>9</v>
      </c>
      <c r="AP103" s="5">
        <f t="shared" si="82"/>
        <v>39</v>
      </c>
      <c r="AQ103" s="5">
        <f t="shared" si="82"/>
        <v>38</v>
      </c>
      <c r="AR103" s="5">
        <f t="shared" si="82"/>
        <v>17</v>
      </c>
      <c r="AS103" s="5">
        <f t="shared" si="82"/>
        <v>10</v>
      </c>
      <c r="AT103" s="5">
        <f t="shared" si="82"/>
        <v>20</v>
      </c>
      <c r="AU103" s="5">
        <f t="shared" si="82"/>
        <v>19</v>
      </c>
      <c r="AV103" s="5">
        <f t="shared" si="82"/>
        <v>8</v>
      </c>
      <c r="AW103" s="5">
        <f t="shared" si="82"/>
        <v>13</v>
      </c>
      <c r="AX103" s="5">
        <f t="shared" si="81"/>
        <v>10</v>
      </c>
      <c r="AY103" s="5">
        <f t="shared" ref="AY103" si="83">SUM(AY93:AY102)</f>
        <v>11</v>
      </c>
      <c r="AZ103" s="5">
        <f t="shared" si="81"/>
        <v>31</v>
      </c>
      <c r="BA103" s="5">
        <f t="shared" si="79"/>
        <v>6</v>
      </c>
      <c r="BB103" s="5">
        <f t="shared" si="79"/>
        <v>10</v>
      </c>
      <c r="BC103" s="5">
        <f t="shared" si="79"/>
        <v>7</v>
      </c>
      <c r="BD103" s="5">
        <f t="shared" si="79"/>
        <v>24</v>
      </c>
      <c r="BE103" s="5">
        <f t="shared" si="79"/>
        <v>14</v>
      </c>
      <c r="BF103" s="5">
        <f t="shared" si="79"/>
        <v>12</v>
      </c>
      <c r="BG103" s="5">
        <f t="shared" si="79"/>
        <v>5</v>
      </c>
      <c r="BH103" s="5">
        <f t="shared" si="79"/>
        <v>8</v>
      </c>
      <c r="BI103" s="5">
        <f t="shared" si="79"/>
        <v>60</v>
      </c>
      <c r="BJ103" s="5">
        <f t="shared" si="79"/>
        <v>8</v>
      </c>
      <c r="BK103" s="5">
        <f t="shared" si="79"/>
        <v>855</v>
      </c>
    </row>
    <row r="104" spans="1:63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</row>
    <row r="105" spans="1:63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/>
      <c r="I105" s="6"/>
      <c r="J105" s="6"/>
      <c r="K105" s="6">
        <v>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>
        <v>1</v>
      </c>
      <c r="AG105" s="6"/>
      <c r="AH105" s="6"/>
      <c r="AI105" s="6"/>
      <c r="AJ105" s="6">
        <v>2</v>
      </c>
      <c r="AK105" s="6"/>
      <c r="AL105" s="6"/>
      <c r="AM105" s="6"/>
      <c r="AN105" s="6"/>
      <c r="AO105" s="6">
        <v>1</v>
      </c>
      <c r="AP105" s="6"/>
      <c r="AQ105" s="6"/>
      <c r="AR105" s="6"/>
      <c r="AS105" s="6">
        <v>1</v>
      </c>
      <c r="AT105" s="6">
        <v>1</v>
      </c>
      <c r="AU105" s="6"/>
      <c r="AV105" s="6">
        <v>1</v>
      </c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5">
        <f t="shared" ref="BK105:BK114" si="84">SUM(E105:BJ105)</f>
        <v>8</v>
      </c>
    </row>
    <row r="106" spans="1:63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>
        <v>1</v>
      </c>
      <c r="AI106" s="6"/>
      <c r="AJ106" s="6"/>
      <c r="AK106" s="6">
        <v>2</v>
      </c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>
        <v>1</v>
      </c>
      <c r="AX106" s="6"/>
      <c r="AY106" s="6"/>
      <c r="AZ106" s="6"/>
      <c r="BA106" s="6">
        <v>1</v>
      </c>
      <c r="BB106" s="6"/>
      <c r="BC106" s="6"/>
      <c r="BD106" s="6"/>
      <c r="BE106" s="6"/>
      <c r="BF106" s="6"/>
      <c r="BG106" s="6">
        <v>2</v>
      </c>
      <c r="BH106" s="6"/>
      <c r="BI106" s="6">
        <v>1</v>
      </c>
      <c r="BJ106" s="6"/>
      <c r="BK106" s="5">
        <f t="shared" si="84"/>
        <v>8</v>
      </c>
    </row>
    <row r="107" spans="1:63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5">
        <f t="shared" si="84"/>
        <v>0</v>
      </c>
    </row>
    <row r="108" spans="1:63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5">
        <f t="shared" si="84"/>
        <v>0</v>
      </c>
    </row>
    <row r="109" spans="1:63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5">
        <f t="shared" si="84"/>
        <v>0</v>
      </c>
    </row>
    <row r="110" spans="1:63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5">
        <f t="shared" si="84"/>
        <v>0</v>
      </c>
    </row>
    <row r="111" spans="1:63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5">
        <f t="shared" si="84"/>
        <v>0</v>
      </c>
    </row>
    <row r="112" spans="1:63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5">
        <f t="shared" si="84"/>
        <v>0</v>
      </c>
    </row>
    <row r="113" spans="1:63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5">
        <f t="shared" si="84"/>
        <v>0</v>
      </c>
    </row>
    <row r="114" spans="1:63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5">
        <f t="shared" si="84"/>
        <v>0</v>
      </c>
    </row>
    <row r="115" spans="1:63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BK115" si="85">SUM(E105:E114)</f>
        <v>0</v>
      </c>
      <c r="F115" s="5">
        <f t="shared" si="85"/>
        <v>0</v>
      </c>
      <c r="G115" s="5">
        <f t="shared" si="85"/>
        <v>0</v>
      </c>
      <c r="H115" s="5">
        <f t="shared" si="85"/>
        <v>0</v>
      </c>
      <c r="I115" s="5">
        <f t="shared" si="85"/>
        <v>0</v>
      </c>
      <c r="J115" s="5">
        <f t="shared" si="85"/>
        <v>0</v>
      </c>
      <c r="K115" s="5">
        <f t="shared" si="85"/>
        <v>1</v>
      </c>
      <c r="L115" s="5">
        <f t="shared" si="85"/>
        <v>0</v>
      </c>
      <c r="M115" s="5">
        <f t="shared" si="85"/>
        <v>0</v>
      </c>
      <c r="N115" s="5">
        <f t="shared" si="85"/>
        <v>0</v>
      </c>
      <c r="O115" s="5">
        <f t="shared" si="85"/>
        <v>0</v>
      </c>
      <c r="P115" s="5">
        <f t="shared" si="85"/>
        <v>0</v>
      </c>
      <c r="Q115" s="5">
        <f t="shared" si="85"/>
        <v>0</v>
      </c>
      <c r="R115" s="5">
        <f t="shared" si="85"/>
        <v>0</v>
      </c>
      <c r="S115" s="5">
        <f t="shared" ref="S115:AA115" si="86">SUM(S105:S114)</f>
        <v>0</v>
      </c>
      <c r="T115" s="5">
        <f t="shared" si="86"/>
        <v>0</v>
      </c>
      <c r="U115" s="5">
        <f t="shared" si="86"/>
        <v>0</v>
      </c>
      <c r="V115" s="5">
        <f t="shared" si="86"/>
        <v>0</v>
      </c>
      <c r="W115" s="5">
        <f t="shared" si="86"/>
        <v>0</v>
      </c>
      <c r="X115" s="5">
        <f t="shared" si="86"/>
        <v>0</v>
      </c>
      <c r="Y115" s="5">
        <f t="shared" si="86"/>
        <v>0</v>
      </c>
      <c r="Z115" s="5">
        <f t="shared" si="86"/>
        <v>0</v>
      </c>
      <c r="AA115" s="5">
        <f t="shared" si="86"/>
        <v>0</v>
      </c>
      <c r="AB115" s="5">
        <f t="shared" ref="AB115:AZ115" si="87">SUM(AB105:AB114)</f>
        <v>0</v>
      </c>
      <c r="AC115" s="5">
        <f t="shared" si="87"/>
        <v>0</v>
      </c>
      <c r="AD115" s="5">
        <f t="shared" si="87"/>
        <v>0</v>
      </c>
      <c r="AE115" s="5">
        <f t="shared" si="87"/>
        <v>0</v>
      </c>
      <c r="AF115" s="5">
        <f t="shared" si="87"/>
        <v>1</v>
      </c>
      <c r="AG115" s="5">
        <f t="shared" si="87"/>
        <v>0</v>
      </c>
      <c r="AH115" s="5">
        <f t="shared" si="87"/>
        <v>1</v>
      </c>
      <c r="AI115" s="5">
        <f t="shared" si="87"/>
        <v>0</v>
      </c>
      <c r="AJ115" s="5">
        <f t="shared" si="87"/>
        <v>2</v>
      </c>
      <c r="AK115" s="5">
        <f t="shared" si="87"/>
        <v>2</v>
      </c>
      <c r="AL115" s="5">
        <f t="shared" ref="AL115:AW115" si="88">SUM(AL105:AL114)</f>
        <v>0</v>
      </c>
      <c r="AM115" s="5">
        <f t="shared" si="88"/>
        <v>0</v>
      </c>
      <c r="AN115" s="5">
        <f t="shared" si="88"/>
        <v>0</v>
      </c>
      <c r="AO115" s="5">
        <f t="shared" si="88"/>
        <v>1</v>
      </c>
      <c r="AP115" s="5">
        <f t="shared" si="88"/>
        <v>0</v>
      </c>
      <c r="AQ115" s="5">
        <f t="shared" si="88"/>
        <v>0</v>
      </c>
      <c r="AR115" s="5">
        <f t="shared" si="88"/>
        <v>0</v>
      </c>
      <c r="AS115" s="5">
        <f t="shared" si="88"/>
        <v>1</v>
      </c>
      <c r="AT115" s="5">
        <f t="shared" si="88"/>
        <v>1</v>
      </c>
      <c r="AU115" s="5">
        <f t="shared" si="88"/>
        <v>0</v>
      </c>
      <c r="AV115" s="5">
        <f t="shared" si="88"/>
        <v>1</v>
      </c>
      <c r="AW115" s="5">
        <f t="shared" si="88"/>
        <v>1</v>
      </c>
      <c r="AX115" s="5">
        <f t="shared" si="87"/>
        <v>0</v>
      </c>
      <c r="AY115" s="5">
        <f t="shared" ref="AY115" si="89">SUM(AY105:AY114)</f>
        <v>0</v>
      </c>
      <c r="AZ115" s="5">
        <f t="shared" si="87"/>
        <v>0</v>
      </c>
      <c r="BA115" s="5">
        <f t="shared" si="85"/>
        <v>1</v>
      </c>
      <c r="BB115" s="5">
        <f t="shared" si="85"/>
        <v>0</v>
      </c>
      <c r="BC115" s="5">
        <f t="shared" si="85"/>
        <v>0</v>
      </c>
      <c r="BD115" s="5">
        <f t="shared" si="85"/>
        <v>0</v>
      </c>
      <c r="BE115" s="5">
        <f t="shared" si="85"/>
        <v>0</v>
      </c>
      <c r="BF115" s="5">
        <f t="shared" si="85"/>
        <v>0</v>
      </c>
      <c r="BG115" s="5">
        <f t="shared" si="85"/>
        <v>2</v>
      </c>
      <c r="BH115" s="5">
        <f t="shared" si="85"/>
        <v>0</v>
      </c>
      <c r="BI115" s="5">
        <f t="shared" si="85"/>
        <v>1</v>
      </c>
      <c r="BJ115" s="5">
        <f t="shared" si="85"/>
        <v>0</v>
      </c>
      <c r="BK115" s="5">
        <f t="shared" si="85"/>
        <v>16</v>
      </c>
    </row>
    <row r="116" spans="1:63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5"/>
    </row>
    <row r="117" spans="1:63" x14ac:dyDescent="0.4">
      <c r="A117" s="11" t="s">
        <v>48</v>
      </c>
      <c r="B117" s="17" t="s">
        <v>59</v>
      </c>
      <c r="C117" s="92" t="s">
        <v>60</v>
      </c>
      <c r="D117" s="66"/>
      <c r="E117" s="6"/>
      <c r="F117" s="6"/>
      <c r="G117" s="6"/>
      <c r="H117" s="6"/>
      <c r="I117" s="6">
        <v>1</v>
      </c>
      <c r="J117" s="6"/>
      <c r="K117" s="6">
        <v>1</v>
      </c>
      <c r="L117" s="6"/>
      <c r="M117" s="6"/>
      <c r="N117" s="6"/>
      <c r="O117" s="6">
        <v>2</v>
      </c>
      <c r="P117" s="6"/>
      <c r="Q117" s="6">
        <v>8</v>
      </c>
      <c r="R117" s="6"/>
      <c r="S117" s="6"/>
      <c r="T117" s="6"/>
      <c r="U117" s="6">
        <v>1</v>
      </c>
      <c r="V117" s="6">
        <v>1</v>
      </c>
      <c r="W117" s="6"/>
      <c r="X117" s="6"/>
      <c r="Y117" s="6">
        <v>1</v>
      </c>
      <c r="Z117" s="6">
        <v>1</v>
      </c>
      <c r="AA117" s="6">
        <v>1</v>
      </c>
      <c r="AB117" s="6">
        <v>1</v>
      </c>
      <c r="AC117" s="6">
        <v>1</v>
      </c>
      <c r="AD117" s="6">
        <v>1</v>
      </c>
      <c r="AE117" s="6">
        <v>2</v>
      </c>
      <c r="AF117" s="6"/>
      <c r="AG117" s="6">
        <v>3</v>
      </c>
      <c r="AH117" s="6">
        <v>4</v>
      </c>
      <c r="AI117" s="6"/>
      <c r="AJ117" s="6">
        <v>1</v>
      </c>
      <c r="AK117" s="6"/>
      <c r="AL117" s="6">
        <v>2</v>
      </c>
      <c r="AM117" s="6"/>
      <c r="AN117" s="6">
        <v>1</v>
      </c>
      <c r="AO117" s="6">
        <v>1</v>
      </c>
      <c r="AP117" s="6"/>
      <c r="AQ117" s="6">
        <v>1</v>
      </c>
      <c r="AR117" s="6"/>
      <c r="AS117" s="6">
        <v>4</v>
      </c>
      <c r="AT117" s="6">
        <v>1</v>
      </c>
      <c r="AU117" s="6">
        <v>1</v>
      </c>
      <c r="AV117" s="6">
        <v>5</v>
      </c>
      <c r="AW117" s="6">
        <v>2</v>
      </c>
      <c r="AX117" s="6"/>
      <c r="AY117" s="6">
        <v>1</v>
      </c>
      <c r="AZ117" s="6"/>
      <c r="BA117" s="6"/>
      <c r="BB117" s="6"/>
      <c r="BC117" s="6">
        <v>1</v>
      </c>
      <c r="BD117" s="6"/>
      <c r="BE117" s="6"/>
      <c r="BF117" s="6"/>
      <c r="BG117" s="6">
        <v>1</v>
      </c>
      <c r="BH117" s="6"/>
      <c r="BI117" s="6"/>
      <c r="BJ117" s="6"/>
      <c r="BK117" s="5">
        <f t="shared" ref="BK117:BK126" si="90">SUM(E117:BJ117)</f>
        <v>51</v>
      </c>
    </row>
    <row r="118" spans="1:63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>
        <v>1</v>
      </c>
      <c r="M118" s="6"/>
      <c r="N118" s="6"/>
      <c r="O118" s="6"/>
      <c r="P118" s="6"/>
      <c r="Q118" s="6"/>
      <c r="R118" s="6"/>
      <c r="S118" s="6"/>
      <c r="T118" s="6"/>
      <c r="U118" s="6"/>
      <c r="V118" s="6">
        <v>1</v>
      </c>
      <c r="W118" s="6"/>
      <c r="X118" s="6"/>
      <c r="Y118" s="6"/>
      <c r="Z118" s="6"/>
      <c r="AA118" s="6"/>
      <c r="AB118" s="6"/>
      <c r="AC118" s="6"/>
      <c r="AD118" s="6">
        <v>2</v>
      </c>
      <c r="AE118" s="6"/>
      <c r="AF118" s="6"/>
      <c r="AG118" s="6"/>
      <c r="AH118" s="6">
        <v>1</v>
      </c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5">
        <f t="shared" si="90"/>
        <v>5</v>
      </c>
    </row>
    <row r="119" spans="1:63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5">
        <f t="shared" si="90"/>
        <v>0</v>
      </c>
    </row>
    <row r="120" spans="1:63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5">
        <f t="shared" si="90"/>
        <v>0</v>
      </c>
    </row>
    <row r="121" spans="1:63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5">
        <f t="shared" si="90"/>
        <v>0</v>
      </c>
    </row>
    <row r="122" spans="1:63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5">
        <f t="shared" si="90"/>
        <v>0</v>
      </c>
    </row>
    <row r="123" spans="1:63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5">
        <f t="shared" si="90"/>
        <v>0</v>
      </c>
    </row>
    <row r="124" spans="1:63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5">
        <f t="shared" si="90"/>
        <v>0</v>
      </c>
    </row>
    <row r="125" spans="1:63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5">
        <f t="shared" si="90"/>
        <v>0</v>
      </c>
    </row>
    <row r="126" spans="1:63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5">
        <f t="shared" si="90"/>
        <v>0</v>
      </c>
    </row>
    <row r="127" spans="1:63" x14ac:dyDescent="0.4">
      <c r="A127" s="6" t="s">
        <v>26</v>
      </c>
      <c r="B127" s="85" t="s">
        <v>51</v>
      </c>
      <c r="C127" s="93"/>
      <c r="D127" s="94"/>
      <c r="E127" s="5">
        <f t="shared" ref="E127:BK127" si="91">SUM(E117:E126)</f>
        <v>0</v>
      </c>
      <c r="F127" s="5">
        <f t="shared" si="91"/>
        <v>0</v>
      </c>
      <c r="G127" s="5">
        <f t="shared" si="91"/>
        <v>0</v>
      </c>
      <c r="H127" s="5">
        <f t="shared" si="91"/>
        <v>0</v>
      </c>
      <c r="I127" s="5">
        <f t="shared" si="91"/>
        <v>1</v>
      </c>
      <c r="J127" s="5">
        <f t="shared" si="91"/>
        <v>0</v>
      </c>
      <c r="K127" s="5">
        <f t="shared" si="91"/>
        <v>1</v>
      </c>
      <c r="L127" s="5">
        <f t="shared" si="91"/>
        <v>1</v>
      </c>
      <c r="M127" s="5">
        <f t="shared" si="91"/>
        <v>0</v>
      </c>
      <c r="N127" s="5">
        <f t="shared" si="91"/>
        <v>0</v>
      </c>
      <c r="O127" s="5">
        <f t="shared" si="91"/>
        <v>2</v>
      </c>
      <c r="P127" s="5">
        <f t="shared" si="91"/>
        <v>0</v>
      </c>
      <c r="Q127" s="5">
        <f t="shared" si="91"/>
        <v>8</v>
      </c>
      <c r="R127" s="5">
        <f t="shared" si="91"/>
        <v>0</v>
      </c>
      <c r="S127" s="5">
        <f t="shared" ref="S127:AA127" si="92">SUM(S117:S126)</f>
        <v>0</v>
      </c>
      <c r="T127" s="5">
        <f t="shared" si="92"/>
        <v>0</v>
      </c>
      <c r="U127" s="5">
        <f t="shared" si="92"/>
        <v>1</v>
      </c>
      <c r="V127" s="5">
        <f t="shared" si="92"/>
        <v>2</v>
      </c>
      <c r="W127" s="5">
        <f t="shared" si="92"/>
        <v>0</v>
      </c>
      <c r="X127" s="5">
        <f t="shared" si="92"/>
        <v>0</v>
      </c>
      <c r="Y127" s="5">
        <f t="shared" si="92"/>
        <v>1</v>
      </c>
      <c r="Z127" s="5">
        <f t="shared" si="92"/>
        <v>1</v>
      </c>
      <c r="AA127" s="5">
        <f t="shared" si="92"/>
        <v>1</v>
      </c>
      <c r="AB127" s="5">
        <f t="shared" ref="AB127:AZ127" si="93">SUM(AB117:AB126)</f>
        <v>1</v>
      </c>
      <c r="AC127" s="5">
        <f t="shared" si="93"/>
        <v>1</v>
      </c>
      <c r="AD127" s="5">
        <f t="shared" si="93"/>
        <v>3</v>
      </c>
      <c r="AE127" s="5">
        <f t="shared" si="93"/>
        <v>2</v>
      </c>
      <c r="AF127" s="5">
        <f t="shared" si="93"/>
        <v>0</v>
      </c>
      <c r="AG127" s="5">
        <f t="shared" si="93"/>
        <v>3</v>
      </c>
      <c r="AH127" s="5">
        <f t="shared" si="93"/>
        <v>5</v>
      </c>
      <c r="AI127" s="5">
        <f t="shared" si="93"/>
        <v>0</v>
      </c>
      <c r="AJ127" s="5">
        <f t="shared" si="93"/>
        <v>1</v>
      </c>
      <c r="AK127" s="5">
        <f t="shared" si="93"/>
        <v>0</v>
      </c>
      <c r="AL127" s="5">
        <f t="shared" ref="AL127:AW127" si="94">SUM(AL117:AL126)</f>
        <v>2</v>
      </c>
      <c r="AM127" s="5">
        <f t="shared" si="94"/>
        <v>0</v>
      </c>
      <c r="AN127" s="5">
        <f t="shared" si="94"/>
        <v>1</v>
      </c>
      <c r="AO127" s="5">
        <f t="shared" si="94"/>
        <v>1</v>
      </c>
      <c r="AP127" s="5">
        <f t="shared" si="94"/>
        <v>0</v>
      </c>
      <c r="AQ127" s="5">
        <f t="shared" si="94"/>
        <v>1</v>
      </c>
      <c r="AR127" s="5">
        <f t="shared" si="94"/>
        <v>0</v>
      </c>
      <c r="AS127" s="5">
        <f t="shared" si="94"/>
        <v>4</v>
      </c>
      <c r="AT127" s="5">
        <f t="shared" si="94"/>
        <v>1</v>
      </c>
      <c r="AU127" s="5">
        <f t="shared" si="94"/>
        <v>1</v>
      </c>
      <c r="AV127" s="5">
        <f t="shared" si="94"/>
        <v>5</v>
      </c>
      <c r="AW127" s="5">
        <f t="shared" si="94"/>
        <v>2</v>
      </c>
      <c r="AX127" s="5">
        <f t="shared" si="93"/>
        <v>0</v>
      </c>
      <c r="AY127" s="5">
        <f t="shared" ref="AY127" si="95">SUM(AY117:AY126)</f>
        <v>1</v>
      </c>
      <c r="AZ127" s="5">
        <f t="shared" si="93"/>
        <v>0</v>
      </c>
      <c r="BA127" s="5">
        <f t="shared" si="91"/>
        <v>0</v>
      </c>
      <c r="BB127" s="5">
        <f t="shared" si="91"/>
        <v>0</v>
      </c>
      <c r="BC127" s="5">
        <f t="shared" si="91"/>
        <v>1</v>
      </c>
      <c r="BD127" s="5">
        <f t="shared" si="91"/>
        <v>0</v>
      </c>
      <c r="BE127" s="5">
        <f t="shared" si="91"/>
        <v>0</v>
      </c>
      <c r="BF127" s="5">
        <f t="shared" si="91"/>
        <v>0</v>
      </c>
      <c r="BG127" s="5">
        <f t="shared" si="91"/>
        <v>1</v>
      </c>
      <c r="BH127" s="5">
        <f t="shared" si="91"/>
        <v>0</v>
      </c>
      <c r="BI127" s="5">
        <f t="shared" si="91"/>
        <v>0</v>
      </c>
      <c r="BJ127" s="5">
        <f t="shared" si="91"/>
        <v>0</v>
      </c>
      <c r="BK127" s="5">
        <f t="shared" si="91"/>
        <v>56</v>
      </c>
    </row>
    <row r="128" spans="1:63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</row>
    <row r="129" spans="1:63" x14ac:dyDescent="0.4">
      <c r="A129" s="11" t="s">
        <v>48</v>
      </c>
      <c r="B129" s="17" t="s">
        <v>61</v>
      </c>
      <c r="C129" s="92" t="s">
        <v>62</v>
      </c>
      <c r="D129" s="66"/>
      <c r="E129" s="6"/>
      <c r="F129" s="6"/>
      <c r="G129" s="6"/>
      <c r="H129" s="6"/>
      <c r="I129" s="6"/>
      <c r="J129" s="6"/>
      <c r="K129" s="6">
        <v>1</v>
      </c>
      <c r="L129" s="6"/>
      <c r="M129" s="6"/>
      <c r="N129" s="6"/>
      <c r="O129" s="6">
        <v>1</v>
      </c>
      <c r="P129" s="6"/>
      <c r="Q129" s="6">
        <v>1</v>
      </c>
      <c r="R129" s="6"/>
      <c r="S129" s="6">
        <v>1</v>
      </c>
      <c r="T129" s="6"/>
      <c r="U129" s="6"/>
      <c r="V129" s="6">
        <v>2</v>
      </c>
      <c r="W129" s="6">
        <v>5</v>
      </c>
      <c r="X129" s="6"/>
      <c r="Y129" s="6"/>
      <c r="Z129" s="6">
        <v>2</v>
      </c>
      <c r="AA129" s="6">
        <v>3</v>
      </c>
      <c r="AB129" s="6">
        <v>3</v>
      </c>
      <c r="AC129" s="6"/>
      <c r="AD129" s="6"/>
      <c r="AE129" s="6">
        <v>1</v>
      </c>
      <c r="AF129" s="6"/>
      <c r="AG129" s="6"/>
      <c r="AH129" s="6"/>
      <c r="AI129" s="6"/>
      <c r="AJ129" s="6">
        <v>8</v>
      </c>
      <c r="AK129" s="6">
        <v>3</v>
      </c>
      <c r="AL129" s="6"/>
      <c r="AM129" s="6">
        <v>7</v>
      </c>
      <c r="AN129" s="6">
        <v>2</v>
      </c>
      <c r="AO129" s="6"/>
      <c r="AP129" s="6"/>
      <c r="AQ129" s="6"/>
      <c r="AR129" s="6">
        <v>1</v>
      </c>
      <c r="AS129" s="6"/>
      <c r="AT129" s="6"/>
      <c r="AU129" s="6"/>
      <c r="AV129" s="6"/>
      <c r="AW129" s="6"/>
      <c r="AX129" s="6"/>
      <c r="AY129" s="6">
        <v>1</v>
      </c>
      <c r="AZ129" s="6"/>
      <c r="BA129" s="6"/>
      <c r="BB129" s="6"/>
      <c r="BC129" s="6">
        <v>1</v>
      </c>
      <c r="BD129" s="6"/>
      <c r="BE129" s="6">
        <v>2</v>
      </c>
      <c r="BF129" s="6"/>
      <c r="BG129" s="6">
        <v>1</v>
      </c>
      <c r="BH129" s="6"/>
      <c r="BI129" s="6"/>
      <c r="BJ129" s="6">
        <v>3</v>
      </c>
      <c r="BK129" s="5">
        <f t="shared" ref="BK129:BK138" si="96">SUM(E129:BJ129)</f>
        <v>49</v>
      </c>
    </row>
    <row r="130" spans="1:63" ht="13.15" customHeight="1" x14ac:dyDescent="0.4">
      <c r="A130" s="11" t="s">
        <v>50</v>
      </c>
      <c r="B130" s="50"/>
      <c r="C130" s="24" t="s">
        <v>184</v>
      </c>
      <c r="D130" s="51"/>
      <c r="E130" s="6"/>
      <c r="F130" s="6"/>
      <c r="G130" s="6">
        <v>1</v>
      </c>
      <c r="H130" s="6"/>
      <c r="I130" s="6"/>
      <c r="J130" s="6"/>
      <c r="K130" s="6"/>
      <c r="L130" s="6">
        <v>1</v>
      </c>
      <c r="M130" s="6">
        <v>1</v>
      </c>
      <c r="N130" s="6"/>
      <c r="O130" s="6">
        <v>2</v>
      </c>
      <c r="P130" s="6">
        <v>8</v>
      </c>
      <c r="Q130" s="6">
        <v>4</v>
      </c>
      <c r="R130" s="6"/>
      <c r="S130" s="6"/>
      <c r="T130" s="6"/>
      <c r="U130" s="6">
        <v>14</v>
      </c>
      <c r="V130" s="6">
        <v>16</v>
      </c>
      <c r="W130" s="6">
        <v>18</v>
      </c>
      <c r="X130" s="6"/>
      <c r="Y130" s="6">
        <v>9</v>
      </c>
      <c r="Z130" s="6">
        <v>15</v>
      </c>
      <c r="AA130" s="6">
        <v>5</v>
      </c>
      <c r="AB130" s="6">
        <v>5</v>
      </c>
      <c r="AC130" s="6">
        <v>12</v>
      </c>
      <c r="AD130" s="6">
        <v>1</v>
      </c>
      <c r="AE130" s="6">
        <v>5</v>
      </c>
      <c r="AF130" s="6">
        <v>3</v>
      </c>
      <c r="AG130" s="6">
        <v>1</v>
      </c>
      <c r="AH130" s="6">
        <v>7</v>
      </c>
      <c r="AI130" s="6">
        <v>15</v>
      </c>
      <c r="AJ130" s="6">
        <v>17</v>
      </c>
      <c r="AK130" s="6">
        <v>1</v>
      </c>
      <c r="AL130" s="6">
        <v>2</v>
      </c>
      <c r="AM130" s="6">
        <v>30</v>
      </c>
      <c r="AN130" s="6">
        <v>16</v>
      </c>
      <c r="AO130" s="6">
        <v>6</v>
      </c>
      <c r="AP130" s="6">
        <v>2</v>
      </c>
      <c r="AQ130" s="6">
        <v>5</v>
      </c>
      <c r="AR130" s="6">
        <v>15</v>
      </c>
      <c r="AS130" s="6"/>
      <c r="AT130" s="6"/>
      <c r="AU130" s="6">
        <v>8</v>
      </c>
      <c r="AV130" s="6">
        <v>1</v>
      </c>
      <c r="AW130" s="6">
        <v>1</v>
      </c>
      <c r="AX130" s="6">
        <v>1</v>
      </c>
      <c r="AY130" s="6">
        <v>3</v>
      </c>
      <c r="AZ130" s="6"/>
      <c r="BA130" s="6">
        <v>1</v>
      </c>
      <c r="BB130" s="6"/>
      <c r="BC130" s="6">
        <v>3</v>
      </c>
      <c r="BD130" s="6">
        <v>1</v>
      </c>
      <c r="BE130" s="6">
        <v>6</v>
      </c>
      <c r="BF130" s="6">
        <v>4</v>
      </c>
      <c r="BG130" s="6">
        <v>21</v>
      </c>
      <c r="BH130" s="6">
        <v>6</v>
      </c>
      <c r="BI130" s="6">
        <v>3</v>
      </c>
      <c r="BJ130" s="6">
        <v>7</v>
      </c>
      <c r="BK130" s="5">
        <f t="shared" si="96"/>
        <v>303</v>
      </c>
    </row>
    <row r="131" spans="1:63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>
        <v>1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>
        <v>1</v>
      </c>
      <c r="AM131" s="6"/>
      <c r="AN131" s="6"/>
      <c r="AO131" s="6"/>
      <c r="AP131" s="6">
        <v>2</v>
      </c>
      <c r="AQ131" s="6"/>
      <c r="AR131" s="6"/>
      <c r="AS131" s="6"/>
      <c r="AT131" s="6"/>
      <c r="AU131" s="6"/>
      <c r="AV131" s="6">
        <v>1</v>
      </c>
      <c r="AW131" s="6">
        <v>1</v>
      </c>
      <c r="AX131" s="6"/>
      <c r="AY131" s="6"/>
      <c r="AZ131" s="6"/>
      <c r="BA131" s="6"/>
      <c r="BB131" s="6"/>
      <c r="BC131" s="6"/>
      <c r="BD131" s="6"/>
      <c r="BE131" s="6"/>
      <c r="BF131" s="6"/>
      <c r="BG131" s="6">
        <v>1</v>
      </c>
      <c r="BH131" s="6"/>
      <c r="BI131" s="6"/>
      <c r="BJ131" s="6"/>
      <c r="BK131" s="5">
        <f t="shared" si="96"/>
        <v>7</v>
      </c>
    </row>
    <row r="132" spans="1:63" x14ac:dyDescent="0.4">
      <c r="A132" s="7"/>
      <c r="B132" s="50"/>
      <c r="C132" s="24" t="s">
        <v>186</v>
      </c>
      <c r="D132" s="51"/>
      <c r="E132" s="6"/>
      <c r="F132" s="6"/>
      <c r="G132" s="6">
        <v>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>
        <v>1</v>
      </c>
      <c r="X132" s="6"/>
      <c r="Y132" s="6">
        <v>1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>
        <v>1</v>
      </c>
      <c r="AM132" s="6"/>
      <c r="AN132" s="6"/>
      <c r="AO132" s="6"/>
      <c r="AP132" s="6"/>
      <c r="AQ132" s="6"/>
      <c r="AR132" s="6"/>
      <c r="AS132" s="6">
        <v>1</v>
      </c>
      <c r="AT132" s="6"/>
      <c r="AU132" s="6"/>
      <c r="AV132" s="6"/>
      <c r="AW132" s="6"/>
      <c r="AX132" s="6"/>
      <c r="AY132" s="6"/>
      <c r="AZ132" s="6"/>
      <c r="BA132" s="6"/>
      <c r="BB132" s="6"/>
      <c r="BC132" s="6">
        <v>21</v>
      </c>
      <c r="BD132" s="6"/>
      <c r="BE132" s="6"/>
      <c r="BF132" s="6">
        <v>1</v>
      </c>
      <c r="BG132" s="6">
        <v>1</v>
      </c>
      <c r="BH132" s="6">
        <v>3</v>
      </c>
      <c r="BI132" s="6"/>
      <c r="BJ132" s="6"/>
      <c r="BK132" s="5">
        <f t="shared" si="96"/>
        <v>32</v>
      </c>
    </row>
    <row r="133" spans="1:63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>
        <v>1</v>
      </c>
      <c r="Z133" s="6">
        <v>2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>
        <v>1</v>
      </c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5">
        <f t="shared" si="96"/>
        <v>4</v>
      </c>
    </row>
    <row r="134" spans="1:63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>
        <v>1</v>
      </c>
      <c r="BF134" s="6"/>
      <c r="BG134" s="6"/>
      <c r="BH134" s="6"/>
      <c r="BI134" s="6"/>
      <c r="BJ134" s="6"/>
      <c r="BK134" s="5">
        <f t="shared" si="96"/>
        <v>1</v>
      </c>
    </row>
    <row r="135" spans="1:63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>
        <v>1</v>
      </c>
      <c r="BF135" s="6"/>
      <c r="BG135" s="6"/>
      <c r="BH135" s="6"/>
      <c r="BI135" s="6"/>
      <c r="BJ135" s="6"/>
      <c r="BK135" s="5">
        <f t="shared" si="96"/>
        <v>1</v>
      </c>
    </row>
    <row r="136" spans="1:63" x14ac:dyDescent="0.4">
      <c r="A136" s="7"/>
      <c r="B136" s="50"/>
      <c r="C136" s="24" t="s">
        <v>190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5">
        <f t="shared" si="96"/>
        <v>0</v>
      </c>
    </row>
    <row r="137" spans="1:63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5">
        <f t="shared" si="96"/>
        <v>0</v>
      </c>
    </row>
    <row r="138" spans="1:63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5">
        <f t="shared" si="96"/>
        <v>0</v>
      </c>
    </row>
    <row r="139" spans="1:63" x14ac:dyDescent="0.4">
      <c r="A139" s="6" t="s">
        <v>26</v>
      </c>
      <c r="B139" s="85" t="s">
        <v>51</v>
      </c>
      <c r="C139" s="93"/>
      <c r="D139" s="94"/>
      <c r="E139" s="5">
        <f t="shared" ref="E139:BK139" si="97">SUM(E129:E138)</f>
        <v>0</v>
      </c>
      <c r="F139" s="5">
        <f t="shared" si="97"/>
        <v>0</v>
      </c>
      <c r="G139" s="5">
        <f t="shared" si="97"/>
        <v>2</v>
      </c>
      <c r="H139" s="5">
        <f t="shared" si="97"/>
        <v>0</v>
      </c>
      <c r="I139" s="5">
        <f t="shared" si="97"/>
        <v>0</v>
      </c>
      <c r="J139" s="5">
        <f t="shared" si="97"/>
        <v>0</v>
      </c>
      <c r="K139" s="5">
        <f t="shared" si="97"/>
        <v>1</v>
      </c>
      <c r="L139" s="5">
        <f t="shared" si="97"/>
        <v>1</v>
      </c>
      <c r="M139" s="5">
        <f t="shared" si="97"/>
        <v>1</v>
      </c>
      <c r="N139" s="5">
        <f t="shared" si="97"/>
        <v>0</v>
      </c>
      <c r="O139" s="5">
        <f t="shared" si="97"/>
        <v>3</v>
      </c>
      <c r="P139" s="5">
        <f t="shared" si="97"/>
        <v>8</v>
      </c>
      <c r="Q139" s="5">
        <f t="shared" si="97"/>
        <v>5</v>
      </c>
      <c r="R139" s="5">
        <f t="shared" si="97"/>
        <v>0</v>
      </c>
      <c r="S139" s="5">
        <f t="shared" ref="S139:AA139" si="98">SUM(S129:S138)</f>
        <v>1</v>
      </c>
      <c r="T139" s="5">
        <f t="shared" si="98"/>
        <v>0</v>
      </c>
      <c r="U139" s="5">
        <f t="shared" si="98"/>
        <v>15</v>
      </c>
      <c r="V139" s="5">
        <f t="shared" si="98"/>
        <v>18</v>
      </c>
      <c r="W139" s="5">
        <f t="shared" si="98"/>
        <v>25</v>
      </c>
      <c r="X139" s="5">
        <f t="shared" si="98"/>
        <v>0</v>
      </c>
      <c r="Y139" s="5">
        <f t="shared" si="98"/>
        <v>11</v>
      </c>
      <c r="Z139" s="5">
        <f t="shared" si="98"/>
        <v>19</v>
      </c>
      <c r="AA139" s="5">
        <f t="shared" si="98"/>
        <v>8</v>
      </c>
      <c r="AB139" s="5">
        <f t="shared" ref="AB139:AZ139" si="99">SUM(AB129:AB138)</f>
        <v>8</v>
      </c>
      <c r="AC139" s="5">
        <f t="shared" si="99"/>
        <v>12</v>
      </c>
      <c r="AD139" s="5">
        <f t="shared" si="99"/>
        <v>1</v>
      </c>
      <c r="AE139" s="5">
        <f t="shared" si="99"/>
        <v>6</v>
      </c>
      <c r="AF139" s="5">
        <f t="shared" si="99"/>
        <v>3</v>
      </c>
      <c r="AG139" s="5">
        <f t="shared" si="99"/>
        <v>1</v>
      </c>
      <c r="AH139" s="5">
        <f t="shared" si="99"/>
        <v>7</v>
      </c>
      <c r="AI139" s="5">
        <f t="shared" si="99"/>
        <v>15</v>
      </c>
      <c r="AJ139" s="5">
        <f t="shared" si="99"/>
        <v>25</v>
      </c>
      <c r="AK139" s="5">
        <f t="shared" si="99"/>
        <v>4</v>
      </c>
      <c r="AL139" s="5">
        <f t="shared" ref="AL139:AW139" si="100">SUM(AL129:AL138)</f>
        <v>4</v>
      </c>
      <c r="AM139" s="5">
        <f t="shared" si="100"/>
        <v>37</v>
      </c>
      <c r="AN139" s="5">
        <f t="shared" si="100"/>
        <v>18</v>
      </c>
      <c r="AO139" s="5">
        <f t="shared" si="100"/>
        <v>6</v>
      </c>
      <c r="AP139" s="5">
        <f t="shared" si="100"/>
        <v>4</v>
      </c>
      <c r="AQ139" s="5">
        <f t="shared" si="100"/>
        <v>5</v>
      </c>
      <c r="AR139" s="5">
        <f t="shared" si="100"/>
        <v>16</v>
      </c>
      <c r="AS139" s="5">
        <f t="shared" si="100"/>
        <v>1</v>
      </c>
      <c r="AT139" s="5">
        <f t="shared" si="100"/>
        <v>0</v>
      </c>
      <c r="AU139" s="5">
        <f t="shared" si="100"/>
        <v>8</v>
      </c>
      <c r="AV139" s="5">
        <f t="shared" si="100"/>
        <v>2</v>
      </c>
      <c r="AW139" s="5">
        <f t="shared" si="100"/>
        <v>2</v>
      </c>
      <c r="AX139" s="5">
        <f t="shared" si="99"/>
        <v>1</v>
      </c>
      <c r="AY139" s="5">
        <f t="shared" ref="AY139" si="101">SUM(AY129:AY138)</f>
        <v>5</v>
      </c>
      <c r="AZ139" s="5">
        <f t="shared" si="99"/>
        <v>0</v>
      </c>
      <c r="BA139" s="5">
        <f t="shared" si="97"/>
        <v>1</v>
      </c>
      <c r="BB139" s="5">
        <f t="shared" si="97"/>
        <v>0</v>
      </c>
      <c r="BC139" s="5">
        <f t="shared" si="97"/>
        <v>25</v>
      </c>
      <c r="BD139" s="5">
        <f t="shared" si="97"/>
        <v>1</v>
      </c>
      <c r="BE139" s="5">
        <f t="shared" si="97"/>
        <v>10</v>
      </c>
      <c r="BF139" s="5">
        <f t="shared" si="97"/>
        <v>5</v>
      </c>
      <c r="BG139" s="5">
        <f t="shared" si="97"/>
        <v>24</v>
      </c>
      <c r="BH139" s="5">
        <f t="shared" si="97"/>
        <v>9</v>
      </c>
      <c r="BI139" s="5">
        <f t="shared" si="97"/>
        <v>3</v>
      </c>
      <c r="BJ139" s="5">
        <f t="shared" si="97"/>
        <v>10</v>
      </c>
      <c r="BK139" s="5">
        <f t="shared" si="97"/>
        <v>397</v>
      </c>
    </row>
    <row r="140" spans="1:63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</row>
    <row r="141" spans="1:63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>
        <v>1</v>
      </c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>
        <v>1</v>
      </c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5">
        <f t="shared" ref="BK141:BK150" si="102">SUM(E141:BJ141)</f>
        <v>2</v>
      </c>
    </row>
    <row r="142" spans="1:63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>
        <v>1</v>
      </c>
      <c r="BH142" s="6"/>
      <c r="BI142" s="6"/>
      <c r="BJ142" s="6"/>
      <c r="BK142" s="5">
        <f t="shared" si="102"/>
        <v>1</v>
      </c>
    </row>
    <row r="143" spans="1:63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5">
        <f t="shared" si="102"/>
        <v>0</v>
      </c>
    </row>
    <row r="144" spans="1:63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5">
        <f t="shared" si="102"/>
        <v>0</v>
      </c>
    </row>
    <row r="145" spans="1:6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5">
        <f t="shared" si="102"/>
        <v>0</v>
      </c>
    </row>
    <row r="146" spans="1:6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5">
        <f t="shared" si="102"/>
        <v>0</v>
      </c>
    </row>
    <row r="147" spans="1:6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5">
        <f t="shared" si="102"/>
        <v>0</v>
      </c>
    </row>
    <row r="148" spans="1:6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5">
        <f t="shared" si="102"/>
        <v>0</v>
      </c>
    </row>
    <row r="149" spans="1:6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5">
        <f t="shared" si="102"/>
        <v>0</v>
      </c>
    </row>
    <row r="150" spans="1:6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5">
        <f t="shared" si="102"/>
        <v>0</v>
      </c>
    </row>
    <row r="151" spans="1:63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BK151" si="103">SUM(E141:E150)</f>
        <v>0</v>
      </c>
      <c r="F151" s="5">
        <f t="shared" si="103"/>
        <v>0</v>
      </c>
      <c r="G151" s="5">
        <f t="shared" si="103"/>
        <v>0</v>
      </c>
      <c r="H151" s="5">
        <f t="shared" si="103"/>
        <v>0</v>
      </c>
      <c r="I151" s="5">
        <f t="shared" si="103"/>
        <v>0</v>
      </c>
      <c r="J151" s="5">
        <f t="shared" si="103"/>
        <v>0</v>
      </c>
      <c r="K151" s="5">
        <f t="shared" si="103"/>
        <v>0</v>
      </c>
      <c r="L151" s="5">
        <f t="shared" si="103"/>
        <v>0</v>
      </c>
      <c r="M151" s="5">
        <f t="shared" si="103"/>
        <v>0</v>
      </c>
      <c r="N151" s="5">
        <f t="shared" si="103"/>
        <v>0</v>
      </c>
      <c r="O151" s="5">
        <f t="shared" si="103"/>
        <v>0</v>
      </c>
      <c r="P151" s="5">
        <f t="shared" si="103"/>
        <v>0</v>
      </c>
      <c r="Q151" s="5">
        <f t="shared" si="103"/>
        <v>0</v>
      </c>
      <c r="R151" s="5">
        <f t="shared" si="103"/>
        <v>0</v>
      </c>
      <c r="S151" s="5">
        <f t="shared" ref="S151:AA151" si="104">SUM(S141:S150)</f>
        <v>0</v>
      </c>
      <c r="T151" s="5">
        <f t="shared" si="104"/>
        <v>0</v>
      </c>
      <c r="U151" s="5">
        <f t="shared" si="104"/>
        <v>0</v>
      </c>
      <c r="V151" s="5">
        <f t="shared" si="104"/>
        <v>0</v>
      </c>
      <c r="W151" s="5">
        <f t="shared" si="104"/>
        <v>0</v>
      </c>
      <c r="X151" s="5">
        <f t="shared" si="104"/>
        <v>0</v>
      </c>
      <c r="Y151" s="5">
        <f t="shared" si="104"/>
        <v>0</v>
      </c>
      <c r="Z151" s="5">
        <f t="shared" si="104"/>
        <v>0</v>
      </c>
      <c r="AA151" s="5">
        <f t="shared" si="104"/>
        <v>0</v>
      </c>
      <c r="AB151" s="5">
        <f t="shared" ref="AB151:AZ151" si="105">SUM(AB141:AB150)</f>
        <v>0</v>
      </c>
      <c r="AC151" s="5">
        <f t="shared" si="105"/>
        <v>1</v>
      </c>
      <c r="AD151" s="5">
        <f t="shared" si="105"/>
        <v>0</v>
      </c>
      <c r="AE151" s="5">
        <f t="shared" si="105"/>
        <v>0</v>
      </c>
      <c r="AF151" s="5">
        <f t="shared" si="105"/>
        <v>0</v>
      </c>
      <c r="AG151" s="5">
        <f t="shared" si="105"/>
        <v>0</v>
      </c>
      <c r="AH151" s="5">
        <f t="shared" si="105"/>
        <v>0</v>
      </c>
      <c r="AI151" s="5">
        <f t="shared" si="105"/>
        <v>0</v>
      </c>
      <c r="AJ151" s="5">
        <f t="shared" si="105"/>
        <v>0</v>
      </c>
      <c r="AK151" s="5">
        <f t="shared" si="105"/>
        <v>0</v>
      </c>
      <c r="AL151" s="5">
        <f t="shared" ref="AL151:AW151" si="106">SUM(AL141:AL150)</f>
        <v>0</v>
      </c>
      <c r="AM151" s="5">
        <f t="shared" si="106"/>
        <v>0</v>
      </c>
      <c r="AN151" s="5">
        <f t="shared" si="106"/>
        <v>0</v>
      </c>
      <c r="AO151" s="5">
        <f t="shared" si="106"/>
        <v>0</v>
      </c>
      <c r="AP151" s="5">
        <f t="shared" si="106"/>
        <v>1</v>
      </c>
      <c r="AQ151" s="5">
        <f t="shared" si="106"/>
        <v>0</v>
      </c>
      <c r="AR151" s="5">
        <f t="shared" si="106"/>
        <v>0</v>
      </c>
      <c r="AS151" s="5">
        <f t="shared" si="106"/>
        <v>0</v>
      </c>
      <c r="AT151" s="5">
        <f t="shared" si="106"/>
        <v>0</v>
      </c>
      <c r="AU151" s="5">
        <f t="shared" si="106"/>
        <v>0</v>
      </c>
      <c r="AV151" s="5">
        <f t="shared" si="106"/>
        <v>0</v>
      </c>
      <c r="AW151" s="5">
        <f t="shared" si="106"/>
        <v>0</v>
      </c>
      <c r="AX151" s="5">
        <f t="shared" si="105"/>
        <v>0</v>
      </c>
      <c r="AY151" s="5">
        <f t="shared" ref="AY151" si="107">SUM(AY141:AY150)</f>
        <v>0</v>
      </c>
      <c r="AZ151" s="5">
        <f t="shared" si="105"/>
        <v>0</v>
      </c>
      <c r="BA151" s="5">
        <f t="shared" si="103"/>
        <v>0</v>
      </c>
      <c r="BB151" s="5">
        <f t="shared" si="103"/>
        <v>0</v>
      </c>
      <c r="BC151" s="5">
        <f t="shared" si="103"/>
        <v>0</v>
      </c>
      <c r="BD151" s="5">
        <f t="shared" si="103"/>
        <v>0</v>
      </c>
      <c r="BE151" s="5">
        <f t="shared" si="103"/>
        <v>0</v>
      </c>
      <c r="BF151" s="5">
        <f t="shared" si="103"/>
        <v>0</v>
      </c>
      <c r="BG151" s="5">
        <f t="shared" si="103"/>
        <v>1</v>
      </c>
      <c r="BH151" s="5">
        <f t="shared" si="103"/>
        <v>0</v>
      </c>
      <c r="BI151" s="5">
        <f t="shared" si="103"/>
        <v>0</v>
      </c>
      <c r="BJ151" s="5">
        <f t="shared" si="103"/>
        <v>0</v>
      </c>
      <c r="BK151" s="5">
        <f t="shared" si="103"/>
        <v>3</v>
      </c>
    </row>
    <row r="152" spans="1:63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5"/>
    </row>
    <row r="153" spans="1:63" x14ac:dyDescent="0.4">
      <c r="A153" s="11" t="s">
        <v>48</v>
      </c>
      <c r="B153" s="44" t="s">
        <v>65</v>
      </c>
      <c r="C153" s="96" t="s">
        <v>66</v>
      </c>
      <c r="D153" s="74"/>
      <c r="E153" s="6"/>
      <c r="F153" s="6"/>
      <c r="G153" s="6"/>
      <c r="H153" s="6"/>
      <c r="I153" s="6"/>
      <c r="J153" s="6"/>
      <c r="K153" s="6"/>
      <c r="L153" s="6"/>
      <c r="M153" s="6">
        <v>1</v>
      </c>
      <c r="N153" s="6"/>
      <c r="O153" s="6">
        <v>1</v>
      </c>
      <c r="P153" s="6">
        <v>1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>
        <v>1</v>
      </c>
      <c r="AK153" s="6"/>
      <c r="AL153" s="6"/>
      <c r="AM153" s="6"/>
      <c r="AN153" s="6"/>
      <c r="AO153" s="6">
        <v>1</v>
      </c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>
        <v>1</v>
      </c>
      <c r="BK153" s="5">
        <f t="shared" ref="BK153:BK162" si="108">SUM(E153:BJ153)</f>
        <v>6</v>
      </c>
    </row>
    <row r="154" spans="1:63" x14ac:dyDescent="0.4">
      <c r="A154" s="52" t="s">
        <v>50</v>
      </c>
      <c r="B154" s="50"/>
      <c r="C154" s="24" t="s">
        <v>193</v>
      </c>
      <c r="D154" s="51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>
        <v>1</v>
      </c>
      <c r="T154" s="6"/>
      <c r="U154" s="6"/>
      <c r="V154" s="6"/>
      <c r="W154" s="6"/>
      <c r="X154" s="6"/>
      <c r="Y154" s="6"/>
      <c r="Z154" s="6"/>
      <c r="AA154" s="6"/>
      <c r="AB154" s="6"/>
      <c r="AC154" s="6">
        <v>1</v>
      </c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>
        <v>1</v>
      </c>
      <c r="AU154" s="6"/>
      <c r="AV154" s="6">
        <v>1</v>
      </c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>
        <v>2</v>
      </c>
      <c r="BK154" s="5">
        <f t="shared" si="108"/>
        <v>6</v>
      </c>
    </row>
    <row r="155" spans="1:63" x14ac:dyDescent="0.4">
      <c r="A155" s="7"/>
      <c r="B155" s="50"/>
      <c r="C155" s="24" t="s">
        <v>194</v>
      </c>
      <c r="D155" s="51"/>
      <c r="E155" s="53"/>
      <c r="F155" s="6">
        <v>1</v>
      </c>
      <c r="G155" s="6"/>
      <c r="H155" s="6"/>
      <c r="I155" s="6">
        <v>1</v>
      </c>
      <c r="J155" s="6">
        <v>2</v>
      </c>
      <c r="K155" s="6"/>
      <c r="L155" s="6">
        <v>1</v>
      </c>
      <c r="M155" s="6">
        <v>2</v>
      </c>
      <c r="N155" s="6"/>
      <c r="O155" s="6">
        <v>2</v>
      </c>
      <c r="P155" s="6">
        <v>2</v>
      </c>
      <c r="Q155" s="6">
        <v>1</v>
      </c>
      <c r="R155" s="6"/>
      <c r="S155" s="6">
        <v>1</v>
      </c>
      <c r="T155" s="6"/>
      <c r="U155" s="6">
        <v>1</v>
      </c>
      <c r="V155" s="6">
        <v>1</v>
      </c>
      <c r="W155" s="6"/>
      <c r="X155" s="6">
        <v>4</v>
      </c>
      <c r="Y155" s="6">
        <v>1</v>
      </c>
      <c r="Z155" s="6"/>
      <c r="AA155" s="6"/>
      <c r="AB155" s="6"/>
      <c r="AC155" s="6">
        <v>2</v>
      </c>
      <c r="AD155" s="6">
        <v>3</v>
      </c>
      <c r="AE155" s="6">
        <v>1</v>
      </c>
      <c r="AF155" s="6"/>
      <c r="AG155" s="6"/>
      <c r="AH155" s="6"/>
      <c r="AI155" s="6"/>
      <c r="AJ155" s="6">
        <v>3</v>
      </c>
      <c r="AK155" s="6"/>
      <c r="AL155" s="6"/>
      <c r="AM155" s="6">
        <v>1</v>
      </c>
      <c r="AN155" s="6"/>
      <c r="AO155" s="6">
        <v>5</v>
      </c>
      <c r="AP155" s="6">
        <v>1</v>
      </c>
      <c r="AQ155" s="6"/>
      <c r="AR155" s="6">
        <v>1</v>
      </c>
      <c r="AS155" s="6"/>
      <c r="AT155" s="6">
        <v>1</v>
      </c>
      <c r="AU155" s="6">
        <v>3</v>
      </c>
      <c r="AV155" s="6">
        <v>4</v>
      </c>
      <c r="AW155" s="6">
        <v>3</v>
      </c>
      <c r="AX155" s="6">
        <v>1</v>
      </c>
      <c r="AY155" s="6">
        <v>7</v>
      </c>
      <c r="AZ155" s="6">
        <v>4</v>
      </c>
      <c r="BA155" s="6">
        <v>4</v>
      </c>
      <c r="BB155" s="6">
        <v>1</v>
      </c>
      <c r="BC155" s="6">
        <v>1</v>
      </c>
      <c r="BD155" s="6">
        <v>6</v>
      </c>
      <c r="BE155" s="6">
        <v>6</v>
      </c>
      <c r="BF155" s="6">
        <v>2</v>
      </c>
      <c r="BG155" s="6">
        <v>2</v>
      </c>
      <c r="BH155" s="6">
        <v>9</v>
      </c>
      <c r="BI155" s="6">
        <v>5</v>
      </c>
      <c r="BJ155" s="6">
        <v>8</v>
      </c>
      <c r="BK155" s="5">
        <f t="shared" si="108"/>
        <v>104</v>
      </c>
    </row>
    <row r="156" spans="1:63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>
        <v>1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>
        <v>1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>
        <v>1</v>
      </c>
      <c r="BK156" s="5">
        <f t="shared" si="108"/>
        <v>3</v>
      </c>
    </row>
    <row r="157" spans="1:63" x14ac:dyDescent="0.4">
      <c r="A157" s="7"/>
      <c r="B157" s="50"/>
      <c r="C157" s="24" t="s">
        <v>196</v>
      </c>
      <c r="D157" s="51"/>
      <c r="E157" s="53"/>
      <c r="F157" s="6"/>
      <c r="G157" s="6">
        <v>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>
        <v>1</v>
      </c>
      <c r="AG157" s="6"/>
      <c r="AH157" s="6"/>
      <c r="AI157" s="6"/>
      <c r="AJ157" s="6"/>
      <c r="AK157" s="6">
        <v>1</v>
      </c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5">
        <f t="shared" si="108"/>
        <v>3</v>
      </c>
    </row>
    <row r="158" spans="1:63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>
        <v>1</v>
      </c>
      <c r="BD158" s="6"/>
      <c r="BE158" s="6"/>
      <c r="BF158" s="6"/>
      <c r="BG158" s="6"/>
      <c r="BH158" s="6"/>
      <c r="BI158" s="6"/>
      <c r="BJ158" s="6"/>
      <c r="BK158" s="5">
        <f t="shared" si="108"/>
        <v>1</v>
      </c>
    </row>
    <row r="159" spans="1:63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>
        <v>1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5">
        <f t="shared" si="108"/>
        <v>1</v>
      </c>
    </row>
    <row r="160" spans="1:63" x14ac:dyDescent="0.4">
      <c r="A160" s="7"/>
      <c r="B160" s="50"/>
      <c r="C160" s="24" t="s">
        <v>199</v>
      </c>
      <c r="D160" s="51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>
        <v>1</v>
      </c>
      <c r="AQ160" s="6"/>
      <c r="AR160" s="6"/>
      <c r="AS160" s="6"/>
      <c r="AT160" s="6"/>
      <c r="AU160" s="6"/>
      <c r="AV160" s="6">
        <v>1</v>
      </c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5">
        <f t="shared" si="108"/>
        <v>2</v>
      </c>
    </row>
    <row r="161" spans="1:63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5">
        <f t="shared" si="108"/>
        <v>0</v>
      </c>
    </row>
    <row r="162" spans="1:63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5">
        <f t="shared" si="108"/>
        <v>0</v>
      </c>
    </row>
    <row r="163" spans="1:63" x14ac:dyDescent="0.4">
      <c r="A163" s="6" t="s">
        <v>26</v>
      </c>
      <c r="B163" s="97" t="s">
        <v>51</v>
      </c>
      <c r="C163" s="98"/>
      <c r="D163" s="99"/>
      <c r="E163" s="5">
        <f t="shared" ref="E163:BK163" si="109">SUM(E153:E162)</f>
        <v>0</v>
      </c>
      <c r="F163" s="5">
        <f t="shared" si="109"/>
        <v>1</v>
      </c>
      <c r="G163" s="5">
        <f t="shared" si="109"/>
        <v>1</v>
      </c>
      <c r="H163" s="5">
        <f t="shared" si="109"/>
        <v>0</v>
      </c>
      <c r="I163" s="5">
        <f t="shared" si="109"/>
        <v>1</v>
      </c>
      <c r="J163" s="5">
        <f t="shared" si="109"/>
        <v>2</v>
      </c>
      <c r="K163" s="5">
        <f t="shared" si="109"/>
        <v>0</v>
      </c>
      <c r="L163" s="5">
        <f t="shared" si="109"/>
        <v>1</v>
      </c>
      <c r="M163" s="5">
        <f t="shared" si="109"/>
        <v>3</v>
      </c>
      <c r="N163" s="5">
        <f t="shared" si="109"/>
        <v>0</v>
      </c>
      <c r="O163" s="5">
        <f t="shared" si="109"/>
        <v>3</v>
      </c>
      <c r="P163" s="5">
        <f t="shared" si="109"/>
        <v>3</v>
      </c>
      <c r="Q163" s="5">
        <f t="shared" si="109"/>
        <v>2</v>
      </c>
      <c r="R163" s="5">
        <f t="shared" si="109"/>
        <v>0</v>
      </c>
      <c r="S163" s="5">
        <f t="shared" ref="S163:AA163" si="110">SUM(S153:S162)</f>
        <v>2</v>
      </c>
      <c r="T163" s="5">
        <f t="shared" si="110"/>
        <v>0</v>
      </c>
      <c r="U163" s="5">
        <f t="shared" si="110"/>
        <v>1</v>
      </c>
      <c r="V163" s="5">
        <f t="shared" si="110"/>
        <v>1</v>
      </c>
      <c r="W163" s="5">
        <f t="shared" si="110"/>
        <v>0</v>
      </c>
      <c r="X163" s="5">
        <f t="shared" si="110"/>
        <v>4</v>
      </c>
      <c r="Y163" s="5">
        <f t="shared" si="110"/>
        <v>1</v>
      </c>
      <c r="Z163" s="5">
        <f t="shared" si="110"/>
        <v>0</v>
      </c>
      <c r="AA163" s="5">
        <f t="shared" si="110"/>
        <v>0</v>
      </c>
      <c r="AB163" s="5">
        <f t="shared" ref="AB163:AZ163" si="111">SUM(AB153:AB162)</f>
        <v>0</v>
      </c>
      <c r="AC163" s="5">
        <f t="shared" si="111"/>
        <v>3</v>
      </c>
      <c r="AD163" s="5">
        <f t="shared" si="111"/>
        <v>3</v>
      </c>
      <c r="AE163" s="5">
        <f t="shared" si="111"/>
        <v>1</v>
      </c>
      <c r="AF163" s="5">
        <f t="shared" si="111"/>
        <v>2</v>
      </c>
      <c r="AG163" s="5">
        <f t="shared" si="111"/>
        <v>0</v>
      </c>
      <c r="AH163" s="5">
        <f t="shared" si="111"/>
        <v>0</v>
      </c>
      <c r="AI163" s="5">
        <f t="shared" si="111"/>
        <v>0</v>
      </c>
      <c r="AJ163" s="5">
        <f t="shared" si="111"/>
        <v>4</v>
      </c>
      <c r="AK163" s="5">
        <f t="shared" si="111"/>
        <v>1</v>
      </c>
      <c r="AL163" s="5">
        <f t="shared" ref="AL163:AW163" si="112">SUM(AL153:AL162)</f>
        <v>0</v>
      </c>
      <c r="AM163" s="5">
        <f t="shared" si="112"/>
        <v>1</v>
      </c>
      <c r="AN163" s="5">
        <f t="shared" si="112"/>
        <v>0</v>
      </c>
      <c r="AO163" s="5">
        <f t="shared" si="112"/>
        <v>6</v>
      </c>
      <c r="AP163" s="5">
        <f t="shared" si="112"/>
        <v>2</v>
      </c>
      <c r="AQ163" s="5">
        <f t="shared" si="112"/>
        <v>0</v>
      </c>
      <c r="AR163" s="5">
        <f t="shared" si="112"/>
        <v>2</v>
      </c>
      <c r="AS163" s="5">
        <f t="shared" si="112"/>
        <v>0</v>
      </c>
      <c r="AT163" s="5">
        <f t="shared" si="112"/>
        <v>2</v>
      </c>
      <c r="AU163" s="5">
        <f t="shared" si="112"/>
        <v>3</v>
      </c>
      <c r="AV163" s="5">
        <f t="shared" si="112"/>
        <v>6</v>
      </c>
      <c r="AW163" s="5">
        <f t="shared" si="112"/>
        <v>3</v>
      </c>
      <c r="AX163" s="5">
        <f t="shared" si="111"/>
        <v>1</v>
      </c>
      <c r="AY163" s="5">
        <f t="shared" ref="AY163" si="113">SUM(AY153:AY162)</f>
        <v>7</v>
      </c>
      <c r="AZ163" s="5">
        <f t="shared" si="111"/>
        <v>4</v>
      </c>
      <c r="BA163" s="5">
        <f t="shared" si="109"/>
        <v>4</v>
      </c>
      <c r="BB163" s="5">
        <f t="shared" si="109"/>
        <v>1</v>
      </c>
      <c r="BC163" s="5">
        <f t="shared" si="109"/>
        <v>2</v>
      </c>
      <c r="BD163" s="5">
        <f t="shared" si="109"/>
        <v>6</v>
      </c>
      <c r="BE163" s="5">
        <f t="shared" si="109"/>
        <v>6</v>
      </c>
      <c r="BF163" s="5">
        <f t="shared" si="109"/>
        <v>2</v>
      </c>
      <c r="BG163" s="5">
        <f t="shared" si="109"/>
        <v>2</v>
      </c>
      <c r="BH163" s="5">
        <f t="shared" si="109"/>
        <v>9</v>
      </c>
      <c r="BI163" s="5">
        <f t="shared" si="109"/>
        <v>5</v>
      </c>
      <c r="BJ163" s="5">
        <f t="shared" si="109"/>
        <v>12</v>
      </c>
      <c r="BK163" s="5">
        <f t="shared" si="109"/>
        <v>126</v>
      </c>
    </row>
    <row r="164" spans="1:63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</row>
    <row r="165" spans="1:63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/>
      <c r="F165" s="6"/>
      <c r="G165" s="6">
        <v>1</v>
      </c>
      <c r="H165" s="6"/>
      <c r="I165" s="6"/>
      <c r="J165" s="6"/>
      <c r="K165" s="6">
        <v>1</v>
      </c>
      <c r="L165" s="6"/>
      <c r="M165" s="6"/>
      <c r="N165" s="6"/>
      <c r="O165" s="6">
        <v>2</v>
      </c>
      <c r="P165" s="6"/>
      <c r="Q165" s="6"/>
      <c r="R165" s="6"/>
      <c r="S165" s="6"/>
      <c r="T165" s="6"/>
      <c r="U165" s="6"/>
      <c r="V165" s="6">
        <v>1</v>
      </c>
      <c r="W165" s="6"/>
      <c r="X165" s="6"/>
      <c r="Y165" s="6"/>
      <c r="Z165" s="6">
        <v>2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>
        <v>1</v>
      </c>
      <c r="AY165" s="6"/>
      <c r="AZ165" s="6"/>
      <c r="BA165" s="6"/>
      <c r="BB165" s="6"/>
      <c r="BC165" s="6"/>
      <c r="BD165" s="6"/>
      <c r="BE165" s="6">
        <v>1</v>
      </c>
      <c r="BF165" s="6"/>
      <c r="BG165" s="6"/>
      <c r="BH165" s="6"/>
      <c r="BI165" s="6"/>
      <c r="BJ165" s="6"/>
      <c r="BK165" s="5">
        <f t="shared" ref="BK165:BK174" si="114">SUM(E165:BJ165)</f>
        <v>9</v>
      </c>
    </row>
    <row r="166" spans="1:63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5">
        <f t="shared" si="114"/>
        <v>0</v>
      </c>
    </row>
    <row r="167" spans="1:6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5">
        <f t="shared" si="114"/>
        <v>0</v>
      </c>
    </row>
    <row r="168" spans="1:6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5">
        <f t="shared" si="114"/>
        <v>0</v>
      </c>
    </row>
    <row r="169" spans="1:6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5">
        <f t="shared" si="114"/>
        <v>0</v>
      </c>
    </row>
    <row r="170" spans="1:6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5">
        <f t="shared" si="114"/>
        <v>0</v>
      </c>
    </row>
    <row r="171" spans="1:6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5">
        <f t="shared" si="114"/>
        <v>0</v>
      </c>
    </row>
    <row r="172" spans="1:6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5">
        <f t="shared" si="114"/>
        <v>0</v>
      </c>
    </row>
    <row r="173" spans="1:6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5">
        <f t="shared" si="114"/>
        <v>0</v>
      </c>
    </row>
    <row r="174" spans="1:6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5">
        <f t="shared" si="114"/>
        <v>0</v>
      </c>
    </row>
    <row r="175" spans="1:63" x14ac:dyDescent="0.4">
      <c r="A175" s="6" t="s">
        <v>26</v>
      </c>
      <c r="B175" s="85" t="s">
        <v>51</v>
      </c>
      <c r="C175" s="93"/>
      <c r="D175" s="94"/>
      <c r="E175" s="5">
        <f t="shared" ref="E175:BK175" si="115">SUM(E165:E174)</f>
        <v>0</v>
      </c>
      <c r="F175" s="5">
        <f t="shared" si="115"/>
        <v>0</v>
      </c>
      <c r="G175" s="5">
        <f t="shared" si="115"/>
        <v>1</v>
      </c>
      <c r="H175" s="5">
        <f t="shared" si="115"/>
        <v>0</v>
      </c>
      <c r="I175" s="5">
        <f t="shared" si="115"/>
        <v>0</v>
      </c>
      <c r="J175" s="5">
        <f t="shared" si="115"/>
        <v>0</v>
      </c>
      <c r="K175" s="5">
        <f t="shared" si="115"/>
        <v>1</v>
      </c>
      <c r="L175" s="5">
        <f t="shared" si="115"/>
        <v>0</v>
      </c>
      <c r="M175" s="5">
        <f t="shared" si="115"/>
        <v>0</v>
      </c>
      <c r="N175" s="5">
        <f t="shared" si="115"/>
        <v>0</v>
      </c>
      <c r="O175" s="5">
        <f t="shared" si="115"/>
        <v>2</v>
      </c>
      <c r="P175" s="5">
        <f t="shared" si="115"/>
        <v>0</v>
      </c>
      <c r="Q175" s="5">
        <f t="shared" si="115"/>
        <v>0</v>
      </c>
      <c r="R175" s="5">
        <f t="shared" si="115"/>
        <v>0</v>
      </c>
      <c r="S175" s="5">
        <f t="shared" ref="S175:AA175" si="116">SUM(S165:S174)</f>
        <v>0</v>
      </c>
      <c r="T175" s="5">
        <f t="shared" si="116"/>
        <v>0</v>
      </c>
      <c r="U175" s="5">
        <f t="shared" si="116"/>
        <v>0</v>
      </c>
      <c r="V175" s="5">
        <f t="shared" si="116"/>
        <v>1</v>
      </c>
      <c r="W175" s="5">
        <f t="shared" si="116"/>
        <v>0</v>
      </c>
      <c r="X175" s="5">
        <f t="shared" si="116"/>
        <v>0</v>
      </c>
      <c r="Y175" s="5">
        <f t="shared" si="116"/>
        <v>0</v>
      </c>
      <c r="Z175" s="5">
        <f t="shared" si="116"/>
        <v>2</v>
      </c>
      <c r="AA175" s="5">
        <f t="shared" si="116"/>
        <v>0</v>
      </c>
      <c r="AB175" s="5">
        <f t="shared" ref="AB175:AZ175" si="117">SUM(AB165:AB174)</f>
        <v>0</v>
      </c>
      <c r="AC175" s="5">
        <f t="shared" si="117"/>
        <v>0</v>
      </c>
      <c r="AD175" s="5">
        <f t="shared" si="117"/>
        <v>0</v>
      </c>
      <c r="AE175" s="5">
        <f t="shared" si="117"/>
        <v>0</v>
      </c>
      <c r="AF175" s="5">
        <f t="shared" si="117"/>
        <v>0</v>
      </c>
      <c r="AG175" s="5">
        <f t="shared" si="117"/>
        <v>0</v>
      </c>
      <c r="AH175" s="5">
        <f t="shared" si="117"/>
        <v>0</v>
      </c>
      <c r="AI175" s="5">
        <f t="shared" si="117"/>
        <v>0</v>
      </c>
      <c r="AJ175" s="5">
        <f t="shared" si="117"/>
        <v>0</v>
      </c>
      <c r="AK175" s="5">
        <f t="shared" si="117"/>
        <v>0</v>
      </c>
      <c r="AL175" s="5">
        <f t="shared" ref="AL175:AW175" si="118">SUM(AL165:AL174)</f>
        <v>0</v>
      </c>
      <c r="AM175" s="5">
        <f t="shared" si="118"/>
        <v>0</v>
      </c>
      <c r="AN175" s="5">
        <f t="shared" si="118"/>
        <v>0</v>
      </c>
      <c r="AO175" s="5">
        <f t="shared" si="118"/>
        <v>0</v>
      </c>
      <c r="AP175" s="5">
        <f t="shared" si="118"/>
        <v>0</v>
      </c>
      <c r="AQ175" s="5">
        <f t="shared" si="118"/>
        <v>0</v>
      </c>
      <c r="AR175" s="5">
        <f t="shared" si="118"/>
        <v>0</v>
      </c>
      <c r="AS175" s="5">
        <f t="shared" si="118"/>
        <v>0</v>
      </c>
      <c r="AT175" s="5">
        <f t="shared" si="118"/>
        <v>0</v>
      </c>
      <c r="AU175" s="5">
        <f t="shared" si="118"/>
        <v>0</v>
      </c>
      <c r="AV175" s="5">
        <f t="shared" si="118"/>
        <v>0</v>
      </c>
      <c r="AW175" s="5">
        <f t="shared" si="118"/>
        <v>0</v>
      </c>
      <c r="AX175" s="5">
        <f t="shared" si="117"/>
        <v>1</v>
      </c>
      <c r="AY175" s="5">
        <f t="shared" ref="AY175" si="119">SUM(AY165:AY174)</f>
        <v>0</v>
      </c>
      <c r="AZ175" s="5">
        <f t="shared" si="117"/>
        <v>0</v>
      </c>
      <c r="BA175" s="5">
        <f t="shared" si="115"/>
        <v>0</v>
      </c>
      <c r="BB175" s="5">
        <f t="shared" si="115"/>
        <v>0</v>
      </c>
      <c r="BC175" s="5">
        <f t="shared" si="115"/>
        <v>0</v>
      </c>
      <c r="BD175" s="5">
        <f t="shared" si="115"/>
        <v>0</v>
      </c>
      <c r="BE175" s="5">
        <f t="shared" si="115"/>
        <v>1</v>
      </c>
      <c r="BF175" s="5">
        <f t="shared" si="115"/>
        <v>0</v>
      </c>
      <c r="BG175" s="5">
        <f t="shared" si="115"/>
        <v>0</v>
      </c>
      <c r="BH175" s="5">
        <f t="shared" si="115"/>
        <v>0</v>
      </c>
      <c r="BI175" s="5">
        <f t="shared" si="115"/>
        <v>0</v>
      </c>
      <c r="BJ175" s="5">
        <f t="shared" si="115"/>
        <v>0</v>
      </c>
      <c r="BK175" s="5">
        <f t="shared" si="115"/>
        <v>9</v>
      </c>
    </row>
    <row r="176" spans="1:63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</row>
    <row r="177" spans="1:63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>
        <v>1</v>
      </c>
      <c r="G177" s="6"/>
      <c r="H177" s="6"/>
      <c r="I177" s="6"/>
      <c r="J177" s="6">
        <v>1</v>
      </c>
      <c r="K177" s="6"/>
      <c r="L177" s="6"/>
      <c r="M177" s="6"/>
      <c r="N177" s="6"/>
      <c r="O177" s="6">
        <v>1</v>
      </c>
      <c r="P177" s="6">
        <v>1</v>
      </c>
      <c r="Q177" s="6">
        <v>2</v>
      </c>
      <c r="R177" s="6">
        <v>1</v>
      </c>
      <c r="S177" s="6">
        <v>1</v>
      </c>
      <c r="T177" s="6"/>
      <c r="U177" s="6"/>
      <c r="V177" s="6"/>
      <c r="W177" s="6"/>
      <c r="X177" s="6"/>
      <c r="Y177" s="6">
        <v>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>
        <v>1</v>
      </c>
      <c r="AK177" s="6">
        <v>2</v>
      </c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>
        <v>1</v>
      </c>
      <c r="AX177" s="6"/>
      <c r="AY177" s="6"/>
      <c r="AZ177" s="6"/>
      <c r="BA177" s="6"/>
      <c r="BB177" s="6"/>
      <c r="BC177" s="6"/>
      <c r="BD177" s="6"/>
      <c r="BE177" s="6"/>
      <c r="BF177" s="6"/>
      <c r="BG177" s="6">
        <v>1</v>
      </c>
      <c r="BH177" s="6">
        <v>2</v>
      </c>
      <c r="BI177" s="6"/>
      <c r="BJ177" s="6"/>
      <c r="BK177" s="5">
        <f t="shared" ref="BK177:BK186" si="120">SUM(E177:BJ177)</f>
        <v>16</v>
      </c>
    </row>
    <row r="178" spans="1:63" x14ac:dyDescent="0.4">
      <c r="A178" s="11" t="s">
        <v>50</v>
      </c>
      <c r="B178" s="50"/>
      <c r="C178" s="24" t="s">
        <v>200</v>
      </c>
      <c r="D178" s="51"/>
      <c r="E178" s="6"/>
      <c r="F178" s="6">
        <v>1</v>
      </c>
      <c r="G178" s="6"/>
      <c r="H178" s="6"/>
      <c r="I178" s="6"/>
      <c r="J178" s="6"/>
      <c r="K178" s="6"/>
      <c r="L178" s="6"/>
      <c r="M178" s="6"/>
      <c r="N178" s="6"/>
      <c r="O178" s="6">
        <v>1</v>
      </c>
      <c r="P178" s="6"/>
      <c r="Q178" s="6">
        <v>1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>
        <v>2</v>
      </c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>
        <v>1</v>
      </c>
      <c r="BE178" s="6">
        <v>1</v>
      </c>
      <c r="BF178" s="6"/>
      <c r="BG178" s="6"/>
      <c r="BH178" s="6"/>
      <c r="BI178" s="6">
        <v>5</v>
      </c>
      <c r="BJ178" s="6"/>
      <c r="BK178" s="5">
        <f t="shared" si="120"/>
        <v>12</v>
      </c>
    </row>
    <row r="179" spans="1:63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>
        <v>1</v>
      </c>
      <c r="Z179" s="6"/>
      <c r="AA179" s="6"/>
      <c r="AB179" s="6"/>
      <c r="AC179" s="6"/>
      <c r="AD179" s="6"/>
      <c r="AE179" s="6"/>
      <c r="AF179" s="6"/>
      <c r="AG179" s="6"/>
      <c r="AH179" s="6">
        <v>1</v>
      </c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>
        <v>1</v>
      </c>
      <c r="BH179" s="6"/>
      <c r="BI179" s="6"/>
      <c r="BJ179" s="6"/>
      <c r="BK179" s="5">
        <f t="shared" si="120"/>
        <v>3</v>
      </c>
    </row>
    <row r="180" spans="1:63" x14ac:dyDescent="0.4">
      <c r="A180" s="7"/>
      <c r="B180" s="50"/>
      <c r="C180" s="24" t="s">
        <v>202</v>
      </c>
      <c r="D180" s="5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>
        <v>4</v>
      </c>
      <c r="AU180" s="6"/>
      <c r="AV180" s="6"/>
      <c r="AW180" s="6"/>
      <c r="AX180" s="6">
        <v>1</v>
      </c>
      <c r="AY180" s="6"/>
      <c r="AZ180" s="6"/>
      <c r="BA180" s="6"/>
      <c r="BB180" s="6"/>
      <c r="BC180" s="6"/>
      <c r="BD180" s="6"/>
      <c r="BE180" s="6"/>
      <c r="BF180" s="6"/>
      <c r="BG180" s="6">
        <v>1</v>
      </c>
      <c r="BH180" s="6"/>
      <c r="BI180" s="6"/>
      <c r="BJ180" s="6">
        <v>1</v>
      </c>
      <c r="BK180" s="5">
        <f t="shared" si="120"/>
        <v>7</v>
      </c>
    </row>
    <row r="181" spans="1:63" x14ac:dyDescent="0.4">
      <c r="A181" s="7"/>
      <c r="B181" s="50"/>
      <c r="C181" s="24" t="s">
        <v>203</v>
      </c>
      <c r="D181" s="5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>
        <v>1</v>
      </c>
      <c r="U181" s="6"/>
      <c r="V181" s="6"/>
      <c r="W181" s="6"/>
      <c r="X181" s="6">
        <v>2</v>
      </c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>
        <v>1</v>
      </c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5">
        <f t="shared" si="120"/>
        <v>4</v>
      </c>
    </row>
    <row r="182" spans="1:63" x14ac:dyDescent="0.4">
      <c r="A182" s="7"/>
      <c r="B182" s="50"/>
      <c r="C182" s="24" t="s">
        <v>204</v>
      </c>
      <c r="D182" s="5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>
        <v>1</v>
      </c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>
        <v>1</v>
      </c>
      <c r="AW182" s="6"/>
      <c r="AX182" s="6">
        <v>1</v>
      </c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>
        <v>1</v>
      </c>
      <c r="BJ182" s="6"/>
      <c r="BK182" s="5">
        <f t="shared" si="120"/>
        <v>4</v>
      </c>
    </row>
    <row r="183" spans="1:63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5">
        <f t="shared" si="120"/>
        <v>0</v>
      </c>
    </row>
    <row r="184" spans="1:63" x14ac:dyDescent="0.4">
      <c r="A184" s="7"/>
      <c r="B184" s="50"/>
      <c r="C184" s="24" t="s">
        <v>206</v>
      </c>
      <c r="D184" s="51"/>
      <c r="E184" s="6"/>
      <c r="F184" s="6">
        <v>1</v>
      </c>
      <c r="G184" s="6">
        <v>3</v>
      </c>
      <c r="H184" s="6"/>
      <c r="I184" s="6">
        <v>1</v>
      </c>
      <c r="J184" s="6">
        <v>1</v>
      </c>
      <c r="K184" s="6"/>
      <c r="L184" s="6"/>
      <c r="M184" s="6">
        <v>3</v>
      </c>
      <c r="N184" s="6"/>
      <c r="O184" s="6">
        <v>6</v>
      </c>
      <c r="P184" s="6">
        <v>9</v>
      </c>
      <c r="Q184" s="6">
        <v>52</v>
      </c>
      <c r="R184" s="6">
        <v>5</v>
      </c>
      <c r="S184" s="6">
        <v>1</v>
      </c>
      <c r="T184" s="6">
        <v>1</v>
      </c>
      <c r="U184" s="6"/>
      <c r="V184" s="6"/>
      <c r="W184" s="6"/>
      <c r="X184" s="6"/>
      <c r="Y184" s="6">
        <v>3</v>
      </c>
      <c r="Z184" s="6"/>
      <c r="AA184" s="6">
        <v>1</v>
      </c>
      <c r="AB184" s="6"/>
      <c r="AC184" s="6"/>
      <c r="AD184" s="6"/>
      <c r="AE184" s="6">
        <v>7</v>
      </c>
      <c r="AF184" s="6"/>
      <c r="AG184" s="6">
        <v>1</v>
      </c>
      <c r="AH184" s="6">
        <v>8</v>
      </c>
      <c r="AI184" s="6">
        <v>1</v>
      </c>
      <c r="AJ184" s="6"/>
      <c r="AK184" s="6"/>
      <c r="AL184" s="6"/>
      <c r="AM184" s="6"/>
      <c r="AN184" s="6"/>
      <c r="AO184" s="6"/>
      <c r="AP184" s="6"/>
      <c r="AQ184" s="6"/>
      <c r="AR184" s="6">
        <v>5</v>
      </c>
      <c r="AS184" s="6"/>
      <c r="AT184" s="6">
        <v>1</v>
      </c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>
        <v>4</v>
      </c>
      <c r="BH184" s="6"/>
      <c r="BI184" s="6"/>
      <c r="BJ184" s="6"/>
      <c r="BK184" s="5">
        <f t="shared" si="120"/>
        <v>114</v>
      </c>
    </row>
    <row r="185" spans="1:63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5">
        <f t="shared" si="120"/>
        <v>0</v>
      </c>
    </row>
    <row r="186" spans="1:63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5">
        <f t="shared" si="120"/>
        <v>0</v>
      </c>
    </row>
    <row r="187" spans="1:63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BK187" si="121">SUM(E177:E186)</f>
        <v>0</v>
      </c>
      <c r="F187" s="5">
        <f t="shared" si="121"/>
        <v>3</v>
      </c>
      <c r="G187" s="5">
        <f t="shared" si="121"/>
        <v>3</v>
      </c>
      <c r="H187" s="5">
        <f t="shared" si="121"/>
        <v>0</v>
      </c>
      <c r="I187" s="5">
        <f t="shared" si="121"/>
        <v>1</v>
      </c>
      <c r="J187" s="5">
        <f t="shared" si="121"/>
        <v>2</v>
      </c>
      <c r="K187" s="5">
        <f t="shared" si="121"/>
        <v>0</v>
      </c>
      <c r="L187" s="5">
        <f t="shared" si="121"/>
        <v>0</v>
      </c>
      <c r="M187" s="5">
        <f t="shared" si="121"/>
        <v>3</v>
      </c>
      <c r="N187" s="5">
        <f t="shared" si="121"/>
        <v>0</v>
      </c>
      <c r="O187" s="5">
        <f t="shared" si="121"/>
        <v>8</v>
      </c>
      <c r="P187" s="5">
        <f t="shared" si="121"/>
        <v>10</v>
      </c>
      <c r="Q187" s="5">
        <f t="shared" si="121"/>
        <v>55</v>
      </c>
      <c r="R187" s="5">
        <f t="shared" si="121"/>
        <v>6</v>
      </c>
      <c r="S187" s="5">
        <f t="shared" ref="S187:AA187" si="122">SUM(S177:S186)</f>
        <v>2</v>
      </c>
      <c r="T187" s="5">
        <f t="shared" si="122"/>
        <v>2</v>
      </c>
      <c r="U187" s="5">
        <f t="shared" si="122"/>
        <v>0</v>
      </c>
      <c r="V187" s="5">
        <f t="shared" si="122"/>
        <v>0</v>
      </c>
      <c r="W187" s="5">
        <f t="shared" si="122"/>
        <v>0</v>
      </c>
      <c r="X187" s="5">
        <f t="shared" si="122"/>
        <v>2</v>
      </c>
      <c r="Y187" s="5">
        <f t="shared" si="122"/>
        <v>5</v>
      </c>
      <c r="Z187" s="5">
        <f t="shared" si="122"/>
        <v>0</v>
      </c>
      <c r="AA187" s="5">
        <f t="shared" si="122"/>
        <v>1</v>
      </c>
      <c r="AB187" s="5">
        <f t="shared" ref="AB187:AZ187" si="123">SUM(AB177:AB186)</f>
        <v>0</v>
      </c>
      <c r="AC187" s="5">
        <f t="shared" si="123"/>
        <v>0</v>
      </c>
      <c r="AD187" s="5">
        <f t="shared" si="123"/>
        <v>0</v>
      </c>
      <c r="AE187" s="5">
        <f t="shared" si="123"/>
        <v>7</v>
      </c>
      <c r="AF187" s="5">
        <f t="shared" si="123"/>
        <v>0</v>
      </c>
      <c r="AG187" s="5">
        <f t="shared" si="123"/>
        <v>2</v>
      </c>
      <c r="AH187" s="5">
        <f t="shared" si="123"/>
        <v>11</v>
      </c>
      <c r="AI187" s="5">
        <f t="shared" si="123"/>
        <v>1</v>
      </c>
      <c r="AJ187" s="5">
        <f t="shared" si="123"/>
        <v>1</v>
      </c>
      <c r="AK187" s="5">
        <f t="shared" si="123"/>
        <v>2</v>
      </c>
      <c r="AL187" s="5">
        <f t="shared" ref="AL187:AW187" si="124">SUM(AL177:AL186)</f>
        <v>0</v>
      </c>
      <c r="AM187" s="5">
        <f t="shared" si="124"/>
        <v>0</v>
      </c>
      <c r="AN187" s="5">
        <f t="shared" si="124"/>
        <v>0</v>
      </c>
      <c r="AO187" s="5">
        <f t="shared" si="124"/>
        <v>0</v>
      </c>
      <c r="AP187" s="5">
        <f t="shared" si="124"/>
        <v>0</v>
      </c>
      <c r="AQ187" s="5">
        <f t="shared" si="124"/>
        <v>0</v>
      </c>
      <c r="AR187" s="5">
        <f t="shared" si="124"/>
        <v>5</v>
      </c>
      <c r="AS187" s="5">
        <f t="shared" si="124"/>
        <v>1</v>
      </c>
      <c r="AT187" s="5">
        <f t="shared" si="124"/>
        <v>5</v>
      </c>
      <c r="AU187" s="5">
        <f t="shared" si="124"/>
        <v>0</v>
      </c>
      <c r="AV187" s="5">
        <f t="shared" si="124"/>
        <v>1</v>
      </c>
      <c r="AW187" s="5">
        <f t="shared" si="124"/>
        <v>1</v>
      </c>
      <c r="AX187" s="5">
        <f t="shared" si="123"/>
        <v>2</v>
      </c>
      <c r="AY187" s="5">
        <f t="shared" ref="AY187" si="125">SUM(AY177:AY186)</f>
        <v>0</v>
      </c>
      <c r="AZ187" s="5">
        <f t="shared" si="123"/>
        <v>0</v>
      </c>
      <c r="BA187" s="5">
        <f t="shared" si="121"/>
        <v>0</v>
      </c>
      <c r="BB187" s="5">
        <f t="shared" si="121"/>
        <v>0</v>
      </c>
      <c r="BC187" s="5">
        <f t="shared" si="121"/>
        <v>0</v>
      </c>
      <c r="BD187" s="5">
        <f t="shared" si="121"/>
        <v>1</v>
      </c>
      <c r="BE187" s="5">
        <f t="shared" si="121"/>
        <v>1</v>
      </c>
      <c r="BF187" s="5">
        <f t="shared" si="121"/>
        <v>0</v>
      </c>
      <c r="BG187" s="5">
        <f t="shared" si="121"/>
        <v>7</v>
      </c>
      <c r="BH187" s="5">
        <f t="shared" si="121"/>
        <v>2</v>
      </c>
      <c r="BI187" s="5">
        <f t="shared" si="121"/>
        <v>6</v>
      </c>
      <c r="BJ187" s="5">
        <f t="shared" si="121"/>
        <v>1</v>
      </c>
      <c r="BK187" s="5">
        <f t="shared" si="121"/>
        <v>160</v>
      </c>
    </row>
    <row r="188" spans="1:63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5"/>
    </row>
    <row r="189" spans="1:63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>
        <v>1</v>
      </c>
      <c r="AR189" s="6"/>
      <c r="AS189" s="6">
        <v>1</v>
      </c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5">
        <f t="shared" ref="BK189:BK198" si="126">SUM(E189:BJ189)</f>
        <v>2</v>
      </c>
    </row>
    <row r="190" spans="1:63" x14ac:dyDescent="0.4">
      <c r="A190" s="11" t="s">
        <v>50</v>
      </c>
      <c r="B190" s="50"/>
      <c r="C190" s="24" t="s">
        <v>207</v>
      </c>
      <c r="D190" s="5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>
        <v>1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>
        <v>1</v>
      </c>
      <c r="BK190" s="5">
        <f t="shared" si="126"/>
        <v>2</v>
      </c>
    </row>
    <row r="191" spans="1:63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>
        <v>1</v>
      </c>
      <c r="BG191" s="6"/>
      <c r="BH191" s="6"/>
      <c r="BI191" s="6"/>
      <c r="BJ191" s="6"/>
      <c r="BK191" s="5">
        <f t="shared" si="126"/>
        <v>1</v>
      </c>
    </row>
    <row r="192" spans="1:63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5">
        <f t="shared" si="126"/>
        <v>0</v>
      </c>
    </row>
    <row r="193" spans="1:63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>
        <v>1</v>
      </c>
      <c r="BF193" s="6"/>
      <c r="BG193" s="6"/>
      <c r="BH193" s="6"/>
      <c r="BI193" s="6"/>
      <c r="BJ193" s="6"/>
      <c r="BK193" s="5">
        <f t="shared" si="126"/>
        <v>1</v>
      </c>
    </row>
    <row r="194" spans="1:63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5">
        <f t="shared" si="126"/>
        <v>0</v>
      </c>
    </row>
    <row r="195" spans="1:63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5">
        <f t="shared" si="126"/>
        <v>0</v>
      </c>
    </row>
    <row r="196" spans="1:63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>
        <v>1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5">
        <f t="shared" si="126"/>
        <v>1</v>
      </c>
    </row>
    <row r="197" spans="1:63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5">
        <f t="shared" si="126"/>
        <v>0</v>
      </c>
    </row>
    <row r="198" spans="1:63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5">
        <f t="shared" si="126"/>
        <v>0</v>
      </c>
    </row>
    <row r="199" spans="1:63" x14ac:dyDescent="0.4">
      <c r="A199" s="6" t="s">
        <v>26</v>
      </c>
      <c r="B199" s="85" t="s">
        <v>51</v>
      </c>
      <c r="C199" s="93"/>
      <c r="D199" s="94"/>
      <c r="E199" s="5">
        <f t="shared" ref="E199:BK199" si="127">SUM(E189:E198)</f>
        <v>0</v>
      </c>
      <c r="F199" s="5">
        <f t="shared" si="127"/>
        <v>0</v>
      </c>
      <c r="G199" s="5">
        <f t="shared" si="127"/>
        <v>0</v>
      </c>
      <c r="H199" s="5">
        <f t="shared" si="127"/>
        <v>0</v>
      </c>
      <c r="I199" s="5">
        <f t="shared" si="127"/>
        <v>0</v>
      </c>
      <c r="J199" s="5">
        <f t="shared" si="127"/>
        <v>0</v>
      </c>
      <c r="K199" s="5">
        <f t="shared" si="127"/>
        <v>0</v>
      </c>
      <c r="L199" s="5">
        <f t="shared" si="127"/>
        <v>0</v>
      </c>
      <c r="M199" s="5">
        <f t="shared" si="127"/>
        <v>0</v>
      </c>
      <c r="N199" s="5">
        <f t="shared" si="127"/>
        <v>0</v>
      </c>
      <c r="O199" s="5">
        <f t="shared" si="127"/>
        <v>0</v>
      </c>
      <c r="P199" s="5">
        <f t="shared" si="127"/>
        <v>0</v>
      </c>
      <c r="Q199" s="5">
        <f t="shared" si="127"/>
        <v>0</v>
      </c>
      <c r="R199" s="5">
        <f t="shared" si="127"/>
        <v>0</v>
      </c>
      <c r="S199" s="5">
        <f t="shared" ref="S199:AA199" si="128">SUM(S189:S198)</f>
        <v>0</v>
      </c>
      <c r="T199" s="5">
        <f t="shared" si="128"/>
        <v>0</v>
      </c>
      <c r="U199" s="5">
        <f t="shared" si="128"/>
        <v>0</v>
      </c>
      <c r="V199" s="5">
        <f t="shared" si="128"/>
        <v>0</v>
      </c>
      <c r="W199" s="5">
        <f t="shared" si="128"/>
        <v>0</v>
      </c>
      <c r="X199" s="5">
        <f t="shared" si="128"/>
        <v>0</v>
      </c>
      <c r="Y199" s="5">
        <f t="shared" si="128"/>
        <v>1</v>
      </c>
      <c r="Z199" s="5">
        <f t="shared" si="128"/>
        <v>0</v>
      </c>
      <c r="AA199" s="5">
        <f t="shared" si="128"/>
        <v>0</v>
      </c>
      <c r="AB199" s="5">
        <f t="shared" ref="AB199:AZ199" si="129">SUM(AB189:AB198)</f>
        <v>0</v>
      </c>
      <c r="AC199" s="5">
        <f t="shared" si="129"/>
        <v>0</v>
      </c>
      <c r="AD199" s="5">
        <f t="shared" si="129"/>
        <v>1</v>
      </c>
      <c r="AE199" s="5">
        <f t="shared" si="129"/>
        <v>0</v>
      </c>
      <c r="AF199" s="5">
        <f t="shared" si="129"/>
        <v>0</v>
      </c>
      <c r="AG199" s="5">
        <f t="shared" si="129"/>
        <v>0</v>
      </c>
      <c r="AH199" s="5">
        <f t="shared" si="129"/>
        <v>0</v>
      </c>
      <c r="AI199" s="5">
        <f t="shared" si="129"/>
        <v>0</v>
      </c>
      <c r="AJ199" s="5">
        <f t="shared" si="129"/>
        <v>0</v>
      </c>
      <c r="AK199" s="5">
        <f t="shared" si="129"/>
        <v>0</v>
      </c>
      <c r="AL199" s="5">
        <f t="shared" ref="AL199:AW199" si="130">SUM(AL189:AL198)</f>
        <v>0</v>
      </c>
      <c r="AM199" s="5">
        <f t="shared" si="130"/>
        <v>0</v>
      </c>
      <c r="AN199" s="5">
        <f t="shared" si="130"/>
        <v>0</v>
      </c>
      <c r="AO199" s="5">
        <f t="shared" si="130"/>
        <v>0</v>
      </c>
      <c r="AP199" s="5">
        <f t="shared" si="130"/>
        <v>0</v>
      </c>
      <c r="AQ199" s="5">
        <f t="shared" si="130"/>
        <v>1</v>
      </c>
      <c r="AR199" s="5">
        <f t="shared" si="130"/>
        <v>0</v>
      </c>
      <c r="AS199" s="5">
        <f t="shared" si="130"/>
        <v>1</v>
      </c>
      <c r="AT199" s="5">
        <f t="shared" si="130"/>
        <v>0</v>
      </c>
      <c r="AU199" s="5">
        <f t="shared" si="130"/>
        <v>0</v>
      </c>
      <c r="AV199" s="5">
        <f t="shared" si="130"/>
        <v>0</v>
      </c>
      <c r="AW199" s="5">
        <f t="shared" si="130"/>
        <v>0</v>
      </c>
      <c r="AX199" s="5">
        <f t="shared" si="129"/>
        <v>0</v>
      </c>
      <c r="AY199" s="5">
        <f t="shared" ref="AY199" si="131">SUM(AY189:AY198)</f>
        <v>0</v>
      </c>
      <c r="AZ199" s="5">
        <f t="shared" si="129"/>
        <v>0</v>
      </c>
      <c r="BA199" s="5">
        <f t="shared" si="127"/>
        <v>0</v>
      </c>
      <c r="BB199" s="5">
        <f t="shared" si="127"/>
        <v>0</v>
      </c>
      <c r="BC199" s="5">
        <f t="shared" si="127"/>
        <v>0</v>
      </c>
      <c r="BD199" s="5">
        <f t="shared" si="127"/>
        <v>0</v>
      </c>
      <c r="BE199" s="5">
        <f t="shared" si="127"/>
        <v>1</v>
      </c>
      <c r="BF199" s="5">
        <f t="shared" si="127"/>
        <v>1</v>
      </c>
      <c r="BG199" s="5">
        <f t="shared" si="127"/>
        <v>0</v>
      </c>
      <c r="BH199" s="5">
        <f t="shared" si="127"/>
        <v>0</v>
      </c>
      <c r="BI199" s="5">
        <f t="shared" si="127"/>
        <v>0</v>
      </c>
      <c r="BJ199" s="5">
        <f t="shared" si="127"/>
        <v>1</v>
      </c>
      <c r="BK199" s="5">
        <f t="shared" si="127"/>
        <v>7</v>
      </c>
    </row>
    <row r="200" spans="1:63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</row>
    <row r="201" spans="1:63" x14ac:dyDescent="0.4">
      <c r="A201" s="11" t="s">
        <v>48</v>
      </c>
      <c r="B201" s="17" t="s">
        <v>73</v>
      </c>
      <c r="C201" s="92" t="s">
        <v>74</v>
      </c>
      <c r="D201" s="66"/>
      <c r="E201" s="6">
        <v>4</v>
      </c>
      <c r="F201" s="6"/>
      <c r="G201" s="6">
        <v>5</v>
      </c>
      <c r="H201" s="6">
        <v>1</v>
      </c>
      <c r="I201" s="6">
        <v>10</v>
      </c>
      <c r="J201" s="6">
        <v>10</v>
      </c>
      <c r="K201" s="6">
        <v>11</v>
      </c>
      <c r="L201" s="6">
        <v>5</v>
      </c>
      <c r="M201" s="6">
        <v>16</v>
      </c>
      <c r="N201" s="6"/>
      <c r="O201" s="6">
        <v>11</v>
      </c>
      <c r="P201" s="6">
        <v>4</v>
      </c>
      <c r="Q201" s="6">
        <v>4</v>
      </c>
      <c r="R201" s="6">
        <v>7</v>
      </c>
      <c r="S201" s="6">
        <v>4</v>
      </c>
      <c r="T201" s="6">
        <v>3</v>
      </c>
      <c r="U201" s="6">
        <v>8</v>
      </c>
      <c r="V201" s="6">
        <v>9</v>
      </c>
      <c r="W201" s="6">
        <v>8</v>
      </c>
      <c r="X201" s="6">
        <v>9</v>
      </c>
      <c r="Y201" s="6">
        <v>5</v>
      </c>
      <c r="Z201" s="6">
        <v>2</v>
      </c>
      <c r="AA201" s="6">
        <v>1</v>
      </c>
      <c r="AB201" s="6">
        <v>4</v>
      </c>
      <c r="AC201" s="6">
        <v>4</v>
      </c>
      <c r="AD201" s="6">
        <v>7</v>
      </c>
      <c r="AE201" s="6">
        <v>3</v>
      </c>
      <c r="AF201" s="6">
        <v>5</v>
      </c>
      <c r="AG201" s="6">
        <v>2</v>
      </c>
      <c r="AH201" s="6">
        <v>14</v>
      </c>
      <c r="AI201" s="6">
        <v>10</v>
      </c>
      <c r="AJ201" s="6">
        <v>7</v>
      </c>
      <c r="AK201" s="6">
        <v>8</v>
      </c>
      <c r="AL201" s="6">
        <v>7</v>
      </c>
      <c r="AM201" s="6">
        <v>6</v>
      </c>
      <c r="AN201" s="6">
        <v>7</v>
      </c>
      <c r="AO201" s="6">
        <v>1</v>
      </c>
      <c r="AP201" s="6">
        <v>11</v>
      </c>
      <c r="AQ201" s="6">
        <v>7</v>
      </c>
      <c r="AR201" s="6">
        <v>7</v>
      </c>
      <c r="AS201" s="6">
        <v>3</v>
      </c>
      <c r="AT201" s="6">
        <v>6</v>
      </c>
      <c r="AU201" s="6">
        <v>9</v>
      </c>
      <c r="AV201" s="6">
        <v>10</v>
      </c>
      <c r="AW201" s="6">
        <v>8</v>
      </c>
      <c r="AX201" s="6">
        <v>3</v>
      </c>
      <c r="AY201" s="6">
        <v>4</v>
      </c>
      <c r="AZ201" s="6">
        <v>7</v>
      </c>
      <c r="BA201" s="6">
        <v>11</v>
      </c>
      <c r="BB201" s="6">
        <v>7</v>
      </c>
      <c r="BC201" s="6">
        <v>2</v>
      </c>
      <c r="BD201" s="6">
        <v>5</v>
      </c>
      <c r="BE201" s="6">
        <v>3</v>
      </c>
      <c r="BF201" s="6">
        <v>2</v>
      </c>
      <c r="BG201" s="6">
        <v>6</v>
      </c>
      <c r="BH201" s="6">
        <v>4</v>
      </c>
      <c r="BI201" s="6">
        <v>1</v>
      </c>
      <c r="BJ201" s="6">
        <v>5</v>
      </c>
      <c r="BK201" s="5">
        <f t="shared" ref="BK201:BK210" si="132">SUM(E201:BJ201)</f>
        <v>343</v>
      </c>
    </row>
    <row r="202" spans="1:63" x14ac:dyDescent="0.4">
      <c r="A202" s="11" t="s">
        <v>50</v>
      </c>
      <c r="B202" s="50"/>
      <c r="C202" s="24" t="s">
        <v>214</v>
      </c>
      <c r="D202" s="51"/>
      <c r="E202" s="6">
        <v>31</v>
      </c>
      <c r="F202" s="6">
        <v>45</v>
      </c>
      <c r="G202" s="6">
        <v>65</v>
      </c>
      <c r="H202" s="6">
        <v>22</v>
      </c>
      <c r="I202" s="6">
        <v>77</v>
      </c>
      <c r="J202" s="6">
        <v>106</v>
      </c>
      <c r="K202" s="6">
        <v>87</v>
      </c>
      <c r="L202" s="6">
        <v>155</v>
      </c>
      <c r="M202" s="6">
        <v>65</v>
      </c>
      <c r="N202" s="6">
        <v>89</v>
      </c>
      <c r="O202" s="6">
        <v>75</v>
      </c>
      <c r="P202" s="6">
        <v>43</v>
      </c>
      <c r="Q202" s="6">
        <v>27</v>
      </c>
      <c r="R202" s="6">
        <v>49</v>
      </c>
      <c r="S202" s="6">
        <v>58</v>
      </c>
      <c r="T202" s="6">
        <v>33</v>
      </c>
      <c r="U202" s="6">
        <v>50</v>
      </c>
      <c r="V202" s="6">
        <v>64</v>
      </c>
      <c r="W202" s="6">
        <v>82</v>
      </c>
      <c r="X202" s="6">
        <v>86</v>
      </c>
      <c r="Y202" s="6">
        <v>34</v>
      </c>
      <c r="Z202" s="6">
        <v>59</v>
      </c>
      <c r="AA202" s="6">
        <v>28</v>
      </c>
      <c r="AB202" s="6">
        <v>23</v>
      </c>
      <c r="AC202" s="6">
        <v>69</v>
      </c>
      <c r="AD202" s="6">
        <v>25</v>
      </c>
      <c r="AE202" s="6">
        <v>24</v>
      </c>
      <c r="AF202" s="6">
        <v>35</v>
      </c>
      <c r="AG202" s="6">
        <v>30</v>
      </c>
      <c r="AH202" s="6">
        <v>57</v>
      </c>
      <c r="AI202" s="6">
        <v>47</v>
      </c>
      <c r="AJ202" s="6">
        <v>25</v>
      </c>
      <c r="AK202" s="6">
        <v>53</v>
      </c>
      <c r="AL202" s="6">
        <v>67</v>
      </c>
      <c r="AM202" s="6">
        <v>37</v>
      </c>
      <c r="AN202" s="6">
        <v>42</v>
      </c>
      <c r="AO202" s="6">
        <v>14</v>
      </c>
      <c r="AP202" s="6">
        <v>74</v>
      </c>
      <c r="AQ202" s="6">
        <v>51</v>
      </c>
      <c r="AR202" s="6">
        <v>36</v>
      </c>
      <c r="AS202" s="6">
        <v>30</v>
      </c>
      <c r="AT202" s="6">
        <v>64</v>
      </c>
      <c r="AU202" s="6">
        <v>45</v>
      </c>
      <c r="AV202" s="6">
        <v>53</v>
      </c>
      <c r="AW202" s="6">
        <v>39</v>
      </c>
      <c r="AX202" s="6">
        <v>35</v>
      </c>
      <c r="AY202" s="6">
        <v>60</v>
      </c>
      <c r="AZ202" s="6">
        <v>32</v>
      </c>
      <c r="BA202" s="6">
        <v>76</v>
      </c>
      <c r="BB202" s="6">
        <v>22</v>
      </c>
      <c r="BC202" s="6">
        <v>88</v>
      </c>
      <c r="BD202" s="6">
        <v>60</v>
      </c>
      <c r="BE202" s="6">
        <v>20</v>
      </c>
      <c r="BF202" s="6">
        <v>19</v>
      </c>
      <c r="BG202" s="6">
        <v>31</v>
      </c>
      <c r="BH202" s="6">
        <v>19</v>
      </c>
      <c r="BI202" s="6">
        <v>21</v>
      </c>
      <c r="BJ202" s="6">
        <v>73</v>
      </c>
      <c r="BK202" s="5">
        <f t="shared" si="132"/>
        <v>2926</v>
      </c>
    </row>
    <row r="203" spans="1:63" x14ac:dyDescent="0.4">
      <c r="A203" s="7"/>
      <c r="B203" s="50"/>
      <c r="C203" s="24" t="s">
        <v>215</v>
      </c>
      <c r="D203" s="51"/>
      <c r="E203" s="6"/>
      <c r="F203" s="6"/>
      <c r="G203" s="6"/>
      <c r="H203" s="6"/>
      <c r="I203" s="6"/>
      <c r="J203" s="6"/>
      <c r="K203" s="6">
        <v>3</v>
      </c>
      <c r="L203" s="6"/>
      <c r="M203" s="6">
        <v>2</v>
      </c>
      <c r="N203" s="6"/>
      <c r="O203" s="6">
        <v>2</v>
      </c>
      <c r="P203" s="6">
        <v>1</v>
      </c>
      <c r="Q203" s="6">
        <v>3</v>
      </c>
      <c r="R203" s="6"/>
      <c r="S203" s="6">
        <v>1</v>
      </c>
      <c r="T203" s="6">
        <v>1</v>
      </c>
      <c r="U203" s="6"/>
      <c r="V203" s="6">
        <v>1</v>
      </c>
      <c r="W203" s="6">
        <v>1</v>
      </c>
      <c r="X203" s="6">
        <v>1</v>
      </c>
      <c r="Y203" s="6">
        <v>1</v>
      </c>
      <c r="Z203" s="6">
        <v>2</v>
      </c>
      <c r="AA203" s="6">
        <v>1</v>
      </c>
      <c r="AB203" s="6"/>
      <c r="AC203" s="6"/>
      <c r="AD203" s="6"/>
      <c r="AE203" s="6">
        <v>1</v>
      </c>
      <c r="AF203" s="6"/>
      <c r="AG203" s="6">
        <v>1</v>
      </c>
      <c r="AH203" s="6">
        <v>2</v>
      </c>
      <c r="AI203" s="6"/>
      <c r="AJ203" s="6">
        <v>1</v>
      </c>
      <c r="AK203" s="6">
        <v>1</v>
      </c>
      <c r="AL203" s="6"/>
      <c r="AM203" s="6"/>
      <c r="AN203" s="6">
        <v>1</v>
      </c>
      <c r="AO203" s="6"/>
      <c r="AP203" s="6">
        <v>1</v>
      </c>
      <c r="AQ203" s="6">
        <v>1</v>
      </c>
      <c r="AR203" s="6">
        <v>1</v>
      </c>
      <c r="AS203" s="6">
        <v>1</v>
      </c>
      <c r="AT203" s="6">
        <v>1</v>
      </c>
      <c r="AU203" s="6">
        <v>1</v>
      </c>
      <c r="AV203" s="6">
        <v>1</v>
      </c>
      <c r="AW203" s="6"/>
      <c r="AX203" s="6">
        <v>1</v>
      </c>
      <c r="AY203" s="6"/>
      <c r="AZ203" s="6"/>
      <c r="BA203" s="6">
        <v>1</v>
      </c>
      <c r="BB203" s="6"/>
      <c r="BC203" s="6">
        <v>1</v>
      </c>
      <c r="BD203" s="6"/>
      <c r="BE203" s="6">
        <v>1</v>
      </c>
      <c r="BF203" s="6"/>
      <c r="BG203" s="6">
        <v>2</v>
      </c>
      <c r="BH203" s="6"/>
      <c r="BI203" s="6">
        <v>1</v>
      </c>
      <c r="BJ203" s="6">
        <v>2</v>
      </c>
      <c r="BK203" s="5">
        <f t="shared" si="132"/>
        <v>43</v>
      </c>
    </row>
    <row r="204" spans="1:63" x14ac:dyDescent="0.4">
      <c r="A204" s="7"/>
      <c r="B204" s="50"/>
      <c r="C204" s="24" t="s">
        <v>216</v>
      </c>
      <c r="D204" s="51"/>
      <c r="E204" s="6"/>
      <c r="F204" s="6"/>
      <c r="G204" s="6">
        <v>1</v>
      </c>
      <c r="H204" s="6"/>
      <c r="I204" s="6"/>
      <c r="J204" s="6"/>
      <c r="K204" s="6"/>
      <c r="L204" s="6"/>
      <c r="M204" s="6"/>
      <c r="N204" s="6"/>
      <c r="O204" s="6">
        <v>1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>
        <v>1</v>
      </c>
      <c r="AA204" s="6"/>
      <c r="AB204" s="6"/>
      <c r="AC204" s="6"/>
      <c r="AD204" s="6"/>
      <c r="AE204" s="6"/>
      <c r="AF204" s="6"/>
      <c r="AG204" s="6"/>
      <c r="AH204" s="6"/>
      <c r="AI204" s="6">
        <v>1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>
        <v>1</v>
      </c>
      <c r="AT204" s="6"/>
      <c r="AU204" s="6"/>
      <c r="AV204" s="6"/>
      <c r="AW204" s="6">
        <v>2</v>
      </c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5">
        <f t="shared" si="132"/>
        <v>7</v>
      </c>
    </row>
    <row r="205" spans="1:63" x14ac:dyDescent="0.4">
      <c r="A205" s="7"/>
      <c r="B205" s="50"/>
      <c r="C205" s="24" t="s">
        <v>217</v>
      </c>
      <c r="D205" s="51"/>
      <c r="E205" s="6">
        <v>1</v>
      </c>
      <c r="F205" s="6"/>
      <c r="G205" s="6"/>
      <c r="H205" s="6"/>
      <c r="I205" s="6"/>
      <c r="J205" s="6"/>
      <c r="K205" s="6"/>
      <c r="L205" s="6"/>
      <c r="M205" s="6"/>
      <c r="N205" s="6"/>
      <c r="O205" s="6">
        <v>1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>
        <v>1</v>
      </c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>
        <v>1</v>
      </c>
      <c r="AX205" s="6"/>
      <c r="AY205" s="6"/>
      <c r="AZ205" s="6">
        <v>1</v>
      </c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5">
        <f t="shared" si="132"/>
        <v>5</v>
      </c>
    </row>
    <row r="206" spans="1:63" x14ac:dyDescent="0.4">
      <c r="A206" s="7"/>
      <c r="B206" s="50"/>
      <c r="C206" s="24" t="s">
        <v>218</v>
      </c>
      <c r="D206" s="51"/>
      <c r="E206" s="6"/>
      <c r="F206" s="6"/>
      <c r="G206" s="6">
        <v>1</v>
      </c>
      <c r="H206" s="6"/>
      <c r="I206" s="6"/>
      <c r="J206" s="6">
        <v>1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>
        <v>1</v>
      </c>
      <c r="AG206" s="6"/>
      <c r="AH206" s="6"/>
      <c r="AI206" s="6"/>
      <c r="AJ206" s="6"/>
      <c r="AK206" s="6"/>
      <c r="AL206" s="6"/>
      <c r="AM206" s="6">
        <v>2</v>
      </c>
      <c r="AN206" s="6">
        <v>4</v>
      </c>
      <c r="AO206" s="6"/>
      <c r="AP206" s="6"/>
      <c r="AQ206" s="6"/>
      <c r="AR206" s="6"/>
      <c r="AS206" s="6"/>
      <c r="AT206" s="6">
        <v>3</v>
      </c>
      <c r="AU206" s="6">
        <v>1</v>
      </c>
      <c r="AV206" s="6">
        <v>1</v>
      </c>
      <c r="AW206" s="6"/>
      <c r="AX206" s="6"/>
      <c r="AY206" s="6">
        <v>2</v>
      </c>
      <c r="AZ206" s="6">
        <v>2</v>
      </c>
      <c r="BA206" s="6"/>
      <c r="BB206" s="6"/>
      <c r="BC206" s="6"/>
      <c r="BD206" s="6"/>
      <c r="BE206" s="6"/>
      <c r="BF206" s="6"/>
      <c r="BG206" s="6"/>
      <c r="BH206" s="6">
        <v>2</v>
      </c>
      <c r="BI206" s="6"/>
      <c r="BJ206" s="6"/>
      <c r="BK206" s="5">
        <f t="shared" si="132"/>
        <v>20</v>
      </c>
    </row>
    <row r="207" spans="1:63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>
        <v>1</v>
      </c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5">
        <f t="shared" si="132"/>
        <v>1</v>
      </c>
    </row>
    <row r="208" spans="1:63" x14ac:dyDescent="0.4">
      <c r="A208" s="7"/>
      <c r="B208" s="50"/>
      <c r="C208" s="24" t="s">
        <v>220</v>
      </c>
      <c r="D208" s="5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>
        <v>1</v>
      </c>
      <c r="R208" s="6"/>
      <c r="S208" s="6"/>
      <c r="T208" s="6"/>
      <c r="U208" s="6"/>
      <c r="V208" s="6"/>
      <c r="W208" s="6"/>
      <c r="X208" s="6"/>
      <c r="Y208" s="6">
        <v>2</v>
      </c>
      <c r="Z208" s="6"/>
      <c r="AA208" s="6"/>
      <c r="AB208" s="6"/>
      <c r="AC208" s="6"/>
      <c r="AD208" s="6">
        <v>1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>
        <v>1</v>
      </c>
      <c r="AS208" s="6">
        <v>1</v>
      </c>
      <c r="AT208" s="6"/>
      <c r="AU208" s="6"/>
      <c r="AV208" s="6"/>
      <c r="AW208" s="6">
        <v>1</v>
      </c>
      <c r="AX208" s="6"/>
      <c r="AY208" s="6">
        <v>1</v>
      </c>
      <c r="AZ208" s="6"/>
      <c r="BA208" s="6"/>
      <c r="BB208" s="6"/>
      <c r="BC208" s="6">
        <v>1</v>
      </c>
      <c r="BD208" s="6"/>
      <c r="BE208" s="6"/>
      <c r="BF208" s="6"/>
      <c r="BG208" s="6">
        <v>1</v>
      </c>
      <c r="BH208" s="6"/>
      <c r="BI208" s="6"/>
      <c r="BJ208" s="6"/>
      <c r="BK208" s="5">
        <f t="shared" si="132"/>
        <v>10</v>
      </c>
    </row>
    <row r="209" spans="1:63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5">
        <f t="shared" si="132"/>
        <v>0</v>
      </c>
    </row>
    <row r="210" spans="1:63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5">
        <f t="shared" si="132"/>
        <v>0</v>
      </c>
    </row>
    <row r="211" spans="1:63" x14ac:dyDescent="0.4">
      <c r="A211" s="6" t="s">
        <v>26</v>
      </c>
      <c r="B211" s="85" t="s">
        <v>51</v>
      </c>
      <c r="C211" s="93"/>
      <c r="D211" s="94"/>
      <c r="E211" s="5">
        <f t="shared" ref="E211:BK211" si="133">SUM(E201:E210)</f>
        <v>36</v>
      </c>
      <c r="F211" s="5">
        <f t="shared" si="133"/>
        <v>45</v>
      </c>
      <c r="G211" s="5">
        <f t="shared" si="133"/>
        <v>72</v>
      </c>
      <c r="H211" s="5">
        <f t="shared" si="133"/>
        <v>23</v>
      </c>
      <c r="I211" s="5">
        <f t="shared" si="133"/>
        <v>87</v>
      </c>
      <c r="J211" s="5">
        <f t="shared" si="133"/>
        <v>117</v>
      </c>
      <c r="K211" s="5">
        <f t="shared" si="133"/>
        <v>101</v>
      </c>
      <c r="L211" s="5">
        <f t="shared" si="133"/>
        <v>160</v>
      </c>
      <c r="M211" s="5">
        <f t="shared" si="133"/>
        <v>83</v>
      </c>
      <c r="N211" s="5">
        <f t="shared" si="133"/>
        <v>89</v>
      </c>
      <c r="O211" s="5">
        <f t="shared" si="133"/>
        <v>90</v>
      </c>
      <c r="P211" s="5">
        <f t="shared" si="133"/>
        <v>48</v>
      </c>
      <c r="Q211" s="5">
        <f t="shared" si="133"/>
        <v>35</v>
      </c>
      <c r="R211" s="5">
        <f t="shared" si="133"/>
        <v>56</v>
      </c>
      <c r="S211" s="5">
        <f t="shared" ref="S211:AA211" si="134">SUM(S201:S210)</f>
        <v>63</v>
      </c>
      <c r="T211" s="5">
        <f t="shared" si="134"/>
        <v>37</v>
      </c>
      <c r="U211" s="5">
        <f t="shared" si="134"/>
        <v>58</v>
      </c>
      <c r="V211" s="5">
        <f t="shared" si="134"/>
        <v>74</v>
      </c>
      <c r="W211" s="5">
        <f t="shared" si="134"/>
        <v>91</v>
      </c>
      <c r="X211" s="5">
        <f t="shared" si="134"/>
        <v>96</v>
      </c>
      <c r="Y211" s="5">
        <f t="shared" si="134"/>
        <v>42</v>
      </c>
      <c r="Z211" s="5">
        <f t="shared" si="134"/>
        <v>64</v>
      </c>
      <c r="AA211" s="5">
        <f t="shared" si="134"/>
        <v>30</v>
      </c>
      <c r="AB211" s="5">
        <f t="shared" ref="AB211:AZ211" si="135">SUM(AB201:AB210)</f>
        <v>27</v>
      </c>
      <c r="AC211" s="5">
        <f t="shared" si="135"/>
        <v>73</v>
      </c>
      <c r="AD211" s="5">
        <f t="shared" si="135"/>
        <v>33</v>
      </c>
      <c r="AE211" s="5">
        <f t="shared" si="135"/>
        <v>28</v>
      </c>
      <c r="AF211" s="5">
        <f t="shared" si="135"/>
        <v>41</v>
      </c>
      <c r="AG211" s="5">
        <f t="shared" si="135"/>
        <v>33</v>
      </c>
      <c r="AH211" s="5">
        <f t="shared" si="135"/>
        <v>74</v>
      </c>
      <c r="AI211" s="5">
        <f t="shared" si="135"/>
        <v>58</v>
      </c>
      <c r="AJ211" s="5">
        <f t="shared" si="135"/>
        <v>33</v>
      </c>
      <c r="AK211" s="5">
        <f t="shared" si="135"/>
        <v>62</v>
      </c>
      <c r="AL211" s="5">
        <f t="shared" ref="AL211:AW211" si="136">SUM(AL201:AL210)</f>
        <v>74</v>
      </c>
      <c r="AM211" s="5">
        <f t="shared" si="136"/>
        <v>45</v>
      </c>
      <c r="AN211" s="5">
        <f t="shared" si="136"/>
        <v>54</v>
      </c>
      <c r="AO211" s="5">
        <f t="shared" si="136"/>
        <v>16</v>
      </c>
      <c r="AP211" s="5">
        <f t="shared" si="136"/>
        <v>86</v>
      </c>
      <c r="AQ211" s="5">
        <f t="shared" si="136"/>
        <v>59</v>
      </c>
      <c r="AR211" s="5">
        <f t="shared" si="136"/>
        <v>45</v>
      </c>
      <c r="AS211" s="5">
        <f t="shared" si="136"/>
        <v>36</v>
      </c>
      <c r="AT211" s="5">
        <f t="shared" si="136"/>
        <v>74</v>
      </c>
      <c r="AU211" s="5">
        <f t="shared" si="136"/>
        <v>56</v>
      </c>
      <c r="AV211" s="5">
        <f t="shared" si="136"/>
        <v>65</v>
      </c>
      <c r="AW211" s="5">
        <f t="shared" si="136"/>
        <v>51</v>
      </c>
      <c r="AX211" s="5">
        <f t="shared" si="135"/>
        <v>39</v>
      </c>
      <c r="AY211" s="5">
        <f t="shared" ref="AY211" si="137">SUM(AY201:AY210)</f>
        <v>67</v>
      </c>
      <c r="AZ211" s="5">
        <f t="shared" si="135"/>
        <v>42</v>
      </c>
      <c r="BA211" s="5">
        <f t="shared" si="133"/>
        <v>88</v>
      </c>
      <c r="BB211" s="5">
        <f t="shared" si="133"/>
        <v>29</v>
      </c>
      <c r="BC211" s="5">
        <f t="shared" si="133"/>
        <v>92</v>
      </c>
      <c r="BD211" s="5">
        <f t="shared" si="133"/>
        <v>65</v>
      </c>
      <c r="BE211" s="5">
        <f t="shared" si="133"/>
        <v>24</v>
      </c>
      <c r="BF211" s="5">
        <f t="shared" si="133"/>
        <v>21</v>
      </c>
      <c r="BG211" s="5">
        <f t="shared" si="133"/>
        <v>40</v>
      </c>
      <c r="BH211" s="5">
        <f t="shared" si="133"/>
        <v>25</v>
      </c>
      <c r="BI211" s="5">
        <f t="shared" si="133"/>
        <v>23</v>
      </c>
      <c r="BJ211" s="5">
        <f t="shared" si="133"/>
        <v>80</v>
      </c>
      <c r="BK211" s="5">
        <f t="shared" si="133"/>
        <v>3355</v>
      </c>
    </row>
    <row r="212" spans="1:63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</row>
    <row r="213" spans="1:63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/>
      <c r="H213" s="6"/>
      <c r="I213" s="6"/>
      <c r="J213" s="6"/>
      <c r="K213" s="6"/>
      <c r="L213" s="6"/>
      <c r="M213" s="6">
        <v>1</v>
      </c>
      <c r="N213" s="6"/>
      <c r="O213" s="6"/>
      <c r="P213" s="6"/>
      <c r="Q213" s="6">
        <v>1</v>
      </c>
      <c r="R213" s="6"/>
      <c r="S213" s="6"/>
      <c r="T213" s="6"/>
      <c r="U213" s="6"/>
      <c r="V213" s="6">
        <v>2</v>
      </c>
      <c r="W213" s="6"/>
      <c r="X213" s="6"/>
      <c r="Y213" s="6">
        <v>1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>
        <v>1</v>
      </c>
      <c r="AK213" s="6">
        <v>1</v>
      </c>
      <c r="AL213" s="6"/>
      <c r="AM213" s="6"/>
      <c r="AN213" s="6"/>
      <c r="AO213" s="6"/>
      <c r="AP213" s="6">
        <v>1</v>
      </c>
      <c r="AQ213" s="6">
        <v>1</v>
      </c>
      <c r="AR213" s="6"/>
      <c r="AS213" s="6"/>
      <c r="AT213" s="6"/>
      <c r="AU213" s="6"/>
      <c r="AV213" s="6">
        <v>1</v>
      </c>
      <c r="AW213" s="6"/>
      <c r="AX213" s="6">
        <v>1</v>
      </c>
      <c r="AY213" s="6"/>
      <c r="AZ213" s="6">
        <v>2</v>
      </c>
      <c r="BA213" s="6"/>
      <c r="BB213" s="6"/>
      <c r="BC213" s="6"/>
      <c r="BD213" s="6">
        <v>1</v>
      </c>
      <c r="BE213" s="6"/>
      <c r="BF213" s="6"/>
      <c r="BG213" s="6"/>
      <c r="BH213" s="6">
        <v>1</v>
      </c>
      <c r="BI213" s="6"/>
      <c r="BJ213" s="6"/>
      <c r="BK213" s="5">
        <f t="shared" ref="BK213:BK222" si="138">SUM(E213:BJ213)</f>
        <v>15</v>
      </c>
    </row>
    <row r="214" spans="1:63" x14ac:dyDescent="0.4">
      <c r="A214" s="11" t="s">
        <v>50</v>
      </c>
      <c r="B214" s="50"/>
      <c r="C214" s="24" t="s">
        <v>221</v>
      </c>
      <c r="D214" s="5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>
        <v>1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>
        <v>1</v>
      </c>
      <c r="AL214" s="6"/>
      <c r="AM214" s="6">
        <v>1</v>
      </c>
      <c r="AN214" s="6"/>
      <c r="AO214" s="6"/>
      <c r="AP214" s="6">
        <v>2</v>
      </c>
      <c r="AQ214" s="6"/>
      <c r="AR214" s="6">
        <v>1</v>
      </c>
      <c r="AS214" s="6"/>
      <c r="AT214" s="6"/>
      <c r="AU214" s="6">
        <v>1</v>
      </c>
      <c r="AV214" s="6">
        <v>1</v>
      </c>
      <c r="AW214" s="6">
        <v>1</v>
      </c>
      <c r="AX214" s="6">
        <v>3</v>
      </c>
      <c r="AY214" s="6">
        <v>2</v>
      </c>
      <c r="AZ214" s="6"/>
      <c r="BA214" s="6"/>
      <c r="BB214" s="6">
        <v>1</v>
      </c>
      <c r="BC214" s="6"/>
      <c r="BD214" s="6"/>
      <c r="BE214" s="6"/>
      <c r="BF214" s="6"/>
      <c r="BG214" s="6">
        <v>1</v>
      </c>
      <c r="BH214" s="6">
        <v>1</v>
      </c>
      <c r="BI214" s="6">
        <v>1</v>
      </c>
      <c r="BJ214" s="6"/>
      <c r="BK214" s="5">
        <f t="shared" si="138"/>
        <v>18</v>
      </c>
    </row>
    <row r="215" spans="1:63" x14ac:dyDescent="0.4">
      <c r="A215" s="7"/>
      <c r="B215" s="50"/>
      <c r="C215" s="24" t="s">
        <v>222</v>
      </c>
      <c r="D215" s="5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>
        <v>1</v>
      </c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5">
        <f t="shared" si="138"/>
        <v>1</v>
      </c>
    </row>
    <row r="216" spans="1:63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5">
        <f t="shared" si="138"/>
        <v>0</v>
      </c>
    </row>
    <row r="217" spans="1:6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5">
        <f t="shared" si="138"/>
        <v>0</v>
      </c>
    </row>
    <row r="218" spans="1:6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5">
        <f t="shared" si="138"/>
        <v>0</v>
      </c>
    </row>
    <row r="219" spans="1:6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5">
        <f t="shared" si="138"/>
        <v>0</v>
      </c>
    </row>
    <row r="220" spans="1:6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5">
        <f t="shared" si="138"/>
        <v>0</v>
      </c>
    </row>
    <row r="221" spans="1:6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5">
        <f t="shared" si="138"/>
        <v>0</v>
      </c>
    </row>
    <row r="222" spans="1:6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5">
        <f t="shared" si="138"/>
        <v>0</v>
      </c>
    </row>
    <row r="223" spans="1:63" x14ac:dyDescent="0.4">
      <c r="A223" s="6" t="s">
        <v>26</v>
      </c>
      <c r="B223" s="85" t="s">
        <v>51</v>
      </c>
      <c r="C223" s="93"/>
      <c r="D223" s="94"/>
      <c r="E223" s="5">
        <f t="shared" ref="E223:BK223" si="139">SUM(E213:E222)</f>
        <v>0</v>
      </c>
      <c r="F223" s="5">
        <f t="shared" si="139"/>
        <v>0</v>
      </c>
      <c r="G223" s="5">
        <f t="shared" si="139"/>
        <v>0</v>
      </c>
      <c r="H223" s="5">
        <f t="shared" si="139"/>
        <v>0</v>
      </c>
      <c r="I223" s="5">
        <f t="shared" si="139"/>
        <v>0</v>
      </c>
      <c r="J223" s="5">
        <f t="shared" si="139"/>
        <v>0</v>
      </c>
      <c r="K223" s="5">
        <f t="shared" si="139"/>
        <v>0</v>
      </c>
      <c r="L223" s="5">
        <f t="shared" si="139"/>
        <v>0</v>
      </c>
      <c r="M223" s="5">
        <f t="shared" si="139"/>
        <v>1</v>
      </c>
      <c r="N223" s="5">
        <f t="shared" si="139"/>
        <v>0</v>
      </c>
      <c r="O223" s="5">
        <f t="shared" si="139"/>
        <v>0</v>
      </c>
      <c r="P223" s="5">
        <f t="shared" si="139"/>
        <v>0</v>
      </c>
      <c r="Q223" s="5">
        <f t="shared" si="139"/>
        <v>1</v>
      </c>
      <c r="R223" s="5">
        <f t="shared" si="139"/>
        <v>0</v>
      </c>
      <c r="S223" s="5">
        <f t="shared" ref="S223:AA223" si="140">SUM(S213:S222)</f>
        <v>0</v>
      </c>
      <c r="T223" s="5">
        <f t="shared" si="140"/>
        <v>1</v>
      </c>
      <c r="U223" s="5">
        <f t="shared" si="140"/>
        <v>0</v>
      </c>
      <c r="V223" s="5">
        <f t="shared" si="140"/>
        <v>2</v>
      </c>
      <c r="W223" s="5">
        <f t="shared" si="140"/>
        <v>0</v>
      </c>
      <c r="X223" s="5">
        <f t="shared" si="140"/>
        <v>0</v>
      </c>
      <c r="Y223" s="5">
        <f t="shared" si="140"/>
        <v>1</v>
      </c>
      <c r="Z223" s="5">
        <f t="shared" si="140"/>
        <v>0</v>
      </c>
      <c r="AA223" s="5">
        <f t="shared" si="140"/>
        <v>0</v>
      </c>
      <c r="AB223" s="5">
        <f t="shared" ref="AB223:AZ223" si="141">SUM(AB213:AB222)</f>
        <v>0</v>
      </c>
      <c r="AC223" s="5">
        <f t="shared" si="141"/>
        <v>0</v>
      </c>
      <c r="AD223" s="5">
        <f t="shared" si="141"/>
        <v>0</v>
      </c>
      <c r="AE223" s="5">
        <f t="shared" si="141"/>
        <v>0</v>
      </c>
      <c r="AF223" s="5">
        <f t="shared" si="141"/>
        <v>0</v>
      </c>
      <c r="AG223" s="5">
        <f t="shared" si="141"/>
        <v>1</v>
      </c>
      <c r="AH223" s="5">
        <f t="shared" si="141"/>
        <v>0</v>
      </c>
      <c r="AI223" s="5">
        <f t="shared" si="141"/>
        <v>0</v>
      </c>
      <c r="AJ223" s="5">
        <f t="shared" si="141"/>
        <v>1</v>
      </c>
      <c r="AK223" s="5">
        <f t="shared" si="141"/>
        <v>2</v>
      </c>
      <c r="AL223" s="5">
        <f t="shared" ref="AL223:AW223" si="142">SUM(AL213:AL222)</f>
        <v>0</v>
      </c>
      <c r="AM223" s="5">
        <f t="shared" si="142"/>
        <v>1</v>
      </c>
      <c r="AN223" s="5">
        <f t="shared" si="142"/>
        <v>0</v>
      </c>
      <c r="AO223" s="5">
        <f t="shared" si="142"/>
        <v>0</v>
      </c>
      <c r="AP223" s="5">
        <f t="shared" si="142"/>
        <v>3</v>
      </c>
      <c r="AQ223" s="5">
        <f t="shared" si="142"/>
        <v>1</v>
      </c>
      <c r="AR223" s="5">
        <f t="shared" si="142"/>
        <v>1</v>
      </c>
      <c r="AS223" s="5">
        <f t="shared" si="142"/>
        <v>0</v>
      </c>
      <c r="AT223" s="5">
        <f t="shared" si="142"/>
        <v>0</v>
      </c>
      <c r="AU223" s="5">
        <f t="shared" si="142"/>
        <v>1</v>
      </c>
      <c r="AV223" s="5">
        <f t="shared" si="142"/>
        <v>2</v>
      </c>
      <c r="AW223" s="5">
        <f t="shared" si="142"/>
        <v>1</v>
      </c>
      <c r="AX223" s="5">
        <f t="shared" si="141"/>
        <v>4</v>
      </c>
      <c r="AY223" s="5">
        <f t="shared" ref="AY223" si="143">SUM(AY213:AY222)</f>
        <v>2</v>
      </c>
      <c r="AZ223" s="5">
        <f t="shared" si="141"/>
        <v>2</v>
      </c>
      <c r="BA223" s="5">
        <f t="shared" si="139"/>
        <v>0</v>
      </c>
      <c r="BB223" s="5">
        <f t="shared" si="139"/>
        <v>1</v>
      </c>
      <c r="BC223" s="5">
        <f t="shared" si="139"/>
        <v>0</v>
      </c>
      <c r="BD223" s="5">
        <f t="shared" si="139"/>
        <v>1</v>
      </c>
      <c r="BE223" s="5">
        <f t="shared" si="139"/>
        <v>0</v>
      </c>
      <c r="BF223" s="5">
        <f t="shared" si="139"/>
        <v>0</v>
      </c>
      <c r="BG223" s="5">
        <f t="shared" si="139"/>
        <v>1</v>
      </c>
      <c r="BH223" s="5">
        <f t="shared" si="139"/>
        <v>2</v>
      </c>
      <c r="BI223" s="5">
        <f t="shared" si="139"/>
        <v>1</v>
      </c>
      <c r="BJ223" s="5">
        <f t="shared" si="139"/>
        <v>0</v>
      </c>
      <c r="BK223" s="5">
        <f t="shared" si="139"/>
        <v>34</v>
      </c>
    </row>
    <row r="224" spans="1:63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</row>
    <row r="225" spans="1:63" x14ac:dyDescent="0.4">
      <c r="A225" s="11" t="s">
        <v>48</v>
      </c>
      <c r="B225" s="17" t="s">
        <v>77</v>
      </c>
      <c r="C225" s="92" t="s">
        <v>78</v>
      </c>
      <c r="D225" s="66"/>
      <c r="E225" s="6">
        <v>1</v>
      </c>
      <c r="F225" s="6"/>
      <c r="G225" s="6"/>
      <c r="H225" s="6"/>
      <c r="I225" s="6"/>
      <c r="J225" s="6"/>
      <c r="K225" s="6"/>
      <c r="L225" s="6"/>
      <c r="M225" s="6"/>
      <c r="N225" s="6"/>
      <c r="O225" s="6">
        <v>1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>
        <v>1</v>
      </c>
      <c r="AI225" s="6"/>
      <c r="AJ225" s="6"/>
      <c r="AK225" s="6"/>
      <c r="AL225" s="6">
        <v>2</v>
      </c>
      <c r="AM225" s="6"/>
      <c r="AN225" s="6">
        <v>1</v>
      </c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>
        <v>1</v>
      </c>
      <c r="BD225" s="6"/>
      <c r="BE225" s="6">
        <v>1</v>
      </c>
      <c r="BF225" s="6">
        <v>1</v>
      </c>
      <c r="BG225" s="6"/>
      <c r="BH225" s="6"/>
      <c r="BI225" s="6"/>
      <c r="BJ225" s="6"/>
      <c r="BK225" s="5">
        <f t="shared" ref="BK225:BK234" si="144">SUM(E225:BJ225)</f>
        <v>9</v>
      </c>
    </row>
    <row r="226" spans="1:63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>
        <v>1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>
        <v>1</v>
      </c>
      <c r="AK226" s="6"/>
      <c r="AL226" s="6">
        <v>6</v>
      </c>
      <c r="AM226" s="6"/>
      <c r="AN226" s="6">
        <v>3</v>
      </c>
      <c r="AO226" s="6">
        <v>1</v>
      </c>
      <c r="AP226" s="6"/>
      <c r="AQ226" s="6">
        <v>1</v>
      </c>
      <c r="AR226" s="6"/>
      <c r="AS226" s="6"/>
      <c r="AT226" s="6">
        <v>1</v>
      </c>
      <c r="AU226" s="6"/>
      <c r="AV226" s="6"/>
      <c r="AW226" s="6">
        <v>2</v>
      </c>
      <c r="AX226" s="6">
        <v>2</v>
      </c>
      <c r="AY226" s="6"/>
      <c r="AZ226" s="6"/>
      <c r="BA226" s="6"/>
      <c r="BB226" s="6">
        <v>1</v>
      </c>
      <c r="BC226" s="6">
        <v>2</v>
      </c>
      <c r="BD226" s="6"/>
      <c r="BE226" s="6">
        <v>1</v>
      </c>
      <c r="BF226" s="6">
        <v>4</v>
      </c>
      <c r="BG226" s="6"/>
      <c r="BH226" s="6"/>
      <c r="BI226" s="6"/>
      <c r="BJ226" s="6"/>
      <c r="BK226" s="5">
        <f t="shared" si="144"/>
        <v>26</v>
      </c>
    </row>
    <row r="227" spans="1:63" x14ac:dyDescent="0.4">
      <c r="A227" s="7"/>
      <c r="B227" s="17"/>
      <c r="C227" s="24" t="s">
        <v>224</v>
      </c>
      <c r="D227" s="49"/>
      <c r="E227" s="6"/>
      <c r="F227" s="6"/>
      <c r="G227" s="6">
        <v>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>
        <v>1</v>
      </c>
      <c r="AO227" s="6"/>
      <c r="AP227" s="6"/>
      <c r="AQ227" s="6"/>
      <c r="AR227" s="6"/>
      <c r="AS227" s="6"/>
      <c r="AT227" s="6"/>
      <c r="AU227" s="6"/>
      <c r="AV227" s="6"/>
      <c r="AW227" s="6"/>
      <c r="AX227" s="6">
        <v>2</v>
      </c>
      <c r="AY227" s="6"/>
      <c r="AZ227" s="6"/>
      <c r="BA227" s="6"/>
      <c r="BB227" s="6"/>
      <c r="BC227" s="6"/>
      <c r="BD227" s="6"/>
      <c r="BE227" s="6"/>
      <c r="BF227" s="6"/>
      <c r="BG227" s="6">
        <v>1</v>
      </c>
      <c r="BH227" s="6"/>
      <c r="BI227" s="6"/>
      <c r="BJ227" s="6"/>
      <c r="BK227" s="5">
        <f t="shared" si="144"/>
        <v>5</v>
      </c>
    </row>
    <row r="228" spans="1:63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5">
        <f t="shared" si="144"/>
        <v>0</v>
      </c>
    </row>
    <row r="229" spans="1:63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5">
        <f t="shared" si="144"/>
        <v>0</v>
      </c>
    </row>
    <row r="230" spans="1:6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5">
        <f t="shared" si="144"/>
        <v>0</v>
      </c>
    </row>
    <row r="231" spans="1:6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5">
        <f t="shared" si="144"/>
        <v>0</v>
      </c>
    </row>
    <row r="232" spans="1:6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5">
        <f t="shared" si="144"/>
        <v>0</v>
      </c>
    </row>
    <row r="233" spans="1:6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5">
        <f t="shared" si="144"/>
        <v>0</v>
      </c>
    </row>
    <row r="234" spans="1:6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5">
        <f t="shared" si="144"/>
        <v>0</v>
      </c>
    </row>
    <row r="235" spans="1:63" x14ac:dyDescent="0.4">
      <c r="A235" s="6" t="s">
        <v>26</v>
      </c>
      <c r="B235" s="85" t="s">
        <v>51</v>
      </c>
      <c r="C235" s="93"/>
      <c r="D235" s="94"/>
      <c r="E235" s="5">
        <f t="shared" ref="E235:BK235" si="145">SUM(E225:E234)</f>
        <v>1</v>
      </c>
      <c r="F235" s="5">
        <f t="shared" si="145"/>
        <v>0</v>
      </c>
      <c r="G235" s="5">
        <f t="shared" si="145"/>
        <v>1</v>
      </c>
      <c r="H235" s="5">
        <f t="shared" si="145"/>
        <v>0</v>
      </c>
      <c r="I235" s="5">
        <f t="shared" si="145"/>
        <v>0</v>
      </c>
      <c r="J235" s="5">
        <f t="shared" si="145"/>
        <v>0</v>
      </c>
      <c r="K235" s="5">
        <f t="shared" si="145"/>
        <v>0</v>
      </c>
      <c r="L235" s="5">
        <f t="shared" si="145"/>
        <v>0</v>
      </c>
      <c r="M235" s="5">
        <f t="shared" si="145"/>
        <v>0</v>
      </c>
      <c r="N235" s="5">
        <f t="shared" si="145"/>
        <v>0</v>
      </c>
      <c r="O235" s="5">
        <f t="shared" si="145"/>
        <v>1</v>
      </c>
      <c r="P235" s="5">
        <f t="shared" si="145"/>
        <v>0</v>
      </c>
      <c r="Q235" s="5">
        <f t="shared" si="145"/>
        <v>1</v>
      </c>
      <c r="R235" s="5">
        <f t="shared" si="145"/>
        <v>0</v>
      </c>
      <c r="S235" s="5">
        <f t="shared" ref="S235:AA235" si="146">SUM(S225:S234)</f>
        <v>0</v>
      </c>
      <c r="T235" s="5">
        <f t="shared" si="146"/>
        <v>0</v>
      </c>
      <c r="U235" s="5">
        <f t="shared" si="146"/>
        <v>0</v>
      </c>
      <c r="V235" s="5">
        <f t="shared" si="146"/>
        <v>0</v>
      </c>
      <c r="W235" s="5">
        <f t="shared" si="146"/>
        <v>0</v>
      </c>
      <c r="X235" s="5">
        <f t="shared" si="146"/>
        <v>0</v>
      </c>
      <c r="Y235" s="5">
        <f t="shared" si="146"/>
        <v>0</v>
      </c>
      <c r="Z235" s="5">
        <f t="shared" si="146"/>
        <v>0</v>
      </c>
      <c r="AA235" s="5">
        <f t="shared" si="146"/>
        <v>0</v>
      </c>
      <c r="AB235" s="5">
        <f t="shared" ref="AB235:AZ235" si="147">SUM(AB225:AB234)</f>
        <v>0</v>
      </c>
      <c r="AC235" s="5">
        <f t="shared" si="147"/>
        <v>0</v>
      </c>
      <c r="AD235" s="5">
        <f t="shared" si="147"/>
        <v>0</v>
      </c>
      <c r="AE235" s="5">
        <f t="shared" si="147"/>
        <v>0</v>
      </c>
      <c r="AF235" s="5">
        <f t="shared" si="147"/>
        <v>0</v>
      </c>
      <c r="AG235" s="5">
        <f t="shared" si="147"/>
        <v>0</v>
      </c>
      <c r="AH235" s="5">
        <f t="shared" si="147"/>
        <v>1</v>
      </c>
      <c r="AI235" s="5">
        <f t="shared" si="147"/>
        <v>0</v>
      </c>
      <c r="AJ235" s="5">
        <f t="shared" si="147"/>
        <v>1</v>
      </c>
      <c r="AK235" s="5">
        <f t="shared" si="147"/>
        <v>0</v>
      </c>
      <c r="AL235" s="5">
        <f t="shared" ref="AL235:AW235" si="148">SUM(AL225:AL234)</f>
        <v>8</v>
      </c>
      <c r="AM235" s="5">
        <f t="shared" si="148"/>
        <v>0</v>
      </c>
      <c r="AN235" s="5">
        <f t="shared" si="148"/>
        <v>5</v>
      </c>
      <c r="AO235" s="5">
        <f t="shared" si="148"/>
        <v>1</v>
      </c>
      <c r="AP235" s="5">
        <f t="shared" si="148"/>
        <v>0</v>
      </c>
      <c r="AQ235" s="5">
        <f t="shared" si="148"/>
        <v>1</v>
      </c>
      <c r="AR235" s="5">
        <f t="shared" si="148"/>
        <v>0</v>
      </c>
      <c r="AS235" s="5">
        <f t="shared" si="148"/>
        <v>0</v>
      </c>
      <c r="AT235" s="5">
        <f t="shared" si="148"/>
        <v>1</v>
      </c>
      <c r="AU235" s="5">
        <f t="shared" si="148"/>
        <v>0</v>
      </c>
      <c r="AV235" s="5">
        <f t="shared" si="148"/>
        <v>0</v>
      </c>
      <c r="AW235" s="5">
        <f t="shared" si="148"/>
        <v>2</v>
      </c>
      <c r="AX235" s="5">
        <f t="shared" si="147"/>
        <v>4</v>
      </c>
      <c r="AY235" s="5">
        <f t="shared" ref="AY235" si="149">SUM(AY225:AY234)</f>
        <v>0</v>
      </c>
      <c r="AZ235" s="5">
        <f t="shared" si="147"/>
        <v>0</v>
      </c>
      <c r="BA235" s="5">
        <f t="shared" si="145"/>
        <v>0</v>
      </c>
      <c r="BB235" s="5">
        <f t="shared" si="145"/>
        <v>1</v>
      </c>
      <c r="BC235" s="5">
        <f t="shared" si="145"/>
        <v>3</v>
      </c>
      <c r="BD235" s="5">
        <f t="shared" si="145"/>
        <v>0</v>
      </c>
      <c r="BE235" s="5">
        <f t="shared" si="145"/>
        <v>2</v>
      </c>
      <c r="BF235" s="5">
        <f t="shared" si="145"/>
        <v>5</v>
      </c>
      <c r="BG235" s="5">
        <f t="shared" si="145"/>
        <v>1</v>
      </c>
      <c r="BH235" s="5">
        <f t="shared" si="145"/>
        <v>0</v>
      </c>
      <c r="BI235" s="5">
        <f t="shared" si="145"/>
        <v>0</v>
      </c>
      <c r="BJ235" s="5">
        <f t="shared" si="145"/>
        <v>0</v>
      </c>
      <c r="BK235" s="5">
        <f t="shared" si="145"/>
        <v>40</v>
      </c>
    </row>
    <row r="236" spans="1:63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</row>
    <row r="237" spans="1:63" x14ac:dyDescent="0.4">
      <c r="A237" s="11" t="s">
        <v>48</v>
      </c>
      <c r="B237" s="17" t="s">
        <v>79</v>
      </c>
      <c r="C237" s="92" t="s">
        <v>80</v>
      </c>
      <c r="D237" s="66"/>
      <c r="E237" s="6"/>
      <c r="F237" s="6"/>
      <c r="G237" s="6"/>
      <c r="H237" s="6"/>
      <c r="I237" s="6">
        <v>1</v>
      </c>
      <c r="J237" s="6">
        <v>1</v>
      </c>
      <c r="K237" s="6"/>
      <c r="L237" s="6"/>
      <c r="M237" s="6"/>
      <c r="N237" s="6"/>
      <c r="O237" s="6"/>
      <c r="P237" s="6"/>
      <c r="Q237" s="6">
        <v>1</v>
      </c>
      <c r="R237" s="6"/>
      <c r="S237" s="6"/>
      <c r="T237" s="6"/>
      <c r="U237" s="6"/>
      <c r="V237" s="6"/>
      <c r="W237" s="6"/>
      <c r="X237" s="6"/>
      <c r="Y237" s="6"/>
      <c r="Z237" s="6"/>
      <c r="AA237" s="6">
        <v>1</v>
      </c>
      <c r="AB237" s="6"/>
      <c r="AC237" s="6">
        <v>2</v>
      </c>
      <c r="AD237" s="6">
        <v>1</v>
      </c>
      <c r="AE237" s="6">
        <v>1</v>
      </c>
      <c r="AF237" s="6"/>
      <c r="AG237" s="6"/>
      <c r="AH237" s="6"/>
      <c r="AI237" s="6">
        <v>1</v>
      </c>
      <c r="AJ237" s="6"/>
      <c r="AK237" s="6"/>
      <c r="AL237" s="6"/>
      <c r="AM237" s="6"/>
      <c r="AN237" s="6"/>
      <c r="AO237" s="6"/>
      <c r="AP237" s="6"/>
      <c r="AQ237" s="6"/>
      <c r="AR237" s="6">
        <v>1</v>
      </c>
      <c r="AS237" s="6">
        <v>1</v>
      </c>
      <c r="AT237" s="6"/>
      <c r="AU237" s="6"/>
      <c r="AV237" s="6">
        <v>1</v>
      </c>
      <c r="AW237" s="6">
        <v>2</v>
      </c>
      <c r="AX237" s="6"/>
      <c r="AY237" s="6">
        <v>1</v>
      </c>
      <c r="AZ237" s="6">
        <v>2</v>
      </c>
      <c r="BA237" s="6"/>
      <c r="BB237" s="6">
        <v>3</v>
      </c>
      <c r="BC237" s="6"/>
      <c r="BD237" s="6"/>
      <c r="BE237" s="6">
        <v>1</v>
      </c>
      <c r="BF237" s="6"/>
      <c r="BG237" s="6">
        <v>4</v>
      </c>
      <c r="BH237" s="6"/>
      <c r="BI237" s="6">
        <v>3</v>
      </c>
      <c r="BJ237" s="6"/>
      <c r="BK237" s="5">
        <f t="shared" ref="BK237:BK246" si="150">SUM(E237:BJ237)</f>
        <v>28</v>
      </c>
    </row>
    <row r="238" spans="1:63" x14ac:dyDescent="0.4">
      <c r="A238" s="11" t="s">
        <v>50</v>
      </c>
      <c r="B238" s="50"/>
      <c r="C238" s="24" t="s">
        <v>227</v>
      </c>
      <c r="D238" s="5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>
        <v>1</v>
      </c>
      <c r="X238" s="6"/>
      <c r="Y238" s="6"/>
      <c r="Z238" s="6"/>
      <c r="AA238" s="6">
        <v>1</v>
      </c>
      <c r="AB238" s="6">
        <v>1</v>
      </c>
      <c r="AC238" s="6">
        <v>11</v>
      </c>
      <c r="AD238" s="6">
        <v>1</v>
      </c>
      <c r="AE238" s="6"/>
      <c r="AF238" s="6"/>
      <c r="AG238" s="6">
        <v>1</v>
      </c>
      <c r="AH238" s="6"/>
      <c r="AI238" s="6"/>
      <c r="AJ238" s="6"/>
      <c r="AK238" s="6"/>
      <c r="AL238" s="6"/>
      <c r="AM238" s="6">
        <v>1</v>
      </c>
      <c r="AN238" s="6"/>
      <c r="AO238" s="6"/>
      <c r="AP238" s="6"/>
      <c r="AQ238" s="6"/>
      <c r="AR238" s="6">
        <v>29</v>
      </c>
      <c r="AS238" s="6">
        <v>6</v>
      </c>
      <c r="AT238" s="6"/>
      <c r="AU238" s="6">
        <v>3</v>
      </c>
      <c r="AV238" s="6">
        <v>4</v>
      </c>
      <c r="AW238" s="6">
        <v>1</v>
      </c>
      <c r="AX238" s="6"/>
      <c r="AY238" s="6">
        <v>1</v>
      </c>
      <c r="AZ238" s="6">
        <v>1</v>
      </c>
      <c r="BA238" s="6"/>
      <c r="BB238" s="6">
        <v>9</v>
      </c>
      <c r="BC238" s="6">
        <v>14</v>
      </c>
      <c r="BD238" s="6"/>
      <c r="BE238" s="6"/>
      <c r="BF238" s="6"/>
      <c r="BG238" s="6">
        <v>8</v>
      </c>
      <c r="BH238" s="6">
        <v>12</v>
      </c>
      <c r="BI238" s="6">
        <v>2</v>
      </c>
      <c r="BJ238" s="6">
        <v>2</v>
      </c>
      <c r="BK238" s="5">
        <f t="shared" si="150"/>
        <v>109</v>
      </c>
    </row>
    <row r="239" spans="1:63" x14ac:dyDescent="0.4">
      <c r="A239" s="7"/>
      <c r="B239" s="50"/>
      <c r="C239" s="24" t="s">
        <v>228</v>
      </c>
      <c r="D239" s="51"/>
      <c r="E239" s="6"/>
      <c r="F239" s="6">
        <v>1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>
        <v>1</v>
      </c>
      <c r="AQ239" s="6"/>
      <c r="AR239" s="6"/>
      <c r="AS239" s="6"/>
      <c r="AT239" s="6"/>
      <c r="AU239" s="6"/>
      <c r="AV239" s="6">
        <v>2</v>
      </c>
      <c r="AW239" s="6"/>
      <c r="AX239" s="6">
        <v>1</v>
      </c>
      <c r="AY239" s="6">
        <v>1</v>
      </c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5">
        <f t="shared" si="150"/>
        <v>6</v>
      </c>
    </row>
    <row r="240" spans="1:63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>
        <v>1</v>
      </c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>
        <v>1</v>
      </c>
      <c r="AU240" s="6"/>
      <c r="AV240" s="6">
        <v>1</v>
      </c>
      <c r="AW240" s="6"/>
      <c r="AX240" s="6"/>
      <c r="AY240" s="6"/>
      <c r="AZ240" s="6"/>
      <c r="BA240" s="6"/>
      <c r="BB240" s="6"/>
      <c r="BC240" s="6"/>
      <c r="BD240" s="6"/>
      <c r="BE240" s="6"/>
      <c r="BF240" s="6">
        <v>2</v>
      </c>
      <c r="BG240" s="6"/>
      <c r="BH240" s="6"/>
      <c r="BI240" s="6"/>
      <c r="BJ240" s="6"/>
      <c r="BK240" s="5">
        <f t="shared" si="150"/>
        <v>5</v>
      </c>
    </row>
    <row r="241" spans="1:63" x14ac:dyDescent="0.4">
      <c r="A241" s="7"/>
      <c r="B241" s="50"/>
      <c r="C241" s="24" t="s">
        <v>230</v>
      </c>
      <c r="D241" s="51"/>
      <c r="E241" s="6"/>
      <c r="F241" s="6"/>
      <c r="G241" s="6">
        <v>1</v>
      </c>
      <c r="H241" s="6"/>
      <c r="I241" s="6"/>
      <c r="J241" s="6"/>
      <c r="K241" s="6"/>
      <c r="L241" s="6"/>
      <c r="M241" s="6"/>
      <c r="N241" s="6"/>
      <c r="O241" s="6">
        <v>1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>
        <v>1</v>
      </c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>
        <v>1</v>
      </c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>
        <v>1</v>
      </c>
      <c r="BF241" s="6"/>
      <c r="BG241" s="6">
        <v>1</v>
      </c>
      <c r="BH241" s="6"/>
      <c r="BI241" s="6"/>
      <c r="BJ241" s="6"/>
      <c r="BK241" s="5">
        <f t="shared" si="150"/>
        <v>6</v>
      </c>
    </row>
    <row r="242" spans="1:63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>
        <v>1</v>
      </c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5">
        <f t="shared" si="150"/>
        <v>1</v>
      </c>
    </row>
    <row r="243" spans="1:63" x14ac:dyDescent="0.4">
      <c r="A243" s="7"/>
      <c r="B243" s="50"/>
      <c r="C243" s="24" t="s">
        <v>232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>
        <v>1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>
        <v>1</v>
      </c>
      <c r="AT243" s="6"/>
      <c r="AU243" s="6">
        <v>1</v>
      </c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5">
        <f t="shared" si="150"/>
        <v>3</v>
      </c>
    </row>
    <row r="244" spans="1:63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5">
        <f t="shared" si="150"/>
        <v>0</v>
      </c>
    </row>
    <row r="245" spans="1:63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5">
        <f t="shared" si="150"/>
        <v>0</v>
      </c>
    </row>
    <row r="246" spans="1:63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5">
        <f t="shared" si="150"/>
        <v>0</v>
      </c>
    </row>
    <row r="247" spans="1:63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BK247" si="151">SUM(E237:E246)</f>
        <v>0</v>
      </c>
      <c r="F247" s="5">
        <f t="shared" si="151"/>
        <v>1</v>
      </c>
      <c r="G247" s="5">
        <f t="shared" si="151"/>
        <v>1</v>
      </c>
      <c r="H247" s="5">
        <f t="shared" si="151"/>
        <v>0</v>
      </c>
      <c r="I247" s="5">
        <f t="shared" si="151"/>
        <v>1</v>
      </c>
      <c r="J247" s="5">
        <f t="shared" si="151"/>
        <v>1</v>
      </c>
      <c r="K247" s="5">
        <f t="shared" si="151"/>
        <v>0</v>
      </c>
      <c r="L247" s="5">
        <f t="shared" si="151"/>
        <v>0</v>
      </c>
      <c r="M247" s="5">
        <f t="shared" si="151"/>
        <v>0</v>
      </c>
      <c r="N247" s="5">
        <f t="shared" si="151"/>
        <v>0</v>
      </c>
      <c r="O247" s="5">
        <f t="shared" si="151"/>
        <v>1</v>
      </c>
      <c r="P247" s="5">
        <f t="shared" si="151"/>
        <v>0</v>
      </c>
      <c r="Q247" s="5">
        <f t="shared" si="151"/>
        <v>1</v>
      </c>
      <c r="R247" s="5">
        <f t="shared" si="151"/>
        <v>0</v>
      </c>
      <c r="S247" s="5">
        <f t="shared" ref="S247:AA247" si="152">SUM(S237:S246)</f>
        <v>0</v>
      </c>
      <c r="T247" s="5">
        <f t="shared" si="152"/>
        <v>0</v>
      </c>
      <c r="U247" s="5">
        <f t="shared" si="152"/>
        <v>0</v>
      </c>
      <c r="V247" s="5">
        <f t="shared" si="152"/>
        <v>0</v>
      </c>
      <c r="W247" s="5">
        <f t="shared" si="152"/>
        <v>2</v>
      </c>
      <c r="X247" s="5">
        <f t="shared" si="152"/>
        <v>0</v>
      </c>
      <c r="Y247" s="5">
        <f t="shared" si="152"/>
        <v>0</v>
      </c>
      <c r="Z247" s="5">
        <f t="shared" si="152"/>
        <v>1</v>
      </c>
      <c r="AA247" s="5">
        <f t="shared" si="152"/>
        <v>2</v>
      </c>
      <c r="AB247" s="5">
        <f t="shared" ref="AB247:AZ247" si="153">SUM(AB237:AB246)</f>
        <v>1</v>
      </c>
      <c r="AC247" s="5">
        <f t="shared" si="153"/>
        <v>13</v>
      </c>
      <c r="AD247" s="5">
        <f t="shared" si="153"/>
        <v>2</v>
      </c>
      <c r="AE247" s="5">
        <f t="shared" si="153"/>
        <v>2</v>
      </c>
      <c r="AF247" s="5">
        <f t="shared" si="153"/>
        <v>0</v>
      </c>
      <c r="AG247" s="5">
        <f t="shared" si="153"/>
        <v>1</v>
      </c>
      <c r="AH247" s="5">
        <f t="shared" si="153"/>
        <v>0</v>
      </c>
      <c r="AI247" s="5">
        <f t="shared" si="153"/>
        <v>1</v>
      </c>
      <c r="AJ247" s="5">
        <f t="shared" si="153"/>
        <v>0</v>
      </c>
      <c r="AK247" s="5">
        <f t="shared" si="153"/>
        <v>0</v>
      </c>
      <c r="AL247" s="5">
        <f t="shared" ref="AL247:AW247" si="154">SUM(AL237:AL246)</f>
        <v>0</v>
      </c>
      <c r="AM247" s="5">
        <f t="shared" si="154"/>
        <v>1</v>
      </c>
      <c r="AN247" s="5">
        <f t="shared" si="154"/>
        <v>0</v>
      </c>
      <c r="AO247" s="5">
        <f t="shared" si="154"/>
        <v>0</v>
      </c>
      <c r="AP247" s="5">
        <f t="shared" si="154"/>
        <v>1</v>
      </c>
      <c r="AQ247" s="5">
        <f t="shared" si="154"/>
        <v>0</v>
      </c>
      <c r="AR247" s="5">
        <f t="shared" si="154"/>
        <v>32</v>
      </c>
      <c r="AS247" s="5">
        <f t="shared" si="154"/>
        <v>8</v>
      </c>
      <c r="AT247" s="5">
        <f t="shared" si="154"/>
        <v>1</v>
      </c>
      <c r="AU247" s="5">
        <f t="shared" si="154"/>
        <v>4</v>
      </c>
      <c r="AV247" s="5">
        <f t="shared" si="154"/>
        <v>8</v>
      </c>
      <c r="AW247" s="5">
        <f t="shared" si="154"/>
        <v>3</v>
      </c>
      <c r="AX247" s="5">
        <f t="shared" si="153"/>
        <v>1</v>
      </c>
      <c r="AY247" s="5">
        <f t="shared" ref="AY247" si="155">SUM(AY237:AY246)</f>
        <v>3</v>
      </c>
      <c r="AZ247" s="5">
        <f t="shared" si="153"/>
        <v>3</v>
      </c>
      <c r="BA247" s="5">
        <f t="shared" si="151"/>
        <v>0</v>
      </c>
      <c r="BB247" s="5">
        <f t="shared" si="151"/>
        <v>12</v>
      </c>
      <c r="BC247" s="5">
        <f t="shared" si="151"/>
        <v>14</v>
      </c>
      <c r="BD247" s="5">
        <f t="shared" si="151"/>
        <v>0</v>
      </c>
      <c r="BE247" s="5">
        <f t="shared" si="151"/>
        <v>2</v>
      </c>
      <c r="BF247" s="5">
        <f t="shared" si="151"/>
        <v>2</v>
      </c>
      <c r="BG247" s="5">
        <f t="shared" si="151"/>
        <v>13</v>
      </c>
      <c r="BH247" s="5">
        <f t="shared" si="151"/>
        <v>12</v>
      </c>
      <c r="BI247" s="5">
        <f t="shared" si="151"/>
        <v>5</v>
      </c>
      <c r="BJ247" s="5">
        <f t="shared" si="151"/>
        <v>2</v>
      </c>
      <c r="BK247" s="5">
        <f t="shared" si="151"/>
        <v>158</v>
      </c>
    </row>
    <row r="248" spans="1:63" x14ac:dyDescent="0.4">
      <c r="A248" s="64"/>
      <c r="B248" s="86"/>
      <c r="C248" s="86"/>
      <c r="D248" s="86"/>
      <c r="E248" s="95"/>
    </row>
    <row r="249" spans="1:63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>
        <v>1</v>
      </c>
      <c r="Q249" s="6"/>
      <c r="R249" s="6"/>
      <c r="S249" s="6"/>
      <c r="T249" s="6"/>
      <c r="U249" s="6"/>
      <c r="V249" s="6">
        <v>1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>
        <v>1</v>
      </c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>
        <v>1</v>
      </c>
      <c r="BF249" s="6"/>
      <c r="BG249" s="6"/>
      <c r="BH249" s="6"/>
      <c r="BI249" s="6"/>
      <c r="BJ249" s="6"/>
      <c r="BK249" s="5">
        <f t="shared" ref="BK249:BK258" si="156">SUM(E249:BJ249)</f>
        <v>4</v>
      </c>
    </row>
    <row r="250" spans="1:63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>
        <v>1</v>
      </c>
      <c r="AN250" s="6"/>
      <c r="AO250" s="6"/>
      <c r="AP250" s="6">
        <v>1</v>
      </c>
      <c r="AQ250" s="6"/>
      <c r="AR250" s="6"/>
      <c r="AS250" s="6"/>
      <c r="AT250" s="6"/>
      <c r="AU250" s="6"/>
      <c r="AV250" s="6">
        <v>1</v>
      </c>
      <c r="AW250" s="6"/>
      <c r="AX250" s="6"/>
      <c r="AY250" s="6">
        <v>2</v>
      </c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5">
        <f t="shared" si="156"/>
        <v>5</v>
      </c>
    </row>
    <row r="251" spans="1:63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>
        <v>2</v>
      </c>
      <c r="BH251" s="6"/>
      <c r="BI251" s="6"/>
      <c r="BJ251" s="6"/>
      <c r="BK251" s="5">
        <f t="shared" si="156"/>
        <v>2</v>
      </c>
    </row>
    <row r="252" spans="1:63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5">
        <f t="shared" si="156"/>
        <v>0</v>
      </c>
    </row>
    <row r="253" spans="1:63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5">
        <f t="shared" si="156"/>
        <v>0</v>
      </c>
    </row>
    <row r="254" spans="1:63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5">
        <f t="shared" si="156"/>
        <v>0</v>
      </c>
    </row>
    <row r="255" spans="1:63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5">
        <f t="shared" si="156"/>
        <v>0</v>
      </c>
    </row>
    <row r="256" spans="1:63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5">
        <f t="shared" si="156"/>
        <v>0</v>
      </c>
    </row>
    <row r="257" spans="1:63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5">
        <f t="shared" si="156"/>
        <v>0</v>
      </c>
    </row>
    <row r="258" spans="1:63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5">
        <f t="shared" si="156"/>
        <v>0</v>
      </c>
    </row>
    <row r="259" spans="1:63" x14ac:dyDescent="0.4">
      <c r="A259" s="6" t="s">
        <v>26</v>
      </c>
      <c r="B259" s="85" t="s">
        <v>51</v>
      </c>
      <c r="C259" s="93"/>
      <c r="D259" s="94"/>
      <c r="E259" s="5">
        <f t="shared" ref="E259:BK259" si="157">SUM(E249:E258)</f>
        <v>0</v>
      </c>
      <c r="F259" s="5">
        <f t="shared" si="157"/>
        <v>0</v>
      </c>
      <c r="G259" s="5">
        <f t="shared" si="157"/>
        <v>0</v>
      </c>
      <c r="H259" s="5">
        <f t="shared" si="157"/>
        <v>0</v>
      </c>
      <c r="I259" s="5">
        <f t="shared" si="157"/>
        <v>0</v>
      </c>
      <c r="J259" s="5">
        <f t="shared" si="157"/>
        <v>0</v>
      </c>
      <c r="K259" s="5">
        <f t="shared" si="157"/>
        <v>0</v>
      </c>
      <c r="L259" s="5">
        <f t="shared" si="157"/>
        <v>0</v>
      </c>
      <c r="M259" s="5">
        <f t="shared" si="157"/>
        <v>0</v>
      </c>
      <c r="N259" s="5">
        <f t="shared" si="157"/>
        <v>0</v>
      </c>
      <c r="O259" s="5">
        <f t="shared" si="157"/>
        <v>0</v>
      </c>
      <c r="P259" s="5">
        <f t="shared" si="157"/>
        <v>1</v>
      </c>
      <c r="Q259" s="5">
        <f t="shared" si="157"/>
        <v>0</v>
      </c>
      <c r="R259" s="5">
        <f t="shared" si="157"/>
        <v>0</v>
      </c>
      <c r="S259" s="5">
        <f t="shared" ref="S259:AA259" si="158">SUM(S249:S258)</f>
        <v>0</v>
      </c>
      <c r="T259" s="5">
        <f t="shared" si="158"/>
        <v>0</v>
      </c>
      <c r="U259" s="5">
        <f t="shared" si="158"/>
        <v>0</v>
      </c>
      <c r="V259" s="5">
        <f t="shared" si="158"/>
        <v>1</v>
      </c>
      <c r="W259" s="5">
        <f t="shared" si="158"/>
        <v>0</v>
      </c>
      <c r="X259" s="5">
        <f t="shared" si="158"/>
        <v>0</v>
      </c>
      <c r="Y259" s="5">
        <f t="shared" si="158"/>
        <v>0</v>
      </c>
      <c r="Z259" s="5">
        <f t="shared" si="158"/>
        <v>0</v>
      </c>
      <c r="AA259" s="5">
        <f t="shared" si="158"/>
        <v>0</v>
      </c>
      <c r="AB259" s="5">
        <f t="shared" ref="AB259:AZ259" si="159">SUM(AB249:AB258)</f>
        <v>0</v>
      </c>
      <c r="AC259" s="5">
        <f t="shared" si="159"/>
        <v>0</v>
      </c>
      <c r="AD259" s="5">
        <f t="shared" si="159"/>
        <v>0</v>
      </c>
      <c r="AE259" s="5">
        <f t="shared" si="159"/>
        <v>0</v>
      </c>
      <c r="AF259" s="5">
        <f t="shared" si="159"/>
        <v>0</v>
      </c>
      <c r="AG259" s="5">
        <f t="shared" si="159"/>
        <v>0</v>
      </c>
      <c r="AH259" s="5">
        <f t="shared" si="159"/>
        <v>0</v>
      </c>
      <c r="AI259" s="5">
        <f t="shared" si="159"/>
        <v>0</v>
      </c>
      <c r="AJ259" s="5">
        <f t="shared" si="159"/>
        <v>0</v>
      </c>
      <c r="AK259" s="5">
        <f t="shared" si="159"/>
        <v>1</v>
      </c>
      <c r="AL259" s="5">
        <f t="shared" ref="AL259:AW259" si="160">SUM(AL249:AL258)</f>
        <v>0</v>
      </c>
      <c r="AM259" s="5">
        <f t="shared" si="160"/>
        <v>1</v>
      </c>
      <c r="AN259" s="5">
        <f t="shared" si="160"/>
        <v>0</v>
      </c>
      <c r="AO259" s="5">
        <f t="shared" si="160"/>
        <v>0</v>
      </c>
      <c r="AP259" s="5">
        <f t="shared" si="160"/>
        <v>1</v>
      </c>
      <c r="AQ259" s="5">
        <f t="shared" si="160"/>
        <v>0</v>
      </c>
      <c r="AR259" s="5">
        <f t="shared" si="160"/>
        <v>0</v>
      </c>
      <c r="AS259" s="5">
        <f t="shared" si="160"/>
        <v>0</v>
      </c>
      <c r="AT259" s="5">
        <f t="shared" si="160"/>
        <v>0</v>
      </c>
      <c r="AU259" s="5">
        <f t="shared" si="160"/>
        <v>0</v>
      </c>
      <c r="AV259" s="5">
        <f t="shared" si="160"/>
        <v>1</v>
      </c>
      <c r="AW259" s="5">
        <f t="shared" si="160"/>
        <v>0</v>
      </c>
      <c r="AX259" s="5">
        <f t="shared" si="159"/>
        <v>0</v>
      </c>
      <c r="AY259" s="5">
        <f t="shared" ref="AY259" si="161">SUM(AY249:AY258)</f>
        <v>2</v>
      </c>
      <c r="AZ259" s="5">
        <f t="shared" si="159"/>
        <v>0</v>
      </c>
      <c r="BA259" s="5">
        <f t="shared" si="157"/>
        <v>0</v>
      </c>
      <c r="BB259" s="5">
        <f t="shared" si="157"/>
        <v>0</v>
      </c>
      <c r="BC259" s="5">
        <f t="shared" si="157"/>
        <v>0</v>
      </c>
      <c r="BD259" s="5">
        <f t="shared" si="157"/>
        <v>0</v>
      </c>
      <c r="BE259" s="5">
        <f t="shared" si="157"/>
        <v>1</v>
      </c>
      <c r="BF259" s="5">
        <f t="shared" si="157"/>
        <v>0</v>
      </c>
      <c r="BG259" s="5">
        <f t="shared" si="157"/>
        <v>2</v>
      </c>
      <c r="BH259" s="5">
        <f t="shared" si="157"/>
        <v>0</v>
      </c>
      <c r="BI259" s="5">
        <f t="shared" si="157"/>
        <v>0</v>
      </c>
      <c r="BJ259" s="5">
        <f t="shared" si="157"/>
        <v>0</v>
      </c>
      <c r="BK259" s="5">
        <f t="shared" si="157"/>
        <v>11</v>
      </c>
    </row>
    <row r="261" spans="1:63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</row>
    <row r="262" spans="1:63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69</v>
      </c>
      <c r="F262" s="6">
        <f t="shared" ref="F262:AA262" si="162">F55+F67+F79+F91+F103+F115+F127+F139+F151+F163+F175+F187+F199+F211+F223+F235+F247+F259</f>
        <v>75</v>
      </c>
      <c r="G262" s="6">
        <f t="shared" si="162"/>
        <v>94</v>
      </c>
      <c r="H262" s="6">
        <f t="shared" si="162"/>
        <v>52</v>
      </c>
      <c r="I262" s="6">
        <f t="shared" si="162"/>
        <v>154</v>
      </c>
      <c r="J262" s="6">
        <f t="shared" si="162"/>
        <v>182</v>
      </c>
      <c r="K262" s="6">
        <f t="shared" si="162"/>
        <v>170</v>
      </c>
      <c r="L262" s="6">
        <f t="shared" si="162"/>
        <v>184</v>
      </c>
      <c r="M262" s="6">
        <f t="shared" si="162"/>
        <v>174</v>
      </c>
      <c r="N262" s="6">
        <f t="shared" si="162"/>
        <v>93</v>
      </c>
      <c r="O262" s="6">
        <f t="shared" si="162"/>
        <v>206</v>
      </c>
      <c r="P262" s="6">
        <f t="shared" si="162"/>
        <v>138</v>
      </c>
      <c r="Q262" s="6">
        <f t="shared" si="162"/>
        <v>144</v>
      </c>
      <c r="R262" s="6">
        <f t="shared" si="162"/>
        <v>87</v>
      </c>
      <c r="S262" s="6">
        <f t="shared" si="162"/>
        <v>169</v>
      </c>
      <c r="T262" s="6">
        <f t="shared" si="162"/>
        <v>117</v>
      </c>
      <c r="U262" s="6">
        <f t="shared" si="162"/>
        <v>187</v>
      </c>
      <c r="V262" s="6">
        <f t="shared" si="162"/>
        <v>211</v>
      </c>
      <c r="W262" s="6">
        <f t="shared" si="162"/>
        <v>195</v>
      </c>
      <c r="X262" s="6">
        <f t="shared" si="162"/>
        <v>242</v>
      </c>
      <c r="Y262" s="6">
        <f t="shared" si="162"/>
        <v>154</v>
      </c>
      <c r="Z262" s="6">
        <f t="shared" si="162"/>
        <v>143</v>
      </c>
      <c r="AA262" s="6">
        <f t="shared" si="162"/>
        <v>193</v>
      </c>
      <c r="AB262" s="6">
        <f t="shared" ref="AB262:AZ262" si="163">AB55+AB67+AB79+AB91+AB103+AB115+AB127+AB139+AB151+AB163+AB175+AB187+AB199+AB211+AB223+AB235+AB247+AB259</f>
        <v>114</v>
      </c>
      <c r="AC262" s="6">
        <f t="shared" si="163"/>
        <v>214</v>
      </c>
      <c r="AD262" s="6">
        <f t="shared" si="163"/>
        <v>126</v>
      </c>
      <c r="AE262" s="6">
        <f t="shared" si="163"/>
        <v>140</v>
      </c>
      <c r="AF262" s="6">
        <f t="shared" si="163"/>
        <v>111</v>
      </c>
      <c r="AG262" s="6">
        <f t="shared" si="163"/>
        <v>172</v>
      </c>
      <c r="AH262" s="6">
        <f t="shared" si="163"/>
        <v>218</v>
      </c>
      <c r="AI262" s="6">
        <f t="shared" si="163"/>
        <v>169</v>
      </c>
      <c r="AJ262" s="6">
        <f t="shared" si="163"/>
        <v>122</v>
      </c>
      <c r="AK262" s="6">
        <f t="shared" si="163"/>
        <v>135</v>
      </c>
      <c r="AL262" s="6">
        <f t="shared" ref="AL262:AW262" si="164">AL55+AL67+AL79+AL91+AL103+AL115+AL127+AL139+AL151+AL163+AL175+AL187+AL199+AL211+AL223+AL235+AL247+AL259</f>
        <v>229</v>
      </c>
      <c r="AM262" s="6">
        <f t="shared" si="164"/>
        <v>142</v>
      </c>
      <c r="AN262" s="6">
        <f t="shared" si="164"/>
        <v>124</v>
      </c>
      <c r="AO262" s="6">
        <f t="shared" si="164"/>
        <v>126</v>
      </c>
      <c r="AP262" s="6">
        <f t="shared" si="164"/>
        <v>169</v>
      </c>
      <c r="AQ262" s="6">
        <f t="shared" si="164"/>
        <v>147</v>
      </c>
      <c r="AR262" s="6">
        <f t="shared" si="164"/>
        <v>153</v>
      </c>
      <c r="AS262" s="6">
        <f t="shared" si="164"/>
        <v>120</v>
      </c>
      <c r="AT262" s="6">
        <f t="shared" si="164"/>
        <v>196</v>
      </c>
      <c r="AU262" s="6">
        <f t="shared" si="164"/>
        <v>196</v>
      </c>
      <c r="AV262" s="6">
        <f t="shared" si="164"/>
        <v>194</v>
      </c>
      <c r="AW262" s="6">
        <f t="shared" si="164"/>
        <v>184</v>
      </c>
      <c r="AX262" s="6">
        <f t="shared" si="163"/>
        <v>152</v>
      </c>
      <c r="AY262" s="6">
        <f t="shared" ref="AY262" si="165">AY55+AY67+AY79+AY91+AY103+AY115+AY127+AY139+AY151+AY163+AY175+AY187+AY199+AY211+AY223+AY235+AY247+AY259</f>
        <v>213</v>
      </c>
      <c r="AZ262" s="6">
        <f t="shared" si="163"/>
        <v>133</v>
      </c>
      <c r="BA262" s="6">
        <f t="shared" ref="BA262:BF262" si="166">BA55+BA67+BA79+BA91+BA103+BA115+BA127+BA139+BA151+BA163+BA175+BA187+BA199+BA211+BA223+BA235+BA247+BA259</f>
        <v>154</v>
      </c>
      <c r="BB262" s="6">
        <f t="shared" si="166"/>
        <v>136</v>
      </c>
      <c r="BC262" s="6">
        <f t="shared" si="166"/>
        <v>192</v>
      </c>
      <c r="BD262" s="6">
        <f t="shared" si="166"/>
        <v>178</v>
      </c>
      <c r="BE262" s="6">
        <f t="shared" si="166"/>
        <v>159</v>
      </c>
      <c r="BF262" s="6">
        <f t="shared" si="166"/>
        <v>146</v>
      </c>
      <c r="BG262" s="6">
        <f t="shared" ref="BG262:BJ262" si="167">BG55+BG67+BG79+BG91+BG103+BG115+BG127+BG139+BG151+BG163+BG175+BG187+BG199+BG211+BG223+BG235+BG247+BG259</f>
        <v>185</v>
      </c>
      <c r="BH262" s="6">
        <f t="shared" si="167"/>
        <v>215</v>
      </c>
      <c r="BI262" s="6">
        <f t="shared" si="167"/>
        <v>202</v>
      </c>
      <c r="BJ262" s="6">
        <f t="shared" si="167"/>
        <v>175</v>
      </c>
      <c r="BK262" s="5">
        <f>SUM(E262:BJ262)</f>
        <v>9174</v>
      </c>
    </row>
    <row r="263" spans="1:63" x14ac:dyDescent="0.4">
      <c r="A263" s="13"/>
      <c r="B263" s="19" t="s">
        <v>87</v>
      </c>
      <c r="C263" s="100" t="s">
        <v>88</v>
      </c>
      <c r="D263" s="101"/>
      <c r="E263" s="6">
        <v>6</v>
      </c>
      <c r="F263" s="6">
        <v>12</v>
      </c>
      <c r="G263" s="6">
        <v>2</v>
      </c>
      <c r="H263" s="6"/>
      <c r="I263" s="6">
        <v>6</v>
      </c>
      <c r="J263" s="6">
        <v>12</v>
      </c>
      <c r="K263" s="6">
        <v>11</v>
      </c>
      <c r="L263" s="6">
        <v>10</v>
      </c>
      <c r="M263" s="6">
        <v>8</v>
      </c>
      <c r="N263" s="6"/>
      <c r="O263" s="6"/>
      <c r="P263" s="6">
        <v>10</v>
      </c>
      <c r="Q263" s="6">
        <v>8</v>
      </c>
      <c r="R263" s="6">
        <v>4</v>
      </c>
      <c r="S263" s="6">
        <v>11</v>
      </c>
      <c r="T263" s="6">
        <v>2</v>
      </c>
      <c r="U263" s="6">
        <v>10</v>
      </c>
      <c r="V263" s="6">
        <v>10</v>
      </c>
      <c r="W263" s="6">
        <v>8</v>
      </c>
      <c r="X263" s="6">
        <v>5</v>
      </c>
      <c r="Y263" s="6">
        <v>11</v>
      </c>
      <c r="Z263" s="6">
        <v>15</v>
      </c>
      <c r="AA263" s="6">
        <v>10</v>
      </c>
      <c r="AB263" s="6">
        <v>14</v>
      </c>
      <c r="AC263" s="6">
        <v>8</v>
      </c>
      <c r="AD263" s="6">
        <v>6</v>
      </c>
      <c r="AE263" s="6">
        <v>5</v>
      </c>
      <c r="AF263" s="6">
        <v>7</v>
      </c>
      <c r="AG263" s="6">
        <v>6</v>
      </c>
      <c r="AH263" s="6">
        <v>7</v>
      </c>
      <c r="AI263" s="6">
        <v>14</v>
      </c>
      <c r="AJ263" s="6">
        <v>14</v>
      </c>
      <c r="AK263" s="6">
        <v>8</v>
      </c>
      <c r="AL263" s="6">
        <v>7</v>
      </c>
      <c r="AM263" s="6">
        <v>19</v>
      </c>
      <c r="AN263" s="6">
        <v>7</v>
      </c>
      <c r="AO263" s="6">
        <v>14</v>
      </c>
      <c r="AP263" s="6">
        <v>4</v>
      </c>
      <c r="AQ263" s="6">
        <v>3</v>
      </c>
      <c r="AR263" s="6">
        <v>5</v>
      </c>
      <c r="AS263" s="6">
        <v>7</v>
      </c>
      <c r="AT263" s="6">
        <v>19</v>
      </c>
      <c r="AU263" s="6">
        <v>6</v>
      </c>
      <c r="AV263" s="6">
        <v>14</v>
      </c>
      <c r="AW263" s="6">
        <v>10</v>
      </c>
      <c r="AX263" s="6">
        <v>11</v>
      </c>
      <c r="AY263" s="6">
        <v>11</v>
      </c>
      <c r="AZ263" s="6">
        <v>10</v>
      </c>
      <c r="BA263" s="6">
        <v>4</v>
      </c>
      <c r="BB263" s="6">
        <v>3</v>
      </c>
      <c r="BC263" s="6">
        <v>9</v>
      </c>
      <c r="BD263" s="6">
        <v>8</v>
      </c>
      <c r="BE263" s="6">
        <v>23</v>
      </c>
      <c r="BF263" s="6">
        <v>13</v>
      </c>
      <c r="BG263" s="6">
        <v>16</v>
      </c>
      <c r="BH263" s="6">
        <v>10</v>
      </c>
      <c r="BI263" s="6">
        <v>2</v>
      </c>
      <c r="BJ263" s="6">
        <v>18</v>
      </c>
      <c r="BK263" s="5">
        <f>SUM(E263:BJ263)</f>
        <v>513</v>
      </c>
    </row>
    <row r="264" spans="1:63" x14ac:dyDescent="0.4">
      <c r="A264" s="14"/>
      <c r="B264" s="19" t="s">
        <v>89</v>
      </c>
      <c r="C264" s="100" t="s">
        <v>90</v>
      </c>
      <c r="D264" s="101"/>
      <c r="E264" s="5">
        <f>SUM(E262:E263)</f>
        <v>75</v>
      </c>
      <c r="F264" s="5">
        <f t="shared" ref="F264:AA264" si="168">SUM(F262:F263)</f>
        <v>87</v>
      </c>
      <c r="G264" s="5">
        <f t="shared" si="168"/>
        <v>96</v>
      </c>
      <c r="H264" s="5">
        <f t="shared" si="168"/>
        <v>52</v>
      </c>
      <c r="I264" s="5">
        <f t="shared" si="168"/>
        <v>160</v>
      </c>
      <c r="J264" s="5">
        <f t="shared" si="168"/>
        <v>194</v>
      </c>
      <c r="K264" s="5">
        <f t="shared" si="168"/>
        <v>181</v>
      </c>
      <c r="L264" s="5">
        <f t="shared" si="168"/>
        <v>194</v>
      </c>
      <c r="M264" s="5">
        <f t="shared" si="168"/>
        <v>182</v>
      </c>
      <c r="N264" s="5">
        <f t="shared" si="168"/>
        <v>93</v>
      </c>
      <c r="O264" s="5">
        <f t="shared" si="168"/>
        <v>206</v>
      </c>
      <c r="P264" s="5">
        <f t="shared" si="168"/>
        <v>148</v>
      </c>
      <c r="Q264" s="5">
        <f t="shared" si="168"/>
        <v>152</v>
      </c>
      <c r="R264" s="5">
        <f t="shared" si="168"/>
        <v>91</v>
      </c>
      <c r="S264" s="5">
        <f t="shared" si="168"/>
        <v>180</v>
      </c>
      <c r="T264" s="5">
        <f t="shared" si="168"/>
        <v>119</v>
      </c>
      <c r="U264" s="5">
        <f t="shared" si="168"/>
        <v>197</v>
      </c>
      <c r="V264" s="5">
        <f t="shared" si="168"/>
        <v>221</v>
      </c>
      <c r="W264" s="5">
        <f t="shared" si="168"/>
        <v>203</v>
      </c>
      <c r="X264" s="5">
        <f t="shared" si="168"/>
        <v>247</v>
      </c>
      <c r="Y264" s="5">
        <f t="shared" si="168"/>
        <v>165</v>
      </c>
      <c r="Z264" s="5">
        <f t="shared" si="168"/>
        <v>158</v>
      </c>
      <c r="AA264" s="5">
        <f t="shared" si="168"/>
        <v>203</v>
      </c>
      <c r="AB264" s="5">
        <f t="shared" ref="AB264:AZ264" si="169">SUM(AB262:AB263)</f>
        <v>128</v>
      </c>
      <c r="AC264" s="5">
        <f t="shared" si="169"/>
        <v>222</v>
      </c>
      <c r="AD264" s="5">
        <f t="shared" si="169"/>
        <v>132</v>
      </c>
      <c r="AE264" s="5">
        <f t="shared" si="169"/>
        <v>145</v>
      </c>
      <c r="AF264" s="5">
        <f t="shared" si="169"/>
        <v>118</v>
      </c>
      <c r="AG264" s="5">
        <f t="shared" si="169"/>
        <v>178</v>
      </c>
      <c r="AH264" s="5">
        <f t="shared" si="169"/>
        <v>225</v>
      </c>
      <c r="AI264" s="5">
        <f t="shared" si="169"/>
        <v>183</v>
      </c>
      <c r="AJ264" s="5">
        <f t="shared" si="169"/>
        <v>136</v>
      </c>
      <c r="AK264" s="5">
        <f t="shared" si="169"/>
        <v>143</v>
      </c>
      <c r="AL264" s="5">
        <f t="shared" ref="AL264:AW264" si="170">SUM(AL262:AL263)</f>
        <v>236</v>
      </c>
      <c r="AM264" s="5">
        <f t="shared" si="170"/>
        <v>161</v>
      </c>
      <c r="AN264" s="5">
        <f t="shared" si="170"/>
        <v>131</v>
      </c>
      <c r="AO264" s="5">
        <f t="shared" si="170"/>
        <v>140</v>
      </c>
      <c r="AP264" s="5">
        <f t="shared" si="170"/>
        <v>173</v>
      </c>
      <c r="AQ264" s="5">
        <f t="shared" si="170"/>
        <v>150</v>
      </c>
      <c r="AR264" s="5">
        <f t="shared" si="170"/>
        <v>158</v>
      </c>
      <c r="AS264" s="5">
        <f t="shared" si="170"/>
        <v>127</v>
      </c>
      <c r="AT264" s="5">
        <f t="shared" si="170"/>
        <v>215</v>
      </c>
      <c r="AU264" s="5">
        <f t="shared" si="170"/>
        <v>202</v>
      </c>
      <c r="AV264" s="5">
        <f t="shared" si="170"/>
        <v>208</v>
      </c>
      <c r="AW264" s="5">
        <f t="shared" si="170"/>
        <v>194</v>
      </c>
      <c r="AX264" s="5">
        <f t="shared" si="169"/>
        <v>163</v>
      </c>
      <c r="AY264" s="5">
        <f t="shared" ref="AY264" si="171">SUM(AY262:AY263)</f>
        <v>224</v>
      </c>
      <c r="AZ264" s="5">
        <f t="shared" si="169"/>
        <v>143</v>
      </c>
      <c r="BA264" s="5">
        <f t="shared" ref="BA264:BF264" si="172">SUM(BA262:BA263)</f>
        <v>158</v>
      </c>
      <c r="BB264" s="5">
        <f t="shared" si="172"/>
        <v>139</v>
      </c>
      <c r="BC264" s="5">
        <f t="shared" si="172"/>
        <v>201</v>
      </c>
      <c r="BD264" s="5">
        <f t="shared" si="172"/>
        <v>186</v>
      </c>
      <c r="BE264" s="5">
        <f t="shared" si="172"/>
        <v>182</v>
      </c>
      <c r="BF264" s="5">
        <f t="shared" si="172"/>
        <v>159</v>
      </c>
      <c r="BG264" s="5">
        <f t="shared" ref="BG264:BJ264" si="173">SUM(BG262:BG263)</f>
        <v>201</v>
      </c>
      <c r="BH264" s="5">
        <f t="shared" si="173"/>
        <v>225</v>
      </c>
      <c r="BI264" s="5">
        <f t="shared" si="173"/>
        <v>204</v>
      </c>
      <c r="BJ264" s="5">
        <f t="shared" si="173"/>
        <v>193</v>
      </c>
      <c r="BK264" s="5">
        <f>SUM(E264:BJ264)</f>
        <v>9687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BJ12"/>
    <mergeCell ref="BK12:BK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BJ37"/>
    <mergeCell ref="B38:D38"/>
    <mergeCell ref="A42:D42"/>
    <mergeCell ref="E42:BJ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BJ15">
    <cfRule type="containsBlanks" dxfId="168" priority="3">
      <formula>LEN(TRIM(E14))=0</formula>
    </cfRule>
  </conditionalFormatting>
  <conditionalFormatting sqref="E19:BJ20">
    <cfRule type="containsBlanks" dxfId="167" priority="2">
      <formula>LEN(TRIM(E19))=0</formula>
    </cfRule>
  </conditionalFormatting>
  <conditionalFormatting sqref="E22:BJ23 E25:BJ26 E35:BJ35 E39:BJ40 E33:BJ33">
    <cfRule type="containsBlanks" dxfId="166" priority="28">
      <formula>LEN(TRIM(E22))=0</formula>
    </cfRule>
  </conditionalFormatting>
  <conditionalFormatting sqref="E30:BJ30">
    <cfRule type="expression" dxfId="165" priority="29">
      <formula>E30&lt;&gt;E47</formula>
    </cfRule>
    <cfRule type="expression" dxfId="164" priority="30">
      <formula>E30&lt;&gt;E34</formula>
    </cfRule>
  </conditionalFormatting>
  <conditionalFormatting sqref="E34:BJ34">
    <cfRule type="expression" dxfId="163" priority="25">
      <formula>E30&lt;&gt;E34</formula>
    </cfRule>
    <cfRule type="expression" dxfId="162" priority="26">
      <formula>E30=E34</formula>
    </cfRule>
    <cfRule type="expression" dxfId="161" priority="31">
      <formula>E34&lt;&gt;E30</formula>
    </cfRule>
    <cfRule type="expression" dxfId="160" priority="33">
      <formula>E34&lt;&gt;E64</formula>
    </cfRule>
  </conditionalFormatting>
  <conditionalFormatting sqref="E45:BJ54">
    <cfRule type="containsBlanks" dxfId="1" priority="23">
      <formula>LEN(TRIM(E45))=0</formula>
    </cfRule>
  </conditionalFormatting>
  <conditionalFormatting sqref="E57:BJ66">
    <cfRule type="containsBlanks" dxfId="159" priority="22">
      <formula>LEN(TRIM(E57))=0</formula>
    </cfRule>
  </conditionalFormatting>
  <conditionalFormatting sqref="E77:BJ78 E69:AH76 AX69:BJ76">
    <cfRule type="containsBlanks" dxfId="158" priority="21">
      <formula>LEN(TRIM(E69))=0</formula>
    </cfRule>
  </conditionalFormatting>
  <conditionalFormatting sqref="E81:BJ90">
    <cfRule type="containsBlanks" dxfId="157" priority="20">
      <formula>LEN(TRIM(E81))=0</formula>
    </cfRule>
  </conditionalFormatting>
  <conditionalFormatting sqref="E93:BJ102">
    <cfRule type="containsBlanks" dxfId="156" priority="19">
      <formula>LEN(TRIM(E93))=0</formula>
    </cfRule>
  </conditionalFormatting>
  <conditionalFormatting sqref="E105:BJ114">
    <cfRule type="containsBlanks" dxfId="155" priority="18">
      <formula>LEN(TRIM(E105))=0</formula>
    </cfRule>
  </conditionalFormatting>
  <conditionalFormatting sqref="E117:BJ126">
    <cfRule type="containsBlanks" dxfId="154" priority="4">
      <formula>LEN(TRIM(E117))=0</formula>
    </cfRule>
  </conditionalFormatting>
  <conditionalFormatting sqref="E129:BJ138">
    <cfRule type="containsBlanks" dxfId="153" priority="17">
      <formula>LEN(TRIM(E129))=0</formula>
    </cfRule>
  </conditionalFormatting>
  <conditionalFormatting sqref="E141:BJ150">
    <cfRule type="containsBlanks" dxfId="152" priority="16">
      <formula>LEN(TRIM(E141))=0</formula>
    </cfRule>
  </conditionalFormatting>
  <conditionalFormatting sqref="E153:BJ162">
    <cfRule type="containsBlanks" dxfId="151" priority="6">
      <formula>LEN(TRIM(E153))=0</formula>
    </cfRule>
  </conditionalFormatting>
  <conditionalFormatting sqref="E165:BJ174">
    <cfRule type="containsBlanks" dxfId="150" priority="15">
      <formula>LEN(TRIM(E165))=0</formula>
    </cfRule>
  </conditionalFormatting>
  <conditionalFormatting sqref="E177:BJ186">
    <cfRule type="containsBlanks" dxfId="149" priority="14">
      <formula>LEN(TRIM(E177))=0</formula>
    </cfRule>
  </conditionalFormatting>
  <conditionalFormatting sqref="E189:BJ198">
    <cfRule type="containsBlanks" dxfId="148" priority="13">
      <formula>LEN(TRIM(E189))=0</formula>
    </cfRule>
  </conditionalFormatting>
  <conditionalFormatting sqref="E201:BJ210">
    <cfRule type="containsBlanks" dxfId="147" priority="12">
      <formula>LEN(TRIM(E201))=0</formula>
    </cfRule>
  </conditionalFormatting>
  <conditionalFormatting sqref="E213:BJ222">
    <cfRule type="containsBlanks" dxfId="146" priority="11">
      <formula>LEN(TRIM(E213))=0</formula>
    </cfRule>
  </conditionalFormatting>
  <conditionalFormatting sqref="E225:BJ234">
    <cfRule type="containsBlanks" dxfId="145" priority="10">
      <formula>LEN(TRIM(E225))=0</formula>
    </cfRule>
  </conditionalFormatting>
  <conditionalFormatting sqref="E237:BJ246">
    <cfRule type="containsBlanks" dxfId="144" priority="9">
      <formula>LEN(TRIM(E237))=0</formula>
    </cfRule>
  </conditionalFormatting>
  <conditionalFormatting sqref="E249:BJ258">
    <cfRule type="containsBlanks" dxfId="143" priority="7">
      <formula>LEN(TRIM(E249))=0</formula>
    </cfRule>
  </conditionalFormatting>
  <conditionalFormatting sqref="E262:BJ263">
    <cfRule type="containsBlanks" dxfId="142" priority="5">
      <formula>LEN(TRIM(E262))=0</formula>
    </cfRule>
  </conditionalFormatting>
  <conditionalFormatting sqref="AI69:AW76">
    <cfRule type="containsBlanks" dxfId="0" priority="1">
      <formula>LEN(TRIM(AI69))=0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dimension ref="A2:S264"/>
  <sheetViews>
    <sheetView tabSelected="1" topLeftCell="D13" zoomScale="130" zoomScaleNormal="130" workbookViewId="0">
      <pane ySplit="1" topLeftCell="A257" activePane="bottomLeft" state="frozen"/>
      <selection activeCell="A13" sqref="A13"/>
      <selection pane="bottomLeft" activeCell="K263" sqref="K263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125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141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9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70" t="s">
        <v>97</v>
      </c>
    </row>
    <row r="13" spans="1:19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71"/>
    </row>
    <row r="14" spans="1:19" x14ac:dyDescent="0.4">
      <c r="A14" s="7"/>
      <c r="B14" s="73" t="s">
        <v>22</v>
      </c>
      <c r="C14" s="74"/>
      <c r="D14" s="6" t="s">
        <v>23</v>
      </c>
      <c r="E14" s="6">
        <v>100</v>
      </c>
      <c r="F14" s="6">
        <v>130</v>
      </c>
      <c r="G14" s="6">
        <v>131</v>
      </c>
      <c r="H14" s="6">
        <v>141</v>
      </c>
      <c r="I14" s="6">
        <v>115</v>
      </c>
      <c r="J14" s="6">
        <v>138</v>
      </c>
      <c r="K14" s="6">
        <v>136</v>
      </c>
      <c r="L14" s="6">
        <v>115</v>
      </c>
      <c r="M14" s="6">
        <v>146</v>
      </c>
      <c r="N14" s="6">
        <v>142</v>
      </c>
      <c r="O14" s="6">
        <v>79</v>
      </c>
      <c r="P14" s="6">
        <v>101</v>
      </c>
      <c r="Q14" s="6">
        <v>123</v>
      </c>
      <c r="R14" s="6">
        <v>146</v>
      </c>
      <c r="S14" s="5">
        <f>SUM(E14:R14)</f>
        <v>1743</v>
      </c>
    </row>
    <row r="15" spans="1:19" x14ac:dyDescent="0.4">
      <c r="A15" s="7"/>
      <c r="B15" s="75"/>
      <c r="C15" s="76"/>
      <c r="D15" s="6" t="s">
        <v>24</v>
      </c>
      <c r="E15" s="6">
        <v>86</v>
      </c>
      <c r="F15" s="6">
        <v>114</v>
      </c>
      <c r="G15" s="6">
        <v>125</v>
      </c>
      <c r="H15" s="6">
        <v>145</v>
      </c>
      <c r="I15" s="6">
        <v>108</v>
      </c>
      <c r="J15" s="6">
        <v>127</v>
      </c>
      <c r="K15" s="6">
        <v>145</v>
      </c>
      <c r="L15" s="6">
        <v>124</v>
      </c>
      <c r="M15" s="6">
        <v>138</v>
      </c>
      <c r="N15" s="6">
        <v>126</v>
      </c>
      <c r="O15" s="6">
        <v>89</v>
      </c>
      <c r="P15" s="6">
        <v>106</v>
      </c>
      <c r="Q15" s="6">
        <v>143</v>
      </c>
      <c r="R15" s="6">
        <v>146</v>
      </c>
      <c r="S15" s="5">
        <f>SUM(E15:R15)</f>
        <v>1722</v>
      </c>
    </row>
    <row r="16" spans="1:19" x14ac:dyDescent="0.4">
      <c r="A16" s="8"/>
      <c r="B16" s="77"/>
      <c r="C16" s="78"/>
      <c r="D16" s="5" t="s">
        <v>25</v>
      </c>
      <c r="E16" s="5">
        <f t="shared" ref="E16" si="0">SUM(E14:E15)</f>
        <v>186</v>
      </c>
      <c r="F16" s="5">
        <f t="shared" ref="F16:R16" si="1">SUM(F14:F15)</f>
        <v>244</v>
      </c>
      <c r="G16" s="5">
        <f t="shared" si="1"/>
        <v>256</v>
      </c>
      <c r="H16" s="5">
        <f t="shared" si="1"/>
        <v>286</v>
      </c>
      <c r="I16" s="5">
        <f t="shared" si="1"/>
        <v>223</v>
      </c>
      <c r="J16" s="5">
        <f t="shared" si="1"/>
        <v>265</v>
      </c>
      <c r="K16" s="5">
        <f t="shared" si="1"/>
        <v>281</v>
      </c>
      <c r="L16" s="5">
        <f t="shared" si="1"/>
        <v>239</v>
      </c>
      <c r="M16" s="5">
        <f t="shared" si="1"/>
        <v>284</v>
      </c>
      <c r="N16" s="5">
        <f t="shared" si="1"/>
        <v>268</v>
      </c>
      <c r="O16" s="5">
        <f t="shared" si="1"/>
        <v>168</v>
      </c>
      <c r="P16" s="5">
        <f t="shared" si="1"/>
        <v>207</v>
      </c>
      <c r="Q16" s="5">
        <f t="shared" si="1"/>
        <v>266</v>
      </c>
      <c r="R16" s="5">
        <f t="shared" si="1"/>
        <v>292</v>
      </c>
      <c r="S16" s="5">
        <f>SUM(E16:R16)</f>
        <v>3465</v>
      </c>
    </row>
    <row r="17" spans="1:19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28"/>
    </row>
    <row r="18" spans="1:19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28"/>
    </row>
    <row r="19" spans="1:19" x14ac:dyDescent="0.4">
      <c r="A19" s="11"/>
      <c r="B19" s="79" t="s">
        <v>28</v>
      </c>
      <c r="C19" s="80" t="s">
        <v>29</v>
      </c>
      <c r="D19" s="6" t="s">
        <v>23</v>
      </c>
      <c r="E19" s="6">
        <v>77</v>
      </c>
      <c r="F19" s="6">
        <v>90</v>
      </c>
      <c r="G19" s="6">
        <v>89</v>
      </c>
      <c r="H19" s="6">
        <v>93</v>
      </c>
      <c r="I19" s="6">
        <v>98</v>
      </c>
      <c r="J19" s="6">
        <v>105</v>
      </c>
      <c r="K19" s="6">
        <v>110</v>
      </c>
      <c r="L19" s="6">
        <v>70</v>
      </c>
      <c r="M19" s="6">
        <v>91</v>
      </c>
      <c r="N19" s="6">
        <v>105</v>
      </c>
      <c r="O19" s="6">
        <v>59</v>
      </c>
      <c r="P19" s="6">
        <v>84</v>
      </c>
      <c r="Q19" s="6">
        <v>96</v>
      </c>
      <c r="R19" s="6">
        <v>103</v>
      </c>
      <c r="S19" s="5">
        <f t="shared" ref="S19:S30" si="2">SUM(E19:R19)</f>
        <v>1270</v>
      </c>
    </row>
    <row r="20" spans="1:19" x14ac:dyDescent="0.4">
      <c r="A20" s="12"/>
      <c r="B20" s="76"/>
      <c r="C20" s="81"/>
      <c r="D20" s="6" t="s">
        <v>24</v>
      </c>
      <c r="E20" s="6">
        <v>69</v>
      </c>
      <c r="F20" s="6">
        <v>88</v>
      </c>
      <c r="G20" s="6">
        <v>102</v>
      </c>
      <c r="H20" s="6">
        <v>112</v>
      </c>
      <c r="I20" s="6">
        <v>95</v>
      </c>
      <c r="J20" s="6">
        <v>104</v>
      </c>
      <c r="K20" s="6">
        <v>121</v>
      </c>
      <c r="L20" s="6">
        <v>85</v>
      </c>
      <c r="M20" s="6">
        <v>106</v>
      </c>
      <c r="N20" s="6">
        <v>108</v>
      </c>
      <c r="O20" s="6">
        <v>67</v>
      </c>
      <c r="P20" s="6">
        <v>85</v>
      </c>
      <c r="Q20" s="6">
        <v>116</v>
      </c>
      <c r="R20" s="6">
        <v>118</v>
      </c>
      <c r="S20" s="5">
        <f t="shared" si="2"/>
        <v>1376</v>
      </c>
    </row>
    <row r="21" spans="1:19" x14ac:dyDescent="0.4">
      <c r="A21" s="13"/>
      <c r="B21" s="78"/>
      <c r="C21" s="82"/>
      <c r="D21" s="5" t="s">
        <v>25</v>
      </c>
      <c r="E21" s="5">
        <f t="shared" ref="E21" si="3">SUM(E19:E20)</f>
        <v>146</v>
      </c>
      <c r="F21" s="5">
        <f t="shared" ref="F21:R21" si="4">SUM(F19:F20)</f>
        <v>178</v>
      </c>
      <c r="G21" s="5">
        <f t="shared" si="4"/>
        <v>191</v>
      </c>
      <c r="H21" s="5">
        <f t="shared" si="4"/>
        <v>205</v>
      </c>
      <c r="I21" s="5">
        <f t="shared" si="4"/>
        <v>193</v>
      </c>
      <c r="J21" s="5">
        <f t="shared" si="4"/>
        <v>209</v>
      </c>
      <c r="K21" s="5">
        <f t="shared" si="4"/>
        <v>231</v>
      </c>
      <c r="L21" s="5">
        <f t="shared" si="4"/>
        <v>155</v>
      </c>
      <c r="M21" s="5">
        <f t="shared" si="4"/>
        <v>197</v>
      </c>
      <c r="N21" s="5">
        <f t="shared" si="4"/>
        <v>213</v>
      </c>
      <c r="O21" s="5">
        <f t="shared" si="4"/>
        <v>126</v>
      </c>
      <c r="P21" s="5">
        <f t="shared" si="4"/>
        <v>169</v>
      </c>
      <c r="Q21" s="5">
        <f t="shared" si="4"/>
        <v>212</v>
      </c>
      <c r="R21" s="5">
        <f t="shared" si="4"/>
        <v>221</v>
      </c>
      <c r="S21" s="5">
        <f t="shared" si="2"/>
        <v>2646</v>
      </c>
    </row>
    <row r="22" spans="1:19" x14ac:dyDescent="0.4">
      <c r="A22" s="12"/>
      <c r="B22" s="79" t="s">
        <v>30</v>
      </c>
      <c r="C22" s="8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>
        <f t="shared" si="2"/>
        <v>0</v>
      </c>
    </row>
    <row r="23" spans="1:19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>
        <f t="shared" si="2"/>
        <v>0</v>
      </c>
    </row>
    <row r="24" spans="1:19" x14ac:dyDescent="0.4">
      <c r="A24" s="13"/>
      <c r="B24" s="78"/>
      <c r="C24" s="82"/>
      <c r="D24" s="5" t="s">
        <v>25</v>
      </c>
      <c r="E24" s="5">
        <f t="shared" ref="E24" si="5">SUM(E22:E23)</f>
        <v>0</v>
      </c>
      <c r="F24" s="5">
        <f t="shared" ref="F24:R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2"/>
        <v>0</v>
      </c>
    </row>
    <row r="25" spans="1:19" x14ac:dyDescent="0.4">
      <c r="A25" s="12"/>
      <c r="B25" s="79" t="s">
        <v>32</v>
      </c>
      <c r="C25" s="80" t="s">
        <v>33</v>
      </c>
      <c r="D25" s="6" t="s">
        <v>23</v>
      </c>
      <c r="E25" s="6"/>
      <c r="F25" s="6">
        <v>1</v>
      </c>
      <c r="G25" s="6"/>
      <c r="H25" s="6"/>
      <c r="I25" s="6">
        <v>1</v>
      </c>
      <c r="J25" s="6"/>
      <c r="K25" s="6"/>
      <c r="L25" s="6"/>
      <c r="M25" s="6">
        <v>2</v>
      </c>
      <c r="N25" s="6">
        <v>3</v>
      </c>
      <c r="O25" s="6"/>
      <c r="P25" s="6">
        <v>4</v>
      </c>
      <c r="Q25" s="6">
        <v>3</v>
      </c>
      <c r="R25" s="6">
        <v>1</v>
      </c>
      <c r="S25" s="5">
        <f t="shared" si="2"/>
        <v>15</v>
      </c>
    </row>
    <row r="26" spans="1:19" x14ac:dyDescent="0.4">
      <c r="A26" s="12"/>
      <c r="B26" s="76"/>
      <c r="C26" s="81"/>
      <c r="D26" s="6" t="s">
        <v>24</v>
      </c>
      <c r="E26" s="6">
        <v>1</v>
      </c>
      <c r="F26" s="6">
        <v>1</v>
      </c>
      <c r="G26" s="6"/>
      <c r="H26" s="6">
        <v>1</v>
      </c>
      <c r="I26" s="6"/>
      <c r="J26" s="6"/>
      <c r="K26" s="6"/>
      <c r="L26" s="6"/>
      <c r="M26" s="6">
        <v>1</v>
      </c>
      <c r="N26" s="6"/>
      <c r="O26" s="6"/>
      <c r="P26" s="6">
        <v>3</v>
      </c>
      <c r="Q26" s="6">
        <v>2</v>
      </c>
      <c r="R26" s="6">
        <v>2</v>
      </c>
      <c r="S26" s="5">
        <f t="shared" si="2"/>
        <v>11</v>
      </c>
    </row>
    <row r="27" spans="1:19" x14ac:dyDescent="0.4">
      <c r="A27" s="13"/>
      <c r="B27" s="78"/>
      <c r="C27" s="82"/>
      <c r="D27" s="5" t="s">
        <v>25</v>
      </c>
      <c r="E27" s="5">
        <f t="shared" ref="E27" si="7">SUM(E25:E26)</f>
        <v>1</v>
      </c>
      <c r="F27" s="5">
        <f t="shared" ref="F27:R27" si="8">SUM(F25:F26)</f>
        <v>2</v>
      </c>
      <c r="G27" s="5">
        <f t="shared" si="8"/>
        <v>0</v>
      </c>
      <c r="H27" s="5">
        <f t="shared" si="8"/>
        <v>1</v>
      </c>
      <c r="I27" s="5">
        <f t="shared" si="8"/>
        <v>1</v>
      </c>
      <c r="J27" s="5">
        <f t="shared" si="8"/>
        <v>0</v>
      </c>
      <c r="K27" s="5">
        <f t="shared" si="8"/>
        <v>0</v>
      </c>
      <c r="L27" s="5">
        <f t="shared" si="8"/>
        <v>0</v>
      </c>
      <c r="M27" s="5">
        <f t="shared" si="8"/>
        <v>3</v>
      </c>
      <c r="N27" s="5">
        <f t="shared" si="8"/>
        <v>3</v>
      </c>
      <c r="O27" s="5">
        <f t="shared" si="8"/>
        <v>0</v>
      </c>
      <c r="P27" s="5">
        <f t="shared" si="8"/>
        <v>7</v>
      </c>
      <c r="Q27" s="5">
        <f t="shared" si="8"/>
        <v>5</v>
      </c>
      <c r="R27" s="5">
        <f t="shared" si="8"/>
        <v>3</v>
      </c>
      <c r="S27" s="5">
        <f t="shared" si="2"/>
        <v>26</v>
      </c>
    </row>
    <row r="28" spans="1:19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77</v>
      </c>
      <c r="F28" s="5">
        <f t="shared" ref="F28:R28" si="9">SUM(F19,F22,F25)</f>
        <v>91</v>
      </c>
      <c r="G28" s="5">
        <f t="shared" si="9"/>
        <v>89</v>
      </c>
      <c r="H28" s="5">
        <f t="shared" si="9"/>
        <v>93</v>
      </c>
      <c r="I28" s="5">
        <f t="shared" si="9"/>
        <v>99</v>
      </c>
      <c r="J28" s="5">
        <f t="shared" si="9"/>
        <v>105</v>
      </c>
      <c r="K28" s="5">
        <f t="shared" si="9"/>
        <v>110</v>
      </c>
      <c r="L28" s="5">
        <f t="shared" si="9"/>
        <v>70</v>
      </c>
      <c r="M28" s="5">
        <f t="shared" si="9"/>
        <v>93</v>
      </c>
      <c r="N28" s="5">
        <f t="shared" si="9"/>
        <v>108</v>
      </c>
      <c r="O28" s="5">
        <f t="shared" si="9"/>
        <v>59</v>
      </c>
      <c r="P28" s="5">
        <f t="shared" si="9"/>
        <v>88</v>
      </c>
      <c r="Q28" s="5">
        <f t="shared" si="9"/>
        <v>99</v>
      </c>
      <c r="R28" s="5">
        <f t="shared" si="9"/>
        <v>104</v>
      </c>
      <c r="S28" s="5">
        <f t="shared" si="2"/>
        <v>1285</v>
      </c>
    </row>
    <row r="29" spans="1:19" x14ac:dyDescent="0.4">
      <c r="A29" s="13"/>
      <c r="B29" s="76"/>
      <c r="C29" s="81"/>
      <c r="D29" s="5" t="s">
        <v>24</v>
      </c>
      <c r="E29" s="5">
        <f>SUM(E20,E23,E26)</f>
        <v>70</v>
      </c>
      <c r="F29" s="5">
        <f t="shared" ref="F29:R29" si="10">SUM(F20,F23,F26)</f>
        <v>89</v>
      </c>
      <c r="G29" s="5">
        <f t="shared" si="10"/>
        <v>102</v>
      </c>
      <c r="H29" s="5">
        <f t="shared" si="10"/>
        <v>113</v>
      </c>
      <c r="I29" s="5">
        <f t="shared" si="10"/>
        <v>95</v>
      </c>
      <c r="J29" s="5">
        <f t="shared" si="10"/>
        <v>104</v>
      </c>
      <c r="K29" s="5">
        <f t="shared" si="10"/>
        <v>121</v>
      </c>
      <c r="L29" s="5">
        <f t="shared" si="10"/>
        <v>85</v>
      </c>
      <c r="M29" s="5">
        <f t="shared" si="10"/>
        <v>107</v>
      </c>
      <c r="N29" s="5">
        <f t="shared" si="10"/>
        <v>108</v>
      </c>
      <c r="O29" s="5">
        <f t="shared" si="10"/>
        <v>67</v>
      </c>
      <c r="P29" s="5">
        <f t="shared" si="10"/>
        <v>88</v>
      </c>
      <c r="Q29" s="5">
        <f t="shared" si="10"/>
        <v>118</v>
      </c>
      <c r="R29" s="5">
        <f t="shared" si="10"/>
        <v>120</v>
      </c>
      <c r="S29" s="5">
        <f t="shared" si="2"/>
        <v>1387</v>
      </c>
    </row>
    <row r="30" spans="1:19" x14ac:dyDescent="0.4">
      <c r="A30" s="13"/>
      <c r="B30" s="78"/>
      <c r="C30" s="82"/>
      <c r="D30" s="5" t="s">
        <v>25</v>
      </c>
      <c r="E30" s="5">
        <f t="shared" ref="E30" si="11">SUM(E28:E29)</f>
        <v>147</v>
      </c>
      <c r="F30" s="5">
        <f t="shared" ref="F30:R30" si="12">SUM(F28:F29)</f>
        <v>180</v>
      </c>
      <c r="G30" s="5">
        <f t="shared" si="12"/>
        <v>191</v>
      </c>
      <c r="H30" s="5">
        <f t="shared" si="12"/>
        <v>206</v>
      </c>
      <c r="I30" s="5">
        <f t="shared" si="12"/>
        <v>194</v>
      </c>
      <c r="J30" s="5">
        <f t="shared" si="12"/>
        <v>209</v>
      </c>
      <c r="K30" s="5">
        <f t="shared" si="12"/>
        <v>231</v>
      </c>
      <c r="L30" s="5">
        <f t="shared" si="12"/>
        <v>155</v>
      </c>
      <c r="M30" s="5">
        <f t="shared" si="12"/>
        <v>200</v>
      </c>
      <c r="N30" s="5">
        <f t="shared" si="12"/>
        <v>216</v>
      </c>
      <c r="O30" s="5">
        <f t="shared" si="12"/>
        <v>126</v>
      </c>
      <c r="P30" s="5">
        <f t="shared" si="12"/>
        <v>176</v>
      </c>
      <c r="Q30" s="5">
        <f t="shared" si="12"/>
        <v>217</v>
      </c>
      <c r="R30" s="5">
        <f t="shared" si="12"/>
        <v>224</v>
      </c>
      <c r="S30" s="5">
        <f t="shared" si="2"/>
        <v>2672</v>
      </c>
    </row>
    <row r="31" spans="1:19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28"/>
    </row>
    <row r="32" spans="1:19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28"/>
    </row>
    <row r="33" spans="1:19" x14ac:dyDescent="0.4">
      <c r="A33" s="6">
        <v>1</v>
      </c>
      <c r="B33" s="72" t="s">
        <v>38</v>
      </c>
      <c r="C33" s="65"/>
      <c r="D33" s="66"/>
      <c r="E33" s="6">
        <v>190</v>
      </c>
      <c r="F33" s="6">
        <v>249</v>
      </c>
      <c r="G33" s="6">
        <v>265</v>
      </c>
      <c r="H33" s="6">
        <v>292</v>
      </c>
      <c r="I33" s="6">
        <v>228</v>
      </c>
      <c r="J33" s="6">
        <v>271</v>
      </c>
      <c r="K33" s="6">
        <v>287</v>
      </c>
      <c r="L33" s="6">
        <v>244</v>
      </c>
      <c r="M33" s="6">
        <v>290</v>
      </c>
      <c r="N33" s="6">
        <v>274</v>
      </c>
      <c r="O33" s="6">
        <v>172</v>
      </c>
      <c r="P33" s="6">
        <v>212</v>
      </c>
      <c r="Q33" s="6">
        <v>273</v>
      </c>
      <c r="R33" s="6">
        <v>298</v>
      </c>
      <c r="S33" s="5">
        <f>SUM(E33:R33)</f>
        <v>3545</v>
      </c>
    </row>
    <row r="34" spans="1:19" x14ac:dyDescent="0.4">
      <c r="A34" s="6">
        <v>2</v>
      </c>
      <c r="B34" s="72" t="s">
        <v>39</v>
      </c>
      <c r="C34" s="65"/>
      <c r="D34" s="66"/>
      <c r="E34" s="5">
        <v>147</v>
      </c>
      <c r="F34" s="5">
        <v>180</v>
      </c>
      <c r="G34" s="5">
        <v>191</v>
      </c>
      <c r="H34" s="5">
        <v>206</v>
      </c>
      <c r="I34" s="5">
        <v>194</v>
      </c>
      <c r="J34" s="5">
        <v>209</v>
      </c>
      <c r="K34" s="5">
        <v>231</v>
      </c>
      <c r="L34" s="5">
        <v>155</v>
      </c>
      <c r="M34" s="5">
        <v>200</v>
      </c>
      <c r="N34" s="5">
        <v>216</v>
      </c>
      <c r="O34" s="5">
        <v>126</v>
      </c>
      <c r="P34" s="5">
        <v>176</v>
      </c>
      <c r="Q34" s="5">
        <v>217</v>
      </c>
      <c r="R34" s="5">
        <v>224</v>
      </c>
      <c r="S34" s="5">
        <f>SUM(E34:R34)</f>
        <v>2672</v>
      </c>
    </row>
    <row r="35" spans="1:19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/>
      <c r="I35" s="6"/>
      <c r="J35" s="6">
        <v>2</v>
      </c>
      <c r="K35" s="6">
        <v>2</v>
      </c>
      <c r="L35" s="6">
        <v>1</v>
      </c>
      <c r="M35" s="6"/>
      <c r="N35" s="6"/>
      <c r="O35" s="6"/>
      <c r="P35" s="6"/>
      <c r="Q35" s="6">
        <v>1</v>
      </c>
      <c r="R35" s="6"/>
      <c r="S35" s="5">
        <f>SUM(E35:R35)</f>
        <v>6</v>
      </c>
    </row>
    <row r="36" spans="1:19" x14ac:dyDescent="0.4">
      <c r="A36" s="6">
        <v>4</v>
      </c>
      <c r="B36" s="72" t="s">
        <v>41</v>
      </c>
      <c r="C36" s="65"/>
      <c r="D36" s="66"/>
      <c r="E36" s="5">
        <f t="shared" ref="E36" si="13">E33-(E34+E35)</f>
        <v>43</v>
      </c>
      <c r="F36" s="5">
        <f t="shared" ref="F36:R36" si="14">F33-(F34+F35)</f>
        <v>69</v>
      </c>
      <c r="G36" s="5">
        <f t="shared" si="14"/>
        <v>74</v>
      </c>
      <c r="H36" s="5">
        <f t="shared" si="14"/>
        <v>86</v>
      </c>
      <c r="I36" s="5">
        <f t="shared" si="14"/>
        <v>34</v>
      </c>
      <c r="J36" s="5">
        <f t="shared" si="14"/>
        <v>60</v>
      </c>
      <c r="K36" s="5">
        <f t="shared" si="14"/>
        <v>54</v>
      </c>
      <c r="L36" s="5">
        <f t="shared" si="14"/>
        <v>88</v>
      </c>
      <c r="M36" s="5">
        <f t="shared" si="14"/>
        <v>90</v>
      </c>
      <c r="N36" s="5">
        <f t="shared" si="14"/>
        <v>58</v>
      </c>
      <c r="O36" s="5">
        <f t="shared" si="14"/>
        <v>46</v>
      </c>
      <c r="P36" s="5">
        <f t="shared" si="14"/>
        <v>36</v>
      </c>
      <c r="Q36" s="5">
        <f t="shared" si="14"/>
        <v>55</v>
      </c>
      <c r="R36" s="5">
        <f t="shared" si="14"/>
        <v>74</v>
      </c>
      <c r="S36" s="5">
        <f>SUM(E36:R36)</f>
        <v>867</v>
      </c>
    </row>
    <row r="37" spans="1:19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28"/>
    </row>
    <row r="38" spans="1:19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28"/>
    </row>
    <row r="39" spans="1:19" x14ac:dyDescent="0.4">
      <c r="A39" s="11"/>
      <c r="B39" s="87" t="s">
        <v>44</v>
      </c>
      <c r="C39" s="74"/>
      <c r="D39" s="6" t="s">
        <v>23</v>
      </c>
      <c r="E39" s="6">
        <v>2</v>
      </c>
      <c r="F39" s="6"/>
      <c r="G39" s="6"/>
      <c r="H39" s="6"/>
      <c r="I39" s="6"/>
      <c r="J39" s="6"/>
      <c r="K39" s="6"/>
      <c r="L39" s="6"/>
      <c r="M39" s="6">
        <v>2</v>
      </c>
      <c r="N39" s="6"/>
      <c r="O39" s="6"/>
      <c r="P39" s="6">
        <v>1</v>
      </c>
      <c r="Q39" s="6"/>
      <c r="R39" s="6">
        <v>1</v>
      </c>
      <c r="S39" s="5">
        <f>SUM(E39:R39)</f>
        <v>6</v>
      </c>
    </row>
    <row r="40" spans="1:19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/>
      <c r="K40" s="6"/>
      <c r="L40" s="6">
        <v>1</v>
      </c>
      <c r="M40" s="6"/>
      <c r="N40" s="6"/>
      <c r="O40" s="6"/>
      <c r="P40" s="6"/>
      <c r="Q40" s="6"/>
      <c r="R40" s="6">
        <v>2</v>
      </c>
      <c r="S40" s="5">
        <f>SUM(E40:R40)</f>
        <v>3</v>
      </c>
    </row>
    <row r="41" spans="1:19" x14ac:dyDescent="0.4">
      <c r="A41" s="14"/>
      <c r="B41" s="89"/>
      <c r="C41" s="78"/>
      <c r="D41" s="5" t="s">
        <v>25</v>
      </c>
      <c r="E41" s="5">
        <f t="shared" ref="E41" si="15">SUM(E39:E40)</f>
        <v>2</v>
      </c>
      <c r="F41" s="5">
        <f t="shared" ref="F41:R41" si="16">SUM(F39:F40)</f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1</v>
      </c>
      <c r="M41" s="5">
        <f t="shared" si="16"/>
        <v>2</v>
      </c>
      <c r="N41" s="5">
        <f t="shared" si="16"/>
        <v>0</v>
      </c>
      <c r="O41" s="5">
        <f t="shared" si="16"/>
        <v>0</v>
      </c>
      <c r="P41" s="5">
        <f t="shared" si="16"/>
        <v>1</v>
      </c>
      <c r="Q41" s="5">
        <f t="shared" si="16"/>
        <v>0</v>
      </c>
      <c r="R41" s="5">
        <f t="shared" si="16"/>
        <v>3</v>
      </c>
      <c r="S41" s="5">
        <f>SUM(E41:R41)</f>
        <v>9</v>
      </c>
    </row>
    <row r="42" spans="1:19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5"/>
    </row>
    <row r="43" spans="1:19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</row>
    <row r="44" spans="1:19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5"/>
    </row>
    <row r="45" spans="1:19" x14ac:dyDescent="0.4">
      <c r="A45" s="11" t="s">
        <v>48</v>
      </c>
      <c r="B45" s="17" t="s">
        <v>28</v>
      </c>
      <c r="C45" s="92" t="s">
        <v>49</v>
      </c>
      <c r="D45" s="66"/>
      <c r="E45" s="6">
        <v>3</v>
      </c>
      <c r="F45" s="6">
        <v>6</v>
      </c>
      <c r="G45" s="6">
        <v>1</v>
      </c>
      <c r="H45" s="6"/>
      <c r="I45" s="6">
        <v>1</v>
      </c>
      <c r="J45" s="6">
        <v>3</v>
      </c>
      <c r="K45" s="6">
        <v>1</v>
      </c>
      <c r="L45" s="6">
        <v>4</v>
      </c>
      <c r="M45" s="6">
        <v>4</v>
      </c>
      <c r="N45" s="6">
        <v>1</v>
      </c>
      <c r="O45" s="6">
        <v>2</v>
      </c>
      <c r="P45" s="6">
        <v>3</v>
      </c>
      <c r="Q45" s="6">
        <v>1</v>
      </c>
      <c r="R45" s="6">
        <v>1</v>
      </c>
      <c r="S45" s="5">
        <f t="shared" ref="S45:S54" si="17">SUM(E45:R45)</f>
        <v>31</v>
      </c>
    </row>
    <row r="46" spans="1:19" x14ac:dyDescent="0.4">
      <c r="A46" s="11" t="s">
        <v>50</v>
      </c>
      <c r="B46" s="50"/>
      <c r="C46" s="24" t="s">
        <v>147</v>
      </c>
      <c r="D46" s="51"/>
      <c r="E46" s="6"/>
      <c r="F46" s="6">
        <v>2</v>
      </c>
      <c r="G46" s="6">
        <v>1</v>
      </c>
      <c r="H46" s="6"/>
      <c r="I46" s="6">
        <v>1</v>
      </c>
      <c r="J46" s="6">
        <v>5</v>
      </c>
      <c r="K46" s="6">
        <v>1</v>
      </c>
      <c r="L46" s="6">
        <v>2</v>
      </c>
      <c r="M46" s="6">
        <v>4</v>
      </c>
      <c r="N46" s="6"/>
      <c r="O46" s="6">
        <v>3</v>
      </c>
      <c r="P46" s="6">
        <v>1</v>
      </c>
      <c r="Q46" s="6">
        <v>2</v>
      </c>
      <c r="R46" s="6"/>
      <c r="S46" s="5">
        <f t="shared" si="17"/>
        <v>22</v>
      </c>
    </row>
    <row r="47" spans="1:19" x14ac:dyDescent="0.4">
      <c r="A47" s="7"/>
      <c r="B47" s="50"/>
      <c r="C47" s="24" t="s">
        <v>148</v>
      </c>
      <c r="D47" s="51"/>
      <c r="E47" s="6">
        <v>2</v>
      </c>
      <c r="F47" s="6">
        <v>4</v>
      </c>
      <c r="G47" s="6">
        <v>8</v>
      </c>
      <c r="H47" s="6">
        <v>12</v>
      </c>
      <c r="I47" s="6">
        <v>5</v>
      </c>
      <c r="J47" s="6">
        <v>6</v>
      </c>
      <c r="K47" s="6">
        <v>8</v>
      </c>
      <c r="L47" s="6">
        <v>5</v>
      </c>
      <c r="M47" s="6">
        <v>16</v>
      </c>
      <c r="N47" s="6">
        <v>17</v>
      </c>
      <c r="O47" s="6">
        <v>3</v>
      </c>
      <c r="P47" s="6">
        <v>4</v>
      </c>
      <c r="Q47" s="6">
        <v>9</v>
      </c>
      <c r="R47" s="6"/>
      <c r="S47" s="5">
        <f t="shared" si="17"/>
        <v>99</v>
      </c>
    </row>
    <row r="48" spans="1:19" x14ac:dyDescent="0.4">
      <c r="A48" s="7"/>
      <c r="B48" s="50"/>
      <c r="C48" s="24" t="s">
        <v>149</v>
      </c>
      <c r="D48" s="51"/>
      <c r="E48" s="6">
        <v>2</v>
      </c>
      <c r="F48" s="6">
        <v>7</v>
      </c>
      <c r="G48" s="6">
        <v>6</v>
      </c>
      <c r="H48" s="6">
        <v>6</v>
      </c>
      <c r="I48" s="6">
        <v>4</v>
      </c>
      <c r="J48" s="6">
        <v>7</v>
      </c>
      <c r="K48" s="6">
        <v>2</v>
      </c>
      <c r="L48" s="6">
        <v>3</v>
      </c>
      <c r="M48" s="6">
        <v>27</v>
      </c>
      <c r="N48" s="6">
        <v>15</v>
      </c>
      <c r="O48" s="6">
        <v>5</v>
      </c>
      <c r="P48" s="6">
        <v>1</v>
      </c>
      <c r="Q48" s="6">
        <v>7</v>
      </c>
      <c r="R48" s="6">
        <v>1</v>
      </c>
      <c r="S48" s="5">
        <f t="shared" si="17"/>
        <v>93</v>
      </c>
    </row>
    <row r="49" spans="1:19" x14ac:dyDescent="0.4">
      <c r="A49" s="7"/>
      <c r="B49" s="50"/>
      <c r="C49" s="24" t="s">
        <v>150</v>
      </c>
      <c r="D49" s="51"/>
      <c r="E49" s="6"/>
      <c r="F49" s="6"/>
      <c r="G49" s="6">
        <v>1</v>
      </c>
      <c r="H49" s="6"/>
      <c r="I49" s="6"/>
      <c r="J49" s="6"/>
      <c r="K49" s="6"/>
      <c r="L49" s="6"/>
      <c r="M49" s="6"/>
      <c r="N49" s="6"/>
      <c r="O49" s="6"/>
      <c r="P49" s="6">
        <v>1</v>
      </c>
      <c r="Q49" s="6">
        <v>2</v>
      </c>
      <c r="R49" s="6"/>
      <c r="S49" s="5">
        <f t="shared" si="17"/>
        <v>4</v>
      </c>
    </row>
    <row r="50" spans="1:19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>
        <v>1</v>
      </c>
      <c r="K50" s="6"/>
      <c r="L50" s="6"/>
      <c r="M50" s="6"/>
      <c r="N50" s="6"/>
      <c r="O50" s="6"/>
      <c r="P50" s="6"/>
      <c r="Q50" s="6"/>
      <c r="R50" s="6"/>
      <c r="S50" s="5">
        <f t="shared" si="17"/>
        <v>1</v>
      </c>
    </row>
    <row r="51" spans="1:19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>
        <f t="shared" si="17"/>
        <v>0</v>
      </c>
    </row>
    <row r="52" spans="1:19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/>
      <c r="K52" s="6">
        <v>1</v>
      </c>
      <c r="L52" s="6"/>
      <c r="M52" s="6"/>
      <c r="N52" s="6"/>
      <c r="O52" s="6"/>
      <c r="P52" s="6"/>
      <c r="Q52" s="6"/>
      <c r="R52" s="6"/>
      <c r="S52" s="5">
        <f t="shared" si="17"/>
        <v>1</v>
      </c>
    </row>
    <row r="53" spans="1:19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5">
        <f t="shared" si="17"/>
        <v>0</v>
      </c>
    </row>
    <row r="54" spans="1:19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>
        <f t="shared" si="17"/>
        <v>0</v>
      </c>
    </row>
    <row r="55" spans="1:19" x14ac:dyDescent="0.4">
      <c r="A55" s="6" t="s">
        <v>26</v>
      </c>
      <c r="B55" s="85" t="s">
        <v>51</v>
      </c>
      <c r="C55" s="65"/>
      <c r="D55" s="66"/>
      <c r="E55" s="5">
        <f>SUM(E45:E54)</f>
        <v>7</v>
      </c>
      <c r="F55" s="5">
        <f t="shared" ref="F55:R55" si="18">SUM(F45:F54)</f>
        <v>19</v>
      </c>
      <c r="G55" s="5">
        <f t="shared" si="18"/>
        <v>17</v>
      </c>
      <c r="H55" s="5">
        <f t="shared" si="18"/>
        <v>18</v>
      </c>
      <c r="I55" s="5">
        <f t="shared" si="18"/>
        <v>11</v>
      </c>
      <c r="J55" s="5">
        <f t="shared" si="18"/>
        <v>22</v>
      </c>
      <c r="K55" s="5">
        <f t="shared" si="18"/>
        <v>13</v>
      </c>
      <c r="L55" s="5">
        <f t="shared" si="18"/>
        <v>14</v>
      </c>
      <c r="M55" s="5">
        <f t="shared" si="18"/>
        <v>51</v>
      </c>
      <c r="N55" s="5">
        <f t="shared" si="18"/>
        <v>33</v>
      </c>
      <c r="O55" s="5">
        <f t="shared" si="18"/>
        <v>13</v>
      </c>
      <c r="P55" s="5">
        <f t="shared" si="18"/>
        <v>10</v>
      </c>
      <c r="Q55" s="5">
        <f t="shared" si="18"/>
        <v>21</v>
      </c>
      <c r="R55" s="5">
        <f t="shared" si="18"/>
        <v>2</v>
      </c>
      <c r="S55" s="5">
        <f t="shared" ref="S55" si="19">SUM(S45:S54)</f>
        <v>251</v>
      </c>
    </row>
    <row r="56" spans="1:19" x14ac:dyDescent="0.4">
      <c r="A56" s="90"/>
      <c r="B56" s="89"/>
      <c r="C56" s="89"/>
      <c r="D56" s="89"/>
      <c r="E56" s="89"/>
      <c r="S56" s="5"/>
    </row>
    <row r="57" spans="1:19" x14ac:dyDescent="0.4">
      <c r="A57" s="11" t="s">
        <v>48</v>
      </c>
      <c r="B57" s="17" t="s">
        <v>30</v>
      </c>
      <c r="C57" s="92" t="s">
        <v>52</v>
      </c>
      <c r="D57" s="66"/>
      <c r="E57" s="6">
        <v>3</v>
      </c>
      <c r="F57" s="6">
        <v>4</v>
      </c>
      <c r="G57" s="6">
        <v>2</v>
      </c>
      <c r="H57" s="6">
        <v>3</v>
      </c>
      <c r="I57" s="6">
        <v>3</v>
      </c>
      <c r="J57" s="6">
        <v>2</v>
      </c>
      <c r="K57" s="6">
        <v>7</v>
      </c>
      <c r="L57" s="6">
        <v>4</v>
      </c>
      <c r="M57" s="6">
        <v>3</v>
      </c>
      <c r="N57" s="6">
        <v>3</v>
      </c>
      <c r="O57" s="6">
        <v>3</v>
      </c>
      <c r="P57" s="6">
        <v>4</v>
      </c>
      <c r="Q57" s="6">
        <v>3</v>
      </c>
      <c r="R57" s="6">
        <v>8</v>
      </c>
      <c r="S57" s="5">
        <f t="shared" ref="S57:S66" si="20">SUM(E57:R57)</f>
        <v>52</v>
      </c>
    </row>
    <row r="58" spans="1:19" x14ac:dyDescent="0.4">
      <c r="A58" s="11" t="s">
        <v>50</v>
      </c>
      <c r="B58" s="50"/>
      <c r="C58" s="24" t="s">
        <v>154</v>
      </c>
      <c r="D58" s="51"/>
      <c r="E58" s="6"/>
      <c r="F58" s="6">
        <v>1</v>
      </c>
      <c r="G58" s="6">
        <v>4</v>
      </c>
      <c r="H58" s="6">
        <v>1</v>
      </c>
      <c r="I58" s="6">
        <v>2</v>
      </c>
      <c r="J58" s="6">
        <v>4</v>
      </c>
      <c r="K58" s="6">
        <v>2</v>
      </c>
      <c r="L58" s="6"/>
      <c r="M58" s="6">
        <v>1</v>
      </c>
      <c r="N58" s="6">
        <v>2</v>
      </c>
      <c r="O58" s="6">
        <v>1</v>
      </c>
      <c r="P58" s="6">
        <v>1</v>
      </c>
      <c r="Q58" s="6"/>
      <c r="R58" s="6">
        <v>5</v>
      </c>
      <c r="S58" s="5">
        <f t="shared" si="20"/>
        <v>24</v>
      </c>
    </row>
    <row r="59" spans="1:19" x14ac:dyDescent="0.4">
      <c r="A59" s="7"/>
      <c r="B59" s="50"/>
      <c r="C59" s="24" t="s">
        <v>155</v>
      </c>
      <c r="D59" s="51"/>
      <c r="E59" s="6"/>
      <c r="F59" s="6">
        <v>2</v>
      </c>
      <c r="G59" s="6">
        <v>3</v>
      </c>
      <c r="H59" s="6">
        <v>2</v>
      </c>
      <c r="I59" s="6">
        <v>2</v>
      </c>
      <c r="J59" s="6">
        <v>4</v>
      </c>
      <c r="K59" s="6"/>
      <c r="L59" s="6">
        <v>2</v>
      </c>
      <c r="M59" s="6">
        <v>3</v>
      </c>
      <c r="N59" s="6">
        <v>3</v>
      </c>
      <c r="O59" s="6">
        <v>3</v>
      </c>
      <c r="P59" s="6">
        <v>9</v>
      </c>
      <c r="Q59" s="6">
        <v>7</v>
      </c>
      <c r="R59" s="6">
        <v>4</v>
      </c>
      <c r="S59" s="5">
        <f t="shared" si="20"/>
        <v>44</v>
      </c>
    </row>
    <row r="60" spans="1:19" x14ac:dyDescent="0.4">
      <c r="A60" s="7"/>
      <c r="B60" s="50"/>
      <c r="C60" s="24" t="s">
        <v>156</v>
      </c>
      <c r="D60" s="51"/>
      <c r="E60" s="6"/>
      <c r="F60" s="6"/>
      <c r="G60" s="6"/>
      <c r="H60" s="6"/>
      <c r="I60" s="6"/>
      <c r="J60" s="6">
        <v>2</v>
      </c>
      <c r="K60" s="6"/>
      <c r="L60" s="6"/>
      <c r="M60" s="6">
        <v>1</v>
      </c>
      <c r="N60" s="6"/>
      <c r="O60" s="6"/>
      <c r="P60" s="6">
        <v>1</v>
      </c>
      <c r="Q60" s="6">
        <v>1</v>
      </c>
      <c r="R60" s="6"/>
      <c r="S60" s="5">
        <f t="shared" si="20"/>
        <v>5</v>
      </c>
    </row>
    <row r="61" spans="1:19" x14ac:dyDescent="0.4">
      <c r="A61" s="7"/>
      <c r="B61" s="50"/>
      <c r="C61" s="24" t="s">
        <v>157</v>
      </c>
      <c r="D61" s="51"/>
      <c r="E61" s="6">
        <v>1</v>
      </c>
      <c r="F61" s="6">
        <v>1</v>
      </c>
      <c r="G61" s="6">
        <v>9</v>
      </c>
      <c r="H61" s="6">
        <v>6</v>
      </c>
      <c r="I61" s="6">
        <v>5</v>
      </c>
      <c r="J61" s="6">
        <v>12</v>
      </c>
      <c r="K61" s="6">
        <v>62</v>
      </c>
      <c r="L61" s="6">
        <v>1</v>
      </c>
      <c r="M61" s="6">
        <v>5</v>
      </c>
      <c r="N61" s="6"/>
      <c r="O61" s="6"/>
      <c r="P61" s="6">
        <v>10</v>
      </c>
      <c r="Q61" s="6">
        <v>11</v>
      </c>
      <c r="R61" s="6"/>
      <c r="S61" s="5">
        <f t="shared" si="20"/>
        <v>123</v>
      </c>
    </row>
    <row r="62" spans="1:19" x14ac:dyDescent="0.4">
      <c r="A62" s="7"/>
      <c r="B62" s="50"/>
      <c r="C62" s="24" t="s">
        <v>158</v>
      </c>
      <c r="D62" s="51"/>
      <c r="E62" s="6"/>
      <c r="F62" s="6"/>
      <c r="G62" s="6"/>
      <c r="H62" s="6"/>
      <c r="I62" s="6"/>
      <c r="J62" s="6"/>
      <c r="K62" s="6"/>
      <c r="L62" s="6"/>
      <c r="M62" s="6">
        <v>3</v>
      </c>
      <c r="N62" s="6">
        <v>1</v>
      </c>
      <c r="O62" s="6">
        <v>2</v>
      </c>
      <c r="P62" s="6"/>
      <c r="Q62" s="6"/>
      <c r="R62" s="6"/>
      <c r="S62" s="5">
        <f t="shared" si="20"/>
        <v>6</v>
      </c>
    </row>
    <row r="63" spans="1:19" ht="13.15" customHeight="1" x14ac:dyDescent="0.4">
      <c r="A63" s="7"/>
      <c r="B63" s="50"/>
      <c r="C63" s="24" t="s">
        <v>159</v>
      </c>
      <c r="D63" s="51"/>
      <c r="E63" s="6"/>
      <c r="F63" s="6">
        <v>2</v>
      </c>
      <c r="G63" s="6"/>
      <c r="H63" s="6"/>
      <c r="I63" s="6"/>
      <c r="J63" s="6"/>
      <c r="K63" s="6"/>
      <c r="L63" s="6">
        <v>1</v>
      </c>
      <c r="M63" s="6"/>
      <c r="N63" s="6"/>
      <c r="O63" s="6">
        <v>1</v>
      </c>
      <c r="P63" s="6"/>
      <c r="Q63" s="6"/>
      <c r="R63" s="6"/>
      <c r="S63" s="5">
        <f t="shared" si="20"/>
        <v>4</v>
      </c>
    </row>
    <row r="64" spans="1:19" x14ac:dyDescent="0.4">
      <c r="A64" s="7"/>
      <c r="B64" s="50"/>
      <c r="C64" s="24" t="s">
        <v>160</v>
      </c>
      <c r="D64" s="51"/>
      <c r="E64" s="6"/>
      <c r="F64" s="6">
        <v>2</v>
      </c>
      <c r="G64" s="6">
        <v>8</v>
      </c>
      <c r="H64" s="6">
        <v>6</v>
      </c>
      <c r="I64" s="6">
        <v>9</v>
      </c>
      <c r="J64" s="6">
        <v>21</v>
      </c>
      <c r="K64" s="6">
        <v>13</v>
      </c>
      <c r="L64" s="6">
        <v>1</v>
      </c>
      <c r="M64" s="6">
        <v>12</v>
      </c>
      <c r="N64" s="6">
        <v>13</v>
      </c>
      <c r="O64" s="6">
        <v>25</v>
      </c>
      <c r="P64" s="6">
        <v>36</v>
      </c>
      <c r="Q64" s="6">
        <v>13</v>
      </c>
      <c r="R64" s="6">
        <v>1</v>
      </c>
      <c r="S64" s="5">
        <f t="shared" si="20"/>
        <v>160</v>
      </c>
    </row>
    <row r="65" spans="1:19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">
        <f t="shared" si="20"/>
        <v>0</v>
      </c>
    </row>
    <row r="66" spans="1:19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5">
        <f t="shared" si="20"/>
        <v>0</v>
      </c>
    </row>
    <row r="67" spans="1:19" x14ac:dyDescent="0.4">
      <c r="A67" s="6" t="s">
        <v>26</v>
      </c>
      <c r="B67" s="85" t="s">
        <v>51</v>
      </c>
      <c r="C67" s="65"/>
      <c r="D67" s="66"/>
      <c r="E67" s="5">
        <f t="shared" ref="E67:S67" si="21">SUM(E57:E66)</f>
        <v>4</v>
      </c>
      <c r="F67" s="5">
        <f t="shared" ref="F67:R67" si="22">SUM(F57:F66)</f>
        <v>12</v>
      </c>
      <c r="G67" s="5">
        <f t="shared" si="22"/>
        <v>26</v>
      </c>
      <c r="H67" s="5">
        <f t="shared" si="22"/>
        <v>18</v>
      </c>
      <c r="I67" s="5">
        <f t="shared" si="22"/>
        <v>21</v>
      </c>
      <c r="J67" s="5">
        <f t="shared" si="22"/>
        <v>45</v>
      </c>
      <c r="K67" s="5">
        <f t="shared" si="22"/>
        <v>84</v>
      </c>
      <c r="L67" s="5">
        <f t="shared" si="22"/>
        <v>9</v>
      </c>
      <c r="M67" s="5">
        <f t="shared" si="22"/>
        <v>28</v>
      </c>
      <c r="N67" s="5">
        <f t="shared" si="22"/>
        <v>22</v>
      </c>
      <c r="O67" s="5">
        <f t="shared" si="22"/>
        <v>35</v>
      </c>
      <c r="P67" s="5">
        <f t="shared" si="22"/>
        <v>61</v>
      </c>
      <c r="Q67" s="5">
        <f t="shared" si="22"/>
        <v>35</v>
      </c>
      <c r="R67" s="5">
        <f t="shared" si="22"/>
        <v>18</v>
      </c>
      <c r="S67" s="5">
        <f t="shared" si="21"/>
        <v>418</v>
      </c>
    </row>
    <row r="68" spans="1:19" x14ac:dyDescent="0.4">
      <c r="A68" s="90"/>
      <c r="B68" s="89"/>
      <c r="C68" s="89"/>
      <c r="D68" s="89"/>
      <c r="E68" s="89"/>
    </row>
    <row r="69" spans="1:19" x14ac:dyDescent="0.4">
      <c r="A69" s="11" t="s">
        <v>48</v>
      </c>
      <c r="B69" s="17" t="s">
        <v>32</v>
      </c>
      <c r="C69" s="92" t="s">
        <v>53</v>
      </c>
      <c r="D69" s="66"/>
      <c r="E69" s="6">
        <v>6</v>
      </c>
      <c r="F69" s="6">
        <v>11</v>
      </c>
      <c r="G69" s="6">
        <v>5</v>
      </c>
      <c r="H69" s="6"/>
      <c r="I69" s="6">
        <v>7</v>
      </c>
      <c r="J69" s="6">
        <v>3</v>
      </c>
      <c r="K69" s="6">
        <v>1</v>
      </c>
      <c r="L69" s="6">
        <v>10</v>
      </c>
      <c r="M69" s="6">
        <v>3</v>
      </c>
      <c r="N69" s="6"/>
      <c r="O69" s="6"/>
      <c r="P69" s="6">
        <v>1</v>
      </c>
      <c r="Q69" s="6">
        <v>3</v>
      </c>
      <c r="R69" s="6">
        <v>13</v>
      </c>
      <c r="S69" s="5">
        <f t="shared" ref="S69:S78" si="23">SUM(E69:R69)</f>
        <v>63</v>
      </c>
    </row>
    <row r="70" spans="1:19" x14ac:dyDescent="0.4">
      <c r="A70" s="11" t="s">
        <v>50</v>
      </c>
      <c r="B70" s="50"/>
      <c r="C70" s="24" t="s">
        <v>161</v>
      </c>
      <c r="D70" s="51"/>
      <c r="E70" s="6">
        <v>32</v>
      </c>
      <c r="F70" s="6">
        <v>29</v>
      </c>
      <c r="G70" s="6">
        <v>60</v>
      </c>
      <c r="H70" s="6">
        <v>24</v>
      </c>
      <c r="I70" s="6">
        <v>46</v>
      </c>
      <c r="J70" s="6">
        <v>38</v>
      </c>
      <c r="K70" s="6">
        <v>15</v>
      </c>
      <c r="L70" s="6">
        <v>21</v>
      </c>
      <c r="M70" s="6">
        <v>15</v>
      </c>
      <c r="N70" s="6">
        <v>50</v>
      </c>
      <c r="O70" s="6"/>
      <c r="P70" s="6">
        <v>2</v>
      </c>
      <c r="Q70" s="6">
        <v>54</v>
      </c>
      <c r="R70" s="6">
        <v>53</v>
      </c>
      <c r="S70" s="5">
        <f t="shared" si="23"/>
        <v>439</v>
      </c>
    </row>
    <row r="71" spans="1:19" x14ac:dyDescent="0.4">
      <c r="A71" s="7"/>
      <c r="B71" s="50"/>
      <c r="C71" s="24" t="s">
        <v>162</v>
      </c>
      <c r="D71" s="51"/>
      <c r="E71" s="6"/>
      <c r="F71" s="6"/>
      <c r="G71" s="6">
        <v>2</v>
      </c>
      <c r="H71" s="6"/>
      <c r="I71" s="6">
        <v>2</v>
      </c>
      <c r="J71" s="6">
        <v>2</v>
      </c>
      <c r="K71" s="6">
        <v>1</v>
      </c>
      <c r="L71" s="6">
        <v>1</v>
      </c>
      <c r="M71" s="6"/>
      <c r="N71" s="6"/>
      <c r="O71" s="6"/>
      <c r="P71" s="6"/>
      <c r="Q71" s="6">
        <v>1</v>
      </c>
      <c r="R71" s="6"/>
      <c r="S71" s="5">
        <f t="shared" si="23"/>
        <v>9</v>
      </c>
    </row>
    <row r="72" spans="1:19" x14ac:dyDescent="0.4">
      <c r="A72" s="7"/>
      <c r="B72" s="50"/>
      <c r="C72" s="24" t="s">
        <v>163</v>
      </c>
      <c r="D72" s="51"/>
      <c r="E72" s="6">
        <v>1</v>
      </c>
      <c r="F72" s="6">
        <v>1</v>
      </c>
      <c r="G72" s="6">
        <v>1</v>
      </c>
      <c r="H72" s="6"/>
      <c r="I72" s="6">
        <v>1</v>
      </c>
      <c r="J72" s="6">
        <v>2</v>
      </c>
      <c r="K72" s="6"/>
      <c r="L72" s="6">
        <v>1</v>
      </c>
      <c r="M72" s="6">
        <v>1</v>
      </c>
      <c r="N72" s="6"/>
      <c r="O72" s="6">
        <v>1</v>
      </c>
      <c r="P72" s="6"/>
      <c r="Q72" s="6"/>
      <c r="R72" s="6">
        <v>1</v>
      </c>
      <c r="S72" s="5">
        <f t="shared" si="23"/>
        <v>10</v>
      </c>
    </row>
    <row r="73" spans="1:19" x14ac:dyDescent="0.4">
      <c r="A73" s="7"/>
      <c r="B73" s="50"/>
      <c r="C73" s="24" t="s">
        <v>164</v>
      </c>
      <c r="D73" s="51"/>
      <c r="E73" s="6">
        <v>4</v>
      </c>
      <c r="F73" s="6"/>
      <c r="G73" s="6">
        <v>4</v>
      </c>
      <c r="H73" s="6"/>
      <c r="I73" s="6">
        <v>6</v>
      </c>
      <c r="J73" s="6">
        <v>3</v>
      </c>
      <c r="K73" s="6">
        <v>2</v>
      </c>
      <c r="L73" s="6">
        <v>3</v>
      </c>
      <c r="M73" s="6">
        <v>5</v>
      </c>
      <c r="N73" s="6">
        <v>7</v>
      </c>
      <c r="O73" s="6">
        <v>1</v>
      </c>
      <c r="P73" s="6">
        <v>8</v>
      </c>
      <c r="Q73" s="6">
        <v>2</v>
      </c>
      <c r="R73" s="6">
        <v>23</v>
      </c>
      <c r="S73" s="5">
        <f t="shared" si="23"/>
        <v>68</v>
      </c>
    </row>
    <row r="74" spans="1:19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>
        <v>1</v>
      </c>
      <c r="K74" s="6"/>
      <c r="L74" s="6"/>
      <c r="M74" s="6"/>
      <c r="N74" s="6"/>
      <c r="O74" s="6"/>
      <c r="P74" s="6"/>
      <c r="Q74" s="6">
        <v>1</v>
      </c>
      <c r="R74" s="6"/>
      <c r="S74" s="5">
        <f t="shared" si="23"/>
        <v>2</v>
      </c>
    </row>
    <row r="75" spans="1:19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1</v>
      </c>
      <c r="S75" s="5">
        <f t="shared" si="23"/>
        <v>1</v>
      </c>
    </row>
    <row r="76" spans="1:19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/>
      <c r="L76" s="6">
        <v>1</v>
      </c>
      <c r="M76" s="6"/>
      <c r="N76" s="6"/>
      <c r="O76" s="6"/>
      <c r="P76" s="6"/>
      <c r="Q76" s="6"/>
      <c r="R76" s="6"/>
      <c r="S76" s="5">
        <f t="shared" si="23"/>
        <v>1</v>
      </c>
    </row>
    <row r="77" spans="1:1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5">
        <f t="shared" si="23"/>
        <v>0</v>
      </c>
    </row>
    <row r="78" spans="1:1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5">
        <f t="shared" si="23"/>
        <v>0</v>
      </c>
    </row>
    <row r="79" spans="1:19" x14ac:dyDescent="0.4">
      <c r="A79" s="6" t="s">
        <v>26</v>
      </c>
      <c r="B79" s="85" t="s">
        <v>51</v>
      </c>
      <c r="C79" s="65"/>
      <c r="D79" s="66"/>
      <c r="E79" s="5">
        <f t="shared" ref="E79:S79" si="24">SUM(E69:E78)</f>
        <v>43</v>
      </c>
      <c r="F79" s="5">
        <f t="shared" ref="F79:R79" si="25">SUM(F69:F78)</f>
        <v>41</v>
      </c>
      <c r="G79" s="5">
        <f t="shared" si="25"/>
        <v>72</v>
      </c>
      <c r="H79" s="5">
        <f t="shared" si="25"/>
        <v>24</v>
      </c>
      <c r="I79" s="5">
        <f t="shared" si="25"/>
        <v>62</v>
      </c>
      <c r="J79" s="5">
        <f t="shared" si="25"/>
        <v>49</v>
      </c>
      <c r="K79" s="5">
        <f t="shared" si="25"/>
        <v>19</v>
      </c>
      <c r="L79" s="5">
        <f t="shared" si="25"/>
        <v>37</v>
      </c>
      <c r="M79" s="5">
        <f t="shared" si="25"/>
        <v>24</v>
      </c>
      <c r="N79" s="5">
        <f t="shared" si="25"/>
        <v>57</v>
      </c>
      <c r="O79" s="5">
        <f t="shared" si="25"/>
        <v>2</v>
      </c>
      <c r="P79" s="5">
        <f t="shared" si="25"/>
        <v>11</v>
      </c>
      <c r="Q79" s="5">
        <f t="shared" si="25"/>
        <v>61</v>
      </c>
      <c r="R79" s="5">
        <f t="shared" si="25"/>
        <v>91</v>
      </c>
      <c r="S79" s="5">
        <f t="shared" si="24"/>
        <v>593</v>
      </c>
    </row>
    <row r="80" spans="1:19" x14ac:dyDescent="0.4">
      <c r="A80" s="90"/>
      <c r="B80" s="89"/>
      <c r="C80" s="89"/>
      <c r="D80" s="89"/>
      <c r="E80" s="89"/>
    </row>
    <row r="81" spans="1:19" x14ac:dyDescent="0.4">
      <c r="A81" s="11" t="s">
        <v>48</v>
      </c>
      <c r="B81" s="17" t="s">
        <v>34</v>
      </c>
      <c r="C81" s="92" t="s">
        <v>54</v>
      </c>
      <c r="D81" s="66"/>
      <c r="E81" s="6">
        <v>4</v>
      </c>
      <c r="F81" s="6">
        <v>5</v>
      </c>
      <c r="G81" s="6">
        <v>7</v>
      </c>
      <c r="H81" s="6">
        <v>3</v>
      </c>
      <c r="I81" s="6">
        <v>2</v>
      </c>
      <c r="J81" s="6"/>
      <c r="K81" s="6">
        <v>3</v>
      </c>
      <c r="L81" s="6">
        <v>4</v>
      </c>
      <c r="M81" s="6">
        <v>3</v>
      </c>
      <c r="N81" s="6"/>
      <c r="O81" s="6">
        <v>1</v>
      </c>
      <c r="P81" s="6">
        <v>1</v>
      </c>
      <c r="Q81" s="6">
        <v>1</v>
      </c>
      <c r="R81" s="6">
        <v>9</v>
      </c>
      <c r="S81" s="5">
        <f t="shared" ref="S81:S90" si="26">SUM(E81:R81)</f>
        <v>43</v>
      </c>
    </row>
    <row r="82" spans="1:19" x14ac:dyDescent="0.4">
      <c r="A82" s="11" t="s">
        <v>50</v>
      </c>
      <c r="B82" s="50"/>
      <c r="C82" s="24" t="s">
        <v>168</v>
      </c>
      <c r="D82" s="51"/>
      <c r="E82" s="6">
        <v>6</v>
      </c>
      <c r="F82" s="6">
        <v>15</v>
      </c>
      <c r="G82" s="6">
        <v>13</v>
      </c>
      <c r="H82" s="6">
        <v>49</v>
      </c>
      <c r="I82" s="6">
        <v>7</v>
      </c>
      <c r="J82" s="6">
        <v>7</v>
      </c>
      <c r="K82" s="6">
        <v>31</v>
      </c>
      <c r="L82" s="6">
        <v>15</v>
      </c>
      <c r="M82" s="6">
        <v>6</v>
      </c>
      <c r="N82" s="6"/>
      <c r="O82" s="6">
        <v>7</v>
      </c>
      <c r="P82" s="6">
        <v>5</v>
      </c>
      <c r="Q82" s="6">
        <v>13</v>
      </c>
      <c r="R82" s="6">
        <v>36</v>
      </c>
      <c r="S82" s="5">
        <f t="shared" si="26"/>
        <v>210</v>
      </c>
    </row>
    <row r="83" spans="1:19" x14ac:dyDescent="0.4">
      <c r="A83" s="7"/>
      <c r="B83" s="50"/>
      <c r="C83" s="24" t="s">
        <v>169</v>
      </c>
      <c r="D83" s="51"/>
      <c r="E83" s="6">
        <v>1</v>
      </c>
      <c r="F83" s="6">
        <v>1</v>
      </c>
      <c r="G83" s="6"/>
      <c r="H83" s="6"/>
      <c r="I83" s="6">
        <v>1</v>
      </c>
      <c r="J83" s="6"/>
      <c r="K83" s="6"/>
      <c r="L83" s="6"/>
      <c r="M83" s="6">
        <v>1</v>
      </c>
      <c r="N83" s="6"/>
      <c r="O83" s="6"/>
      <c r="P83" s="6">
        <v>1</v>
      </c>
      <c r="Q83" s="6">
        <v>2</v>
      </c>
      <c r="R83" s="6"/>
      <c r="S83" s="5">
        <f t="shared" si="26"/>
        <v>7</v>
      </c>
    </row>
    <row r="84" spans="1:19" x14ac:dyDescent="0.4">
      <c r="A84" s="7"/>
      <c r="B84" s="50"/>
      <c r="C84" s="24" t="s">
        <v>170</v>
      </c>
      <c r="D84" s="51"/>
      <c r="E84" s="6">
        <v>1</v>
      </c>
      <c r="F84" s="6"/>
      <c r="G84" s="6"/>
      <c r="H84" s="6"/>
      <c r="I84" s="6"/>
      <c r="J84" s="6"/>
      <c r="K84" s="6"/>
      <c r="L84" s="6"/>
      <c r="M84" s="6"/>
      <c r="N84" s="6">
        <v>1</v>
      </c>
      <c r="O84" s="6"/>
      <c r="P84" s="6">
        <v>1</v>
      </c>
      <c r="Q84" s="6"/>
      <c r="R84" s="6"/>
      <c r="S84" s="5">
        <f t="shared" si="26"/>
        <v>3</v>
      </c>
    </row>
    <row r="85" spans="1:19" ht="13.15" customHeight="1" x14ac:dyDescent="0.4">
      <c r="A85" s="7"/>
      <c r="B85" s="50"/>
      <c r="C85" s="24" t="s">
        <v>171</v>
      </c>
      <c r="D85" s="51"/>
      <c r="E85" s="6"/>
      <c r="F85" s="6"/>
      <c r="G85" s="6"/>
      <c r="H85" s="6"/>
      <c r="I85" s="6"/>
      <c r="J85" s="6">
        <v>1</v>
      </c>
      <c r="K85" s="6">
        <v>1</v>
      </c>
      <c r="L85" s="6"/>
      <c r="M85" s="6"/>
      <c r="N85" s="6"/>
      <c r="O85" s="6"/>
      <c r="P85" s="6"/>
      <c r="Q85" s="6"/>
      <c r="R85" s="6"/>
      <c r="S85" s="5">
        <f t="shared" si="26"/>
        <v>2</v>
      </c>
    </row>
    <row r="86" spans="1:19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5">
        <f t="shared" si="26"/>
        <v>0</v>
      </c>
    </row>
    <row r="87" spans="1:19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5">
        <f t="shared" si="26"/>
        <v>0</v>
      </c>
    </row>
    <row r="88" spans="1:19" x14ac:dyDescent="0.4">
      <c r="A88" s="7"/>
      <c r="B88" s="50"/>
      <c r="C88" s="24" t="s">
        <v>174</v>
      </c>
      <c r="D88" s="51"/>
      <c r="E88" s="6"/>
      <c r="F88" s="6"/>
      <c r="G88" s="6">
        <v>1</v>
      </c>
      <c r="H88" s="6"/>
      <c r="I88" s="6"/>
      <c r="J88" s="6"/>
      <c r="K88" s="6"/>
      <c r="L88" s="6"/>
      <c r="M88" s="6"/>
      <c r="N88" s="6"/>
      <c r="O88" s="6"/>
      <c r="P88" s="6"/>
      <c r="Q88" s="6">
        <v>1</v>
      </c>
      <c r="R88" s="6">
        <v>1</v>
      </c>
      <c r="S88" s="5">
        <f t="shared" si="26"/>
        <v>3</v>
      </c>
    </row>
    <row r="89" spans="1:1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5">
        <f t="shared" si="26"/>
        <v>0</v>
      </c>
    </row>
    <row r="90" spans="1:1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5">
        <f t="shared" si="26"/>
        <v>0</v>
      </c>
    </row>
    <row r="91" spans="1:19" x14ac:dyDescent="0.4">
      <c r="A91" s="6" t="s">
        <v>26</v>
      </c>
      <c r="B91" s="85" t="s">
        <v>51</v>
      </c>
      <c r="C91" s="65"/>
      <c r="D91" s="66"/>
      <c r="E91" s="5">
        <f t="shared" ref="E91:S91" si="27">SUM(E81:E90)</f>
        <v>12</v>
      </c>
      <c r="F91" s="5">
        <f t="shared" ref="F91:R91" si="28">SUM(F81:F90)</f>
        <v>21</v>
      </c>
      <c r="G91" s="5">
        <f t="shared" si="28"/>
        <v>21</v>
      </c>
      <c r="H91" s="5">
        <f t="shared" si="28"/>
        <v>52</v>
      </c>
      <c r="I91" s="5">
        <f t="shared" si="28"/>
        <v>10</v>
      </c>
      <c r="J91" s="5">
        <f t="shared" si="28"/>
        <v>8</v>
      </c>
      <c r="K91" s="5">
        <f t="shared" si="28"/>
        <v>35</v>
      </c>
      <c r="L91" s="5">
        <f t="shared" si="28"/>
        <v>19</v>
      </c>
      <c r="M91" s="5">
        <f t="shared" si="28"/>
        <v>10</v>
      </c>
      <c r="N91" s="5">
        <f t="shared" si="28"/>
        <v>1</v>
      </c>
      <c r="O91" s="5">
        <f t="shared" si="28"/>
        <v>8</v>
      </c>
      <c r="P91" s="5">
        <f t="shared" si="28"/>
        <v>8</v>
      </c>
      <c r="Q91" s="5">
        <f t="shared" si="28"/>
        <v>17</v>
      </c>
      <c r="R91" s="5">
        <f t="shared" si="28"/>
        <v>46</v>
      </c>
      <c r="S91" s="5">
        <f t="shared" si="27"/>
        <v>268</v>
      </c>
    </row>
    <row r="92" spans="1:19" x14ac:dyDescent="0.4">
      <c r="A92" s="90"/>
      <c r="B92" s="89"/>
      <c r="C92" s="89"/>
      <c r="D92" s="89"/>
      <c r="E92" s="89"/>
    </row>
    <row r="93" spans="1:19" x14ac:dyDescent="0.4">
      <c r="A93" s="11" t="s">
        <v>48</v>
      </c>
      <c r="B93" s="17" t="s">
        <v>55</v>
      </c>
      <c r="C93" s="92" t="s">
        <v>56</v>
      </c>
      <c r="D93" s="66"/>
      <c r="E93" s="6">
        <v>1</v>
      </c>
      <c r="F93" s="6">
        <v>2</v>
      </c>
      <c r="G93" s="6"/>
      <c r="H93" s="6"/>
      <c r="I93" s="6">
        <v>2</v>
      </c>
      <c r="J93" s="6"/>
      <c r="K93" s="6"/>
      <c r="L93" s="6">
        <v>1</v>
      </c>
      <c r="M93" s="6"/>
      <c r="N93" s="6"/>
      <c r="O93" s="6">
        <v>3</v>
      </c>
      <c r="P93" s="6"/>
      <c r="Q93" s="6">
        <v>1</v>
      </c>
      <c r="R93" s="6">
        <v>2</v>
      </c>
      <c r="S93" s="5">
        <f t="shared" ref="S93:S102" si="29">SUM(E93:R93)</f>
        <v>12</v>
      </c>
    </row>
    <row r="94" spans="1:19" x14ac:dyDescent="0.4">
      <c r="A94" s="11" t="s">
        <v>50</v>
      </c>
      <c r="B94" s="50"/>
      <c r="C94" s="24" t="s">
        <v>175</v>
      </c>
      <c r="D94" s="51"/>
      <c r="E94" s="6">
        <v>1</v>
      </c>
      <c r="F94" s="6"/>
      <c r="G94" s="6">
        <v>1</v>
      </c>
      <c r="H94" s="6">
        <v>2</v>
      </c>
      <c r="I94" s="6">
        <v>2</v>
      </c>
      <c r="J94" s="6"/>
      <c r="K94" s="6"/>
      <c r="L94" s="6"/>
      <c r="M94" s="6"/>
      <c r="N94" s="6"/>
      <c r="O94" s="6"/>
      <c r="P94" s="6">
        <v>1</v>
      </c>
      <c r="Q94" s="6"/>
      <c r="R94" s="6">
        <v>2</v>
      </c>
      <c r="S94" s="5">
        <f t="shared" si="29"/>
        <v>9</v>
      </c>
    </row>
    <row r="95" spans="1:19" x14ac:dyDescent="0.4">
      <c r="A95" s="7"/>
      <c r="B95" s="50"/>
      <c r="C95" s="24" t="s">
        <v>176</v>
      </c>
      <c r="D95" s="51"/>
      <c r="E95" s="6">
        <v>2</v>
      </c>
      <c r="F95" s="6">
        <v>8</v>
      </c>
      <c r="G95" s="6">
        <v>2</v>
      </c>
      <c r="H95" s="6">
        <v>1</v>
      </c>
      <c r="I95" s="6">
        <v>11</v>
      </c>
      <c r="J95" s="6">
        <v>14</v>
      </c>
      <c r="K95" s="6">
        <v>10</v>
      </c>
      <c r="L95" s="6">
        <v>41</v>
      </c>
      <c r="M95" s="6">
        <v>23</v>
      </c>
      <c r="N95" s="6">
        <v>15</v>
      </c>
      <c r="O95" s="6">
        <v>3</v>
      </c>
      <c r="P95" s="6">
        <v>1</v>
      </c>
      <c r="Q95" s="6">
        <v>22</v>
      </c>
      <c r="R95" s="6">
        <v>3</v>
      </c>
      <c r="S95" s="5">
        <f t="shared" si="29"/>
        <v>156</v>
      </c>
    </row>
    <row r="96" spans="1:19" ht="13.15" customHeight="1" x14ac:dyDescent="0.4">
      <c r="A96" s="7"/>
      <c r="B96" s="50"/>
      <c r="C96" s="24" t="s">
        <v>177</v>
      </c>
      <c r="D96" s="51"/>
      <c r="E96" s="6"/>
      <c r="F96" s="6"/>
      <c r="G96" s="6"/>
      <c r="H96" s="6"/>
      <c r="I96" s="6"/>
      <c r="J96" s="6"/>
      <c r="K96" s="6"/>
      <c r="L96" s="6">
        <v>1</v>
      </c>
      <c r="M96" s="6"/>
      <c r="N96" s="6"/>
      <c r="O96" s="6"/>
      <c r="P96" s="6"/>
      <c r="Q96" s="6"/>
      <c r="R96" s="6"/>
      <c r="S96" s="5">
        <f t="shared" si="29"/>
        <v>1</v>
      </c>
    </row>
    <row r="97" spans="1:19" x14ac:dyDescent="0.4">
      <c r="A97" s="7"/>
      <c r="B97" s="50"/>
      <c r="C97" s="24" t="s">
        <v>178</v>
      </c>
      <c r="D97" s="51"/>
      <c r="E97" s="6">
        <v>30</v>
      </c>
      <c r="F97" s="6">
        <v>7</v>
      </c>
      <c r="G97" s="6">
        <v>8</v>
      </c>
      <c r="H97" s="6">
        <v>5</v>
      </c>
      <c r="I97" s="6">
        <v>15</v>
      </c>
      <c r="J97" s="6">
        <v>16</v>
      </c>
      <c r="K97" s="6">
        <v>5</v>
      </c>
      <c r="L97" s="6"/>
      <c r="M97" s="6">
        <v>1</v>
      </c>
      <c r="N97" s="6">
        <v>2</v>
      </c>
      <c r="O97" s="6">
        <v>1</v>
      </c>
      <c r="P97" s="6"/>
      <c r="Q97" s="6">
        <v>11</v>
      </c>
      <c r="R97" s="6">
        <v>23</v>
      </c>
      <c r="S97" s="5">
        <f t="shared" si="29"/>
        <v>124</v>
      </c>
    </row>
    <row r="98" spans="1:19" x14ac:dyDescent="0.4">
      <c r="A98" s="7"/>
      <c r="B98" s="50"/>
      <c r="C98" s="24" t="s">
        <v>179</v>
      </c>
      <c r="D98" s="51"/>
      <c r="E98" s="6"/>
      <c r="F98" s="6"/>
      <c r="G98" s="6"/>
      <c r="H98" s="6">
        <v>1</v>
      </c>
      <c r="I98" s="6">
        <v>1</v>
      </c>
      <c r="J98" s="6"/>
      <c r="K98" s="6"/>
      <c r="L98" s="6"/>
      <c r="M98" s="6">
        <v>2</v>
      </c>
      <c r="N98" s="6"/>
      <c r="O98" s="6"/>
      <c r="P98" s="6">
        <v>1</v>
      </c>
      <c r="Q98" s="6">
        <v>1</v>
      </c>
      <c r="R98" s="6"/>
      <c r="S98" s="5">
        <f t="shared" si="29"/>
        <v>6</v>
      </c>
    </row>
    <row r="99" spans="1:19" x14ac:dyDescent="0.4">
      <c r="A99" s="7"/>
      <c r="B99" s="50"/>
      <c r="C99" s="24" t="s">
        <v>180</v>
      </c>
      <c r="D99" s="51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1</v>
      </c>
      <c r="P99" s="6"/>
      <c r="Q99" s="6"/>
      <c r="R99" s="6"/>
      <c r="S99" s="5">
        <f t="shared" si="29"/>
        <v>1</v>
      </c>
    </row>
    <row r="100" spans="1:19" x14ac:dyDescent="0.4">
      <c r="A100" s="7"/>
      <c r="B100" s="50"/>
      <c r="C100" s="24" t="s">
        <v>181</v>
      </c>
      <c r="D100" s="51"/>
      <c r="E100" s="6">
        <v>7</v>
      </c>
      <c r="F100" s="6">
        <v>7</v>
      </c>
      <c r="G100" s="6">
        <v>6</v>
      </c>
      <c r="H100" s="6"/>
      <c r="I100" s="6">
        <v>5</v>
      </c>
      <c r="J100" s="6">
        <v>14</v>
      </c>
      <c r="K100" s="6">
        <v>17</v>
      </c>
      <c r="L100" s="6"/>
      <c r="M100" s="6">
        <v>7</v>
      </c>
      <c r="N100" s="6">
        <v>5</v>
      </c>
      <c r="O100" s="6">
        <v>35</v>
      </c>
      <c r="P100" s="6">
        <v>45</v>
      </c>
      <c r="Q100" s="6">
        <v>14</v>
      </c>
      <c r="R100" s="6">
        <v>1</v>
      </c>
      <c r="S100" s="5">
        <f t="shared" si="29"/>
        <v>163</v>
      </c>
    </row>
    <row r="101" spans="1:19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>
        <f t="shared" si="29"/>
        <v>0</v>
      </c>
    </row>
    <row r="102" spans="1:19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>
        <f t="shared" si="29"/>
        <v>0</v>
      </c>
    </row>
    <row r="103" spans="1:19" x14ac:dyDescent="0.4">
      <c r="A103" s="6" t="s">
        <v>26</v>
      </c>
      <c r="B103" s="85" t="s">
        <v>51</v>
      </c>
      <c r="C103" s="65"/>
      <c r="D103" s="66"/>
      <c r="E103" s="5">
        <f t="shared" ref="E103:S103" si="30">SUM(E93:E102)</f>
        <v>41</v>
      </c>
      <c r="F103" s="5">
        <f t="shared" ref="F103:R103" si="31">SUM(F93:F102)</f>
        <v>24</v>
      </c>
      <c r="G103" s="5">
        <f t="shared" si="31"/>
        <v>17</v>
      </c>
      <c r="H103" s="5">
        <f t="shared" si="31"/>
        <v>9</v>
      </c>
      <c r="I103" s="5">
        <f t="shared" si="31"/>
        <v>36</v>
      </c>
      <c r="J103" s="5">
        <f t="shared" si="31"/>
        <v>44</v>
      </c>
      <c r="K103" s="5">
        <f t="shared" si="31"/>
        <v>32</v>
      </c>
      <c r="L103" s="5">
        <f t="shared" si="31"/>
        <v>43</v>
      </c>
      <c r="M103" s="5">
        <f t="shared" si="31"/>
        <v>33</v>
      </c>
      <c r="N103" s="5">
        <f t="shared" si="31"/>
        <v>22</v>
      </c>
      <c r="O103" s="5">
        <f t="shared" si="31"/>
        <v>43</v>
      </c>
      <c r="P103" s="5">
        <f t="shared" si="31"/>
        <v>48</v>
      </c>
      <c r="Q103" s="5">
        <f t="shared" si="31"/>
        <v>49</v>
      </c>
      <c r="R103" s="5">
        <f t="shared" si="31"/>
        <v>31</v>
      </c>
      <c r="S103" s="5">
        <f t="shared" si="30"/>
        <v>472</v>
      </c>
    </row>
    <row r="104" spans="1:19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/>
      <c r="I105" s="6"/>
      <c r="J105" s="6"/>
      <c r="K105" s="6"/>
      <c r="L105" s="6"/>
      <c r="M105" s="6">
        <v>1</v>
      </c>
      <c r="N105" s="6">
        <v>1</v>
      </c>
      <c r="O105" s="6"/>
      <c r="P105" s="6">
        <v>1</v>
      </c>
      <c r="Q105" s="6"/>
      <c r="R105" s="6"/>
      <c r="S105" s="5">
        <f t="shared" ref="S105:S114" si="32">SUM(E105:R105)</f>
        <v>3</v>
      </c>
    </row>
    <row r="106" spans="1:19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1</v>
      </c>
      <c r="S106" s="5">
        <f t="shared" si="32"/>
        <v>1</v>
      </c>
    </row>
    <row r="107" spans="1:1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>
        <f t="shared" si="32"/>
        <v>0</v>
      </c>
    </row>
    <row r="108" spans="1:1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32"/>
        <v>0</v>
      </c>
    </row>
    <row r="109" spans="1:1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32"/>
        <v>0</v>
      </c>
    </row>
    <row r="110" spans="1:1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32"/>
        <v>0</v>
      </c>
    </row>
    <row r="111" spans="1:1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>
        <f t="shared" si="32"/>
        <v>0</v>
      </c>
    </row>
    <row r="112" spans="1:1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>
        <f t="shared" si="32"/>
        <v>0</v>
      </c>
    </row>
    <row r="113" spans="1:19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>
        <f t="shared" si="32"/>
        <v>0</v>
      </c>
    </row>
    <row r="114" spans="1:19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>
        <f t="shared" si="32"/>
        <v>0</v>
      </c>
    </row>
    <row r="115" spans="1:19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S115" si="33">SUM(E105:E114)</f>
        <v>0</v>
      </c>
      <c r="F115" s="5">
        <f t="shared" ref="F115:R115" si="34">SUM(F105:F114)</f>
        <v>0</v>
      </c>
      <c r="G115" s="5">
        <f t="shared" si="34"/>
        <v>0</v>
      </c>
      <c r="H115" s="5">
        <f t="shared" si="34"/>
        <v>0</v>
      </c>
      <c r="I115" s="5">
        <f t="shared" si="34"/>
        <v>0</v>
      </c>
      <c r="J115" s="5">
        <f t="shared" si="34"/>
        <v>0</v>
      </c>
      <c r="K115" s="5">
        <f t="shared" si="34"/>
        <v>0</v>
      </c>
      <c r="L115" s="5">
        <f t="shared" si="34"/>
        <v>0</v>
      </c>
      <c r="M115" s="5">
        <f t="shared" si="34"/>
        <v>1</v>
      </c>
      <c r="N115" s="5">
        <f t="shared" si="34"/>
        <v>1</v>
      </c>
      <c r="O115" s="5">
        <f t="shared" si="34"/>
        <v>0</v>
      </c>
      <c r="P115" s="5">
        <f t="shared" si="34"/>
        <v>1</v>
      </c>
      <c r="Q115" s="5">
        <f t="shared" si="34"/>
        <v>0</v>
      </c>
      <c r="R115" s="5">
        <f t="shared" si="34"/>
        <v>1</v>
      </c>
      <c r="S115" s="5">
        <f t="shared" si="33"/>
        <v>4</v>
      </c>
    </row>
    <row r="116" spans="1:19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5"/>
    </row>
    <row r="117" spans="1:19" x14ac:dyDescent="0.4">
      <c r="A117" s="11" t="s">
        <v>48</v>
      </c>
      <c r="B117" s="17" t="s">
        <v>59</v>
      </c>
      <c r="C117" s="92" t="s">
        <v>60</v>
      </c>
      <c r="D117" s="66"/>
      <c r="E117" s="6">
        <v>3</v>
      </c>
      <c r="F117" s="6">
        <v>1</v>
      </c>
      <c r="G117" s="6">
        <v>1</v>
      </c>
      <c r="H117" s="6">
        <v>2</v>
      </c>
      <c r="I117" s="6"/>
      <c r="J117" s="6"/>
      <c r="K117" s="6"/>
      <c r="L117" s="6">
        <v>1</v>
      </c>
      <c r="M117" s="6"/>
      <c r="N117" s="6"/>
      <c r="O117" s="6">
        <v>1</v>
      </c>
      <c r="P117" s="6">
        <v>3</v>
      </c>
      <c r="Q117" s="6">
        <v>1</v>
      </c>
      <c r="R117" s="6"/>
      <c r="S117" s="5">
        <f t="shared" ref="S117:S126" si="35">SUM(E117:R117)</f>
        <v>13</v>
      </c>
    </row>
    <row r="118" spans="1:19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>
        <v>1</v>
      </c>
      <c r="P118" s="6">
        <v>1</v>
      </c>
      <c r="Q118" s="6"/>
      <c r="R118" s="6"/>
      <c r="S118" s="5">
        <f t="shared" si="35"/>
        <v>2</v>
      </c>
    </row>
    <row r="119" spans="1:19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>
        <f t="shared" si="35"/>
        <v>0</v>
      </c>
    </row>
    <row r="120" spans="1:19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>
        <f t="shared" si="35"/>
        <v>0</v>
      </c>
    </row>
    <row r="121" spans="1:19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>
        <f t="shared" si="35"/>
        <v>0</v>
      </c>
    </row>
    <row r="122" spans="1:19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>
        <f t="shared" si="35"/>
        <v>0</v>
      </c>
    </row>
    <row r="123" spans="1:19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5">
        <f t="shared" si="35"/>
        <v>0</v>
      </c>
    </row>
    <row r="124" spans="1:19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5">
        <f t="shared" si="35"/>
        <v>0</v>
      </c>
    </row>
    <row r="125" spans="1:19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5">
        <f t="shared" si="35"/>
        <v>0</v>
      </c>
    </row>
    <row r="126" spans="1:19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5">
        <f t="shared" si="35"/>
        <v>0</v>
      </c>
    </row>
    <row r="127" spans="1:19" x14ac:dyDescent="0.4">
      <c r="A127" s="6" t="s">
        <v>26</v>
      </c>
      <c r="B127" s="85" t="s">
        <v>51</v>
      </c>
      <c r="C127" s="93"/>
      <c r="D127" s="94"/>
      <c r="E127" s="5">
        <f t="shared" ref="E127:S127" si="36">SUM(E117:E126)</f>
        <v>3</v>
      </c>
      <c r="F127" s="5">
        <f t="shared" ref="F127:R127" si="37">SUM(F117:F126)</f>
        <v>1</v>
      </c>
      <c r="G127" s="5">
        <f t="shared" si="37"/>
        <v>1</v>
      </c>
      <c r="H127" s="5">
        <f t="shared" si="37"/>
        <v>2</v>
      </c>
      <c r="I127" s="5">
        <f t="shared" si="37"/>
        <v>0</v>
      </c>
      <c r="J127" s="5">
        <f t="shared" si="37"/>
        <v>0</v>
      </c>
      <c r="K127" s="5">
        <f t="shared" si="37"/>
        <v>0</v>
      </c>
      <c r="L127" s="5">
        <f t="shared" si="37"/>
        <v>1</v>
      </c>
      <c r="M127" s="5">
        <f t="shared" si="37"/>
        <v>0</v>
      </c>
      <c r="N127" s="5">
        <f t="shared" si="37"/>
        <v>0</v>
      </c>
      <c r="O127" s="5">
        <f t="shared" si="37"/>
        <v>2</v>
      </c>
      <c r="P127" s="5">
        <f t="shared" si="37"/>
        <v>4</v>
      </c>
      <c r="Q127" s="5">
        <f t="shared" si="37"/>
        <v>1</v>
      </c>
      <c r="R127" s="5">
        <f t="shared" si="37"/>
        <v>0</v>
      </c>
      <c r="S127" s="5">
        <f t="shared" si="36"/>
        <v>15</v>
      </c>
    </row>
    <row r="128" spans="1:19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4">
      <c r="A129" s="11" t="s">
        <v>48</v>
      </c>
      <c r="B129" s="17" t="s">
        <v>61</v>
      </c>
      <c r="C129" s="92" t="s">
        <v>62</v>
      </c>
      <c r="D129" s="66"/>
      <c r="E129" s="6">
        <v>1</v>
      </c>
      <c r="F129" s="6"/>
      <c r="G129" s="6"/>
      <c r="H129" s="6"/>
      <c r="I129" s="6"/>
      <c r="J129" s="6"/>
      <c r="K129" s="6">
        <v>1</v>
      </c>
      <c r="L129" s="6">
        <v>1</v>
      </c>
      <c r="M129" s="6"/>
      <c r="N129" s="6">
        <v>1</v>
      </c>
      <c r="O129" s="6"/>
      <c r="P129" s="6"/>
      <c r="Q129" s="6">
        <v>1</v>
      </c>
      <c r="R129" s="6"/>
      <c r="S129" s="5">
        <f t="shared" ref="S129:S138" si="38">SUM(E129:R129)</f>
        <v>5</v>
      </c>
    </row>
    <row r="130" spans="1:19" ht="13.15" customHeight="1" x14ac:dyDescent="0.4">
      <c r="A130" s="11" t="s">
        <v>50</v>
      </c>
      <c r="B130" s="50"/>
      <c r="C130" s="24" t="s">
        <v>184</v>
      </c>
      <c r="D130" s="51"/>
      <c r="E130" s="6">
        <v>5</v>
      </c>
      <c r="F130" s="6">
        <v>4</v>
      </c>
      <c r="G130" s="6">
        <v>2</v>
      </c>
      <c r="H130" s="6"/>
      <c r="I130" s="6"/>
      <c r="J130" s="6"/>
      <c r="K130" s="6"/>
      <c r="L130" s="6">
        <v>5</v>
      </c>
      <c r="M130" s="6"/>
      <c r="N130" s="6"/>
      <c r="O130" s="6"/>
      <c r="P130" s="6"/>
      <c r="Q130" s="6">
        <v>4</v>
      </c>
      <c r="R130" s="6"/>
      <c r="S130" s="5">
        <f t="shared" si="38"/>
        <v>20</v>
      </c>
    </row>
    <row r="131" spans="1:19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>
        <f t="shared" si="38"/>
        <v>0</v>
      </c>
    </row>
    <row r="132" spans="1:19" x14ac:dyDescent="0.4">
      <c r="A132" s="7"/>
      <c r="B132" s="50"/>
      <c r="C132" s="24" t="s">
        <v>186</v>
      </c>
      <c r="D132" s="5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>
        <f t="shared" si="38"/>
        <v>0</v>
      </c>
    </row>
    <row r="133" spans="1:19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/>
      <c r="L133" s="6">
        <v>1</v>
      </c>
      <c r="M133" s="6"/>
      <c r="N133" s="6">
        <v>1</v>
      </c>
      <c r="O133" s="6"/>
      <c r="P133" s="6"/>
      <c r="Q133" s="6"/>
      <c r="R133" s="6"/>
      <c r="S133" s="5">
        <f t="shared" si="38"/>
        <v>2</v>
      </c>
    </row>
    <row r="134" spans="1:19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>
        <f t="shared" si="38"/>
        <v>0</v>
      </c>
    </row>
    <row r="135" spans="1:19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>
        <f t="shared" si="38"/>
        <v>0</v>
      </c>
    </row>
    <row r="136" spans="1:19" x14ac:dyDescent="0.4">
      <c r="A136" s="7"/>
      <c r="B136" s="50"/>
      <c r="C136" s="24" t="s">
        <v>190</v>
      </c>
      <c r="D136" s="51"/>
      <c r="E136" s="6">
        <v>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>
        <f t="shared" si="38"/>
        <v>1</v>
      </c>
    </row>
    <row r="137" spans="1:19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>
        <f t="shared" si="38"/>
        <v>0</v>
      </c>
    </row>
    <row r="138" spans="1:19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>
        <f t="shared" si="38"/>
        <v>0</v>
      </c>
    </row>
    <row r="139" spans="1:19" x14ac:dyDescent="0.4">
      <c r="A139" s="6" t="s">
        <v>26</v>
      </c>
      <c r="B139" s="85" t="s">
        <v>51</v>
      </c>
      <c r="C139" s="93"/>
      <c r="D139" s="94"/>
      <c r="E139" s="5">
        <f t="shared" ref="E139:S139" si="39">SUM(E129:E138)</f>
        <v>7</v>
      </c>
      <c r="F139" s="5">
        <f t="shared" ref="F139:R139" si="40">SUM(F129:F138)</f>
        <v>4</v>
      </c>
      <c r="G139" s="5">
        <f t="shared" si="40"/>
        <v>2</v>
      </c>
      <c r="H139" s="5">
        <f t="shared" si="40"/>
        <v>0</v>
      </c>
      <c r="I139" s="5">
        <f t="shared" si="40"/>
        <v>0</v>
      </c>
      <c r="J139" s="5">
        <f t="shared" si="40"/>
        <v>0</v>
      </c>
      <c r="K139" s="5">
        <f t="shared" si="40"/>
        <v>1</v>
      </c>
      <c r="L139" s="5">
        <f t="shared" si="40"/>
        <v>7</v>
      </c>
      <c r="M139" s="5">
        <f t="shared" si="40"/>
        <v>0</v>
      </c>
      <c r="N139" s="5">
        <f t="shared" si="40"/>
        <v>2</v>
      </c>
      <c r="O139" s="5">
        <f t="shared" si="40"/>
        <v>0</v>
      </c>
      <c r="P139" s="5">
        <f t="shared" si="40"/>
        <v>0</v>
      </c>
      <c r="Q139" s="5">
        <f t="shared" si="40"/>
        <v>5</v>
      </c>
      <c r="R139" s="5">
        <f t="shared" si="40"/>
        <v>0</v>
      </c>
      <c r="S139" s="5">
        <f t="shared" si="39"/>
        <v>28</v>
      </c>
    </row>
    <row r="140" spans="1:19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>
        <v>1</v>
      </c>
      <c r="N141" s="6"/>
      <c r="O141" s="6"/>
      <c r="P141" s="6"/>
      <c r="Q141" s="6"/>
      <c r="R141" s="6"/>
      <c r="S141" s="5">
        <f t="shared" ref="S141:S150" si="41">SUM(E141:R141)</f>
        <v>1</v>
      </c>
    </row>
    <row r="142" spans="1:19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>
        <f t="shared" si="41"/>
        <v>0</v>
      </c>
    </row>
    <row r="143" spans="1:19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>
        <f t="shared" si="41"/>
        <v>0</v>
      </c>
    </row>
    <row r="144" spans="1:19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>
        <f t="shared" si="41"/>
        <v>0</v>
      </c>
    </row>
    <row r="145" spans="1:19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41"/>
        <v>0</v>
      </c>
    </row>
    <row r="146" spans="1:19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41"/>
        <v>0</v>
      </c>
    </row>
    <row r="147" spans="1:19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>
        <f t="shared" si="41"/>
        <v>0</v>
      </c>
    </row>
    <row r="148" spans="1:19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>
        <f t="shared" si="41"/>
        <v>0</v>
      </c>
    </row>
    <row r="149" spans="1:19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si="41"/>
        <v>0</v>
      </c>
    </row>
    <row r="150" spans="1:19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41"/>
        <v>0</v>
      </c>
    </row>
    <row r="151" spans="1:19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S151" si="42">SUM(E141:E150)</f>
        <v>0</v>
      </c>
      <c r="F151" s="5">
        <f t="shared" ref="F151:R151" si="43">SUM(F141:F150)</f>
        <v>0</v>
      </c>
      <c r="G151" s="5">
        <f t="shared" si="43"/>
        <v>0</v>
      </c>
      <c r="H151" s="5">
        <f t="shared" si="43"/>
        <v>0</v>
      </c>
      <c r="I151" s="5">
        <f t="shared" si="43"/>
        <v>0</v>
      </c>
      <c r="J151" s="5">
        <f t="shared" si="43"/>
        <v>0</v>
      </c>
      <c r="K151" s="5">
        <f t="shared" si="43"/>
        <v>0</v>
      </c>
      <c r="L151" s="5">
        <f t="shared" si="43"/>
        <v>0</v>
      </c>
      <c r="M151" s="5">
        <f t="shared" si="43"/>
        <v>1</v>
      </c>
      <c r="N151" s="5">
        <f t="shared" si="43"/>
        <v>0</v>
      </c>
      <c r="O151" s="5">
        <f t="shared" si="43"/>
        <v>0</v>
      </c>
      <c r="P151" s="5">
        <f t="shared" si="43"/>
        <v>0</v>
      </c>
      <c r="Q151" s="5">
        <f t="shared" si="43"/>
        <v>0</v>
      </c>
      <c r="R151" s="5">
        <f t="shared" si="43"/>
        <v>0</v>
      </c>
      <c r="S151" s="5">
        <f t="shared" si="42"/>
        <v>1</v>
      </c>
    </row>
    <row r="152" spans="1:19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5"/>
    </row>
    <row r="153" spans="1:19" x14ac:dyDescent="0.4">
      <c r="A153" s="11" t="s">
        <v>48</v>
      </c>
      <c r="B153" s="44" t="s">
        <v>65</v>
      </c>
      <c r="C153" s="96" t="s">
        <v>66</v>
      </c>
      <c r="D153" s="74"/>
      <c r="E153" s="6">
        <v>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>
        <f t="shared" ref="S153:S162" si="44">SUM(E153:R153)</f>
        <v>2</v>
      </c>
    </row>
    <row r="154" spans="1:19" x14ac:dyDescent="0.4">
      <c r="A154" s="52" t="s">
        <v>50</v>
      </c>
      <c r="B154" s="50"/>
      <c r="C154" s="24" t="s">
        <v>193</v>
      </c>
      <c r="D154" s="51"/>
      <c r="E154" s="53"/>
      <c r="F154" s="6"/>
      <c r="G154" s="6"/>
      <c r="H154" s="6">
        <v>1</v>
      </c>
      <c r="I154" s="6"/>
      <c r="J154" s="6"/>
      <c r="K154" s="6">
        <v>2</v>
      </c>
      <c r="L154" s="6"/>
      <c r="M154" s="6"/>
      <c r="N154" s="6"/>
      <c r="O154" s="6"/>
      <c r="P154" s="6"/>
      <c r="Q154" s="6"/>
      <c r="R154" s="6"/>
      <c r="S154" s="5">
        <f t="shared" si="44"/>
        <v>3</v>
      </c>
    </row>
    <row r="155" spans="1:19" x14ac:dyDescent="0.4">
      <c r="A155" s="7"/>
      <c r="B155" s="50"/>
      <c r="C155" s="24" t="s">
        <v>194</v>
      </c>
      <c r="D155" s="51"/>
      <c r="E155" s="53"/>
      <c r="F155" s="6"/>
      <c r="G155" s="6">
        <v>1</v>
      </c>
      <c r="H155" s="6"/>
      <c r="I155" s="6"/>
      <c r="J155" s="6">
        <v>2</v>
      </c>
      <c r="K155" s="6">
        <v>3</v>
      </c>
      <c r="L155" s="6">
        <v>1</v>
      </c>
      <c r="M155" s="6">
        <v>1</v>
      </c>
      <c r="N155" s="6"/>
      <c r="O155" s="6"/>
      <c r="P155" s="6"/>
      <c r="Q155" s="6">
        <v>3</v>
      </c>
      <c r="R155" s="6">
        <v>4</v>
      </c>
      <c r="S155" s="5">
        <f t="shared" si="44"/>
        <v>15</v>
      </c>
    </row>
    <row r="156" spans="1:19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>
        <f t="shared" si="44"/>
        <v>0</v>
      </c>
    </row>
    <row r="157" spans="1:19" x14ac:dyDescent="0.4">
      <c r="A157" s="7"/>
      <c r="B157" s="50"/>
      <c r="C157" s="24" t="s">
        <v>196</v>
      </c>
      <c r="D157" s="51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>
        <f t="shared" si="44"/>
        <v>0</v>
      </c>
    </row>
    <row r="158" spans="1:19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>
        <f t="shared" si="44"/>
        <v>0</v>
      </c>
    </row>
    <row r="159" spans="1:19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>
        <f t="shared" si="44"/>
        <v>0</v>
      </c>
    </row>
    <row r="160" spans="1:19" x14ac:dyDescent="0.4">
      <c r="A160" s="7"/>
      <c r="B160" s="50"/>
      <c r="C160" s="24" t="s">
        <v>199</v>
      </c>
      <c r="D160" s="51"/>
      <c r="E160" s="53">
        <v>5</v>
      </c>
      <c r="F160" s="6">
        <v>15</v>
      </c>
      <c r="G160" s="6">
        <v>3</v>
      </c>
      <c r="H160" s="6"/>
      <c r="I160" s="6"/>
      <c r="J160" s="6"/>
      <c r="K160" s="6">
        <v>7</v>
      </c>
      <c r="L160" s="6">
        <v>4</v>
      </c>
      <c r="M160" s="6">
        <v>3</v>
      </c>
      <c r="N160" s="6"/>
      <c r="O160" s="6"/>
      <c r="P160" s="6"/>
      <c r="Q160" s="6"/>
      <c r="R160" s="6"/>
      <c r="S160" s="5">
        <f t="shared" si="44"/>
        <v>37</v>
      </c>
    </row>
    <row r="161" spans="1:19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si="44"/>
        <v>0</v>
      </c>
    </row>
    <row r="162" spans="1:19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44"/>
        <v>0</v>
      </c>
    </row>
    <row r="163" spans="1:19" x14ac:dyDescent="0.4">
      <c r="A163" s="6" t="s">
        <v>26</v>
      </c>
      <c r="B163" s="97" t="s">
        <v>51</v>
      </c>
      <c r="C163" s="98"/>
      <c r="D163" s="99"/>
      <c r="E163" s="5">
        <f t="shared" ref="E163:S163" si="45">SUM(E153:E162)</f>
        <v>7</v>
      </c>
      <c r="F163" s="5">
        <f t="shared" ref="F163:R163" si="46">SUM(F153:F162)</f>
        <v>15</v>
      </c>
      <c r="G163" s="5">
        <f t="shared" si="46"/>
        <v>4</v>
      </c>
      <c r="H163" s="5">
        <f t="shared" si="46"/>
        <v>1</v>
      </c>
      <c r="I163" s="5">
        <f t="shared" si="46"/>
        <v>0</v>
      </c>
      <c r="J163" s="5">
        <f t="shared" si="46"/>
        <v>2</v>
      </c>
      <c r="K163" s="5">
        <f t="shared" si="46"/>
        <v>12</v>
      </c>
      <c r="L163" s="5">
        <f t="shared" si="46"/>
        <v>5</v>
      </c>
      <c r="M163" s="5">
        <f t="shared" si="46"/>
        <v>4</v>
      </c>
      <c r="N163" s="5">
        <f t="shared" si="46"/>
        <v>0</v>
      </c>
      <c r="O163" s="5">
        <f t="shared" si="46"/>
        <v>0</v>
      </c>
      <c r="P163" s="5">
        <f t="shared" si="46"/>
        <v>0</v>
      </c>
      <c r="Q163" s="5">
        <f t="shared" si="46"/>
        <v>3</v>
      </c>
      <c r="R163" s="5">
        <f t="shared" si="46"/>
        <v>4</v>
      </c>
      <c r="S163" s="5">
        <f t="shared" si="45"/>
        <v>57</v>
      </c>
    </row>
    <row r="164" spans="1:19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>
        <v>1</v>
      </c>
      <c r="F165" s="6">
        <v>1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>
        <v>1</v>
      </c>
      <c r="S165" s="5">
        <f t="shared" ref="S165:S174" si="47">SUM(E165:R165)</f>
        <v>3</v>
      </c>
    </row>
    <row r="166" spans="1:19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>
        <f t="shared" si="47"/>
        <v>0</v>
      </c>
    </row>
    <row r="167" spans="1:19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>
        <f t="shared" si="47"/>
        <v>0</v>
      </c>
    </row>
    <row r="168" spans="1:19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si="47"/>
        <v>0</v>
      </c>
    </row>
    <row r="169" spans="1:19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47"/>
        <v>0</v>
      </c>
    </row>
    <row r="170" spans="1:19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>
        <f t="shared" si="47"/>
        <v>0</v>
      </c>
    </row>
    <row r="171" spans="1:19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>
        <f t="shared" si="47"/>
        <v>0</v>
      </c>
    </row>
    <row r="172" spans="1:19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>
        <f t="shared" si="47"/>
        <v>0</v>
      </c>
    </row>
    <row r="173" spans="1:19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>
        <f t="shared" si="47"/>
        <v>0</v>
      </c>
    </row>
    <row r="174" spans="1:19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 t="shared" si="47"/>
        <v>0</v>
      </c>
    </row>
    <row r="175" spans="1:19" x14ac:dyDescent="0.4">
      <c r="A175" s="6" t="s">
        <v>26</v>
      </c>
      <c r="B175" s="85" t="s">
        <v>51</v>
      </c>
      <c r="C175" s="93"/>
      <c r="D175" s="94"/>
      <c r="E175" s="5">
        <f t="shared" ref="E175:S175" si="48">SUM(E165:E174)</f>
        <v>1</v>
      </c>
      <c r="F175" s="5">
        <f t="shared" ref="F175:R175" si="49">SUM(F165:F174)</f>
        <v>1</v>
      </c>
      <c r="G175" s="5">
        <f t="shared" si="49"/>
        <v>0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0</v>
      </c>
      <c r="L175" s="5">
        <f t="shared" si="49"/>
        <v>0</v>
      </c>
      <c r="M175" s="5">
        <f t="shared" si="49"/>
        <v>0</v>
      </c>
      <c r="N175" s="5">
        <f t="shared" si="49"/>
        <v>0</v>
      </c>
      <c r="O175" s="5">
        <f t="shared" si="49"/>
        <v>0</v>
      </c>
      <c r="P175" s="5">
        <f t="shared" si="49"/>
        <v>0</v>
      </c>
      <c r="Q175" s="5">
        <f t="shared" si="49"/>
        <v>0</v>
      </c>
      <c r="R175" s="5">
        <f t="shared" si="49"/>
        <v>1</v>
      </c>
      <c r="S175" s="5">
        <f t="shared" si="48"/>
        <v>3</v>
      </c>
    </row>
    <row r="176" spans="1:19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>
        <f t="shared" ref="S177:S186" si="50">SUM(E177:R177)</f>
        <v>0</v>
      </c>
    </row>
    <row r="178" spans="1:19" x14ac:dyDescent="0.4">
      <c r="A178" s="11" t="s">
        <v>50</v>
      </c>
      <c r="B178" s="50"/>
      <c r="C178" s="24" t="s">
        <v>200</v>
      </c>
      <c r="D178" s="51"/>
      <c r="E178" s="6"/>
      <c r="F178" s="6"/>
      <c r="G178" s="6"/>
      <c r="H178" s="6"/>
      <c r="I178" s="6"/>
      <c r="J178" s="6"/>
      <c r="K178" s="6"/>
      <c r="L178" s="6"/>
      <c r="M178" s="6"/>
      <c r="N178" s="6">
        <v>1</v>
      </c>
      <c r="O178" s="6"/>
      <c r="P178" s="6"/>
      <c r="Q178" s="6"/>
      <c r="R178" s="6">
        <v>1</v>
      </c>
      <c r="S178" s="5">
        <f t="shared" si="50"/>
        <v>2</v>
      </c>
    </row>
    <row r="179" spans="1:19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>
        <f t="shared" si="50"/>
        <v>0</v>
      </c>
    </row>
    <row r="180" spans="1:19" x14ac:dyDescent="0.4">
      <c r="A180" s="7"/>
      <c r="B180" s="50"/>
      <c r="C180" s="24" t="s">
        <v>202</v>
      </c>
      <c r="D180" s="51"/>
      <c r="E180" s="6"/>
      <c r="F180" s="6"/>
      <c r="G180" s="6"/>
      <c r="H180" s="6"/>
      <c r="I180" s="6"/>
      <c r="J180" s="6">
        <v>1</v>
      </c>
      <c r="K180" s="6"/>
      <c r="L180" s="6"/>
      <c r="M180" s="6"/>
      <c r="N180" s="6"/>
      <c r="O180" s="6"/>
      <c r="P180" s="6"/>
      <c r="Q180" s="6"/>
      <c r="R180" s="6"/>
      <c r="S180" s="5">
        <f t="shared" si="50"/>
        <v>1</v>
      </c>
    </row>
    <row r="181" spans="1:19" x14ac:dyDescent="0.4">
      <c r="A181" s="7"/>
      <c r="B181" s="50"/>
      <c r="C181" s="24" t="s">
        <v>203</v>
      </c>
      <c r="D181" s="5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>
        <f t="shared" si="50"/>
        <v>0</v>
      </c>
    </row>
    <row r="182" spans="1:19" x14ac:dyDescent="0.4">
      <c r="A182" s="7"/>
      <c r="B182" s="50"/>
      <c r="C182" s="24" t="s">
        <v>204</v>
      </c>
      <c r="D182" s="51"/>
      <c r="E182" s="6"/>
      <c r="F182" s="6"/>
      <c r="G182" s="6"/>
      <c r="H182" s="6"/>
      <c r="I182" s="6"/>
      <c r="J182" s="6">
        <v>1</v>
      </c>
      <c r="K182" s="6"/>
      <c r="L182" s="6"/>
      <c r="M182" s="6"/>
      <c r="N182" s="6"/>
      <c r="O182" s="6"/>
      <c r="P182" s="6"/>
      <c r="Q182" s="6"/>
      <c r="R182" s="6"/>
      <c r="S182" s="5">
        <f t="shared" si="50"/>
        <v>1</v>
      </c>
    </row>
    <row r="183" spans="1:19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>
        <v>1</v>
      </c>
      <c r="L183" s="6"/>
      <c r="M183" s="6"/>
      <c r="N183" s="6"/>
      <c r="O183" s="6"/>
      <c r="P183" s="6"/>
      <c r="Q183" s="6"/>
      <c r="R183" s="6"/>
      <c r="S183" s="5">
        <f t="shared" si="50"/>
        <v>1</v>
      </c>
    </row>
    <row r="184" spans="1:19" x14ac:dyDescent="0.4">
      <c r="A184" s="7"/>
      <c r="B184" s="50"/>
      <c r="C184" s="24" t="s">
        <v>206</v>
      </c>
      <c r="D184" s="5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>
        <f t="shared" si="50"/>
        <v>0</v>
      </c>
    </row>
    <row r="185" spans="1:19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>
        <f t="shared" si="50"/>
        <v>0</v>
      </c>
    </row>
    <row r="186" spans="1:19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>
        <f t="shared" si="50"/>
        <v>0</v>
      </c>
    </row>
    <row r="187" spans="1:19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S187" si="51">SUM(E177:E186)</f>
        <v>0</v>
      </c>
      <c r="F187" s="5">
        <f t="shared" ref="F187:R187" si="52">SUM(F177:F186)</f>
        <v>0</v>
      </c>
      <c r="G187" s="5">
        <f t="shared" si="52"/>
        <v>0</v>
      </c>
      <c r="H187" s="5">
        <f t="shared" si="52"/>
        <v>0</v>
      </c>
      <c r="I187" s="5">
        <f t="shared" si="52"/>
        <v>0</v>
      </c>
      <c r="J187" s="5">
        <f t="shared" si="52"/>
        <v>2</v>
      </c>
      <c r="K187" s="5">
        <f t="shared" si="52"/>
        <v>1</v>
      </c>
      <c r="L187" s="5">
        <f t="shared" si="52"/>
        <v>0</v>
      </c>
      <c r="M187" s="5">
        <f t="shared" si="52"/>
        <v>0</v>
      </c>
      <c r="N187" s="5">
        <f t="shared" si="52"/>
        <v>1</v>
      </c>
      <c r="O187" s="5">
        <f t="shared" si="52"/>
        <v>0</v>
      </c>
      <c r="P187" s="5">
        <f t="shared" si="52"/>
        <v>0</v>
      </c>
      <c r="Q187" s="5">
        <f t="shared" si="52"/>
        <v>0</v>
      </c>
      <c r="R187" s="5">
        <f t="shared" si="52"/>
        <v>1</v>
      </c>
      <c r="S187" s="5">
        <f t="shared" si="51"/>
        <v>5</v>
      </c>
    </row>
    <row r="188" spans="1:19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S188" s="5"/>
    </row>
    <row r="189" spans="1:19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>
        <v>1</v>
      </c>
      <c r="S189" s="5">
        <f t="shared" ref="S189:S198" si="53">SUM(E189:R189)</f>
        <v>1</v>
      </c>
    </row>
    <row r="190" spans="1:19" x14ac:dyDescent="0.4">
      <c r="A190" s="11" t="s">
        <v>50</v>
      </c>
      <c r="B190" s="50"/>
      <c r="C190" s="24" t="s">
        <v>207</v>
      </c>
      <c r="D190" s="51"/>
      <c r="E190" s="6"/>
      <c r="F190" s="6"/>
      <c r="G190" s="6"/>
      <c r="H190" s="6"/>
      <c r="I190" s="6"/>
      <c r="J190" s="6"/>
      <c r="K190" s="6"/>
      <c r="L190" s="6">
        <v>1</v>
      </c>
      <c r="M190" s="6">
        <v>1</v>
      </c>
      <c r="N190" s="6"/>
      <c r="O190" s="6"/>
      <c r="P190" s="6"/>
      <c r="Q190" s="6">
        <v>2</v>
      </c>
      <c r="R190" s="6">
        <v>5</v>
      </c>
      <c r="S190" s="5">
        <f t="shared" si="53"/>
        <v>9</v>
      </c>
    </row>
    <row r="191" spans="1:19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>
        <v>1</v>
      </c>
      <c r="Q191" s="6"/>
      <c r="R191" s="6"/>
      <c r="S191" s="5">
        <f t="shared" si="53"/>
        <v>1</v>
      </c>
    </row>
    <row r="192" spans="1:19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>
        <f t="shared" si="53"/>
        <v>0</v>
      </c>
    </row>
    <row r="193" spans="1:19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>
        <f t="shared" si="53"/>
        <v>0</v>
      </c>
    </row>
    <row r="194" spans="1:19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>
        <f t="shared" si="53"/>
        <v>0</v>
      </c>
    </row>
    <row r="195" spans="1:19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>
        <f t="shared" si="53"/>
        <v>0</v>
      </c>
    </row>
    <row r="196" spans="1:19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>
        <f t="shared" si="53"/>
        <v>0</v>
      </c>
    </row>
    <row r="197" spans="1:19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>
        <f t="shared" si="53"/>
        <v>0</v>
      </c>
    </row>
    <row r="198" spans="1:19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>
        <f t="shared" si="53"/>
        <v>0</v>
      </c>
    </row>
    <row r="199" spans="1:19" x14ac:dyDescent="0.4">
      <c r="A199" s="6" t="s">
        <v>26</v>
      </c>
      <c r="B199" s="85" t="s">
        <v>51</v>
      </c>
      <c r="C199" s="93"/>
      <c r="D199" s="94"/>
      <c r="E199" s="5">
        <f t="shared" ref="E199:S199" si="54">SUM(E189:E198)</f>
        <v>0</v>
      </c>
      <c r="F199" s="5">
        <f t="shared" ref="F199:R199" si="55">SUM(F189:F198)</f>
        <v>0</v>
      </c>
      <c r="G199" s="5">
        <f t="shared" si="55"/>
        <v>0</v>
      </c>
      <c r="H199" s="5">
        <f t="shared" si="55"/>
        <v>0</v>
      </c>
      <c r="I199" s="5">
        <f t="shared" si="55"/>
        <v>0</v>
      </c>
      <c r="J199" s="5">
        <f t="shared" si="55"/>
        <v>0</v>
      </c>
      <c r="K199" s="5">
        <f t="shared" si="55"/>
        <v>0</v>
      </c>
      <c r="L199" s="5">
        <f t="shared" si="55"/>
        <v>1</v>
      </c>
      <c r="M199" s="5">
        <f t="shared" si="55"/>
        <v>1</v>
      </c>
      <c r="N199" s="5">
        <f t="shared" si="55"/>
        <v>0</v>
      </c>
      <c r="O199" s="5">
        <f t="shared" si="55"/>
        <v>0</v>
      </c>
      <c r="P199" s="5">
        <f t="shared" si="55"/>
        <v>1</v>
      </c>
      <c r="Q199" s="5">
        <f t="shared" si="55"/>
        <v>2</v>
      </c>
      <c r="R199" s="5">
        <f t="shared" si="55"/>
        <v>6</v>
      </c>
      <c r="S199" s="5">
        <f t="shared" si="54"/>
        <v>11</v>
      </c>
    </row>
    <row r="200" spans="1:19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4">
      <c r="A201" s="11" t="s">
        <v>48</v>
      </c>
      <c r="B201" s="17" t="s">
        <v>73</v>
      </c>
      <c r="C201" s="92" t="s">
        <v>74</v>
      </c>
      <c r="D201" s="66"/>
      <c r="E201" s="6"/>
      <c r="F201" s="6">
        <v>1</v>
      </c>
      <c r="G201" s="6">
        <v>1</v>
      </c>
      <c r="H201" s="6"/>
      <c r="I201" s="6"/>
      <c r="J201" s="6"/>
      <c r="K201" s="6">
        <v>1</v>
      </c>
      <c r="L201" s="6"/>
      <c r="M201" s="6">
        <v>1</v>
      </c>
      <c r="N201" s="6">
        <v>1</v>
      </c>
      <c r="O201" s="6"/>
      <c r="P201" s="6"/>
      <c r="Q201" s="6">
        <v>1</v>
      </c>
      <c r="R201" s="6"/>
      <c r="S201" s="5">
        <f t="shared" ref="S201:S210" si="56">SUM(E201:R201)</f>
        <v>6</v>
      </c>
    </row>
    <row r="202" spans="1:19" x14ac:dyDescent="0.4">
      <c r="A202" s="11" t="s">
        <v>50</v>
      </c>
      <c r="B202" s="50"/>
      <c r="C202" s="24" t="s">
        <v>214</v>
      </c>
      <c r="D202" s="51"/>
      <c r="E202" s="6">
        <v>3</v>
      </c>
      <c r="F202" s="6">
        <v>7</v>
      </c>
      <c r="G202" s="6">
        <v>13</v>
      </c>
      <c r="H202" s="6">
        <v>61</v>
      </c>
      <c r="I202" s="6">
        <v>29</v>
      </c>
      <c r="J202" s="6">
        <v>5</v>
      </c>
      <c r="K202" s="6">
        <v>9</v>
      </c>
      <c r="L202" s="6">
        <v>4</v>
      </c>
      <c r="M202" s="6">
        <v>8</v>
      </c>
      <c r="N202" s="6">
        <v>11</v>
      </c>
      <c r="O202" s="6">
        <v>5</v>
      </c>
      <c r="P202" s="6">
        <v>15</v>
      </c>
      <c r="Q202" s="6">
        <v>3</v>
      </c>
      <c r="R202" s="6">
        <v>8</v>
      </c>
      <c r="S202" s="5">
        <f t="shared" si="56"/>
        <v>181</v>
      </c>
    </row>
    <row r="203" spans="1:19" x14ac:dyDescent="0.4">
      <c r="A203" s="7"/>
      <c r="B203" s="50"/>
      <c r="C203" s="24" t="s">
        <v>215</v>
      </c>
      <c r="D203" s="51"/>
      <c r="E203" s="6"/>
      <c r="F203" s="6"/>
      <c r="G203" s="6">
        <v>1</v>
      </c>
      <c r="H203" s="6">
        <v>1</v>
      </c>
      <c r="I203" s="6"/>
      <c r="J203" s="6">
        <v>1</v>
      </c>
      <c r="K203" s="6"/>
      <c r="L203" s="6"/>
      <c r="M203" s="6"/>
      <c r="N203" s="6">
        <v>1</v>
      </c>
      <c r="O203" s="6"/>
      <c r="P203" s="6"/>
      <c r="Q203" s="6">
        <v>1</v>
      </c>
      <c r="R203" s="6"/>
      <c r="S203" s="5">
        <f t="shared" si="56"/>
        <v>5</v>
      </c>
    </row>
    <row r="204" spans="1:19" x14ac:dyDescent="0.4">
      <c r="A204" s="7"/>
      <c r="B204" s="50"/>
      <c r="C204" s="24" t="s">
        <v>216</v>
      </c>
      <c r="D204" s="5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>
        <f t="shared" si="56"/>
        <v>0</v>
      </c>
    </row>
    <row r="205" spans="1:19" x14ac:dyDescent="0.4">
      <c r="A205" s="7"/>
      <c r="B205" s="50"/>
      <c r="C205" s="24" t="s">
        <v>217</v>
      </c>
      <c r="D205" s="51"/>
      <c r="E205" s="6"/>
      <c r="F205" s="6"/>
      <c r="G205" s="6">
        <v>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>
        <f t="shared" si="56"/>
        <v>1</v>
      </c>
    </row>
    <row r="206" spans="1:19" x14ac:dyDescent="0.4">
      <c r="A206" s="7"/>
      <c r="B206" s="50"/>
      <c r="C206" s="24" t="s">
        <v>218</v>
      </c>
      <c r="D206" s="51"/>
      <c r="E206" s="6"/>
      <c r="F206" s="6"/>
      <c r="G206" s="6"/>
      <c r="H206" s="6">
        <v>6</v>
      </c>
      <c r="I206" s="6">
        <v>1</v>
      </c>
      <c r="J206" s="6"/>
      <c r="K206" s="6"/>
      <c r="L206" s="6"/>
      <c r="M206" s="6"/>
      <c r="N206" s="6"/>
      <c r="O206" s="6"/>
      <c r="P206" s="6">
        <v>1</v>
      </c>
      <c r="Q206" s="6"/>
      <c r="R206" s="6"/>
      <c r="S206" s="5">
        <f t="shared" si="56"/>
        <v>8</v>
      </c>
    </row>
    <row r="207" spans="1:19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>
        <v>1</v>
      </c>
      <c r="Q207" s="6"/>
      <c r="R207" s="6"/>
      <c r="S207" s="5">
        <f t="shared" si="56"/>
        <v>1</v>
      </c>
    </row>
    <row r="208" spans="1:19" x14ac:dyDescent="0.4">
      <c r="A208" s="7"/>
      <c r="B208" s="50"/>
      <c r="C208" s="24" t="s">
        <v>220</v>
      </c>
      <c r="D208" s="5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>
        <f t="shared" si="56"/>
        <v>0</v>
      </c>
    </row>
    <row r="209" spans="1:19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>
        <f t="shared" si="56"/>
        <v>0</v>
      </c>
    </row>
    <row r="210" spans="1:19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>
        <f t="shared" si="56"/>
        <v>0</v>
      </c>
    </row>
    <row r="211" spans="1:19" x14ac:dyDescent="0.4">
      <c r="A211" s="6" t="s">
        <v>26</v>
      </c>
      <c r="B211" s="85" t="s">
        <v>51</v>
      </c>
      <c r="C211" s="93"/>
      <c r="D211" s="94"/>
      <c r="E211" s="5">
        <f t="shared" ref="E211:S211" si="57">SUM(E201:E210)</f>
        <v>3</v>
      </c>
      <c r="F211" s="5">
        <f t="shared" ref="F211:R211" si="58">SUM(F201:F210)</f>
        <v>8</v>
      </c>
      <c r="G211" s="5">
        <f t="shared" si="58"/>
        <v>16</v>
      </c>
      <c r="H211" s="5">
        <f t="shared" si="58"/>
        <v>68</v>
      </c>
      <c r="I211" s="5">
        <f t="shared" si="58"/>
        <v>30</v>
      </c>
      <c r="J211" s="5">
        <f t="shared" si="58"/>
        <v>6</v>
      </c>
      <c r="K211" s="5">
        <f t="shared" si="58"/>
        <v>10</v>
      </c>
      <c r="L211" s="5">
        <f t="shared" si="58"/>
        <v>4</v>
      </c>
      <c r="M211" s="5">
        <f t="shared" si="58"/>
        <v>9</v>
      </c>
      <c r="N211" s="5">
        <f t="shared" si="58"/>
        <v>13</v>
      </c>
      <c r="O211" s="5">
        <f t="shared" si="58"/>
        <v>5</v>
      </c>
      <c r="P211" s="5">
        <f t="shared" si="58"/>
        <v>17</v>
      </c>
      <c r="Q211" s="5">
        <f t="shared" si="58"/>
        <v>5</v>
      </c>
      <c r="R211" s="5">
        <f t="shared" si="58"/>
        <v>8</v>
      </c>
      <c r="S211" s="5">
        <f t="shared" si="57"/>
        <v>202</v>
      </c>
    </row>
    <row r="212" spans="1:19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/>
      <c r="H213" s="6"/>
      <c r="I213" s="6"/>
      <c r="J213" s="6"/>
      <c r="K213" s="6"/>
      <c r="L213" s="6">
        <v>2</v>
      </c>
      <c r="M213" s="6"/>
      <c r="N213" s="6"/>
      <c r="O213" s="6">
        <v>1</v>
      </c>
      <c r="P213" s="6"/>
      <c r="Q213" s="6">
        <v>1</v>
      </c>
      <c r="R213" s="6">
        <v>1</v>
      </c>
      <c r="S213" s="5">
        <f t="shared" ref="S213:S222" si="59">SUM(E213:R213)</f>
        <v>5</v>
      </c>
    </row>
    <row r="214" spans="1:19" x14ac:dyDescent="0.4">
      <c r="A214" s="11" t="s">
        <v>50</v>
      </c>
      <c r="B214" s="50"/>
      <c r="C214" s="24" t="s">
        <v>221</v>
      </c>
      <c r="D214" s="51"/>
      <c r="E214" s="6">
        <v>1</v>
      </c>
      <c r="F214" s="6">
        <v>1</v>
      </c>
      <c r="G214" s="6"/>
      <c r="H214" s="6"/>
      <c r="I214" s="6"/>
      <c r="J214" s="6"/>
      <c r="K214" s="6"/>
      <c r="L214" s="6">
        <v>1</v>
      </c>
      <c r="M214" s="6"/>
      <c r="N214" s="6"/>
      <c r="O214" s="6"/>
      <c r="P214" s="6"/>
      <c r="Q214" s="6">
        <v>1</v>
      </c>
      <c r="R214" s="6"/>
      <c r="S214" s="5">
        <f t="shared" si="59"/>
        <v>4</v>
      </c>
    </row>
    <row r="215" spans="1:19" x14ac:dyDescent="0.4">
      <c r="A215" s="7"/>
      <c r="B215" s="50"/>
      <c r="C215" s="24" t="s">
        <v>222</v>
      </c>
      <c r="D215" s="51"/>
      <c r="E215" s="6"/>
      <c r="F215" s="6">
        <v>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>
        <v>1</v>
      </c>
      <c r="R215" s="6"/>
      <c r="S215" s="5">
        <f t="shared" si="59"/>
        <v>2</v>
      </c>
    </row>
    <row r="216" spans="1:19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>
        <f t="shared" si="59"/>
        <v>0</v>
      </c>
    </row>
    <row r="217" spans="1:19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>
        <f t="shared" si="59"/>
        <v>0</v>
      </c>
    </row>
    <row r="218" spans="1:19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>
        <f t="shared" si="59"/>
        <v>0</v>
      </c>
    </row>
    <row r="219" spans="1:19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>
        <f t="shared" si="59"/>
        <v>0</v>
      </c>
    </row>
    <row r="220" spans="1:19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>
        <f t="shared" si="59"/>
        <v>0</v>
      </c>
    </row>
    <row r="221" spans="1:19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>
        <f t="shared" si="59"/>
        <v>0</v>
      </c>
    </row>
    <row r="222" spans="1:19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>
        <f t="shared" si="59"/>
        <v>0</v>
      </c>
    </row>
    <row r="223" spans="1:19" x14ac:dyDescent="0.4">
      <c r="A223" s="6" t="s">
        <v>26</v>
      </c>
      <c r="B223" s="85" t="s">
        <v>51</v>
      </c>
      <c r="C223" s="93"/>
      <c r="D223" s="94"/>
      <c r="E223" s="5">
        <f t="shared" ref="E223:S223" si="60">SUM(E213:E222)</f>
        <v>1</v>
      </c>
      <c r="F223" s="5">
        <f t="shared" ref="F223:R223" si="61">SUM(F213:F222)</f>
        <v>2</v>
      </c>
      <c r="G223" s="5">
        <f t="shared" si="61"/>
        <v>0</v>
      </c>
      <c r="H223" s="5">
        <f t="shared" si="61"/>
        <v>0</v>
      </c>
      <c r="I223" s="5">
        <f t="shared" si="61"/>
        <v>0</v>
      </c>
      <c r="J223" s="5">
        <f t="shared" si="61"/>
        <v>0</v>
      </c>
      <c r="K223" s="5">
        <f t="shared" si="61"/>
        <v>0</v>
      </c>
      <c r="L223" s="5">
        <f t="shared" si="61"/>
        <v>3</v>
      </c>
      <c r="M223" s="5">
        <f t="shared" si="61"/>
        <v>0</v>
      </c>
      <c r="N223" s="5">
        <f t="shared" si="61"/>
        <v>0</v>
      </c>
      <c r="O223" s="5">
        <f t="shared" si="61"/>
        <v>1</v>
      </c>
      <c r="P223" s="5">
        <f t="shared" si="61"/>
        <v>0</v>
      </c>
      <c r="Q223" s="5">
        <f t="shared" si="61"/>
        <v>3</v>
      </c>
      <c r="R223" s="5">
        <f t="shared" si="61"/>
        <v>1</v>
      </c>
      <c r="S223" s="5">
        <f t="shared" si="60"/>
        <v>11</v>
      </c>
    </row>
    <row r="224" spans="1:19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4">
      <c r="A225" s="11" t="s">
        <v>48</v>
      </c>
      <c r="B225" s="17" t="s">
        <v>77</v>
      </c>
      <c r="C225" s="92" t="s">
        <v>78</v>
      </c>
      <c r="D225" s="66"/>
      <c r="E225" s="6"/>
      <c r="F225" s="6"/>
      <c r="G225" s="6"/>
      <c r="H225" s="6">
        <v>1</v>
      </c>
      <c r="I225" s="6"/>
      <c r="J225" s="6"/>
      <c r="K225" s="6"/>
      <c r="L225" s="6"/>
      <c r="M225" s="6"/>
      <c r="N225" s="6"/>
      <c r="O225" s="6"/>
      <c r="P225" s="6"/>
      <c r="Q225" s="6"/>
      <c r="R225" s="6">
        <v>1</v>
      </c>
      <c r="S225" s="5">
        <f t="shared" ref="S225:S234" si="62">SUM(E225:R225)</f>
        <v>2</v>
      </c>
    </row>
    <row r="226" spans="1:19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/>
      <c r="I226" s="6"/>
      <c r="J226" s="6">
        <v>4</v>
      </c>
      <c r="K226" s="6">
        <v>2</v>
      </c>
      <c r="L226" s="6"/>
      <c r="M226" s="6"/>
      <c r="N226" s="6">
        <v>1</v>
      </c>
      <c r="O226" s="6">
        <v>2</v>
      </c>
      <c r="P226" s="6"/>
      <c r="Q226" s="6"/>
      <c r="R226" s="6">
        <v>2</v>
      </c>
      <c r="S226" s="5">
        <f t="shared" si="62"/>
        <v>11</v>
      </c>
    </row>
    <row r="227" spans="1:19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>
        <f t="shared" si="62"/>
        <v>0</v>
      </c>
    </row>
    <row r="228" spans="1:19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>
        <f t="shared" si="62"/>
        <v>0</v>
      </c>
    </row>
    <row r="229" spans="1:19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>
        <f t="shared" si="62"/>
        <v>0</v>
      </c>
    </row>
    <row r="230" spans="1:19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>
        <f t="shared" si="62"/>
        <v>0</v>
      </c>
    </row>
    <row r="231" spans="1:19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>
        <f t="shared" si="62"/>
        <v>0</v>
      </c>
    </row>
    <row r="232" spans="1:19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>
        <f t="shared" si="62"/>
        <v>0</v>
      </c>
    </row>
    <row r="233" spans="1:19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>
        <f t="shared" si="62"/>
        <v>0</v>
      </c>
    </row>
    <row r="234" spans="1:19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>
        <f t="shared" si="62"/>
        <v>0</v>
      </c>
    </row>
    <row r="235" spans="1:19" x14ac:dyDescent="0.4">
      <c r="A235" s="6" t="s">
        <v>26</v>
      </c>
      <c r="B235" s="85" t="s">
        <v>51</v>
      </c>
      <c r="C235" s="93"/>
      <c r="D235" s="94"/>
      <c r="E235" s="5">
        <f t="shared" ref="E235:S235" si="63">SUM(E225:E234)</f>
        <v>0</v>
      </c>
      <c r="F235" s="5">
        <f t="shared" ref="F235:R235" si="64">SUM(F225:F234)</f>
        <v>0</v>
      </c>
      <c r="G235" s="5">
        <f t="shared" si="64"/>
        <v>0</v>
      </c>
      <c r="H235" s="5">
        <f t="shared" si="64"/>
        <v>1</v>
      </c>
      <c r="I235" s="5">
        <f t="shared" si="64"/>
        <v>0</v>
      </c>
      <c r="J235" s="5">
        <f t="shared" si="64"/>
        <v>4</v>
      </c>
      <c r="K235" s="5">
        <f t="shared" si="64"/>
        <v>2</v>
      </c>
      <c r="L235" s="5">
        <f t="shared" si="64"/>
        <v>0</v>
      </c>
      <c r="M235" s="5">
        <f t="shared" si="64"/>
        <v>0</v>
      </c>
      <c r="N235" s="5">
        <f t="shared" si="64"/>
        <v>1</v>
      </c>
      <c r="O235" s="5">
        <f t="shared" si="64"/>
        <v>2</v>
      </c>
      <c r="P235" s="5">
        <f t="shared" si="64"/>
        <v>0</v>
      </c>
      <c r="Q235" s="5">
        <f t="shared" si="64"/>
        <v>0</v>
      </c>
      <c r="R235" s="5">
        <f t="shared" si="64"/>
        <v>3</v>
      </c>
      <c r="S235" s="5">
        <f t="shared" si="63"/>
        <v>13</v>
      </c>
    </row>
    <row r="236" spans="1:19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4">
      <c r="A237" s="11" t="s">
        <v>48</v>
      </c>
      <c r="B237" s="17" t="s">
        <v>79</v>
      </c>
      <c r="C237" s="92" t="s">
        <v>80</v>
      </c>
      <c r="D237" s="66"/>
      <c r="E237" s="6">
        <v>1</v>
      </c>
      <c r="F237" s="6">
        <v>1</v>
      </c>
      <c r="G237" s="6"/>
      <c r="H237" s="6">
        <v>2</v>
      </c>
      <c r="I237" s="6">
        <v>4</v>
      </c>
      <c r="J237" s="6">
        <v>4</v>
      </c>
      <c r="K237" s="6">
        <v>1</v>
      </c>
      <c r="L237" s="6">
        <v>1</v>
      </c>
      <c r="M237" s="6"/>
      <c r="N237" s="6">
        <v>1</v>
      </c>
      <c r="O237" s="6"/>
      <c r="P237" s="6">
        <v>2</v>
      </c>
      <c r="Q237" s="6"/>
      <c r="R237" s="6"/>
      <c r="S237" s="5">
        <f t="shared" ref="S237:S246" si="65">SUM(E237:R237)</f>
        <v>17</v>
      </c>
    </row>
    <row r="238" spans="1:19" x14ac:dyDescent="0.4">
      <c r="A238" s="11" t="s">
        <v>50</v>
      </c>
      <c r="B238" s="50"/>
      <c r="C238" s="24" t="s">
        <v>227</v>
      </c>
      <c r="D238" s="51"/>
      <c r="E238" s="6">
        <v>5</v>
      </c>
      <c r="F238" s="6">
        <v>7</v>
      </c>
      <c r="G238" s="6">
        <v>4</v>
      </c>
      <c r="H238" s="6">
        <v>5</v>
      </c>
      <c r="I238" s="6">
        <v>8</v>
      </c>
      <c r="J238" s="6">
        <v>7</v>
      </c>
      <c r="K238" s="6">
        <v>4</v>
      </c>
      <c r="L238" s="6"/>
      <c r="M238" s="6">
        <v>23</v>
      </c>
      <c r="N238" s="6">
        <v>55</v>
      </c>
      <c r="O238" s="6">
        <v>9</v>
      </c>
      <c r="P238" s="6">
        <v>3</v>
      </c>
      <c r="Q238" s="6">
        <v>2</v>
      </c>
      <c r="R238" s="6"/>
      <c r="S238" s="5">
        <f t="shared" si="65"/>
        <v>132</v>
      </c>
    </row>
    <row r="239" spans="1:19" x14ac:dyDescent="0.4">
      <c r="A239" s="7"/>
      <c r="B239" s="50"/>
      <c r="C239" s="24" t="s">
        <v>228</v>
      </c>
      <c r="D239" s="51"/>
      <c r="E239" s="6"/>
      <c r="F239" s="6"/>
      <c r="G239" s="6"/>
      <c r="H239" s="6"/>
      <c r="I239" s="6"/>
      <c r="J239" s="6">
        <v>1</v>
      </c>
      <c r="K239" s="6">
        <v>1</v>
      </c>
      <c r="L239" s="6"/>
      <c r="M239" s="6"/>
      <c r="N239" s="6">
        <v>1</v>
      </c>
      <c r="O239" s="6"/>
      <c r="P239" s="6"/>
      <c r="Q239" s="6"/>
      <c r="R239" s="6"/>
      <c r="S239" s="5">
        <f t="shared" si="65"/>
        <v>3</v>
      </c>
    </row>
    <row r="240" spans="1:19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>
        <v>2</v>
      </c>
      <c r="O240" s="6"/>
      <c r="P240" s="6">
        <v>1</v>
      </c>
      <c r="Q240" s="6"/>
      <c r="R240" s="6"/>
      <c r="S240" s="5">
        <f t="shared" si="65"/>
        <v>3</v>
      </c>
    </row>
    <row r="241" spans="1:19" x14ac:dyDescent="0.4">
      <c r="A241" s="7"/>
      <c r="B241" s="50"/>
      <c r="C241" s="24" t="s">
        <v>230</v>
      </c>
      <c r="D241" s="51"/>
      <c r="E241" s="6"/>
      <c r="F241" s="6"/>
      <c r="G241" s="6"/>
      <c r="H241" s="6"/>
      <c r="I241" s="6">
        <v>1</v>
      </c>
      <c r="J241" s="6"/>
      <c r="K241" s="6"/>
      <c r="L241" s="6"/>
      <c r="M241" s="6"/>
      <c r="N241" s="6"/>
      <c r="O241" s="6"/>
      <c r="P241" s="6"/>
      <c r="Q241" s="6"/>
      <c r="R241" s="6"/>
      <c r="S241" s="5">
        <f t="shared" si="65"/>
        <v>1</v>
      </c>
    </row>
    <row r="242" spans="1:19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>
        <v>1</v>
      </c>
      <c r="I242" s="6"/>
      <c r="J242" s="6">
        <v>3</v>
      </c>
      <c r="K242" s="6"/>
      <c r="L242" s="6"/>
      <c r="M242" s="6"/>
      <c r="N242" s="6"/>
      <c r="O242" s="6"/>
      <c r="P242" s="6"/>
      <c r="Q242" s="6"/>
      <c r="R242" s="6"/>
      <c r="S242" s="5">
        <f t="shared" si="65"/>
        <v>4</v>
      </c>
    </row>
    <row r="243" spans="1:19" x14ac:dyDescent="0.4">
      <c r="A243" s="7"/>
      <c r="B243" s="50"/>
      <c r="C243" s="24" t="s">
        <v>232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>
        <f t="shared" si="65"/>
        <v>0</v>
      </c>
    </row>
    <row r="244" spans="1:19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>
        <f t="shared" si="65"/>
        <v>0</v>
      </c>
    </row>
    <row r="245" spans="1:1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>
        <f t="shared" si="65"/>
        <v>0</v>
      </c>
    </row>
    <row r="246" spans="1:1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>
        <f t="shared" si="65"/>
        <v>0</v>
      </c>
    </row>
    <row r="247" spans="1:19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S247" si="66">SUM(E237:E246)</f>
        <v>6</v>
      </c>
      <c r="F247" s="5">
        <f t="shared" ref="F247:R247" si="67">SUM(F237:F246)</f>
        <v>8</v>
      </c>
      <c r="G247" s="5">
        <f t="shared" si="67"/>
        <v>4</v>
      </c>
      <c r="H247" s="5">
        <f t="shared" si="67"/>
        <v>8</v>
      </c>
      <c r="I247" s="5">
        <f t="shared" si="67"/>
        <v>13</v>
      </c>
      <c r="J247" s="5">
        <f t="shared" si="67"/>
        <v>15</v>
      </c>
      <c r="K247" s="5">
        <f t="shared" si="67"/>
        <v>6</v>
      </c>
      <c r="L247" s="5">
        <f t="shared" si="67"/>
        <v>1</v>
      </c>
      <c r="M247" s="5">
        <f t="shared" si="67"/>
        <v>23</v>
      </c>
      <c r="N247" s="5">
        <f t="shared" si="67"/>
        <v>59</v>
      </c>
      <c r="O247" s="5">
        <f t="shared" si="67"/>
        <v>9</v>
      </c>
      <c r="P247" s="5">
        <f t="shared" si="67"/>
        <v>6</v>
      </c>
      <c r="Q247" s="5">
        <f t="shared" si="67"/>
        <v>2</v>
      </c>
      <c r="R247" s="5">
        <f t="shared" si="67"/>
        <v>0</v>
      </c>
      <c r="S247" s="5">
        <f t="shared" si="66"/>
        <v>160</v>
      </c>
    </row>
    <row r="248" spans="1:19" x14ac:dyDescent="0.4">
      <c r="A248" s="64"/>
      <c r="B248" s="86"/>
      <c r="C248" s="86"/>
      <c r="D248" s="86"/>
      <c r="E248" s="95"/>
    </row>
    <row r="249" spans="1:19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>
        <v>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>
        <f t="shared" ref="S249:S258" si="68">SUM(E249:R249)</f>
        <v>1</v>
      </c>
    </row>
    <row r="250" spans="1:19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>
        <f t="shared" si="68"/>
        <v>0</v>
      </c>
    </row>
    <row r="251" spans="1:19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>
        <f t="shared" si="68"/>
        <v>0</v>
      </c>
    </row>
    <row r="252" spans="1:19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>
        <f t="shared" si="68"/>
        <v>0</v>
      </c>
    </row>
    <row r="253" spans="1:19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>
        <f t="shared" si="68"/>
        <v>0</v>
      </c>
    </row>
    <row r="254" spans="1:19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>
        <f t="shared" si="68"/>
        <v>0</v>
      </c>
    </row>
    <row r="255" spans="1:19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>
        <f t="shared" si="68"/>
        <v>0</v>
      </c>
    </row>
    <row r="256" spans="1:1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>
        <f t="shared" si="68"/>
        <v>0</v>
      </c>
    </row>
    <row r="257" spans="1:1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>
        <f t="shared" si="68"/>
        <v>0</v>
      </c>
    </row>
    <row r="258" spans="1:1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f t="shared" si="68"/>
        <v>0</v>
      </c>
    </row>
    <row r="259" spans="1:19" x14ac:dyDescent="0.4">
      <c r="A259" s="6" t="s">
        <v>26</v>
      </c>
      <c r="B259" s="85" t="s">
        <v>51</v>
      </c>
      <c r="C259" s="93"/>
      <c r="D259" s="94"/>
      <c r="E259" s="5">
        <f t="shared" ref="E259:S259" si="69">SUM(E249:E258)</f>
        <v>0</v>
      </c>
      <c r="F259" s="5">
        <f t="shared" ref="F259:R259" si="70">SUM(F249:F258)</f>
        <v>0</v>
      </c>
      <c r="G259" s="5">
        <f t="shared" si="70"/>
        <v>1</v>
      </c>
      <c r="H259" s="5">
        <f t="shared" si="70"/>
        <v>0</v>
      </c>
      <c r="I259" s="5">
        <f t="shared" si="70"/>
        <v>0</v>
      </c>
      <c r="J259" s="5">
        <f t="shared" si="70"/>
        <v>0</v>
      </c>
      <c r="K259" s="5">
        <f t="shared" si="70"/>
        <v>0</v>
      </c>
      <c r="L259" s="5">
        <f t="shared" si="70"/>
        <v>0</v>
      </c>
      <c r="M259" s="5">
        <f t="shared" si="70"/>
        <v>0</v>
      </c>
      <c r="N259" s="5">
        <f t="shared" si="70"/>
        <v>0</v>
      </c>
      <c r="O259" s="5">
        <f t="shared" si="70"/>
        <v>0</v>
      </c>
      <c r="P259" s="5">
        <f t="shared" si="70"/>
        <v>0</v>
      </c>
      <c r="Q259" s="5">
        <f t="shared" si="70"/>
        <v>0</v>
      </c>
      <c r="R259" s="5">
        <f t="shared" si="70"/>
        <v>0</v>
      </c>
      <c r="S259" s="5">
        <f t="shared" si="69"/>
        <v>1</v>
      </c>
    </row>
    <row r="261" spans="1:19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</row>
    <row r="262" spans="1:19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135</v>
      </c>
      <c r="F262" s="6">
        <f t="shared" ref="F262:R262" si="71">F55+F67+F79+F91+F103+F115+F127+F139+F151+F163+F175+F187+F199+F211+F223+F235+F247+F259</f>
        <v>156</v>
      </c>
      <c r="G262" s="6">
        <f t="shared" si="71"/>
        <v>181</v>
      </c>
      <c r="H262" s="6">
        <f t="shared" si="71"/>
        <v>201</v>
      </c>
      <c r="I262" s="6">
        <f t="shared" si="71"/>
        <v>183</v>
      </c>
      <c r="J262" s="6">
        <f t="shared" si="71"/>
        <v>197</v>
      </c>
      <c r="K262" s="6">
        <f t="shared" si="71"/>
        <v>215</v>
      </c>
      <c r="L262" s="6">
        <f t="shared" si="71"/>
        <v>144</v>
      </c>
      <c r="M262" s="6">
        <f t="shared" si="71"/>
        <v>185</v>
      </c>
      <c r="N262" s="6">
        <f t="shared" si="71"/>
        <v>212</v>
      </c>
      <c r="O262" s="6">
        <f t="shared" si="71"/>
        <v>120</v>
      </c>
      <c r="P262" s="6">
        <f t="shared" si="71"/>
        <v>167</v>
      </c>
      <c r="Q262" s="6">
        <f t="shared" si="71"/>
        <v>204</v>
      </c>
      <c r="R262" s="6">
        <f t="shared" si="71"/>
        <v>213</v>
      </c>
      <c r="S262" s="5">
        <f>SUM(E262:R262)</f>
        <v>2513</v>
      </c>
    </row>
    <row r="263" spans="1:19" x14ac:dyDescent="0.4">
      <c r="A263" s="13"/>
      <c r="B263" s="19" t="s">
        <v>87</v>
      </c>
      <c r="C263" s="100" t="s">
        <v>88</v>
      </c>
      <c r="D263" s="101"/>
      <c r="E263" s="6">
        <v>12</v>
      </c>
      <c r="F263" s="6">
        <v>24</v>
      </c>
      <c r="G263" s="6">
        <v>10</v>
      </c>
      <c r="H263" s="6">
        <v>5</v>
      </c>
      <c r="I263" s="6">
        <v>11</v>
      </c>
      <c r="J263" s="6">
        <v>12</v>
      </c>
      <c r="K263" s="6">
        <v>16</v>
      </c>
      <c r="L263" s="6">
        <v>11</v>
      </c>
      <c r="M263" s="6">
        <v>15</v>
      </c>
      <c r="N263" s="6">
        <v>4</v>
      </c>
      <c r="O263" s="6">
        <v>6</v>
      </c>
      <c r="P263" s="6">
        <v>9</v>
      </c>
      <c r="Q263" s="6">
        <v>13</v>
      </c>
      <c r="R263" s="6">
        <v>11</v>
      </c>
      <c r="S263" s="5">
        <f>SUM(E263:R263)</f>
        <v>159</v>
      </c>
    </row>
    <row r="264" spans="1:19" x14ac:dyDescent="0.4">
      <c r="A264" s="14"/>
      <c r="B264" s="19" t="s">
        <v>89</v>
      </c>
      <c r="C264" s="100" t="s">
        <v>90</v>
      </c>
      <c r="D264" s="101"/>
      <c r="E264" s="5">
        <f>SUM(E262:E263)</f>
        <v>147</v>
      </c>
      <c r="F264" s="5">
        <f t="shared" ref="F264:R264" si="72">SUM(F262:F263)</f>
        <v>180</v>
      </c>
      <c r="G264" s="5">
        <f t="shared" si="72"/>
        <v>191</v>
      </c>
      <c r="H264" s="5">
        <f t="shared" si="72"/>
        <v>206</v>
      </c>
      <c r="I264" s="5">
        <f t="shared" si="72"/>
        <v>194</v>
      </c>
      <c r="J264" s="5">
        <f t="shared" si="72"/>
        <v>209</v>
      </c>
      <c r="K264" s="5">
        <f t="shared" si="72"/>
        <v>231</v>
      </c>
      <c r="L264" s="5">
        <f t="shared" si="72"/>
        <v>155</v>
      </c>
      <c r="M264" s="5">
        <f t="shared" si="72"/>
        <v>200</v>
      </c>
      <c r="N264" s="5">
        <f t="shared" si="72"/>
        <v>216</v>
      </c>
      <c r="O264" s="5">
        <f t="shared" si="72"/>
        <v>126</v>
      </c>
      <c r="P264" s="5">
        <f t="shared" si="72"/>
        <v>176</v>
      </c>
      <c r="Q264" s="5">
        <f t="shared" si="72"/>
        <v>217</v>
      </c>
      <c r="R264" s="5">
        <f t="shared" si="72"/>
        <v>224</v>
      </c>
      <c r="S264" s="5">
        <f>SUM(E264:R264)</f>
        <v>2672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R12"/>
    <mergeCell ref="S12:S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R37"/>
    <mergeCell ref="B38:D38"/>
    <mergeCell ref="A42:D42"/>
    <mergeCell ref="E42:R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R15">
    <cfRule type="containsBlanks" dxfId="141" priority="2">
      <formula>LEN(TRIM(E14))=0</formula>
    </cfRule>
  </conditionalFormatting>
  <conditionalFormatting sqref="E19:R20">
    <cfRule type="containsBlanks" dxfId="140" priority="1">
      <formula>LEN(TRIM(E19))=0</formula>
    </cfRule>
  </conditionalFormatting>
  <conditionalFormatting sqref="E22:R23 E25:R26 E33:R33 E35:R35 E39:R40">
    <cfRule type="containsBlanks" dxfId="139" priority="28">
      <formula>LEN(TRIM(E22))=0</formula>
    </cfRule>
  </conditionalFormatting>
  <conditionalFormatting sqref="E30:R30">
    <cfRule type="expression" dxfId="138" priority="29">
      <formula>E30&lt;&gt;E47</formula>
    </cfRule>
    <cfRule type="expression" dxfId="137" priority="30">
      <formula>E30&lt;&gt;E34</formula>
    </cfRule>
  </conditionalFormatting>
  <conditionalFormatting sqref="E34:R34">
    <cfRule type="expression" dxfId="136" priority="25">
      <formula>E30&lt;&gt;E34</formula>
    </cfRule>
    <cfRule type="expression" dxfId="135" priority="26">
      <formula>E30=E34</formula>
    </cfRule>
    <cfRule type="expression" dxfId="134" priority="31">
      <formula>E34&lt;&gt;E30</formula>
    </cfRule>
    <cfRule type="expression" dxfId="133" priority="33">
      <formula>E34&lt;&gt;E64</formula>
    </cfRule>
  </conditionalFormatting>
  <conditionalFormatting sqref="E45:R54">
    <cfRule type="containsBlanks" dxfId="132" priority="23">
      <formula>LEN(TRIM(E45))=0</formula>
    </cfRule>
  </conditionalFormatting>
  <conditionalFormatting sqref="E57:R66">
    <cfRule type="containsBlanks" dxfId="131" priority="22">
      <formula>LEN(TRIM(E57))=0</formula>
    </cfRule>
  </conditionalFormatting>
  <conditionalFormatting sqref="E69:R78">
    <cfRule type="containsBlanks" dxfId="130" priority="21">
      <formula>LEN(TRIM(E69))=0</formula>
    </cfRule>
  </conditionalFormatting>
  <conditionalFormatting sqref="E81:R90">
    <cfRule type="containsBlanks" dxfId="129" priority="20">
      <formula>LEN(TRIM(E81))=0</formula>
    </cfRule>
  </conditionalFormatting>
  <conditionalFormatting sqref="E93:R102">
    <cfRule type="containsBlanks" dxfId="128" priority="19">
      <formula>LEN(TRIM(E93))=0</formula>
    </cfRule>
  </conditionalFormatting>
  <conditionalFormatting sqref="E105:R114">
    <cfRule type="containsBlanks" dxfId="127" priority="18">
      <formula>LEN(TRIM(E105))=0</formula>
    </cfRule>
  </conditionalFormatting>
  <conditionalFormatting sqref="E117:R126">
    <cfRule type="containsBlanks" dxfId="126" priority="4">
      <formula>LEN(TRIM(E117))=0</formula>
    </cfRule>
  </conditionalFormatting>
  <conditionalFormatting sqref="E129:R138">
    <cfRule type="containsBlanks" dxfId="125" priority="17">
      <formula>LEN(TRIM(E129))=0</formula>
    </cfRule>
  </conditionalFormatting>
  <conditionalFormatting sqref="E141:R150">
    <cfRule type="containsBlanks" dxfId="124" priority="16">
      <formula>LEN(TRIM(E141))=0</formula>
    </cfRule>
  </conditionalFormatting>
  <conditionalFormatting sqref="E153:R162">
    <cfRule type="containsBlanks" dxfId="123" priority="6">
      <formula>LEN(TRIM(E153))=0</formula>
    </cfRule>
  </conditionalFormatting>
  <conditionalFormatting sqref="E165:R174">
    <cfRule type="containsBlanks" dxfId="122" priority="15">
      <formula>LEN(TRIM(E165))=0</formula>
    </cfRule>
  </conditionalFormatting>
  <conditionalFormatting sqref="E177:R186">
    <cfRule type="containsBlanks" dxfId="121" priority="14">
      <formula>LEN(TRIM(E177))=0</formula>
    </cfRule>
  </conditionalFormatting>
  <conditionalFormatting sqref="E189:R198">
    <cfRule type="containsBlanks" dxfId="120" priority="13">
      <formula>LEN(TRIM(E189))=0</formula>
    </cfRule>
  </conditionalFormatting>
  <conditionalFormatting sqref="E201:R210">
    <cfRule type="containsBlanks" dxfId="119" priority="12">
      <formula>LEN(TRIM(E201))=0</formula>
    </cfRule>
  </conditionalFormatting>
  <conditionalFormatting sqref="E213:R222">
    <cfRule type="containsBlanks" dxfId="118" priority="11">
      <formula>LEN(TRIM(E213))=0</formula>
    </cfRule>
  </conditionalFormatting>
  <conditionalFormatting sqref="E225:R234">
    <cfRule type="containsBlanks" dxfId="117" priority="10">
      <formula>LEN(TRIM(E225))=0</formula>
    </cfRule>
  </conditionalFormatting>
  <conditionalFormatting sqref="E237:R246">
    <cfRule type="containsBlanks" dxfId="116" priority="9">
      <formula>LEN(TRIM(E237))=0</formula>
    </cfRule>
  </conditionalFormatting>
  <conditionalFormatting sqref="E249:R258">
    <cfRule type="containsBlanks" dxfId="115" priority="7">
      <formula>LEN(TRIM(E249))=0</formula>
    </cfRule>
  </conditionalFormatting>
  <conditionalFormatting sqref="E262:R263">
    <cfRule type="containsBlanks" dxfId="114" priority="5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AJ264"/>
  <sheetViews>
    <sheetView topLeftCell="R13" zoomScale="110" zoomScaleNormal="110" workbookViewId="0">
      <pane ySplit="1" topLeftCell="A258" activePane="bottomLeft" state="frozen"/>
      <selection activeCell="A13" sqref="A13"/>
      <selection pane="bottomLeft" activeCell="AI263" sqref="AI263"/>
    </sheetView>
  </sheetViews>
  <sheetFormatPr defaultRowHeight="13.15" x14ac:dyDescent="0.4"/>
  <cols>
    <col min="3" max="3" width="67.140625" bestFit="1" customWidth="1"/>
    <col min="4" max="4" width="5.85546875" bestFit="1" customWidth="1"/>
    <col min="36" max="36" width="13.28515625" customWidth="1"/>
  </cols>
  <sheetData>
    <row r="2" spans="1:36" x14ac:dyDescent="0.4">
      <c r="C2" s="43" t="s">
        <v>98</v>
      </c>
      <c r="D2" s="43" t="s">
        <v>125</v>
      </c>
    </row>
    <row r="3" spans="1:36" x14ac:dyDescent="0.4">
      <c r="C3" s="43" t="s">
        <v>99</v>
      </c>
      <c r="D3" s="43" t="s">
        <v>100</v>
      </c>
    </row>
    <row r="4" spans="1:36" x14ac:dyDescent="0.4">
      <c r="C4" s="43" t="s">
        <v>101</v>
      </c>
      <c r="D4" s="43" t="s">
        <v>102</v>
      </c>
    </row>
    <row r="5" spans="1:36" x14ac:dyDescent="0.4">
      <c r="C5" s="43"/>
      <c r="D5" s="43"/>
    </row>
    <row r="6" spans="1:36" x14ac:dyDescent="0.4">
      <c r="C6" s="43"/>
      <c r="D6" s="43"/>
    </row>
    <row r="7" spans="1:36" x14ac:dyDescent="0.4">
      <c r="C7" s="43"/>
      <c r="D7" s="43"/>
    </row>
    <row r="8" spans="1:36" x14ac:dyDescent="0.4">
      <c r="C8" s="43"/>
      <c r="D8" s="43"/>
    </row>
    <row r="9" spans="1:36" x14ac:dyDescent="0.4">
      <c r="C9" s="43" t="s">
        <v>103</v>
      </c>
      <c r="D9" s="43" t="s">
        <v>142</v>
      </c>
    </row>
    <row r="11" spans="1:36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6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70" t="s">
        <v>97</v>
      </c>
    </row>
    <row r="13" spans="1:36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104</v>
      </c>
      <c r="AD13" s="5" t="s">
        <v>105</v>
      </c>
      <c r="AE13" s="5" t="s">
        <v>106</v>
      </c>
      <c r="AF13" s="5" t="s">
        <v>107</v>
      </c>
      <c r="AG13" s="5" t="s">
        <v>108</v>
      </c>
      <c r="AH13" s="5" t="s">
        <v>109</v>
      </c>
      <c r="AI13" s="5" t="s">
        <v>110</v>
      </c>
      <c r="AJ13" s="71"/>
    </row>
    <row r="14" spans="1:36" x14ac:dyDescent="0.4">
      <c r="A14" s="7"/>
      <c r="B14" s="73" t="s">
        <v>22</v>
      </c>
      <c r="C14" s="74"/>
      <c r="D14" s="6" t="s">
        <v>23</v>
      </c>
      <c r="E14" s="6">
        <v>148</v>
      </c>
      <c r="F14" s="6">
        <v>122</v>
      </c>
      <c r="G14" s="6">
        <v>150</v>
      </c>
      <c r="H14" s="6">
        <v>138</v>
      </c>
      <c r="I14" s="6">
        <v>116</v>
      </c>
      <c r="J14" s="6">
        <v>149</v>
      </c>
      <c r="K14" s="6">
        <v>118</v>
      </c>
      <c r="L14" s="6">
        <v>112</v>
      </c>
      <c r="M14" s="6">
        <v>137</v>
      </c>
      <c r="N14" s="6">
        <v>138</v>
      </c>
      <c r="O14" s="6">
        <v>106</v>
      </c>
      <c r="P14" s="6">
        <v>129</v>
      </c>
      <c r="Q14" s="6">
        <v>135</v>
      </c>
      <c r="R14" s="6">
        <v>147</v>
      </c>
      <c r="S14" s="6">
        <v>122</v>
      </c>
      <c r="T14" s="6">
        <v>136</v>
      </c>
      <c r="U14" s="6">
        <v>125</v>
      </c>
      <c r="V14" s="6">
        <v>138</v>
      </c>
      <c r="W14" s="6">
        <v>128</v>
      </c>
      <c r="X14" s="6">
        <v>146</v>
      </c>
      <c r="Y14" s="6">
        <v>110</v>
      </c>
      <c r="Z14" s="6">
        <v>102</v>
      </c>
      <c r="AA14" s="6">
        <v>121</v>
      </c>
      <c r="AB14" s="6">
        <v>122</v>
      </c>
      <c r="AC14" s="6">
        <v>116</v>
      </c>
      <c r="AD14" s="6">
        <v>128</v>
      </c>
      <c r="AE14" s="6">
        <v>125</v>
      </c>
      <c r="AF14" s="6">
        <v>134</v>
      </c>
      <c r="AG14" s="6">
        <v>117</v>
      </c>
      <c r="AH14" s="6">
        <v>139</v>
      </c>
      <c r="AI14" s="6">
        <v>152</v>
      </c>
      <c r="AJ14" s="5">
        <f>SUM(E14:AI14)</f>
        <v>4006</v>
      </c>
    </row>
    <row r="15" spans="1:36" x14ac:dyDescent="0.4">
      <c r="A15" s="7"/>
      <c r="B15" s="75"/>
      <c r="C15" s="76"/>
      <c r="D15" s="6" t="s">
        <v>24</v>
      </c>
      <c r="E15" s="6">
        <v>143</v>
      </c>
      <c r="F15" s="6">
        <v>129</v>
      </c>
      <c r="G15" s="6">
        <v>144</v>
      </c>
      <c r="H15" s="6">
        <v>147</v>
      </c>
      <c r="I15" s="6">
        <v>116</v>
      </c>
      <c r="J15" s="6">
        <v>146</v>
      </c>
      <c r="K15" s="6">
        <v>131</v>
      </c>
      <c r="L15" s="6">
        <v>126</v>
      </c>
      <c r="M15" s="6">
        <v>158</v>
      </c>
      <c r="N15" s="6">
        <v>154</v>
      </c>
      <c r="O15" s="6">
        <v>126</v>
      </c>
      <c r="P15" s="6">
        <v>136</v>
      </c>
      <c r="Q15" s="6">
        <v>143</v>
      </c>
      <c r="R15" s="6">
        <v>144</v>
      </c>
      <c r="S15" s="6">
        <v>130</v>
      </c>
      <c r="T15" s="6">
        <v>135</v>
      </c>
      <c r="U15" s="6">
        <v>140</v>
      </c>
      <c r="V15" s="6">
        <v>122</v>
      </c>
      <c r="W15" s="6">
        <v>127</v>
      </c>
      <c r="X15" s="6">
        <v>148</v>
      </c>
      <c r="Y15" s="6">
        <v>108</v>
      </c>
      <c r="Z15" s="6">
        <v>100</v>
      </c>
      <c r="AA15" s="6">
        <v>121</v>
      </c>
      <c r="AB15" s="6">
        <v>114</v>
      </c>
      <c r="AC15" s="6">
        <v>131</v>
      </c>
      <c r="AD15" s="6">
        <v>147</v>
      </c>
      <c r="AE15" s="6">
        <v>133</v>
      </c>
      <c r="AF15" s="6">
        <v>156</v>
      </c>
      <c r="AG15" s="6">
        <v>113</v>
      </c>
      <c r="AH15" s="6">
        <v>146</v>
      </c>
      <c r="AI15" s="6">
        <v>140</v>
      </c>
      <c r="AJ15" s="5">
        <f>SUM(E15:AI15)</f>
        <v>4154</v>
      </c>
    </row>
    <row r="16" spans="1:36" x14ac:dyDescent="0.4">
      <c r="A16" s="8"/>
      <c r="B16" s="77"/>
      <c r="C16" s="78"/>
      <c r="D16" s="5" t="s">
        <v>25</v>
      </c>
      <c r="E16" s="5">
        <f t="shared" ref="E16:AI16" si="0">SUM(E14:E15)</f>
        <v>291</v>
      </c>
      <c r="F16" s="5">
        <f t="shared" ref="F16:AA16" si="1">SUM(F14:F15)</f>
        <v>251</v>
      </c>
      <c r="G16" s="5">
        <f t="shared" si="1"/>
        <v>294</v>
      </c>
      <c r="H16" s="5">
        <f t="shared" si="1"/>
        <v>285</v>
      </c>
      <c r="I16" s="5">
        <f t="shared" si="1"/>
        <v>232</v>
      </c>
      <c r="J16" s="5">
        <f t="shared" si="1"/>
        <v>295</v>
      </c>
      <c r="K16" s="5">
        <f t="shared" si="1"/>
        <v>249</v>
      </c>
      <c r="L16" s="5">
        <f t="shared" si="1"/>
        <v>238</v>
      </c>
      <c r="M16" s="5">
        <f t="shared" si="1"/>
        <v>295</v>
      </c>
      <c r="N16" s="5">
        <f t="shared" si="1"/>
        <v>292</v>
      </c>
      <c r="O16" s="5">
        <f t="shared" si="1"/>
        <v>232</v>
      </c>
      <c r="P16" s="5">
        <f t="shared" si="1"/>
        <v>265</v>
      </c>
      <c r="Q16" s="5">
        <f t="shared" si="1"/>
        <v>278</v>
      </c>
      <c r="R16" s="5">
        <f t="shared" si="1"/>
        <v>291</v>
      </c>
      <c r="S16" s="5">
        <f t="shared" ref="S16:Z16" si="2">SUM(S14:S15)</f>
        <v>252</v>
      </c>
      <c r="T16" s="5">
        <f t="shared" si="2"/>
        <v>271</v>
      </c>
      <c r="U16" s="5">
        <f t="shared" si="2"/>
        <v>265</v>
      </c>
      <c r="V16" s="5">
        <f t="shared" si="2"/>
        <v>260</v>
      </c>
      <c r="W16" s="5">
        <f t="shared" si="2"/>
        <v>255</v>
      </c>
      <c r="X16" s="5">
        <f t="shared" si="2"/>
        <v>294</v>
      </c>
      <c r="Y16" s="5">
        <f t="shared" si="2"/>
        <v>218</v>
      </c>
      <c r="Z16" s="5">
        <f t="shared" si="2"/>
        <v>202</v>
      </c>
      <c r="AA16" s="5">
        <f t="shared" si="1"/>
        <v>242</v>
      </c>
      <c r="AB16" s="5">
        <f t="shared" si="0"/>
        <v>236</v>
      </c>
      <c r="AC16" s="5">
        <f t="shared" si="0"/>
        <v>247</v>
      </c>
      <c r="AD16" s="5">
        <f t="shared" si="0"/>
        <v>275</v>
      </c>
      <c r="AE16" s="5">
        <f t="shared" si="0"/>
        <v>258</v>
      </c>
      <c r="AF16" s="5">
        <f t="shared" si="0"/>
        <v>290</v>
      </c>
      <c r="AG16" s="5">
        <f t="shared" si="0"/>
        <v>230</v>
      </c>
      <c r="AH16" s="5">
        <f t="shared" si="0"/>
        <v>285</v>
      </c>
      <c r="AI16" s="5">
        <f t="shared" si="0"/>
        <v>292</v>
      </c>
      <c r="AJ16" s="5">
        <f>SUM(E16:AI16)</f>
        <v>8160</v>
      </c>
    </row>
    <row r="17" spans="1:36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28"/>
    </row>
    <row r="18" spans="1:36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28"/>
    </row>
    <row r="19" spans="1:36" x14ac:dyDescent="0.4">
      <c r="A19" s="11"/>
      <c r="B19" s="79" t="s">
        <v>28</v>
      </c>
      <c r="C19" s="80" t="s">
        <v>29</v>
      </c>
      <c r="D19" s="6" t="s">
        <v>23</v>
      </c>
      <c r="E19" s="6">
        <v>110</v>
      </c>
      <c r="F19" s="6">
        <v>89</v>
      </c>
      <c r="G19" s="6">
        <v>114</v>
      </c>
      <c r="H19" s="6">
        <v>97</v>
      </c>
      <c r="I19" s="6">
        <v>90</v>
      </c>
      <c r="J19" s="6">
        <v>113</v>
      </c>
      <c r="K19" s="6">
        <v>84</v>
      </c>
      <c r="L19" s="6">
        <v>68</v>
      </c>
      <c r="M19" s="6">
        <v>105</v>
      </c>
      <c r="N19" s="6">
        <v>100</v>
      </c>
      <c r="O19" s="6">
        <v>84</v>
      </c>
      <c r="P19" s="6">
        <v>103</v>
      </c>
      <c r="Q19" s="6">
        <v>103</v>
      </c>
      <c r="R19" s="6">
        <v>112</v>
      </c>
      <c r="S19" s="6">
        <v>91</v>
      </c>
      <c r="T19" s="6">
        <v>105</v>
      </c>
      <c r="U19" s="6">
        <v>84</v>
      </c>
      <c r="V19" s="6">
        <v>99</v>
      </c>
      <c r="W19" s="6">
        <v>94</v>
      </c>
      <c r="X19" s="6">
        <v>98</v>
      </c>
      <c r="Y19" s="6">
        <v>87</v>
      </c>
      <c r="Z19" s="6">
        <v>82</v>
      </c>
      <c r="AA19" s="6">
        <v>86</v>
      </c>
      <c r="AB19" s="6">
        <v>84</v>
      </c>
      <c r="AC19" s="6">
        <v>80</v>
      </c>
      <c r="AD19" s="6">
        <v>84</v>
      </c>
      <c r="AE19" s="6">
        <v>94</v>
      </c>
      <c r="AF19" s="6">
        <v>95</v>
      </c>
      <c r="AG19" s="6">
        <v>95</v>
      </c>
      <c r="AH19" s="6">
        <v>107</v>
      </c>
      <c r="AI19" s="6">
        <v>116</v>
      </c>
      <c r="AJ19" s="5">
        <f t="shared" ref="AJ19:AJ30" si="3">SUM(E19:AI19)</f>
        <v>2953</v>
      </c>
    </row>
    <row r="20" spans="1:36" x14ac:dyDescent="0.4">
      <c r="A20" s="12"/>
      <c r="B20" s="76"/>
      <c r="C20" s="81"/>
      <c r="D20" s="6" t="s">
        <v>24</v>
      </c>
      <c r="E20" s="6">
        <v>111</v>
      </c>
      <c r="F20" s="6">
        <v>107</v>
      </c>
      <c r="G20" s="6">
        <v>117</v>
      </c>
      <c r="H20" s="6">
        <v>118</v>
      </c>
      <c r="I20" s="6">
        <v>95</v>
      </c>
      <c r="J20" s="6">
        <v>117</v>
      </c>
      <c r="K20" s="6">
        <v>93</v>
      </c>
      <c r="L20" s="6">
        <v>97</v>
      </c>
      <c r="M20" s="6">
        <v>124</v>
      </c>
      <c r="N20" s="6">
        <v>113</v>
      </c>
      <c r="O20" s="6">
        <v>101</v>
      </c>
      <c r="P20" s="6">
        <v>110</v>
      </c>
      <c r="Q20" s="6">
        <v>111</v>
      </c>
      <c r="R20" s="6">
        <v>121</v>
      </c>
      <c r="S20" s="6">
        <v>108</v>
      </c>
      <c r="T20" s="6">
        <v>99</v>
      </c>
      <c r="U20" s="6">
        <v>99</v>
      </c>
      <c r="V20" s="6">
        <v>98</v>
      </c>
      <c r="W20" s="6">
        <v>97</v>
      </c>
      <c r="X20" s="6">
        <v>117</v>
      </c>
      <c r="Y20" s="6">
        <v>92</v>
      </c>
      <c r="Z20" s="6">
        <v>83</v>
      </c>
      <c r="AA20" s="6">
        <v>101</v>
      </c>
      <c r="AB20" s="6">
        <v>86</v>
      </c>
      <c r="AC20" s="6">
        <v>99</v>
      </c>
      <c r="AD20" s="6">
        <v>105</v>
      </c>
      <c r="AE20" s="6">
        <v>104</v>
      </c>
      <c r="AF20" s="6">
        <v>118</v>
      </c>
      <c r="AG20" s="6">
        <v>89</v>
      </c>
      <c r="AH20" s="6">
        <v>119</v>
      </c>
      <c r="AI20" s="6">
        <v>127</v>
      </c>
      <c r="AJ20" s="5">
        <f t="shared" si="3"/>
        <v>3276</v>
      </c>
    </row>
    <row r="21" spans="1:36" x14ac:dyDescent="0.4">
      <c r="A21" s="13"/>
      <c r="B21" s="78"/>
      <c r="C21" s="82"/>
      <c r="D21" s="5" t="s">
        <v>25</v>
      </c>
      <c r="E21" s="5">
        <f t="shared" ref="E21:AI21" si="4">SUM(E19:E20)</f>
        <v>221</v>
      </c>
      <c r="F21" s="5">
        <f t="shared" ref="F21:AA21" si="5">SUM(F19:F20)</f>
        <v>196</v>
      </c>
      <c r="G21" s="5">
        <f t="shared" si="5"/>
        <v>231</v>
      </c>
      <c r="H21" s="5">
        <f t="shared" si="5"/>
        <v>215</v>
      </c>
      <c r="I21" s="5">
        <f t="shared" si="5"/>
        <v>185</v>
      </c>
      <c r="J21" s="5">
        <f t="shared" si="5"/>
        <v>230</v>
      </c>
      <c r="K21" s="5">
        <f t="shared" si="5"/>
        <v>177</v>
      </c>
      <c r="L21" s="5">
        <f t="shared" si="5"/>
        <v>165</v>
      </c>
      <c r="M21" s="5">
        <f t="shared" si="5"/>
        <v>229</v>
      </c>
      <c r="N21" s="5">
        <f t="shared" si="5"/>
        <v>213</v>
      </c>
      <c r="O21" s="5">
        <f t="shared" si="5"/>
        <v>185</v>
      </c>
      <c r="P21" s="5">
        <f t="shared" si="5"/>
        <v>213</v>
      </c>
      <c r="Q21" s="5">
        <f t="shared" si="5"/>
        <v>214</v>
      </c>
      <c r="R21" s="5">
        <f t="shared" si="5"/>
        <v>233</v>
      </c>
      <c r="S21" s="5">
        <f t="shared" ref="S21:Z21" si="6">SUM(S19:S20)</f>
        <v>199</v>
      </c>
      <c r="T21" s="5">
        <f t="shared" si="6"/>
        <v>204</v>
      </c>
      <c r="U21" s="5">
        <f t="shared" si="6"/>
        <v>183</v>
      </c>
      <c r="V21" s="5">
        <f t="shared" si="6"/>
        <v>197</v>
      </c>
      <c r="W21" s="5">
        <f t="shared" si="6"/>
        <v>191</v>
      </c>
      <c r="X21" s="5">
        <f t="shared" si="6"/>
        <v>215</v>
      </c>
      <c r="Y21" s="5">
        <f t="shared" si="6"/>
        <v>179</v>
      </c>
      <c r="Z21" s="5">
        <f t="shared" si="6"/>
        <v>165</v>
      </c>
      <c r="AA21" s="5">
        <f t="shared" si="5"/>
        <v>187</v>
      </c>
      <c r="AB21" s="5">
        <f t="shared" si="4"/>
        <v>170</v>
      </c>
      <c r="AC21" s="5">
        <f t="shared" si="4"/>
        <v>179</v>
      </c>
      <c r="AD21" s="5">
        <f t="shared" si="4"/>
        <v>189</v>
      </c>
      <c r="AE21" s="5">
        <f t="shared" si="4"/>
        <v>198</v>
      </c>
      <c r="AF21" s="5">
        <f t="shared" si="4"/>
        <v>213</v>
      </c>
      <c r="AG21" s="5">
        <f t="shared" si="4"/>
        <v>184</v>
      </c>
      <c r="AH21" s="5">
        <f t="shared" si="4"/>
        <v>226</v>
      </c>
      <c r="AI21" s="5">
        <f t="shared" si="4"/>
        <v>243</v>
      </c>
      <c r="AJ21" s="5">
        <f t="shared" si="3"/>
        <v>6229</v>
      </c>
    </row>
    <row r="22" spans="1:36" x14ac:dyDescent="0.4">
      <c r="A22" s="12"/>
      <c r="B22" s="79" t="s">
        <v>30</v>
      </c>
      <c r="C22" s="80" t="s">
        <v>31</v>
      </c>
      <c r="D22" s="6" t="s">
        <v>23</v>
      </c>
      <c r="E22" s="6"/>
      <c r="F22" s="6"/>
      <c r="G22" s="6"/>
      <c r="H22" s="6"/>
      <c r="I22" s="6">
        <v>1</v>
      </c>
      <c r="J22" s="6"/>
      <c r="K22" s="6">
        <v>1</v>
      </c>
      <c r="L22" s="6">
        <v>1</v>
      </c>
      <c r="M22" s="6"/>
      <c r="N22" s="6"/>
      <c r="O22" s="6">
        <v>1</v>
      </c>
      <c r="P22" s="6"/>
      <c r="Q22" s="6"/>
      <c r="R22" s="6"/>
      <c r="S22" s="6">
        <v>1</v>
      </c>
      <c r="T22" s="6">
        <v>1</v>
      </c>
      <c r="U22" s="6"/>
      <c r="V22" s="6"/>
      <c r="W22" s="6"/>
      <c r="X22" s="6">
        <v>1</v>
      </c>
      <c r="Y22" s="6"/>
      <c r="Z22" s="6"/>
      <c r="AA22" s="6">
        <v>1</v>
      </c>
      <c r="AB22" s="6">
        <v>1</v>
      </c>
      <c r="AC22" s="6">
        <v>1</v>
      </c>
      <c r="AD22" s="6">
        <v>2</v>
      </c>
      <c r="AE22" s="6">
        <v>1</v>
      </c>
      <c r="AF22" s="6"/>
      <c r="AG22" s="6"/>
      <c r="AH22" s="6">
        <v>1</v>
      </c>
      <c r="AI22" s="6">
        <v>1</v>
      </c>
      <c r="AJ22" s="5">
        <f t="shared" si="3"/>
        <v>15</v>
      </c>
    </row>
    <row r="23" spans="1:36" x14ac:dyDescent="0.4">
      <c r="A23" s="12"/>
      <c r="B23" s="76"/>
      <c r="C23" s="81"/>
      <c r="D23" s="6" t="s">
        <v>24</v>
      </c>
      <c r="E23" s="6">
        <v>1</v>
      </c>
      <c r="F23" s="6"/>
      <c r="G23" s="6"/>
      <c r="H23" s="6"/>
      <c r="I23" s="6"/>
      <c r="J23" s="6"/>
      <c r="K23" s="6"/>
      <c r="L23" s="6">
        <v>1</v>
      </c>
      <c r="M23" s="6"/>
      <c r="N23" s="6">
        <v>1</v>
      </c>
      <c r="O23" s="6"/>
      <c r="P23" s="6"/>
      <c r="Q23" s="6"/>
      <c r="R23" s="6"/>
      <c r="S23" s="6"/>
      <c r="T23" s="6">
        <v>2</v>
      </c>
      <c r="U23" s="6"/>
      <c r="V23" s="6">
        <v>1</v>
      </c>
      <c r="W23" s="6">
        <v>1</v>
      </c>
      <c r="X23" s="6"/>
      <c r="Y23" s="6">
        <v>1</v>
      </c>
      <c r="Z23" s="6">
        <v>1</v>
      </c>
      <c r="AA23" s="6"/>
      <c r="AB23" s="6"/>
      <c r="AC23" s="6"/>
      <c r="AD23" s="6">
        <v>1</v>
      </c>
      <c r="AE23" s="6"/>
      <c r="AF23" s="6">
        <v>1</v>
      </c>
      <c r="AG23" s="6">
        <v>1</v>
      </c>
      <c r="AH23" s="6"/>
      <c r="AI23" s="6"/>
      <c r="AJ23" s="5">
        <f t="shared" si="3"/>
        <v>12</v>
      </c>
    </row>
    <row r="24" spans="1:36" x14ac:dyDescent="0.4">
      <c r="A24" s="13"/>
      <c r="B24" s="78"/>
      <c r="C24" s="82"/>
      <c r="D24" s="5" t="s">
        <v>25</v>
      </c>
      <c r="E24" s="5">
        <f t="shared" ref="E24:AI24" si="7">SUM(E22:E23)</f>
        <v>1</v>
      </c>
      <c r="F24" s="5">
        <f t="shared" ref="F24:AA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1</v>
      </c>
      <c r="J24" s="5">
        <f t="shared" si="8"/>
        <v>0</v>
      </c>
      <c r="K24" s="5">
        <f t="shared" si="8"/>
        <v>1</v>
      </c>
      <c r="L24" s="5">
        <f t="shared" si="8"/>
        <v>2</v>
      </c>
      <c r="M24" s="5">
        <f t="shared" si="8"/>
        <v>0</v>
      </c>
      <c r="N24" s="5">
        <f t="shared" si="8"/>
        <v>1</v>
      </c>
      <c r="O24" s="5">
        <f t="shared" si="8"/>
        <v>1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ref="S24:Z24" si="9">SUM(S22:S23)</f>
        <v>1</v>
      </c>
      <c r="T24" s="5">
        <f t="shared" si="9"/>
        <v>3</v>
      </c>
      <c r="U24" s="5">
        <f t="shared" si="9"/>
        <v>0</v>
      </c>
      <c r="V24" s="5">
        <f t="shared" si="9"/>
        <v>1</v>
      </c>
      <c r="W24" s="5">
        <f t="shared" si="9"/>
        <v>1</v>
      </c>
      <c r="X24" s="5">
        <f t="shared" si="9"/>
        <v>1</v>
      </c>
      <c r="Y24" s="5">
        <f t="shared" si="9"/>
        <v>1</v>
      </c>
      <c r="Z24" s="5">
        <f t="shared" si="9"/>
        <v>1</v>
      </c>
      <c r="AA24" s="5">
        <f t="shared" si="8"/>
        <v>1</v>
      </c>
      <c r="AB24" s="5">
        <f t="shared" si="7"/>
        <v>1</v>
      </c>
      <c r="AC24" s="5">
        <f t="shared" si="7"/>
        <v>1</v>
      </c>
      <c r="AD24" s="5">
        <f t="shared" si="7"/>
        <v>3</v>
      </c>
      <c r="AE24" s="5">
        <f t="shared" si="7"/>
        <v>1</v>
      </c>
      <c r="AF24" s="5">
        <f t="shared" si="7"/>
        <v>1</v>
      </c>
      <c r="AG24" s="5">
        <f t="shared" si="7"/>
        <v>1</v>
      </c>
      <c r="AH24" s="5">
        <f t="shared" si="7"/>
        <v>1</v>
      </c>
      <c r="AI24" s="5">
        <f t="shared" si="7"/>
        <v>1</v>
      </c>
      <c r="AJ24" s="5">
        <f t="shared" si="3"/>
        <v>27</v>
      </c>
    </row>
    <row r="25" spans="1:36" x14ac:dyDescent="0.4">
      <c r="A25" s="12"/>
      <c r="B25" s="79" t="s">
        <v>32</v>
      </c>
      <c r="C25" s="80" t="s">
        <v>33</v>
      </c>
      <c r="D25" s="6" t="s">
        <v>23</v>
      </c>
      <c r="E25" s="6"/>
      <c r="F25" s="6">
        <v>2</v>
      </c>
      <c r="G25" s="6"/>
      <c r="H25" s="6">
        <v>1</v>
      </c>
      <c r="I25" s="6"/>
      <c r="J25" s="6">
        <v>7</v>
      </c>
      <c r="K25" s="6">
        <v>1</v>
      </c>
      <c r="L25" s="6"/>
      <c r="M25" s="6"/>
      <c r="N25" s="6"/>
      <c r="O25" s="6">
        <v>1</v>
      </c>
      <c r="P25" s="6"/>
      <c r="Q25" s="6">
        <v>2</v>
      </c>
      <c r="R25" s="6"/>
      <c r="S25" s="6">
        <v>2</v>
      </c>
      <c r="T25" s="6">
        <v>1</v>
      </c>
      <c r="U25" s="6">
        <v>1</v>
      </c>
      <c r="V25" s="6"/>
      <c r="W25" s="6">
        <v>1</v>
      </c>
      <c r="X25" s="6"/>
      <c r="Y25" s="6"/>
      <c r="Z25" s="6"/>
      <c r="AA25" s="6"/>
      <c r="AB25" s="6"/>
      <c r="AC25" s="6"/>
      <c r="AD25" s="6">
        <v>1</v>
      </c>
      <c r="AE25" s="6"/>
      <c r="AF25" s="6">
        <v>2</v>
      </c>
      <c r="AG25" s="6"/>
      <c r="AH25" s="6"/>
      <c r="AI25" s="6"/>
      <c r="AJ25" s="5">
        <f t="shared" si="3"/>
        <v>22</v>
      </c>
    </row>
    <row r="26" spans="1:36" x14ac:dyDescent="0.4">
      <c r="A26" s="12"/>
      <c r="B26" s="76"/>
      <c r="C26" s="81"/>
      <c r="D26" s="6" t="s">
        <v>24</v>
      </c>
      <c r="E26" s="6"/>
      <c r="F26" s="6"/>
      <c r="G26" s="6"/>
      <c r="H26" s="6">
        <v>1</v>
      </c>
      <c r="I26" s="6"/>
      <c r="J26" s="6">
        <v>5</v>
      </c>
      <c r="K26" s="6">
        <v>2</v>
      </c>
      <c r="L26" s="6"/>
      <c r="M26" s="6"/>
      <c r="N26" s="6"/>
      <c r="O26" s="6">
        <v>1</v>
      </c>
      <c r="P26" s="6"/>
      <c r="Q26" s="6">
        <v>4</v>
      </c>
      <c r="R26" s="6"/>
      <c r="S26" s="6">
        <v>5</v>
      </c>
      <c r="T26" s="6">
        <v>2</v>
      </c>
      <c r="U26" s="6">
        <v>1</v>
      </c>
      <c r="V26" s="6"/>
      <c r="W26" s="6">
        <v>2</v>
      </c>
      <c r="X26" s="6"/>
      <c r="Y26" s="6"/>
      <c r="Z26" s="6"/>
      <c r="AA26" s="6">
        <v>1</v>
      </c>
      <c r="AB26" s="6"/>
      <c r="AC26" s="6"/>
      <c r="AD26" s="6"/>
      <c r="AE26" s="6">
        <v>1</v>
      </c>
      <c r="AF26" s="6">
        <v>1</v>
      </c>
      <c r="AG26" s="6"/>
      <c r="AH26" s="6"/>
      <c r="AI26" s="6"/>
      <c r="AJ26" s="5">
        <f t="shared" si="3"/>
        <v>26</v>
      </c>
    </row>
    <row r="27" spans="1:36" x14ac:dyDescent="0.4">
      <c r="A27" s="13"/>
      <c r="B27" s="78"/>
      <c r="C27" s="82"/>
      <c r="D27" s="5" t="s">
        <v>25</v>
      </c>
      <c r="E27" s="5">
        <f t="shared" ref="E27:AI27" si="10">SUM(E25:E26)</f>
        <v>0</v>
      </c>
      <c r="F27" s="5">
        <f t="shared" ref="F27:AA27" si="11">SUM(F25:F26)</f>
        <v>2</v>
      </c>
      <c r="G27" s="5">
        <f t="shared" si="11"/>
        <v>0</v>
      </c>
      <c r="H27" s="5">
        <f t="shared" si="11"/>
        <v>2</v>
      </c>
      <c r="I27" s="5">
        <f t="shared" si="11"/>
        <v>0</v>
      </c>
      <c r="J27" s="5">
        <f t="shared" si="11"/>
        <v>12</v>
      </c>
      <c r="K27" s="5">
        <f t="shared" si="11"/>
        <v>3</v>
      </c>
      <c r="L27" s="5">
        <f t="shared" si="11"/>
        <v>0</v>
      </c>
      <c r="M27" s="5">
        <f t="shared" si="11"/>
        <v>0</v>
      </c>
      <c r="N27" s="5">
        <f t="shared" si="11"/>
        <v>0</v>
      </c>
      <c r="O27" s="5">
        <f t="shared" si="11"/>
        <v>2</v>
      </c>
      <c r="P27" s="5">
        <f t="shared" si="11"/>
        <v>0</v>
      </c>
      <c r="Q27" s="5">
        <f t="shared" si="11"/>
        <v>6</v>
      </c>
      <c r="R27" s="5">
        <f t="shared" si="11"/>
        <v>0</v>
      </c>
      <c r="S27" s="5">
        <f t="shared" ref="S27:Z27" si="12">SUM(S25:S26)</f>
        <v>7</v>
      </c>
      <c r="T27" s="5">
        <f t="shared" si="12"/>
        <v>3</v>
      </c>
      <c r="U27" s="5">
        <f t="shared" si="12"/>
        <v>2</v>
      </c>
      <c r="V27" s="5">
        <f t="shared" si="12"/>
        <v>0</v>
      </c>
      <c r="W27" s="5">
        <f t="shared" si="12"/>
        <v>3</v>
      </c>
      <c r="X27" s="5">
        <f t="shared" si="12"/>
        <v>0</v>
      </c>
      <c r="Y27" s="5">
        <f t="shared" si="12"/>
        <v>0</v>
      </c>
      <c r="Z27" s="5">
        <f t="shared" si="12"/>
        <v>0</v>
      </c>
      <c r="AA27" s="5">
        <f t="shared" si="11"/>
        <v>1</v>
      </c>
      <c r="AB27" s="5">
        <f t="shared" si="10"/>
        <v>0</v>
      </c>
      <c r="AC27" s="5">
        <f t="shared" si="10"/>
        <v>0</v>
      </c>
      <c r="AD27" s="5">
        <f t="shared" si="10"/>
        <v>1</v>
      </c>
      <c r="AE27" s="5">
        <f t="shared" si="10"/>
        <v>1</v>
      </c>
      <c r="AF27" s="5">
        <f t="shared" si="10"/>
        <v>3</v>
      </c>
      <c r="AG27" s="5">
        <f t="shared" si="10"/>
        <v>0</v>
      </c>
      <c r="AH27" s="5">
        <f t="shared" si="10"/>
        <v>0</v>
      </c>
      <c r="AI27" s="5">
        <f t="shared" si="10"/>
        <v>0</v>
      </c>
      <c r="AJ27" s="5">
        <f t="shared" si="3"/>
        <v>48</v>
      </c>
    </row>
    <row r="28" spans="1:36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110</v>
      </c>
      <c r="F28" s="5">
        <f t="shared" ref="F28:AA28" si="13">SUM(F19,F22,F25)</f>
        <v>91</v>
      </c>
      <c r="G28" s="5">
        <f t="shared" si="13"/>
        <v>114</v>
      </c>
      <c r="H28" s="5">
        <f t="shared" si="13"/>
        <v>98</v>
      </c>
      <c r="I28" s="5">
        <f t="shared" si="13"/>
        <v>91</v>
      </c>
      <c r="J28" s="5">
        <f t="shared" si="13"/>
        <v>120</v>
      </c>
      <c r="K28" s="5">
        <f t="shared" si="13"/>
        <v>86</v>
      </c>
      <c r="L28" s="5">
        <f t="shared" si="13"/>
        <v>69</v>
      </c>
      <c r="M28" s="5">
        <f t="shared" si="13"/>
        <v>105</v>
      </c>
      <c r="N28" s="5">
        <f t="shared" si="13"/>
        <v>100</v>
      </c>
      <c r="O28" s="5">
        <f t="shared" si="13"/>
        <v>86</v>
      </c>
      <c r="P28" s="5">
        <f t="shared" si="13"/>
        <v>103</v>
      </c>
      <c r="Q28" s="5">
        <f t="shared" si="13"/>
        <v>105</v>
      </c>
      <c r="R28" s="5">
        <f t="shared" si="13"/>
        <v>112</v>
      </c>
      <c r="S28" s="5">
        <f t="shared" ref="S28:Z28" si="14">SUM(S19,S22,S25)</f>
        <v>94</v>
      </c>
      <c r="T28" s="5">
        <f t="shared" si="14"/>
        <v>107</v>
      </c>
      <c r="U28" s="5">
        <f t="shared" si="14"/>
        <v>85</v>
      </c>
      <c r="V28" s="5">
        <f t="shared" si="14"/>
        <v>99</v>
      </c>
      <c r="W28" s="5">
        <f t="shared" si="14"/>
        <v>95</v>
      </c>
      <c r="X28" s="5">
        <f t="shared" si="14"/>
        <v>99</v>
      </c>
      <c r="Y28" s="5">
        <f t="shared" si="14"/>
        <v>87</v>
      </c>
      <c r="Z28" s="5">
        <f t="shared" si="14"/>
        <v>82</v>
      </c>
      <c r="AA28" s="5">
        <f t="shared" si="13"/>
        <v>87</v>
      </c>
      <c r="AB28" s="5">
        <f t="shared" ref="AB28:AI29" si="15">SUM(AB19,AB22,AB25)</f>
        <v>85</v>
      </c>
      <c r="AC28" s="5">
        <f t="shared" si="15"/>
        <v>81</v>
      </c>
      <c r="AD28" s="5">
        <f t="shared" si="15"/>
        <v>87</v>
      </c>
      <c r="AE28" s="5">
        <f t="shared" si="15"/>
        <v>95</v>
      </c>
      <c r="AF28" s="5">
        <f t="shared" si="15"/>
        <v>97</v>
      </c>
      <c r="AG28" s="5">
        <f t="shared" si="15"/>
        <v>95</v>
      </c>
      <c r="AH28" s="5">
        <f t="shared" si="15"/>
        <v>108</v>
      </c>
      <c r="AI28" s="5">
        <f t="shared" si="15"/>
        <v>117</v>
      </c>
      <c r="AJ28" s="5">
        <f t="shared" si="3"/>
        <v>2990</v>
      </c>
    </row>
    <row r="29" spans="1:36" x14ac:dyDescent="0.4">
      <c r="A29" s="13"/>
      <c r="B29" s="76"/>
      <c r="C29" s="81"/>
      <c r="D29" s="5" t="s">
        <v>24</v>
      </c>
      <c r="E29" s="5">
        <f>SUM(E20,E23,E26)</f>
        <v>112</v>
      </c>
      <c r="F29" s="5">
        <f t="shared" ref="F29:AA29" si="16">SUM(F20,F23,F26)</f>
        <v>107</v>
      </c>
      <c r="G29" s="5">
        <f t="shared" si="16"/>
        <v>117</v>
      </c>
      <c r="H29" s="5">
        <f t="shared" si="16"/>
        <v>119</v>
      </c>
      <c r="I29" s="5">
        <f t="shared" si="16"/>
        <v>95</v>
      </c>
      <c r="J29" s="5">
        <f t="shared" si="16"/>
        <v>122</v>
      </c>
      <c r="K29" s="5">
        <f t="shared" si="16"/>
        <v>95</v>
      </c>
      <c r="L29" s="5">
        <f t="shared" si="16"/>
        <v>98</v>
      </c>
      <c r="M29" s="5">
        <f t="shared" si="16"/>
        <v>124</v>
      </c>
      <c r="N29" s="5">
        <f t="shared" si="16"/>
        <v>114</v>
      </c>
      <c r="O29" s="5">
        <f t="shared" si="16"/>
        <v>102</v>
      </c>
      <c r="P29" s="5">
        <f t="shared" si="16"/>
        <v>110</v>
      </c>
      <c r="Q29" s="5">
        <f t="shared" si="16"/>
        <v>115</v>
      </c>
      <c r="R29" s="5">
        <f t="shared" si="16"/>
        <v>121</v>
      </c>
      <c r="S29" s="5">
        <f t="shared" ref="S29:Z29" si="17">SUM(S20,S23,S26)</f>
        <v>113</v>
      </c>
      <c r="T29" s="5">
        <f t="shared" si="17"/>
        <v>103</v>
      </c>
      <c r="U29" s="5">
        <f t="shared" si="17"/>
        <v>100</v>
      </c>
      <c r="V29" s="5">
        <f t="shared" si="17"/>
        <v>99</v>
      </c>
      <c r="W29" s="5">
        <f t="shared" si="17"/>
        <v>100</v>
      </c>
      <c r="X29" s="5">
        <f t="shared" si="17"/>
        <v>117</v>
      </c>
      <c r="Y29" s="5">
        <f t="shared" si="17"/>
        <v>93</v>
      </c>
      <c r="Z29" s="5">
        <f t="shared" si="17"/>
        <v>84</v>
      </c>
      <c r="AA29" s="5">
        <f t="shared" si="16"/>
        <v>102</v>
      </c>
      <c r="AB29" s="5">
        <f t="shared" si="15"/>
        <v>86</v>
      </c>
      <c r="AC29" s="5">
        <f t="shared" si="15"/>
        <v>99</v>
      </c>
      <c r="AD29" s="5">
        <f t="shared" si="15"/>
        <v>106</v>
      </c>
      <c r="AE29" s="5">
        <f t="shared" si="15"/>
        <v>105</v>
      </c>
      <c r="AF29" s="5">
        <f t="shared" si="15"/>
        <v>120</v>
      </c>
      <c r="AG29" s="5">
        <f t="shared" si="15"/>
        <v>90</v>
      </c>
      <c r="AH29" s="5">
        <f t="shared" si="15"/>
        <v>119</v>
      </c>
      <c r="AI29" s="5">
        <f t="shared" si="15"/>
        <v>127</v>
      </c>
      <c r="AJ29" s="5">
        <f t="shared" si="3"/>
        <v>3314</v>
      </c>
    </row>
    <row r="30" spans="1:36" x14ac:dyDescent="0.4">
      <c r="A30" s="13"/>
      <c r="B30" s="78"/>
      <c r="C30" s="82"/>
      <c r="D30" s="5" t="s">
        <v>25</v>
      </c>
      <c r="E30" s="5">
        <f t="shared" ref="E30:AA30" si="18">SUM(E28:E29)</f>
        <v>222</v>
      </c>
      <c r="F30" s="5">
        <f t="shared" si="18"/>
        <v>198</v>
      </c>
      <c r="G30" s="5">
        <f t="shared" si="18"/>
        <v>231</v>
      </c>
      <c r="H30" s="5">
        <f t="shared" si="18"/>
        <v>217</v>
      </c>
      <c r="I30" s="5">
        <f t="shared" si="18"/>
        <v>186</v>
      </c>
      <c r="J30" s="5">
        <f t="shared" si="18"/>
        <v>242</v>
      </c>
      <c r="K30" s="5">
        <f t="shared" si="18"/>
        <v>181</v>
      </c>
      <c r="L30" s="5">
        <f t="shared" si="18"/>
        <v>167</v>
      </c>
      <c r="M30" s="5">
        <f t="shared" si="18"/>
        <v>229</v>
      </c>
      <c r="N30" s="5">
        <f t="shared" si="18"/>
        <v>214</v>
      </c>
      <c r="O30" s="5">
        <f t="shared" si="18"/>
        <v>188</v>
      </c>
      <c r="P30" s="5">
        <f t="shared" si="18"/>
        <v>213</v>
      </c>
      <c r="Q30" s="5">
        <f t="shared" si="18"/>
        <v>220</v>
      </c>
      <c r="R30" s="5">
        <f t="shared" si="18"/>
        <v>233</v>
      </c>
      <c r="S30" s="5">
        <f t="shared" ref="S30" si="19">SUM(S28:S29)</f>
        <v>207</v>
      </c>
      <c r="T30" s="5">
        <f t="shared" ref="T30:Z30" si="20">SUM(T28:T29)</f>
        <v>210</v>
      </c>
      <c r="U30" s="5">
        <f t="shared" si="20"/>
        <v>185</v>
      </c>
      <c r="V30" s="5">
        <f t="shared" si="20"/>
        <v>198</v>
      </c>
      <c r="W30" s="5">
        <f t="shared" si="20"/>
        <v>195</v>
      </c>
      <c r="X30" s="5">
        <f t="shared" si="20"/>
        <v>216</v>
      </c>
      <c r="Y30" s="5">
        <f t="shared" si="20"/>
        <v>180</v>
      </c>
      <c r="Z30" s="5">
        <f t="shared" si="20"/>
        <v>166</v>
      </c>
      <c r="AA30" s="5">
        <f t="shared" si="18"/>
        <v>189</v>
      </c>
      <c r="AB30" s="5">
        <f t="shared" ref="AB30:AI30" si="21">SUM(AB28:AB29)</f>
        <v>171</v>
      </c>
      <c r="AC30" s="5">
        <f t="shared" si="21"/>
        <v>180</v>
      </c>
      <c r="AD30" s="5">
        <f t="shared" si="21"/>
        <v>193</v>
      </c>
      <c r="AE30" s="5">
        <f t="shared" si="21"/>
        <v>200</v>
      </c>
      <c r="AF30" s="5">
        <f t="shared" si="21"/>
        <v>217</v>
      </c>
      <c r="AG30" s="5">
        <f t="shared" si="21"/>
        <v>185</v>
      </c>
      <c r="AH30" s="5">
        <f t="shared" si="21"/>
        <v>227</v>
      </c>
      <c r="AI30" s="5">
        <f t="shared" si="21"/>
        <v>244</v>
      </c>
      <c r="AJ30" s="5">
        <f t="shared" si="3"/>
        <v>6304</v>
      </c>
    </row>
    <row r="31" spans="1:36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28"/>
    </row>
    <row r="32" spans="1:36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28"/>
    </row>
    <row r="33" spans="1:36" x14ac:dyDescent="0.4">
      <c r="A33" s="6">
        <v>1</v>
      </c>
      <c r="B33" s="72" t="s">
        <v>38</v>
      </c>
      <c r="C33" s="65"/>
      <c r="D33" s="66"/>
      <c r="E33" s="6">
        <v>298</v>
      </c>
      <c r="F33" s="6">
        <v>257</v>
      </c>
      <c r="G33" s="6">
        <v>300</v>
      </c>
      <c r="H33" s="6">
        <v>291</v>
      </c>
      <c r="I33" s="6">
        <v>236</v>
      </c>
      <c r="J33" s="6">
        <v>310</v>
      </c>
      <c r="K33" s="6">
        <v>254</v>
      </c>
      <c r="L33" s="6">
        <v>243</v>
      </c>
      <c r="M33" s="6">
        <v>301</v>
      </c>
      <c r="N33" s="6">
        <v>298</v>
      </c>
      <c r="O33" s="6">
        <v>237</v>
      </c>
      <c r="P33" s="6">
        <v>270</v>
      </c>
      <c r="Q33" s="6">
        <v>284</v>
      </c>
      <c r="R33" s="6">
        <v>297</v>
      </c>
      <c r="S33" s="6">
        <v>258</v>
      </c>
      <c r="T33" s="6">
        <v>277</v>
      </c>
      <c r="U33" s="6">
        <v>271</v>
      </c>
      <c r="V33" s="6">
        <v>265</v>
      </c>
      <c r="W33" s="6">
        <v>261</v>
      </c>
      <c r="X33" s="6">
        <v>300</v>
      </c>
      <c r="Y33" s="6">
        <v>223</v>
      </c>
      <c r="Z33" s="6">
        <v>207</v>
      </c>
      <c r="AA33" s="6">
        <v>247</v>
      </c>
      <c r="AB33" s="6">
        <v>241</v>
      </c>
      <c r="AC33" s="6">
        <v>253</v>
      </c>
      <c r="AD33" s="6">
        <v>281</v>
      </c>
      <c r="AE33" s="6">
        <v>264</v>
      </c>
      <c r="AF33" s="6">
        <v>296</v>
      </c>
      <c r="AG33" s="6">
        <v>235</v>
      </c>
      <c r="AH33" s="6">
        <v>291</v>
      </c>
      <c r="AI33" s="6">
        <v>298</v>
      </c>
      <c r="AJ33" s="5">
        <f>SUM(E33:AI33)</f>
        <v>8344</v>
      </c>
    </row>
    <row r="34" spans="1:36" x14ac:dyDescent="0.4">
      <c r="A34" s="6">
        <v>2</v>
      </c>
      <c r="B34" s="72" t="s">
        <v>39</v>
      </c>
      <c r="C34" s="65"/>
      <c r="D34" s="66"/>
      <c r="E34" s="5">
        <v>222</v>
      </c>
      <c r="F34" s="5">
        <v>198</v>
      </c>
      <c r="G34" s="5">
        <v>231</v>
      </c>
      <c r="H34" s="5">
        <v>217</v>
      </c>
      <c r="I34" s="5">
        <v>186</v>
      </c>
      <c r="J34" s="5">
        <v>242</v>
      </c>
      <c r="K34" s="5">
        <v>181</v>
      </c>
      <c r="L34" s="5">
        <v>167</v>
      </c>
      <c r="M34" s="5">
        <v>229</v>
      </c>
      <c r="N34" s="5">
        <v>214</v>
      </c>
      <c r="O34" s="5">
        <v>188</v>
      </c>
      <c r="P34" s="5">
        <v>213</v>
      </c>
      <c r="Q34" s="5">
        <v>220</v>
      </c>
      <c r="R34" s="5">
        <v>233</v>
      </c>
      <c r="S34" s="5">
        <v>207</v>
      </c>
      <c r="T34" s="5">
        <v>210</v>
      </c>
      <c r="U34" s="5">
        <v>185</v>
      </c>
      <c r="V34" s="5">
        <v>198</v>
      </c>
      <c r="W34" s="5">
        <v>195</v>
      </c>
      <c r="X34" s="5">
        <v>216</v>
      </c>
      <c r="Y34" s="5">
        <v>180</v>
      </c>
      <c r="Z34" s="5">
        <v>166</v>
      </c>
      <c r="AA34" s="5">
        <v>189</v>
      </c>
      <c r="AB34" s="5">
        <v>171</v>
      </c>
      <c r="AC34" s="5">
        <v>180</v>
      </c>
      <c r="AD34" s="5">
        <v>193</v>
      </c>
      <c r="AE34" s="5">
        <v>200</v>
      </c>
      <c r="AF34" s="5">
        <v>217</v>
      </c>
      <c r="AG34" s="5">
        <v>185</v>
      </c>
      <c r="AH34" s="5">
        <v>227</v>
      </c>
      <c r="AI34" s="5">
        <v>244</v>
      </c>
      <c r="AJ34" s="5">
        <f>SUM(E34:AI34)</f>
        <v>6304</v>
      </c>
    </row>
    <row r="35" spans="1:36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/>
      <c r="I35" s="6"/>
      <c r="J35" s="6"/>
      <c r="K35" s="6"/>
      <c r="L35" s="6">
        <v>1</v>
      </c>
      <c r="M35" s="6"/>
      <c r="N35" s="6"/>
      <c r="O35" s="6"/>
      <c r="P35" s="6"/>
      <c r="Q35" s="6"/>
      <c r="R35" s="6"/>
      <c r="S35" s="6"/>
      <c r="T35" s="6">
        <v>1</v>
      </c>
      <c r="U35" s="6"/>
      <c r="V35" s="6"/>
      <c r="W35" s="6"/>
      <c r="X35" s="6"/>
      <c r="Y35" s="6">
        <v>3</v>
      </c>
      <c r="Z35" s="6"/>
      <c r="AA35" s="6"/>
      <c r="AB35" s="6">
        <v>2</v>
      </c>
      <c r="AC35" s="6"/>
      <c r="AD35" s="6"/>
      <c r="AE35" s="6"/>
      <c r="AF35" s="6"/>
      <c r="AG35" s="6"/>
      <c r="AH35" s="6"/>
      <c r="AI35" s="6"/>
      <c r="AJ35" s="5">
        <f>SUM(E35:AI35)</f>
        <v>7</v>
      </c>
    </row>
    <row r="36" spans="1:36" x14ac:dyDescent="0.4">
      <c r="A36" s="6">
        <v>4</v>
      </c>
      <c r="B36" s="72" t="s">
        <v>41</v>
      </c>
      <c r="C36" s="65"/>
      <c r="D36" s="66"/>
      <c r="E36" s="5">
        <f t="shared" ref="E36:AI36" si="22">E33-(E34+E35)</f>
        <v>76</v>
      </c>
      <c r="F36" s="5">
        <f t="shared" ref="F36:AA36" si="23">F33-(F34+F35)</f>
        <v>59</v>
      </c>
      <c r="G36" s="5">
        <f t="shared" si="23"/>
        <v>69</v>
      </c>
      <c r="H36" s="5">
        <f t="shared" si="23"/>
        <v>74</v>
      </c>
      <c r="I36" s="5">
        <f t="shared" si="23"/>
        <v>50</v>
      </c>
      <c r="J36" s="5">
        <f t="shared" si="23"/>
        <v>68</v>
      </c>
      <c r="K36" s="5">
        <f t="shared" si="23"/>
        <v>73</v>
      </c>
      <c r="L36" s="5">
        <f t="shared" si="23"/>
        <v>75</v>
      </c>
      <c r="M36" s="5">
        <f t="shared" si="23"/>
        <v>72</v>
      </c>
      <c r="N36" s="5">
        <f t="shared" si="23"/>
        <v>84</v>
      </c>
      <c r="O36" s="5">
        <f t="shared" si="23"/>
        <v>49</v>
      </c>
      <c r="P36" s="5">
        <f t="shared" si="23"/>
        <v>57</v>
      </c>
      <c r="Q36" s="5">
        <f t="shared" si="23"/>
        <v>64</v>
      </c>
      <c r="R36" s="5">
        <f t="shared" si="23"/>
        <v>64</v>
      </c>
      <c r="S36" s="5">
        <f t="shared" ref="S36:Z36" si="24">S33-(S34+S35)</f>
        <v>51</v>
      </c>
      <c r="T36" s="5">
        <f t="shared" si="24"/>
        <v>66</v>
      </c>
      <c r="U36" s="5">
        <f t="shared" si="24"/>
        <v>86</v>
      </c>
      <c r="V36" s="5">
        <f t="shared" si="24"/>
        <v>67</v>
      </c>
      <c r="W36" s="5">
        <f t="shared" si="24"/>
        <v>66</v>
      </c>
      <c r="X36" s="5">
        <f t="shared" si="24"/>
        <v>84</v>
      </c>
      <c r="Y36" s="5">
        <f t="shared" si="24"/>
        <v>40</v>
      </c>
      <c r="Z36" s="5">
        <f t="shared" si="24"/>
        <v>41</v>
      </c>
      <c r="AA36" s="5">
        <f t="shared" si="23"/>
        <v>58</v>
      </c>
      <c r="AB36" s="5">
        <f t="shared" si="22"/>
        <v>68</v>
      </c>
      <c r="AC36" s="5">
        <f t="shared" si="22"/>
        <v>73</v>
      </c>
      <c r="AD36" s="5">
        <f t="shared" si="22"/>
        <v>88</v>
      </c>
      <c r="AE36" s="5">
        <f t="shared" si="22"/>
        <v>64</v>
      </c>
      <c r="AF36" s="5">
        <f t="shared" si="22"/>
        <v>79</v>
      </c>
      <c r="AG36" s="5">
        <f t="shared" si="22"/>
        <v>50</v>
      </c>
      <c r="AH36" s="5">
        <f t="shared" si="22"/>
        <v>64</v>
      </c>
      <c r="AI36" s="5">
        <f t="shared" si="22"/>
        <v>54</v>
      </c>
      <c r="AJ36" s="5">
        <f>SUM(E36:AI36)</f>
        <v>2033</v>
      </c>
    </row>
    <row r="37" spans="1:36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105"/>
      <c r="AC37" s="105"/>
      <c r="AD37" s="105"/>
      <c r="AE37" s="106"/>
      <c r="AF37" s="6"/>
      <c r="AG37" s="6"/>
      <c r="AH37" s="6"/>
      <c r="AI37" s="6"/>
      <c r="AJ37" s="28"/>
    </row>
    <row r="38" spans="1:36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28"/>
    </row>
    <row r="39" spans="1:36" x14ac:dyDescent="0.4">
      <c r="A39" s="11"/>
      <c r="B39" s="87" t="s">
        <v>44</v>
      </c>
      <c r="C39" s="74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>
        <v>2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5">
        <f>SUM(E39:AI39)</f>
        <v>2</v>
      </c>
    </row>
    <row r="40" spans="1:36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/>
      <c r="K40" s="6">
        <v>1</v>
      </c>
      <c r="L40" s="6">
        <v>1</v>
      </c>
      <c r="M40" s="6"/>
      <c r="N40" s="6">
        <v>6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5">
        <f>SUM(E40:AI40)</f>
        <v>8</v>
      </c>
    </row>
    <row r="41" spans="1:36" x14ac:dyDescent="0.4">
      <c r="A41" s="14"/>
      <c r="B41" s="89"/>
      <c r="C41" s="78"/>
      <c r="D41" s="5" t="s">
        <v>25</v>
      </c>
      <c r="E41" s="5">
        <f t="shared" ref="E41:AI41" si="25">SUM(E39:E40)</f>
        <v>0</v>
      </c>
      <c r="F41" s="5">
        <f t="shared" ref="F41:AA41" si="26">SUM(F39:F40)</f>
        <v>0</v>
      </c>
      <c r="G41" s="5">
        <f t="shared" si="26"/>
        <v>0</v>
      </c>
      <c r="H41" s="5">
        <f t="shared" si="26"/>
        <v>0</v>
      </c>
      <c r="I41" s="5">
        <f t="shared" si="26"/>
        <v>0</v>
      </c>
      <c r="J41" s="5">
        <f t="shared" si="26"/>
        <v>0</v>
      </c>
      <c r="K41" s="5">
        <f t="shared" si="26"/>
        <v>1</v>
      </c>
      <c r="L41" s="5">
        <f t="shared" si="26"/>
        <v>1</v>
      </c>
      <c r="M41" s="5">
        <f t="shared" si="26"/>
        <v>0</v>
      </c>
      <c r="N41" s="5">
        <f t="shared" si="26"/>
        <v>8</v>
      </c>
      <c r="O41" s="5">
        <f t="shared" si="26"/>
        <v>0</v>
      </c>
      <c r="P41" s="5">
        <f t="shared" si="26"/>
        <v>0</v>
      </c>
      <c r="Q41" s="5">
        <f t="shared" si="26"/>
        <v>0</v>
      </c>
      <c r="R41" s="5">
        <f t="shared" si="26"/>
        <v>0</v>
      </c>
      <c r="S41" s="5">
        <f t="shared" ref="S41:Z41" si="27">SUM(S39:S40)</f>
        <v>0</v>
      </c>
      <c r="T41" s="5">
        <f t="shared" si="27"/>
        <v>0</v>
      </c>
      <c r="U41" s="5">
        <f t="shared" si="27"/>
        <v>0</v>
      </c>
      <c r="V41" s="5">
        <f t="shared" si="27"/>
        <v>0</v>
      </c>
      <c r="W41" s="5">
        <f t="shared" si="27"/>
        <v>0</v>
      </c>
      <c r="X41" s="5">
        <f t="shared" si="27"/>
        <v>0</v>
      </c>
      <c r="Y41" s="5">
        <f t="shared" si="27"/>
        <v>0</v>
      </c>
      <c r="Z41" s="5">
        <f t="shared" si="27"/>
        <v>0</v>
      </c>
      <c r="AA41" s="5">
        <f t="shared" si="26"/>
        <v>0</v>
      </c>
      <c r="AB41" s="5">
        <f t="shared" si="25"/>
        <v>0</v>
      </c>
      <c r="AC41" s="5">
        <f t="shared" si="25"/>
        <v>0</v>
      </c>
      <c r="AD41" s="5">
        <f t="shared" si="25"/>
        <v>0</v>
      </c>
      <c r="AE41" s="5">
        <f t="shared" si="25"/>
        <v>0</v>
      </c>
      <c r="AF41" s="5">
        <f t="shared" si="25"/>
        <v>0</v>
      </c>
      <c r="AG41" s="5">
        <f t="shared" si="25"/>
        <v>0</v>
      </c>
      <c r="AH41" s="5">
        <f t="shared" si="25"/>
        <v>0</v>
      </c>
      <c r="AI41" s="5">
        <f t="shared" si="25"/>
        <v>0</v>
      </c>
      <c r="AJ41" s="5">
        <f>SUM(E41:AI41)</f>
        <v>10</v>
      </c>
    </row>
    <row r="42" spans="1:36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65"/>
      <c r="AC42" s="65"/>
      <c r="AD42" s="65"/>
      <c r="AE42" s="66"/>
      <c r="AF42" s="6"/>
      <c r="AG42" s="6"/>
      <c r="AH42" s="6"/>
      <c r="AI42" s="6"/>
      <c r="AJ42" s="5"/>
    </row>
    <row r="43" spans="1:36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5"/>
    </row>
    <row r="45" spans="1:36" x14ac:dyDescent="0.4">
      <c r="A45" s="11" t="s">
        <v>48</v>
      </c>
      <c r="B45" s="17" t="s">
        <v>28</v>
      </c>
      <c r="C45" s="92" t="s">
        <v>49</v>
      </c>
      <c r="D45" s="66"/>
      <c r="E45" s="6">
        <v>6</v>
      </c>
      <c r="F45" s="6">
        <v>2</v>
      </c>
      <c r="G45" s="6"/>
      <c r="H45" s="6">
        <v>3</v>
      </c>
      <c r="I45" s="6">
        <v>2</v>
      </c>
      <c r="J45" s="6">
        <v>5</v>
      </c>
      <c r="K45" s="6">
        <v>1</v>
      </c>
      <c r="L45" s="6">
        <v>2</v>
      </c>
      <c r="M45" s="6">
        <v>2</v>
      </c>
      <c r="N45" s="6">
        <v>3</v>
      </c>
      <c r="O45" s="6">
        <v>2</v>
      </c>
      <c r="P45" s="6">
        <v>2</v>
      </c>
      <c r="Q45" s="6">
        <v>2</v>
      </c>
      <c r="R45" s="6">
        <v>3</v>
      </c>
      <c r="S45" s="6">
        <v>2</v>
      </c>
      <c r="T45" s="6">
        <v>1</v>
      </c>
      <c r="U45" s="6">
        <v>4</v>
      </c>
      <c r="V45" s="6">
        <v>1</v>
      </c>
      <c r="W45" s="6">
        <v>3</v>
      </c>
      <c r="X45" s="6">
        <v>3</v>
      </c>
      <c r="Y45" s="6">
        <v>2</v>
      </c>
      <c r="Z45" s="6">
        <v>3</v>
      </c>
      <c r="AA45" s="6">
        <v>8</v>
      </c>
      <c r="AB45" s="6">
        <v>7</v>
      </c>
      <c r="AC45" s="6">
        <v>1</v>
      </c>
      <c r="AD45" s="6">
        <v>2</v>
      </c>
      <c r="AE45" s="6">
        <v>1</v>
      </c>
      <c r="AF45" s="6">
        <v>1</v>
      </c>
      <c r="AG45" s="6"/>
      <c r="AH45" s="6">
        <v>3</v>
      </c>
      <c r="AI45" s="6">
        <v>1</v>
      </c>
      <c r="AJ45" s="5">
        <f t="shared" ref="AJ45:AJ54" si="28">SUM(E45:AI45)</f>
        <v>78</v>
      </c>
    </row>
    <row r="46" spans="1:36" x14ac:dyDescent="0.4">
      <c r="A46" s="11" t="s">
        <v>50</v>
      </c>
      <c r="B46" s="50"/>
      <c r="C46" s="24" t="s">
        <v>147</v>
      </c>
      <c r="D46" s="51"/>
      <c r="E46" s="6"/>
      <c r="F46" s="6">
        <v>5</v>
      </c>
      <c r="G46" s="6">
        <v>1</v>
      </c>
      <c r="H46" s="6">
        <v>1</v>
      </c>
      <c r="I46" s="6">
        <v>1</v>
      </c>
      <c r="J46" s="6">
        <v>19</v>
      </c>
      <c r="K46" s="6"/>
      <c r="L46" s="6">
        <v>1</v>
      </c>
      <c r="M46" s="6">
        <v>1</v>
      </c>
      <c r="N46" s="6">
        <v>1</v>
      </c>
      <c r="O46" s="6"/>
      <c r="P46" s="6"/>
      <c r="Q46" s="6">
        <v>3</v>
      </c>
      <c r="R46" s="6">
        <v>2</v>
      </c>
      <c r="S46" s="6">
        <v>2</v>
      </c>
      <c r="T46" s="6">
        <v>2</v>
      </c>
      <c r="U46" s="6">
        <v>1</v>
      </c>
      <c r="V46" s="6"/>
      <c r="W46" s="6">
        <v>3</v>
      </c>
      <c r="X46" s="6">
        <v>23</v>
      </c>
      <c r="Y46" s="6">
        <v>1</v>
      </c>
      <c r="Z46" s="6">
        <v>2</v>
      </c>
      <c r="AA46" s="6">
        <v>10</v>
      </c>
      <c r="AB46" s="6">
        <v>13</v>
      </c>
      <c r="AC46" s="6"/>
      <c r="AD46" s="6">
        <v>1</v>
      </c>
      <c r="AE46" s="6"/>
      <c r="AF46" s="6">
        <v>2</v>
      </c>
      <c r="AG46" s="6"/>
      <c r="AH46" s="6">
        <v>1</v>
      </c>
      <c r="AI46" s="6">
        <v>2</v>
      </c>
      <c r="AJ46" s="5">
        <f t="shared" si="28"/>
        <v>98</v>
      </c>
    </row>
    <row r="47" spans="1:36" x14ac:dyDescent="0.4">
      <c r="A47" s="7"/>
      <c r="B47" s="50"/>
      <c r="C47" s="24" t="s">
        <v>148</v>
      </c>
      <c r="D47" s="51"/>
      <c r="E47" s="6">
        <v>6</v>
      </c>
      <c r="F47" s="6">
        <v>9</v>
      </c>
      <c r="G47" s="6">
        <v>1</v>
      </c>
      <c r="H47" s="6">
        <v>1</v>
      </c>
      <c r="I47" s="6">
        <v>9</v>
      </c>
      <c r="J47" s="6">
        <v>6</v>
      </c>
      <c r="K47" s="6">
        <v>5</v>
      </c>
      <c r="L47" s="6"/>
      <c r="M47" s="6">
        <v>5</v>
      </c>
      <c r="N47" s="6">
        <v>6</v>
      </c>
      <c r="O47" s="6">
        <v>1</v>
      </c>
      <c r="P47" s="6">
        <v>12</v>
      </c>
      <c r="Q47" s="6">
        <v>3</v>
      </c>
      <c r="R47" s="6">
        <v>2</v>
      </c>
      <c r="S47" s="6">
        <v>6</v>
      </c>
      <c r="T47" s="6">
        <v>2</v>
      </c>
      <c r="U47" s="6">
        <v>3</v>
      </c>
      <c r="V47" s="6">
        <v>2</v>
      </c>
      <c r="W47" s="6">
        <v>19</v>
      </c>
      <c r="X47" s="6">
        <v>20</v>
      </c>
      <c r="Y47" s="6">
        <v>1</v>
      </c>
      <c r="Z47" s="6">
        <v>2</v>
      </c>
      <c r="AA47" s="6">
        <v>4</v>
      </c>
      <c r="AB47" s="6">
        <v>9</v>
      </c>
      <c r="AC47" s="6">
        <v>3</v>
      </c>
      <c r="AD47" s="6">
        <v>2</v>
      </c>
      <c r="AE47" s="6">
        <v>2</v>
      </c>
      <c r="AF47" s="6">
        <v>6</v>
      </c>
      <c r="AG47" s="6">
        <v>6</v>
      </c>
      <c r="AH47" s="6">
        <v>4</v>
      </c>
      <c r="AI47" s="6">
        <v>3</v>
      </c>
      <c r="AJ47" s="5">
        <f t="shared" si="28"/>
        <v>160</v>
      </c>
    </row>
    <row r="48" spans="1:36" x14ac:dyDescent="0.4">
      <c r="A48" s="7"/>
      <c r="B48" s="50"/>
      <c r="C48" s="24" t="s">
        <v>149</v>
      </c>
      <c r="D48" s="51"/>
      <c r="E48" s="6">
        <v>3</v>
      </c>
      <c r="F48" s="6">
        <v>1</v>
      </c>
      <c r="G48" s="6">
        <v>8</v>
      </c>
      <c r="H48" s="6">
        <v>5</v>
      </c>
      <c r="I48" s="6">
        <v>3</v>
      </c>
      <c r="J48" s="6">
        <v>18</v>
      </c>
      <c r="K48" s="6"/>
      <c r="L48" s="6">
        <v>5</v>
      </c>
      <c r="M48" s="6">
        <v>16</v>
      </c>
      <c r="N48" s="6">
        <v>7</v>
      </c>
      <c r="O48" s="6">
        <v>4</v>
      </c>
      <c r="P48" s="6">
        <v>8</v>
      </c>
      <c r="Q48" s="6">
        <v>2</v>
      </c>
      <c r="R48" s="6">
        <v>6</v>
      </c>
      <c r="S48" s="6">
        <v>1</v>
      </c>
      <c r="T48" s="6"/>
      <c r="U48" s="6"/>
      <c r="V48" s="6">
        <v>2</v>
      </c>
      <c r="W48" s="6">
        <v>5</v>
      </c>
      <c r="X48" s="6">
        <v>5</v>
      </c>
      <c r="Y48" s="6">
        <v>13</v>
      </c>
      <c r="Z48" s="6">
        <v>16</v>
      </c>
      <c r="AA48" s="6">
        <v>30</v>
      </c>
      <c r="AB48" s="6">
        <v>14</v>
      </c>
      <c r="AC48" s="6">
        <v>6</v>
      </c>
      <c r="AD48" s="6">
        <v>9</v>
      </c>
      <c r="AE48" s="6">
        <v>12</v>
      </c>
      <c r="AF48" s="6">
        <v>2</v>
      </c>
      <c r="AG48" s="6">
        <v>3</v>
      </c>
      <c r="AH48" s="6">
        <v>15</v>
      </c>
      <c r="AI48" s="6">
        <v>33</v>
      </c>
      <c r="AJ48" s="5">
        <f t="shared" si="28"/>
        <v>252</v>
      </c>
    </row>
    <row r="49" spans="1:36" x14ac:dyDescent="0.4">
      <c r="A49" s="7"/>
      <c r="B49" s="50"/>
      <c r="C49" s="24" t="s">
        <v>150</v>
      </c>
      <c r="D49" s="51"/>
      <c r="E49" s="6"/>
      <c r="F49" s="6"/>
      <c r="G49" s="6">
        <v>1</v>
      </c>
      <c r="H49" s="6">
        <v>1</v>
      </c>
      <c r="I49" s="6">
        <v>1</v>
      </c>
      <c r="J49" s="6"/>
      <c r="K49" s="6"/>
      <c r="L49" s="6"/>
      <c r="M49" s="6">
        <v>2</v>
      </c>
      <c r="N49" s="6"/>
      <c r="O49" s="6"/>
      <c r="P49" s="6">
        <v>1</v>
      </c>
      <c r="Q49" s="6">
        <v>1</v>
      </c>
      <c r="R49" s="6"/>
      <c r="S49" s="6"/>
      <c r="T49" s="6">
        <v>1</v>
      </c>
      <c r="U49" s="6"/>
      <c r="V49" s="6"/>
      <c r="W49" s="6"/>
      <c r="X49" s="6">
        <v>2</v>
      </c>
      <c r="Y49" s="6"/>
      <c r="Z49" s="6">
        <v>1</v>
      </c>
      <c r="AA49" s="6">
        <v>1</v>
      </c>
      <c r="AB49" s="6">
        <v>1</v>
      </c>
      <c r="AC49" s="6"/>
      <c r="AD49" s="6"/>
      <c r="AE49" s="6"/>
      <c r="AF49" s="6"/>
      <c r="AG49" s="6"/>
      <c r="AH49" s="6"/>
      <c r="AI49" s="6"/>
      <c r="AJ49" s="5">
        <f t="shared" si="28"/>
        <v>13</v>
      </c>
    </row>
    <row r="50" spans="1:36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>
        <v>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</v>
      </c>
      <c r="W50" s="6"/>
      <c r="X50" s="6">
        <v>1</v>
      </c>
      <c r="Y50" s="6"/>
      <c r="Z50" s="6"/>
      <c r="AA50" s="6"/>
      <c r="AB50" s="6"/>
      <c r="AC50" s="6">
        <v>1</v>
      </c>
      <c r="AD50" s="6"/>
      <c r="AE50" s="6"/>
      <c r="AF50" s="6"/>
      <c r="AG50" s="6"/>
      <c r="AH50" s="6"/>
      <c r="AI50" s="6"/>
      <c r="AJ50" s="5">
        <f t="shared" si="28"/>
        <v>4</v>
      </c>
    </row>
    <row r="51" spans="1:36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>
        <v>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1</v>
      </c>
      <c r="AG51" s="6"/>
      <c r="AH51" s="6"/>
      <c r="AI51" s="6"/>
      <c r="AJ51" s="5">
        <f t="shared" si="28"/>
        <v>2</v>
      </c>
    </row>
    <row r="52" spans="1:36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>
        <v>1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">
        <f t="shared" si="28"/>
        <v>1</v>
      </c>
    </row>
    <row r="53" spans="1:36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>
        <f t="shared" si="28"/>
        <v>0</v>
      </c>
    </row>
    <row r="54" spans="1:36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>
        <f t="shared" si="28"/>
        <v>0</v>
      </c>
    </row>
    <row r="55" spans="1:36" x14ac:dyDescent="0.4">
      <c r="A55" s="6" t="s">
        <v>26</v>
      </c>
      <c r="B55" s="85" t="s">
        <v>51</v>
      </c>
      <c r="C55" s="65"/>
      <c r="D55" s="66"/>
      <c r="E55" s="5">
        <f>SUM(E45:E54)</f>
        <v>15</v>
      </c>
      <c r="F55" s="5">
        <f t="shared" ref="F55:AA55" si="29">SUM(F45:F54)</f>
        <v>17</v>
      </c>
      <c r="G55" s="5">
        <f t="shared" si="29"/>
        <v>11</v>
      </c>
      <c r="H55" s="5">
        <f t="shared" si="29"/>
        <v>11</v>
      </c>
      <c r="I55" s="5">
        <f t="shared" si="29"/>
        <v>16</v>
      </c>
      <c r="J55" s="5">
        <f t="shared" si="29"/>
        <v>50</v>
      </c>
      <c r="K55" s="5">
        <f t="shared" si="29"/>
        <v>6</v>
      </c>
      <c r="L55" s="5">
        <f t="shared" si="29"/>
        <v>8</v>
      </c>
      <c r="M55" s="5">
        <f t="shared" si="29"/>
        <v>26</v>
      </c>
      <c r="N55" s="5">
        <f t="shared" si="29"/>
        <v>17</v>
      </c>
      <c r="O55" s="5">
        <f t="shared" si="29"/>
        <v>7</v>
      </c>
      <c r="P55" s="5">
        <f t="shared" si="29"/>
        <v>23</v>
      </c>
      <c r="Q55" s="5">
        <f t="shared" si="29"/>
        <v>11</v>
      </c>
      <c r="R55" s="5">
        <f t="shared" si="29"/>
        <v>14</v>
      </c>
      <c r="S55" s="5">
        <f t="shared" ref="S55:Z55" si="30">SUM(S45:S54)</f>
        <v>11</v>
      </c>
      <c r="T55" s="5">
        <f t="shared" si="30"/>
        <v>6</v>
      </c>
      <c r="U55" s="5">
        <f t="shared" si="30"/>
        <v>8</v>
      </c>
      <c r="V55" s="5">
        <f t="shared" si="30"/>
        <v>6</v>
      </c>
      <c r="W55" s="5">
        <f t="shared" si="30"/>
        <v>30</v>
      </c>
      <c r="X55" s="5">
        <f t="shared" si="30"/>
        <v>54</v>
      </c>
      <c r="Y55" s="5">
        <f t="shared" si="30"/>
        <v>17</v>
      </c>
      <c r="Z55" s="5">
        <f t="shared" si="30"/>
        <v>24</v>
      </c>
      <c r="AA55" s="5">
        <f t="shared" si="29"/>
        <v>53</v>
      </c>
      <c r="AB55" s="5">
        <f t="shared" ref="AB55:AJ55" si="31">SUM(AB45:AB54)</f>
        <v>44</v>
      </c>
      <c r="AC55" s="5">
        <f t="shared" si="31"/>
        <v>11</v>
      </c>
      <c r="AD55" s="5">
        <f t="shared" si="31"/>
        <v>14</v>
      </c>
      <c r="AE55" s="5">
        <f t="shared" si="31"/>
        <v>15</v>
      </c>
      <c r="AF55" s="5">
        <f t="shared" si="31"/>
        <v>12</v>
      </c>
      <c r="AG55" s="5">
        <f t="shared" si="31"/>
        <v>9</v>
      </c>
      <c r="AH55" s="5">
        <f t="shared" si="31"/>
        <v>23</v>
      </c>
      <c r="AI55" s="5">
        <f t="shared" si="31"/>
        <v>39</v>
      </c>
      <c r="AJ55" s="5">
        <f t="shared" si="31"/>
        <v>608</v>
      </c>
    </row>
    <row r="56" spans="1:36" x14ac:dyDescent="0.4">
      <c r="A56" s="90"/>
      <c r="B56" s="89"/>
      <c r="C56" s="89"/>
      <c r="D56" s="89"/>
      <c r="E56" s="89"/>
      <c r="AJ56" s="5"/>
    </row>
    <row r="57" spans="1:36" x14ac:dyDescent="0.4">
      <c r="A57" s="11" t="s">
        <v>48</v>
      </c>
      <c r="B57" s="17" t="s">
        <v>30</v>
      </c>
      <c r="C57" s="92" t="s">
        <v>52</v>
      </c>
      <c r="D57" s="66"/>
      <c r="E57" s="6">
        <v>1</v>
      </c>
      <c r="F57" s="6">
        <v>5</v>
      </c>
      <c r="G57" s="6">
        <v>9</v>
      </c>
      <c r="H57" s="6">
        <v>5</v>
      </c>
      <c r="I57" s="6">
        <v>4</v>
      </c>
      <c r="J57" s="6">
        <v>9</v>
      </c>
      <c r="K57" s="6">
        <v>9</v>
      </c>
      <c r="L57" s="6">
        <v>6</v>
      </c>
      <c r="M57" s="6">
        <v>13</v>
      </c>
      <c r="N57" s="6">
        <v>3</v>
      </c>
      <c r="O57" s="6">
        <v>3</v>
      </c>
      <c r="P57" s="6">
        <v>5</v>
      </c>
      <c r="Q57" s="6">
        <v>3</v>
      </c>
      <c r="R57" s="6">
        <v>2</v>
      </c>
      <c r="S57" s="6">
        <v>4</v>
      </c>
      <c r="T57" s="6">
        <v>5</v>
      </c>
      <c r="U57" s="6">
        <v>8</v>
      </c>
      <c r="V57" s="6">
        <v>1</v>
      </c>
      <c r="W57" s="6">
        <v>5</v>
      </c>
      <c r="X57" s="6">
        <v>8</v>
      </c>
      <c r="Y57" s="6"/>
      <c r="Z57" s="6">
        <v>4</v>
      </c>
      <c r="AA57" s="6">
        <v>5</v>
      </c>
      <c r="AB57" s="6">
        <v>10</v>
      </c>
      <c r="AC57" s="6">
        <v>5</v>
      </c>
      <c r="AD57" s="6"/>
      <c r="AE57" s="6">
        <v>5</v>
      </c>
      <c r="AF57" s="6">
        <v>2</v>
      </c>
      <c r="AG57" s="6">
        <v>2</v>
      </c>
      <c r="AH57" s="6">
        <v>2</v>
      </c>
      <c r="AI57" s="6">
        <v>5</v>
      </c>
      <c r="AJ57" s="5">
        <f t="shared" ref="AJ57:AJ66" si="32">SUM(E57:AI57)</f>
        <v>148</v>
      </c>
    </row>
    <row r="58" spans="1:36" x14ac:dyDescent="0.4">
      <c r="A58" s="11" t="s">
        <v>50</v>
      </c>
      <c r="B58" s="50"/>
      <c r="C58" s="24" t="s">
        <v>154</v>
      </c>
      <c r="D58" s="51"/>
      <c r="E58" s="6"/>
      <c r="F58" s="6">
        <v>1</v>
      </c>
      <c r="G58" s="6">
        <v>6</v>
      </c>
      <c r="H58" s="6">
        <v>3</v>
      </c>
      <c r="I58" s="6">
        <v>4</v>
      </c>
      <c r="J58" s="6">
        <v>5</v>
      </c>
      <c r="K58" s="6">
        <v>3</v>
      </c>
      <c r="L58" s="6">
        <v>1</v>
      </c>
      <c r="M58" s="6"/>
      <c r="N58" s="6">
        <v>2</v>
      </c>
      <c r="O58" s="6">
        <v>7</v>
      </c>
      <c r="P58" s="6">
        <v>4</v>
      </c>
      <c r="Q58" s="6">
        <v>2</v>
      </c>
      <c r="R58" s="6">
        <v>1</v>
      </c>
      <c r="S58" s="6">
        <v>1</v>
      </c>
      <c r="T58" s="6">
        <v>5</v>
      </c>
      <c r="U58" s="6">
        <v>3</v>
      </c>
      <c r="V58" s="6">
        <v>6</v>
      </c>
      <c r="W58" s="6">
        <v>1</v>
      </c>
      <c r="X58" s="6">
        <v>3</v>
      </c>
      <c r="Y58" s="6">
        <v>1</v>
      </c>
      <c r="Z58" s="6">
        <v>1</v>
      </c>
      <c r="AA58" s="6">
        <v>7</v>
      </c>
      <c r="AB58" s="6">
        <v>1</v>
      </c>
      <c r="AC58" s="6"/>
      <c r="AD58" s="6">
        <v>3</v>
      </c>
      <c r="AE58" s="6"/>
      <c r="AF58" s="6">
        <v>1</v>
      </c>
      <c r="AG58" s="6">
        <v>3</v>
      </c>
      <c r="AH58" s="6">
        <v>5</v>
      </c>
      <c r="AI58" s="6">
        <v>6</v>
      </c>
      <c r="AJ58" s="5">
        <f t="shared" si="32"/>
        <v>86</v>
      </c>
    </row>
    <row r="59" spans="1:36" x14ac:dyDescent="0.4">
      <c r="A59" s="7"/>
      <c r="B59" s="50"/>
      <c r="C59" s="24" t="s">
        <v>155</v>
      </c>
      <c r="D59" s="51"/>
      <c r="E59" s="6">
        <v>4</v>
      </c>
      <c r="F59" s="6"/>
      <c r="G59" s="6">
        <v>1</v>
      </c>
      <c r="H59" s="6">
        <v>2</v>
      </c>
      <c r="I59" s="6">
        <v>3</v>
      </c>
      <c r="J59" s="6">
        <v>2</v>
      </c>
      <c r="K59" s="6">
        <v>3</v>
      </c>
      <c r="L59" s="6"/>
      <c r="M59" s="6">
        <v>1</v>
      </c>
      <c r="N59" s="6">
        <v>1</v>
      </c>
      <c r="O59" s="6">
        <v>1</v>
      </c>
      <c r="P59" s="6">
        <v>2</v>
      </c>
      <c r="Q59" s="6">
        <v>4</v>
      </c>
      <c r="R59" s="6">
        <v>3</v>
      </c>
      <c r="S59" s="6">
        <v>6</v>
      </c>
      <c r="T59" s="6">
        <v>5</v>
      </c>
      <c r="U59" s="6">
        <v>3</v>
      </c>
      <c r="V59" s="6"/>
      <c r="W59" s="6">
        <v>4</v>
      </c>
      <c r="X59" s="6">
        <v>4</v>
      </c>
      <c r="Y59" s="6"/>
      <c r="Z59" s="6">
        <v>3</v>
      </c>
      <c r="AA59" s="6"/>
      <c r="AB59" s="6">
        <v>2</v>
      </c>
      <c r="AC59" s="6">
        <v>4</v>
      </c>
      <c r="AD59" s="6">
        <v>4</v>
      </c>
      <c r="AE59" s="6">
        <v>2</v>
      </c>
      <c r="AF59" s="6">
        <v>2</v>
      </c>
      <c r="AG59" s="6">
        <v>4</v>
      </c>
      <c r="AH59" s="6">
        <v>5</v>
      </c>
      <c r="AI59" s="6">
        <v>2</v>
      </c>
      <c r="AJ59" s="5">
        <f t="shared" si="32"/>
        <v>77</v>
      </c>
    </row>
    <row r="60" spans="1:36" x14ac:dyDescent="0.4">
      <c r="A60" s="7"/>
      <c r="B60" s="50"/>
      <c r="C60" s="24" t="s">
        <v>156</v>
      </c>
      <c r="D60" s="51"/>
      <c r="E60" s="6"/>
      <c r="F60" s="6"/>
      <c r="G60" s="6">
        <v>1</v>
      </c>
      <c r="H60" s="6">
        <v>1</v>
      </c>
      <c r="I60" s="6"/>
      <c r="J60" s="6"/>
      <c r="K60" s="6">
        <v>1</v>
      </c>
      <c r="L60" s="6"/>
      <c r="M60" s="6">
        <v>1</v>
      </c>
      <c r="N60" s="6"/>
      <c r="O60" s="6"/>
      <c r="P60" s="6">
        <v>1</v>
      </c>
      <c r="Q60" s="6"/>
      <c r="R60" s="6"/>
      <c r="S60" s="6"/>
      <c r="T60" s="6">
        <v>1</v>
      </c>
      <c r="U60" s="6">
        <v>1</v>
      </c>
      <c r="V60" s="6"/>
      <c r="W60" s="6"/>
      <c r="X60" s="6"/>
      <c r="Y60" s="6"/>
      <c r="Z60" s="6"/>
      <c r="AA60" s="6">
        <v>1</v>
      </c>
      <c r="AB60" s="6">
        <v>2</v>
      </c>
      <c r="AC60" s="6"/>
      <c r="AD60" s="6">
        <v>1</v>
      </c>
      <c r="AE60" s="6">
        <v>1</v>
      </c>
      <c r="AF60" s="6"/>
      <c r="AG60" s="6"/>
      <c r="AH60" s="6">
        <v>1</v>
      </c>
      <c r="AI60" s="6">
        <v>1</v>
      </c>
      <c r="AJ60" s="5">
        <f t="shared" si="32"/>
        <v>14</v>
      </c>
    </row>
    <row r="61" spans="1:36" x14ac:dyDescent="0.4">
      <c r="A61" s="7"/>
      <c r="B61" s="50"/>
      <c r="C61" s="24" t="s">
        <v>157</v>
      </c>
      <c r="D61" s="51"/>
      <c r="E61" s="6"/>
      <c r="F61" s="6"/>
      <c r="G61" s="6">
        <v>6</v>
      </c>
      <c r="H61" s="6">
        <v>10</v>
      </c>
      <c r="I61" s="6">
        <v>16</v>
      </c>
      <c r="J61" s="6"/>
      <c r="K61" s="6">
        <v>8</v>
      </c>
      <c r="L61" s="6">
        <v>3</v>
      </c>
      <c r="M61" s="6">
        <v>16</v>
      </c>
      <c r="N61" s="6">
        <v>3</v>
      </c>
      <c r="O61" s="6">
        <v>10</v>
      </c>
      <c r="P61" s="6">
        <v>11</v>
      </c>
      <c r="Q61" s="6">
        <v>6</v>
      </c>
      <c r="R61" s="6">
        <v>3</v>
      </c>
      <c r="S61" s="6">
        <v>5</v>
      </c>
      <c r="T61" s="6">
        <v>4</v>
      </c>
      <c r="U61" s="6">
        <v>3</v>
      </c>
      <c r="V61" s="6">
        <v>26</v>
      </c>
      <c r="W61" s="6">
        <v>13</v>
      </c>
      <c r="X61" s="6">
        <v>3</v>
      </c>
      <c r="Y61" s="6"/>
      <c r="Z61" s="6"/>
      <c r="AA61" s="6">
        <v>5</v>
      </c>
      <c r="AB61" s="6"/>
      <c r="AC61" s="6">
        <v>6</v>
      </c>
      <c r="AD61" s="6">
        <v>4</v>
      </c>
      <c r="AE61" s="6">
        <v>10</v>
      </c>
      <c r="AF61" s="6">
        <v>26</v>
      </c>
      <c r="AG61" s="6">
        <v>5</v>
      </c>
      <c r="AH61" s="6">
        <v>39</v>
      </c>
      <c r="AI61" s="6">
        <v>8</v>
      </c>
      <c r="AJ61" s="5">
        <f t="shared" si="32"/>
        <v>249</v>
      </c>
    </row>
    <row r="62" spans="1:36" x14ac:dyDescent="0.4">
      <c r="A62" s="7"/>
      <c r="B62" s="50"/>
      <c r="C62" s="24" t="s">
        <v>158</v>
      </c>
      <c r="D62" s="51"/>
      <c r="E62" s="6"/>
      <c r="F62" s="6"/>
      <c r="G62" s="6">
        <v>6</v>
      </c>
      <c r="H62" s="6">
        <v>3</v>
      </c>
      <c r="I62" s="6">
        <v>8</v>
      </c>
      <c r="J62" s="6"/>
      <c r="K62" s="6">
        <v>7</v>
      </c>
      <c r="L62" s="6">
        <v>14</v>
      </c>
      <c r="M62" s="6">
        <v>2</v>
      </c>
      <c r="N62" s="6"/>
      <c r="O62" s="6">
        <v>3</v>
      </c>
      <c r="P62" s="6">
        <v>8</v>
      </c>
      <c r="Q62" s="6">
        <v>7</v>
      </c>
      <c r="R62" s="6">
        <v>5</v>
      </c>
      <c r="S62" s="6">
        <v>1</v>
      </c>
      <c r="T62" s="6"/>
      <c r="U62" s="6"/>
      <c r="V62" s="6"/>
      <c r="W62" s="6">
        <v>1</v>
      </c>
      <c r="X62" s="6">
        <v>16</v>
      </c>
      <c r="Y62" s="6"/>
      <c r="Z62" s="6">
        <v>2</v>
      </c>
      <c r="AA62" s="6"/>
      <c r="AB62" s="6">
        <v>1</v>
      </c>
      <c r="AC62" s="6">
        <v>5</v>
      </c>
      <c r="AD62" s="6">
        <v>2</v>
      </c>
      <c r="AE62" s="6">
        <v>5</v>
      </c>
      <c r="AF62" s="6"/>
      <c r="AG62" s="6">
        <v>1</v>
      </c>
      <c r="AH62" s="6"/>
      <c r="AI62" s="6">
        <v>6</v>
      </c>
      <c r="AJ62" s="5">
        <f t="shared" si="32"/>
        <v>103</v>
      </c>
    </row>
    <row r="63" spans="1:36" ht="13.15" customHeight="1" x14ac:dyDescent="0.4">
      <c r="A63" s="7"/>
      <c r="B63" s="50"/>
      <c r="C63" s="24" t="s">
        <v>159</v>
      </c>
      <c r="D63" s="5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1</v>
      </c>
      <c r="X63" s="6">
        <v>1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">
        <f t="shared" si="32"/>
        <v>2</v>
      </c>
    </row>
    <row r="64" spans="1:36" x14ac:dyDescent="0.4">
      <c r="A64" s="7"/>
      <c r="B64" s="50"/>
      <c r="C64" s="24" t="s">
        <v>160</v>
      </c>
      <c r="D64" s="51"/>
      <c r="E64" s="6">
        <v>5</v>
      </c>
      <c r="F64" s="6">
        <v>4</v>
      </c>
      <c r="G64" s="6">
        <v>1</v>
      </c>
      <c r="H64" s="6">
        <v>1</v>
      </c>
      <c r="I64" s="6"/>
      <c r="J64" s="6">
        <v>2</v>
      </c>
      <c r="K64" s="6"/>
      <c r="L64" s="6">
        <v>2</v>
      </c>
      <c r="M64" s="6">
        <v>2</v>
      </c>
      <c r="N64" s="6">
        <v>5</v>
      </c>
      <c r="O64" s="6">
        <v>3</v>
      </c>
      <c r="P64" s="6">
        <v>4</v>
      </c>
      <c r="Q64" s="6">
        <v>16</v>
      </c>
      <c r="R64" s="6">
        <v>1</v>
      </c>
      <c r="S64" s="6">
        <v>1</v>
      </c>
      <c r="T64" s="6">
        <v>3</v>
      </c>
      <c r="U64" s="6">
        <v>5</v>
      </c>
      <c r="V64" s="6">
        <v>5</v>
      </c>
      <c r="W64" s="6"/>
      <c r="X64" s="6">
        <v>2</v>
      </c>
      <c r="Y64" s="6"/>
      <c r="Z64" s="6"/>
      <c r="AA64" s="6">
        <v>2</v>
      </c>
      <c r="AB64" s="6">
        <v>1</v>
      </c>
      <c r="AC64" s="6">
        <v>2</v>
      </c>
      <c r="AD64" s="6">
        <v>4</v>
      </c>
      <c r="AE64" s="6">
        <v>4</v>
      </c>
      <c r="AF64" s="6">
        <v>4</v>
      </c>
      <c r="AG64" s="6"/>
      <c r="AH64" s="6"/>
      <c r="AI64" s="6">
        <v>3</v>
      </c>
      <c r="AJ64" s="5">
        <f t="shared" si="32"/>
        <v>82</v>
      </c>
    </row>
    <row r="65" spans="1:36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">
        <f t="shared" si="32"/>
        <v>0</v>
      </c>
    </row>
    <row r="66" spans="1:36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">
        <f t="shared" si="32"/>
        <v>0</v>
      </c>
    </row>
    <row r="67" spans="1:36" x14ac:dyDescent="0.4">
      <c r="A67" s="6" t="s">
        <v>26</v>
      </c>
      <c r="B67" s="85" t="s">
        <v>51</v>
      </c>
      <c r="C67" s="65"/>
      <c r="D67" s="66"/>
      <c r="E67" s="5">
        <f t="shared" ref="E67:AJ67" si="33">SUM(E57:E66)</f>
        <v>10</v>
      </c>
      <c r="F67" s="5">
        <f t="shared" ref="F67:AA67" si="34">SUM(F57:F66)</f>
        <v>10</v>
      </c>
      <c r="G67" s="5">
        <f t="shared" si="34"/>
        <v>30</v>
      </c>
      <c r="H67" s="5">
        <f t="shared" si="34"/>
        <v>25</v>
      </c>
      <c r="I67" s="5">
        <f t="shared" si="34"/>
        <v>35</v>
      </c>
      <c r="J67" s="5">
        <f t="shared" si="34"/>
        <v>18</v>
      </c>
      <c r="K67" s="5">
        <f t="shared" si="34"/>
        <v>31</v>
      </c>
      <c r="L67" s="5">
        <f t="shared" si="34"/>
        <v>26</v>
      </c>
      <c r="M67" s="5">
        <f t="shared" si="34"/>
        <v>35</v>
      </c>
      <c r="N67" s="5">
        <f t="shared" si="34"/>
        <v>14</v>
      </c>
      <c r="O67" s="5">
        <f t="shared" si="34"/>
        <v>27</v>
      </c>
      <c r="P67" s="5">
        <f t="shared" si="34"/>
        <v>35</v>
      </c>
      <c r="Q67" s="5">
        <f t="shared" si="34"/>
        <v>38</v>
      </c>
      <c r="R67" s="5">
        <f t="shared" si="34"/>
        <v>15</v>
      </c>
      <c r="S67" s="5">
        <f t="shared" ref="S67:Z67" si="35">SUM(S57:S66)</f>
        <v>18</v>
      </c>
      <c r="T67" s="5">
        <f t="shared" si="35"/>
        <v>23</v>
      </c>
      <c r="U67" s="5">
        <f t="shared" si="35"/>
        <v>23</v>
      </c>
      <c r="V67" s="5">
        <f t="shared" si="35"/>
        <v>38</v>
      </c>
      <c r="W67" s="5">
        <f t="shared" si="35"/>
        <v>25</v>
      </c>
      <c r="X67" s="5">
        <f t="shared" si="35"/>
        <v>37</v>
      </c>
      <c r="Y67" s="5">
        <f t="shared" si="35"/>
        <v>1</v>
      </c>
      <c r="Z67" s="5">
        <f t="shared" si="35"/>
        <v>10</v>
      </c>
      <c r="AA67" s="5">
        <f t="shared" si="34"/>
        <v>20</v>
      </c>
      <c r="AB67" s="5">
        <f t="shared" si="33"/>
        <v>17</v>
      </c>
      <c r="AC67" s="5">
        <f t="shared" si="33"/>
        <v>22</v>
      </c>
      <c r="AD67" s="5">
        <f t="shared" si="33"/>
        <v>18</v>
      </c>
      <c r="AE67" s="5">
        <f t="shared" si="33"/>
        <v>27</v>
      </c>
      <c r="AF67" s="5">
        <f t="shared" si="33"/>
        <v>35</v>
      </c>
      <c r="AG67" s="5">
        <f t="shared" si="33"/>
        <v>15</v>
      </c>
      <c r="AH67" s="5">
        <f t="shared" si="33"/>
        <v>52</v>
      </c>
      <c r="AI67" s="5">
        <f t="shared" si="33"/>
        <v>31</v>
      </c>
      <c r="AJ67" s="5">
        <f t="shared" si="33"/>
        <v>761</v>
      </c>
    </row>
    <row r="68" spans="1:36" x14ac:dyDescent="0.4">
      <c r="A68" s="90"/>
      <c r="B68" s="89"/>
      <c r="C68" s="89"/>
      <c r="D68" s="89"/>
      <c r="E68" s="89"/>
    </row>
    <row r="69" spans="1:36" x14ac:dyDescent="0.4">
      <c r="A69" s="11" t="s">
        <v>48</v>
      </c>
      <c r="B69" s="17" t="s">
        <v>32</v>
      </c>
      <c r="C69" s="92" t="s">
        <v>53</v>
      </c>
      <c r="D69" s="66"/>
      <c r="E69" s="6">
        <v>1</v>
      </c>
      <c r="F69" s="6">
        <v>5</v>
      </c>
      <c r="G69" s="6">
        <v>5</v>
      </c>
      <c r="H69" s="6">
        <v>5</v>
      </c>
      <c r="I69" s="6">
        <v>1</v>
      </c>
      <c r="J69" s="6">
        <v>4</v>
      </c>
      <c r="K69" s="6">
        <v>2</v>
      </c>
      <c r="L69" s="6">
        <v>1</v>
      </c>
      <c r="M69" s="6">
        <v>2</v>
      </c>
      <c r="N69" s="6">
        <v>3</v>
      </c>
      <c r="O69" s="6">
        <v>1</v>
      </c>
      <c r="P69" s="6">
        <v>2</v>
      </c>
      <c r="Q69" s="6">
        <v>5</v>
      </c>
      <c r="R69" s="6"/>
      <c r="S69" s="6">
        <v>3</v>
      </c>
      <c r="T69" s="6">
        <v>3</v>
      </c>
      <c r="U69" s="6">
        <v>4</v>
      </c>
      <c r="V69" s="6">
        <v>3</v>
      </c>
      <c r="W69" s="6"/>
      <c r="X69" s="6">
        <v>1</v>
      </c>
      <c r="Y69" s="6"/>
      <c r="Z69" s="6">
        <v>6</v>
      </c>
      <c r="AA69" s="6">
        <v>2</v>
      </c>
      <c r="AB69" s="6">
        <v>8</v>
      </c>
      <c r="AC69" s="6">
        <v>4</v>
      </c>
      <c r="AD69" s="6">
        <v>3</v>
      </c>
      <c r="AE69" s="6">
        <v>1</v>
      </c>
      <c r="AF69" s="6">
        <v>2</v>
      </c>
      <c r="AG69" s="6">
        <v>2</v>
      </c>
      <c r="AH69" s="6">
        <v>4</v>
      </c>
      <c r="AI69" s="6">
        <v>4</v>
      </c>
      <c r="AJ69" s="5">
        <f t="shared" ref="AJ69:AJ78" si="36">SUM(E69:AI69)</f>
        <v>87</v>
      </c>
    </row>
    <row r="70" spans="1:36" x14ac:dyDescent="0.4">
      <c r="A70" s="11" t="s">
        <v>50</v>
      </c>
      <c r="B70" s="50"/>
      <c r="C70" s="24" t="s">
        <v>161</v>
      </c>
      <c r="D70" s="51"/>
      <c r="E70" s="6"/>
      <c r="F70" s="6">
        <v>1</v>
      </c>
      <c r="G70" s="6">
        <v>1</v>
      </c>
      <c r="H70" s="6">
        <v>4</v>
      </c>
      <c r="I70" s="6">
        <v>6</v>
      </c>
      <c r="J70" s="6"/>
      <c r="K70" s="6">
        <v>17</v>
      </c>
      <c r="L70" s="6">
        <v>4</v>
      </c>
      <c r="M70" s="6">
        <v>2</v>
      </c>
      <c r="N70" s="6">
        <v>4</v>
      </c>
      <c r="O70" s="6">
        <v>9</v>
      </c>
      <c r="P70" s="6">
        <v>4</v>
      </c>
      <c r="Q70" s="6">
        <v>15</v>
      </c>
      <c r="R70" s="6"/>
      <c r="S70" s="6"/>
      <c r="T70" s="6">
        <v>3</v>
      </c>
      <c r="U70" s="6">
        <v>2</v>
      </c>
      <c r="V70" s="6">
        <v>1</v>
      </c>
      <c r="W70" s="6">
        <v>2</v>
      </c>
      <c r="X70" s="6">
        <v>1</v>
      </c>
      <c r="Y70" s="6"/>
      <c r="Z70" s="6">
        <v>9</v>
      </c>
      <c r="AA70" s="6">
        <v>15</v>
      </c>
      <c r="AB70" s="6">
        <v>12</v>
      </c>
      <c r="AC70" s="6"/>
      <c r="AD70" s="6"/>
      <c r="AE70" s="6">
        <v>1</v>
      </c>
      <c r="AF70" s="6"/>
      <c r="AG70" s="6">
        <v>3</v>
      </c>
      <c r="AH70" s="6">
        <v>1</v>
      </c>
      <c r="AI70" s="6">
        <v>1</v>
      </c>
      <c r="AJ70" s="5">
        <f t="shared" si="36"/>
        <v>118</v>
      </c>
    </row>
    <row r="71" spans="1:36" x14ac:dyDescent="0.4">
      <c r="A71" s="7"/>
      <c r="B71" s="50"/>
      <c r="C71" s="24" t="s">
        <v>162</v>
      </c>
      <c r="D71" s="5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</v>
      </c>
      <c r="S71" s="6"/>
      <c r="T71" s="6"/>
      <c r="U71" s="6"/>
      <c r="V71" s="6"/>
      <c r="W71" s="6">
        <v>9</v>
      </c>
      <c r="X71" s="6"/>
      <c r="Y71" s="6"/>
      <c r="Z71" s="6">
        <v>1</v>
      </c>
      <c r="AA71" s="6">
        <v>1</v>
      </c>
      <c r="AB71" s="6"/>
      <c r="AC71" s="6"/>
      <c r="AD71" s="6"/>
      <c r="AE71" s="6"/>
      <c r="AF71" s="6"/>
      <c r="AG71" s="6">
        <v>1</v>
      </c>
      <c r="AH71" s="6"/>
      <c r="AI71" s="6"/>
      <c r="AJ71" s="5">
        <f t="shared" si="36"/>
        <v>13</v>
      </c>
    </row>
    <row r="72" spans="1:36" x14ac:dyDescent="0.4">
      <c r="A72" s="7"/>
      <c r="B72" s="50"/>
      <c r="C72" s="24" t="s">
        <v>163</v>
      </c>
      <c r="D72" s="51"/>
      <c r="E72" s="6"/>
      <c r="F72" s="6"/>
      <c r="G72" s="6"/>
      <c r="H72" s="6">
        <v>1</v>
      </c>
      <c r="I72" s="6">
        <v>1</v>
      </c>
      <c r="J72" s="6"/>
      <c r="K72" s="6"/>
      <c r="L72" s="6"/>
      <c r="M72" s="6"/>
      <c r="N72" s="6"/>
      <c r="O72" s="6">
        <v>1</v>
      </c>
      <c r="P72" s="6"/>
      <c r="Q72" s="6">
        <v>2</v>
      </c>
      <c r="R72" s="6"/>
      <c r="S72" s="6">
        <v>1</v>
      </c>
      <c r="T72" s="6"/>
      <c r="U72" s="6"/>
      <c r="V72" s="6"/>
      <c r="W72" s="6"/>
      <c r="X72" s="6">
        <v>3</v>
      </c>
      <c r="Y72" s="6"/>
      <c r="Z72" s="6">
        <v>1</v>
      </c>
      <c r="AA72" s="6"/>
      <c r="AB72" s="6">
        <v>1</v>
      </c>
      <c r="AC72" s="6"/>
      <c r="AD72" s="6"/>
      <c r="AE72" s="6"/>
      <c r="AF72" s="6"/>
      <c r="AG72" s="6"/>
      <c r="AH72" s="6">
        <v>1</v>
      </c>
      <c r="AI72" s="6">
        <v>1</v>
      </c>
      <c r="AJ72" s="5">
        <f t="shared" si="36"/>
        <v>13</v>
      </c>
    </row>
    <row r="73" spans="1:36" x14ac:dyDescent="0.4">
      <c r="A73" s="7"/>
      <c r="B73" s="50"/>
      <c r="C73" s="24" t="s">
        <v>164</v>
      </c>
      <c r="D73" s="51"/>
      <c r="E73" s="6">
        <v>2</v>
      </c>
      <c r="F73" s="6">
        <v>6</v>
      </c>
      <c r="G73" s="6">
        <v>2</v>
      </c>
      <c r="H73" s="6">
        <v>15</v>
      </c>
      <c r="I73" s="6">
        <v>2</v>
      </c>
      <c r="J73" s="6">
        <v>3</v>
      </c>
      <c r="K73" s="6">
        <v>5</v>
      </c>
      <c r="L73" s="6">
        <v>6</v>
      </c>
      <c r="M73" s="6">
        <v>3</v>
      </c>
      <c r="N73" s="6">
        <v>4</v>
      </c>
      <c r="O73" s="6">
        <v>3</v>
      </c>
      <c r="P73" s="6">
        <v>3</v>
      </c>
      <c r="Q73" s="6">
        <v>1</v>
      </c>
      <c r="R73" s="6">
        <v>1</v>
      </c>
      <c r="S73" s="6">
        <v>2</v>
      </c>
      <c r="T73" s="6">
        <v>2</v>
      </c>
      <c r="U73" s="6">
        <v>6</v>
      </c>
      <c r="V73" s="6">
        <v>4</v>
      </c>
      <c r="W73" s="6">
        <v>10</v>
      </c>
      <c r="X73" s="6">
        <v>5</v>
      </c>
      <c r="Y73" s="6">
        <v>1</v>
      </c>
      <c r="Z73" s="6">
        <v>3</v>
      </c>
      <c r="AA73" s="6">
        <v>3</v>
      </c>
      <c r="AB73" s="6">
        <v>4</v>
      </c>
      <c r="AC73" s="6">
        <v>13</v>
      </c>
      <c r="AD73" s="6">
        <v>2</v>
      </c>
      <c r="AE73" s="6">
        <v>1</v>
      </c>
      <c r="AF73" s="6">
        <v>11</v>
      </c>
      <c r="AG73" s="6">
        <v>1</v>
      </c>
      <c r="AH73" s="6">
        <v>10</v>
      </c>
      <c r="AI73" s="6">
        <v>5</v>
      </c>
      <c r="AJ73" s="5">
        <f t="shared" si="36"/>
        <v>139</v>
      </c>
    </row>
    <row r="74" spans="1:36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>
        <v>1</v>
      </c>
      <c r="K74" s="6"/>
      <c r="L74" s="6"/>
      <c r="M74" s="6"/>
      <c r="N74" s="6"/>
      <c r="O74" s="6">
        <v>2</v>
      </c>
      <c r="P74" s="6"/>
      <c r="Q74" s="6"/>
      <c r="R74" s="6"/>
      <c r="S74" s="6"/>
      <c r="T74" s="6"/>
      <c r="U74" s="6">
        <v>1</v>
      </c>
      <c r="V74" s="6"/>
      <c r="W74" s="6"/>
      <c r="X74" s="6"/>
      <c r="Y74" s="6"/>
      <c r="Z74" s="6"/>
      <c r="AA74" s="6">
        <v>1</v>
      </c>
      <c r="AB74" s="6"/>
      <c r="AC74" s="6">
        <v>1</v>
      </c>
      <c r="AD74" s="6"/>
      <c r="AE74" s="6"/>
      <c r="AF74" s="6"/>
      <c r="AG74" s="6">
        <v>1</v>
      </c>
      <c r="AH74" s="6"/>
      <c r="AI74" s="6"/>
      <c r="AJ74" s="5">
        <f t="shared" si="36"/>
        <v>7</v>
      </c>
    </row>
    <row r="75" spans="1:36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5">
        <f t="shared" si="36"/>
        <v>0</v>
      </c>
    </row>
    <row r="76" spans="1:36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</v>
      </c>
      <c r="AC76" s="6"/>
      <c r="AD76" s="6"/>
      <c r="AE76" s="6"/>
      <c r="AF76" s="6"/>
      <c r="AG76" s="6"/>
      <c r="AH76" s="6"/>
      <c r="AI76" s="6"/>
      <c r="AJ76" s="5">
        <f t="shared" si="36"/>
        <v>2</v>
      </c>
    </row>
    <row r="77" spans="1:36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5">
        <f t="shared" si="36"/>
        <v>0</v>
      </c>
    </row>
    <row r="78" spans="1:36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5">
        <f t="shared" si="36"/>
        <v>0</v>
      </c>
    </row>
    <row r="79" spans="1:36" x14ac:dyDescent="0.4">
      <c r="A79" s="6" t="s">
        <v>26</v>
      </c>
      <c r="B79" s="85" t="s">
        <v>51</v>
      </c>
      <c r="C79" s="65"/>
      <c r="D79" s="66"/>
      <c r="E79" s="5">
        <f t="shared" ref="E79:AJ79" si="37">SUM(E69:E78)</f>
        <v>3</v>
      </c>
      <c r="F79" s="5">
        <f t="shared" ref="F79:AA79" si="38">SUM(F69:F78)</f>
        <v>12</v>
      </c>
      <c r="G79" s="5">
        <f t="shared" si="38"/>
        <v>8</v>
      </c>
      <c r="H79" s="5">
        <f t="shared" si="38"/>
        <v>25</v>
      </c>
      <c r="I79" s="5">
        <f t="shared" si="38"/>
        <v>10</v>
      </c>
      <c r="J79" s="5">
        <f t="shared" si="38"/>
        <v>8</v>
      </c>
      <c r="K79" s="5">
        <f t="shared" si="38"/>
        <v>24</v>
      </c>
      <c r="L79" s="5">
        <f t="shared" si="38"/>
        <v>11</v>
      </c>
      <c r="M79" s="5">
        <f t="shared" si="38"/>
        <v>7</v>
      </c>
      <c r="N79" s="5">
        <f t="shared" si="38"/>
        <v>11</v>
      </c>
      <c r="O79" s="5">
        <f t="shared" si="38"/>
        <v>17</v>
      </c>
      <c r="P79" s="5">
        <f t="shared" si="38"/>
        <v>9</v>
      </c>
      <c r="Q79" s="5">
        <f t="shared" si="38"/>
        <v>23</v>
      </c>
      <c r="R79" s="5">
        <f t="shared" si="38"/>
        <v>2</v>
      </c>
      <c r="S79" s="5">
        <f t="shared" ref="S79:Z79" si="39">SUM(S69:S78)</f>
        <v>6</v>
      </c>
      <c r="T79" s="5">
        <f t="shared" si="39"/>
        <v>8</v>
      </c>
      <c r="U79" s="5">
        <f t="shared" si="39"/>
        <v>13</v>
      </c>
      <c r="V79" s="5">
        <f t="shared" si="39"/>
        <v>8</v>
      </c>
      <c r="W79" s="5">
        <f t="shared" si="39"/>
        <v>21</v>
      </c>
      <c r="X79" s="5">
        <f t="shared" si="39"/>
        <v>10</v>
      </c>
      <c r="Y79" s="5">
        <f t="shared" si="39"/>
        <v>1</v>
      </c>
      <c r="Z79" s="5">
        <f t="shared" si="39"/>
        <v>20</v>
      </c>
      <c r="AA79" s="5">
        <f t="shared" si="38"/>
        <v>22</v>
      </c>
      <c r="AB79" s="5">
        <f t="shared" si="37"/>
        <v>26</v>
      </c>
      <c r="AC79" s="5">
        <f t="shared" si="37"/>
        <v>18</v>
      </c>
      <c r="AD79" s="5">
        <f t="shared" si="37"/>
        <v>5</v>
      </c>
      <c r="AE79" s="5">
        <f t="shared" si="37"/>
        <v>3</v>
      </c>
      <c r="AF79" s="5">
        <f t="shared" si="37"/>
        <v>13</v>
      </c>
      <c r="AG79" s="5">
        <f t="shared" si="37"/>
        <v>8</v>
      </c>
      <c r="AH79" s="5">
        <f t="shared" si="37"/>
        <v>16</v>
      </c>
      <c r="AI79" s="5">
        <f t="shared" si="37"/>
        <v>11</v>
      </c>
      <c r="AJ79" s="5">
        <f t="shared" si="37"/>
        <v>379</v>
      </c>
    </row>
    <row r="80" spans="1:36" x14ac:dyDescent="0.4">
      <c r="A80" s="90"/>
      <c r="B80" s="89"/>
      <c r="C80" s="89"/>
      <c r="D80" s="89"/>
      <c r="E80" s="89"/>
    </row>
    <row r="81" spans="1:36" x14ac:dyDescent="0.4">
      <c r="A81" s="11" t="s">
        <v>48</v>
      </c>
      <c r="B81" s="17" t="s">
        <v>34</v>
      </c>
      <c r="C81" s="92" t="s">
        <v>54</v>
      </c>
      <c r="D81" s="66"/>
      <c r="E81" s="6">
        <v>6</v>
      </c>
      <c r="F81" s="6">
        <v>4</v>
      </c>
      <c r="G81" s="6">
        <v>1</v>
      </c>
      <c r="H81" s="6">
        <v>1</v>
      </c>
      <c r="I81" s="6">
        <v>1</v>
      </c>
      <c r="J81" s="6">
        <v>9</v>
      </c>
      <c r="K81" s="6">
        <v>3</v>
      </c>
      <c r="L81" s="6">
        <v>3</v>
      </c>
      <c r="M81" s="6">
        <v>1</v>
      </c>
      <c r="N81" s="6">
        <v>3</v>
      </c>
      <c r="O81" s="6">
        <v>2</v>
      </c>
      <c r="P81" s="6">
        <v>5</v>
      </c>
      <c r="Q81" s="6">
        <v>2</v>
      </c>
      <c r="R81" s="6">
        <v>1</v>
      </c>
      <c r="S81" s="6">
        <v>6</v>
      </c>
      <c r="T81" s="6">
        <v>1</v>
      </c>
      <c r="U81" s="6">
        <v>5</v>
      </c>
      <c r="V81" s="6"/>
      <c r="W81" s="6">
        <v>1</v>
      </c>
      <c r="X81" s="6">
        <v>3</v>
      </c>
      <c r="Y81" s="6">
        <v>3</v>
      </c>
      <c r="Z81" s="6">
        <v>5</v>
      </c>
      <c r="AA81" s="6">
        <v>5</v>
      </c>
      <c r="AB81" s="6">
        <v>2</v>
      </c>
      <c r="AC81" s="6">
        <v>2</v>
      </c>
      <c r="AD81" s="6">
        <v>1</v>
      </c>
      <c r="AE81" s="6">
        <v>1</v>
      </c>
      <c r="AF81" s="6">
        <v>2</v>
      </c>
      <c r="AG81" s="6">
        <v>3</v>
      </c>
      <c r="AH81" s="6">
        <v>4</v>
      </c>
      <c r="AI81" s="6">
        <v>7</v>
      </c>
      <c r="AJ81" s="5">
        <f t="shared" ref="AJ81:AJ90" si="40">SUM(E81:AI81)</f>
        <v>93</v>
      </c>
    </row>
    <row r="82" spans="1:36" x14ac:dyDescent="0.4">
      <c r="A82" s="11" t="s">
        <v>50</v>
      </c>
      <c r="B82" s="50"/>
      <c r="C82" s="24" t="s">
        <v>168</v>
      </c>
      <c r="D82" s="51"/>
      <c r="E82" s="6">
        <v>28</v>
      </c>
      <c r="F82" s="6">
        <v>13</v>
      </c>
      <c r="G82" s="6">
        <v>13</v>
      </c>
      <c r="H82" s="6">
        <v>15</v>
      </c>
      <c r="I82" s="6">
        <v>11</v>
      </c>
      <c r="J82" s="6">
        <v>25</v>
      </c>
      <c r="K82" s="6">
        <v>24</v>
      </c>
      <c r="L82" s="6">
        <v>12</v>
      </c>
      <c r="M82" s="6">
        <v>23</v>
      </c>
      <c r="N82" s="6">
        <v>13</v>
      </c>
      <c r="O82" s="6">
        <v>14</v>
      </c>
      <c r="P82" s="6">
        <v>21</v>
      </c>
      <c r="Q82" s="6">
        <v>2</v>
      </c>
      <c r="R82" s="6">
        <v>1</v>
      </c>
      <c r="S82" s="6">
        <v>18</v>
      </c>
      <c r="T82" s="6">
        <v>8</v>
      </c>
      <c r="U82" s="6">
        <v>9</v>
      </c>
      <c r="V82" s="6">
        <v>5</v>
      </c>
      <c r="W82" s="6">
        <v>15</v>
      </c>
      <c r="X82" s="6">
        <v>12</v>
      </c>
      <c r="Y82" s="6">
        <v>130</v>
      </c>
      <c r="Z82" s="6">
        <v>16</v>
      </c>
      <c r="AA82" s="6">
        <v>16</v>
      </c>
      <c r="AB82" s="6">
        <v>9</v>
      </c>
      <c r="AC82" s="6">
        <v>11</v>
      </c>
      <c r="AD82" s="6">
        <v>23</v>
      </c>
      <c r="AE82" s="6">
        <v>12</v>
      </c>
      <c r="AF82" s="6">
        <v>18</v>
      </c>
      <c r="AG82" s="6">
        <v>10</v>
      </c>
      <c r="AH82" s="6">
        <v>19</v>
      </c>
      <c r="AI82" s="6">
        <v>34</v>
      </c>
      <c r="AJ82" s="5">
        <f t="shared" si="40"/>
        <v>580</v>
      </c>
    </row>
    <row r="83" spans="1:36" x14ac:dyDescent="0.4">
      <c r="A83" s="7"/>
      <c r="B83" s="50"/>
      <c r="C83" s="24" t="s">
        <v>169</v>
      </c>
      <c r="D83" s="51"/>
      <c r="E83" s="6">
        <v>1</v>
      </c>
      <c r="F83" s="6">
        <v>2</v>
      </c>
      <c r="G83" s="6"/>
      <c r="H83" s="6">
        <v>1</v>
      </c>
      <c r="I83" s="6"/>
      <c r="J83" s="6">
        <v>2</v>
      </c>
      <c r="K83" s="6"/>
      <c r="L83" s="6"/>
      <c r="M83" s="6"/>
      <c r="N83" s="6">
        <v>1</v>
      </c>
      <c r="O83" s="6">
        <v>1</v>
      </c>
      <c r="P83" s="6"/>
      <c r="Q83" s="6"/>
      <c r="R83" s="6"/>
      <c r="S83" s="6">
        <v>2</v>
      </c>
      <c r="T83" s="6"/>
      <c r="U83" s="6"/>
      <c r="V83" s="6"/>
      <c r="W83" s="6"/>
      <c r="X83" s="6">
        <v>1</v>
      </c>
      <c r="Y83" s="6"/>
      <c r="Z83" s="6"/>
      <c r="AA83" s="6"/>
      <c r="AB83" s="6"/>
      <c r="AC83" s="6"/>
      <c r="AD83" s="6"/>
      <c r="AE83" s="6"/>
      <c r="AF83" s="6"/>
      <c r="AG83" s="6">
        <v>1</v>
      </c>
      <c r="AH83" s="6">
        <v>1</v>
      </c>
      <c r="AI83" s="6"/>
      <c r="AJ83" s="5">
        <f t="shared" si="40"/>
        <v>13</v>
      </c>
    </row>
    <row r="84" spans="1:36" x14ac:dyDescent="0.4">
      <c r="A84" s="7"/>
      <c r="B84" s="50"/>
      <c r="C84" s="24" t="s">
        <v>170</v>
      </c>
      <c r="D84" s="51"/>
      <c r="E84" s="6"/>
      <c r="F84" s="6"/>
      <c r="G84" s="6">
        <v>2</v>
      </c>
      <c r="H84" s="6">
        <v>1</v>
      </c>
      <c r="I84" s="6">
        <v>2</v>
      </c>
      <c r="J84" s="6">
        <v>9</v>
      </c>
      <c r="K84" s="6">
        <v>4</v>
      </c>
      <c r="L84" s="6">
        <v>3</v>
      </c>
      <c r="M84" s="6">
        <v>1</v>
      </c>
      <c r="N84" s="6">
        <v>2</v>
      </c>
      <c r="O84" s="6">
        <v>3</v>
      </c>
      <c r="P84" s="6">
        <v>3</v>
      </c>
      <c r="Q84" s="6">
        <v>3</v>
      </c>
      <c r="R84" s="6">
        <v>3</v>
      </c>
      <c r="S84" s="6">
        <v>2</v>
      </c>
      <c r="T84" s="6">
        <v>1</v>
      </c>
      <c r="U84" s="6">
        <v>1</v>
      </c>
      <c r="V84" s="6">
        <v>6</v>
      </c>
      <c r="W84" s="6">
        <v>8</v>
      </c>
      <c r="X84" s="6">
        <v>5</v>
      </c>
      <c r="Y84" s="6"/>
      <c r="Z84" s="6">
        <v>1</v>
      </c>
      <c r="AA84" s="6">
        <v>2</v>
      </c>
      <c r="AB84" s="6">
        <v>4</v>
      </c>
      <c r="AC84" s="6">
        <v>1</v>
      </c>
      <c r="AD84" s="6">
        <v>3</v>
      </c>
      <c r="AE84" s="6">
        <v>1</v>
      </c>
      <c r="AF84" s="6">
        <v>8</v>
      </c>
      <c r="AG84" s="6">
        <v>2</v>
      </c>
      <c r="AH84" s="6">
        <v>8</v>
      </c>
      <c r="AI84" s="6">
        <v>3</v>
      </c>
      <c r="AJ84" s="5">
        <f t="shared" si="40"/>
        <v>92</v>
      </c>
    </row>
    <row r="85" spans="1:36" ht="13.15" customHeight="1" x14ac:dyDescent="0.4">
      <c r="A85" s="7"/>
      <c r="B85" s="50"/>
      <c r="C85" s="24" t="s">
        <v>171</v>
      </c>
      <c r="D85" s="51"/>
      <c r="E85" s="6">
        <v>1</v>
      </c>
      <c r="F85" s="6"/>
      <c r="G85" s="6"/>
      <c r="H85" s="6">
        <v>1</v>
      </c>
      <c r="I85" s="6"/>
      <c r="J85" s="6"/>
      <c r="K85" s="6"/>
      <c r="L85" s="6"/>
      <c r="M85" s="6">
        <v>1</v>
      </c>
      <c r="N85" s="6">
        <v>1</v>
      </c>
      <c r="O85" s="6"/>
      <c r="P85" s="6">
        <v>1</v>
      </c>
      <c r="Q85" s="6"/>
      <c r="R85" s="6">
        <v>1</v>
      </c>
      <c r="S85" s="6"/>
      <c r="T85" s="6">
        <v>2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>
        <v>1</v>
      </c>
      <c r="AG85" s="6">
        <v>2</v>
      </c>
      <c r="AH85" s="6"/>
      <c r="AI85" s="6"/>
      <c r="AJ85" s="5">
        <f t="shared" si="40"/>
        <v>11</v>
      </c>
    </row>
    <row r="86" spans="1:36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1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5">
        <f t="shared" si="40"/>
        <v>1</v>
      </c>
    </row>
    <row r="87" spans="1:36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>
        <v>1</v>
      </c>
      <c r="Y87" s="6"/>
      <c r="Z87" s="6"/>
      <c r="AA87" s="6"/>
      <c r="AB87" s="6"/>
      <c r="AC87" s="6">
        <v>1</v>
      </c>
      <c r="AD87" s="6"/>
      <c r="AE87" s="6"/>
      <c r="AF87" s="6"/>
      <c r="AG87" s="6"/>
      <c r="AH87" s="6"/>
      <c r="AI87" s="6"/>
      <c r="AJ87" s="5">
        <f t="shared" si="40"/>
        <v>2</v>
      </c>
    </row>
    <row r="88" spans="1:36" x14ac:dyDescent="0.4">
      <c r="A88" s="7"/>
      <c r="B88" s="50"/>
      <c r="C88" s="24" t="s">
        <v>174</v>
      </c>
      <c r="D88" s="51"/>
      <c r="E88" s="6"/>
      <c r="F88" s="6">
        <v>1</v>
      </c>
      <c r="G88" s="6"/>
      <c r="H88" s="6">
        <v>4</v>
      </c>
      <c r="I88" s="6">
        <v>1</v>
      </c>
      <c r="J88" s="6"/>
      <c r="K88" s="6"/>
      <c r="L88" s="6">
        <v>6</v>
      </c>
      <c r="M88" s="6">
        <v>14</v>
      </c>
      <c r="N88" s="6">
        <v>2</v>
      </c>
      <c r="O88" s="6">
        <v>2</v>
      </c>
      <c r="P88" s="6">
        <v>4</v>
      </c>
      <c r="Q88" s="6">
        <v>6</v>
      </c>
      <c r="R88" s="6"/>
      <c r="S88" s="6">
        <v>2</v>
      </c>
      <c r="T88" s="6">
        <v>4</v>
      </c>
      <c r="U88" s="6">
        <v>1</v>
      </c>
      <c r="V88" s="6">
        <v>1</v>
      </c>
      <c r="W88" s="6">
        <v>1</v>
      </c>
      <c r="X88" s="6"/>
      <c r="Y88" s="6"/>
      <c r="Z88" s="6">
        <v>1</v>
      </c>
      <c r="AA88" s="6">
        <v>3</v>
      </c>
      <c r="AB88" s="6"/>
      <c r="AC88" s="6"/>
      <c r="AD88" s="6">
        <v>1</v>
      </c>
      <c r="AE88" s="6"/>
      <c r="AF88" s="6"/>
      <c r="AG88" s="6"/>
      <c r="AH88" s="6">
        <v>1</v>
      </c>
      <c r="AI88" s="6"/>
      <c r="AJ88" s="5">
        <f t="shared" si="40"/>
        <v>55</v>
      </c>
    </row>
    <row r="89" spans="1:36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5">
        <f t="shared" si="40"/>
        <v>0</v>
      </c>
    </row>
    <row r="90" spans="1:36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5">
        <f t="shared" si="40"/>
        <v>0</v>
      </c>
    </row>
    <row r="91" spans="1:36" x14ac:dyDescent="0.4">
      <c r="A91" s="6" t="s">
        <v>26</v>
      </c>
      <c r="B91" s="85" t="s">
        <v>51</v>
      </c>
      <c r="C91" s="65"/>
      <c r="D91" s="66"/>
      <c r="E91" s="5">
        <f t="shared" ref="E91:AJ91" si="41">SUM(E81:E90)</f>
        <v>36</v>
      </c>
      <c r="F91" s="5">
        <f t="shared" ref="F91:AA91" si="42">SUM(F81:F90)</f>
        <v>20</v>
      </c>
      <c r="G91" s="5">
        <f t="shared" si="42"/>
        <v>16</v>
      </c>
      <c r="H91" s="5">
        <f t="shared" si="42"/>
        <v>23</v>
      </c>
      <c r="I91" s="5">
        <f t="shared" si="42"/>
        <v>15</v>
      </c>
      <c r="J91" s="5">
        <f t="shared" si="42"/>
        <v>45</v>
      </c>
      <c r="K91" s="5">
        <f t="shared" si="42"/>
        <v>31</v>
      </c>
      <c r="L91" s="5">
        <f t="shared" si="42"/>
        <v>24</v>
      </c>
      <c r="M91" s="5">
        <f t="shared" si="42"/>
        <v>40</v>
      </c>
      <c r="N91" s="5">
        <f t="shared" si="42"/>
        <v>22</v>
      </c>
      <c r="O91" s="5">
        <f t="shared" si="42"/>
        <v>22</v>
      </c>
      <c r="P91" s="5">
        <f t="shared" si="42"/>
        <v>34</v>
      </c>
      <c r="Q91" s="5">
        <f t="shared" si="42"/>
        <v>13</v>
      </c>
      <c r="R91" s="5">
        <f t="shared" si="42"/>
        <v>7</v>
      </c>
      <c r="S91" s="5">
        <f t="shared" ref="S91:Z91" si="43">SUM(S81:S90)</f>
        <v>30</v>
      </c>
      <c r="T91" s="5">
        <f t="shared" si="43"/>
        <v>16</v>
      </c>
      <c r="U91" s="5">
        <f t="shared" si="43"/>
        <v>16</v>
      </c>
      <c r="V91" s="5">
        <f t="shared" si="43"/>
        <v>12</v>
      </c>
      <c r="W91" s="5">
        <f t="shared" si="43"/>
        <v>25</v>
      </c>
      <c r="X91" s="5">
        <f t="shared" si="43"/>
        <v>22</v>
      </c>
      <c r="Y91" s="5">
        <f t="shared" si="43"/>
        <v>133</v>
      </c>
      <c r="Z91" s="5">
        <f t="shared" si="43"/>
        <v>23</v>
      </c>
      <c r="AA91" s="5">
        <f t="shared" si="42"/>
        <v>26</v>
      </c>
      <c r="AB91" s="5">
        <f t="shared" si="41"/>
        <v>15</v>
      </c>
      <c r="AC91" s="5">
        <f t="shared" si="41"/>
        <v>15</v>
      </c>
      <c r="AD91" s="5">
        <f t="shared" si="41"/>
        <v>28</v>
      </c>
      <c r="AE91" s="5">
        <f t="shared" si="41"/>
        <v>14</v>
      </c>
      <c r="AF91" s="5">
        <f t="shared" si="41"/>
        <v>29</v>
      </c>
      <c r="AG91" s="5">
        <f t="shared" si="41"/>
        <v>18</v>
      </c>
      <c r="AH91" s="5">
        <f t="shared" si="41"/>
        <v>33</v>
      </c>
      <c r="AI91" s="5">
        <f t="shared" si="41"/>
        <v>44</v>
      </c>
      <c r="AJ91" s="5">
        <f t="shared" si="41"/>
        <v>847</v>
      </c>
    </row>
    <row r="92" spans="1:36" x14ac:dyDescent="0.4">
      <c r="A92" s="90"/>
      <c r="B92" s="89"/>
      <c r="C92" s="89"/>
      <c r="D92" s="89"/>
      <c r="E92" s="89"/>
    </row>
    <row r="93" spans="1:36" x14ac:dyDescent="0.4">
      <c r="A93" s="11" t="s">
        <v>48</v>
      </c>
      <c r="B93" s="17" t="s">
        <v>55</v>
      </c>
      <c r="C93" s="92" t="s">
        <v>56</v>
      </c>
      <c r="D93" s="66"/>
      <c r="E93" s="6">
        <v>4</v>
      </c>
      <c r="F93" s="6">
        <v>1</v>
      </c>
      <c r="G93" s="6"/>
      <c r="H93" s="6">
        <v>3</v>
      </c>
      <c r="I93" s="6"/>
      <c r="J93" s="6">
        <v>2</v>
      </c>
      <c r="K93" s="6">
        <v>4</v>
      </c>
      <c r="L93" s="6">
        <v>2</v>
      </c>
      <c r="M93" s="6"/>
      <c r="N93" s="6">
        <v>3</v>
      </c>
      <c r="O93" s="6">
        <v>4</v>
      </c>
      <c r="P93" s="6">
        <v>2</v>
      </c>
      <c r="Q93" s="6"/>
      <c r="R93" s="6">
        <v>1</v>
      </c>
      <c r="S93" s="6">
        <v>1</v>
      </c>
      <c r="T93" s="6">
        <v>1</v>
      </c>
      <c r="U93" s="6">
        <v>1</v>
      </c>
      <c r="V93" s="6">
        <v>2</v>
      </c>
      <c r="W93" s="6">
        <v>3</v>
      </c>
      <c r="X93" s="6"/>
      <c r="Y93" s="6">
        <v>1</v>
      </c>
      <c r="Z93" s="6"/>
      <c r="AA93" s="6">
        <v>1</v>
      </c>
      <c r="AB93" s="6"/>
      <c r="AC93" s="6">
        <v>2</v>
      </c>
      <c r="AD93" s="6">
        <v>2</v>
      </c>
      <c r="AE93" s="6"/>
      <c r="AF93" s="6"/>
      <c r="AG93" s="6">
        <v>2</v>
      </c>
      <c r="AH93" s="6"/>
      <c r="AI93" s="6"/>
      <c r="AJ93" s="5">
        <f t="shared" ref="AJ93:AJ102" si="44">SUM(E93:AI93)</f>
        <v>42</v>
      </c>
    </row>
    <row r="94" spans="1:36" x14ac:dyDescent="0.4">
      <c r="A94" s="11" t="s">
        <v>50</v>
      </c>
      <c r="B94" s="50"/>
      <c r="C94" s="24" t="s">
        <v>175</v>
      </c>
      <c r="D94" s="51"/>
      <c r="E94" s="6"/>
      <c r="F94" s="6"/>
      <c r="G94" s="6">
        <v>1</v>
      </c>
      <c r="H94" s="6">
        <v>1</v>
      </c>
      <c r="I94" s="6">
        <v>2</v>
      </c>
      <c r="J94" s="6"/>
      <c r="K94" s="6">
        <v>2</v>
      </c>
      <c r="L94" s="6">
        <v>1</v>
      </c>
      <c r="M94" s="6">
        <v>2</v>
      </c>
      <c r="N94" s="6">
        <v>2</v>
      </c>
      <c r="O94" s="6">
        <v>1</v>
      </c>
      <c r="P94" s="6"/>
      <c r="Q94" s="6">
        <v>6</v>
      </c>
      <c r="R94" s="6">
        <v>1</v>
      </c>
      <c r="S94" s="6">
        <v>2</v>
      </c>
      <c r="T94" s="6">
        <v>1</v>
      </c>
      <c r="U94" s="6">
        <v>2</v>
      </c>
      <c r="V94" s="6"/>
      <c r="W94" s="6"/>
      <c r="X94" s="6"/>
      <c r="Y94" s="6">
        <v>2</v>
      </c>
      <c r="Z94" s="6">
        <v>2</v>
      </c>
      <c r="AA94" s="6"/>
      <c r="AB94" s="6"/>
      <c r="AC94" s="6"/>
      <c r="AD94" s="6">
        <v>2</v>
      </c>
      <c r="AE94" s="6">
        <v>1</v>
      </c>
      <c r="AF94" s="6"/>
      <c r="AG94" s="6"/>
      <c r="AH94" s="6"/>
      <c r="AI94" s="6"/>
      <c r="AJ94" s="5">
        <f t="shared" si="44"/>
        <v>31</v>
      </c>
    </row>
    <row r="95" spans="1:36" x14ac:dyDescent="0.4">
      <c r="A95" s="7"/>
      <c r="B95" s="50"/>
      <c r="C95" s="24" t="s">
        <v>176</v>
      </c>
      <c r="D95" s="5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5">
        <f t="shared" si="44"/>
        <v>0</v>
      </c>
    </row>
    <row r="96" spans="1:36" ht="13.15" customHeight="1" x14ac:dyDescent="0.4">
      <c r="A96" s="7"/>
      <c r="B96" s="50"/>
      <c r="C96" s="24" t="s">
        <v>177</v>
      </c>
      <c r="D96" s="51"/>
      <c r="E96" s="6">
        <v>1</v>
      </c>
      <c r="F96" s="6">
        <v>1</v>
      </c>
      <c r="G96" s="6">
        <v>1</v>
      </c>
      <c r="H96" s="6"/>
      <c r="I96" s="6">
        <v>1</v>
      </c>
      <c r="J96" s="6"/>
      <c r="K96" s="6"/>
      <c r="L96" s="6">
        <v>1</v>
      </c>
      <c r="M96" s="6">
        <v>1</v>
      </c>
      <c r="N96" s="6"/>
      <c r="O96" s="6">
        <v>1</v>
      </c>
      <c r="P96" s="6"/>
      <c r="Q96" s="6"/>
      <c r="R96" s="6"/>
      <c r="S96" s="6"/>
      <c r="T96" s="6"/>
      <c r="U96" s="6"/>
      <c r="V96" s="6">
        <v>1</v>
      </c>
      <c r="W96" s="6"/>
      <c r="X96" s="6"/>
      <c r="Y96" s="6"/>
      <c r="Z96" s="6"/>
      <c r="AA96" s="6"/>
      <c r="AB96" s="6"/>
      <c r="AC96" s="6"/>
      <c r="AD96" s="6">
        <v>1</v>
      </c>
      <c r="AE96" s="6"/>
      <c r="AF96" s="6"/>
      <c r="AG96" s="6">
        <v>1</v>
      </c>
      <c r="AH96" s="6">
        <v>1</v>
      </c>
      <c r="AI96" s="6"/>
      <c r="AJ96" s="5">
        <f t="shared" si="44"/>
        <v>11</v>
      </c>
    </row>
    <row r="97" spans="1:36" x14ac:dyDescent="0.4">
      <c r="A97" s="7"/>
      <c r="B97" s="50"/>
      <c r="C97" s="24" t="s">
        <v>178</v>
      </c>
      <c r="D97" s="51"/>
      <c r="E97" s="6">
        <v>20</v>
      </c>
      <c r="F97" s="6">
        <v>13</v>
      </c>
      <c r="G97" s="6">
        <v>32</v>
      </c>
      <c r="H97" s="6">
        <v>9</v>
      </c>
      <c r="I97" s="6">
        <v>16</v>
      </c>
      <c r="J97" s="6">
        <v>33</v>
      </c>
      <c r="K97" s="6">
        <v>16</v>
      </c>
      <c r="L97" s="6">
        <v>23</v>
      </c>
      <c r="M97" s="6">
        <v>24</v>
      </c>
      <c r="N97" s="6">
        <v>43</v>
      </c>
      <c r="O97" s="6">
        <v>21</v>
      </c>
      <c r="P97" s="6">
        <v>14</v>
      </c>
      <c r="Q97" s="6">
        <v>40</v>
      </c>
      <c r="R97" s="6">
        <v>58</v>
      </c>
      <c r="S97" s="6">
        <v>24</v>
      </c>
      <c r="T97" s="6">
        <v>37</v>
      </c>
      <c r="U97" s="6">
        <v>4</v>
      </c>
      <c r="V97" s="6">
        <v>82</v>
      </c>
      <c r="W97" s="6">
        <v>26</v>
      </c>
      <c r="X97" s="6">
        <v>13</v>
      </c>
      <c r="Y97" s="6">
        <v>3</v>
      </c>
      <c r="Z97" s="6">
        <v>5</v>
      </c>
      <c r="AA97" s="6">
        <v>5</v>
      </c>
      <c r="AB97" s="6">
        <v>3</v>
      </c>
      <c r="AC97" s="6">
        <v>31</v>
      </c>
      <c r="AD97" s="6">
        <v>36</v>
      </c>
      <c r="AE97" s="6">
        <v>35</v>
      </c>
      <c r="AF97" s="6">
        <v>32</v>
      </c>
      <c r="AG97" s="6">
        <v>51</v>
      </c>
      <c r="AH97" s="6">
        <v>17</v>
      </c>
      <c r="AI97" s="6">
        <v>12</v>
      </c>
      <c r="AJ97" s="5">
        <f t="shared" si="44"/>
        <v>778</v>
      </c>
    </row>
    <row r="98" spans="1:36" x14ac:dyDescent="0.4">
      <c r="A98" s="7"/>
      <c r="B98" s="50"/>
      <c r="C98" s="24" t="s">
        <v>179</v>
      </c>
      <c r="D98" s="5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</v>
      </c>
      <c r="S98" s="6"/>
      <c r="T98" s="6">
        <v>1</v>
      </c>
      <c r="U98" s="6"/>
      <c r="V98" s="6"/>
      <c r="W98" s="6"/>
      <c r="X98" s="6"/>
      <c r="Y98" s="6"/>
      <c r="Z98" s="6"/>
      <c r="AA98" s="6"/>
      <c r="AB98" s="6"/>
      <c r="AC98" s="6"/>
      <c r="AD98" s="6">
        <v>1</v>
      </c>
      <c r="AE98" s="6">
        <v>1</v>
      </c>
      <c r="AF98" s="6">
        <v>1</v>
      </c>
      <c r="AG98" s="6">
        <v>1</v>
      </c>
      <c r="AH98" s="6"/>
      <c r="AI98" s="6">
        <v>1</v>
      </c>
      <c r="AJ98" s="5">
        <f t="shared" si="44"/>
        <v>7</v>
      </c>
    </row>
    <row r="99" spans="1:36" x14ac:dyDescent="0.4">
      <c r="A99" s="7"/>
      <c r="B99" s="50"/>
      <c r="C99" s="24" t="s">
        <v>180</v>
      </c>
      <c r="D99" s="51"/>
      <c r="E99" s="6"/>
      <c r="F99" s="6"/>
      <c r="G99" s="6"/>
      <c r="H99" s="6"/>
      <c r="I99" s="6">
        <v>1</v>
      </c>
      <c r="J99" s="6"/>
      <c r="K99" s="6"/>
      <c r="L99" s="6"/>
      <c r="M99" s="6"/>
      <c r="N99" s="6"/>
      <c r="O99" s="6"/>
      <c r="P99" s="6">
        <v>2</v>
      </c>
      <c r="Q99" s="6"/>
      <c r="R99" s="6"/>
      <c r="S99" s="6"/>
      <c r="T99" s="6"/>
      <c r="U99" s="6"/>
      <c r="V99" s="6"/>
      <c r="W99" s="6"/>
      <c r="X99" s="6">
        <v>2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5">
        <f t="shared" si="44"/>
        <v>5</v>
      </c>
    </row>
    <row r="100" spans="1:36" x14ac:dyDescent="0.4">
      <c r="A100" s="7"/>
      <c r="B100" s="50"/>
      <c r="C100" s="24" t="s">
        <v>181</v>
      </c>
      <c r="D100" s="51"/>
      <c r="E100" s="6">
        <v>10</v>
      </c>
      <c r="F100" s="6">
        <v>9</v>
      </c>
      <c r="G100" s="6">
        <v>13</v>
      </c>
      <c r="H100" s="6">
        <v>9</v>
      </c>
      <c r="I100" s="6">
        <v>9</v>
      </c>
      <c r="J100" s="6">
        <v>9</v>
      </c>
      <c r="K100" s="6">
        <v>16</v>
      </c>
      <c r="L100" s="6">
        <v>7</v>
      </c>
      <c r="M100" s="6">
        <v>4</v>
      </c>
      <c r="N100" s="6">
        <v>28</v>
      </c>
      <c r="O100" s="6">
        <v>3</v>
      </c>
      <c r="P100" s="6">
        <v>15</v>
      </c>
      <c r="Q100" s="6">
        <v>9</v>
      </c>
      <c r="R100" s="6">
        <v>41</v>
      </c>
      <c r="S100" s="6">
        <v>5</v>
      </c>
      <c r="T100" s="6">
        <v>10</v>
      </c>
      <c r="U100" s="6">
        <v>6</v>
      </c>
      <c r="V100" s="6">
        <v>6</v>
      </c>
      <c r="W100" s="6">
        <v>17</v>
      </c>
      <c r="X100" s="6">
        <v>13</v>
      </c>
      <c r="Y100" s="6">
        <v>3</v>
      </c>
      <c r="Z100" s="6">
        <v>4</v>
      </c>
      <c r="AA100" s="6">
        <v>8</v>
      </c>
      <c r="AB100" s="6">
        <v>1</v>
      </c>
      <c r="AC100" s="6">
        <v>1</v>
      </c>
      <c r="AD100" s="6">
        <v>4</v>
      </c>
      <c r="AE100" s="6">
        <v>4</v>
      </c>
      <c r="AF100" s="6">
        <v>16</v>
      </c>
      <c r="AG100" s="6">
        <v>22</v>
      </c>
      <c r="AH100" s="6">
        <v>3</v>
      </c>
      <c r="AI100" s="6">
        <v>10</v>
      </c>
      <c r="AJ100" s="5">
        <f t="shared" si="44"/>
        <v>315</v>
      </c>
    </row>
    <row r="101" spans="1:36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5">
        <f t="shared" si="44"/>
        <v>0</v>
      </c>
    </row>
    <row r="102" spans="1:36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5">
        <f t="shared" si="44"/>
        <v>0</v>
      </c>
    </row>
    <row r="103" spans="1:36" x14ac:dyDescent="0.4">
      <c r="A103" s="6" t="s">
        <v>26</v>
      </c>
      <c r="B103" s="85" t="s">
        <v>51</v>
      </c>
      <c r="C103" s="65"/>
      <c r="D103" s="66"/>
      <c r="E103" s="5">
        <f t="shared" ref="E103:AJ103" si="45">SUM(E93:E102)</f>
        <v>35</v>
      </c>
      <c r="F103" s="5">
        <f t="shared" ref="F103:AA103" si="46">SUM(F93:F102)</f>
        <v>24</v>
      </c>
      <c r="G103" s="5">
        <f t="shared" si="46"/>
        <v>47</v>
      </c>
      <c r="H103" s="5">
        <f t="shared" si="46"/>
        <v>22</v>
      </c>
      <c r="I103" s="5">
        <f t="shared" si="46"/>
        <v>29</v>
      </c>
      <c r="J103" s="5">
        <f t="shared" si="46"/>
        <v>44</v>
      </c>
      <c r="K103" s="5">
        <f t="shared" si="46"/>
        <v>38</v>
      </c>
      <c r="L103" s="5">
        <f t="shared" si="46"/>
        <v>34</v>
      </c>
      <c r="M103" s="5">
        <f t="shared" si="46"/>
        <v>31</v>
      </c>
      <c r="N103" s="5">
        <f t="shared" si="46"/>
        <v>76</v>
      </c>
      <c r="O103" s="5">
        <f t="shared" si="46"/>
        <v>30</v>
      </c>
      <c r="P103" s="5">
        <f t="shared" si="46"/>
        <v>33</v>
      </c>
      <c r="Q103" s="5">
        <f t="shared" si="46"/>
        <v>55</v>
      </c>
      <c r="R103" s="5">
        <f t="shared" si="46"/>
        <v>102</v>
      </c>
      <c r="S103" s="5">
        <f t="shared" ref="S103:Z103" si="47">SUM(S93:S102)</f>
        <v>32</v>
      </c>
      <c r="T103" s="5">
        <f t="shared" si="47"/>
        <v>50</v>
      </c>
      <c r="U103" s="5">
        <f t="shared" si="47"/>
        <v>13</v>
      </c>
      <c r="V103" s="5">
        <f t="shared" si="47"/>
        <v>91</v>
      </c>
      <c r="W103" s="5">
        <f t="shared" si="47"/>
        <v>46</v>
      </c>
      <c r="X103" s="5">
        <f t="shared" si="47"/>
        <v>28</v>
      </c>
      <c r="Y103" s="5">
        <f t="shared" si="47"/>
        <v>9</v>
      </c>
      <c r="Z103" s="5">
        <f t="shared" si="47"/>
        <v>11</v>
      </c>
      <c r="AA103" s="5">
        <f t="shared" si="46"/>
        <v>14</v>
      </c>
      <c r="AB103" s="5">
        <f t="shared" si="45"/>
        <v>4</v>
      </c>
      <c r="AC103" s="5">
        <f t="shared" si="45"/>
        <v>34</v>
      </c>
      <c r="AD103" s="5">
        <f t="shared" si="45"/>
        <v>46</v>
      </c>
      <c r="AE103" s="5">
        <f t="shared" si="45"/>
        <v>41</v>
      </c>
      <c r="AF103" s="5">
        <f t="shared" si="45"/>
        <v>49</v>
      </c>
      <c r="AG103" s="5">
        <f t="shared" si="45"/>
        <v>77</v>
      </c>
      <c r="AH103" s="5">
        <f t="shared" si="45"/>
        <v>21</v>
      </c>
      <c r="AI103" s="5">
        <f t="shared" si="45"/>
        <v>23</v>
      </c>
      <c r="AJ103" s="5">
        <f t="shared" si="45"/>
        <v>1189</v>
      </c>
    </row>
    <row r="104" spans="1:36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pans="1:36" x14ac:dyDescent="0.4">
      <c r="A105" s="11" t="s">
        <v>48</v>
      </c>
      <c r="B105" s="17" t="s">
        <v>57</v>
      </c>
      <c r="C105" s="92" t="s">
        <v>58</v>
      </c>
      <c r="D105" s="66"/>
      <c r="E105" s="6">
        <v>2</v>
      </c>
      <c r="F105" s="6"/>
      <c r="G105" s="6"/>
      <c r="H105" s="6">
        <v>1</v>
      </c>
      <c r="I105" s="6"/>
      <c r="J105" s="6"/>
      <c r="K105" s="6"/>
      <c r="L105" s="6"/>
      <c r="M105" s="6">
        <v>1</v>
      </c>
      <c r="N105" s="6"/>
      <c r="O105" s="6"/>
      <c r="P105" s="6">
        <v>1</v>
      </c>
      <c r="Q105" s="6">
        <v>1</v>
      </c>
      <c r="R105" s="6"/>
      <c r="S105" s="6"/>
      <c r="T105" s="6">
        <v>1</v>
      </c>
      <c r="U105" s="6">
        <v>1</v>
      </c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>
        <v>1</v>
      </c>
      <c r="AI105" s="6"/>
      <c r="AJ105" s="5">
        <f t="shared" ref="AJ105:AJ114" si="48">SUM(E105:AI105)</f>
        <v>9</v>
      </c>
    </row>
    <row r="106" spans="1:36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/>
      <c r="I106" s="6">
        <v>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>
        <v>1</v>
      </c>
      <c r="U106" s="6"/>
      <c r="V106" s="6"/>
      <c r="W106" s="6">
        <v>1</v>
      </c>
      <c r="X106" s="6"/>
      <c r="Y106" s="6"/>
      <c r="Z106" s="6"/>
      <c r="AA106" s="6"/>
      <c r="AB106" s="6"/>
      <c r="AC106" s="6">
        <v>1</v>
      </c>
      <c r="AD106" s="6"/>
      <c r="AE106" s="6"/>
      <c r="AF106" s="6"/>
      <c r="AG106" s="6"/>
      <c r="AH106" s="6"/>
      <c r="AI106" s="6"/>
      <c r="AJ106" s="5">
        <f t="shared" si="48"/>
        <v>4</v>
      </c>
    </row>
    <row r="107" spans="1:36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5">
        <f t="shared" si="48"/>
        <v>0</v>
      </c>
    </row>
    <row r="108" spans="1:36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5">
        <f t="shared" si="48"/>
        <v>0</v>
      </c>
    </row>
    <row r="109" spans="1:36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5">
        <f t="shared" si="48"/>
        <v>0</v>
      </c>
    </row>
    <row r="110" spans="1:36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5">
        <f t="shared" si="48"/>
        <v>0</v>
      </c>
    </row>
    <row r="111" spans="1:36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5">
        <f t="shared" si="48"/>
        <v>0</v>
      </c>
    </row>
    <row r="112" spans="1:36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5">
        <f t="shared" si="48"/>
        <v>0</v>
      </c>
    </row>
    <row r="113" spans="1:36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5">
        <f t="shared" si="48"/>
        <v>0</v>
      </c>
    </row>
    <row r="114" spans="1:36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5">
        <f t="shared" si="48"/>
        <v>0</v>
      </c>
    </row>
    <row r="115" spans="1:36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AJ115" si="49">SUM(E105:E114)</f>
        <v>2</v>
      </c>
      <c r="F115" s="5">
        <f t="shared" ref="F115:AA115" si="50">SUM(F105:F114)</f>
        <v>0</v>
      </c>
      <c r="G115" s="5">
        <f t="shared" si="50"/>
        <v>0</v>
      </c>
      <c r="H115" s="5">
        <f t="shared" si="50"/>
        <v>1</v>
      </c>
      <c r="I115" s="5">
        <f t="shared" si="50"/>
        <v>1</v>
      </c>
      <c r="J115" s="5">
        <f t="shared" si="50"/>
        <v>0</v>
      </c>
      <c r="K115" s="5">
        <f t="shared" si="50"/>
        <v>0</v>
      </c>
      <c r="L115" s="5">
        <f t="shared" si="50"/>
        <v>0</v>
      </c>
      <c r="M115" s="5">
        <f t="shared" si="50"/>
        <v>1</v>
      </c>
      <c r="N115" s="5">
        <f t="shared" si="50"/>
        <v>0</v>
      </c>
      <c r="O115" s="5">
        <f t="shared" si="50"/>
        <v>0</v>
      </c>
      <c r="P115" s="5">
        <f t="shared" si="50"/>
        <v>1</v>
      </c>
      <c r="Q115" s="5">
        <f t="shared" si="50"/>
        <v>1</v>
      </c>
      <c r="R115" s="5">
        <f t="shared" si="50"/>
        <v>0</v>
      </c>
      <c r="S115" s="5">
        <f t="shared" ref="S115:Z115" si="51">SUM(S105:S114)</f>
        <v>0</v>
      </c>
      <c r="T115" s="5">
        <f t="shared" si="51"/>
        <v>2</v>
      </c>
      <c r="U115" s="5">
        <f t="shared" si="51"/>
        <v>1</v>
      </c>
      <c r="V115" s="5">
        <f t="shared" si="51"/>
        <v>0</v>
      </c>
      <c r="W115" s="5">
        <f t="shared" si="51"/>
        <v>1</v>
      </c>
      <c r="X115" s="5">
        <f t="shared" si="51"/>
        <v>0</v>
      </c>
      <c r="Y115" s="5">
        <f t="shared" si="51"/>
        <v>0</v>
      </c>
      <c r="Z115" s="5">
        <f t="shared" si="51"/>
        <v>0</v>
      </c>
      <c r="AA115" s="5">
        <f t="shared" si="50"/>
        <v>0</v>
      </c>
      <c r="AB115" s="5">
        <f t="shared" si="49"/>
        <v>0</v>
      </c>
      <c r="AC115" s="5">
        <f t="shared" si="49"/>
        <v>1</v>
      </c>
      <c r="AD115" s="5">
        <f t="shared" si="49"/>
        <v>0</v>
      </c>
      <c r="AE115" s="5">
        <f t="shared" si="49"/>
        <v>0</v>
      </c>
      <c r="AF115" s="5">
        <f t="shared" si="49"/>
        <v>0</v>
      </c>
      <c r="AG115" s="5">
        <f t="shared" si="49"/>
        <v>0</v>
      </c>
      <c r="AH115" s="5">
        <f t="shared" si="49"/>
        <v>1</v>
      </c>
      <c r="AI115" s="5">
        <f t="shared" si="49"/>
        <v>0</v>
      </c>
      <c r="AJ115" s="5">
        <f t="shared" si="49"/>
        <v>13</v>
      </c>
    </row>
    <row r="116" spans="1:36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5"/>
    </row>
    <row r="117" spans="1:36" x14ac:dyDescent="0.4">
      <c r="A117" s="11" t="s">
        <v>48</v>
      </c>
      <c r="B117" s="17" t="s">
        <v>59</v>
      </c>
      <c r="C117" s="92" t="s">
        <v>60</v>
      </c>
      <c r="D117" s="66"/>
      <c r="E117" s="6">
        <v>1</v>
      </c>
      <c r="F117" s="6">
        <v>1</v>
      </c>
      <c r="G117" s="6"/>
      <c r="H117" s="6">
        <v>3</v>
      </c>
      <c r="I117" s="6"/>
      <c r="J117" s="6"/>
      <c r="K117" s="6">
        <v>3</v>
      </c>
      <c r="L117" s="6"/>
      <c r="M117" s="6"/>
      <c r="N117" s="6">
        <v>2</v>
      </c>
      <c r="O117" s="6">
        <v>2</v>
      </c>
      <c r="P117" s="6"/>
      <c r="Q117" s="6"/>
      <c r="R117" s="6">
        <v>1</v>
      </c>
      <c r="S117" s="6"/>
      <c r="T117" s="6">
        <v>1</v>
      </c>
      <c r="U117" s="6">
        <v>2</v>
      </c>
      <c r="V117" s="6">
        <v>1</v>
      </c>
      <c r="W117" s="6">
        <v>2</v>
      </c>
      <c r="X117" s="6">
        <v>2</v>
      </c>
      <c r="Y117" s="6"/>
      <c r="Z117" s="6"/>
      <c r="AA117" s="6">
        <v>1</v>
      </c>
      <c r="AB117" s="6"/>
      <c r="AC117" s="6"/>
      <c r="AD117" s="6"/>
      <c r="AE117" s="6"/>
      <c r="AF117" s="6"/>
      <c r="AG117" s="6"/>
      <c r="AH117" s="6"/>
      <c r="AI117" s="6"/>
      <c r="AJ117" s="5">
        <f t="shared" ref="AJ117:AJ126" si="52">SUM(E117:AI117)</f>
        <v>22</v>
      </c>
    </row>
    <row r="118" spans="1:36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>
        <v>1</v>
      </c>
      <c r="L118" s="6"/>
      <c r="M118" s="6"/>
      <c r="N118" s="6"/>
      <c r="O118" s="6"/>
      <c r="P118" s="6"/>
      <c r="Q118" s="6"/>
      <c r="R118" s="6"/>
      <c r="S118" s="6"/>
      <c r="T118" s="6"/>
      <c r="U118" s="6">
        <v>1</v>
      </c>
      <c r="V118" s="6"/>
      <c r="W118" s="6">
        <v>2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5">
        <f t="shared" si="52"/>
        <v>4</v>
      </c>
    </row>
    <row r="119" spans="1:36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5">
        <f t="shared" si="52"/>
        <v>0</v>
      </c>
    </row>
    <row r="120" spans="1:36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5">
        <f t="shared" si="52"/>
        <v>0</v>
      </c>
    </row>
    <row r="121" spans="1:36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5">
        <f t="shared" si="52"/>
        <v>0</v>
      </c>
    </row>
    <row r="122" spans="1:36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5">
        <f t="shared" si="52"/>
        <v>0</v>
      </c>
    </row>
    <row r="123" spans="1:36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5">
        <f t="shared" si="52"/>
        <v>0</v>
      </c>
    </row>
    <row r="124" spans="1:36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5">
        <f t="shared" si="52"/>
        <v>0</v>
      </c>
    </row>
    <row r="125" spans="1:36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5">
        <f t="shared" si="52"/>
        <v>0</v>
      </c>
    </row>
    <row r="126" spans="1:36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5">
        <f t="shared" si="52"/>
        <v>0</v>
      </c>
    </row>
    <row r="127" spans="1:36" x14ac:dyDescent="0.4">
      <c r="A127" s="6" t="s">
        <v>26</v>
      </c>
      <c r="B127" s="85" t="s">
        <v>51</v>
      </c>
      <c r="C127" s="93"/>
      <c r="D127" s="94"/>
      <c r="E127" s="5">
        <f t="shared" ref="E127:AJ127" si="53">SUM(E117:E126)</f>
        <v>1</v>
      </c>
      <c r="F127" s="5">
        <f t="shared" ref="F127:AA127" si="54">SUM(F117:F126)</f>
        <v>1</v>
      </c>
      <c r="G127" s="5">
        <f t="shared" si="54"/>
        <v>0</v>
      </c>
      <c r="H127" s="5">
        <f t="shared" si="54"/>
        <v>3</v>
      </c>
      <c r="I127" s="5">
        <f t="shared" si="54"/>
        <v>0</v>
      </c>
      <c r="J127" s="5">
        <f t="shared" si="54"/>
        <v>0</v>
      </c>
      <c r="K127" s="5">
        <f t="shared" si="54"/>
        <v>4</v>
      </c>
      <c r="L127" s="5">
        <f t="shared" si="54"/>
        <v>0</v>
      </c>
      <c r="M127" s="5">
        <f t="shared" si="54"/>
        <v>0</v>
      </c>
      <c r="N127" s="5">
        <f t="shared" si="54"/>
        <v>2</v>
      </c>
      <c r="O127" s="5">
        <f t="shared" si="54"/>
        <v>2</v>
      </c>
      <c r="P127" s="5">
        <f t="shared" si="54"/>
        <v>0</v>
      </c>
      <c r="Q127" s="5">
        <f t="shared" si="54"/>
        <v>0</v>
      </c>
      <c r="R127" s="5">
        <f t="shared" si="54"/>
        <v>1</v>
      </c>
      <c r="S127" s="5">
        <f t="shared" ref="S127:Z127" si="55">SUM(S117:S126)</f>
        <v>0</v>
      </c>
      <c r="T127" s="5">
        <f t="shared" si="55"/>
        <v>1</v>
      </c>
      <c r="U127" s="5">
        <f t="shared" si="55"/>
        <v>3</v>
      </c>
      <c r="V127" s="5">
        <f t="shared" si="55"/>
        <v>1</v>
      </c>
      <c r="W127" s="5">
        <f t="shared" si="55"/>
        <v>4</v>
      </c>
      <c r="X127" s="5">
        <f t="shared" si="55"/>
        <v>2</v>
      </c>
      <c r="Y127" s="5">
        <f t="shared" si="55"/>
        <v>0</v>
      </c>
      <c r="Z127" s="5">
        <f t="shared" si="55"/>
        <v>0</v>
      </c>
      <c r="AA127" s="5">
        <f t="shared" si="54"/>
        <v>1</v>
      </c>
      <c r="AB127" s="5">
        <f t="shared" si="53"/>
        <v>0</v>
      </c>
      <c r="AC127" s="5">
        <f t="shared" si="53"/>
        <v>0</v>
      </c>
      <c r="AD127" s="5">
        <f t="shared" si="53"/>
        <v>0</v>
      </c>
      <c r="AE127" s="5">
        <f t="shared" si="53"/>
        <v>0</v>
      </c>
      <c r="AF127" s="5">
        <f t="shared" si="53"/>
        <v>0</v>
      </c>
      <c r="AG127" s="5">
        <f t="shared" si="53"/>
        <v>0</v>
      </c>
      <c r="AH127" s="5">
        <f t="shared" si="53"/>
        <v>0</v>
      </c>
      <c r="AI127" s="5">
        <f t="shared" si="53"/>
        <v>0</v>
      </c>
      <c r="AJ127" s="5">
        <f t="shared" si="53"/>
        <v>26</v>
      </c>
    </row>
    <row r="128" spans="1:36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spans="1:36" x14ac:dyDescent="0.4">
      <c r="A129" s="11" t="s">
        <v>48</v>
      </c>
      <c r="B129" s="17" t="s">
        <v>61</v>
      </c>
      <c r="C129" s="92" t="s">
        <v>62</v>
      </c>
      <c r="D129" s="66"/>
      <c r="E129" s="6">
        <v>1</v>
      </c>
      <c r="F129" s="6"/>
      <c r="G129" s="6"/>
      <c r="H129" s="6">
        <v>1</v>
      </c>
      <c r="I129" s="6"/>
      <c r="J129" s="6">
        <v>2</v>
      </c>
      <c r="K129" s="6"/>
      <c r="L129" s="6">
        <v>2</v>
      </c>
      <c r="M129" s="6"/>
      <c r="N129" s="6">
        <v>1</v>
      </c>
      <c r="O129" s="6"/>
      <c r="P129" s="6">
        <v>1</v>
      </c>
      <c r="Q129" s="6">
        <v>2</v>
      </c>
      <c r="R129" s="6"/>
      <c r="S129" s="6"/>
      <c r="T129" s="6">
        <v>2</v>
      </c>
      <c r="U129" s="6"/>
      <c r="V129" s="6">
        <v>1</v>
      </c>
      <c r="W129" s="6">
        <v>1</v>
      </c>
      <c r="X129" s="6"/>
      <c r="Y129" s="6"/>
      <c r="Z129" s="6">
        <v>2</v>
      </c>
      <c r="AA129" s="6">
        <v>1</v>
      </c>
      <c r="AB129" s="6">
        <v>2</v>
      </c>
      <c r="AC129" s="6">
        <v>2</v>
      </c>
      <c r="AD129" s="6">
        <v>1</v>
      </c>
      <c r="AE129" s="6"/>
      <c r="AF129" s="6"/>
      <c r="AG129" s="6"/>
      <c r="AH129" s="6"/>
      <c r="AI129" s="6">
        <v>1</v>
      </c>
      <c r="AJ129" s="5">
        <f t="shared" ref="AJ129:AJ138" si="56">SUM(E129:AI129)</f>
        <v>23</v>
      </c>
    </row>
    <row r="130" spans="1:36" ht="13.15" customHeight="1" x14ac:dyDescent="0.4">
      <c r="A130" s="11" t="s">
        <v>50</v>
      </c>
      <c r="B130" s="50"/>
      <c r="C130" s="24" t="s">
        <v>184</v>
      </c>
      <c r="D130" s="51"/>
      <c r="E130" s="6">
        <v>5</v>
      </c>
      <c r="F130" s="6">
        <v>7</v>
      </c>
      <c r="G130" s="6">
        <v>1</v>
      </c>
      <c r="H130" s="6">
        <v>1</v>
      </c>
      <c r="I130" s="6">
        <v>6</v>
      </c>
      <c r="J130" s="6">
        <v>2</v>
      </c>
      <c r="K130" s="6">
        <v>4</v>
      </c>
      <c r="L130" s="6">
        <v>8</v>
      </c>
      <c r="M130" s="6">
        <v>2</v>
      </c>
      <c r="N130" s="6">
        <v>7</v>
      </c>
      <c r="O130" s="6">
        <v>20</v>
      </c>
      <c r="P130" s="6">
        <v>13</v>
      </c>
      <c r="Q130" s="6">
        <v>14</v>
      </c>
      <c r="R130" s="6">
        <v>12</v>
      </c>
      <c r="S130" s="6"/>
      <c r="T130" s="6">
        <v>11</v>
      </c>
      <c r="U130" s="6">
        <v>3</v>
      </c>
      <c r="V130" s="6">
        <v>13</v>
      </c>
      <c r="W130" s="6">
        <v>4</v>
      </c>
      <c r="X130" s="6">
        <v>21</v>
      </c>
      <c r="Y130" s="6">
        <v>3</v>
      </c>
      <c r="Z130" s="6">
        <v>30</v>
      </c>
      <c r="AA130" s="6">
        <v>12</v>
      </c>
      <c r="AB130" s="6">
        <v>23</v>
      </c>
      <c r="AC130" s="6">
        <v>8</v>
      </c>
      <c r="AD130" s="6">
        <v>1</v>
      </c>
      <c r="AE130" s="6">
        <v>1</v>
      </c>
      <c r="AF130" s="6">
        <v>1</v>
      </c>
      <c r="AG130" s="6">
        <v>17</v>
      </c>
      <c r="AH130" s="6"/>
      <c r="AI130" s="6">
        <v>7</v>
      </c>
      <c r="AJ130" s="5">
        <f t="shared" si="56"/>
        <v>257</v>
      </c>
    </row>
    <row r="131" spans="1:36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>
        <v>1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>
        <v>1</v>
      </c>
      <c r="AA131" s="6"/>
      <c r="AB131" s="6"/>
      <c r="AC131" s="6"/>
      <c r="AD131" s="6">
        <v>1</v>
      </c>
      <c r="AE131" s="6">
        <v>1</v>
      </c>
      <c r="AF131" s="6">
        <v>1</v>
      </c>
      <c r="AG131" s="6"/>
      <c r="AH131" s="6"/>
      <c r="AI131" s="6"/>
      <c r="AJ131" s="5">
        <f t="shared" si="56"/>
        <v>5</v>
      </c>
    </row>
    <row r="132" spans="1:36" x14ac:dyDescent="0.4">
      <c r="A132" s="7"/>
      <c r="B132" s="50"/>
      <c r="C132" s="24" t="s">
        <v>186</v>
      </c>
      <c r="D132" s="51"/>
      <c r="E132" s="6"/>
      <c r="F132" s="6"/>
      <c r="G132" s="6"/>
      <c r="H132" s="6">
        <v>1</v>
      </c>
      <c r="I132" s="6"/>
      <c r="J132" s="6"/>
      <c r="K132" s="6"/>
      <c r="L132" s="6"/>
      <c r="M132" s="6"/>
      <c r="N132" s="6">
        <v>1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>
        <v>3</v>
      </c>
      <c r="AI132" s="6">
        <v>3</v>
      </c>
      <c r="AJ132" s="5">
        <f t="shared" si="56"/>
        <v>8</v>
      </c>
    </row>
    <row r="133" spans="1:36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>
        <v>1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>
        <v>1</v>
      </c>
      <c r="AI133" s="6"/>
      <c r="AJ133" s="5">
        <f t="shared" si="56"/>
        <v>2</v>
      </c>
    </row>
    <row r="134" spans="1:36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>
        <v>1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5">
        <f t="shared" si="56"/>
        <v>1</v>
      </c>
    </row>
    <row r="135" spans="1:36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>
        <v>1</v>
      </c>
      <c r="AB135" s="6"/>
      <c r="AC135" s="6"/>
      <c r="AD135" s="6"/>
      <c r="AE135" s="6"/>
      <c r="AF135" s="6"/>
      <c r="AG135" s="6"/>
      <c r="AH135" s="6"/>
      <c r="AI135" s="6"/>
      <c r="AJ135" s="5">
        <f t="shared" si="56"/>
        <v>1</v>
      </c>
    </row>
    <row r="136" spans="1:36" x14ac:dyDescent="0.4">
      <c r="A136" s="7"/>
      <c r="B136" s="50"/>
      <c r="C136" s="24" t="s">
        <v>190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>
        <v>1</v>
      </c>
      <c r="AH136" s="6"/>
      <c r="AI136" s="6"/>
      <c r="AJ136" s="5">
        <f t="shared" si="56"/>
        <v>1</v>
      </c>
    </row>
    <row r="137" spans="1:36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5">
        <f t="shared" si="56"/>
        <v>0</v>
      </c>
    </row>
    <row r="138" spans="1:36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5">
        <f t="shared" si="56"/>
        <v>0</v>
      </c>
    </row>
    <row r="139" spans="1:36" x14ac:dyDescent="0.4">
      <c r="A139" s="6" t="s">
        <v>26</v>
      </c>
      <c r="B139" s="85" t="s">
        <v>51</v>
      </c>
      <c r="C139" s="93"/>
      <c r="D139" s="94"/>
      <c r="E139" s="5">
        <f t="shared" ref="E139:AJ139" si="57">SUM(E129:E138)</f>
        <v>6</v>
      </c>
      <c r="F139" s="5">
        <f t="shared" ref="F139:AA139" si="58">SUM(F129:F138)</f>
        <v>7</v>
      </c>
      <c r="G139" s="5">
        <f t="shared" si="58"/>
        <v>1</v>
      </c>
      <c r="H139" s="5">
        <f t="shared" si="58"/>
        <v>3</v>
      </c>
      <c r="I139" s="5">
        <f t="shared" si="58"/>
        <v>6</v>
      </c>
      <c r="J139" s="5">
        <f t="shared" si="58"/>
        <v>4</v>
      </c>
      <c r="K139" s="5">
        <f t="shared" si="58"/>
        <v>5</v>
      </c>
      <c r="L139" s="5">
        <f t="shared" si="58"/>
        <v>10</v>
      </c>
      <c r="M139" s="5">
        <f t="shared" si="58"/>
        <v>2</v>
      </c>
      <c r="N139" s="5">
        <f t="shared" si="58"/>
        <v>10</v>
      </c>
      <c r="O139" s="5">
        <f t="shared" si="58"/>
        <v>20</v>
      </c>
      <c r="P139" s="5">
        <f t="shared" si="58"/>
        <v>14</v>
      </c>
      <c r="Q139" s="5">
        <f t="shared" si="58"/>
        <v>16</v>
      </c>
      <c r="R139" s="5">
        <f t="shared" si="58"/>
        <v>12</v>
      </c>
      <c r="S139" s="5">
        <f t="shared" ref="S139:Z139" si="59">SUM(S129:S138)</f>
        <v>1</v>
      </c>
      <c r="T139" s="5">
        <f t="shared" si="59"/>
        <v>13</v>
      </c>
      <c r="U139" s="5">
        <f t="shared" si="59"/>
        <v>3</v>
      </c>
      <c r="V139" s="5">
        <f t="shared" si="59"/>
        <v>14</v>
      </c>
      <c r="W139" s="5">
        <f t="shared" si="59"/>
        <v>5</v>
      </c>
      <c r="X139" s="5">
        <f t="shared" si="59"/>
        <v>21</v>
      </c>
      <c r="Y139" s="5">
        <f t="shared" si="59"/>
        <v>3</v>
      </c>
      <c r="Z139" s="5">
        <f t="shared" si="59"/>
        <v>33</v>
      </c>
      <c r="AA139" s="5">
        <f t="shared" si="58"/>
        <v>14</v>
      </c>
      <c r="AB139" s="5">
        <f t="shared" si="57"/>
        <v>25</v>
      </c>
      <c r="AC139" s="5">
        <f t="shared" si="57"/>
        <v>10</v>
      </c>
      <c r="AD139" s="5">
        <f t="shared" si="57"/>
        <v>3</v>
      </c>
      <c r="AE139" s="5">
        <f t="shared" si="57"/>
        <v>2</v>
      </c>
      <c r="AF139" s="5">
        <f t="shared" si="57"/>
        <v>2</v>
      </c>
      <c r="AG139" s="5">
        <f t="shared" si="57"/>
        <v>18</v>
      </c>
      <c r="AH139" s="5">
        <f t="shared" si="57"/>
        <v>4</v>
      </c>
      <c r="AI139" s="5">
        <f t="shared" si="57"/>
        <v>11</v>
      </c>
      <c r="AJ139" s="5">
        <f t="shared" si="57"/>
        <v>298</v>
      </c>
    </row>
    <row r="140" spans="1:36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spans="1:36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>
        <v>1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5">
        <f t="shared" ref="AJ141:AJ150" si="60">SUM(E141:AI141)</f>
        <v>1</v>
      </c>
    </row>
    <row r="142" spans="1:36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>
        <v>1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2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5">
        <f t="shared" si="60"/>
        <v>3</v>
      </c>
    </row>
    <row r="143" spans="1:36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5">
        <f t="shared" si="60"/>
        <v>0</v>
      </c>
    </row>
    <row r="144" spans="1:36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5">
        <f t="shared" si="60"/>
        <v>0</v>
      </c>
    </row>
    <row r="145" spans="1:36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5">
        <f t="shared" si="60"/>
        <v>0</v>
      </c>
    </row>
    <row r="146" spans="1:36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5">
        <f t="shared" si="60"/>
        <v>0</v>
      </c>
    </row>
    <row r="147" spans="1:36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5">
        <f t="shared" si="60"/>
        <v>0</v>
      </c>
    </row>
    <row r="148" spans="1:36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5">
        <f t="shared" si="60"/>
        <v>0</v>
      </c>
    </row>
    <row r="149" spans="1:36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5">
        <f t="shared" si="60"/>
        <v>0</v>
      </c>
    </row>
    <row r="150" spans="1:36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5">
        <f t="shared" si="60"/>
        <v>0</v>
      </c>
    </row>
    <row r="151" spans="1:36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AJ151" si="61">SUM(E141:E150)</f>
        <v>0</v>
      </c>
      <c r="F151" s="5">
        <f t="shared" ref="F151:AA151" si="62">SUM(F141:F150)</f>
        <v>0</v>
      </c>
      <c r="G151" s="5">
        <f t="shared" si="62"/>
        <v>0</v>
      </c>
      <c r="H151" s="5">
        <f t="shared" si="62"/>
        <v>0</v>
      </c>
      <c r="I151" s="5">
        <f t="shared" si="62"/>
        <v>0</v>
      </c>
      <c r="J151" s="5">
        <f t="shared" si="62"/>
        <v>1</v>
      </c>
      <c r="K151" s="5">
        <f t="shared" si="62"/>
        <v>0</v>
      </c>
      <c r="L151" s="5">
        <f t="shared" si="62"/>
        <v>1</v>
      </c>
      <c r="M151" s="5">
        <f t="shared" si="62"/>
        <v>0</v>
      </c>
      <c r="N151" s="5">
        <f t="shared" si="62"/>
        <v>0</v>
      </c>
      <c r="O151" s="5">
        <f t="shared" si="62"/>
        <v>0</v>
      </c>
      <c r="P151" s="5">
        <f t="shared" si="62"/>
        <v>0</v>
      </c>
      <c r="Q151" s="5">
        <f t="shared" si="62"/>
        <v>0</v>
      </c>
      <c r="R151" s="5">
        <f t="shared" si="62"/>
        <v>0</v>
      </c>
      <c r="S151" s="5">
        <f t="shared" ref="S151:Z151" si="63">SUM(S141:S150)</f>
        <v>0</v>
      </c>
      <c r="T151" s="5">
        <f t="shared" si="63"/>
        <v>0</v>
      </c>
      <c r="U151" s="5">
        <f t="shared" si="63"/>
        <v>0</v>
      </c>
      <c r="V151" s="5">
        <f t="shared" si="63"/>
        <v>0</v>
      </c>
      <c r="W151" s="5">
        <f t="shared" si="63"/>
        <v>2</v>
      </c>
      <c r="X151" s="5">
        <f t="shared" si="63"/>
        <v>0</v>
      </c>
      <c r="Y151" s="5">
        <f t="shared" si="63"/>
        <v>0</v>
      </c>
      <c r="Z151" s="5">
        <f t="shared" si="63"/>
        <v>0</v>
      </c>
      <c r="AA151" s="5">
        <f t="shared" si="62"/>
        <v>0</v>
      </c>
      <c r="AB151" s="5">
        <f t="shared" si="61"/>
        <v>0</v>
      </c>
      <c r="AC151" s="5">
        <f t="shared" si="61"/>
        <v>0</v>
      </c>
      <c r="AD151" s="5">
        <f t="shared" si="61"/>
        <v>0</v>
      </c>
      <c r="AE151" s="5">
        <f t="shared" si="61"/>
        <v>0</v>
      </c>
      <c r="AF151" s="5">
        <f t="shared" si="61"/>
        <v>0</v>
      </c>
      <c r="AG151" s="5">
        <f t="shared" si="61"/>
        <v>0</v>
      </c>
      <c r="AH151" s="5">
        <f t="shared" si="61"/>
        <v>0</v>
      </c>
      <c r="AI151" s="5">
        <f t="shared" si="61"/>
        <v>0</v>
      </c>
      <c r="AJ151" s="5">
        <f t="shared" si="61"/>
        <v>4</v>
      </c>
    </row>
    <row r="152" spans="1:36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5"/>
    </row>
    <row r="153" spans="1:36" x14ac:dyDescent="0.4">
      <c r="A153" s="11" t="s">
        <v>48</v>
      </c>
      <c r="B153" s="44" t="s">
        <v>65</v>
      </c>
      <c r="C153" s="96" t="s">
        <v>66</v>
      </c>
      <c r="D153" s="74"/>
      <c r="E153" s="6"/>
      <c r="F153" s="6"/>
      <c r="G153" s="6"/>
      <c r="H153" s="6">
        <v>1</v>
      </c>
      <c r="I153" s="6"/>
      <c r="J153" s="6"/>
      <c r="K153" s="6"/>
      <c r="L153" s="6"/>
      <c r="M153" s="6"/>
      <c r="N153" s="6"/>
      <c r="O153" s="6"/>
      <c r="P153" s="6"/>
      <c r="Q153" s="6">
        <v>2</v>
      </c>
      <c r="R153" s="6"/>
      <c r="S153" s="6"/>
      <c r="T153" s="6">
        <v>3</v>
      </c>
      <c r="U153" s="6"/>
      <c r="V153" s="6"/>
      <c r="W153" s="6"/>
      <c r="X153" s="6"/>
      <c r="Y153" s="6"/>
      <c r="Z153" s="6"/>
      <c r="AA153" s="6"/>
      <c r="AB153" s="6">
        <v>1</v>
      </c>
      <c r="AC153" s="6">
        <v>1</v>
      </c>
      <c r="AD153" s="6"/>
      <c r="AE153" s="6">
        <v>2</v>
      </c>
      <c r="AF153" s="6">
        <v>1</v>
      </c>
      <c r="AG153" s="6"/>
      <c r="AH153" s="6">
        <v>1</v>
      </c>
      <c r="AI153" s="6"/>
      <c r="AJ153" s="5">
        <f t="shared" ref="AJ153:AJ162" si="64">SUM(E153:AI153)</f>
        <v>12</v>
      </c>
    </row>
    <row r="154" spans="1:36" x14ac:dyDescent="0.4">
      <c r="A154" s="52" t="s">
        <v>50</v>
      </c>
      <c r="B154" s="50"/>
      <c r="C154" s="24" t="s">
        <v>193</v>
      </c>
      <c r="D154" s="51"/>
      <c r="E154" s="53">
        <v>2</v>
      </c>
      <c r="F154" s="6"/>
      <c r="G154" s="6">
        <v>2</v>
      </c>
      <c r="H154" s="6">
        <v>1</v>
      </c>
      <c r="I154" s="6">
        <v>1</v>
      </c>
      <c r="J154" s="6"/>
      <c r="K154" s="6"/>
      <c r="L154" s="6"/>
      <c r="M154" s="6"/>
      <c r="N154" s="6">
        <v>1</v>
      </c>
      <c r="O154" s="6"/>
      <c r="P154" s="6"/>
      <c r="Q154" s="6">
        <v>1</v>
      </c>
      <c r="R154" s="6">
        <v>1</v>
      </c>
      <c r="S154" s="6">
        <v>1</v>
      </c>
      <c r="T154" s="6">
        <v>1</v>
      </c>
      <c r="U154" s="6"/>
      <c r="V154" s="6"/>
      <c r="W154" s="6"/>
      <c r="X154" s="6"/>
      <c r="Y154" s="6"/>
      <c r="Z154" s="6"/>
      <c r="AA154" s="6"/>
      <c r="AB154" s="6">
        <v>1</v>
      </c>
      <c r="AC154" s="6"/>
      <c r="AD154" s="6">
        <v>1</v>
      </c>
      <c r="AE154" s="6"/>
      <c r="AF154" s="6"/>
      <c r="AG154" s="6"/>
      <c r="AH154" s="6"/>
      <c r="AI154" s="6"/>
      <c r="AJ154" s="5">
        <f t="shared" si="64"/>
        <v>13</v>
      </c>
    </row>
    <row r="155" spans="1:36" x14ac:dyDescent="0.4">
      <c r="A155" s="7"/>
      <c r="B155" s="50"/>
      <c r="C155" s="24" t="s">
        <v>194</v>
      </c>
      <c r="D155" s="51"/>
      <c r="E155" s="53">
        <v>1</v>
      </c>
      <c r="F155" s="6">
        <v>12</v>
      </c>
      <c r="G155" s="6">
        <v>2</v>
      </c>
      <c r="H155" s="6">
        <v>9</v>
      </c>
      <c r="I155" s="6">
        <v>1</v>
      </c>
      <c r="J155" s="6">
        <v>13</v>
      </c>
      <c r="K155" s="6">
        <v>10</v>
      </c>
      <c r="L155" s="6">
        <v>21</v>
      </c>
      <c r="M155" s="6">
        <v>18</v>
      </c>
      <c r="N155" s="6">
        <v>18</v>
      </c>
      <c r="O155" s="6">
        <v>12</v>
      </c>
      <c r="P155" s="6">
        <v>7</v>
      </c>
      <c r="Q155" s="6">
        <v>35</v>
      </c>
      <c r="R155" s="6">
        <v>37</v>
      </c>
      <c r="S155" s="6">
        <v>52</v>
      </c>
      <c r="T155" s="6">
        <v>34</v>
      </c>
      <c r="U155" s="6">
        <v>7</v>
      </c>
      <c r="V155" s="6">
        <v>5</v>
      </c>
      <c r="W155" s="6"/>
      <c r="X155" s="6">
        <v>4</v>
      </c>
      <c r="Y155" s="6">
        <v>2</v>
      </c>
      <c r="Z155" s="6">
        <v>11</v>
      </c>
      <c r="AA155" s="6">
        <v>1</v>
      </c>
      <c r="AB155" s="6"/>
      <c r="AC155" s="6">
        <v>12</v>
      </c>
      <c r="AD155" s="6">
        <v>14</v>
      </c>
      <c r="AE155" s="6">
        <v>16</v>
      </c>
      <c r="AF155" s="6">
        <v>38</v>
      </c>
      <c r="AG155" s="6">
        <v>17</v>
      </c>
      <c r="AH155" s="6">
        <v>3</v>
      </c>
      <c r="AI155" s="6">
        <v>9</v>
      </c>
      <c r="AJ155" s="5">
        <f t="shared" si="64"/>
        <v>421</v>
      </c>
    </row>
    <row r="156" spans="1:36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/>
      <c r="J156" s="6"/>
      <c r="K156" s="6"/>
      <c r="L156" s="6">
        <v>1</v>
      </c>
      <c r="M156" s="6"/>
      <c r="N156" s="6"/>
      <c r="O156" s="6">
        <v>2</v>
      </c>
      <c r="P156" s="6"/>
      <c r="Q156" s="6"/>
      <c r="R156" s="6"/>
      <c r="S156" s="6"/>
      <c r="T156" s="6">
        <v>1</v>
      </c>
      <c r="U156" s="6"/>
      <c r="V156" s="6"/>
      <c r="W156" s="6"/>
      <c r="X156" s="6"/>
      <c r="Y156" s="6"/>
      <c r="Z156" s="6">
        <v>1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5">
        <f t="shared" si="64"/>
        <v>5</v>
      </c>
    </row>
    <row r="157" spans="1:36" x14ac:dyDescent="0.4">
      <c r="A157" s="7"/>
      <c r="B157" s="50"/>
      <c r="C157" s="24" t="s">
        <v>196</v>
      </c>
      <c r="D157" s="51"/>
      <c r="E157" s="53">
        <v>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>
        <v>1</v>
      </c>
      <c r="U157" s="6"/>
      <c r="V157" s="6"/>
      <c r="W157" s="6"/>
      <c r="X157" s="6"/>
      <c r="Y157" s="6">
        <v>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5">
        <f t="shared" si="64"/>
        <v>3</v>
      </c>
    </row>
    <row r="158" spans="1:36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5">
        <f t="shared" si="64"/>
        <v>0</v>
      </c>
    </row>
    <row r="159" spans="1:36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5">
        <f t="shared" si="64"/>
        <v>0</v>
      </c>
    </row>
    <row r="160" spans="1:36" x14ac:dyDescent="0.4">
      <c r="A160" s="7"/>
      <c r="B160" s="50"/>
      <c r="C160" s="24" t="s">
        <v>199</v>
      </c>
      <c r="D160" s="51"/>
      <c r="E160" s="53"/>
      <c r="F160" s="6"/>
      <c r="G160" s="6"/>
      <c r="H160" s="6"/>
      <c r="I160" s="6"/>
      <c r="J160" s="6"/>
      <c r="K160" s="6"/>
      <c r="L160" s="6">
        <v>1</v>
      </c>
      <c r="M160" s="6"/>
      <c r="N160" s="6"/>
      <c r="O160" s="6"/>
      <c r="P160" s="6"/>
      <c r="Q160" s="6">
        <v>1</v>
      </c>
      <c r="R160" s="6"/>
      <c r="S160" s="6"/>
      <c r="T160" s="6"/>
      <c r="U160" s="6">
        <v>1</v>
      </c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>
        <v>4</v>
      </c>
      <c r="AI160" s="6"/>
      <c r="AJ160" s="5">
        <f t="shared" si="64"/>
        <v>7</v>
      </c>
    </row>
    <row r="161" spans="1:36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5">
        <f t="shared" si="64"/>
        <v>0</v>
      </c>
    </row>
    <row r="162" spans="1:36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5">
        <f t="shared" si="64"/>
        <v>0</v>
      </c>
    </row>
    <row r="163" spans="1:36" x14ac:dyDescent="0.4">
      <c r="A163" s="6" t="s">
        <v>26</v>
      </c>
      <c r="B163" s="97" t="s">
        <v>51</v>
      </c>
      <c r="C163" s="98"/>
      <c r="D163" s="99"/>
      <c r="E163" s="5">
        <f t="shared" ref="E163:AJ163" si="65">SUM(E153:E162)</f>
        <v>4</v>
      </c>
      <c r="F163" s="5">
        <f t="shared" ref="F163:AA163" si="66">SUM(F153:F162)</f>
        <v>12</v>
      </c>
      <c r="G163" s="5">
        <f t="shared" si="66"/>
        <v>4</v>
      </c>
      <c r="H163" s="5">
        <f t="shared" si="66"/>
        <v>11</v>
      </c>
      <c r="I163" s="5">
        <f t="shared" si="66"/>
        <v>2</v>
      </c>
      <c r="J163" s="5">
        <f t="shared" si="66"/>
        <v>13</v>
      </c>
      <c r="K163" s="5">
        <f t="shared" si="66"/>
        <v>10</v>
      </c>
      <c r="L163" s="5">
        <f t="shared" si="66"/>
        <v>23</v>
      </c>
      <c r="M163" s="5">
        <f t="shared" si="66"/>
        <v>18</v>
      </c>
      <c r="N163" s="5">
        <f t="shared" si="66"/>
        <v>19</v>
      </c>
      <c r="O163" s="5">
        <f t="shared" si="66"/>
        <v>14</v>
      </c>
      <c r="P163" s="5">
        <f t="shared" si="66"/>
        <v>7</v>
      </c>
      <c r="Q163" s="5">
        <f t="shared" si="66"/>
        <v>39</v>
      </c>
      <c r="R163" s="5">
        <f t="shared" si="66"/>
        <v>38</v>
      </c>
      <c r="S163" s="5">
        <f t="shared" ref="S163:Z163" si="67">SUM(S153:S162)</f>
        <v>53</v>
      </c>
      <c r="T163" s="5">
        <f t="shared" si="67"/>
        <v>40</v>
      </c>
      <c r="U163" s="5">
        <f t="shared" si="67"/>
        <v>8</v>
      </c>
      <c r="V163" s="5">
        <f t="shared" si="67"/>
        <v>5</v>
      </c>
      <c r="W163" s="5">
        <f t="shared" si="67"/>
        <v>0</v>
      </c>
      <c r="X163" s="5">
        <f t="shared" si="67"/>
        <v>4</v>
      </c>
      <c r="Y163" s="5">
        <f t="shared" si="67"/>
        <v>3</v>
      </c>
      <c r="Z163" s="5">
        <f t="shared" si="67"/>
        <v>12</v>
      </c>
      <c r="AA163" s="5">
        <f t="shared" si="66"/>
        <v>1</v>
      </c>
      <c r="AB163" s="5">
        <f t="shared" si="65"/>
        <v>2</v>
      </c>
      <c r="AC163" s="5">
        <f t="shared" si="65"/>
        <v>13</v>
      </c>
      <c r="AD163" s="5">
        <f t="shared" si="65"/>
        <v>15</v>
      </c>
      <c r="AE163" s="5">
        <f t="shared" si="65"/>
        <v>18</v>
      </c>
      <c r="AF163" s="5">
        <f t="shared" si="65"/>
        <v>39</v>
      </c>
      <c r="AG163" s="5">
        <f t="shared" si="65"/>
        <v>17</v>
      </c>
      <c r="AH163" s="5">
        <f t="shared" si="65"/>
        <v>8</v>
      </c>
      <c r="AI163" s="5">
        <f t="shared" si="65"/>
        <v>9</v>
      </c>
      <c r="AJ163" s="5">
        <f t="shared" si="65"/>
        <v>461</v>
      </c>
    </row>
    <row r="164" spans="1:36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spans="1:36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>
        <v>1</v>
      </c>
      <c r="F165" s="6"/>
      <c r="G165" s="6"/>
      <c r="H165" s="6"/>
      <c r="I165" s="6"/>
      <c r="J165" s="6">
        <v>1</v>
      </c>
      <c r="K165" s="6"/>
      <c r="L165" s="6">
        <v>1</v>
      </c>
      <c r="M165" s="6">
        <v>1</v>
      </c>
      <c r="N165" s="6">
        <v>1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5">
        <f t="shared" ref="AJ165:AJ174" si="68">SUM(E165:AI165)</f>
        <v>5</v>
      </c>
    </row>
    <row r="166" spans="1:36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5">
        <f t="shared" si="68"/>
        <v>0</v>
      </c>
    </row>
    <row r="167" spans="1:36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5">
        <f t="shared" si="68"/>
        <v>0</v>
      </c>
    </row>
    <row r="168" spans="1:36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5">
        <f t="shared" si="68"/>
        <v>0</v>
      </c>
    </row>
    <row r="169" spans="1:36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5">
        <f t="shared" si="68"/>
        <v>0</v>
      </c>
    </row>
    <row r="170" spans="1:36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5">
        <f t="shared" si="68"/>
        <v>0</v>
      </c>
    </row>
    <row r="171" spans="1:36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5">
        <f t="shared" si="68"/>
        <v>0</v>
      </c>
    </row>
    <row r="172" spans="1:36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5">
        <f t="shared" si="68"/>
        <v>0</v>
      </c>
    </row>
    <row r="173" spans="1:36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5">
        <f t="shared" si="68"/>
        <v>0</v>
      </c>
    </row>
    <row r="174" spans="1:36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5">
        <f t="shared" si="68"/>
        <v>0</v>
      </c>
    </row>
    <row r="175" spans="1:36" x14ac:dyDescent="0.4">
      <c r="A175" s="6" t="s">
        <v>26</v>
      </c>
      <c r="B175" s="85" t="s">
        <v>51</v>
      </c>
      <c r="C175" s="93"/>
      <c r="D175" s="94"/>
      <c r="E175" s="5">
        <f t="shared" ref="E175:AJ175" si="69">SUM(E165:E174)</f>
        <v>1</v>
      </c>
      <c r="F175" s="5">
        <f t="shared" ref="F175:AA175" si="70">SUM(F165:F174)</f>
        <v>0</v>
      </c>
      <c r="G175" s="5">
        <f t="shared" si="70"/>
        <v>0</v>
      </c>
      <c r="H175" s="5">
        <f t="shared" si="70"/>
        <v>0</v>
      </c>
      <c r="I175" s="5">
        <f t="shared" si="70"/>
        <v>0</v>
      </c>
      <c r="J175" s="5">
        <f t="shared" si="70"/>
        <v>1</v>
      </c>
      <c r="K175" s="5">
        <f t="shared" si="70"/>
        <v>0</v>
      </c>
      <c r="L175" s="5">
        <f t="shared" si="70"/>
        <v>1</v>
      </c>
      <c r="M175" s="5">
        <f t="shared" si="70"/>
        <v>1</v>
      </c>
      <c r="N175" s="5">
        <f t="shared" si="70"/>
        <v>1</v>
      </c>
      <c r="O175" s="5">
        <f t="shared" si="70"/>
        <v>0</v>
      </c>
      <c r="P175" s="5">
        <f t="shared" si="70"/>
        <v>0</v>
      </c>
      <c r="Q175" s="5">
        <f t="shared" si="70"/>
        <v>0</v>
      </c>
      <c r="R175" s="5">
        <f t="shared" si="70"/>
        <v>0</v>
      </c>
      <c r="S175" s="5">
        <f t="shared" ref="S175:Z175" si="71">SUM(S165:S174)</f>
        <v>0</v>
      </c>
      <c r="T175" s="5">
        <f t="shared" si="71"/>
        <v>0</v>
      </c>
      <c r="U175" s="5">
        <f t="shared" si="71"/>
        <v>0</v>
      </c>
      <c r="V175" s="5">
        <f t="shared" si="71"/>
        <v>0</v>
      </c>
      <c r="W175" s="5">
        <f t="shared" si="71"/>
        <v>0</v>
      </c>
      <c r="X175" s="5">
        <f t="shared" si="71"/>
        <v>0</v>
      </c>
      <c r="Y175" s="5">
        <f t="shared" si="71"/>
        <v>0</v>
      </c>
      <c r="Z175" s="5">
        <f t="shared" si="71"/>
        <v>0</v>
      </c>
      <c r="AA175" s="5">
        <f t="shared" si="70"/>
        <v>0</v>
      </c>
      <c r="AB175" s="5">
        <f t="shared" si="69"/>
        <v>0</v>
      </c>
      <c r="AC175" s="5">
        <f t="shared" si="69"/>
        <v>0</v>
      </c>
      <c r="AD175" s="5">
        <f t="shared" si="69"/>
        <v>0</v>
      </c>
      <c r="AE175" s="5">
        <f t="shared" si="69"/>
        <v>0</v>
      </c>
      <c r="AF175" s="5">
        <f t="shared" si="69"/>
        <v>0</v>
      </c>
      <c r="AG175" s="5">
        <f t="shared" si="69"/>
        <v>0</v>
      </c>
      <c r="AH175" s="5">
        <f t="shared" si="69"/>
        <v>0</v>
      </c>
      <c r="AI175" s="5">
        <f t="shared" si="69"/>
        <v>0</v>
      </c>
      <c r="AJ175" s="5">
        <f t="shared" si="69"/>
        <v>5</v>
      </c>
    </row>
    <row r="176" spans="1:36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spans="1:36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/>
      <c r="G177" s="6"/>
      <c r="H177" s="6">
        <v>1</v>
      </c>
      <c r="I177" s="6"/>
      <c r="J177" s="6">
        <v>1</v>
      </c>
      <c r="K177" s="6"/>
      <c r="L177" s="6"/>
      <c r="M177" s="6"/>
      <c r="N177" s="6">
        <v>1</v>
      </c>
      <c r="O177" s="6"/>
      <c r="P177" s="6"/>
      <c r="Q177" s="6">
        <v>2</v>
      </c>
      <c r="R177" s="6"/>
      <c r="S177" s="6"/>
      <c r="T177" s="6">
        <v>2</v>
      </c>
      <c r="U177" s="6"/>
      <c r="V177" s="6"/>
      <c r="W177" s="6">
        <v>1</v>
      </c>
      <c r="X177" s="6"/>
      <c r="Y177" s="6"/>
      <c r="Z177" s="6"/>
      <c r="AA177" s="6"/>
      <c r="AB177" s="6"/>
      <c r="AC177" s="6"/>
      <c r="AD177" s="6"/>
      <c r="AE177" s="6">
        <v>1</v>
      </c>
      <c r="AF177" s="6"/>
      <c r="AG177" s="6"/>
      <c r="AH177" s="6"/>
      <c r="AI177" s="6"/>
      <c r="AJ177" s="5">
        <f t="shared" ref="AJ177:AJ186" si="72">SUM(E177:AI177)</f>
        <v>9</v>
      </c>
    </row>
    <row r="178" spans="1:36" x14ac:dyDescent="0.4">
      <c r="A178" s="11" t="s">
        <v>50</v>
      </c>
      <c r="B178" s="50"/>
      <c r="C178" s="24" t="s">
        <v>200</v>
      </c>
      <c r="D178" s="51"/>
      <c r="E178" s="6"/>
      <c r="F178" s="6"/>
      <c r="G178" s="6"/>
      <c r="H178" s="6"/>
      <c r="I178" s="6">
        <v>1</v>
      </c>
      <c r="J178" s="6"/>
      <c r="K178" s="6"/>
      <c r="L178" s="6">
        <v>2</v>
      </c>
      <c r="M178" s="6"/>
      <c r="N178" s="6"/>
      <c r="O178" s="6"/>
      <c r="P178" s="6"/>
      <c r="Q178" s="6"/>
      <c r="R178" s="6"/>
      <c r="S178" s="6">
        <v>1</v>
      </c>
      <c r="T178" s="6"/>
      <c r="U178" s="6"/>
      <c r="V178" s="6">
        <v>1</v>
      </c>
      <c r="W178" s="6">
        <v>3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5">
        <f t="shared" si="72"/>
        <v>8</v>
      </c>
    </row>
    <row r="179" spans="1:36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5">
        <f t="shared" si="72"/>
        <v>0</v>
      </c>
    </row>
    <row r="180" spans="1:36" x14ac:dyDescent="0.4">
      <c r="A180" s="7"/>
      <c r="B180" s="50"/>
      <c r="C180" s="24" t="s">
        <v>202</v>
      </c>
      <c r="D180" s="51"/>
      <c r="E180" s="6"/>
      <c r="F180" s="6">
        <v>10</v>
      </c>
      <c r="G180" s="6">
        <v>5</v>
      </c>
      <c r="H180" s="6">
        <v>6</v>
      </c>
      <c r="I180" s="6"/>
      <c r="J180" s="6">
        <v>4</v>
      </c>
      <c r="K180" s="6"/>
      <c r="L180" s="6"/>
      <c r="M180" s="6">
        <v>1</v>
      </c>
      <c r="N180" s="6"/>
      <c r="O180" s="6"/>
      <c r="P180" s="6"/>
      <c r="Q180" s="6"/>
      <c r="R180" s="6"/>
      <c r="S180" s="6"/>
      <c r="T180" s="6"/>
      <c r="U180" s="6">
        <v>3</v>
      </c>
      <c r="V180" s="6">
        <v>4</v>
      </c>
      <c r="W180" s="6">
        <v>1</v>
      </c>
      <c r="X180" s="6"/>
      <c r="Y180" s="6"/>
      <c r="Z180" s="6"/>
      <c r="AA180" s="6"/>
      <c r="AB180" s="6"/>
      <c r="AC180" s="6"/>
      <c r="AD180" s="6"/>
      <c r="AE180" s="6">
        <v>1</v>
      </c>
      <c r="AF180" s="6">
        <v>3</v>
      </c>
      <c r="AG180" s="6"/>
      <c r="AH180" s="6"/>
      <c r="AI180" s="6"/>
      <c r="AJ180" s="5">
        <f t="shared" si="72"/>
        <v>38</v>
      </c>
    </row>
    <row r="181" spans="1:36" x14ac:dyDescent="0.4">
      <c r="A181" s="7"/>
      <c r="B181" s="50"/>
      <c r="C181" s="24" t="s">
        <v>203</v>
      </c>
      <c r="D181" s="51"/>
      <c r="E181" s="6"/>
      <c r="F181" s="6"/>
      <c r="G181" s="6"/>
      <c r="H181" s="6">
        <v>1</v>
      </c>
      <c r="I181" s="6"/>
      <c r="J181" s="6"/>
      <c r="K181" s="6">
        <v>1</v>
      </c>
      <c r="L181" s="6"/>
      <c r="M181" s="6"/>
      <c r="N181" s="6"/>
      <c r="O181" s="6">
        <v>3</v>
      </c>
      <c r="P181" s="6"/>
      <c r="Q181" s="6"/>
      <c r="R181" s="6"/>
      <c r="S181" s="6"/>
      <c r="T181" s="6">
        <v>1</v>
      </c>
      <c r="U181" s="6">
        <v>5</v>
      </c>
      <c r="V181" s="6"/>
      <c r="W181" s="6"/>
      <c r="X181" s="6"/>
      <c r="Y181" s="6"/>
      <c r="Z181" s="6"/>
      <c r="AA181" s="6"/>
      <c r="AB181" s="6"/>
      <c r="AC181" s="6"/>
      <c r="AD181" s="6"/>
      <c r="AE181" s="6">
        <v>1</v>
      </c>
      <c r="AF181" s="6"/>
      <c r="AG181" s="6"/>
      <c r="AH181" s="6"/>
      <c r="AI181" s="6"/>
      <c r="AJ181" s="5">
        <f t="shared" si="72"/>
        <v>12</v>
      </c>
    </row>
    <row r="182" spans="1:36" x14ac:dyDescent="0.4">
      <c r="A182" s="7"/>
      <c r="B182" s="50"/>
      <c r="C182" s="24" t="s">
        <v>204</v>
      </c>
      <c r="D182" s="5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>
        <v>1</v>
      </c>
      <c r="AC182" s="6"/>
      <c r="AD182" s="6"/>
      <c r="AE182" s="6"/>
      <c r="AF182" s="6">
        <v>1</v>
      </c>
      <c r="AG182" s="6"/>
      <c r="AH182" s="6"/>
      <c r="AI182" s="6"/>
      <c r="AJ182" s="5">
        <f t="shared" si="72"/>
        <v>2</v>
      </c>
    </row>
    <row r="183" spans="1:36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5">
        <f t="shared" si="72"/>
        <v>0</v>
      </c>
    </row>
    <row r="184" spans="1:36" x14ac:dyDescent="0.4">
      <c r="A184" s="7"/>
      <c r="B184" s="50"/>
      <c r="C184" s="24" t="s">
        <v>206</v>
      </c>
      <c r="D184" s="51"/>
      <c r="E184" s="6"/>
      <c r="F184" s="6"/>
      <c r="G184" s="6"/>
      <c r="H184" s="6"/>
      <c r="I184" s="6">
        <v>1</v>
      </c>
      <c r="J184" s="6">
        <v>2</v>
      </c>
      <c r="K184" s="6"/>
      <c r="L184" s="6">
        <v>2</v>
      </c>
      <c r="M184" s="6"/>
      <c r="N184" s="6"/>
      <c r="O184" s="6"/>
      <c r="P184" s="6"/>
      <c r="Q184" s="6">
        <v>3</v>
      </c>
      <c r="R184" s="6"/>
      <c r="S184" s="6">
        <v>4</v>
      </c>
      <c r="T184" s="6"/>
      <c r="U184" s="6">
        <v>2</v>
      </c>
      <c r="V184" s="6"/>
      <c r="W184" s="6">
        <v>3</v>
      </c>
      <c r="X184" s="6"/>
      <c r="Y184" s="6"/>
      <c r="Z184" s="6"/>
      <c r="AA184" s="6"/>
      <c r="AB184" s="6"/>
      <c r="AC184" s="6"/>
      <c r="AD184" s="6"/>
      <c r="AE184" s="6">
        <v>5</v>
      </c>
      <c r="AF184" s="6">
        <v>1</v>
      </c>
      <c r="AG184" s="6"/>
      <c r="AH184" s="6"/>
      <c r="AI184" s="6"/>
      <c r="AJ184" s="5">
        <f t="shared" si="72"/>
        <v>23</v>
      </c>
    </row>
    <row r="185" spans="1:36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5">
        <f t="shared" si="72"/>
        <v>0</v>
      </c>
    </row>
    <row r="186" spans="1:36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5">
        <f t="shared" si="72"/>
        <v>0</v>
      </c>
    </row>
    <row r="187" spans="1:36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AJ187" si="73">SUM(E177:E186)</f>
        <v>0</v>
      </c>
      <c r="F187" s="5">
        <f t="shared" ref="F187:AA187" si="74">SUM(F177:F186)</f>
        <v>10</v>
      </c>
      <c r="G187" s="5">
        <f t="shared" si="74"/>
        <v>5</v>
      </c>
      <c r="H187" s="5">
        <f t="shared" si="74"/>
        <v>8</v>
      </c>
      <c r="I187" s="5">
        <f t="shared" si="74"/>
        <v>2</v>
      </c>
      <c r="J187" s="5">
        <f t="shared" si="74"/>
        <v>7</v>
      </c>
      <c r="K187" s="5">
        <f t="shared" si="74"/>
        <v>1</v>
      </c>
      <c r="L187" s="5">
        <f t="shared" si="74"/>
        <v>4</v>
      </c>
      <c r="M187" s="5">
        <f t="shared" si="74"/>
        <v>1</v>
      </c>
      <c r="N187" s="5">
        <f t="shared" si="74"/>
        <v>1</v>
      </c>
      <c r="O187" s="5">
        <f t="shared" si="74"/>
        <v>3</v>
      </c>
      <c r="P187" s="5">
        <f t="shared" si="74"/>
        <v>0</v>
      </c>
      <c r="Q187" s="5">
        <f t="shared" si="74"/>
        <v>5</v>
      </c>
      <c r="R187" s="5">
        <f t="shared" si="74"/>
        <v>0</v>
      </c>
      <c r="S187" s="5">
        <f t="shared" ref="S187:Z187" si="75">SUM(S177:S186)</f>
        <v>5</v>
      </c>
      <c r="T187" s="5">
        <f t="shared" si="75"/>
        <v>3</v>
      </c>
      <c r="U187" s="5">
        <f t="shared" si="75"/>
        <v>10</v>
      </c>
      <c r="V187" s="5">
        <f t="shared" si="75"/>
        <v>5</v>
      </c>
      <c r="W187" s="5">
        <f t="shared" si="75"/>
        <v>8</v>
      </c>
      <c r="X187" s="5">
        <f t="shared" si="75"/>
        <v>0</v>
      </c>
      <c r="Y187" s="5">
        <f t="shared" si="75"/>
        <v>0</v>
      </c>
      <c r="Z187" s="5">
        <f t="shared" si="75"/>
        <v>0</v>
      </c>
      <c r="AA187" s="5">
        <f t="shared" si="74"/>
        <v>0</v>
      </c>
      <c r="AB187" s="5">
        <f t="shared" si="73"/>
        <v>1</v>
      </c>
      <c r="AC187" s="5">
        <f t="shared" si="73"/>
        <v>0</v>
      </c>
      <c r="AD187" s="5">
        <f t="shared" si="73"/>
        <v>0</v>
      </c>
      <c r="AE187" s="5">
        <f t="shared" si="73"/>
        <v>8</v>
      </c>
      <c r="AF187" s="5">
        <f t="shared" si="73"/>
        <v>5</v>
      </c>
      <c r="AG187" s="5">
        <f t="shared" si="73"/>
        <v>0</v>
      </c>
      <c r="AH187" s="5">
        <f t="shared" si="73"/>
        <v>0</v>
      </c>
      <c r="AI187" s="5">
        <f t="shared" si="73"/>
        <v>0</v>
      </c>
      <c r="AJ187" s="5">
        <f t="shared" si="73"/>
        <v>92</v>
      </c>
    </row>
    <row r="188" spans="1:36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5"/>
    </row>
    <row r="189" spans="1:36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>
        <v>1</v>
      </c>
      <c r="X189" s="6"/>
      <c r="Y189" s="6"/>
      <c r="Z189" s="6"/>
      <c r="AA189" s="6">
        <v>1</v>
      </c>
      <c r="AB189" s="6"/>
      <c r="AC189" s="6"/>
      <c r="AD189" s="6"/>
      <c r="AE189" s="6"/>
      <c r="AF189" s="6"/>
      <c r="AG189" s="6"/>
      <c r="AH189" s="6"/>
      <c r="AI189" s="6"/>
      <c r="AJ189" s="5">
        <f t="shared" ref="AJ189:AJ198" si="76">SUM(E189:AI189)</f>
        <v>2</v>
      </c>
    </row>
    <row r="190" spans="1:36" x14ac:dyDescent="0.4">
      <c r="A190" s="11" t="s">
        <v>50</v>
      </c>
      <c r="B190" s="50"/>
      <c r="C190" s="24" t="s">
        <v>207</v>
      </c>
      <c r="D190" s="5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>
        <v>1</v>
      </c>
      <c r="AI190" s="6"/>
      <c r="AJ190" s="5">
        <f t="shared" si="76"/>
        <v>1</v>
      </c>
    </row>
    <row r="191" spans="1:36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>
        <v>1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5">
        <f t="shared" si="76"/>
        <v>1</v>
      </c>
    </row>
    <row r="192" spans="1:36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5">
        <f t="shared" si="76"/>
        <v>0</v>
      </c>
    </row>
    <row r="193" spans="1:36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5">
        <f t="shared" si="76"/>
        <v>0</v>
      </c>
    </row>
    <row r="194" spans="1:36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5">
        <f t="shared" si="76"/>
        <v>0</v>
      </c>
    </row>
    <row r="195" spans="1:36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5">
        <f t="shared" si="76"/>
        <v>0</v>
      </c>
    </row>
    <row r="196" spans="1:36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5">
        <f t="shared" si="76"/>
        <v>0</v>
      </c>
    </row>
    <row r="197" spans="1:36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5">
        <f t="shared" si="76"/>
        <v>0</v>
      </c>
    </row>
    <row r="198" spans="1:36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5">
        <f t="shared" si="76"/>
        <v>0</v>
      </c>
    </row>
    <row r="199" spans="1:36" x14ac:dyDescent="0.4">
      <c r="A199" s="6" t="s">
        <v>26</v>
      </c>
      <c r="B199" s="85" t="s">
        <v>51</v>
      </c>
      <c r="C199" s="93"/>
      <c r="D199" s="94"/>
      <c r="E199" s="5">
        <f t="shared" ref="E199:AJ199" si="77">SUM(E189:E198)</f>
        <v>0</v>
      </c>
      <c r="F199" s="5">
        <f t="shared" ref="F199:AA199" si="78">SUM(F189:F198)</f>
        <v>0</v>
      </c>
      <c r="G199" s="5">
        <f t="shared" si="78"/>
        <v>0</v>
      </c>
      <c r="H199" s="5">
        <f t="shared" si="78"/>
        <v>0</v>
      </c>
      <c r="I199" s="5">
        <f t="shared" si="78"/>
        <v>0</v>
      </c>
      <c r="J199" s="5">
        <f t="shared" si="78"/>
        <v>1</v>
      </c>
      <c r="K199" s="5">
        <f t="shared" si="78"/>
        <v>0</v>
      </c>
      <c r="L199" s="5">
        <f t="shared" si="78"/>
        <v>0</v>
      </c>
      <c r="M199" s="5">
        <f t="shared" si="78"/>
        <v>0</v>
      </c>
      <c r="N199" s="5">
        <f t="shared" si="78"/>
        <v>0</v>
      </c>
      <c r="O199" s="5">
        <f t="shared" si="78"/>
        <v>0</v>
      </c>
      <c r="P199" s="5">
        <f t="shared" si="78"/>
        <v>0</v>
      </c>
      <c r="Q199" s="5">
        <f t="shared" si="78"/>
        <v>0</v>
      </c>
      <c r="R199" s="5">
        <f t="shared" si="78"/>
        <v>0</v>
      </c>
      <c r="S199" s="5">
        <f t="shared" ref="S199:Z199" si="79">SUM(S189:S198)</f>
        <v>0</v>
      </c>
      <c r="T199" s="5">
        <f t="shared" si="79"/>
        <v>0</v>
      </c>
      <c r="U199" s="5">
        <f t="shared" si="79"/>
        <v>0</v>
      </c>
      <c r="V199" s="5">
        <f t="shared" si="79"/>
        <v>0</v>
      </c>
      <c r="W199" s="5">
        <f t="shared" si="79"/>
        <v>1</v>
      </c>
      <c r="X199" s="5">
        <f t="shared" si="79"/>
        <v>0</v>
      </c>
      <c r="Y199" s="5">
        <f t="shared" si="79"/>
        <v>0</v>
      </c>
      <c r="Z199" s="5">
        <f t="shared" si="79"/>
        <v>0</v>
      </c>
      <c r="AA199" s="5">
        <f t="shared" si="78"/>
        <v>1</v>
      </c>
      <c r="AB199" s="5">
        <f t="shared" si="77"/>
        <v>0</v>
      </c>
      <c r="AC199" s="5">
        <f t="shared" si="77"/>
        <v>0</v>
      </c>
      <c r="AD199" s="5">
        <f t="shared" si="77"/>
        <v>0</v>
      </c>
      <c r="AE199" s="5">
        <f t="shared" si="77"/>
        <v>0</v>
      </c>
      <c r="AF199" s="5">
        <f t="shared" si="77"/>
        <v>0</v>
      </c>
      <c r="AG199" s="5">
        <f t="shared" si="77"/>
        <v>0</v>
      </c>
      <c r="AH199" s="5">
        <f t="shared" si="77"/>
        <v>1</v>
      </c>
      <c r="AI199" s="5">
        <f t="shared" si="77"/>
        <v>0</v>
      </c>
      <c r="AJ199" s="5">
        <f t="shared" si="77"/>
        <v>4</v>
      </c>
    </row>
    <row r="200" spans="1:36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spans="1:36" x14ac:dyDescent="0.4">
      <c r="A201" s="11" t="s">
        <v>48</v>
      </c>
      <c r="B201" s="17" t="s">
        <v>73</v>
      </c>
      <c r="C201" s="92" t="s">
        <v>74</v>
      </c>
      <c r="D201" s="66"/>
      <c r="E201" s="6">
        <v>7</v>
      </c>
      <c r="F201" s="6">
        <v>5</v>
      </c>
      <c r="G201" s="6">
        <v>4</v>
      </c>
      <c r="H201" s="6">
        <v>10</v>
      </c>
      <c r="I201" s="6">
        <v>1</v>
      </c>
      <c r="J201" s="6"/>
      <c r="K201" s="6">
        <v>2</v>
      </c>
      <c r="L201" s="6">
        <v>1</v>
      </c>
      <c r="M201" s="6">
        <v>1</v>
      </c>
      <c r="N201" s="6">
        <v>1</v>
      </c>
      <c r="O201" s="6">
        <v>1</v>
      </c>
      <c r="P201" s="6">
        <v>4</v>
      </c>
      <c r="Q201" s="6">
        <v>2</v>
      </c>
      <c r="R201" s="6">
        <v>1</v>
      </c>
      <c r="S201" s="6">
        <v>5</v>
      </c>
      <c r="T201" s="6">
        <v>2</v>
      </c>
      <c r="U201" s="6">
        <v>3</v>
      </c>
      <c r="V201" s="6"/>
      <c r="W201" s="6"/>
      <c r="X201" s="6"/>
      <c r="Y201" s="6">
        <v>2</v>
      </c>
      <c r="Z201" s="6">
        <v>3</v>
      </c>
      <c r="AA201" s="6"/>
      <c r="AB201" s="6">
        <v>2</v>
      </c>
      <c r="AC201" s="6"/>
      <c r="AD201" s="6"/>
      <c r="AE201" s="6">
        <v>4</v>
      </c>
      <c r="AF201" s="6">
        <v>2</v>
      </c>
      <c r="AG201" s="6"/>
      <c r="AH201" s="6">
        <v>4</v>
      </c>
      <c r="AI201" s="6">
        <v>3</v>
      </c>
      <c r="AJ201" s="5">
        <f t="shared" ref="AJ201:AJ210" si="80">SUM(E201:AI201)</f>
        <v>70</v>
      </c>
    </row>
    <row r="202" spans="1:36" x14ac:dyDescent="0.4">
      <c r="A202" s="11" t="s">
        <v>50</v>
      </c>
      <c r="B202" s="50"/>
      <c r="C202" s="24" t="s">
        <v>214</v>
      </c>
      <c r="D202" s="51"/>
      <c r="E202" s="6">
        <v>78</v>
      </c>
      <c r="F202" s="6">
        <v>48</v>
      </c>
      <c r="G202" s="6">
        <v>94</v>
      </c>
      <c r="H202" s="6">
        <v>45</v>
      </c>
      <c r="I202" s="6">
        <v>52</v>
      </c>
      <c r="J202" s="6">
        <v>6</v>
      </c>
      <c r="K202" s="6">
        <v>3</v>
      </c>
      <c r="L202" s="6">
        <v>7</v>
      </c>
      <c r="M202" s="6">
        <v>20</v>
      </c>
      <c r="N202" s="6">
        <v>16</v>
      </c>
      <c r="O202" s="6">
        <v>30</v>
      </c>
      <c r="P202" s="6">
        <v>35</v>
      </c>
      <c r="Q202" s="6">
        <v>6</v>
      </c>
      <c r="R202" s="6">
        <v>20</v>
      </c>
      <c r="S202" s="6">
        <v>32</v>
      </c>
      <c r="T202" s="6">
        <v>23</v>
      </c>
      <c r="U202" s="6">
        <v>55</v>
      </c>
      <c r="V202" s="6">
        <v>8</v>
      </c>
      <c r="W202" s="6">
        <v>6</v>
      </c>
      <c r="X202" s="6">
        <v>9</v>
      </c>
      <c r="Y202" s="6"/>
      <c r="Z202" s="6">
        <v>5</v>
      </c>
      <c r="AA202" s="6">
        <v>12</v>
      </c>
      <c r="AB202" s="6">
        <v>19</v>
      </c>
      <c r="AC202" s="6">
        <v>7</v>
      </c>
      <c r="AD202" s="6">
        <v>19</v>
      </c>
      <c r="AE202" s="6">
        <v>43</v>
      </c>
      <c r="AF202" s="6">
        <v>6</v>
      </c>
      <c r="AG202" s="6">
        <v>13</v>
      </c>
      <c r="AH202" s="6">
        <v>28</v>
      </c>
      <c r="AI202" s="6">
        <v>11</v>
      </c>
      <c r="AJ202" s="5">
        <f t="shared" si="80"/>
        <v>756</v>
      </c>
    </row>
    <row r="203" spans="1:36" x14ac:dyDescent="0.4">
      <c r="A203" s="7"/>
      <c r="B203" s="50"/>
      <c r="C203" s="24" t="s">
        <v>215</v>
      </c>
      <c r="D203" s="51"/>
      <c r="E203" s="6">
        <v>1</v>
      </c>
      <c r="F203" s="6">
        <v>1</v>
      </c>
      <c r="G203" s="6">
        <v>1</v>
      </c>
      <c r="H203" s="6">
        <v>2</v>
      </c>
      <c r="I203" s="6">
        <v>1</v>
      </c>
      <c r="J203" s="6"/>
      <c r="K203" s="6">
        <v>1</v>
      </c>
      <c r="L203" s="6"/>
      <c r="M203" s="6"/>
      <c r="N203" s="6"/>
      <c r="O203" s="6"/>
      <c r="P203" s="6">
        <v>1</v>
      </c>
      <c r="Q203" s="6"/>
      <c r="R203" s="6"/>
      <c r="S203" s="6">
        <v>1</v>
      </c>
      <c r="T203" s="6">
        <v>2</v>
      </c>
      <c r="U203" s="6">
        <v>1</v>
      </c>
      <c r="V203" s="6"/>
      <c r="W203" s="6">
        <v>1</v>
      </c>
      <c r="X203" s="6"/>
      <c r="Y203" s="6"/>
      <c r="Z203" s="6"/>
      <c r="AA203" s="6">
        <v>1</v>
      </c>
      <c r="AB203" s="6"/>
      <c r="AC203" s="6"/>
      <c r="AD203" s="6"/>
      <c r="AE203" s="6"/>
      <c r="AF203" s="6"/>
      <c r="AG203" s="6">
        <v>1</v>
      </c>
      <c r="AH203" s="6">
        <v>1</v>
      </c>
      <c r="AI203" s="6"/>
      <c r="AJ203" s="5">
        <f t="shared" si="80"/>
        <v>16</v>
      </c>
    </row>
    <row r="204" spans="1:36" x14ac:dyDescent="0.4">
      <c r="A204" s="7"/>
      <c r="B204" s="50"/>
      <c r="C204" s="24" t="s">
        <v>216</v>
      </c>
      <c r="D204" s="51"/>
      <c r="E204" s="6">
        <v>1</v>
      </c>
      <c r="F204" s="6"/>
      <c r="G204" s="6">
        <v>1</v>
      </c>
      <c r="H204" s="6"/>
      <c r="I204" s="6">
        <v>1</v>
      </c>
      <c r="J204" s="6"/>
      <c r="K204" s="6"/>
      <c r="L204" s="6"/>
      <c r="M204" s="6"/>
      <c r="N204" s="6"/>
      <c r="O204" s="6"/>
      <c r="P204" s="6"/>
      <c r="Q204" s="6">
        <v>1</v>
      </c>
      <c r="R204" s="6"/>
      <c r="S204" s="6"/>
      <c r="T204" s="6"/>
      <c r="U204" s="6">
        <v>1</v>
      </c>
      <c r="V204" s="6"/>
      <c r="W204" s="6"/>
      <c r="X204" s="6"/>
      <c r="Y204" s="6"/>
      <c r="Z204" s="6">
        <v>1</v>
      </c>
      <c r="AA204" s="6"/>
      <c r="AB204" s="6"/>
      <c r="AC204" s="6"/>
      <c r="AD204" s="6"/>
      <c r="AE204" s="6"/>
      <c r="AF204" s="6">
        <v>2</v>
      </c>
      <c r="AG204" s="6"/>
      <c r="AH204" s="6">
        <v>1</v>
      </c>
      <c r="AI204" s="6"/>
      <c r="AJ204" s="5">
        <f t="shared" si="80"/>
        <v>9</v>
      </c>
    </row>
    <row r="205" spans="1:36" x14ac:dyDescent="0.4">
      <c r="A205" s="7"/>
      <c r="B205" s="50"/>
      <c r="C205" s="24" t="s">
        <v>217</v>
      </c>
      <c r="D205" s="51"/>
      <c r="E205" s="6"/>
      <c r="F205" s="6"/>
      <c r="G205" s="6">
        <v>2</v>
      </c>
      <c r="H205" s="6"/>
      <c r="I205" s="6"/>
      <c r="J205" s="6"/>
      <c r="K205" s="6"/>
      <c r="L205" s="6"/>
      <c r="M205" s="6"/>
      <c r="N205" s="6"/>
      <c r="O205" s="6"/>
      <c r="P205" s="6"/>
      <c r="Q205" s="6">
        <v>1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>
        <v>1</v>
      </c>
      <c r="AJ205" s="5">
        <f t="shared" si="80"/>
        <v>4</v>
      </c>
    </row>
    <row r="206" spans="1:36" x14ac:dyDescent="0.4">
      <c r="A206" s="7"/>
      <c r="B206" s="50"/>
      <c r="C206" s="24" t="s">
        <v>218</v>
      </c>
      <c r="D206" s="51"/>
      <c r="E206" s="6"/>
      <c r="F206" s="6"/>
      <c r="G206" s="6"/>
      <c r="H206" s="6"/>
      <c r="I206" s="6">
        <v>1</v>
      </c>
      <c r="J206" s="6"/>
      <c r="K206" s="6"/>
      <c r="L206" s="6"/>
      <c r="M206" s="6">
        <v>1</v>
      </c>
      <c r="N206" s="6"/>
      <c r="O206" s="6"/>
      <c r="P206" s="6">
        <v>1</v>
      </c>
      <c r="Q206" s="6"/>
      <c r="R206" s="6"/>
      <c r="S206" s="6"/>
      <c r="T206" s="6">
        <v>2</v>
      </c>
      <c r="U206" s="6">
        <v>1</v>
      </c>
      <c r="V206" s="6"/>
      <c r="W206" s="6"/>
      <c r="X206" s="6"/>
      <c r="Y206" s="6"/>
      <c r="Z206" s="6">
        <v>1</v>
      </c>
      <c r="AA206" s="6"/>
      <c r="AB206" s="6"/>
      <c r="AC206" s="6"/>
      <c r="AD206" s="6"/>
      <c r="AE206" s="6"/>
      <c r="AF206" s="6"/>
      <c r="AG206" s="6">
        <v>1</v>
      </c>
      <c r="AH206" s="6"/>
      <c r="AI206" s="6"/>
      <c r="AJ206" s="5">
        <f t="shared" si="80"/>
        <v>8</v>
      </c>
    </row>
    <row r="207" spans="1:36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>
        <v>1</v>
      </c>
      <c r="AD207" s="6"/>
      <c r="AE207" s="6"/>
      <c r="AF207" s="6"/>
      <c r="AG207" s="6"/>
      <c r="AH207" s="6"/>
      <c r="AI207" s="6"/>
      <c r="AJ207" s="5">
        <f t="shared" si="80"/>
        <v>1</v>
      </c>
    </row>
    <row r="208" spans="1:36" x14ac:dyDescent="0.4">
      <c r="A208" s="7"/>
      <c r="B208" s="50"/>
      <c r="C208" s="24" t="s">
        <v>220</v>
      </c>
      <c r="D208" s="51"/>
      <c r="E208" s="6">
        <v>1</v>
      </c>
      <c r="F208" s="6"/>
      <c r="G208" s="6"/>
      <c r="H208" s="6"/>
      <c r="I208" s="6">
        <v>1</v>
      </c>
      <c r="J208" s="6"/>
      <c r="K208" s="6"/>
      <c r="L208" s="6"/>
      <c r="M208" s="6"/>
      <c r="N208" s="6"/>
      <c r="O208" s="6"/>
      <c r="P208" s="6"/>
      <c r="Q208" s="6"/>
      <c r="R208" s="6">
        <v>1</v>
      </c>
      <c r="S208" s="6"/>
      <c r="T208" s="6"/>
      <c r="U208" s="6"/>
      <c r="V208" s="6"/>
      <c r="W208" s="6"/>
      <c r="X208" s="6"/>
      <c r="Y208" s="6">
        <v>1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5">
        <f t="shared" si="80"/>
        <v>4</v>
      </c>
    </row>
    <row r="209" spans="1:36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5">
        <f t="shared" si="80"/>
        <v>0</v>
      </c>
    </row>
    <row r="210" spans="1:36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5">
        <f t="shared" si="80"/>
        <v>0</v>
      </c>
    </row>
    <row r="211" spans="1:36" x14ac:dyDescent="0.4">
      <c r="A211" s="6" t="s">
        <v>26</v>
      </c>
      <c r="B211" s="85" t="s">
        <v>51</v>
      </c>
      <c r="C211" s="93"/>
      <c r="D211" s="94"/>
      <c r="E211" s="5">
        <f t="shared" ref="E211:AJ211" si="81">SUM(E201:E210)</f>
        <v>88</v>
      </c>
      <c r="F211" s="5">
        <f t="shared" ref="F211:AA211" si="82">SUM(F201:F210)</f>
        <v>54</v>
      </c>
      <c r="G211" s="5">
        <f t="shared" si="82"/>
        <v>102</v>
      </c>
      <c r="H211" s="5">
        <f t="shared" si="82"/>
        <v>57</v>
      </c>
      <c r="I211" s="5">
        <f t="shared" si="82"/>
        <v>57</v>
      </c>
      <c r="J211" s="5">
        <f t="shared" si="82"/>
        <v>6</v>
      </c>
      <c r="K211" s="5">
        <f t="shared" si="82"/>
        <v>6</v>
      </c>
      <c r="L211" s="5">
        <f t="shared" si="82"/>
        <v>8</v>
      </c>
      <c r="M211" s="5">
        <f t="shared" si="82"/>
        <v>22</v>
      </c>
      <c r="N211" s="5">
        <f t="shared" si="82"/>
        <v>17</v>
      </c>
      <c r="O211" s="5">
        <f t="shared" si="82"/>
        <v>31</v>
      </c>
      <c r="P211" s="5">
        <f t="shared" si="82"/>
        <v>41</v>
      </c>
      <c r="Q211" s="5">
        <f t="shared" si="82"/>
        <v>10</v>
      </c>
      <c r="R211" s="5">
        <f t="shared" si="82"/>
        <v>22</v>
      </c>
      <c r="S211" s="5">
        <f t="shared" ref="S211:Z211" si="83">SUM(S201:S210)</f>
        <v>38</v>
      </c>
      <c r="T211" s="5">
        <f t="shared" si="83"/>
        <v>29</v>
      </c>
      <c r="U211" s="5">
        <f t="shared" si="83"/>
        <v>61</v>
      </c>
      <c r="V211" s="5">
        <f t="shared" si="83"/>
        <v>8</v>
      </c>
      <c r="W211" s="5">
        <f t="shared" si="83"/>
        <v>7</v>
      </c>
      <c r="X211" s="5">
        <f t="shared" si="83"/>
        <v>9</v>
      </c>
      <c r="Y211" s="5">
        <f t="shared" si="83"/>
        <v>3</v>
      </c>
      <c r="Z211" s="5">
        <f t="shared" si="83"/>
        <v>10</v>
      </c>
      <c r="AA211" s="5">
        <f t="shared" si="82"/>
        <v>13</v>
      </c>
      <c r="AB211" s="5">
        <f t="shared" si="81"/>
        <v>21</v>
      </c>
      <c r="AC211" s="5">
        <f t="shared" si="81"/>
        <v>8</v>
      </c>
      <c r="AD211" s="5">
        <f t="shared" si="81"/>
        <v>19</v>
      </c>
      <c r="AE211" s="5">
        <f t="shared" si="81"/>
        <v>47</v>
      </c>
      <c r="AF211" s="5">
        <f t="shared" si="81"/>
        <v>10</v>
      </c>
      <c r="AG211" s="5">
        <f t="shared" si="81"/>
        <v>15</v>
      </c>
      <c r="AH211" s="5">
        <f t="shared" si="81"/>
        <v>34</v>
      </c>
      <c r="AI211" s="5">
        <f t="shared" si="81"/>
        <v>15</v>
      </c>
      <c r="AJ211" s="5">
        <f t="shared" si="81"/>
        <v>868</v>
      </c>
    </row>
    <row r="212" spans="1:36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spans="1:36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>
        <v>1</v>
      </c>
      <c r="H213" s="6">
        <v>1</v>
      </c>
      <c r="I213" s="6"/>
      <c r="J213" s="6">
        <v>1</v>
      </c>
      <c r="K213" s="6">
        <v>1</v>
      </c>
      <c r="L213" s="6">
        <v>1</v>
      </c>
      <c r="M213" s="6"/>
      <c r="N213" s="6"/>
      <c r="O213" s="6"/>
      <c r="P213" s="6"/>
      <c r="Q213" s="6">
        <v>1</v>
      </c>
      <c r="R213" s="6"/>
      <c r="S213" s="6">
        <v>3</v>
      </c>
      <c r="T213" s="6">
        <v>1</v>
      </c>
      <c r="U213" s="6"/>
      <c r="V213" s="6"/>
      <c r="W213" s="6">
        <v>3</v>
      </c>
      <c r="X213" s="6"/>
      <c r="Y213" s="6"/>
      <c r="Z213" s="6">
        <v>1</v>
      </c>
      <c r="AA213" s="6"/>
      <c r="AB213" s="6">
        <v>1</v>
      </c>
      <c r="AC213" s="6"/>
      <c r="AD213" s="6"/>
      <c r="AE213" s="6"/>
      <c r="AF213" s="6"/>
      <c r="AG213" s="6"/>
      <c r="AH213" s="6">
        <v>1</v>
      </c>
      <c r="AI213" s="6"/>
      <c r="AJ213" s="5">
        <f t="shared" ref="AJ213:AJ222" si="84">SUM(E213:AI213)</f>
        <v>16</v>
      </c>
    </row>
    <row r="214" spans="1:36" x14ac:dyDescent="0.4">
      <c r="A214" s="11" t="s">
        <v>50</v>
      </c>
      <c r="B214" s="50"/>
      <c r="C214" s="24" t="s">
        <v>221</v>
      </c>
      <c r="D214" s="51"/>
      <c r="E214" s="6"/>
      <c r="F214" s="6">
        <v>1</v>
      </c>
      <c r="G214" s="6"/>
      <c r="H214" s="6">
        <v>1</v>
      </c>
      <c r="I214" s="6"/>
      <c r="J214" s="6">
        <v>1</v>
      </c>
      <c r="K214" s="6">
        <v>1</v>
      </c>
      <c r="L214" s="6"/>
      <c r="M214" s="6"/>
      <c r="N214" s="6">
        <v>1</v>
      </c>
      <c r="O214" s="6"/>
      <c r="P214" s="6"/>
      <c r="Q214" s="6"/>
      <c r="R214" s="6"/>
      <c r="S214" s="6">
        <v>2</v>
      </c>
      <c r="T214" s="6"/>
      <c r="U214" s="6">
        <v>1</v>
      </c>
      <c r="V214" s="6"/>
      <c r="W214" s="6"/>
      <c r="X214" s="6">
        <v>1</v>
      </c>
      <c r="Y214" s="6"/>
      <c r="Z214" s="6">
        <v>1</v>
      </c>
      <c r="AA214" s="6">
        <v>1</v>
      </c>
      <c r="AB214" s="6"/>
      <c r="AC214" s="6"/>
      <c r="AD214" s="6"/>
      <c r="AE214" s="6"/>
      <c r="AF214" s="6"/>
      <c r="AG214" s="6">
        <v>1</v>
      </c>
      <c r="AH214" s="6">
        <v>1</v>
      </c>
      <c r="AI214" s="6"/>
      <c r="AJ214" s="5">
        <f t="shared" si="84"/>
        <v>13</v>
      </c>
    </row>
    <row r="215" spans="1:36" x14ac:dyDescent="0.4">
      <c r="A215" s="7"/>
      <c r="B215" s="50"/>
      <c r="C215" s="24" t="s">
        <v>222</v>
      </c>
      <c r="D215" s="51"/>
      <c r="E215" s="6"/>
      <c r="F215" s="6"/>
      <c r="G215" s="6"/>
      <c r="H215" s="6"/>
      <c r="I215" s="6"/>
      <c r="J215" s="6"/>
      <c r="K215" s="6">
        <v>1</v>
      </c>
      <c r="L215" s="6"/>
      <c r="M215" s="6"/>
      <c r="N215" s="6"/>
      <c r="O215" s="6"/>
      <c r="P215" s="6"/>
      <c r="Q215" s="6"/>
      <c r="R215" s="6"/>
      <c r="S215" s="6"/>
      <c r="T215" s="6">
        <v>1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5">
        <f t="shared" si="84"/>
        <v>2</v>
      </c>
    </row>
    <row r="216" spans="1:36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5">
        <f t="shared" si="84"/>
        <v>0</v>
      </c>
    </row>
    <row r="217" spans="1:36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5">
        <f t="shared" si="84"/>
        <v>0</v>
      </c>
    </row>
    <row r="218" spans="1:36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5">
        <f t="shared" si="84"/>
        <v>0</v>
      </c>
    </row>
    <row r="219" spans="1:36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5">
        <f t="shared" si="84"/>
        <v>0</v>
      </c>
    </row>
    <row r="220" spans="1:36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5">
        <f t="shared" si="84"/>
        <v>0</v>
      </c>
    </row>
    <row r="221" spans="1:36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5">
        <f t="shared" si="84"/>
        <v>0</v>
      </c>
    </row>
    <row r="222" spans="1:36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5">
        <f t="shared" si="84"/>
        <v>0</v>
      </c>
    </row>
    <row r="223" spans="1:36" x14ac:dyDescent="0.4">
      <c r="A223" s="6" t="s">
        <v>26</v>
      </c>
      <c r="B223" s="85" t="s">
        <v>51</v>
      </c>
      <c r="C223" s="93"/>
      <c r="D223" s="94"/>
      <c r="E223" s="5">
        <f t="shared" ref="E223:AJ223" si="85">SUM(E213:E222)</f>
        <v>0</v>
      </c>
      <c r="F223" s="5">
        <f t="shared" ref="F223:AA223" si="86">SUM(F213:F222)</f>
        <v>1</v>
      </c>
      <c r="G223" s="5">
        <f t="shared" si="86"/>
        <v>1</v>
      </c>
      <c r="H223" s="5">
        <f t="shared" si="86"/>
        <v>2</v>
      </c>
      <c r="I223" s="5">
        <f t="shared" si="86"/>
        <v>0</v>
      </c>
      <c r="J223" s="5">
        <f t="shared" si="86"/>
        <v>2</v>
      </c>
      <c r="K223" s="5">
        <f t="shared" si="86"/>
        <v>3</v>
      </c>
      <c r="L223" s="5">
        <f t="shared" si="86"/>
        <v>1</v>
      </c>
      <c r="M223" s="5">
        <f t="shared" si="86"/>
        <v>0</v>
      </c>
      <c r="N223" s="5">
        <f t="shared" si="86"/>
        <v>1</v>
      </c>
      <c r="O223" s="5">
        <f t="shared" si="86"/>
        <v>0</v>
      </c>
      <c r="P223" s="5">
        <f t="shared" si="86"/>
        <v>0</v>
      </c>
      <c r="Q223" s="5">
        <f t="shared" si="86"/>
        <v>1</v>
      </c>
      <c r="R223" s="5">
        <f t="shared" si="86"/>
        <v>0</v>
      </c>
      <c r="S223" s="5">
        <f t="shared" ref="S223:Z223" si="87">SUM(S213:S222)</f>
        <v>5</v>
      </c>
      <c r="T223" s="5">
        <f t="shared" si="87"/>
        <v>2</v>
      </c>
      <c r="U223" s="5">
        <f t="shared" si="87"/>
        <v>1</v>
      </c>
      <c r="V223" s="5">
        <f t="shared" si="87"/>
        <v>0</v>
      </c>
      <c r="W223" s="5">
        <f t="shared" si="87"/>
        <v>3</v>
      </c>
      <c r="X223" s="5">
        <f t="shared" si="87"/>
        <v>1</v>
      </c>
      <c r="Y223" s="5">
        <f t="shared" si="87"/>
        <v>0</v>
      </c>
      <c r="Z223" s="5">
        <f t="shared" si="87"/>
        <v>2</v>
      </c>
      <c r="AA223" s="5">
        <f t="shared" si="86"/>
        <v>1</v>
      </c>
      <c r="AB223" s="5">
        <f t="shared" si="85"/>
        <v>1</v>
      </c>
      <c r="AC223" s="5">
        <f t="shared" si="85"/>
        <v>0</v>
      </c>
      <c r="AD223" s="5">
        <f t="shared" si="85"/>
        <v>0</v>
      </c>
      <c r="AE223" s="5">
        <f t="shared" si="85"/>
        <v>0</v>
      </c>
      <c r="AF223" s="5">
        <f t="shared" si="85"/>
        <v>0</v>
      </c>
      <c r="AG223" s="5">
        <f t="shared" si="85"/>
        <v>1</v>
      </c>
      <c r="AH223" s="5">
        <f t="shared" si="85"/>
        <v>2</v>
      </c>
      <c r="AI223" s="5">
        <f t="shared" si="85"/>
        <v>0</v>
      </c>
      <c r="AJ223" s="5">
        <f t="shared" si="85"/>
        <v>31</v>
      </c>
    </row>
    <row r="224" spans="1:36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spans="1:36" x14ac:dyDescent="0.4">
      <c r="A225" s="11" t="s">
        <v>48</v>
      </c>
      <c r="B225" s="17" t="s">
        <v>77</v>
      </c>
      <c r="C225" s="92" t="s">
        <v>78</v>
      </c>
      <c r="D225" s="66"/>
      <c r="E225" s="6">
        <v>2</v>
      </c>
      <c r="F225" s="6">
        <v>1</v>
      </c>
      <c r="G225" s="6"/>
      <c r="H225" s="6"/>
      <c r="I225" s="6"/>
      <c r="J225" s="6"/>
      <c r="K225" s="6">
        <v>1</v>
      </c>
      <c r="L225" s="6"/>
      <c r="M225" s="6">
        <v>1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>
        <v>1</v>
      </c>
      <c r="Y225" s="6"/>
      <c r="Z225" s="6"/>
      <c r="AA225" s="6"/>
      <c r="AB225" s="6"/>
      <c r="AC225" s="6"/>
      <c r="AD225" s="6"/>
      <c r="AE225" s="6">
        <v>1</v>
      </c>
      <c r="AF225" s="6"/>
      <c r="AG225" s="6">
        <v>1</v>
      </c>
      <c r="AH225" s="6"/>
      <c r="AI225" s="6"/>
      <c r="AJ225" s="5">
        <f t="shared" ref="AJ225:AJ234" si="88">SUM(E225:AI225)</f>
        <v>8</v>
      </c>
    </row>
    <row r="226" spans="1:36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>
        <v>6</v>
      </c>
      <c r="I226" s="6">
        <v>2</v>
      </c>
      <c r="J226" s="6">
        <v>3</v>
      </c>
      <c r="K226" s="6">
        <v>5</v>
      </c>
      <c r="L226" s="6">
        <v>5</v>
      </c>
      <c r="M226" s="6">
        <v>9</v>
      </c>
      <c r="N226" s="6">
        <v>3</v>
      </c>
      <c r="O226" s="6"/>
      <c r="P226" s="6">
        <v>3</v>
      </c>
      <c r="Q226" s="6">
        <v>1</v>
      </c>
      <c r="R226" s="6">
        <v>1</v>
      </c>
      <c r="S226" s="6"/>
      <c r="T226" s="6"/>
      <c r="U226" s="6"/>
      <c r="V226" s="6">
        <v>1</v>
      </c>
      <c r="W226" s="6">
        <v>4</v>
      </c>
      <c r="X226" s="6">
        <v>6</v>
      </c>
      <c r="Y226" s="6"/>
      <c r="Z226" s="6">
        <v>1</v>
      </c>
      <c r="AA226" s="6">
        <v>1</v>
      </c>
      <c r="AB226" s="6">
        <v>2</v>
      </c>
      <c r="AC226" s="6">
        <v>3</v>
      </c>
      <c r="AD226" s="6">
        <v>27</v>
      </c>
      <c r="AE226" s="6">
        <v>1</v>
      </c>
      <c r="AF226" s="6">
        <v>2</v>
      </c>
      <c r="AG226" s="6"/>
      <c r="AH226" s="6"/>
      <c r="AI226" s="6">
        <v>1</v>
      </c>
      <c r="AJ226" s="5">
        <f t="shared" si="88"/>
        <v>87</v>
      </c>
    </row>
    <row r="227" spans="1:36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>
        <v>1</v>
      </c>
      <c r="U227" s="6"/>
      <c r="V227" s="6"/>
      <c r="W227" s="6"/>
      <c r="X227" s="6"/>
      <c r="Y227" s="6"/>
      <c r="Z227" s="6"/>
      <c r="AA227" s="6"/>
      <c r="AB227" s="6"/>
      <c r="AC227" s="6"/>
      <c r="AD227" s="6">
        <v>1</v>
      </c>
      <c r="AE227" s="6"/>
      <c r="AF227" s="6"/>
      <c r="AG227" s="6"/>
      <c r="AH227" s="6"/>
      <c r="AI227" s="6"/>
      <c r="AJ227" s="5">
        <f t="shared" si="88"/>
        <v>2</v>
      </c>
    </row>
    <row r="228" spans="1:36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>
        <v>1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5">
        <f t="shared" si="88"/>
        <v>1</v>
      </c>
    </row>
    <row r="229" spans="1:36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5">
        <f t="shared" si="88"/>
        <v>1</v>
      </c>
    </row>
    <row r="230" spans="1:36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5">
        <f t="shared" si="88"/>
        <v>0</v>
      </c>
    </row>
    <row r="231" spans="1:36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5">
        <f t="shared" si="88"/>
        <v>0</v>
      </c>
    </row>
    <row r="232" spans="1:36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5">
        <f t="shared" si="88"/>
        <v>0</v>
      </c>
    </row>
    <row r="233" spans="1:36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5">
        <f t="shared" si="88"/>
        <v>0</v>
      </c>
    </row>
    <row r="234" spans="1:36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5">
        <f t="shared" si="88"/>
        <v>0</v>
      </c>
    </row>
    <row r="235" spans="1:36" x14ac:dyDescent="0.4">
      <c r="A235" s="6" t="s">
        <v>26</v>
      </c>
      <c r="B235" s="85" t="s">
        <v>51</v>
      </c>
      <c r="C235" s="93"/>
      <c r="D235" s="94"/>
      <c r="E235" s="5">
        <f t="shared" ref="E235:AJ235" si="89">SUM(E225:E234)</f>
        <v>2</v>
      </c>
      <c r="F235" s="5">
        <f t="shared" ref="F235:AA235" si="90">SUM(F225:F234)</f>
        <v>1</v>
      </c>
      <c r="G235" s="5">
        <f t="shared" si="90"/>
        <v>0</v>
      </c>
      <c r="H235" s="5">
        <f t="shared" si="90"/>
        <v>6</v>
      </c>
      <c r="I235" s="5">
        <f t="shared" si="90"/>
        <v>2</v>
      </c>
      <c r="J235" s="5">
        <f t="shared" si="90"/>
        <v>3</v>
      </c>
      <c r="K235" s="5">
        <f t="shared" si="90"/>
        <v>6</v>
      </c>
      <c r="L235" s="5">
        <f t="shared" si="90"/>
        <v>6</v>
      </c>
      <c r="M235" s="5">
        <f t="shared" si="90"/>
        <v>10</v>
      </c>
      <c r="N235" s="5">
        <f t="shared" si="90"/>
        <v>4</v>
      </c>
      <c r="O235" s="5">
        <f t="shared" si="90"/>
        <v>0</v>
      </c>
      <c r="P235" s="5">
        <f t="shared" si="90"/>
        <v>3</v>
      </c>
      <c r="Q235" s="5">
        <f t="shared" si="90"/>
        <v>1</v>
      </c>
      <c r="R235" s="5">
        <f t="shared" si="90"/>
        <v>1</v>
      </c>
      <c r="S235" s="5">
        <f t="shared" ref="S235:Z235" si="91">SUM(S225:S234)</f>
        <v>0</v>
      </c>
      <c r="T235" s="5">
        <f t="shared" si="91"/>
        <v>1</v>
      </c>
      <c r="U235" s="5">
        <f t="shared" si="91"/>
        <v>0</v>
      </c>
      <c r="V235" s="5">
        <f t="shared" si="91"/>
        <v>1</v>
      </c>
      <c r="W235" s="5">
        <f t="shared" si="91"/>
        <v>4</v>
      </c>
      <c r="X235" s="5">
        <f t="shared" si="91"/>
        <v>7</v>
      </c>
      <c r="Y235" s="5">
        <f t="shared" si="91"/>
        <v>0</v>
      </c>
      <c r="Z235" s="5">
        <f t="shared" si="91"/>
        <v>1</v>
      </c>
      <c r="AA235" s="5">
        <f t="shared" si="90"/>
        <v>1</v>
      </c>
      <c r="AB235" s="5">
        <f t="shared" si="89"/>
        <v>2</v>
      </c>
      <c r="AC235" s="5">
        <f t="shared" si="89"/>
        <v>3</v>
      </c>
      <c r="AD235" s="5">
        <f t="shared" si="89"/>
        <v>28</v>
      </c>
      <c r="AE235" s="5">
        <f t="shared" si="89"/>
        <v>2</v>
      </c>
      <c r="AF235" s="5">
        <f t="shared" si="89"/>
        <v>2</v>
      </c>
      <c r="AG235" s="5">
        <f t="shared" si="89"/>
        <v>1</v>
      </c>
      <c r="AH235" s="5">
        <f t="shared" si="89"/>
        <v>0</v>
      </c>
      <c r="AI235" s="5">
        <f t="shared" si="89"/>
        <v>1</v>
      </c>
      <c r="AJ235" s="5">
        <f t="shared" si="89"/>
        <v>99</v>
      </c>
    </row>
    <row r="236" spans="1:36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pans="1:36" x14ac:dyDescent="0.4">
      <c r="A237" s="11" t="s">
        <v>48</v>
      </c>
      <c r="B237" s="17" t="s">
        <v>79</v>
      </c>
      <c r="C237" s="92" t="s">
        <v>80</v>
      </c>
      <c r="D237" s="66"/>
      <c r="E237" s="6">
        <v>2</v>
      </c>
      <c r="F237" s="6"/>
      <c r="G237" s="6"/>
      <c r="H237" s="6"/>
      <c r="I237" s="6"/>
      <c r="J237" s="6">
        <v>3</v>
      </c>
      <c r="K237" s="6"/>
      <c r="L237" s="6">
        <v>1</v>
      </c>
      <c r="M237" s="6">
        <v>3</v>
      </c>
      <c r="N237" s="6">
        <v>1</v>
      </c>
      <c r="O237" s="6"/>
      <c r="P237" s="6"/>
      <c r="Q237" s="6"/>
      <c r="R237" s="6"/>
      <c r="S237" s="6"/>
      <c r="T237" s="6"/>
      <c r="U237" s="6">
        <v>3</v>
      </c>
      <c r="V237" s="6"/>
      <c r="W237" s="6">
        <v>1</v>
      </c>
      <c r="X237" s="6"/>
      <c r="Y237" s="6">
        <v>2</v>
      </c>
      <c r="Z237" s="6"/>
      <c r="AA237" s="6">
        <v>1</v>
      </c>
      <c r="AB237" s="6"/>
      <c r="AC237" s="6">
        <v>4</v>
      </c>
      <c r="AD237" s="6">
        <v>3</v>
      </c>
      <c r="AE237" s="6">
        <v>1</v>
      </c>
      <c r="AF237" s="6">
        <v>2</v>
      </c>
      <c r="AG237" s="6"/>
      <c r="AH237" s="6"/>
      <c r="AI237" s="6">
        <v>4</v>
      </c>
      <c r="AJ237" s="5">
        <f t="shared" ref="AJ237:AJ246" si="92">SUM(E237:AI237)</f>
        <v>31</v>
      </c>
    </row>
    <row r="238" spans="1:36" x14ac:dyDescent="0.4">
      <c r="A238" s="11" t="s">
        <v>50</v>
      </c>
      <c r="B238" s="50"/>
      <c r="C238" s="24" t="s">
        <v>227</v>
      </c>
      <c r="D238" s="51"/>
      <c r="E238" s="6">
        <v>14</v>
      </c>
      <c r="F238" s="6">
        <v>13</v>
      </c>
      <c r="G238" s="6">
        <v>2</v>
      </c>
      <c r="H238" s="6">
        <v>4</v>
      </c>
      <c r="I238" s="6"/>
      <c r="J238" s="6">
        <v>16</v>
      </c>
      <c r="K238" s="6">
        <v>6</v>
      </c>
      <c r="L238" s="6"/>
      <c r="M238" s="6">
        <v>13</v>
      </c>
      <c r="N238" s="6">
        <v>2</v>
      </c>
      <c r="O238" s="6">
        <v>3</v>
      </c>
      <c r="P238" s="6">
        <v>2</v>
      </c>
      <c r="Q238" s="6">
        <v>1</v>
      </c>
      <c r="R238" s="6">
        <v>2</v>
      </c>
      <c r="S238" s="6">
        <v>1</v>
      </c>
      <c r="T238" s="6"/>
      <c r="U238" s="6">
        <v>6</v>
      </c>
      <c r="V238" s="6"/>
      <c r="W238" s="6">
        <v>2</v>
      </c>
      <c r="X238" s="6">
        <v>10</v>
      </c>
      <c r="Y238" s="6">
        <v>2</v>
      </c>
      <c r="Z238" s="6">
        <v>4</v>
      </c>
      <c r="AA238" s="6">
        <v>2</v>
      </c>
      <c r="AB238" s="6">
        <v>4</v>
      </c>
      <c r="AC238" s="6">
        <v>33</v>
      </c>
      <c r="AD238" s="6">
        <v>4</v>
      </c>
      <c r="AE238" s="6">
        <v>10</v>
      </c>
      <c r="AF238" s="6">
        <v>3</v>
      </c>
      <c r="AG238" s="6"/>
      <c r="AH238" s="6">
        <v>12</v>
      </c>
      <c r="AI238" s="6">
        <v>43</v>
      </c>
      <c r="AJ238" s="5">
        <f t="shared" si="92"/>
        <v>214</v>
      </c>
    </row>
    <row r="239" spans="1:36" x14ac:dyDescent="0.4">
      <c r="A239" s="7"/>
      <c r="B239" s="50"/>
      <c r="C239" s="24" t="s">
        <v>228</v>
      </c>
      <c r="D239" s="51"/>
      <c r="E239" s="6"/>
      <c r="F239" s="6"/>
      <c r="G239" s="6"/>
      <c r="H239" s="6"/>
      <c r="I239" s="6">
        <v>1</v>
      </c>
      <c r="J239" s="6">
        <v>3</v>
      </c>
      <c r="K239" s="6"/>
      <c r="L239" s="6"/>
      <c r="M239" s="6"/>
      <c r="N239" s="6">
        <v>1</v>
      </c>
      <c r="O239" s="6"/>
      <c r="P239" s="6"/>
      <c r="Q239" s="6"/>
      <c r="R239" s="6">
        <v>3</v>
      </c>
      <c r="S239" s="6">
        <v>1</v>
      </c>
      <c r="T239" s="6"/>
      <c r="U239" s="6">
        <v>1</v>
      </c>
      <c r="V239" s="6"/>
      <c r="W239" s="6"/>
      <c r="X239" s="6"/>
      <c r="Y239" s="6"/>
      <c r="Z239" s="6"/>
      <c r="AA239" s="6"/>
      <c r="AB239" s="6"/>
      <c r="AC239" s="6">
        <v>1</v>
      </c>
      <c r="AD239" s="6"/>
      <c r="AE239" s="6"/>
      <c r="AF239" s="6"/>
      <c r="AG239" s="6"/>
      <c r="AH239" s="6">
        <v>1</v>
      </c>
      <c r="AI239" s="6"/>
      <c r="AJ239" s="5">
        <f t="shared" si="92"/>
        <v>12</v>
      </c>
    </row>
    <row r="240" spans="1:36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>
        <v>1</v>
      </c>
      <c r="J240" s="6"/>
      <c r="K240" s="6">
        <v>1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>
        <v>1</v>
      </c>
      <c r="AE240" s="6"/>
      <c r="AF240" s="6"/>
      <c r="AG240" s="6"/>
      <c r="AH240" s="6"/>
      <c r="AI240" s="6"/>
      <c r="AJ240" s="5">
        <f t="shared" si="92"/>
        <v>3</v>
      </c>
    </row>
    <row r="241" spans="1:36" x14ac:dyDescent="0.4">
      <c r="A241" s="7"/>
      <c r="B241" s="50"/>
      <c r="C241" s="24" t="s">
        <v>230</v>
      </c>
      <c r="D241" s="51"/>
      <c r="E241" s="6"/>
      <c r="F241" s="6">
        <v>1</v>
      </c>
      <c r="G241" s="6"/>
      <c r="H241" s="6"/>
      <c r="I241" s="6"/>
      <c r="J241" s="6"/>
      <c r="K241" s="6">
        <v>1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1</v>
      </c>
      <c r="AC241" s="6"/>
      <c r="AD241" s="6"/>
      <c r="AE241" s="6"/>
      <c r="AF241" s="6"/>
      <c r="AG241" s="6"/>
      <c r="AH241" s="6"/>
      <c r="AI241" s="6"/>
      <c r="AJ241" s="5">
        <f t="shared" si="92"/>
        <v>3</v>
      </c>
    </row>
    <row r="242" spans="1:36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/>
      <c r="I242" s="6"/>
      <c r="J242" s="6"/>
      <c r="K242" s="6"/>
      <c r="L242" s="6"/>
      <c r="M242" s="6">
        <v>2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5">
        <f t="shared" si="92"/>
        <v>2</v>
      </c>
    </row>
    <row r="243" spans="1:36" x14ac:dyDescent="0.4">
      <c r="A243" s="7"/>
      <c r="B243" s="50"/>
      <c r="C243" s="24" t="s">
        <v>232</v>
      </c>
      <c r="D243" s="51"/>
      <c r="E243" s="6">
        <v>1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>
        <v>1</v>
      </c>
      <c r="AE243" s="6"/>
      <c r="AF243" s="6"/>
      <c r="AG243" s="6"/>
      <c r="AH243" s="6"/>
      <c r="AI243" s="6"/>
      <c r="AJ243" s="5">
        <f t="shared" si="92"/>
        <v>2</v>
      </c>
    </row>
    <row r="244" spans="1:36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5">
        <f t="shared" si="92"/>
        <v>0</v>
      </c>
    </row>
    <row r="245" spans="1:36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5">
        <f t="shared" si="92"/>
        <v>0</v>
      </c>
    </row>
    <row r="246" spans="1:36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5">
        <f t="shared" si="92"/>
        <v>0</v>
      </c>
    </row>
    <row r="247" spans="1:36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AJ247" si="93">SUM(E237:E246)</f>
        <v>17</v>
      </c>
      <c r="F247" s="5">
        <f t="shared" ref="F247:AA247" si="94">SUM(F237:F246)</f>
        <v>14</v>
      </c>
      <c r="G247" s="5">
        <f t="shared" si="94"/>
        <v>2</v>
      </c>
      <c r="H247" s="5">
        <f t="shared" si="94"/>
        <v>4</v>
      </c>
      <c r="I247" s="5">
        <f t="shared" si="94"/>
        <v>2</v>
      </c>
      <c r="J247" s="5">
        <f t="shared" si="94"/>
        <v>22</v>
      </c>
      <c r="K247" s="5">
        <f t="shared" si="94"/>
        <v>8</v>
      </c>
      <c r="L247" s="5">
        <f t="shared" si="94"/>
        <v>1</v>
      </c>
      <c r="M247" s="5">
        <f t="shared" si="94"/>
        <v>18</v>
      </c>
      <c r="N247" s="5">
        <f t="shared" si="94"/>
        <v>4</v>
      </c>
      <c r="O247" s="5">
        <f t="shared" si="94"/>
        <v>3</v>
      </c>
      <c r="P247" s="5">
        <f t="shared" si="94"/>
        <v>2</v>
      </c>
      <c r="Q247" s="5">
        <f t="shared" si="94"/>
        <v>1</v>
      </c>
      <c r="R247" s="5">
        <f t="shared" si="94"/>
        <v>5</v>
      </c>
      <c r="S247" s="5">
        <f t="shared" ref="S247:Z247" si="95">SUM(S237:S246)</f>
        <v>2</v>
      </c>
      <c r="T247" s="5">
        <f t="shared" si="95"/>
        <v>0</v>
      </c>
      <c r="U247" s="5">
        <f t="shared" si="95"/>
        <v>10</v>
      </c>
      <c r="V247" s="5">
        <f t="shared" si="95"/>
        <v>0</v>
      </c>
      <c r="W247" s="5">
        <f t="shared" si="95"/>
        <v>3</v>
      </c>
      <c r="X247" s="5">
        <f t="shared" si="95"/>
        <v>10</v>
      </c>
      <c r="Y247" s="5">
        <f t="shared" si="95"/>
        <v>4</v>
      </c>
      <c r="Z247" s="5">
        <f t="shared" si="95"/>
        <v>4</v>
      </c>
      <c r="AA247" s="5">
        <f t="shared" si="94"/>
        <v>3</v>
      </c>
      <c r="AB247" s="5">
        <f t="shared" si="93"/>
        <v>5</v>
      </c>
      <c r="AC247" s="5">
        <f t="shared" si="93"/>
        <v>38</v>
      </c>
      <c r="AD247" s="5">
        <f t="shared" si="93"/>
        <v>9</v>
      </c>
      <c r="AE247" s="5">
        <f t="shared" si="93"/>
        <v>11</v>
      </c>
      <c r="AF247" s="5">
        <f t="shared" si="93"/>
        <v>5</v>
      </c>
      <c r="AG247" s="5">
        <f t="shared" si="93"/>
        <v>0</v>
      </c>
      <c r="AH247" s="5">
        <f t="shared" si="93"/>
        <v>13</v>
      </c>
      <c r="AI247" s="5">
        <f t="shared" si="93"/>
        <v>47</v>
      </c>
      <c r="AJ247" s="5">
        <f t="shared" si="93"/>
        <v>267</v>
      </c>
    </row>
    <row r="248" spans="1:36" x14ac:dyDescent="0.4">
      <c r="A248" s="64"/>
      <c r="B248" s="86"/>
      <c r="C248" s="86"/>
      <c r="D248" s="86"/>
      <c r="E248" s="95"/>
    </row>
    <row r="249" spans="1:36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/>
      <c r="H249" s="6">
        <v>1</v>
      </c>
      <c r="I249" s="6"/>
      <c r="J249" s="6"/>
      <c r="K249" s="6"/>
      <c r="L249" s="6"/>
      <c r="M249" s="6"/>
      <c r="N249" s="6">
        <v>2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>
        <v>1</v>
      </c>
      <c r="AD249" s="6"/>
      <c r="AE249" s="6"/>
      <c r="AF249" s="6"/>
      <c r="AG249" s="6"/>
      <c r="AH249" s="6"/>
      <c r="AI249" s="6"/>
      <c r="AJ249" s="5">
        <f t="shared" ref="AJ249:AJ258" si="96">SUM(E249:AI249)</f>
        <v>4</v>
      </c>
    </row>
    <row r="250" spans="1:36" x14ac:dyDescent="0.4">
      <c r="A250" s="11" t="s">
        <v>50</v>
      </c>
      <c r="B250" s="17"/>
      <c r="C250" s="24" t="s">
        <v>233</v>
      </c>
      <c r="D250" s="49"/>
      <c r="E250" s="6"/>
      <c r="F250" s="6"/>
      <c r="G250" s="6">
        <v>1</v>
      </c>
      <c r="H250" s="6"/>
      <c r="I250" s="6"/>
      <c r="J250" s="6"/>
      <c r="K250" s="6"/>
      <c r="L250" s="6">
        <v>1</v>
      </c>
      <c r="M250" s="6">
        <v>1</v>
      </c>
      <c r="N250" s="6">
        <v>1</v>
      </c>
      <c r="O250" s="6"/>
      <c r="P250" s="6"/>
      <c r="Q250" s="6">
        <v>2</v>
      </c>
      <c r="R250" s="6"/>
      <c r="S250" s="6"/>
      <c r="T250" s="6"/>
      <c r="U250" s="6"/>
      <c r="V250" s="6"/>
      <c r="W250" s="6"/>
      <c r="X250" s="6"/>
      <c r="Y250" s="6">
        <v>1</v>
      </c>
      <c r="Z250" s="6"/>
      <c r="AA250" s="6">
        <v>4</v>
      </c>
      <c r="AB250" s="6"/>
      <c r="AC250" s="6"/>
      <c r="AD250" s="6"/>
      <c r="AE250" s="6"/>
      <c r="AF250" s="6"/>
      <c r="AG250" s="6"/>
      <c r="AH250" s="6"/>
      <c r="AI250" s="6"/>
      <c r="AJ250" s="5">
        <f t="shared" si="96"/>
        <v>11</v>
      </c>
    </row>
    <row r="251" spans="1:36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>
        <v>1</v>
      </c>
      <c r="K251" s="6"/>
      <c r="L251" s="6"/>
      <c r="M251" s="6"/>
      <c r="N251" s="6"/>
      <c r="O251" s="6"/>
      <c r="P251" s="6"/>
      <c r="Q251" s="6"/>
      <c r="R251" s="6"/>
      <c r="S251" s="6">
        <v>1</v>
      </c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5">
        <f t="shared" si="96"/>
        <v>2</v>
      </c>
    </row>
    <row r="252" spans="1:36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5">
        <f t="shared" si="96"/>
        <v>0</v>
      </c>
    </row>
    <row r="253" spans="1:36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5">
        <f t="shared" si="96"/>
        <v>0</v>
      </c>
    </row>
    <row r="254" spans="1:36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5">
        <f t="shared" si="96"/>
        <v>0</v>
      </c>
    </row>
    <row r="255" spans="1:36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5">
        <f t="shared" si="96"/>
        <v>0</v>
      </c>
    </row>
    <row r="256" spans="1:36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5">
        <f t="shared" si="96"/>
        <v>0</v>
      </c>
    </row>
    <row r="257" spans="1:36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5">
        <f t="shared" si="96"/>
        <v>0</v>
      </c>
    </row>
    <row r="258" spans="1:36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5">
        <f t="shared" si="96"/>
        <v>0</v>
      </c>
    </row>
    <row r="259" spans="1:36" x14ac:dyDescent="0.4">
      <c r="A259" s="6" t="s">
        <v>26</v>
      </c>
      <c r="B259" s="85" t="s">
        <v>51</v>
      </c>
      <c r="C259" s="93"/>
      <c r="D259" s="94"/>
      <c r="E259" s="5">
        <f t="shared" ref="E259:AJ259" si="97">SUM(E249:E258)</f>
        <v>0</v>
      </c>
      <c r="F259" s="5">
        <f t="shared" ref="F259:AA259" si="98">SUM(F249:F258)</f>
        <v>0</v>
      </c>
      <c r="G259" s="5">
        <f t="shared" si="98"/>
        <v>1</v>
      </c>
      <c r="H259" s="5">
        <f t="shared" si="98"/>
        <v>1</v>
      </c>
      <c r="I259" s="5">
        <f t="shared" si="98"/>
        <v>0</v>
      </c>
      <c r="J259" s="5">
        <f t="shared" si="98"/>
        <v>1</v>
      </c>
      <c r="K259" s="5">
        <f t="shared" si="98"/>
        <v>0</v>
      </c>
      <c r="L259" s="5">
        <f t="shared" si="98"/>
        <v>1</v>
      </c>
      <c r="M259" s="5">
        <f t="shared" si="98"/>
        <v>1</v>
      </c>
      <c r="N259" s="5">
        <f t="shared" si="98"/>
        <v>3</v>
      </c>
      <c r="O259" s="5">
        <f t="shared" si="98"/>
        <v>0</v>
      </c>
      <c r="P259" s="5">
        <f t="shared" si="98"/>
        <v>0</v>
      </c>
      <c r="Q259" s="5">
        <f t="shared" si="98"/>
        <v>2</v>
      </c>
      <c r="R259" s="5">
        <f t="shared" si="98"/>
        <v>0</v>
      </c>
      <c r="S259" s="5">
        <f t="shared" ref="S259:Z259" si="99">SUM(S249:S258)</f>
        <v>1</v>
      </c>
      <c r="T259" s="5">
        <f t="shared" si="99"/>
        <v>0</v>
      </c>
      <c r="U259" s="5">
        <f t="shared" si="99"/>
        <v>0</v>
      </c>
      <c r="V259" s="5">
        <f t="shared" si="99"/>
        <v>0</v>
      </c>
      <c r="W259" s="5">
        <f t="shared" si="99"/>
        <v>0</v>
      </c>
      <c r="X259" s="5">
        <f t="shared" si="99"/>
        <v>0</v>
      </c>
      <c r="Y259" s="5">
        <f t="shared" si="99"/>
        <v>1</v>
      </c>
      <c r="Z259" s="5">
        <f t="shared" si="99"/>
        <v>0</v>
      </c>
      <c r="AA259" s="5">
        <f t="shared" si="98"/>
        <v>4</v>
      </c>
      <c r="AB259" s="5">
        <f t="shared" si="97"/>
        <v>0</v>
      </c>
      <c r="AC259" s="5">
        <f t="shared" si="97"/>
        <v>1</v>
      </c>
      <c r="AD259" s="5">
        <f t="shared" si="97"/>
        <v>0</v>
      </c>
      <c r="AE259" s="5">
        <f t="shared" si="97"/>
        <v>0</v>
      </c>
      <c r="AF259" s="5">
        <f t="shared" si="97"/>
        <v>0</v>
      </c>
      <c r="AG259" s="5">
        <f t="shared" si="97"/>
        <v>0</v>
      </c>
      <c r="AH259" s="5">
        <f t="shared" si="97"/>
        <v>0</v>
      </c>
      <c r="AI259" s="5">
        <f t="shared" si="97"/>
        <v>0</v>
      </c>
      <c r="AJ259" s="5">
        <f t="shared" si="97"/>
        <v>17</v>
      </c>
    </row>
    <row r="261" spans="1:36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220</v>
      </c>
      <c r="F262" s="6">
        <f t="shared" ref="F262:AA262" si="100">F55+F67+F79+F91+F103+F115+F127+F139+F151+F163+F175+F187+F199+F211+F223+F235+F247+F259</f>
        <v>183</v>
      </c>
      <c r="G262" s="6">
        <f t="shared" si="100"/>
        <v>228</v>
      </c>
      <c r="H262" s="6">
        <f t="shared" si="100"/>
        <v>202</v>
      </c>
      <c r="I262" s="6">
        <f t="shared" si="100"/>
        <v>177</v>
      </c>
      <c r="J262" s="6">
        <f t="shared" si="100"/>
        <v>226</v>
      </c>
      <c r="K262" s="6">
        <f t="shared" si="100"/>
        <v>173</v>
      </c>
      <c r="L262" s="6">
        <f t="shared" si="100"/>
        <v>159</v>
      </c>
      <c r="M262" s="6">
        <f t="shared" si="100"/>
        <v>213</v>
      </c>
      <c r="N262" s="6">
        <f t="shared" si="100"/>
        <v>202</v>
      </c>
      <c r="O262" s="6">
        <f t="shared" si="100"/>
        <v>176</v>
      </c>
      <c r="P262" s="6">
        <f t="shared" si="100"/>
        <v>202</v>
      </c>
      <c r="Q262" s="6">
        <f t="shared" si="100"/>
        <v>216</v>
      </c>
      <c r="R262" s="6">
        <f t="shared" si="100"/>
        <v>219</v>
      </c>
      <c r="S262" s="6">
        <f t="shared" ref="S262:Z262" si="101">S55+S67+S79+S91+S103+S115+S127+S139+S151+S163+S175+S187+S199+S211+S223+S235+S247+S259</f>
        <v>202</v>
      </c>
      <c r="T262" s="6">
        <f t="shared" si="101"/>
        <v>194</v>
      </c>
      <c r="U262" s="6">
        <f t="shared" si="101"/>
        <v>170</v>
      </c>
      <c r="V262" s="6">
        <f t="shared" si="101"/>
        <v>189</v>
      </c>
      <c r="W262" s="6">
        <f t="shared" si="101"/>
        <v>185</v>
      </c>
      <c r="X262" s="6">
        <f t="shared" si="101"/>
        <v>205</v>
      </c>
      <c r="Y262" s="6">
        <f t="shared" si="101"/>
        <v>175</v>
      </c>
      <c r="Z262" s="6">
        <f t="shared" si="101"/>
        <v>150</v>
      </c>
      <c r="AA262" s="6">
        <f t="shared" si="100"/>
        <v>174</v>
      </c>
      <c r="AB262" s="6">
        <f t="shared" ref="AB262:AI262" si="102">AB55+AB67+AB79+AB91+AB103+AB115+AB127+AB139+AB151+AB163+AB175+AB187+AB199+AB211+AB223+AB235+AB247+AB259</f>
        <v>163</v>
      </c>
      <c r="AC262" s="6">
        <f t="shared" si="102"/>
        <v>174</v>
      </c>
      <c r="AD262" s="6">
        <f t="shared" si="102"/>
        <v>185</v>
      </c>
      <c r="AE262" s="6">
        <f t="shared" si="102"/>
        <v>188</v>
      </c>
      <c r="AF262" s="6">
        <f t="shared" si="102"/>
        <v>201</v>
      </c>
      <c r="AG262" s="6">
        <f t="shared" si="102"/>
        <v>179</v>
      </c>
      <c r="AH262" s="6">
        <f t="shared" si="102"/>
        <v>208</v>
      </c>
      <c r="AI262" s="6">
        <f t="shared" si="102"/>
        <v>231</v>
      </c>
      <c r="AJ262" s="5">
        <f>SUM(E262:AI262)</f>
        <v>5969</v>
      </c>
    </row>
    <row r="263" spans="1:36" x14ac:dyDescent="0.4">
      <c r="A263" s="13"/>
      <c r="B263" s="19" t="s">
        <v>87</v>
      </c>
      <c r="C263" s="100" t="s">
        <v>88</v>
      </c>
      <c r="D263" s="101"/>
      <c r="E263" s="6">
        <v>2</v>
      </c>
      <c r="F263" s="6">
        <v>15</v>
      </c>
      <c r="G263" s="6">
        <v>3</v>
      </c>
      <c r="H263" s="6">
        <v>15</v>
      </c>
      <c r="I263" s="6">
        <v>9</v>
      </c>
      <c r="J263" s="6">
        <v>16</v>
      </c>
      <c r="K263" s="6">
        <v>8</v>
      </c>
      <c r="L263" s="6">
        <v>8</v>
      </c>
      <c r="M263" s="6">
        <v>16</v>
      </c>
      <c r="N263" s="6">
        <v>12</v>
      </c>
      <c r="O263" s="6">
        <v>12</v>
      </c>
      <c r="P263" s="6">
        <v>11</v>
      </c>
      <c r="Q263" s="6">
        <v>4</v>
      </c>
      <c r="R263" s="6">
        <v>14</v>
      </c>
      <c r="S263" s="6">
        <v>5</v>
      </c>
      <c r="T263" s="6">
        <v>16</v>
      </c>
      <c r="U263" s="6">
        <v>15</v>
      </c>
      <c r="V263" s="6">
        <v>9</v>
      </c>
      <c r="W263" s="6">
        <v>10</v>
      </c>
      <c r="X263" s="6">
        <v>10</v>
      </c>
      <c r="Y263" s="6">
        <v>6</v>
      </c>
      <c r="Z263" s="6">
        <v>12</v>
      </c>
      <c r="AA263" s="6">
        <v>19</v>
      </c>
      <c r="AB263" s="6">
        <v>7</v>
      </c>
      <c r="AC263" s="6">
        <v>7</v>
      </c>
      <c r="AD263" s="6">
        <v>8</v>
      </c>
      <c r="AE263" s="6">
        <v>12</v>
      </c>
      <c r="AF263" s="6">
        <v>16</v>
      </c>
      <c r="AG263" s="6">
        <v>6</v>
      </c>
      <c r="AH263" s="6">
        <v>19</v>
      </c>
      <c r="AI263" s="6">
        <v>13</v>
      </c>
      <c r="AJ263" s="5">
        <f>SUM(E263:AI263)</f>
        <v>335</v>
      </c>
    </row>
    <row r="264" spans="1:36" x14ac:dyDescent="0.4">
      <c r="A264" s="14"/>
      <c r="B264" s="19" t="s">
        <v>89</v>
      </c>
      <c r="C264" s="100" t="s">
        <v>90</v>
      </c>
      <c r="D264" s="101"/>
      <c r="E264" s="5">
        <f>SUM(E262:E263)</f>
        <v>222</v>
      </c>
      <c r="F264" s="5">
        <f t="shared" ref="F264:AA264" si="103">SUM(F262:F263)</f>
        <v>198</v>
      </c>
      <c r="G264" s="5">
        <f t="shared" si="103"/>
        <v>231</v>
      </c>
      <c r="H264" s="5">
        <f t="shared" si="103"/>
        <v>217</v>
      </c>
      <c r="I264" s="5">
        <f t="shared" si="103"/>
        <v>186</v>
      </c>
      <c r="J264" s="5">
        <f t="shared" si="103"/>
        <v>242</v>
      </c>
      <c r="K264" s="5">
        <f t="shared" si="103"/>
        <v>181</v>
      </c>
      <c r="L264" s="5">
        <f t="shared" si="103"/>
        <v>167</v>
      </c>
      <c r="M264" s="5">
        <f t="shared" si="103"/>
        <v>229</v>
      </c>
      <c r="N264" s="5">
        <f t="shared" si="103"/>
        <v>214</v>
      </c>
      <c r="O264" s="5">
        <f t="shared" si="103"/>
        <v>188</v>
      </c>
      <c r="P264" s="5">
        <f t="shared" si="103"/>
        <v>213</v>
      </c>
      <c r="Q264" s="5">
        <f t="shared" si="103"/>
        <v>220</v>
      </c>
      <c r="R264" s="5">
        <f t="shared" si="103"/>
        <v>233</v>
      </c>
      <c r="S264" s="5">
        <f t="shared" ref="S264:Z264" si="104">SUM(S262:S263)</f>
        <v>207</v>
      </c>
      <c r="T264" s="5">
        <f t="shared" si="104"/>
        <v>210</v>
      </c>
      <c r="U264" s="5">
        <f t="shared" si="104"/>
        <v>185</v>
      </c>
      <c r="V264" s="5">
        <f t="shared" si="104"/>
        <v>198</v>
      </c>
      <c r="W264" s="5">
        <f t="shared" si="104"/>
        <v>195</v>
      </c>
      <c r="X264" s="5">
        <f t="shared" si="104"/>
        <v>215</v>
      </c>
      <c r="Y264" s="5">
        <f t="shared" si="104"/>
        <v>181</v>
      </c>
      <c r="Z264" s="5">
        <f t="shared" si="104"/>
        <v>162</v>
      </c>
      <c r="AA264" s="5">
        <f t="shared" si="103"/>
        <v>193</v>
      </c>
      <c r="AB264" s="5">
        <f t="shared" ref="AB264:AI264" si="105">SUM(AB262:AB263)</f>
        <v>170</v>
      </c>
      <c r="AC264" s="5">
        <f t="shared" si="105"/>
        <v>181</v>
      </c>
      <c r="AD264" s="5">
        <f t="shared" si="105"/>
        <v>193</v>
      </c>
      <c r="AE264" s="5">
        <f t="shared" si="105"/>
        <v>200</v>
      </c>
      <c r="AF264" s="5">
        <f t="shared" si="105"/>
        <v>217</v>
      </c>
      <c r="AG264" s="5">
        <f t="shared" si="105"/>
        <v>185</v>
      </c>
      <c r="AH264" s="5">
        <f t="shared" si="105"/>
        <v>227</v>
      </c>
      <c r="AI264" s="5">
        <f t="shared" si="105"/>
        <v>244</v>
      </c>
      <c r="AJ264" s="5">
        <f>SUM(E264:AI264)</f>
        <v>6304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AE37"/>
    <mergeCell ref="B38:D38"/>
    <mergeCell ref="B39:C41"/>
    <mergeCell ref="A42:D42"/>
    <mergeCell ref="E42:AE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AI12"/>
    <mergeCell ref="AJ12:AJ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9" type="noConversion"/>
  <conditionalFormatting sqref="E14:AI15">
    <cfRule type="containsBlanks" dxfId="113" priority="2">
      <formula>LEN(TRIM(E14))=0</formula>
    </cfRule>
  </conditionalFormatting>
  <conditionalFormatting sqref="E19:AI20">
    <cfRule type="containsBlanks" dxfId="112" priority="1">
      <formula>LEN(TRIM(E19))=0</formula>
    </cfRule>
  </conditionalFormatting>
  <conditionalFormatting sqref="E22:AI23 E25:AI26 E33:AI33 E35:AI35 E39:AI40">
    <cfRule type="containsBlanks" dxfId="111" priority="26">
      <formula>LEN(TRIM(E22))=0</formula>
    </cfRule>
  </conditionalFormatting>
  <conditionalFormatting sqref="E30:AI30">
    <cfRule type="expression" dxfId="110" priority="27">
      <formula>E30&lt;&gt;E47</formula>
    </cfRule>
    <cfRule type="expression" dxfId="109" priority="28">
      <formula>E30&lt;&gt;E34</formula>
    </cfRule>
  </conditionalFormatting>
  <conditionalFormatting sqref="E34:AI34">
    <cfRule type="expression" dxfId="108" priority="23">
      <formula>E30&lt;&gt;E34</formula>
    </cfRule>
    <cfRule type="expression" dxfId="107" priority="24">
      <formula>E30=E34</formula>
    </cfRule>
    <cfRule type="expression" dxfId="106" priority="29">
      <formula>E34&lt;&gt;E30</formula>
    </cfRule>
    <cfRule type="expression" dxfId="105" priority="31">
      <formula>E34&lt;&gt;E64</formula>
    </cfRule>
  </conditionalFormatting>
  <conditionalFormatting sqref="E45:AI54">
    <cfRule type="containsBlanks" dxfId="104" priority="21">
      <formula>LEN(TRIM(E45))=0</formula>
    </cfRule>
  </conditionalFormatting>
  <conditionalFormatting sqref="E57:AI66">
    <cfRule type="containsBlanks" dxfId="103" priority="20">
      <formula>LEN(TRIM(E57))=0</formula>
    </cfRule>
  </conditionalFormatting>
  <conditionalFormatting sqref="E69:AI78">
    <cfRule type="containsBlanks" dxfId="102" priority="19">
      <formula>LEN(TRIM(E69))=0</formula>
    </cfRule>
  </conditionalFormatting>
  <conditionalFormatting sqref="E81:AI90">
    <cfRule type="containsBlanks" dxfId="101" priority="18">
      <formula>LEN(TRIM(E81))=0</formula>
    </cfRule>
  </conditionalFormatting>
  <conditionalFormatting sqref="E93:AI102">
    <cfRule type="containsBlanks" dxfId="100" priority="17">
      <formula>LEN(TRIM(E93))=0</formula>
    </cfRule>
  </conditionalFormatting>
  <conditionalFormatting sqref="E105:AI114">
    <cfRule type="containsBlanks" dxfId="99" priority="16">
      <formula>LEN(TRIM(E105))=0</formula>
    </cfRule>
  </conditionalFormatting>
  <conditionalFormatting sqref="E117:AI126">
    <cfRule type="containsBlanks" dxfId="98" priority="3">
      <formula>LEN(TRIM(E117))=0</formula>
    </cfRule>
  </conditionalFormatting>
  <conditionalFormatting sqref="E129:AI138">
    <cfRule type="containsBlanks" dxfId="97" priority="15">
      <formula>LEN(TRIM(E129))=0</formula>
    </cfRule>
  </conditionalFormatting>
  <conditionalFormatting sqref="E141:AI150">
    <cfRule type="containsBlanks" dxfId="96" priority="14">
      <formula>LEN(TRIM(E141))=0</formula>
    </cfRule>
  </conditionalFormatting>
  <conditionalFormatting sqref="E153:AI162">
    <cfRule type="containsBlanks" dxfId="95" priority="5">
      <formula>LEN(TRIM(E153))=0</formula>
    </cfRule>
  </conditionalFormatting>
  <conditionalFormatting sqref="E165:AI174">
    <cfRule type="containsBlanks" dxfId="94" priority="13">
      <formula>LEN(TRIM(E165))=0</formula>
    </cfRule>
  </conditionalFormatting>
  <conditionalFormatting sqref="E177:AI186">
    <cfRule type="containsBlanks" dxfId="93" priority="12">
      <formula>LEN(TRIM(E177))=0</formula>
    </cfRule>
  </conditionalFormatting>
  <conditionalFormatting sqref="E189:AI198">
    <cfRule type="containsBlanks" dxfId="92" priority="11">
      <formula>LEN(TRIM(E189))=0</formula>
    </cfRule>
  </conditionalFormatting>
  <conditionalFormatting sqref="E201:AI210">
    <cfRule type="containsBlanks" dxfId="91" priority="10">
      <formula>LEN(TRIM(E201))=0</formula>
    </cfRule>
  </conditionalFormatting>
  <conditionalFormatting sqref="E213:AI222">
    <cfRule type="containsBlanks" dxfId="90" priority="9">
      <formula>LEN(TRIM(E213))=0</formula>
    </cfRule>
  </conditionalFormatting>
  <conditionalFormatting sqref="E225:AI234">
    <cfRule type="containsBlanks" dxfId="89" priority="8">
      <formula>LEN(TRIM(E225))=0</formula>
    </cfRule>
  </conditionalFormatting>
  <conditionalFormatting sqref="E237:AI246">
    <cfRule type="containsBlanks" dxfId="88" priority="7">
      <formula>LEN(TRIM(E237))=0</formula>
    </cfRule>
  </conditionalFormatting>
  <conditionalFormatting sqref="E249:AI258">
    <cfRule type="containsBlanks" dxfId="87" priority="6">
      <formula>LEN(TRIM(E249))=0</formula>
    </cfRule>
  </conditionalFormatting>
  <conditionalFormatting sqref="E262:AI263">
    <cfRule type="containsBlanks" dxfId="86" priority="4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AB264"/>
  <sheetViews>
    <sheetView topLeftCell="L13" zoomScale="120" zoomScaleNormal="120" workbookViewId="0">
      <pane ySplit="1" topLeftCell="A259" activePane="bottomLeft" state="frozen"/>
      <selection activeCell="A13" sqref="A13"/>
      <selection pane="bottomLeft" activeCell="AB263" sqref="AB263"/>
    </sheetView>
  </sheetViews>
  <sheetFormatPr defaultRowHeight="13.15" x14ac:dyDescent="0.4"/>
  <cols>
    <col min="3" max="3" width="67.140625" bestFit="1" customWidth="1"/>
    <col min="4" max="4" width="5.85546875" bestFit="1" customWidth="1"/>
    <col min="5" max="5" width="9.140625" customWidth="1"/>
    <col min="28" max="28" width="13.28515625" customWidth="1"/>
  </cols>
  <sheetData>
    <row r="2" spans="1:28" x14ac:dyDescent="0.4">
      <c r="C2" s="43" t="s">
        <v>98</v>
      </c>
      <c r="D2" s="43" t="s">
        <v>125</v>
      </c>
    </row>
    <row r="3" spans="1:28" x14ac:dyDescent="0.4">
      <c r="C3" s="43" t="s">
        <v>99</v>
      </c>
      <c r="D3" s="43" t="s">
        <v>100</v>
      </c>
    </row>
    <row r="4" spans="1:28" x14ac:dyDescent="0.4">
      <c r="C4" s="43" t="s">
        <v>101</v>
      </c>
      <c r="D4" s="43" t="s">
        <v>102</v>
      </c>
    </row>
    <row r="5" spans="1:28" x14ac:dyDescent="0.4">
      <c r="C5" s="43"/>
      <c r="D5" s="43"/>
    </row>
    <row r="6" spans="1:28" x14ac:dyDescent="0.4">
      <c r="C6" s="43"/>
      <c r="D6" s="43"/>
    </row>
    <row r="7" spans="1:28" x14ac:dyDescent="0.4">
      <c r="C7" s="43"/>
      <c r="D7" s="43"/>
    </row>
    <row r="8" spans="1:28" x14ac:dyDescent="0.4">
      <c r="C8" s="43"/>
      <c r="D8" s="43"/>
    </row>
    <row r="9" spans="1:28" x14ac:dyDescent="0.4">
      <c r="C9" s="43" t="s">
        <v>103</v>
      </c>
      <c r="D9" s="43" t="s">
        <v>143</v>
      </c>
    </row>
    <row r="11" spans="1:2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1"/>
      <c r="U11" s="1"/>
      <c r="V11" s="1"/>
      <c r="W11" s="1"/>
      <c r="X11" s="1"/>
      <c r="Y11" s="1"/>
      <c r="Z11" s="3"/>
    </row>
    <row r="12" spans="1:28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70" t="s">
        <v>97</v>
      </c>
    </row>
    <row r="13" spans="1:28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71"/>
    </row>
    <row r="14" spans="1:28" x14ac:dyDescent="0.4">
      <c r="A14" s="7"/>
      <c r="B14" s="73" t="s">
        <v>22</v>
      </c>
      <c r="C14" s="74"/>
      <c r="D14" s="6" t="s">
        <v>23</v>
      </c>
      <c r="E14" s="6">
        <v>126</v>
      </c>
      <c r="F14" s="6">
        <v>129</v>
      </c>
      <c r="G14" s="6">
        <v>134</v>
      </c>
      <c r="H14" s="6">
        <v>125</v>
      </c>
      <c r="I14" s="6">
        <v>79</v>
      </c>
      <c r="J14" s="6">
        <v>90</v>
      </c>
      <c r="K14" s="6">
        <v>102</v>
      </c>
      <c r="L14" s="6">
        <v>83</v>
      </c>
      <c r="M14" s="6">
        <v>154</v>
      </c>
      <c r="N14" s="6">
        <v>128</v>
      </c>
      <c r="O14" s="6">
        <v>152</v>
      </c>
      <c r="P14" s="6">
        <v>134</v>
      </c>
      <c r="Q14" s="6">
        <v>146</v>
      </c>
      <c r="R14" s="6">
        <v>144</v>
      </c>
      <c r="S14" s="6">
        <v>137</v>
      </c>
      <c r="T14" s="6">
        <v>130</v>
      </c>
      <c r="U14" s="6">
        <v>143</v>
      </c>
      <c r="V14" s="6">
        <v>131</v>
      </c>
      <c r="W14" s="6">
        <v>124</v>
      </c>
      <c r="X14" s="6">
        <v>143</v>
      </c>
      <c r="Y14" s="6">
        <v>134</v>
      </c>
      <c r="Z14" s="6">
        <v>117</v>
      </c>
      <c r="AA14" s="6">
        <v>86</v>
      </c>
      <c r="AB14" s="5">
        <f>SUM(E14:AA14)</f>
        <v>2871</v>
      </c>
    </row>
    <row r="15" spans="1:28" x14ac:dyDescent="0.4">
      <c r="A15" s="7"/>
      <c r="B15" s="75"/>
      <c r="C15" s="76"/>
      <c r="D15" s="6" t="s">
        <v>24</v>
      </c>
      <c r="E15" s="6">
        <v>123</v>
      </c>
      <c r="F15" s="6">
        <v>119</v>
      </c>
      <c r="G15" s="6">
        <v>158</v>
      </c>
      <c r="H15" s="6">
        <v>130</v>
      </c>
      <c r="I15" s="6">
        <v>81</v>
      </c>
      <c r="J15" s="6">
        <v>80</v>
      </c>
      <c r="K15" s="6">
        <v>96</v>
      </c>
      <c r="L15" s="6">
        <v>86</v>
      </c>
      <c r="M15" s="6">
        <v>146</v>
      </c>
      <c r="N15" s="6">
        <v>122</v>
      </c>
      <c r="O15" s="6">
        <v>141</v>
      </c>
      <c r="P15" s="6">
        <v>144</v>
      </c>
      <c r="Q15" s="6">
        <v>133</v>
      </c>
      <c r="R15" s="6">
        <v>148</v>
      </c>
      <c r="S15" s="6">
        <v>137</v>
      </c>
      <c r="T15" s="6">
        <v>143</v>
      </c>
      <c r="U15" s="6">
        <v>155</v>
      </c>
      <c r="V15" s="6">
        <v>130</v>
      </c>
      <c r="W15" s="6">
        <v>144</v>
      </c>
      <c r="X15" s="6">
        <v>146</v>
      </c>
      <c r="Y15" s="6">
        <v>124</v>
      </c>
      <c r="Z15" s="6">
        <v>113</v>
      </c>
      <c r="AA15" s="6">
        <v>80</v>
      </c>
      <c r="AB15" s="5">
        <f>SUM(E15:AA15)</f>
        <v>2879</v>
      </c>
    </row>
    <row r="16" spans="1:28" x14ac:dyDescent="0.4">
      <c r="A16" s="8"/>
      <c r="B16" s="77"/>
      <c r="C16" s="78"/>
      <c r="D16" s="5" t="s">
        <v>25</v>
      </c>
      <c r="E16" s="5">
        <f t="shared" ref="E16:W16" si="0">SUM(E14:E15)</f>
        <v>249</v>
      </c>
      <c r="F16" s="5">
        <f t="shared" ref="F16:Q16" si="1">SUM(F14:F15)</f>
        <v>248</v>
      </c>
      <c r="G16" s="5">
        <f t="shared" si="1"/>
        <v>292</v>
      </c>
      <c r="H16" s="5">
        <f t="shared" si="1"/>
        <v>255</v>
      </c>
      <c r="I16" s="5">
        <f t="shared" si="1"/>
        <v>160</v>
      </c>
      <c r="J16" s="5">
        <f t="shared" si="1"/>
        <v>170</v>
      </c>
      <c r="K16" s="5">
        <f t="shared" si="1"/>
        <v>198</v>
      </c>
      <c r="L16" s="5">
        <f t="shared" si="1"/>
        <v>169</v>
      </c>
      <c r="M16" s="5">
        <f t="shared" si="1"/>
        <v>300</v>
      </c>
      <c r="N16" s="5">
        <f t="shared" si="1"/>
        <v>250</v>
      </c>
      <c r="O16" s="5">
        <f t="shared" si="1"/>
        <v>293</v>
      </c>
      <c r="P16" s="5">
        <f t="shared" si="1"/>
        <v>278</v>
      </c>
      <c r="Q16" s="5">
        <f t="shared" si="1"/>
        <v>279</v>
      </c>
      <c r="R16" s="5">
        <f t="shared" si="0"/>
        <v>292</v>
      </c>
      <c r="S16" s="5">
        <f t="shared" si="0"/>
        <v>274</v>
      </c>
      <c r="T16" s="5">
        <f t="shared" si="0"/>
        <v>273</v>
      </c>
      <c r="U16" s="5">
        <f t="shared" si="0"/>
        <v>298</v>
      </c>
      <c r="V16" s="5">
        <f t="shared" si="0"/>
        <v>261</v>
      </c>
      <c r="W16" s="5">
        <f t="shared" si="0"/>
        <v>268</v>
      </c>
      <c r="X16" s="5">
        <f t="shared" ref="X16:AA16" si="2">SUM(X14:X15)</f>
        <v>289</v>
      </c>
      <c r="Y16" s="5">
        <f t="shared" si="2"/>
        <v>258</v>
      </c>
      <c r="Z16" s="5">
        <f t="shared" si="2"/>
        <v>230</v>
      </c>
      <c r="AA16" s="5">
        <f t="shared" si="2"/>
        <v>166</v>
      </c>
      <c r="AB16" s="5">
        <f>SUM(E16:AA16)</f>
        <v>5750</v>
      </c>
    </row>
    <row r="17" spans="1:28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6"/>
      <c r="U17" s="6"/>
      <c r="V17" s="6"/>
      <c r="W17" s="6"/>
      <c r="X17" s="6"/>
      <c r="Y17" s="6"/>
      <c r="Z17" s="10"/>
      <c r="AA17" s="10"/>
      <c r="AB17" s="28"/>
    </row>
    <row r="18" spans="1:28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6"/>
      <c r="U18" s="6"/>
      <c r="V18" s="6"/>
      <c r="W18" s="6"/>
      <c r="X18" s="6"/>
      <c r="Y18" s="6"/>
      <c r="Z18" s="10"/>
      <c r="AA18" s="10"/>
      <c r="AB18" s="28"/>
    </row>
    <row r="19" spans="1:28" x14ac:dyDescent="0.4">
      <c r="A19" s="11"/>
      <c r="B19" s="79" t="s">
        <v>28</v>
      </c>
      <c r="C19" s="80" t="s">
        <v>29</v>
      </c>
      <c r="D19" s="6" t="s">
        <v>23</v>
      </c>
      <c r="E19" s="6">
        <v>81</v>
      </c>
      <c r="F19" s="6">
        <v>83</v>
      </c>
      <c r="G19" s="6">
        <v>103</v>
      </c>
      <c r="H19" s="6">
        <v>97</v>
      </c>
      <c r="I19" s="6">
        <v>59</v>
      </c>
      <c r="J19" s="6">
        <v>71</v>
      </c>
      <c r="K19" s="6">
        <v>74</v>
      </c>
      <c r="L19" s="6">
        <v>61</v>
      </c>
      <c r="M19" s="6">
        <v>112</v>
      </c>
      <c r="N19" s="6">
        <v>98</v>
      </c>
      <c r="O19" s="6">
        <v>109</v>
      </c>
      <c r="P19" s="6">
        <v>105</v>
      </c>
      <c r="Q19" s="6">
        <v>95</v>
      </c>
      <c r="R19" s="6">
        <v>105</v>
      </c>
      <c r="S19" s="6">
        <v>88</v>
      </c>
      <c r="T19" s="6">
        <v>96</v>
      </c>
      <c r="U19" s="6">
        <v>116</v>
      </c>
      <c r="V19" s="6">
        <v>90</v>
      </c>
      <c r="W19" s="6">
        <v>93</v>
      </c>
      <c r="X19" s="6">
        <v>93</v>
      </c>
      <c r="Y19" s="6">
        <v>103</v>
      </c>
      <c r="Z19" s="6">
        <v>63</v>
      </c>
      <c r="AA19" s="6">
        <v>59</v>
      </c>
      <c r="AB19" s="5">
        <f t="shared" ref="AB19:AB30" si="3">SUM(E19:AA19)</f>
        <v>2054</v>
      </c>
    </row>
    <row r="20" spans="1:28" x14ac:dyDescent="0.4">
      <c r="A20" s="12"/>
      <c r="B20" s="76"/>
      <c r="C20" s="81"/>
      <c r="D20" s="6" t="s">
        <v>24</v>
      </c>
      <c r="E20" s="6">
        <v>91</v>
      </c>
      <c r="F20" s="6">
        <v>105</v>
      </c>
      <c r="G20" s="6">
        <v>131</v>
      </c>
      <c r="H20" s="6">
        <v>98</v>
      </c>
      <c r="I20" s="6">
        <v>62</v>
      </c>
      <c r="J20" s="6">
        <v>63</v>
      </c>
      <c r="K20" s="6">
        <v>67</v>
      </c>
      <c r="L20" s="6">
        <v>64</v>
      </c>
      <c r="M20" s="6">
        <v>117</v>
      </c>
      <c r="N20" s="6">
        <v>89</v>
      </c>
      <c r="O20" s="6">
        <v>119</v>
      </c>
      <c r="P20" s="6">
        <v>109</v>
      </c>
      <c r="Q20" s="6">
        <v>106</v>
      </c>
      <c r="R20" s="6">
        <v>117</v>
      </c>
      <c r="S20" s="6">
        <v>99</v>
      </c>
      <c r="T20" s="6">
        <v>114</v>
      </c>
      <c r="U20" s="6">
        <v>124</v>
      </c>
      <c r="V20" s="6">
        <v>100</v>
      </c>
      <c r="W20" s="6">
        <v>108</v>
      </c>
      <c r="X20" s="6">
        <v>126</v>
      </c>
      <c r="Y20" s="6">
        <v>91</v>
      </c>
      <c r="Z20" s="6">
        <v>79</v>
      </c>
      <c r="AA20" s="6">
        <v>61</v>
      </c>
      <c r="AB20" s="5">
        <f t="shared" si="3"/>
        <v>2240</v>
      </c>
    </row>
    <row r="21" spans="1:28" x14ac:dyDescent="0.4">
      <c r="A21" s="13"/>
      <c r="B21" s="78"/>
      <c r="C21" s="82"/>
      <c r="D21" s="5" t="s">
        <v>25</v>
      </c>
      <c r="E21" s="5">
        <f t="shared" ref="E21:W21" si="4">SUM(E19:E20)</f>
        <v>172</v>
      </c>
      <c r="F21" s="5">
        <f t="shared" ref="F21:Q21" si="5">SUM(F19:F20)</f>
        <v>188</v>
      </c>
      <c r="G21" s="5">
        <f t="shared" si="5"/>
        <v>234</v>
      </c>
      <c r="H21" s="5">
        <f t="shared" si="5"/>
        <v>195</v>
      </c>
      <c r="I21" s="5">
        <f t="shared" si="5"/>
        <v>121</v>
      </c>
      <c r="J21" s="5">
        <f t="shared" si="5"/>
        <v>134</v>
      </c>
      <c r="K21" s="5">
        <f t="shared" si="5"/>
        <v>141</v>
      </c>
      <c r="L21" s="5">
        <f t="shared" si="5"/>
        <v>125</v>
      </c>
      <c r="M21" s="5">
        <f t="shared" si="5"/>
        <v>229</v>
      </c>
      <c r="N21" s="5">
        <f t="shared" si="5"/>
        <v>187</v>
      </c>
      <c r="O21" s="5">
        <f t="shared" si="5"/>
        <v>228</v>
      </c>
      <c r="P21" s="5">
        <f t="shared" si="5"/>
        <v>214</v>
      </c>
      <c r="Q21" s="5">
        <f t="shared" si="5"/>
        <v>201</v>
      </c>
      <c r="R21" s="5">
        <f t="shared" si="4"/>
        <v>222</v>
      </c>
      <c r="S21" s="5">
        <f t="shared" si="4"/>
        <v>187</v>
      </c>
      <c r="T21" s="5">
        <f t="shared" si="4"/>
        <v>210</v>
      </c>
      <c r="U21" s="5">
        <f t="shared" si="4"/>
        <v>240</v>
      </c>
      <c r="V21" s="5">
        <f t="shared" si="4"/>
        <v>190</v>
      </c>
      <c r="W21" s="5">
        <f t="shared" si="4"/>
        <v>201</v>
      </c>
      <c r="X21" s="5">
        <f t="shared" ref="X21:AA21" si="6">SUM(X19:X20)</f>
        <v>219</v>
      </c>
      <c r="Y21" s="5">
        <f t="shared" si="6"/>
        <v>194</v>
      </c>
      <c r="Z21" s="5">
        <f t="shared" si="6"/>
        <v>142</v>
      </c>
      <c r="AA21" s="5">
        <f t="shared" si="6"/>
        <v>120</v>
      </c>
      <c r="AB21" s="5">
        <f t="shared" si="3"/>
        <v>4294</v>
      </c>
    </row>
    <row r="22" spans="1:28" x14ac:dyDescent="0.4">
      <c r="A22" s="12"/>
      <c r="B22" s="79" t="s">
        <v>30</v>
      </c>
      <c r="C22" s="80" t="s">
        <v>31</v>
      </c>
      <c r="D22" s="6" t="s">
        <v>23</v>
      </c>
      <c r="E22" s="6"/>
      <c r="F22" s="6">
        <v>1</v>
      </c>
      <c r="G22" s="6"/>
      <c r="H22" s="6"/>
      <c r="I22" s="6">
        <v>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5">
        <f t="shared" si="3"/>
        <v>3</v>
      </c>
    </row>
    <row r="23" spans="1:28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>
        <v>1</v>
      </c>
      <c r="J23" s="6"/>
      <c r="K23" s="6"/>
      <c r="L23" s="6"/>
      <c r="M23" s="6"/>
      <c r="N23" s="6"/>
      <c r="O23" s="6"/>
      <c r="P23" s="6">
        <v>1</v>
      </c>
      <c r="Q23" s="6">
        <v>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5">
        <f t="shared" si="3"/>
        <v>3</v>
      </c>
    </row>
    <row r="24" spans="1:28" x14ac:dyDescent="0.4">
      <c r="A24" s="13"/>
      <c r="B24" s="78"/>
      <c r="C24" s="82"/>
      <c r="D24" s="5" t="s">
        <v>25</v>
      </c>
      <c r="E24" s="5">
        <f t="shared" ref="E24:W24" si="7">SUM(E22:E23)</f>
        <v>0</v>
      </c>
      <c r="F24" s="5">
        <f t="shared" ref="F24:Q24" si="8">SUM(F22:F23)</f>
        <v>1</v>
      </c>
      <c r="G24" s="5">
        <f t="shared" si="8"/>
        <v>0</v>
      </c>
      <c r="H24" s="5">
        <f t="shared" si="8"/>
        <v>0</v>
      </c>
      <c r="I24" s="5">
        <f t="shared" si="8"/>
        <v>3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1</v>
      </c>
      <c r="Q24" s="5">
        <f t="shared" si="8"/>
        <v>1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ref="X24:AA24" si="9">SUM(X22:X23)</f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3"/>
        <v>6</v>
      </c>
    </row>
    <row r="25" spans="1:28" x14ac:dyDescent="0.4">
      <c r="A25" s="12"/>
      <c r="B25" s="79" t="s">
        <v>32</v>
      </c>
      <c r="C25" s="80" t="s">
        <v>33</v>
      </c>
      <c r="D25" s="6" t="s">
        <v>23</v>
      </c>
      <c r="E25" s="6"/>
      <c r="F25" s="6"/>
      <c r="G25" s="6"/>
      <c r="H25" s="6">
        <v>1</v>
      </c>
      <c r="I25" s="6"/>
      <c r="J25" s="6">
        <v>1</v>
      </c>
      <c r="K25" s="6"/>
      <c r="L25" s="6"/>
      <c r="M25" s="6"/>
      <c r="N25" s="6"/>
      <c r="O25" s="6"/>
      <c r="P25" s="6">
        <v>2</v>
      </c>
      <c r="Q25" s="6">
        <v>2</v>
      </c>
      <c r="R25" s="6"/>
      <c r="S25" s="6"/>
      <c r="T25" s="6"/>
      <c r="U25" s="6"/>
      <c r="V25" s="6">
        <v>1</v>
      </c>
      <c r="W25" s="6"/>
      <c r="X25" s="6">
        <v>4</v>
      </c>
      <c r="Y25" s="6">
        <v>1</v>
      </c>
      <c r="Z25" s="6"/>
      <c r="AA25" s="6"/>
      <c r="AB25" s="5">
        <f t="shared" si="3"/>
        <v>12</v>
      </c>
    </row>
    <row r="26" spans="1:28" x14ac:dyDescent="0.4">
      <c r="A26" s="12"/>
      <c r="B26" s="76"/>
      <c r="C26" s="81"/>
      <c r="D26" s="6" t="s">
        <v>24</v>
      </c>
      <c r="E26" s="6">
        <v>3</v>
      </c>
      <c r="F26" s="6">
        <v>1</v>
      </c>
      <c r="G26" s="6">
        <v>1</v>
      </c>
      <c r="H26" s="6">
        <v>1</v>
      </c>
      <c r="I26" s="6"/>
      <c r="J26" s="6">
        <v>3</v>
      </c>
      <c r="K26" s="6">
        <v>3</v>
      </c>
      <c r="L26" s="6">
        <v>1</v>
      </c>
      <c r="M26" s="6"/>
      <c r="N26" s="6">
        <v>1</v>
      </c>
      <c r="O26" s="6"/>
      <c r="P26" s="6">
        <v>2</v>
      </c>
      <c r="Q26" s="6"/>
      <c r="R26" s="6"/>
      <c r="S26" s="6"/>
      <c r="T26" s="6">
        <v>1</v>
      </c>
      <c r="U26" s="6">
        <v>1</v>
      </c>
      <c r="V26" s="6">
        <v>2</v>
      </c>
      <c r="W26" s="6">
        <v>1</v>
      </c>
      <c r="X26" s="6">
        <v>3</v>
      </c>
      <c r="Y26" s="6">
        <v>4</v>
      </c>
      <c r="Z26" s="6"/>
      <c r="AA26" s="6">
        <v>1</v>
      </c>
      <c r="AB26" s="5">
        <f t="shared" si="3"/>
        <v>29</v>
      </c>
    </row>
    <row r="27" spans="1:28" x14ac:dyDescent="0.4">
      <c r="A27" s="13"/>
      <c r="B27" s="78"/>
      <c r="C27" s="82"/>
      <c r="D27" s="5" t="s">
        <v>25</v>
      </c>
      <c r="E27" s="5">
        <f t="shared" ref="E27:W27" si="10">SUM(E25:E26)</f>
        <v>3</v>
      </c>
      <c r="F27" s="5">
        <f t="shared" ref="F27:Q27" si="11">SUM(F25:F26)</f>
        <v>1</v>
      </c>
      <c r="G27" s="5">
        <f t="shared" si="11"/>
        <v>1</v>
      </c>
      <c r="H27" s="5">
        <f t="shared" si="11"/>
        <v>2</v>
      </c>
      <c r="I27" s="5">
        <f t="shared" si="11"/>
        <v>0</v>
      </c>
      <c r="J27" s="5">
        <f t="shared" si="11"/>
        <v>4</v>
      </c>
      <c r="K27" s="5">
        <f t="shared" si="11"/>
        <v>3</v>
      </c>
      <c r="L27" s="5">
        <f t="shared" si="11"/>
        <v>1</v>
      </c>
      <c r="M27" s="5">
        <f t="shared" si="11"/>
        <v>0</v>
      </c>
      <c r="N27" s="5">
        <f t="shared" si="11"/>
        <v>1</v>
      </c>
      <c r="O27" s="5">
        <f t="shared" si="11"/>
        <v>0</v>
      </c>
      <c r="P27" s="5">
        <f t="shared" si="11"/>
        <v>4</v>
      </c>
      <c r="Q27" s="5">
        <f t="shared" si="11"/>
        <v>2</v>
      </c>
      <c r="R27" s="5">
        <f t="shared" si="10"/>
        <v>0</v>
      </c>
      <c r="S27" s="5">
        <f t="shared" si="10"/>
        <v>0</v>
      </c>
      <c r="T27" s="5">
        <f t="shared" si="10"/>
        <v>1</v>
      </c>
      <c r="U27" s="5">
        <f t="shared" si="10"/>
        <v>1</v>
      </c>
      <c r="V27" s="5">
        <f t="shared" si="10"/>
        <v>3</v>
      </c>
      <c r="W27" s="5">
        <f t="shared" si="10"/>
        <v>1</v>
      </c>
      <c r="X27" s="5">
        <f t="shared" ref="X27:AA27" si="12">SUM(X25:X26)</f>
        <v>7</v>
      </c>
      <c r="Y27" s="5">
        <f t="shared" si="12"/>
        <v>5</v>
      </c>
      <c r="Z27" s="5">
        <f t="shared" si="12"/>
        <v>0</v>
      </c>
      <c r="AA27" s="5">
        <f t="shared" si="12"/>
        <v>1</v>
      </c>
      <c r="AB27" s="5">
        <f t="shared" si="3"/>
        <v>41</v>
      </c>
    </row>
    <row r="28" spans="1:28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81</v>
      </c>
      <c r="F28" s="5">
        <f t="shared" ref="F28:Q28" si="13">SUM(F19,F22,F25)</f>
        <v>84</v>
      </c>
      <c r="G28" s="5">
        <f t="shared" si="13"/>
        <v>103</v>
      </c>
      <c r="H28" s="5">
        <f t="shared" si="13"/>
        <v>98</v>
      </c>
      <c r="I28" s="5">
        <f t="shared" si="13"/>
        <v>61</v>
      </c>
      <c r="J28" s="5">
        <f t="shared" si="13"/>
        <v>72</v>
      </c>
      <c r="K28" s="5">
        <f t="shared" si="13"/>
        <v>74</v>
      </c>
      <c r="L28" s="5">
        <f t="shared" si="13"/>
        <v>61</v>
      </c>
      <c r="M28" s="5">
        <f t="shared" si="13"/>
        <v>112</v>
      </c>
      <c r="N28" s="5">
        <f t="shared" si="13"/>
        <v>98</v>
      </c>
      <c r="O28" s="5">
        <f t="shared" si="13"/>
        <v>109</v>
      </c>
      <c r="P28" s="5">
        <f t="shared" si="13"/>
        <v>107</v>
      </c>
      <c r="Q28" s="5">
        <f t="shared" si="13"/>
        <v>97</v>
      </c>
      <c r="R28" s="5">
        <f t="shared" ref="R28:W29" si="14">SUM(R19,R22,R25)</f>
        <v>105</v>
      </c>
      <c r="S28" s="5">
        <f t="shared" si="14"/>
        <v>88</v>
      </c>
      <c r="T28" s="5">
        <f t="shared" si="14"/>
        <v>96</v>
      </c>
      <c r="U28" s="5">
        <f t="shared" si="14"/>
        <v>116</v>
      </c>
      <c r="V28" s="5">
        <f t="shared" si="14"/>
        <v>91</v>
      </c>
      <c r="W28" s="5">
        <f t="shared" si="14"/>
        <v>93</v>
      </c>
      <c r="X28" s="5">
        <f t="shared" ref="X28:AA28" si="15">SUM(X19,X22,X25)</f>
        <v>97</v>
      </c>
      <c r="Y28" s="5">
        <f t="shared" si="15"/>
        <v>104</v>
      </c>
      <c r="Z28" s="5">
        <f t="shared" si="15"/>
        <v>63</v>
      </c>
      <c r="AA28" s="5">
        <f t="shared" si="15"/>
        <v>59</v>
      </c>
      <c r="AB28" s="5">
        <f t="shared" si="3"/>
        <v>2069</v>
      </c>
    </row>
    <row r="29" spans="1:28" x14ac:dyDescent="0.4">
      <c r="A29" s="13"/>
      <c r="B29" s="76"/>
      <c r="C29" s="81"/>
      <c r="D29" s="5" t="s">
        <v>24</v>
      </c>
      <c r="E29" s="5">
        <f>SUM(E20,E23,E26)</f>
        <v>94</v>
      </c>
      <c r="F29" s="5">
        <f t="shared" ref="F29:Q29" si="16">SUM(F20,F23,F26)</f>
        <v>106</v>
      </c>
      <c r="G29" s="5">
        <f t="shared" si="16"/>
        <v>132</v>
      </c>
      <c r="H29" s="5">
        <f t="shared" si="16"/>
        <v>99</v>
      </c>
      <c r="I29" s="5">
        <f t="shared" si="16"/>
        <v>63</v>
      </c>
      <c r="J29" s="5">
        <f t="shared" si="16"/>
        <v>66</v>
      </c>
      <c r="K29" s="5">
        <f t="shared" si="16"/>
        <v>70</v>
      </c>
      <c r="L29" s="5">
        <f t="shared" si="16"/>
        <v>65</v>
      </c>
      <c r="M29" s="5">
        <f t="shared" si="16"/>
        <v>117</v>
      </c>
      <c r="N29" s="5">
        <f t="shared" si="16"/>
        <v>90</v>
      </c>
      <c r="O29" s="5">
        <f t="shared" si="16"/>
        <v>119</v>
      </c>
      <c r="P29" s="5">
        <f t="shared" si="16"/>
        <v>112</v>
      </c>
      <c r="Q29" s="5">
        <f t="shared" si="16"/>
        <v>107</v>
      </c>
      <c r="R29" s="5">
        <f t="shared" si="14"/>
        <v>117</v>
      </c>
      <c r="S29" s="5">
        <f t="shared" si="14"/>
        <v>99</v>
      </c>
      <c r="T29" s="5">
        <f t="shared" si="14"/>
        <v>115</v>
      </c>
      <c r="U29" s="5">
        <f t="shared" si="14"/>
        <v>125</v>
      </c>
      <c r="V29" s="5">
        <f t="shared" si="14"/>
        <v>102</v>
      </c>
      <c r="W29" s="5">
        <f t="shared" si="14"/>
        <v>109</v>
      </c>
      <c r="X29" s="5">
        <f t="shared" ref="X29:AA29" si="17">SUM(X20,X23,X26)</f>
        <v>129</v>
      </c>
      <c r="Y29" s="5">
        <f t="shared" si="17"/>
        <v>95</v>
      </c>
      <c r="Z29" s="5">
        <f t="shared" si="17"/>
        <v>79</v>
      </c>
      <c r="AA29" s="5">
        <f t="shared" si="17"/>
        <v>62</v>
      </c>
      <c r="AB29" s="5">
        <f t="shared" si="3"/>
        <v>2272</v>
      </c>
    </row>
    <row r="30" spans="1:28" x14ac:dyDescent="0.4">
      <c r="A30" s="13"/>
      <c r="B30" s="78"/>
      <c r="C30" s="82"/>
      <c r="D30" s="5" t="s">
        <v>25</v>
      </c>
      <c r="E30" s="5">
        <f t="shared" ref="E30:Q30" si="18">SUM(E28:E29)</f>
        <v>175</v>
      </c>
      <c r="F30" s="5">
        <f t="shared" si="18"/>
        <v>190</v>
      </c>
      <c r="G30" s="5">
        <f t="shared" si="18"/>
        <v>235</v>
      </c>
      <c r="H30" s="5">
        <f t="shared" si="18"/>
        <v>197</v>
      </c>
      <c r="I30" s="5">
        <f t="shared" si="18"/>
        <v>124</v>
      </c>
      <c r="J30" s="5">
        <f t="shared" si="18"/>
        <v>138</v>
      </c>
      <c r="K30" s="5">
        <f t="shared" si="18"/>
        <v>144</v>
      </c>
      <c r="L30" s="5">
        <f t="shared" si="18"/>
        <v>126</v>
      </c>
      <c r="M30" s="5">
        <f t="shared" si="18"/>
        <v>229</v>
      </c>
      <c r="N30" s="5">
        <f t="shared" si="18"/>
        <v>188</v>
      </c>
      <c r="O30" s="5">
        <f t="shared" si="18"/>
        <v>228</v>
      </c>
      <c r="P30" s="5">
        <f t="shared" si="18"/>
        <v>219</v>
      </c>
      <c r="Q30" s="5">
        <f t="shared" si="18"/>
        <v>204</v>
      </c>
      <c r="R30" s="5">
        <f t="shared" ref="R30:W30" si="19">SUM(R28:R29)</f>
        <v>222</v>
      </c>
      <c r="S30" s="5">
        <f t="shared" si="19"/>
        <v>187</v>
      </c>
      <c r="T30" s="5">
        <f t="shared" si="19"/>
        <v>211</v>
      </c>
      <c r="U30" s="5">
        <f t="shared" si="19"/>
        <v>241</v>
      </c>
      <c r="V30" s="5">
        <f t="shared" si="19"/>
        <v>193</v>
      </c>
      <c r="W30" s="5">
        <f t="shared" si="19"/>
        <v>202</v>
      </c>
      <c r="X30" s="5">
        <f t="shared" ref="X30:AA30" si="20">SUM(X28:X29)</f>
        <v>226</v>
      </c>
      <c r="Y30" s="5">
        <f t="shared" si="20"/>
        <v>199</v>
      </c>
      <c r="Z30" s="5">
        <f t="shared" si="20"/>
        <v>142</v>
      </c>
      <c r="AA30" s="5">
        <f t="shared" si="20"/>
        <v>121</v>
      </c>
      <c r="AB30" s="5">
        <f t="shared" si="3"/>
        <v>4341</v>
      </c>
    </row>
    <row r="31" spans="1:28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  <c r="Z31" s="10"/>
      <c r="AA31" s="10"/>
      <c r="AB31" s="28"/>
    </row>
    <row r="32" spans="1:28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5"/>
      <c r="U32" s="5"/>
      <c r="V32" s="5"/>
      <c r="W32" s="5"/>
      <c r="X32" s="5"/>
      <c r="Y32" s="5"/>
      <c r="Z32" s="15"/>
      <c r="AA32" s="15"/>
      <c r="AB32" s="28"/>
    </row>
    <row r="33" spans="1:28" x14ac:dyDescent="0.4">
      <c r="A33" s="6">
        <v>1</v>
      </c>
      <c r="B33" s="72" t="s">
        <v>38</v>
      </c>
      <c r="C33" s="65"/>
      <c r="D33" s="66"/>
      <c r="E33" s="6">
        <v>254</v>
      </c>
      <c r="F33" s="6">
        <v>253</v>
      </c>
      <c r="G33" s="6">
        <v>298</v>
      </c>
      <c r="H33" s="6">
        <v>261</v>
      </c>
      <c r="I33" s="6">
        <v>164</v>
      </c>
      <c r="J33" s="6">
        <v>174</v>
      </c>
      <c r="K33" s="6">
        <v>202</v>
      </c>
      <c r="L33" s="6">
        <v>173</v>
      </c>
      <c r="M33" s="6">
        <v>306</v>
      </c>
      <c r="N33" s="6">
        <v>254</v>
      </c>
      <c r="O33" s="6">
        <v>299</v>
      </c>
      <c r="P33" s="6">
        <v>284</v>
      </c>
      <c r="Q33" s="6">
        <v>285</v>
      </c>
      <c r="R33" s="6">
        <v>298</v>
      </c>
      <c r="S33" s="6">
        <v>280</v>
      </c>
      <c r="T33" s="6">
        <v>279</v>
      </c>
      <c r="U33" s="6">
        <v>304</v>
      </c>
      <c r="V33" s="6">
        <v>267</v>
      </c>
      <c r="W33" s="6">
        <v>274</v>
      </c>
      <c r="X33" s="6">
        <v>295</v>
      </c>
      <c r="Y33" s="6">
        <v>268</v>
      </c>
      <c r="Z33" s="6">
        <v>235</v>
      </c>
      <c r="AA33" s="6">
        <v>170</v>
      </c>
      <c r="AB33" s="5">
        <f>SUM(E33:AA33)</f>
        <v>5877</v>
      </c>
    </row>
    <row r="34" spans="1:28" x14ac:dyDescent="0.4">
      <c r="A34" s="6">
        <v>2</v>
      </c>
      <c r="B34" s="72" t="s">
        <v>39</v>
      </c>
      <c r="C34" s="65"/>
      <c r="D34" s="66"/>
      <c r="E34" s="5">
        <v>175</v>
      </c>
      <c r="F34" s="5">
        <v>190</v>
      </c>
      <c r="G34" s="5">
        <v>235</v>
      </c>
      <c r="H34" s="5">
        <v>197</v>
      </c>
      <c r="I34" s="5">
        <v>124</v>
      </c>
      <c r="J34" s="5">
        <v>138</v>
      </c>
      <c r="K34" s="5">
        <v>144</v>
      </c>
      <c r="L34" s="5">
        <v>126</v>
      </c>
      <c r="M34" s="5">
        <v>229</v>
      </c>
      <c r="N34" s="5">
        <v>188</v>
      </c>
      <c r="O34" s="5">
        <v>228</v>
      </c>
      <c r="P34" s="5">
        <v>219</v>
      </c>
      <c r="Q34" s="5">
        <v>204</v>
      </c>
      <c r="R34" s="5">
        <v>222</v>
      </c>
      <c r="S34" s="5">
        <v>187</v>
      </c>
      <c r="T34" s="5">
        <v>211</v>
      </c>
      <c r="U34" s="5">
        <v>241</v>
      </c>
      <c r="V34" s="5">
        <v>193</v>
      </c>
      <c r="W34" s="5">
        <v>202</v>
      </c>
      <c r="X34" s="5">
        <v>226</v>
      </c>
      <c r="Y34" s="5">
        <v>199</v>
      </c>
      <c r="Z34" s="5">
        <v>142</v>
      </c>
      <c r="AA34" s="5">
        <v>121</v>
      </c>
      <c r="AB34" s="5">
        <f>SUM(E34:AA34)</f>
        <v>4341</v>
      </c>
    </row>
    <row r="35" spans="1:28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/>
      <c r="I35" s="6"/>
      <c r="J35" s="6"/>
      <c r="K35" s="6"/>
      <c r="L35" s="6"/>
      <c r="M35" s="6"/>
      <c r="N35" s="6">
        <v>1</v>
      </c>
      <c r="O35" s="6"/>
      <c r="P35" s="6"/>
      <c r="Q35" s="6"/>
      <c r="R35" s="6"/>
      <c r="S35" s="6"/>
      <c r="T35" s="6"/>
      <c r="U35" s="6">
        <v>1</v>
      </c>
      <c r="V35" s="6">
        <v>1</v>
      </c>
      <c r="W35" s="6">
        <v>1</v>
      </c>
      <c r="X35" s="6"/>
      <c r="Y35" s="6"/>
      <c r="Z35" s="6"/>
      <c r="AA35" s="6"/>
      <c r="AB35" s="5">
        <f>SUM(E35:AA35)</f>
        <v>4</v>
      </c>
    </row>
    <row r="36" spans="1:28" x14ac:dyDescent="0.4">
      <c r="A36" s="6">
        <v>4</v>
      </c>
      <c r="B36" s="72" t="s">
        <v>41</v>
      </c>
      <c r="C36" s="65"/>
      <c r="D36" s="66"/>
      <c r="E36" s="5">
        <f t="shared" ref="E36:W36" si="21">E33-(E34+E35)</f>
        <v>79</v>
      </c>
      <c r="F36" s="5">
        <f t="shared" ref="F36:Q36" si="22">F33-(F34+F35)</f>
        <v>63</v>
      </c>
      <c r="G36" s="5">
        <f t="shared" si="22"/>
        <v>63</v>
      </c>
      <c r="H36" s="5">
        <f t="shared" si="22"/>
        <v>64</v>
      </c>
      <c r="I36" s="5">
        <f t="shared" si="22"/>
        <v>40</v>
      </c>
      <c r="J36" s="5">
        <f t="shared" si="22"/>
        <v>36</v>
      </c>
      <c r="K36" s="5">
        <f t="shared" si="22"/>
        <v>58</v>
      </c>
      <c r="L36" s="5">
        <f t="shared" si="22"/>
        <v>47</v>
      </c>
      <c r="M36" s="5">
        <f t="shared" si="22"/>
        <v>77</v>
      </c>
      <c r="N36" s="5">
        <f t="shared" si="22"/>
        <v>65</v>
      </c>
      <c r="O36" s="5">
        <f t="shared" si="22"/>
        <v>71</v>
      </c>
      <c r="P36" s="5">
        <f t="shared" si="22"/>
        <v>65</v>
      </c>
      <c r="Q36" s="5">
        <f t="shared" si="22"/>
        <v>81</v>
      </c>
      <c r="R36" s="5">
        <f t="shared" si="21"/>
        <v>76</v>
      </c>
      <c r="S36" s="5">
        <f t="shared" si="21"/>
        <v>93</v>
      </c>
      <c r="T36" s="5">
        <f t="shared" si="21"/>
        <v>68</v>
      </c>
      <c r="U36" s="5">
        <f t="shared" si="21"/>
        <v>62</v>
      </c>
      <c r="V36" s="5">
        <f t="shared" si="21"/>
        <v>73</v>
      </c>
      <c r="W36" s="5">
        <f t="shared" si="21"/>
        <v>71</v>
      </c>
      <c r="X36" s="5">
        <f t="shared" ref="X36:AA36" si="23">X33-(X34+X35)</f>
        <v>69</v>
      </c>
      <c r="Y36" s="5">
        <f t="shared" si="23"/>
        <v>69</v>
      </c>
      <c r="Z36" s="5">
        <f t="shared" si="23"/>
        <v>93</v>
      </c>
      <c r="AA36" s="5">
        <f t="shared" si="23"/>
        <v>49</v>
      </c>
      <c r="AB36" s="5">
        <f>SUM(E36:AA36)</f>
        <v>1532</v>
      </c>
    </row>
    <row r="37" spans="1:28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105"/>
      <c r="S37" s="105"/>
      <c r="T37" s="105"/>
      <c r="U37" s="106"/>
      <c r="V37" s="6"/>
      <c r="W37" s="6"/>
      <c r="X37" s="6"/>
      <c r="Y37" s="6"/>
      <c r="Z37" s="10"/>
      <c r="AA37" s="26"/>
      <c r="AB37" s="28"/>
    </row>
    <row r="38" spans="1:28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5"/>
      <c r="U38" s="5"/>
      <c r="V38" s="5"/>
      <c r="W38" s="5"/>
      <c r="X38" s="5"/>
      <c r="Y38" s="5"/>
      <c r="Z38" s="15"/>
      <c r="AA38" s="15"/>
      <c r="AB38" s="28"/>
    </row>
    <row r="39" spans="1:28" x14ac:dyDescent="0.4">
      <c r="A39" s="11"/>
      <c r="B39" s="87" t="s">
        <v>44</v>
      </c>
      <c r="C39" s="74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</v>
      </c>
      <c r="W39" s="6"/>
      <c r="X39" s="6"/>
      <c r="Y39" s="6"/>
      <c r="Z39" s="6"/>
      <c r="AA39" s="6"/>
      <c r="AB39" s="5">
        <f>SUM(E39:AA39)</f>
        <v>2</v>
      </c>
    </row>
    <row r="40" spans="1:28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5">
        <f>SUM(E40:AA40)</f>
        <v>0</v>
      </c>
    </row>
    <row r="41" spans="1:28" x14ac:dyDescent="0.4">
      <c r="A41" s="14"/>
      <c r="B41" s="89"/>
      <c r="C41" s="78"/>
      <c r="D41" s="5" t="s">
        <v>25</v>
      </c>
      <c r="E41" s="5">
        <f t="shared" ref="E41:W41" si="24">SUM(E39:E40)</f>
        <v>0</v>
      </c>
      <c r="F41" s="5">
        <f t="shared" ref="F41:Q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1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1</v>
      </c>
      <c r="W41" s="5">
        <f t="shared" si="24"/>
        <v>0</v>
      </c>
      <c r="X41" s="5">
        <f t="shared" ref="X41:AA41" si="26">SUM(X39:X40)</f>
        <v>0</v>
      </c>
      <c r="Y41" s="5">
        <f t="shared" si="26"/>
        <v>0</v>
      </c>
      <c r="Z41" s="5">
        <f t="shared" si="26"/>
        <v>0</v>
      </c>
      <c r="AA41" s="5">
        <f t="shared" si="26"/>
        <v>0</v>
      </c>
      <c r="AB41" s="5">
        <f>SUM(E41:AA41)</f>
        <v>2</v>
      </c>
    </row>
    <row r="42" spans="1:28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65"/>
      <c r="S42" s="65"/>
      <c r="T42" s="65"/>
      <c r="U42" s="66"/>
      <c r="V42" s="6"/>
      <c r="W42" s="6"/>
      <c r="X42" s="6"/>
      <c r="Y42" s="6"/>
      <c r="Z42" s="10"/>
      <c r="AA42" s="6"/>
      <c r="AB42" s="5"/>
    </row>
    <row r="43" spans="1:28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5"/>
      <c r="Z43" s="15"/>
      <c r="AA43" s="5"/>
      <c r="AB43" s="5"/>
    </row>
    <row r="44" spans="1:28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6"/>
      <c r="Z44" s="10"/>
      <c r="AA44" s="6"/>
      <c r="AB44" s="5"/>
    </row>
    <row r="45" spans="1:28" x14ac:dyDescent="0.4">
      <c r="A45" s="11" t="s">
        <v>48</v>
      </c>
      <c r="B45" s="17" t="s">
        <v>28</v>
      </c>
      <c r="C45" s="92" t="s">
        <v>49</v>
      </c>
      <c r="D45" s="66"/>
      <c r="E45" s="6">
        <v>3</v>
      </c>
      <c r="F45" s="6">
        <v>10</v>
      </c>
      <c r="G45" s="6">
        <v>4</v>
      </c>
      <c r="H45" s="6">
        <v>5</v>
      </c>
      <c r="I45" s="6">
        <v>2</v>
      </c>
      <c r="J45" s="6">
        <v>3</v>
      </c>
      <c r="K45" s="6">
        <v>4</v>
      </c>
      <c r="L45" s="6">
        <v>6</v>
      </c>
      <c r="M45" s="6">
        <v>1</v>
      </c>
      <c r="N45" s="6">
        <v>2</v>
      </c>
      <c r="O45" s="6">
        <v>8</v>
      </c>
      <c r="P45" s="6">
        <v>5</v>
      </c>
      <c r="Q45" s="6">
        <v>6</v>
      </c>
      <c r="R45" s="6"/>
      <c r="S45" s="6">
        <v>11</v>
      </c>
      <c r="T45" s="6">
        <v>6</v>
      </c>
      <c r="U45" s="6">
        <v>5</v>
      </c>
      <c r="V45" s="6">
        <v>6</v>
      </c>
      <c r="W45" s="6">
        <v>3</v>
      </c>
      <c r="X45" s="6">
        <v>3</v>
      </c>
      <c r="Y45" s="6">
        <v>3</v>
      </c>
      <c r="Z45" s="6">
        <v>4</v>
      </c>
      <c r="AA45" s="6">
        <v>1</v>
      </c>
      <c r="AB45" s="5">
        <f t="shared" ref="AB45:AB54" si="27">SUM(E45:AA45)</f>
        <v>101</v>
      </c>
    </row>
    <row r="46" spans="1:28" x14ac:dyDescent="0.4">
      <c r="A46" s="11" t="s">
        <v>50</v>
      </c>
      <c r="B46" s="50"/>
      <c r="C46" s="24" t="s">
        <v>147</v>
      </c>
      <c r="D46" s="51"/>
      <c r="E46" s="6">
        <v>1</v>
      </c>
      <c r="F46" s="6">
        <v>4</v>
      </c>
      <c r="G46" s="6">
        <v>3</v>
      </c>
      <c r="H46" s="6">
        <v>4</v>
      </c>
      <c r="I46" s="6">
        <v>2</v>
      </c>
      <c r="J46" s="6"/>
      <c r="K46" s="6">
        <v>2</v>
      </c>
      <c r="L46" s="6">
        <v>2</v>
      </c>
      <c r="M46" s="6"/>
      <c r="N46" s="6"/>
      <c r="O46" s="6"/>
      <c r="P46" s="6">
        <v>2</v>
      </c>
      <c r="Q46" s="6">
        <v>3</v>
      </c>
      <c r="R46" s="6">
        <v>1</v>
      </c>
      <c r="S46" s="6">
        <v>3</v>
      </c>
      <c r="T46" s="6">
        <v>5</v>
      </c>
      <c r="U46" s="6">
        <v>4</v>
      </c>
      <c r="V46" s="6">
        <v>2</v>
      </c>
      <c r="W46" s="6">
        <v>1</v>
      </c>
      <c r="X46" s="6">
        <v>4</v>
      </c>
      <c r="Y46" s="6">
        <v>2</v>
      </c>
      <c r="Z46" s="6">
        <v>1</v>
      </c>
      <c r="AA46" s="6">
        <v>1</v>
      </c>
      <c r="AB46" s="5">
        <f t="shared" si="27"/>
        <v>47</v>
      </c>
    </row>
    <row r="47" spans="1:28" x14ac:dyDescent="0.4">
      <c r="A47" s="7"/>
      <c r="B47" s="50"/>
      <c r="C47" s="24" t="s">
        <v>148</v>
      </c>
      <c r="D47" s="51"/>
      <c r="E47" s="6">
        <v>17</v>
      </c>
      <c r="F47" s="6">
        <v>64</v>
      </c>
      <c r="G47" s="6">
        <v>104</v>
      </c>
      <c r="H47" s="6">
        <v>65</v>
      </c>
      <c r="I47" s="6">
        <v>11</v>
      </c>
      <c r="J47" s="6">
        <v>9</v>
      </c>
      <c r="K47" s="6">
        <v>72</v>
      </c>
      <c r="L47" s="6">
        <v>27</v>
      </c>
      <c r="M47" s="6">
        <v>13</v>
      </c>
      <c r="N47" s="6">
        <v>2</v>
      </c>
      <c r="O47" s="6">
        <v>14</v>
      </c>
      <c r="P47" s="6">
        <v>15</v>
      </c>
      <c r="Q47" s="6">
        <v>6</v>
      </c>
      <c r="R47" s="6">
        <v>3</v>
      </c>
      <c r="S47" s="6">
        <v>16</v>
      </c>
      <c r="T47" s="6">
        <v>59</v>
      </c>
      <c r="U47" s="6">
        <v>55</v>
      </c>
      <c r="V47" s="6">
        <v>21</v>
      </c>
      <c r="W47" s="6">
        <v>29</v>
      </c>
      <c r="X47" s="6">
        <v>56</v>
      </c>
      <c r="Y47" s="6">
        <v>23</v>
      </c>
      <c r="Z47" s="6">
        <v>6</v>
      </c>
      <c r="AA47" s="6">
        <v>5</v>
      </c>
      <c r="AB47" s="5">
        <f t="shared" si="27"/>
        <v>692</v>
      </c>
    </row>
    <row r="48" spans="1:28" x14ac:dyDescent="0.4">
      <c r="A48" s="7"/>
      <c r="B48" s="50"/>
      <c r="C48" s="24" t="s">
        <v>149</v>
      </c>
      <c r="D48" s="51"/>
      <c r="E48" s="6">
        <v>5</v>
      </c>
      <c r="F48" s="6">
        <v>3</v>
      </c>
      <c r="G48" s="6">
        <v>5</v>
      </c>
      <c r="H48" s="6">
        <v>4</v>
      </c>
      <c r="I48" s="6">
        <v>1</v>
      </c>
      <c r="J48" s="6"/>
      <c r="K48" s="6">
        <v>1</v>
      </c>
      <c r="L48" s="6"/>
      <c r="M48" s="6">
        <v>6</v>
      </c>
      <c r="N48" s="6">
        <v>3</v>
      </c>
      <c r="O48" s="6">
        <v>20</v>
      </c>
      <c r="P48" s="6">
        <v>29</v>
      </c>
      <c r="Q48" s="6">
        <v>20</v>
      </c>
      <c r="R48" s="6">
        <v>8</v>
      </c>
      <c r="S48" s="6">
        <v>40</v>
      </c>
      <c r="T48" s="6">
        <v>4</v>
      </c>
      <c r="U48" s="6">
        <v>4</v>
      </c>
      <c r="V48" s="6">
        <v>3</v>
      </c>
      <c r="W48" s="6">
        <v>2</v>
      </c>
      <c r="X48" s="6">
        <v>15</v>
      </c>
      <c r="Y48" s="6">
        <v>1</v>
      </c>
      <c r="Z48" s="6">
        <v>5</v>
      </c>
      <c r="AA48" s="6">
        <v>4</v>
      </c>
      <c r="AB48" s="5">
        <f t="shared" si="27"/>
        <v>183</v>
      </c>
    </row>
    <row r="49" spans="1:28" x14ac:dyDescent="0.4">
      <c r="A49" s="7"/>
      <c r="B49" s="50"/>
      <c r="C49" s="24" t="s">
        <v>150</v>
      </c>
      <c r="D49" s="51"/>
      <c r="E49" s="6">
        <v>1</v>
      </c>
      <c r="F49" s="6">
        <v>2</v>
      </c>
      <c r="G49" s="6"/>
      <c r="H49" s="6"/>
      <c r="I49" s="6"/>
      <c r="J49" s="6"/>
      <c r="K49" s="6">
        <v>1</v>
      </c>
      <c r="L49" s="6">
        <v>1</v>
      </c>
      <c r="M49" s="6"/>
      <c r="N49" s="6"/>
      <c r="O49" s="6"/>
      <c r="P49" s="6">
        <v>1</v>
      </c>
      <c r="Q49" s="6"/>
      <c r="R49" s="6"/>
      <c r="S49" s="6"/>
      <c r="T49" s="6">
        <v>2</v>
      </c>
      <c r="U49" s="6"/>
      <c r="V49" s="6"/>
      <c r="W49" s="6"/>
      <c r="X49" s="6"/>
      <c r="Y49" s="6"/>
      <c r="Z49" s="6">
        <v>1</v>
      </c>
      <c r="AA49" s="6"/>
      <c r="AB49" s="5">
        <f t="shared" si="27"/>
        <v>9</v>
      </c>
    </row>
    <row r="50" spans="1:28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1</v>
      </c>
      <c r="U50" s="6"/>
      <c r="V50" s="6"/>
      <c r="W50" s="6"/>
      <c r="X50" s="6"/>
      <c r="Y50" s="6"/>
      <c r="Z50" s="6"/>
      <c r="AA50" s="6"/>
      <c r="AB50" s="5">
        <f t="shared" si="27"/>
        <v>1</v>
      </c>
    </row>
    <row r="51" spans="1:28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5">
        <f t="shared" si="27"/>
        <v>0</v>
      </c>
    </row>
    <row r="52" spans="1:28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>
        <v>1</v>
      </c>
      <c r="Y52" s="6"/>
      <c r="Z52" s="6"/>
      <c r="AA52" s="6"/>
      <c r="AB52" s="5">
        <f t="shared" si="27"/>
        <v>1</v>
      </c>
    </row>
    <row r="53" spans="1:28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5">
        <f t="shared" si="27"/>
        <v>0</v>
      </c>
    </row>
    <row r="54" spans="1:28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5">
        <f t="shared" si="27"/>
        <v>0</v>
      </c>
    </row>
    <row r="55" spans="1:28" x14ac:dyDescent="0.4">
      <c r="A55" s="6" t="s">
        <v>26</v>
      </c>
      <c r="B55" s="85" t="s">
        <v>51</v>
      </c>
      <c r="C55" s="65"/>
      <c r="D55" s="66"/>
      <c r="E55" s="5">
        <f>SUM(E45:E54)</f>
        <v>27</v>
      </c>
      <c r="F55" s="5">
        <f t="shared" ref="F55:Q55" si="28">SUM(F45:F54)</f>
        <v>83</v>
      </c>
      <c r="G55" s="5">
        <f t="shared" si="28"/>
        <v>116</v>
      </c>
      <c r="H55" s="5">
        <f t="shared" si="28"/>
        <v>78</v>
      </c>
      <c r="I55" s="5">
        <f t="shared" si="28"/>
        <v>16</v>
      </c>
      <c r="J55" s="5">
        <f t="shared" si="28"/>
        <v>12</v>
      </c>
      <c r="K55" s="5">
        <f t="shared" si="28"/>
        <v>80</v>
      </c>
      <c r="L55" s="5">
        <f t="shared" si="28"/>
        <v>36</v>
      </c>
      <c r="M55" s="5">
        <f t="shared" si="28"/>
        <v>20</v>
      </c>
      <c r="N55" s="5">
        <f t="shared" si="28"/>
        <v>7</v>
      </c>
      <c r="O55" s="5">
        <f t="shared" si="28"/>
        <v>42</v>
      </c>
      <c r="P55" s="5">
        <f t="shared" si="28"/>
        <v>52</v>
      </c>
      <c r="Q55" s="5">
        <f t="shared" si="28"/>
        <v>35</v>
      </c>
      <c r="R55" s="5">
        <f t="shared" ref="R55:AB55" si="29">SUM(R45:R54)</f>
        <v>12</v>
      </c>
      <c r="S55" s="5">
        <f t="shared" si="29"/>
        <v>70</v>
      </c>
      <c r="T55" s="5">
        <f t="shared" si="29"/>
        <v>77</v>
      </c>
      <c r="U55" s="5">
        <f t="shared" si="29"/>
        <v>68</v>
      </c>
      <c r="V55" s="5">
        <f t="shared" si="29"/>
        <v>32</v>
      </c>
      <c r="W55" s="5">
        <f t="shared" si="29"/>
        <v>35</v>
      </c>
      <c r="X55" s="5">
        <f t="shared" si="29"/>
        <v>79</v>
      </c>
      <c r="Y55" s="5">
        <f t="shared" si="29"/>
        <v>29</v>
      </c>
      <c r="Z55" s="5">
        <f t="shared" si="29"/>
        <v>17</v>
      </c>
      <c r="AA55" s="5">
        <f t="shared" si="29"/>
        <v>11</v>
      </c>
      <c r="AB55" s="5">
        <f t="shared" si="29"/>
        <v>1034</v>
      </c>
    </row>
    <row r="56" spans="1:28" x14ac:dyDescent="0.4">
      <c r="A56" s="90"/>
      <c r="B56" s="89"/>
      <c r="C56" s="89"/>
      <c r="D56" s="89"/>
      <c r="E56" s="89"/>
      <c r="AB56" s="5"/>
    </row>
    <row r="57" spans="1:28" x14ac:dyDescent="0.4">
      <c r="A57" s="11" t="s">
        <v>48</v>
      </c>
      <c r="B57" s="17" t="s">
        <v>30</v>
      </c>
      <c r="C57" s="92" t="s">
        <v>52</v>
      </c>
      <c r="D57" s="66"/>
      <c r="E57" s="6">
        <v>4</v>
      </c>
      <c r="F57" s="6">
        <v>3</v>
      </c>
      <c r="G57" s="6">
        <v>8</v>
      </c>
      <c r="H57" s="6">
        <v>12</v>
      </c>
      <c r="I57" s="6">
        <v>4</v>
      </c>
      <c r="J57" s="6">
        <v>1</v>
      </c>
      <c r="K57" s="6">
        <v>3</v>
      </c>
      <c r="L57" s="6">
        <v>3</v>
      </c>
      <c r="M57" s="6">
        <v>4</v>
      </c>
      <c r="N57" s="6">
        <v>2</v>
      </c>
      <c r="O57" s="6">
        <v>6</v>
      </c>
      <c r="P57" s="6">
        <v>4</v>
      </c>
      <c r="Q57" s="6">
        <v>5</v>
      </c>
      <c r="R57" s="6">
        <v>3</v>
      </c>
      <c r="S57" s="6">
        <v>3</v>
      </c>
      <c r="T57" s="6">
        <v>7</v>
      </c>
      <c r="U57" s="6">
        <v>10</v>
      </c>
      <c r="V57" s="6">
        <v>9</v>
      </c>
      <c r="W57" s="6">
        <v>4</v>
      </c>
      <c r="X57" s="6">
        <v>4</v>
      </c>
      <c r="Y57" s="6">
        <v>1</v>
      </c>
      <c r="Z57" s="6">
        <v>3</v>
      </c>
      <c r="AA57" s="6">
        <v>4</v>
      </c>
      <c r="AB57" s="5">
        <f t="shared" ref="AB57:AB66" si="30">SUM(E57:AA57)</f>
        <v>107</v>
      </c>
    </row>
    <row r="58" spans="1:28" x14ac:dyDescent="0.4">
      <c r="A58" s="11" t="s">
        <v>50</v>
      </c>
      <c r="B58" s="50"/>
      <c r="C58" s="24" t="s">
        <v>154</v>
      </c>
      <c r="D58" s="51"/>
      <c r="E58" s="6"/>
      <c r="F58" s="6">
        <v>1</v>
      </c>
      <c r="G58" s="6">
        <v>3</v>
      </c>
      <c r="H58" s="6"/>
      <c r="I58" s="6">
        <v>1</v>
      </c>
      <c r="J58" s="6">
        <v>1</v>
      </c>
      <c r="K58" s="6">
        <v>1</v>
      </c>
      <c r="L58" s="6">
        <v>2</v>
      </c>
      <c r="M58" s="6"/>
      <c r="N58" s="6"/>
      <c r="O58" s="6"/>
      <c r="P58" s="6">
        <v>1</v>
      </c>
      <c r="Q58" s="6">
        <v>4</v>
      </c>
      <c r="R58" s="6">
        <v>2</v>
      </c>
      <c r="S58" s="6">
        <v>2</v>
      </c>
      <c r="T58" s="6">
        <v>1</v>
      </c>
      <c r="U58" s="6">
        <v>1</v>
      </c>
      <c r="V58" s="6">
        <v>2</v>
      </c>
      <c r="W58" s="6"/>
      <c r="X58" s="6">
        <v>2</v>
      </c>
      <c r="Y58" s="6"/>
      <c r="Z58" s="6">
        <v>2</v>
      </c>
      <c r="AA58" s="6">
        <v>1</v>
      </c>
      <c r="AB58" s="5">
        <f t="shared" si="30"/>
        <v>27</v>
      </c>
    </row>
    <row r="59" spans="1:28" x14ac:dyDescent="0.4">
      <c r="A59" s="7"/>
      <c r="B59" s="50"/>
      <c r="C59" s="24" t="s">
        <v>155</v>
      </c>
      <c r="D59" s="51"/>
      <c r="E59" s="6">
        <v>1</v>
      </c>
      <c r="F59" s="6">
        <v>2</v>
      </c>
      <c r="G59" s="6">
        <v>7</v>
      </c>
      <c r="H59" s="6">
        <v>1</v>
      </c>
      <c r="I59" s="6">
        <v>1</v>
      </c>
      <c r="J59" s="6">
        <v>2</v>
      </c>
      <c r="K59" s="6"/>
      <c r="L59" s="6">
        <v>1</v>
      </c>
      <c r="M59" s="6">
        <v>2</v>
      </c>
      <c r="N59" s="6"/>
      <c r="O59" s="6">
        <v>3</v>
      </c>
      <c r="P59" s="6">
        <v>1</v>
      </c>
      <c r="Q59" s="6">
        <v>1</v>
      </c>
      <c r="R59" s="6">
        <v>2</v>
      </c>
      <c r="S59" s="6">
        <v>1</v>
      </c>
      <c r="T59" s="6">
        <v>3</v>
      </c>
      <c r="U59" s="6">
        <v>5</v>
      </c>
      <c r="V59" s="6">
        <v>3</v>
      </c>
      <c r="W59" s="6"/>
      <c r="X59" s="6">
        <v>3</v>
      </c>
      <c r="Y59" s="6">
        <v>1</v>
      </c>
      <c r="Z59" s="6">
        <v>6</v>
      </c>
      <c r="AA59" s="6">
        <v>3</v>
      </c>
      <c r="AB59" s="5">
        <f t="shared" si="30"/>
        <v>49</v>
      </c>
    </row>
    <row r="60" spans="1:28" x14ac:dyDescent="0.4">
      <c r="A60" s="7"/>
      <c r="B60" s="50"/>
      <c r="C60" s="24" t="s">
        <v>156</v>
      </c>
      <c r="D60" s="51"/>
      <c r="E60" s="6"/>
      <c r="F60" s="6">
        <v>2</v>
      </c>
      <c r="G60" s="6">
        <v>1</v>
      </c>
      <c r="H60" s="6">
        <v>2</v>
      </c>
      <c r="I60" s="6"/>
      <c r="J60" s="6"/>
      <c r="K60" s="6"/>
      <c r="L60" s="6"/>
      <c r="M60" s="6"/>
      <c r="N60" s="6"/>
      <c r="O60" s="6"/>
      <c r="P60" s="6">
        <v>1</v>
      </c>
      <c r="Q60" s="6"/>
      <c r="R60" s="6"/>
      <c r="S60" s="6"/>
      <c r="T60" s="6">
        <v>1</v>
      </c>
      <c r="U60" s="6">
        <v>2</v>
      </c>
      <c r="V60" s="6"/>
      <c r="W60" s="6"/>
      <c r="X60" s="6"/>
      <c r="Y60" s="6">
        <v>1</v>
      </c>
      <c r="Z60" s="6"/>
      <c r="AA60" s="6"/>
      <c r="AB60" s="5">
        <f t="shared" si="30"/>
        <v>10</v>
      </c>
    </row>
    <row r="61" spans="1:28" x14ac:dyDescent="0.4">
      <c r="A61" s="7"/>
      <c r="B61" s="50"/>
      <c r="C61" s="24" t="s">
        <v>157</v>
      </c>
      <c r="D61" s="51"/>
      <c r="E61" s="6">
        <v>1</v>
      </c>
      <c r="F61" s="6"/>
      <c r="G61" s="6"/>
      <c r="H61" s="6"/>
      <c r="I61" s="6"/>
      <c r="J61" s="6">
        <v>1</v>
      </c>
      <c r="K61" s="6">
        <v>1</v>
      </c>
      <c r="L61" s="6">
        <v>1</v>
      </c>
      <c r="M61" s="6"/>
      <c r="N61" s="6"/>
      <c r="O61" s="6"/>
      <c r="P61" s="6"/>
      <c r="Q61" s="6">
        <v>1</v>
      </c>
      <c r="R61" s="6">
        <v>2</v>
      </c>
      <c r="S61" s="6"/>
      <c r="T61" s="6"/>
      <c r="U61" s="6"/>
      <c r="V61" s="6"/>
      <c r="W61" s="6"/>
      <c r="X61" s="6">
        <v>1</v>
      </c>
      <c r="Y61" s="6"/>
      <c r="Z61" s="6"/>
      <c r="AA61" s="6"/>
      <c r="AB61" s="5">
        <f t="shared" si="30"/>
        <v>8</v>
      </c>
    </row>
    <row r="62" spans="1:28" x14ac:dyDescent="0.4">
      <c r="A62" s="7"/>
      <c r="B62" s="50"/>
      <c r="C62" s="24" t="s">
        <v>158</v>
      </c>
      <c r="D62" s="51"/>
      <c r="E62" s="6">
        <v>1</v>
      </c>
      <c r="F62" s="6"/>
      <c r="G62" s="6"/>
      <c r="H62" s="6"/>
      <c r="I62" s="6">
        <v>1</v>
      </c>
      <c r="J62" s="6"/>
      <c r="K62" s="6"/>
      <c r="L62" s="6">
        <v>1</v>
      </c>
      <c r="M62" s="6"/>
      <c r="N62" s="6"/>
      <c r="O62" s="6">
        <v>1</v>
      </c>
      <c r="P62" s="6"/>
      <c r="Q62" s="6">
        <v>1</v>
      </c>
      <c r="R62" s="6">
        <v>2</v>
      </c>
      <c r="S62" s="6">
        <v>2</v>
      </c>
      <c r="T62" s="6">
        <v>1</v>
      </c>
      <c r="U62" s="6"/>
      <c r="V62" s="6"/>
      <c r="W62" s="6"/>
      <c r="X62" s="6">
        <v>2</v>
      </c>
      <c r="Y62" s="6">
        <v>3</v>
      </c>
      <c r="Z62" s="6">
        <v>1</v>
      </c>
      <c r="AA62" s="6"/>
      <c r="AB62" s="5">
        <f t="shared" si="30"/>
        <v>16</v>
      </c>
    </row>
    <row r="63" spans="1:28" ht="13.15" customHeight="1" x14ac:dyDescent="0.4">
      <c r="A63" s="7"/>
      <c r="B63" s="50"/>
      <c r="C63" s="24" t="s">
        <v>159</v>
      </c>
      <c r="D63" s="51"/>
      <c r="E63" s="6"/>
      <c r="F63" s="6"/>
      <c r="G63" s="6"/>
      <c r="H63" s="6"/>
      <c r="I63" s="6"/>
      <c r="J63" s="6"/>
      <c r="K63" s="6">
        <v>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5">
        <f t="shared" si="30"/>
        <v>1</v>
      </c>
    </row>
    <row r="64" spans="1:28" x14ac:dyDescent="0.4">
      <c r="A64" s="7"/>
      <c r="B64" s="50"/>
      <c r="C64" s="24" t="s">
        <v>160</v>
      </c>
      <c r="D64" s="5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8</v>
      </c>
      <c r="T64" s="6">
        <v>2</v>
      </c>
      <c r="U64" s="6">
        <v>1</v>
      </c>
      <c r="V64" s="6">
        <v>4</v>
      </c>
      <c r="W64" s="6">
        <v>2</v>
      </c>
      <c r="X64" s="6">
        <v>25</v>
      </c>
      <c r="Y64" s="6"/>
      <c r="Z64" s="6"/>
      <c r="AA64" s="6"/>
      <c r="AB64" s="5">
        <f t="shared" si="30"/>
        <v>42</v>
      </c>
    </row>
    <row r="65" spans="1:28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>
        <f t="shared" si="30"/>
        <v>0</v>
      </c>
    </row>
    <row r="66" spans="1:28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>
        <f t="shared" si="30"/>
        <v>0</v>
      </c>
    </row>
    <row r="67" spans="1:28" x14ac:dyDescent="0.4">
      <c r="A67" s="6" t="s">
        <v>26</v>
      </c>
      <c r="B67" s="85" t="s">
        <v>51</v>
      </c>
      <c r="C67" s="65"/>
      <c r="D67" s="66"/>
      <c r="E67" s="5">
        <f t="shared" ref="E67:AB67" si="31">SUM(E57:E66)</f>
        <v>7</v>
      </c>
      <c r="F67" s="5">
        <f t="shared" ref="F67:Q67" si="32">SUM(F57:F66)</f>
        <v>8</v>
      </c>
      <c r="G67" s="5">
        <f t="shared" si="32"/>
        <v>19</v>
      </c>
      <c r="H67" s="5">
        <f t="shared" si="32"/>
        <v>15</v>
      </c>
      <c r="I67" s="5">
        <f t="shared" si="32"/>
        <v>7</v>
      </c>
      <c r="J67" s="5">
        <f t="shared" si="32"/>
        <v>5</v>
      </c>
      <c r="K67" s="5">
        <f t="shared" si="32"/>
        <v>6</v>
      </c>
      <c r="L67" s="5">
        <f t="shared" si="32"/>
        <v>8</v>
      </c>
      <c r="M67" s="5">
        <f t="shared" si="32"/>
        <v>6</v>
      </c>
      <c r="N67" s="5">
        <f t="shared" si="32"/>
        <v>2</v>
      </c>
      <c r="O67" s="5">
        <f t="shared" si="32"/>
        <v>10</v>
      </c>
      <c r="P67" s="5">
        <f t="shared" si="32"/>
        <v>7</v>
      </c>
      <c r="Q67" s="5">
        <f t="shared" si="32"/>
        <v>12</v>
      </c>
      <c r="R67" s="5">
        <f t="shared" si="31"/>
        <v>11</v>
      </c>
      <c r="S67" s="5">
        <f t="shared" si="31"/>
        <v>16</v>
      </c>
      <c r="T67" s="5">
        <f t="shared" si="31"/>
        <v>15</v>
      </c>
      <c r="U67" s="5">
        <f t="shared" si="31"/>
        <v>19</v>
      </c>
      <c r="V67" s="5">
        <f t="shared" si="31"/>
        <v>18</v>
      </c>
      <c r="W67" s="5">
        <f t="shared" si="31"/>
        <v>6</v>
      </c>
      <c r="X67" s="5">
        <f t="shared" si="31"/>
        <v>37</v>
      </c>
      <c r="Y67" s="5">
        <f t="shared" si="31"/>
        <v>6</v>
      </c>
      <c r="Z67" s="5">
        <f t="shared" si="31"/>
        <v>12</v>
      </c>
      <c r="AA67" s="5">
        <f t="shared" si="31"/>
        <v>8</v>
      </c>
      <c r="AB67" s="5">
        <f t="shared" si="31"/>
        <v>260</v>
      </c>
    </row>
    <row r="68" spans="1:28" x14ac:dyDescent="0.4">
      <c r="A68" s="90"/>
      <c r="B68" s="89"/>
      <c r="C68" s="89"/>
      <c r="D68" s="89"/>
      <c r="E68" s="89"/>
    </row>
    <row r="69" spans="1:28" x14ac:dyDescent="0.4">
      <c r="A69" s="11" t="s">
        <v>48</v>
      </c>
      <c r="B69" s="17" t="s">
        <v>32</v>
      </c>
      <c r="C69" s="92" t="s">
        <v>53</v>
      </c>
      <c r="D69" s="66"/>
      <c r="E69" s="6">
        <v>13</v>
      </c>
      <c r="F69" s="6">
        <v>15</v>
      </c>
      <c r="G69" s="6">
        <v>2</v>
      </c>
      <c r="H69" s="6">
        <v>3</v>
      </c>
      <c r="I69" s="6">
        <v>8</v>
      </c>
      <c r="J69" s="6">
        <v>6</v>
      </c>
      <c r="K69" s="6">
        <v>1</v>
      </c>
      <c r="L69" s="6">
        <v>7</v>
      </c>
      <c r="M69" s="6">
        <v>12</v>
      </c>
      <c r="N69" s="6">
        <v>9</v>
      </c>
      <c r="O69" s="6">
        <v>6</v>
      </c>
      <c r="P69" s="6">
        <v>10</v>
      </c>
      <c r="Q69" s="6">
        <v>2</v>
      </c>
      <c r="R69" s="6">
        <v>3</v>
      </c>
      <c r="S69" s="6">
        <v>12</v>
      </c>
      <c r="T69" s="6">
        <v>14</v>
      </c>
      <c r="U69" s="6">
        <v>11</v>
      </c>
      <c r="V69" s="6">
        <v>7</v>
      </c>
      <c r="W69" s="6">
        <v>7</v>
      </c>
      <c r="X69" s="6">
        <v>7</v>
      </c>
      <c r="Y69" s="6">
        <v>12</v>
      </c>
      <c r="Z69" s="6">
        <v>7</v>
      </c>
      <c r="AA69" s="6">
        <v>8</v>
      </c>
      <c r="AB69" s="5">
        <f t="shared" ref="AB69:AB78" si="33">SUM(E69:AA69)</f>
        <v>182</v>
      </c>
    </row>
    <row r="70" spans="1:28" x14ac:dyDescent="0.4">
      <c r="A70" s="11" t="s">
        <v>50</v>
      </c>
      <c r="B70" s="50"/>
      <c r="C70" s="24" t="s">
        <v>161</v>
      </c>
      <c r="D70" s="51"/>
      <c r="E70" s="6">
        <v>99</v>
      </c>
      <c r="F70" s="6">
        <v>58</v>
      </c>
      <c r="G70" s="6">
        <v>69</v>
      </c>
      <c r="H70" s="6">
        <v>75</v>
      </c>
      <c r="I70" s="6">
        <v>67</v>
      </c>
      <c r="J70" s="6">
        <v>86</v>
      </c>
      <c r="K70" s="6">
        <v>4</v>
      </c>
      <c r="L70" s="6">
        <v>28</v>
      </c>
      <c r="M70" s="6">
        <v>153</v>
      </c>
      <c r="N70" s="6">
        <v>76</v>
      </c>
      <c r="O70" s="6">
        <v>38</v>
      </c>
      <c r="P70" s="6">
        <v>56</v>
      </c>
      <c r="Q70" s="6">
        <v>29</v>
      </c>
      <c r="R70" s="6">
        <v>26</v>
      </c>
      <c r="S70" s="6">
        <v>41</v>
      </c>
      <c r="T70" s="6">
        <v>47</v>
      </c>
      <c r="U70" s="6">
        <v>58</v>
      </c>
      <c r="V70" s="6">
        <v>48</v>
      </c>
      <c r="W70" s="6">
        <v>88</v>
      </c>
      <c r="X70" s="6">
        <v>41</v>
      </c>
      <c r="Y70" s="6">
        <v>62</v>
      </c>
      <c r="Z70" s="6">
        <v>16</v>
      </c>
      <c r="AA70" s="6">
        <v>26</v>
      </c>
      <c r="AB70" s="5">
        <f t="shared" si="33"/>
        <v>1291</v>
      </c>
    </row>
    <row r="71" spans="1:28" x14ac:dyDescent="0.4">
      <c r="A71" s="7"/>
      <c r="B71" s="50"/>
      <c r="C71" s="24" t="s">
        <v>162</v>
      </c>
      <c r="D71" s="51"/>
      <c r="E71" s="6">
        <v>1</v>
      </c>
      <c r="F71" s="6"/>
      <c r="G71" s="6"/>
      <c r="H71" s="6"/>
      <c r="I71" s="6"/>
      <c r="J71" s="6">
        <v>1</v>
      </c>
      <c r="K71" s="6"/>
      <c r="L71" s="6"/>
      <c r="M71" s="6">
        <v>1</v>
      </c>
      <c r="N71" s="6">
        <v>1</v>
      </c>
      <c r="O71" s="6">
        <v>2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/>
      <c r="V71" s="6"/>
      <c r="W71" s="6"/>
      <c r="X71" s="6">
        <v>1</v>
      </c>
      <c r="Y71" s="6"/>
      <c r="Z71" s="6"/>
      <c r="AA71" s="6"/>
      <c r="AB71" s="5">
        <f t="shared" si="33"/>
        <v>12</v>
      </c>
    </row>
    <row r="72" spans="1:28" x14ac:dyDescent="0.4">
      <c r="A72" s="7"/>
      <c r="B72" s="50"/>
      <c r="C72" s="24" t="s">
        <v>163</v>
      </c>
      <c r="D72" s="51"/>
      <c r="E72" s="6">
        <v>1</v>
      </c>
      <c r="F72" s="6"/>
      <c r="G72" s="6">
        <v>1</v>
      </c>
      <c r="H72" s="6"/>
      <c r="I72" s="6"/>
      <c r="J72" s="6">
        <v>1</v>
      </c>
      <c r="K72" s="6"/>
      <c r="L72" s="6"/>
      <c r="M72" s="6"/>
      <c r="N72" s="6">
        <v>1</v>
      </c>
      <c r="O72" s="6"/>
      <c r="P72" s="6">
        <v>1</v>
      </c>
      <c r="Q72" s="6">
        <v>1</v>
      </c>
      <c r="R72" s="6"/>
      <c r="S72" s="6">
        <v>1</v>
      </c>
      <c r="T72" s="6">
        <v>1</v>
      </c>
      <c r="U72" s="6"/>
      <c r="V72" s="6">
        <v>1</v>
      </c>
      <c r="W72" s="6">
        <v>1</v>
      </c>
      <c r="X72" s="6"/>
      <c r="Y72" s="6">
        <v>1</v>
      </c>
      <c r="Z72" s="6">
        <v>1</v>
      </c>
      <c r="AA72" s="6"/>
      <c r="AB72" s="5">
        <f t="shared" si="33"/>
        <v>12</v>
      </c>
    </row>
    <row r="73" spans="1:28" x14ac:dyDescent="0.4">
      <c r="A73" s="7"/>
      <c r="B73" s="50"/>
      <c r="C73" s="24" t="s">
        <v>164</v>
      </c>
      <c r="D73" s="5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>
        <v>1</v>
      </c>
      <c r="Y73" s="6"/>
      <c r="Z73" s="6"/>
      <c r="AA73" s="6"/>
      <c r="AB73" s="5">
        <f t="shared" si="33"/>
        <v>1</v>
      </c>
    </row>
    <row r="74" spans="1:28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/>
      <c r="K74" s="6"/>
      <c r="L74" s="6">
        <v>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5">
        <f t="shared" si="33"/>
        <v>1</v>
      </c>
    </row>
    <row r="75" spans="1:28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>
        <v>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5">
        <f t="shared" si="33"/>
        <v>1</v>
      </c>
    </row>
    <row r="76" spans="1:28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/>
      <c r="L76" s="6"/>
      <c r="M76" s="6">
        <v>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5">
        <f t="shared" si="33"/>
        <v>2</v>
      </c>
    </row>
    <row r="77" spans="1:28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5">
        <f t="shared" si="33"/>
        <v>0</v>
      </c>
    </row>
    <row r="78" spans="1:28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5">
        <f t="shared" si="33"/>
        <v>0</v>
      </c>
    </row>
    <row r="79" spans="1:28" x14ac:dyDescent="0.4">
      <c r="A79" s="6" t="s">
        <v>26</v>
      </c>
      <c r="B79" s="85" t="s">
        <v>51</v>
      </c>
      <c r="C79" s="65"/>
      <c r="D79" s="66"/>
      <c r="E79" s="5">
        <f t="shared" ref="E79:AB79" si="34">SUM(E69:E78)</f>
        <v>114</v>
      </c>
      <c r="F79" s="5">
        <f t="shared" ref="F79:Q79" si="35">SUM(F69:F78)</f>
        <v>73</v>
      </c>
      <c r="G79" s="5">
        <f t="shared" si="35"/>
        <v>72</v>
      </c>
      <c r="H79" s="5">
        <f t="shared" si="35"/>
        <v>78</v>
      </c>
      <c r="I79" s="5">
        <f t="shared" si="35"/>
        <v>75</v>
      </c>
      <c r="J79" s="5">
        <f t="shared" si="35"/>
        <v>94</v>
      </c>
      <c r="K79" s="5">
        <f t="shared" si="35"/>
        <v>5</v>
      </c>
      <c r="L79" s="5">
        <f t="shared" si="35"/>
        <v>37</v>
      </c>
      <c r="M79" s="5">
        <f t="shared" si="35"/>
        <v>168</v>
      </c>
      <c r="N79" s="5">
        <f t="shared" si="35"/>
        <v>87</v>
      </c>
      <c r="O79" s="5">
        <f t="shared" si="35"/>
        <v>46</v>
      </c>
      <c r="P79" s="5">
        <f t="shared" si="35"/>
        <v>68</v>
      </c>
      <c r="Q79" s="5">
        <f t="shared" si="35"/>
        <v>33</v>
      </c>
      <c r="R79" s="5">
        <f t="shared" si="34"/>
        <v>30</v>
      </c>
      <c r="S79" s="5">
        <f t="shared" si="34"/>
        <v>55</v>
      </c>
      <c r="T79" s="5">
        <f t="shared" si="34"/>
        <v>63</v>
      </c>
      <c r="U79" s="5">
        <f t="shared" si="34"/>
        <v>69</v>
      </c>
      <c r="V79" s="5">
        <f t="shared" si="34"/>
        <v>56</v>
      </c>
      <c r="W79" s="5">
        <f t="shared" si="34"/>
        <v>96</v>
      </c>
      <c r="X79" s="5">
        <f t="shared" si="34"/>
        <v>50</v>
      </c>
      <c r="Y79" s="5">
        <f t="shared" si="34"/>
        <v>75</v>
      </c>
      <c r="Z79" s="5">
        <f t="shared" si="34"/>
        <v>24</v>
      </c>
      <c r="AA79" s="5">
        <f t="shared" si="34"/>
        <v>34</v>
      </c>
      <c r="AB79" s="5">
        <f t="shared" si="34"/>
        <v>1502</v>
      </c>
    </row>
    <row r="80" spans="1:28" x14ac:dyDescent="0.4">
      <c r="A80" s="90"/>
      <c r="B80" s="89"/>
      <c r="C80" s="89"/>
      <c r="D80" s="89"/>
      <c r="E80" s="89"/>
    </row>
    <row r="81" spans="1:28" x14ac:dyDescent="0.4">
      <c r="A81" s="11" t="s">
        <v>48</v>
      </c>
      <c r="B81" s="17" t="s">
        <v>34</v>
      </c>
      <c r="C81" s="92" t="s">
        <v>54</v>
      </c>
      <c r="D81" s="66"/>
      <c r="E81" s="6">
        <v>2</v>
      </c>
      <c r="F81" s="6"/>
      <c r="G81" s="6"/>
      <c r="H81" s="6"/>
      <c r="I81" s="6">
        <v>4</v>
      </c>
      <c r="J81" s="6"/>
      <c r="K81" s="6">
        <v>1</v>
      </c>
      <c r="L81" s="6">
        <v>4</v>
      </c>
      <c r="M81" s="6">
        <v>2</v>
      </c>
      <c r="N81" s="6">
        <v>10</v>
      </c>
      <c r="O81" s="6">
        <v>12</v>
      </c>
      <c r="P81" s="6">
        <v>4</v>
      </c>
      <c r="Q81" s="6">
        <v>9</v>
      </c>
      <c r="R81" s="6">
        <v>19</v>
      </c>
      <c r="S81" s="6">
        <v>3</v>
      </c>
      <c r="T81" s="6">
        <v>4</v>
      </c>
      <c r="U81" s="6">
        <v>1</v>
      </c>
      <c r="V81" s="6">
        <v>3</v>
      </c>
      <c r="W81" s="6">
        <v>1</v>
      </c>
      <c r="X81" s="6"/>
      <c r="Y81" s="6">
        <v>3</v>
      </c>
      <c r="Z81" s="6">
        <v>21</v>
      </c>
      <c r="AA81" s="6">
        <v>2</v>
      </c>
      <c r="AB81" s="5">
        <f t="shared" ref="AB81:AB90" si="36">SUM(E81:AA81)</f>
        <v>105</v>
      </c>
    </row>
    <row r="82" spans="1:28" x14ac:dyDescent="0.4">
      <c r="A82" s="11" t="s">
        <v>50</v>
      </c>
      <c r="B82" s="50"/>
      <c r="C82" s="24" t="s">
        <v>168</v>
      </c>
      <c r="D82" s="51"/>
      <c r="E82" s="6">
        <v>3</v>
      </c>
      <c r="F82" s="6">
        <v>3</v>
      </c>
      <c r="G82" s="6">
        <v>4</v>
      </c>
      <c r="H82" s="6">
        <v>4</v>
      </c>
      <c r="I82" s="6"/>
      <c r="J82" s="6">
        <v>1</v>
      </c>
      <c r="K82" s="6">
        <v>8</v>
      </c>
      <c r="L82" s="6">
        <v>20</v>
      </c>
      <c r="M82" s="6">
        <v>12</v>
      </c>
      <c r="N82" s="6">
        <v>61</v>
      </c>
      <c r="O82" s="6">
        <v>39</v>
      </c>
      <c r="P82" s="6">
        <v>21</v>
      </c>
      <c r="Q82" s="6">
        <v>68</v>
      </c>
      <c r="R82" s="6">
        <v>59</v>
      </c>
      <c r="S82" s="6">
        <v>9</v>
      </c>
      <c r="T82" s="6">
        <v>17</v>
      </c>
      <c r="U82" s="6">
        <v>24</v>
      </c>
      <c r="V82" s="6">
        <v>14</v>
      </c>
      <c r="W82" s="6">
        <v>4</v>
      </c>
      <c r="X82" s="6">
        <v>19</v>
      </c>
      <c r="Y82" s="6">
        <v>10</v>
      </c>
      <c r="Z82" s="6">
        <v>19</v>
      </c>
      <c r="AA82" s="6">
        <v>35</v>
      </c>
      <c r="AB82" s="5">
        <f t="shared" si="36"/>
        <v>454</v>
      </c>
    </row>
    <row r="83" spans="1:28" x14ac:dyDescent="0.4">
      <c r="A83" s="7"/>
      <c r="B83" s="50"/>
      <c r="C83" s="24" t="s">
        <v>169</v>
      </c>
      <c r="D83" s="51"/>
      <c r="E83" s="6"/>
      <c r="F83" s="6"/>
      <c r="G83" s="6"/>
      <c r="H83" s="6"/>
      <c r="I83" s="6"/>
      <c r="J83" s="6">
        <v>1</v>
      </c>
      <c r="K83" s="6"/>
      <c r="L83" s="6"/>
      <c r="M83" s="6"/>
      <c r="N83" s="6">
        <v>1</v>
      </c>
      <c r="O83" s="6"/>
      <c r="P83" s="6"/>
      <c r="Q83" s="6"/>
      <c r="R83" s="6"/>
      <c r="S83" s="6">
        <v>1</v>
      </c>
      <c r="T83" s="6"/>
      <c r="U83" s="6"/>
      <c r="V83" s="6"/>
      <c r="W83" s="6">
        <v>1</v>
      </c>
      <c r="X83" s="6">
        <v>1</v>
      </c>
      <c r="Y83" s="6">
        <v>1</v>
      </c>
      <c r="Z83" s="6"/>
      <c r="AA83" s="6"/>
      <c r="AB83" s="5">
        <f t="shared" si="36"/>
        <v>6</v>
      </c>
    </row>
    <row r="84" spans="1:28" x14ac:dyDescent="0.4">
      <c r="A84" s="7"/>
      <c r="B84" s="50"/>
      <c r="C84" s="24" t="s">
        <v>170</v>
      </c>
      <c r="D84" s="5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</v>
      </c>
      <c r="U84" s="6"/>
      <c r="V84" s="6">
        <v>1</v>
      </c>
      <c r="W84" s="6">
        <v>1</v>
      </c>
      <c r="X84" s="6"/>
      <c r="Y84" s="6"/>
      <c r="Z84" s="6"/>
      <c r="AA84" s="6"/>
      <c r="AB84" s="5">
        <f t="shared" si="36"/>
        <v>3</v>
      </c>
    </row>
    <row r="85" spans="1:28" ht="13.15" customHeight="1" x14ac:dyDescent="0.4">
      <c r="A85" s="7"/>
      <c r="B85" s="50"/>
      <c r="C85" s="24" t="s">
        <v>171</v>
      </c>
      <c r="D85" s="51"/>
      <c r="E85" s="6"/>
      <c r="F85" s="6"/>
      <c r="G85" s="6"/>
      <c r="H85" s="6">
        <v>1</v>
      </c>
      <c r="I85" s="6"/>
      <c r="J85" s="6"/>
      <c r="K85" s="6">
        <v>2</v>
      </c>
      <c r="L85" s="6"/>
      <c r="M85" s="6"/>
      <c r="N85" s="6"/>
      <c r="O85" s="6"/>
      <c r="P85" s="6"/>
      <c r="Q85" s="6">
        <v>2</v>
      </c>
      <c r="R85" s="6"/>
      <c r="S85" s="6">
        <v>2</v>
      </c>
      <c r="T85" s="6">
        <v>2</v>
      </c>
      <c r="U85" s="6"/>
      <c r="V85" s="6"/>
      <c r="W85" s="6"/>
      <c r="X85" s="6"/>
      <c r="Y85" s="6"/>
      <c r="Z85" s="6">
        <v>1</v>
      </c>
      <c r="AA85" s="6"/>
      <c r="AB85" s="5">
        <f t="shared" si="36"/>
        <v>10</v>
      </c>
    </row>
    <row r="86" spans="1:28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1</v>
      </c>
      <c r="P86" s="6"/>
      <c r="Q86" s="6">
        <v>1</v>
      </c>
      <c r="R86" s="6"/>
      <c r="S86" s="6"/>
      <c r="T86" s="6"/>
      <c r="U86" s="6"/>
      <c r="V86" s="6"/>
      <c r="W86" s="6"/>
      <c r="X86" s="6"/>
      <c r="Y86" s="6"/>
      <c r="Z86" s="6"/>
      <c r="AA86" s="6">
        <v>1</v>
      </c>
      <c r="AB86" s="5">
        <f t="shared" si="36"/>
        <v>3</v>
      </c>
    </row>
    <row r="87" spans="1:28" x14ac:dyDescent="0.4">
      <c r="A87" s="7"/>
      <c r="B87" s="50"/>
      <c r="C87" s="24" t="s">
        <v>173</v>
      </c>
      <c r="D87" s="51"/>
      <c r="E87" s="6"/>
      <c r="F87" s="6"/>
      <c r="G87" s="6"/>
      <c r="H87" s="6">
        <v>1</v>
      </c>
      <c r="I87" s="6"/>
      <c r="J87" s="6"/>
      <c r="K87" s="6">
        <v>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5">
        <f t="shared" si="36"/>
        <v>2</v>
      </c>
    </row>
    <row r="88" spans="1:28" x14ac:dyDescent="0.4">
      <c r="A88" s="7"/>
      <c r="B88" s="50"/>
      <c r="C88" s="24" t="s">
        <v>174</v>
      </c>
      <c r="D88" s="51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5">
        <f t="shared" si="36"/>
        <v>1</v>
      </c>
    </row>
    <row r="89" spans="1:28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5">
        <f t="shared" si="36"/>
        <v>0</v>
      </c>
    </row>
    <row r="90" spans="1:28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5">
        <f t="shared" si="36"/>
        <v>0</v>
      </c>
    </row>
    <row r="91" spans="1:28" x14ac:dyDescent="0.4">
      <c r="A91" s="6" t="s">
        <v>26</v>
      </c>
      <c r="B91" s="85" t="s">
        <v>51</v>
      </c>
      <c r="C91" s="65"/>
      <c r="D91" s="66"/>
      <c r="E91" s="5">
        <f t="shared" ref="E91:AB91" si="37">SUM(E81:E90)</f>
        <v>5</v>
      </c>
      <c r="F91" s="5">
        <f t="shared" ref="F91:Q91" si="38">SUM(F81:F90)</f>
        <v>3</v>
      </c>
      <c r="G91" s="5">
        <f t="shared" si="38"/>
        <v>4</v>
      </c>
      <c r="H91" s="5">
        <f t="shared" si="38"/>
        <v>6</v>
      </c>
      <c r="I91" s="5">
        <f t="shared" si="38"/>
        <v>4</v>
      </c>
      <c r="J91" s="5">
        <f t="shared" si="38"/>
        <v>2</v>
      </c>
      <c r="K91" s="5">
        <f t="shared" si="38"/>
        <v>12</v>
      </c>
      <c r="L91" s="5">
        <f t="shared" si="38"/>
        <v>24</v>
      </c>
      <c r="M91" s="5">
        <f t="shared" si="38"/>
        <v>14</v>
      </c>
      <c r="N91" s="5">
        <f t="shared" si="38"/>
        <v>72</v>
      </c>
      <c r="O91" s="5">
        <f t="shared" si="38"/>
        <v>53</v>
      </c>
      <c r="P91" s="5">
        <f t="shared" si="38"/>
        <v>25</v>
      </c>
      <c r="Q91" s="5">
        <f t="shared" si="38"/>
        <v>80</v>
      </c>
      <c r="R91" s="5">
        <f t="shared" si="37"/>
        <v>78</v>
      </c>
      <c r="S91" s="5">
        <f t="shared" si="37"/>
        <v>15</v>
      </c>
      <c r="T91" s="5">
        <f t="shared" si="37"/>
        <v>24</v>
      </c>
      <c r="U91" s="5">
        <f t="shared" si="37"/>
        <v>25</v>
      </c>
      <c r="V91" s="5">
        <f t="shared" si="37"/>
        <v>18</v>
      </c>
      <c r="W91" s="5">
        <f t="shared" si="37"/>
        <v>7</v>
      </c>
      <c r="X91" s="5">
        <f t="shared" si="37"/>
        <v>20</v>
      </c>
      <c r="Y91" s="5">
        <f t="shared" si="37"/>
        <v>14</v>
      </c>
      <c r="Z91" s="5">
        <f t="shared" si="37"/>
        <v>41</v>
      </c>
      <c r="AA91" s="5">
        <f t="shared" si="37"/>
        <v>38</v>
      </c>
      <c r="AB91" s="5">
        <f t="shared" si="37"/>
        <v>584</v>
      </c>
    </row>
    <row r="92" spans="1:28" x14ac:dyDescent="0.4">
      <c r="A92" s="90"/>
      <c r="B92" s="89"/>
      <c r="C92" s="89"/>
      <c r="D92" s="89"/>
      <c r="E92" s="89"/>
    </row>
    <row r="93" spans="1:28" x14ac:dyDescent="0.4">
      <c r="A93" s="11" t="s">
        <v>48</v>
      </c>
      <c r="B93" s="17" t="s">
        <v>55</v>
      </c>
      <c r="C93" s="92" t="s">
        <v>56</v>
      </c>
      <c r="D93" s="66"/>
      <c r="E93" s="6"/>
      <c r="F93" s="6"/>
      <c r="G93" s="6">
        <v>2</v>
      </c>
      <c r="H93" s="6">
        <v>1</v>
      </c>
      <c r="I93" s="6">
        <v>2</v>
      </c>
      <c r="J93" s="6"/>
      <c r="K93" s="6">
        <v>1</v>
      </c>
      <c r="L93" s="6"/>
      <c r="M93" s="6"/>
      <c r="N93" s="6"/>
      <c r="O93" s="6">
        <v>1</v>
      </c>
      <c r="P93" s="6">
        <v>3</v>
      </c>
      <c r="Q93" s="6">
        <v>1</v>
      </c>
      <c r="R93" s="6"/>
      <c r="S93" s="6">
        <v>1</v>
      </c>
      <c r="T93" s="6">
        <v>1</v>
      </c>
      <c r="U93" s="6">
        <v>1</v>
      </c>
      <c r="V93" s="6">
        <v>1</v>
      </c>
      <c r="W93" s="6"/>
      <c r="X93" s="6"/>
      <c r="Y93" s="6"/>
      <c r="Z93" s="6">
        <v>1</v>
      </c>
      <c r="AA93" s="6"/>
      <c r="AB93" s="5">
        <f t="shared" ref="AB93:AB102" si="39">SUM(E93:AA93)</f>
        <v>16</v>
      </c>
    </row>
    <row r="94" spans="1:28" x14ac:dyDescent="0.4">
      <c r="A94" s="11" t="s">
        <v>50</v>
      </c>
      <c r="B94" s="50"/>
      <c r="C94" s="24" t="s">
        <v>175</v>
      </c>
      <c r="D94" s="51"/>
      <c r="E94" s="6"/>
      <c r="F94" s="6">
        <v>1</v>
      </c>
      <c r="G94" s="6"/>
      <c r="H94" s="6"/>
      <c r="I94" s="6"/>
      <c r="J94" s="6"/>
      <c r="K94" s="6">
        <v>1</v>
      </c>
      <c r="L94" s="6">
        <v>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5">
        <f t="shared" si="39"/>
        <v>3</v>
      </c>
    </row>
    <row r="95" spans="1:28" x14ac:dyDescent="0.4">
      <c r="A95" s="7"/>
      <c r="B95" s="50"/>
      <c r="C95" s="24" t="s">
        <v>176</v>
      </c>
      <c r="D95" s="51"/>
      <c r="E95" s="6">
        <v>4</v>
      </c>
      <c r="F95" s="6">
        <v>1</v>
      </c>
      <c r="G95" s="6"/>
      <c r="H95" s="6">
        <v>1</v>
      </c>
      <c r="I95" s="6">
        <v>1</v>
      </c>
      <c r="J95" s="6"/>
      <c r="K95" s="6">
        <v>17</v>
      </c>
      <c r="L95" s="6">
        <v>3</v>
      </c>
      <c r="M95" s="6">
        <v>1</v>
      </c>
      <c r="N95" s="6"/>
      <c r="O95" s="6">
        <v>32</v>
      </c>
      <c r="P95" s="6">
        <v>11</v>
      </c>
      <c r="Q95" s="6"/>
      <c r="R95" s="6">
        <v>2</v>
      </c>
      <c r="S95" s="6">
        <v>3</v>
      </c>
      <c r="T95" s="6">
        <v>3</v>
      </c>
      <c r="U95" s="6">
        <v>4</v>
      </c>
      <c r="V95" s="6"/>
      <c r="W95" s="6">
        <v>2</v>
      </c>
      <c r="X95" s="6"/>
      <c r="Y95" s="6"/>
      <c r="Z95" s="6"/>
      <c r="AA95" s="6">
        <v>1</v>
      </c>
      <c r="AB95" s="5">
        <f t="shared" si="39"/>
        <v>86</v>
      </c>
    </row>
    <row r="96" spans="1:28" ht="13.15" customHeight="1" x14ac:dyDescent="0.4">
      <c r="A96" s="7"/>
      <c r="B96" s="50"/>
      <c r="C96" s="24" t="s">
        <v>177</v>
      </c>
      <c r="D96" s="51"/>
      <c r="E96" s="6"/>
      <c r="F96" s="6"/>
      <c r="G96" s="6">
        <v>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5">
        <f t="shared" si="39"/>
        <v>1</v>
      </c>
    </row>
    <row r="97" spans="1:28" x14ac:dyDescent="0.4">
      <c r="A97" s="7"/>
      <c r="B97" s="50"/>
      <c r="C97" s="24" t="s">
        <v>178</v>
      </c>
      <c r="D97" s="51"/>
      <c r="E97" s="6"/>
      <c r="F97" s="6"/>
      <c r="G97" s="6">
        <v>2</v>
      </c>
      <c r="H97" s="6">
        <v>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2</v>
      </c>
      <c r="U97" s="6"/>
      <c r="V97" s="6">
        <v>2</v>
      </c>
      <c r="W97" s="6"/>
      <c r="X97" s="6"/>
      <c r="Y97" s="6">
        <v>1</v>
      </c>
      <c r="Z97" s="6"/>
      <c r="AA97" s="6"/>
      <c r="AB97" s="5">
        <f t="shared" si="39"/>
        <v>9</v>
      </c>
    </row>
    <row r="98" spans="1:28" x14ac:dyDescent="0.4">
      <c r="A98" s="7"/>
      <c r="B98" s="50"/>
      <c r="C98" s="24" t="s">
        <v>179</v>
      </c>
      <c r="D98" s="51"/>
      <c r="E98" s="6"/>
      <c r="F98" s="6"/>
      <c r="G98" s="6"/>
      <c r="H98" s="6">
        <v>1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2</v>
      </c>
      <c r="V98" s="6"/>
      <c r="W98" s="6"/>
      <c r="X98" s="6"/>
      <c r="Y98" s="6">
        <v>3</v>
      </c>
      <c r="Z98" s="6"/>
      <c r="AA98" s="6"/>
      <c r="AB98" s="5">
        <f t="shared" si="39"/>
        <v>6</v>
      </c>
    </row>
    <row r="99" spans="1:28" x14ac:dyDescent="0.4">
      <c r="A99" s="7"/>
      <c r="B99" s="50"/>
      <c r="C99" s="24" t="s">
        <v>180</v>
      </c>
      <c r="D99" s="51"/>
      <c r="E99" s="6">
        <v>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5">
        <f t="shared" si="39"/>
        <v>1</v>
      </c>
    </row>
    <row r="100" spans="1:28" x14ac:dyDescent="0.4">
      <c r="A100" s="7"/>
      <c r="B100" s="50"/>
      <c r="C100" s="24" t="s">
        <v>181</v>
      </c>
      <c r="D100" s="51"/>
      <c r="E100" s="6"/>
      <c r="F100" s="6">
        <v>1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>
        <v>2</v>
      </c>
      <c r="S100" s="6"/>
      <c r="T100" s="6"/>
      <c r="U100" s="6"/>
      <c r="V100" s="6"/>
      <c r="W100" s="6"/>
      <c r="X100" s="6"/>
      <c r="Y100" s="6"/>
      <c r="Z100" s="6"/>
      <c r="AA100" s="6"/>
      <c r="AB100" s="5">
        <f t="shared" si="39"/>
        <v>3</v>
      </c>
    </row>
    <row r="101" spans="1:28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5">
        <f t="shared" si="39"/>
        <v>0</v>
      </c>
    </row>
    <row r="102" spans="1:28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5">
        <f t="shared" si="39"/>
        <v>0</v>
      </c>
    </row>
    <row r="103" spans="1:28" x14ac:dyDescent="0.4">
      <c r="A103" s="6" t="s">
        <v>26</v>
      </c>
      <c r="B103" s="85" t="s">
        <v>51</v>
      </c>
      <c r="C103" s="65"/>
      <c r="D103" s="66"/>
      <c r="E103" s="5">
        <f t="shared" ref="E103:AB103" si="40">SUM(E93:E102)</f>
        <v>5</v>
      </c>
      <c r="F103" s="5">
        <f t="shared" ref="F103:Q103" si="41">SUM(F93:F102)</f>
        <v>3</v>
      </c>
      <c r="G103" s="5">
        <f t="shared" si="41"/>
        <v>5</v>
      </c>
      <c r="H103" s="5">
        <f t="shared" si="41"/>
        <v>5</v>
      </c>
      <c r="I103" s="5">
        <f t="shared" si="41"/>
        <v>3</v>
      </c>
      <c r="J103" s="5">
        <f t="shared" si="41"/>
        <v>0</v>
      </c>
      <c r="K103" s="5">
        <f t="shared" si="41"/>
        <v>19</v>
      </c>
      <c r="L103" s="5">
        <f t="shared" si="41"/>
        <v>4</v>
      </c>
      <c r="M103" s="5">
        <f t="shared" si="41"/>
        <v>1</v>
      </c>
      <c r="N103" s="5">
        <f t="shared" si="41"/>
        <v>0</v>
      </c>
      <c r="O103" s="5">
        <f t="shared" si="41"/>
        <v>33</v>
      </c>
      <c r="P103" s="5">
        <f t="shared" si="41"/>
        <v>14</v>
      </c>
      <c r="Q103" s="5">
        <f t="shared" si="41"/>
        <v>1</v>
      </c>
      <c r="R103" s="5">
        <f t="shared" si="40"/>
        <v>4</v>
      </c>
      <c r="S103" s="5">
        <f t="shared" si="40"/>
        <v>4</v>
      </c>
      <c r="T103" s="5">
        <f t="shared" si="40"/>
        <v>6</v>
      </c>
      <c r="U103" s="5">
        <f t="shared" si="40"/>
        <v>7</v>
      </c>
      <c r="V103" s="5">
        <f t="shared" si="40"/>
        <v>3</v>
      </c>
      <c r="W103" s="5">
        <f t="shared" si="40"/>
        <v>2</v>
      </c>
      <c r="X103" s="5">
        <f t="shared" si="40"/>
        <v>0</v>
      </c>
      <c r="Y103" s="5">
        <f t="shared" si="40"/>
        <v>4</v>
      </c>
      <c r="Z103" s="5">
        <f t="shared" si="40"/>
        <v>1</v>
      </c>
      <c r="AA103" s="5">
        <f t="shared" si="40"/>
        <v>1</v>
      </c>
      <c r="AB103" s="5">
        <f t="shared" si="40"/>
        <v>125</v>
      </c>
    </row>
    <row r="104" spans="1:28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>
        <v>1</v>
      </c>
      <c r="V105" s="6"/>
      <c r="W105" s="6"/>
      <c r="X105" s="6"/>
      <c r="Y105" s="6"/>
      <c r="Z105" s="6"/>
      <c r="AA105" s="6">
        <v>1</v>
      </c>
      <c r="AB105" s="5">
        <f t="shared" ref="AB105:AB114" si="42">SUM(E105:AA105)</f>
        <v>2</v>
      </c>
    </row>
    <row r="106" spans="1:28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1</v>
      </c>
      <c r="W106" s="6"/>
      <c r="X106" s="6"/>
      <c r="Y106" s="6"/>
      <c r="Z106" s="6"/>
      <c r="AA106" s="6"/>
      <c r="AB106" s="5">
        <f t="shared" si="42"/>
        <v>1</v>
      </c>
    </row>
    <row r="107" spans="1:28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5">
        <f t="shared" si="42"/>
        <v>0</v>
      </c>
    </row>
    <row r="108" spans="1:28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f t="shared" si="42"/>
        <v>0</v>
      </c>
    </row>
    <row r="109" spans="1:28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f t="shared" si="42"/>
        <v>0</v>
      </c>
    </row>
    <row r="110" spans="1:28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f t="shared" si="42"/>
        <v>0</v>
      </c>
    </row>
    <row r="111" spans="1:28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>
        <f t="shared" si="42"/>
        <v>0</v>
      </c>
    </row>
    <row r="112" spans="1:28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>
        <f t="shared" si="42"/>
        <v>0</v>
      </c>
    </row>
    <row r="113" spans="1:28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f t="shared" si="42"/>
        <v>0</v>
      </c>
    </row>
    <row r="114" spans="1:28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>
        <f t="shared" si="42"/>
        <v>0</v>
      </c>
    </row>
    <row r="115" spans="1:28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AB115" si="43">SUM(E105:E114)</f>
        <v>0</v>
      </c>
      <c r="F115" s="5">
        <f t="shared" ref="F115:Q115" si="44">SUM(F105:F114)</f>
        <v>0</v>
      </c>
      <c r="G115" s="5">
        <f t="shared" si="44"/>
        <v>0</v>
      </c>
      <c r="H115" s="5">
        <f t="shared" si="44"/>
        <v>0</v>
      </c>
      <c r="I115" s="5">
        <f t="shared" si="44"/>
        <v>0</v>
      </c>
      <c r="J115" s="5">
        <f t="shared" si="44"/>
        <v>0</v>
      </c>
      <c r="K115" s="5">
        <f t="shared" si="44"/>
        <v>0</v>
      </c>
      <c r="L115" s="5">
        <f t="shared" si="44"/>
        <v>0</v>
      </c>
      <c r="M115" s="5">
        <f t="shared" si="44"/>
        <v>0</v>
      </c>
      <c r="N115" s="5">
        <f t="shared" si="44"/>
        <v>0</v>
      </c>
      <c r="O115" s="5">
        <f t="shared" si="44"/>
        <v>0</v>
      </c>
      <c r="P115" s="5">
        <f t="shared" si="44"/>
        <v>0</v>
      </c>
      <c r="Q115" s="5">
        <f t="shared" si="44"/>
        <v>0</v>
      </c>
      <c r="R115" s="5">
        <f t="shared" si="43"/>
        <v>0</v>
      </c>
      <c r="S115" s="5">
        <f t="shared" si="43"/>
        <v>0</v>
      </c>
      <c r="T115" s="5">
        <f t="shared" si="43"/>
        <v>0</v>
      </c>
      <c r="U115" s="5">
        <f t="shared" si="43"/>
        <v>1</v>
      </c>
      <c r="V115" s="5">
        <f t="shared" si="43"/>
        <v>1</v>
      </c>
      <c r="W115" s="5">
        <f t="shared" si="43"/>
        <v>0</v>
      </c>
      <c r="X115" s="5">
        <f t="shared" si="43"/>
        <v>0</v>
      </c>
      <c r="Y115" s="5">
        <f t="shared" si="43"/>
        <v>0</v>
      </c>
      <c r="Z115" s="5">
        <f t="shared" si="43"/>
        <v>0</v>
      </c>
      <c r="AA115" s="5">
        <f t="shared" si="43"/>
        <v>1</v>
      </c>
      <c r="AB115" s="5">
        <f t="shared" si="43"/>
        <v>3</v>
      </c>
    </row>
    <row r="116" spans="1:28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28" x14ac:dyDescent="0.4">
      <c r="A117" s="11" t="s">
        <v>48</v>
      </c>
      <c r="B117" s="17" t="s">
        <v>59</v>
      </c>
      <c r="C117" s="92" t="s">
        <v>60</v>
      </c>
      <c r="D117" s="66"/>
      <c r="E117" s="6">
        <v>1</v>
      </c>
      <c r="F117" s="6"/>
      <c r="G117" s="6"/>
      <c r="H117" s="6"/>
      <c r="I117" s="6"/>
      <c r="J117" s="6"/>
      <c r="K117" s="6">
        <v>2</v>
      </c>
      <c r="L117" s="6">
        <v>1</v>
      </c>
      <c r="M117" s="6"/>
      <c r="N117" s="6"/>
      <c r="O117" s="6">
        <v>1</v>
      </c>
      <c r="P117" s="6"/>
      <c r="Q117" s="6">
        <v>1</v>
      </c>
      <c r="R117" s="6"/>
      <c r="S117" s="6"/>
      <c r="T117" s="6"/>
      <c r="U117" s="6"/>
      <c r="V117" s="6">
        <v>1</v>
      </c>
      <c r="W117" s="6"/>
      <c r="X117" s="6"/>
      <c r="Y117" s="6"/>
      <c r="Z117" s="6"/>
      <c r="AA117" s="6"/>
      <c r="AB117" s="5">
        <f t="shared" ref="AB117:AB126" si="45">SUM(E117:AA117)</f>
        <v>7</v>
      </c>
    </row>
    <row r="118" spans="1:28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>
        <v>1</v>
      </c>
      <c r="AA118" s="6"/>
      <c r="AB118" s="5">
        <f t="shared" si="45"/>
        <v>1</v>
      </c>
    </row>
    <row r="119" spans="1:28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5">
        <f t="shared" si="45"/>
        <v>0</v>
      </c>
    </row>
    <row r="120" spans="1:28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5">
        <f t="shared" si="45"/>
        <v>0</v>
      </c>
    </row>
    <row r="121" spans="1:28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5">
        <f t="shared" si="45"/>
        <v>0</v>
      </c>
    </row>
    <row r="122" spans="1:28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5">
        <f t="shared" si="45"/>
        <v>0</v>
      </c>
    </row>
    <row r="123" spans="1:28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5">
        <f t="shared" si="45"/>
        <v>0</v>
      </c>
    </row>
    <row r="124" spans="1:28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5">
        <f t="shared" si="45"/>
        <v>0</v>
      </c>
    </row>
    <row r="125" spans="1:28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5">
        <f t="shared" si="45"/>
        <v>0</v>
      </c>
    </row>
    <row r="126" spans="1:28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5">
        <f t="shared" si="45"/>
        <v>0</v>
      </c>
    </row>
    <row r="127" spans="1:28" x14ac:dyDescent="0.4">
      <c r="A127" s="6" t="s">
        <v>26</v>
      </c>
      <c r="B127" s="85" t="s">
        <v>51</v>
      </c>
      <c r="C127" s="93"/>
      <c r="D127" s="94"/>
      <c r="E127" s="5">
        <f t="shared" ref="E127:AB127" si="46">SUM(E117:E126)</f>
        <v>1</v>
      </c>
      <c r="F127" s="5">
        <f t="shared" ref="F127:Q127" si="47">SUM(F117:F126)</f>
        <v>0</v>
      </c>
      <c r="G127" s="5">
        <f t="shared" si="47"/>
        <v>0</v>
      </c>
      <c r="H127" s="5">
        <f t="shared" si="47"/>
        <v>0</v>
      </c>
      <c r="I127" s="5">
        <f t="shared" si="47"/>
        <v>0</v>
      </c>
      <c r="J127" s="5">
        <f t="shared" si="47"/>
        <v>0</v>
      </c>
      <c r="K127" s="5">
        <f t="shared" si="47"/>
        <v>2</v>
      </c>
      <c r="L127" s="5">
        <f t="shared" si="47"/>
        <v>1</v>
      </c>
      <c r="M127" s="5">
        <f t="shared" si="47"/>
        <v>0</v>
      </c>
      <c r="N127" s="5">
        <f t="shared" si="47"/>
        <v>0</v>
      </c>
      <c r="O127" s="5">
        <f t="shared" si="47"/>
        <v>1</v>
      </c>
      <c r="P127" s="5">
        <f t="shared" si="47"/>
        <v>0</v>
      </c>
      <c r="Q127" s="5">
        <f t="shared" si="47"/>
        <v>1</v>
      </c>
      <c r="R127" s="5">
        <f t="shared" si="46"/>
        <v>0</v>
      </c>
      <c r="S127" s="5">
        <f t="shared" si="46"/>
        <v>0</v>
      </c>
      <c r="T127" s="5">
        <f t="shared" si="46"/>
        <v>0</v>
      </c>
      <c r="U127" s="5">
        <f t="shared" si="46"/>
        <v>0</v>
      </c>
      <c r="V127" s="5">
        <f t="shared" si="46"/>
        <v>1</v>
      </c>
      <c r="W127" s="5">
        <f t="shared" si="46"/>
        <v>0</v>
      </c>
      <c r="X127" s="5">
        <f t="shared" si="46"/>
        <v>0</v>
      </c>
      <c r="Y127" s="5">
        <f t="shared" si="46"/>
        <v>0</v>
      </c>
      <c r="Z127" s="5">
        <f t="shared" si="46"/>
        <v>1</v>
      </c>
      <c r="AA127" s="5">
        <f t="shared" si="46"/>
        <v>0</v>
      </c>
      <c r="AB127" s="5">
        <f t="shared" si="46"/>
        <v>8</v>
      </c>
    </row>
    <row r="128" spans="1:28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x14ac:dyDescent="0.4">
      <c r="A129" s="11" t="s">
        <v>48</v>
      </c>
      <c r="B129" s="17" t="s">
        <v>61</v>
      </c>
      <c r="C129" s="92" t="s">
        <v>62</v>
      </c>
      <c r="D129" s="66"/>
      <c r="E129" s="6">
        <v>1</v>
      </c>
      <c r="F129" s="6"/>
      <c r="G129" s="6"/>
      <c r="H129" s="6"/>
      <c r="I129" s="6">
        <v>1</v>
      </c>
      <c r="J129" s="6"/>
      <c r="K129" s="6">
        <v>1</v>
      </c>
      <c r="L129" s="6"/>
      <c r="M129" s="6">
        <v>1</v>
      </c>
      <c r="N129" s="6"/>
      <c r="O129" s="6"/>
      <c r="P129" s="6"/>
      <c r="Q129" s="6">
        <v>1</v>
      </c>
      <c r="R129" s="6">
        <v>1</v>
      </c>
      <c r="S129" s="6"/>
      <c r="T129" s="6">
        <v>1</v>
      </c>
      <c r="U129" s="6">
        <v>2</v>
      </c>
      <c r="V129" s="6"/>
      <c r="W129" s="6"/>
      <c r="X129" s="6"/>
      <c r="Y129" s="6"/>
      <c r="Z129" s="6">
        <v>1</v>
      </c>
      <c r="AA129" s="6"/>
      <c r="AB129" s="5">
        <f t="shared" ref="AB129:AB138" si="48">SUM(E129:AA129)</f>
        <v>10</v>
      </c>
    </row>
    <row r="130" spans="1:28" ht="13.15" customHeight="1" x14ac:dyDescent="0.4">
      <c r="A130" s="11" t="s">
        <v>50</v>
      </c>
      <c r="B130" s="50"/>
      <c r="C130" s="24" t="s">
        <v>184</v>
      </c>
      <c r="D130" s="51"/>
      <c r="E130" s="6">
        <v>1</v>
      </c>
      <c r="F130" s="6"/>
      <c r="G130" s="6">
        <v>4</v>
      </c>
      <c r="H130" s="6"/>
      <c r="I130" s="6"/>
      <c r="J130" s="6">
        <v>2</v>
      </c>
      <c r="K130" s="6"/>
      <c r="L130" s="6"/>
      <c r="M130" s="6">
        <v>1</v>
      </c>
      <c r="N130" s="6"/>
      <c r="O130" s="6"/>
      <c r="P130" s="6">
        <v>1</v>
      </c>
      <c r="Q130" s="6"/>
      <c r="R130" s="6"/>
      <c r="S130" s="6">
        <v>4</v>
      </c>
      <c r="T130" s="6">
        <v>1</v>
      </c>
      <c r="U130" s="6"/>
      <c r="V130" s="6">
        <v>1</v>
      </c>
      <c r="W130" s="6"/>
      <c r="X130" s="6">
        <v>1</v>
      </c>
      <c r="Y130" s="6"/>
      <c r="Z130" s="6">
        <v>1</v>
      </c>
      <c r="AA130" s="6"/>
      <c r="AB130" s="5">
        <f t="shared" si="48"/>
        <v>17</v>
      </c>
    </row>
    <row r="131" spans="1:28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5">
        <f t="shared" si="48"/>
        <v>0</v>
      </c>
    </row>
    <row r="132" spans="1:28" x14ac:dyDescent="0.4">
      <c r="A132" s="7"/>
      <c r="B132" s="50"/>
      <c r="C132" s="24" t="s">
        <v>186</v>
      </c>
      <c r="D132" s="51"/>
      <c r="E132" s="6"/>
      <c r="F132" s="6"/>
      <c r="G132" s="6"/>
      <c r="H132" s="6">
        <v>1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5">
        <f t="shared" si="48"/>
        <v>1</v>
      </c>
    </row>
    <row r="133" spans="1:28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>
        <v>1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5">
        <f t="shared" si="48"/>
        <v>1</v>
      </c>
    </row>
    <row r="134" spans="1:28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5">
        <f t="shared" si="48"/>
        <v>0</v>
      </c>
    </row>
    <row r="135" spans="1:28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5">
        <f t="shared" si="48"/>
        <v>0</v>
      </c>
    </row>
    <row r="136" spans="1:28" x14ac:dyDescent="0.4">
      <c r="A136" s="7"/>
      <c r="B136" s="50"/>
      <c r="C136" s="24" t="s">
        <v>190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5">
        <f t="shared" si="48"/>
        <v>0</v>
      </c>
    </row>
    <row r="137" spans="1:28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5">
        <f t="shared" si="48"/>
        <v>0</v>
      </c>
    </row>
    <row r="138" spans="1:28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>
        <f t="shared" si="48"/>
        <v>0</v>
      </c>
    </row>
    <row r="139" spans="1:28" x14ac:dyDescent="0.4">
      <c r="A139" s="6" t="s">
        <v>26</v>
      </c>
      <c r="B139" s="85" t="s">
        <v>51</v>
      </c>
      <c r="C139" s="93"/>
      <c r="D139" s="94"/>
      <c r="E139" s="5">
        <f t="shared" ref="E139:AB139" si="49">SUM(E129:E138)</f>
        <v>2</v>
      </c>
      <c r="F139" s="5">
        <f t="shared" ref="F139:Q139" si="50">SUM(F129:F138)</f>
        <v>0</v>
      </c>
      <c r="G139" s="5">
        <f t="shared" si="50"/>
        <v>4</v>
      </c>
      <c r="H139" s="5">
        <f t="shared" si="50"/>
        <v>1</v>
      </c>
      <c r="I139" s="5">
        <f t="shared" si="50"/>
        <v>1</v>
      </c>
      <c r="J139" s="5">
        <f t="shared" si="50"/>
        <v>2</v>
      </c>
      <c r="K139" s="5">
        <f t="shared" si="50"/>
        <v>2</v>
      </c>
      <c r="L139" s="5">
        <f t="shared" si="50"/>
        <v>0</v>
      </c>
      <c r="M139" s="5">
        <f t="shared" si="50"/>
        <v>2</v>
      </c>
      <c r="N139" s="5">
        <f t="shared" si="50"/>
        <v>0</v>
      </c>
      <c r="O139" s="5">
        <f t="shared" si="50"/>
        <v>0</v>
      </c>
      <c r="P139" s="5">
        <f t="shared" si="50"/>
        <v>1</v>
      </c>
      <c r="Q139" s="5">
        <f t="shared" si="50"/>
        <v>1</v>
      </c>
      <c r="R139" s="5">
        <f t="shared" si="49"/>
        <v>1</v>
      </c>
      <c r="S139" s="5">
        <f t="shared" si="49"/>
        <v>4</v>
      </c>
      <c r="T139" s="5">
        <f t="shared" si="49"/>
        <v>2</v>
      </c>
      <c r="U139" s="5">
        <f t="shared" si="49"/>
        <v>2</v>
      </c>
      <c r="V139" s="5">
        <f t="shared" si="49"/>
        <v>1</v>
      </c>
      <c r="W139" s="5">
        <f t="shared" si="49"/>
        <v>0</v>
      </c>
      <c r="X139" s="5">
        <f t="shared" si="49"/>
        <v>1</v>
      </c>
      <c r="Y139" s="5">
        <f t="shared" si="49"/>
        <v>0</v>
      </c>
      <c r="Z139" s="5">
        <f t="shared" si="49"/>
        <v>2</v>
      </c>
      <c r="AA139" s="5">
        <f t="shared" si="49"/>
        <v>0</v>
      </c>
      <c r="AB139" s="5">
        <f t="shared" si="49"/>
        <v>29</v>
      </c>
    </row>
    <row r="140" spans="1:28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5">
        <f t="shared" ref="AB141:AB150" si="51">SUM(E141:AA141)</f>
        <v>0</v>
      </c>
    </row>
    <row r="142" spans="1:28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>
        <v>1</v>
      </c>
      <c r="W142" s="6"/>
      <c r="X142" s="6"/>
      <c r="Y142" s="6"/>
      <c r="Z142" s="6"/>
      <c r="AA142" s="6"/>
      <c r="AB142" s="5">
        <f t="shared" si="51"/>
        <v>1</v>
      </c>
    </row>
    <row r="143" spans="1:28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f t="shared" si="51"/>
        <v>0</v>
      </c>
    </row>
    <row r="144" spans="1:28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>
        <f t="shared" si="51"/>
        <v>0</v>
      </c>
    </row>
    <row r="145" spans="1:28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>
        <f t="shared" si="51"/>
        <v>0</v>
      </c>
    </row>
    <row r="146" spans="1:28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f t="shared" si="51"/>
        <v>0</v>
      </c>
    </row>
    <row r="147" spans="1:28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f t="shared" si="51"/>
        <v>0</v>
      </c>
    </row>
    <row r="148" spans="1:28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f t="shared" si="51"/>
        <v>0</v>
      </c>
    </row>
    <row r="149" spans="1:28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f t="shared" si="51"/>
        <v>0</v>
      </c>
    </row>
    <row r="150" spans="1:28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f t="shared" si="51"/>
        <v>0</v>
      </c>
    </row>
    <row r="151" spans="1:28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AB151" si="52">SUM(E141:E150)</f>
        <v>0</v>
      </c>
      <c r="F151" s="5">
        <f t="shared" ref="F151:Q151" si="53">SUM(F141:F150)</f>
        <v>0</v>
      </c>
      <c r="G151" s="5">
        <f t="shared" si="53"/>
        <v>0</v>
      </c>
      <c r="H151" s="5">
        <f t="shared" si="53"/>
        <v>0</v>
      </c>
      <c r="I151" s="5">
        <f t="shared" si="53"/>
        <v>0</v>
      </c>
      <c r="J151" s="5">
        <f t="shared" si="53"/>
        <v>0</v>
      </c>
      <c r="K151" s="5">
        <f t="shared" si="53"/>
        <v>0</v>
      </c>
      <c r="L151" s="5">
        <f t="shared" si="53"/>
        <v>0</v>
      </c>
      <c r="M151" s="5">
        <f t="shared" si="53"/>
        <v>0</v>
      </c>
      <c r="N151" s="5">
        <f t="shared" si="53"/>
        <v>0</v>
      </c>
      <c r="O151" s="5">
        <f t="shared" si="53"/>
        <v>0</v>
      </c>
      <c r="P151" s="5">
        <f t="shared" si="53"/>
        <v>0</v>
      </c>
      <c r="Q151" s="5">
        <f t="shared" si="53"/>
        <v>0</v>
      </c>
      <c r="R151" s="5">
        <f t="shared" si="52"/>
        <v>0</v>
      </c>
      <c r="S151" s="5">
        <f t="shared" si="52"/>
        <v>0</v>
      </c>
      <c r="T151" s="5">
        <f t="shared" si="52"/>
        <v>0</v>
      </c>
      <c r="U151" s="5">
        <f t="shared" si="52"/>
        <v>0</v>
      </c>
      <c r="V151" s="5">
        <f t="shared" si="52"/>
        <v>1</v>
      </c>
      <c r="W151" s="5">
        <f t="shared" si="52"/>
        <v>0</v>
      </c>
      <c r="X151" s="5">
        <f t="shared" si="52"/>
        <v>0</v>
      </c>
      <c r="Y151" s="5">
        <f t="shared" si="52"/>
        <v>0</v>
      </c>
      <c r="Z151" s="5">
        <f t="shared" si="52"/>
        <v>0</v>
      </c>
      <c r="AA151" s="5">
        <f t="shared" si="52"/>
        <v>0</v>
      </c>
      <c r="AB151" s="5">
        <f t="shared" si="52"/>
        <v>1</v>
      </c>
    </row>
    <row r="152" spans="1:28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</row>
    <row r="153" spans="1:28" x14ac:dyDescent="0.4">
      <c r="A153" s="11" t="s">
        <v>48</v>
      </c>
      <c r="B153" s="44" t="s">
        <v>65</v>
      </c>
      <c r="C153" s="96" t="s">
        <v>66</v>
      </c>
      <c r="D153" s="74"/>
      <c r="E153" s="6"/>
      <c r="F153" s="6"/>
      <c r="G153" s="6"/>
      <c r="H153" s="6"/>
      <c r="I153" s="6"/>
      <c r="J153" s="6">
        <v>1</v>
      </c>
      <c r="K153" s="6"/>
      <c r="L153" s="6"/>
      <c r="M153" s="6"/>
      <c r="N153" s="6"/>
      <c r="O153" s="6">
        <v>1</v>
      </c>
      <c r="P153" s="6"/>
      <c r="Q153" s="6">
        <v>1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5">
        <f t="shared" ref="AB153:AB162" si="54">SUM(E153:AA153)</f>
        <v>3</v>
      </c>
    </row>
    <row r="154" spans="1:28" x14ac:dyDescent="0.4">
      <c r="A154" s="52" t="s">
        <v>50</v>
      </c>
      <c r="B154" s="50"/>
      <c r="C154" s="24" t="s">
        <v>193</v>
      </c>
      <c r="D154" s="51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5">
        <f t="shared" si="54"/>
        <v>0</v>
      </c>
    </row>
    <row r="155" spans="1:28" x14ac:dyDescent="0.4">
      <c r="A155" s="7"/>
      <c r="B155" s="50"/>
      <c r="C155" s="24" t="s">
        <v>194</v>
      </c>
      <c r="D155" s="51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>
        <v>1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5">
        <f t="shared" si="54"/>
        <v>1</v>
      </c>
    </row>
    <row r="156" spans="1:28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>
        <v>1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5">
        <f t="shared" si="54"/>
        <v>1</v>
      </c>
    </row>
    <row r="157" spans="1:28" x14ac:dyDescent="0.4">
      <c r="A157" s="7"/>
      <c r="B157" s="50"/>
      <c r="C157" s="24" t="s">
        <v>196</v>
      </c>
      <c r="D157" s="51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>
        <v>1</v>
      </c>
      <c r="X157" s="6"/>
      <c r="Y157" s="6"/>
      <c r="Z157" s="6"/>
      <c r="AA157" s="6"/>
      <c r="AB157" s="5">
        <f t="shared" si="54"/>
        <v>1</v>
      </c>
    </row>
    <row r="158" spans="1:28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5">
        <f t="shared" si="54"/>
        <v>0</v>
      </c>
    </row>
    <row r="159" spans="1:28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5">
        <f t="shared" si="54"/>
        <v>0</v>
      </c>
    </row>
    <row r="160" spans="1:28" x14ac:dyDescent="0.4">
      <c r="A160" s="7"/>
      <c r="B160" s="50"/>
      <c r="C160" s="24" t="s">
        <v>199</v>
      </c>
      <c r="D160" s="51"/>
      <c r="E160" s="53">
        <v>2</v>
      </c>
      <c r="F160" s="6">
        <v>1</v>
      </c>
      <c r="G160" s="6"/>
      <c r="H160" s="6">
        <v>3</v>
      </c>
      <c r="I160" s="6">
        <v>6</v>
      </c>
      <c r="J160" s="6">
        <v>10</v>
      </c>
      <c r="K160" s="6">
        <v>6</v>
      </c>
      <c r="L160" s="6">
        <v>4</v>
      </c>
      <c r="M160" s="6">
        <v>3</v>
      </c>
      <c r="N160" s="6">
        <v>7</v>
      </c>
      <c r="O160" s="6">
        <v>24</v>
      </c>
      <c r="P160" s="6">
        <v>26</v>
      </c>
      <c r="Q160" s="6"/>
      <c r="R160" s="6"/>
      <c r="S160" s="6"/>
      <c r="T160" s="6"/>
      <c r="U160" s="6">
        <v>6</v>
      </c>
      <c r="V160" s="6">
        <v>2</v>
      </c>
      <c r="W160" s="6"/>
      <c r="X160" s="6">
        <v>2</v>
      </c>
      <c r="Y160" s="6"/>
      <c r="Z160" s="6"/>
      <c r="AA160" s="6"/>
      <c r="AB160" s="5">
        <f t="shared" si="54"/>
        <v>102</v>
      </c>
    </row>
    <row r="161" spans="1:28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54"/>
        <v>0</v>
      </c>
    </row>
    <row r="162" spans="1:28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54"/>
        <v>0</v>
      </c>
    </row>
    <row r="163" spans="1:28" x14ac:dyDescent="0.4">
      <c r="A163" s="6" t="s">
        <v>26</v>
      </c>
      <c r="B163" s="97" t="s">
        <v>51</v>
      </c>
      <c r="C163" s="98"/>
      <c r="D163" s="99"/>
      <c r="E163" s="5">
        <f t="shared" ref="E163:AB163" si="55">SUM(E153:E162)</f>
        <v>2</v>
      </c>
      <c r="F163" s="5">
        <f t="shared" ref="F163:Q163" si="56">SUM(F153:F162)</f>
        <v>1</v>
      </c>
      <c r="G163" s="5">
        <f t="shared" si="56"/>
        <v>0</v>
      </c>
      <c r="H163" s="5">
        <f t="shared" si="56"/>
        <v>3</v>
      </c>
      <c r="I163" s="5">
        <f t="shared" si="56"/>
        <v>7</v>
      </c>
      <c r="J163" s="5">
        <f t="shared" si="56"/>
        <v>11</v>
      </c>
      <c r="K163" s="5">
        <f t="shared" si="56"/>
        <v>6</v>
      </c>
      <c r="L163" s="5">
        <f t="shared" si="56"/>
        <v>4</v>
      </c>
      <c r="M163" s="5">
        <f t="shared" si="56"/>
        <v>3</v>
      </c>
      <c r="N163" s="5">
        <f t="shared" si="56"/>
        <v>7</v>
      </c>
      <c r="O163" s="5">
        <f t="shared" si="56"/>
        <v>25</v>
      </c>
      <c r="P163" s="5">
        <f t="shared" si="56"/>
        <v>26</v>
      </c>
      <c r="Q163" s="5">
        <f t="shared" si="56"/>
        <v>2</v>
      </c>
      <c r="R163" s="5">
        <f t="shared" si="55"/>
        <v>0</v>
      </c>
      <c r="S163" s="5">
        <f t="shared" si="55"/>
        <v>0</v>
      </c>
      <c r="T163" s="5">
        <f t="shared" si="55"/>
        <v>0</v>
      </c>
      <c r="U163" s="5">
        <f t="shared" si="55"/>
        <v>6</v>
      </c>
      <c r="V163" s="5">
        <f t="shared" si="55"/>
        <v>2</v>
      </c>
      <c r="W163" s="5">
        <f t="shared" si="55"/>
        <v>1</v>
      </c>
      <c r="X163" s="5">
        <f t="shared" si="55"/>
        <v>2</v>
      </c>
      <c r="Y163" s="5">
        <f t="shared" si="55"/>
        <v>0</v>
      </c>
      <c r="Z163" s="5">
        <f t="shared" si="55"/>
        <v>0</v>
      </c>
      <c r="AA163" s="5">
        <f t="shared" si="55"/>
        <v>0</v>
      </c>
      <c r="AB163" s="5">
        <f t="shared" si="55"/>
        <v>108</v>
      </c>
    </row>
    <row r="164" spans="1:28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>
        <v>1</v>
      </c>
      <c r="Q165" s="6"/>
      <c r="R165" s="6"/>
      <c r="S165" s="6"/>
      <c r="T165" s="6">
        <v>1</v>
      </c>
      <c r="U165" s="6"/>
      <c r="V165" s="6"/>
      <c r="W165" s="6"/>
      <c r="X165" s="6">
        <v>1</v>
      </c>
      <c r="Y165" s="6"/>
      <c r="Z165" s="6"/>
      <c r="AA165" s="6"/>
      <c r="AB165" s="5">
        <f t="shared" ref="AB165:AB174" si="57">SUM(E165:AA165)</f>
        <v>3</v>
      </c>
    </row>
    <row r="166" spans="1:28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5">
        <f t="shared" si="57"/>
        <v>0</v>
      </c>
    </row>
    <row r="167" spans="1:28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>
        <f t="shared" si="57"/>
        <v>0</v>
      </c>
    </row>
    <row r="168" spans="1:28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>
        <f t="shared" si="57"/>
        <v>0</v>
      </c>
    </row>
    <row r="169" spans="1:28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>
        <f t="shared" si="57"/>
        <v>0</v>
      </c>
    </row>
    <row r="170" spans="1:28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>
        <f t="shared" si="57"/>
        <v>0</v>
      </c>
    </row>
    <row r="171" spans="1:28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>
        <f t="shared" si="57"/>
        <v>0</v>
      </c>
    </row>
    <row r="172" spans="1:28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>
        <f t="shared" si="57"/>
        <v>0</v>
      </c>
    </row>
    <row r="173" spans="1:28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>
        <f t="shared" si="57"/>
        <v>0</v>
      </c>
    </row>
    <row r="174" spans="1:28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f t="shared" si="57"/>
        <v>0</v>
      </c>
    </row>
    <row r="175" spans="1:28" x14ac:dyDescent="0.4">
      <c r="A175" s="6" t="s">
        <v>26</v>
      </c>
      <c r="B175" s="85" t="s">
        <v>51</v>
      </c>
      <c r="C175" s="93"/>
      <c r="D175" s="94"/>
      <c r="E175" s="5">
        <f t="shared" ref="E175:AB175" si="58">SUM(E165:E174)</f>
        <v>0</v>
      </c>
      <c r="F175" s="5">
        <f t="shared" ref="F175:Q175" si="59">SUM(F165:F174)</f>
        <v>0</v>
      </c>
      <c r="G175" s="5">
        <f t="shared" si="59"/>
        <v>0</v>
      </c>
      <c r="H175" s="5">
        <f t="shared" si="59"/>
        <v>0</v>
      </c>
      <c r="I175" s="5">
        <f t="shared" si="59"/>
        <v>0</v>
      </c>
      <c r="J175" s="5">
        <f t="shared" si="59"/>
        <v>0</v>
      </c>
      <c r="K175" s="5">
        <f t="shared" si="59"/>
        <v>0</v>
      </c>
      <c r="L175" s="5">
        <f t="shared" si="59"/>
        <v>0</v>
      </c>
      <c r="M175" s="5">
        <f t="shared" si="59"/>
        <v>0</v>
      </c>
      <c r="N175" s="5">
        <f t="shared" si="59"/>
        <v>0</v>
      </c>
      <c r="O175" s="5">
        <f t="shared" si="59"/>
        <v>0</v>
      </c>
      <c r="P175" s="5">
        <f t="shared" si="59"/>
        <v>1</v>
      </c>
      <c r="Q175" s="5">
        <f t="shared" si="59"/>
        <v>0</v>
      </c>
      <c r="R175" s="5">
        <f t="shared" si="58"/>
        <v>0</v>
      </c>
      <c r="S175" s="5">
        <f t="shared" si="58"/>
        <v>0</v>
      </c>
      <c r="T175" s="5">
        <f t="shared" si="58"/>
        <v>1</v>
      </c>
      <c r="U175" s="5">
        <f t="shared" si="58"/>
        <v>0</v>
      </c>
      <c r="V175" s="5">
        <f t="shared" si="58"/>
        <v>0</v>
      </c>
      <c r="W175" s="5">
        <f t="shared" si="58"/>
        <v>0</v>
      </c>
      <c r="X175" s="5">
        <f t="shared" si="58"/>
        <v>1</v>
      </c>
      <c r="Y175" s="5">
        <f t="shared" si="58"/>
        <v>0</v>
      </c>
      <c r="Z175" s="5">
        <f t="shared" si="58"/>
        <v>0</v>
      </c>
      <c r="AA175" s="5">
        <f t="shared" si="58"/>
        <v>0</v>
      </c>
      <c r="AB175" s="5">
        <f t="shared" si="58"/>
        <v>3</v>
      </c>
    </row>
    <row r="176" spans="1:28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/>
      <c r="G177" s="6"/>
      <c r="H177" s="6"/>
      <c r="I177" s="6"/>
      <c r="J177" s="6"/>
      <c r="K177" s="6"/>
      <c r="L177" s="6"/>
      <c r="M177" s="6">
        <v>2</v>
      </c>
      <c r="N177" s="6"/>
      <c r="O177" s="6">
        <v>1</v>
      </c>
      <c r="P177" s="6"/>
      <c r="Q177" s="6">
        <v>2</v>
      </c>
      <c r="R177" s="6"/>
      <c r="S177" s="6">
        <v>1</v>
      </c>
      <c r="T177" s="6"/>
      <c r="U177" s="6">
        <v>1</v>
      </c>
      <c r="V177" s="6"/>
      <c r="W177" s="6"/>
      <c r="X177" s="6"/>
      <c r="Y177" s="6"/>
      <c r="Z177" s="6"/>
      <c r="AA177" s="6"/>
      <c r="AB177" s="5">
        <f t="shared" ref="AB177:AB186" si="60">SUM(E177:AA177)</f>
        <v>7</v>
      </c>
    </row>
    <row r="178" spans="1:28" x14ac:dyDescent="0.4">
      <c r="A178" s="11" t="s">
        <v>50</v>
      </c>
      <c r="B178" s="50"/>
      <c r="C178" s="24" t="s">
        <v>200</v>
      </c>
      <c r="D178" s="51"/>
      <c r="E178" s="6"/>
      <c r="F178" s="6"/>
      <c r="G178" s="6"/>
      <c r="H178" s="6"/>
      <c r="I178" s="6"/>
      <c r="J178" s="6"/>
      <c r="K178" s="6">
        <v>1</v>
      </c>
      <c r="L178" s="6"/>
      <c r="M178" s="6">
        <v>2</v>
      </c>
      <c r="N178" s="6">
        <v>3</v>
      </c>
      <c r="O178" s="6"/>
      <c r="P178" s="6">
        <v>1</v>
      </c>
      <c r="Q178" s="6"/>
      <c r="R178" s="6"/>
      <c r="S178" s="6"/>
      <c r="T178" s="6">
        <v>2</v>
      </c>
      <c r="U178" s="6"/>
      <c r="V178" s="6">
        <v>1</v>
      </c>
      <c r="W178" s="6"/>
      <c r="X178" s="6"/>
      <c r="Y178" s="6"/>
      <c r="Z178" s="6"/>
      <c r="AA178" s="6"/>
      <c r="AB178" s="5">
        <f t="shared" si="60"/>
        <v>10</v>
      </c>
    </row>
    <row r="179" spans="1:28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>
        <v>1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5">
        <f t="shared" si="60"/>
        <v>1</v>
      </c>
    </row>
    <row r="180" spans="1:28" x14ac:dyDescent="0.4">
      <c r="A180" s="7"/>
      <c r="B180" s="50"/>
      <c r="C180" s="24" t="s">
        <v>202</v>
      </c>
      <c r="D180" s="5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5">
        <f t="shared" si="60"/>
        <v>0</v>
      </c>
    </row>
    <row r="181" spans="1:28" x14ac:dyDescent="0.4">
      <c r="A181" s="7"/>
      <c r="B181" s="50"/>
      <c r="C181" s="24" t="s">
        <v>203</v>
      </c>
      <c r="D181" s="5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>
        <v>1</v>
      </c>
      <c r="V181" s="6"/>
      <c r="W181" s="6">
        <v>1</v>
      </c>
      <c r="X181" s="6"/>
      <c r="Y181" s="6"/>
      <c r="Z181" s="6"/>
      <c r="AA181" s="6"/>
      <c r="AB181" s="5">
        <f t="shared" si="60"/>
        <v>2</v>
      </c>
    </row>
    <row r="182" spans="1:28" x14ac:dyDescent="0.4">
      <c r="A182" s="7"/>
      <c r="B182" s="50"/>
      <c r="C182" s="24" t="s">
        <v>204</v>
      </c>
      <c r="D182" s="51"/>
      <c r="E182" s="6"/>
      <c r="F182" s="6">
        <v>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>
        <v>1</v>
      </c>
      <c r="U182" s="6"/>
      <c r="V182" s="6"/>
      <c r="W182" s="6"/>
      <c r="X182" s="6"/>
      <c r="Y182" s="6"/>
      <c r="Z182" s="6"/>
      <c r="AA182" s="6"/>
      <c r="AB182" s="5">
        <f t="shared" si="60"/>
        <v>2</v>
      </c>
    </row>
    <row r="183" spans="1:28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>
        <f t="shared" si="60"/>
        <v>0</v>
      </c>
    </row>
    <row r="184" spans="1:28" x14ac:dyDescent="0.4">
      <c r="A184" s="7"/>
      <c r="B184" s="50"/>
      <c r="C184" s="24" t="s">
        <v>206</v>
      </c>
      <c r="D184" s="5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5">
        <f t="shared" si="60"/>
        <v>0</v>
      </c>
    </row>
    <row r="185" spans="1:28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5">
        <f t="shared" si="60"/>
        <v>0</v>
      </c>
    </row>
    <row r="186" spans="1:28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>
        <f t="shared" si="60"/>
        <v>0</v>
      </c>
    </row>
    <row r="187" spans="1:28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AB187" si="61">SUM(E177:E186)</f>
        <v>0</v>
      </c>
      <c r="F187" s="5">
        <f t="shared" ref="F187:Q187" si="62">SUM(F177:F186)</f>
        <v>1</v>
      </c>
      <c r="G187" s="5">
        <f t="shared" si="62"/>
        <v>0</v>
      </c>
      <c r="H187" s="5">
        <f t="shared" si="62"/>
        <v>0</v>
      </c>
      <c r="I187" s="5">
        <f t="shared" si="62"/>
        <v>0</v>
      </c>
      <c r="J187" s="5">
        <f t="shared" si="62"/>
        <v>0</v>
      </c>
      <c r="K187" s="5">
        <f t="shared" si="62"/>
        <v>1</v>
      </c>
      <c r="L187" s="5">
        <f t="shared" si="62"/>
        <v>0</v>
      </c>
      <c r="M187" s="5">
        <f t="shared" si="62"/>
        <v>4</v>
      </c>
      <c r="N187" s="5">
        <f t="shared" si="62"/>
        <v>3</v>
      </c>
      <c r="O187" s="5">
        <f t="shared" si="62"/>
        <v>1</v>
      </c>
      <c r="P187" s="5">
        <f t="shared" si="62"/>
        <v>2</v>
      </c>
      <c r="Q187" s="5">
        <f t="shared" si="62"/>
        <v>2</v>
      </c>
      <c r="R187" s="5">
        <f t="shared" si="61"/>
        <v>0</v>
      </c>
      <c r="S187" s="5">
        <f t="shared" si="61"/>
        <v>1</v>
      </c>
      <c r="T187" s="5">
        <f t="shared" si="61"/>
        <v>3</v>
      </c>
      <c r="U187" s="5">
        <f t="shared" si="61"/>
        <v>2</v>
      </c>
      <c r="V187" s="5">
        <f t="shared" si="61"/>
        <v>1</v>
      </c>
      <c r="W187" s="5">
        <f t="shared" si="61"/>
        <v>1</v>
      </c>
      <c r="X187" s="5">
        <f t="shared" si="61"/>
        <v>0</v>
      </c>
      <c r="Y187" s="5">
        <f t="shared" si="61"/>
        <v>0</v>
      </c>
      <c r="Z187" s="5">
        <f t="shared" si="61"/>
        <v>0</v>
      </c>
      <c r="AA187" s="5">
        <f t="shared" si="61"/>
        <v>0</v>
      </c>
      <c r="AB187" s="5">
        <f t="shared" si="61"/>
        <v>22</v>
      </c>
    </row>
    <row r="188" spans="1:28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U188" s="18"/>
      <c r="V188" s="18"/>
      <c r="W188" s="18"/>
      <c r="X188" s="18"/>
      <c r="Y188" s="18"/>
      <c r="Z188" s="18"/>
      <c r="AB188" s="5"/>
    </row>
    <row r="189" spans="1:28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>
        <v>1</v>
      </c>
      <c r="T189" s="6"/>
      <c r="U189" s="6"/>
      <c r="V189" s="6"/>
      <c r="W189" s="6"/>
      <c r="X189" s="6"/>
      <c r="Y189" s="6"/>
      <c r="Z189" s="6"/>
      <c r="AA189" s="6"/>
      <c r="AB189" s="5">
        <f t="shared" ref="AB189:AB198" si="63">SUM(E189:AA189)</f>
        <v>1</v>
      </c>
    </row>
    <row r="190" spans="1:28" x14ac:dyDescent="0.4">
      <c r="A190" s="11" t="s">
        <v>50</v>
      </c>
      <c r="B190" s="50"/>
      <c r="C190" s="24" t="s">
        <v>207</v>
      </c>
      <c r="D190" s="5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5">
        <f t="shared" si="63"/>
        <v>0</v>
      </c>
    </row>
    <row r="191" spans="1:28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>
        <v>1</v>
      </c>
      <c r="T191" s="6"/>
      <c r="U191" s="6"/>
      <c r="V191" s="6"/>
      <c r="W191" s="6"/>
      <c r="X191" s="6"/>
      <c r="Y191" s="6"/>
      <c r="Z191" s="6"/>
      <c r="AA191" s="6"/>
      <c r="AB191" s="5">
        <f t="shared" si="63"/>
        <v>1</v>
      </c>
    </row>
    <row r="192" spans="1:28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5">
        <f t="shared" si="63"/>
        <v>0</v>
      </c>
    </row>
    <row r="193" spans="1:28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>
        <v>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5">
        <f t="shared" si="63"/>
        <v>1</v>
      </c>
    </row>
    <row r="194" spans="1:28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5">
        <f t="shared" si="63"/>
        <v>0</v>
      </c>
    </row>
    <row r="195" spans="1:28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5">
        <f t="shared" si="63"/>
        <v>0</v>
      </c>
    </row>
    <row r="196" spans="1:28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>
        <v>1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5">
        <f t="shared" si="63"/>
        <v>1</v>
      </c>
    </row>
    <row r="197" spans="1:28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5">
        <f t="shared" si="63"/>
        <v>0</v>
      </c>
    </row>
    <row r="198" spans="1:28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>
        <f t="shared" si="63"/>
        <v>0</v>
      </c>
    </row>
    <row r="199" spans="1:28" x14ac:dyDescent="0.4">
      <c r="A199" s="6" t="s">
        <v>26</v>
      </c>
      <c r="B199" s="85" t="s">
        <v>51</v>
      </c>
      <c r="C199" s="93"/>
      <c r="D199" s="94"/>
      <c r="E199" s="5">
        <f t="shared" ref="E199:AB199" si="64">SUM(E189:E198)</f>
        <v>0</v>
      </c>
      <c r="F199" s="5">
        <f t="shared" ref="F199:Q199" si="65">SUM(F189:F198)</f>
        <v>0</v>
      </c>
      <c r="G199" s="5">
        <f t="shared" si="65"/>
        <v>0</v>
      </c>
      <c r="H199" s="5">
        <f t="shared" si="65"/>
        <v>0</v>
      </c>
      <c r="I199" s="5">
        <f t="shared" si="65"/>
        <v>0</v>
      </c>
      <c r="J199" s="5">
        <f t="shared" si="65"/>
        <v>0</v>
      </c>
      <c r="K199" s="5">
        <f t="shared" si="65"/>
        <v>1</v>
      </c>
      <c r="L199" s="5">
        <f t="shared" si="65"/>
        <v>0</v>
      </c>
      <c r="M199" s="5">
        <f t="shared" si="65"/>
        <v>0</v>
      </c>
      <c r="N199" s="5">
        <f t="shared" si="65"/>
        <v>0</v>
      </c>
      <c r="O199" s="5">
        <f t="shared" si="65"/>
        <v>0</v>
      </c>
      <c r="P199" s="5">
        <f t="shared" si="65"/>
        <v>0</v>
      </c>
      <c r="Q199" s="5">
        <f t="shared" si="65"/>
        <v>1</v>
      </c>
      <c r="R199" s="5">
        <f t="shared" si="64"/>
        <v>0</v>
      </c>
      <c r="S199" s="5">
        <f t="shared" si="64"/>
        <v>2</v>
      </c>
      <c r="T199" s="5">
        <f t="shared" si="64"/>
        <v>0</v>
      </c>
      <c r="U199" s="5">
        <f t="shared" si="64"/>
        <v>0</v>
      </c>
      <c r="V199" s="5">
        <f t="shared" si="64"/>
        <v>0</v>
      </c>
      <c r="W199" s="5">
        <f t="shared" si="64"/>
        <v>0</v>
      </c>
      <c r="X199" s="5">
        <f t="shared" si="64"/>
        <v>0</v>
      </c>
      <c r="Y199" s="5">
        <f t="shared" si="64"/>
        <v>0</v>
      </c>
      <c r="Z199" s="5">
        <f t="shared" si="64"/>
        <v>0</v>
      </c>
      <c r="AA199" s="5">
        <f t="shared" si="64"/>
        <v>0</v>
      </c>
      <c r="AB199" s="5">
        <f t="shared" si="64"/>
        <v>4</v>
      </c>
    </row>
    <row r="200" spans="1:28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4">
      <c r="A201" s="11" t="s">
        <v>48</v>
      </c>
      <c r="B201" s="17" t="s">
        <v>73</v>
      </c>
      <c r="C201" s="92" t="s">
        <v>74</v>
      </c>
      <c r="D201" s="66"/>
      <c r="E201" s="6"/>
      <c r="F201" s="6">
        <v>3</v>
      </c>
      <c r="G201" s="6"/>
      <c r="H201" s="6"/>
      <c r="I201" s="6"/>
      <c r="J201" s="6">
        <v>1</v>
      </c>
      <c r="K201" s="6"/>
      <c r="L201" s="6"/>
      <c r="M201" s="6"/>
      <c r="N201" s="6"/>
      <c r="O201" s="6">
        <v>1</v>
      </c>
      <c r="P201" s="6"/>
      <c r="Q201" s="6">
        <v>5</v>
      </c>
      <c r="R201" s="6">
        <v>1</v>
      </c>
      <c r="S201" s="6">
        <v>1</v>
      </c>
      <c r="T201" s="6">
        <v>1</v>
      </c>
      <c r="U201" s="6">
        <v>2</v>
      </c>
      <c r="V201" s="6">
        <v>1</v>
      </c>
      <c r="W201" s="6">
        <v>2</v>
      </c>
      <c r="X201" s="6">
        <v>2</v>
      </c>
      <c r="Y201" s="6">
        <v>3</v>
      </c>
      <c r="Z201" s="6">
        <v>3</v>
      </c>
      <c r="AA201" s="6"/>
      <c r="AB201" s="5">
        <f t="shared" ref="AB201:AB210" si="66">SUM(E201:AA201)</f>
        <v>26</v>
      </c>
    </row>
    <row r="202" spans="1:28" x14ac:dyDescent="0.4">
      <c r="A202" s="11" t="s">
        <v>50</v>
      </c>
      <c r="B202" s="50"/>
      <c r="C202" s="24" t="s">
        <v>214</v>
      </c>
      <c r="D202" s="51"/>
      <c r="E202" s="6">
        <v>1</v>
      </c>
      <c r="F202" s="6">
        <v>9</v>
      </c>
      <c r="G202" s="6">
        <v>2</v>
      </c>
      <c r="H202" s="6"/>
      <c r="I202" s="6">
        <v>2</v>
      </c>
      <c r="J202" s="6"/>
      <c r="K202" s="6"/>
      <c r="L202" s="6"/>
      <c r="M202" s="6"/>
      <c r="N202" s="6"/>
      <c r="O202" s="6"/>
      <c r="P202" s="6"/>
      <c r="Q202" s="6">
        <v>17</v>
      </c>
      <c r="R202" s="6">
        <v>60</v>
      </c>
      <c r="S202" s="6">
        <v>1</v>
      </c>
      <c r="T202" s="6">
        <v>6</v>
      </c>
      <c r="U202" s="6">
        <v>20</v>
      </c>
      <c r="V202" s="6">
        <v>29</v>
      </c>
      <c r="W202" s="6">
        <v>43</v>
      </c>
      <c r="X202" s="6">
        <v>23</v>
      </c>
      <c r="Y202" s="6">
        <v>30</v>
      </c>
      <c r="Z202" s="6">
        <v>29</v>
      </c>
      <c r="AA202" s="6">
        <v>19</v>
      </c>
      <c r="AB202" s="5">
        <f t="shared" si="66"/>
        <v>291</v>
      </c>
    </row>
    <row r="203" spans="1:28" x14ac:dyDescent="0.4">
      <c r="A203" s="7"/>
      <c r="B203" s="50"/>
      <c r="C203" s="24" t="s">
        <v>215</v>
      </c>
      <c r="D203" s="51"/>
      <c r="E203" s="6">
        <v>1</v>
      </c>
      <c r="F203" s="6">
        <v>1</v>
      </c>
      <c r="G203" s="6"/>
      <c r="H203" s="6"/>
      <c r="I203" s="6">
        <v>1</v>
      </c>
      <c r="J203" s="6">
        <v>1</v>
      </c>
      <c r="K203" s="6"/>
      <c r="L203" s="6"/>
      <c r="M203" s="6"/>
      <c r="N203" s="6"/>
      <c r="O203" s="6"/>
      <c r="P203" s="6"/>
      <c r="Q203" s="6"/>
      <c r="R203" s="6">
        <v>1</v>
      </c>
      <c r="S203" s="6"/>
      <c r="T203" s="6"/>
      <c r="U203" s="6"/>
      <c r="V203" s="6">
        <v>2</v>
      </c>
      <c r="W203" s="6"/>
      <c r="X203" s="6"/>
      <c r="Y203" s="6">
        <v>1</v>
      </c>
      <c r="Z203" s="6">
        <v>2</v>
      </c>
      <c r="AA203" s="6">
        <v>1</v>
      </c>
      <c r="AB203" s="5">
        <f t="shared" si="66"/>
        <v>11</v>
      </c>
    </row>
    <row r="204" spans="1:28" x14ac:dyDescent="0.4">
      <c r="A204" s="7"/>
      <c r="B204" s="50"/>
      <c r="C204" s="24" t="s">
        <v>216</v>
      </c>
      <c r="D204" s="51"/>
      <c r="E204" s="6"/>
      <c r="F204" s="6">
        <v>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>
        <v>1</v>
      </c>
      <c r="T204" s="6"/>
      <c r="U204" s="6"/>
      <c r="V204" s="6"/>
      <c r="W204" s="6"/>
      <c r="X204" s="6"/>
      <c r="Y204" s="6"/>
      <c r="Z204" s="6"/>
      <c r="AA204" s="6"/>
      <c r="AB204" s="5">
        <f t="shared" si="66"/>
        <v>2</v>
      </c>
    </row>
    <row r="205" spans="1:28" x14ac:dyDescent="0.4">
      <c r="A205" s="7"/>
      <c r="B205" s="50"/>
      <c r="C205" s="24" t="s">
        <v>217</v>
      </c>
      <c r="D205" s="5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>
        <v>1</v>
      </c>
      <c r="T205" s="6"/>
      <c r="U205" s="6"/>
      <c r="V205" s="6"/>
      <c r="W205" s="6"/>
      <c r="X205" s="6">
        <v>1</v>
      </c>
      <c r="Y205" s="6"/>
      <c r="Z205" s="6"/>
      <c r="AA205" s="6"/>
      <c r="AB205" s="5">
        <f t="shared" si="66"/>
        <v>2</v>
      </c>
    </row>
    <row r="206" spans="1:28" x14ac:dyDescent="0.4">
      <c r="A206" s="7"/>
      <c r="B206" s="50"/>
      <c r="C206" s="24" t="s">
        <v>218</v>
      </c>
      <c r="D206" s="5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>
        <v>2</v>
      </c>
      <c r="S206" s="6">
        <v>1</v>
      </c>
      <c r="T206" s="6"/>
      <c r="U206" s="6">
        <v>1</v>
      </c>
      <c r="V206" s="6"/>
      <c r="W206" s="6"/>
      <c r="X206" s="6">
        <v>1</v>
      </c>
      <c r="Y206" s="6"/>
      <c r="Z206" s="6"/>
      <c r="AA206" s="6"/>
      <c r="AB206" s="5">
        <f t="shared" si="66"/>
        <v>5</v>
      </c>
    </row>
    <row r="207" spans="1:28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5">
        <f t="shared" si="66"/>
        <v>0</v>
      </c>
    </row>
    <row r="208" spans="1:28" x14ac:dyDescent="0.4">
      <c r="A208" s="7"/>
      <c r="B208" s="50"/>
      <c r="C208" s="24" t="s">
        <v>220</v>
      </c>
      <c r="D208" s="51"/>
      <c r="E208" s="6">
        <v>3</v>
      </c>
      <c r="F208" s="6"/>
      <c r="G208" s="6"/>
      <c r="H208" s="6"/>
      <c r="I208" s="6"/>
      <c r="J208" s="6"/>
      <c r="K208" s="6">
        <v>1</v>
      </c>
      <c r="L208" s="6"/>
      <c r="M208" s="6"/>
      <c r="N208" s="6"/>
      <c r="O208" s="6"/>
      <c r="P208" s="6"/>
      <c r="Q208" s="6"/>
      <c r="R208" s="6"/>
      <c r="S208" s="6">
        <v>1</v>
      </c>
      <c r="T208" s="6"/>
      <c r="U208" s="6">
        <v>2</v>
      </c>
      <c r="V208" s="6">
        <v>14</v>
      </c>
      <c r="W208" s="6">
        <v>1</v>
      </c>
      <c r="X208" s="6"/>
      <c r="Y208" s="6">
        <v>3</v>
      </c>
      <c r="Z208" s="6"/>
      <c r="AA208" s="6"/>
      <c r="AB208" s="5">
        <f t="shared" si="66"/>
        <v>25</v>
      </c>
    </row>
    <row r="209" spans="1:28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5">
        <f t="shared" si="66"/>
        <v>0</v>
      </c>
    </row>
    <row r="210" spans="1:28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5">
        <f t="shared" si="66"/>
        <v>0</v>
      </c>
    </row>
    <row r="211" spans="1:28" x14ac:dyDescent="0.4">
      <c r="A211" s="6" t="s">
        <v>26</v>
      </c>
      <c r="B211" s="85" t="s">
        <v>51</v>
      </c>
      <c r="C211" s="93"/>
      <c r="D211" s="94"/>
      <c r="E211" s="5">
        <f t="shared" ref="E211:AB211" si="67">SUM(E201:E210)</f>
        <v>5</v>
      </c>
      <c r="F211" s="5">
        <f t="shared" ref="F211:Q211" si="68">SUM(F201:F210)</f>
        <v>14</v>
      </c>
      <c r="G211" s="5">
        <f t="shared" si="68"/>
        <v>2</v>
      </c>
      <c r="H211" s="5">
        <f t="shared" si="68"/>
        <v>0</v>
      </c>
      <c r="I211" s="5">
        <f t="shared" si="68"/>
        <v>3</v>
      </c>
      <c r="J211" s="5">
        <f t="shared" si="68"/>
        <v>2</v>
      </c>
      <c r="K211" s="5">
        <f t="shared" si="68"/>
        <v>1</v>
      </c>
      <c r="L211" s="5">
        <f t="shared" si="68"/>
        <v>0</v>
      </c>
      <c r="M211" s="5">
        <f t="shared" si="68"/>
        <v>0</v>
      </c>
      <c r="N211" s="5">
        <f t="shared" si="68"/>
        <v>0</v>
      </c>
      <c r="O211" s="5">
        <f t="shared" si="68"/>
        <v>1</v>
      </c>
      <c r="P211" s="5">
        <f t="shared" si="68"/>
        <v>0</v>
      </c>
      <c r="Q211" s="5">
        <f t="shared" si="68"/>
        <v>22</v>
      </c>
      <c r="R211" s="5">
        <f t="shared" si="67"/>
        <v>64</v>
      </c>
      <c r="S211" s="5">
        <f t="shared" si="67"/>
        <v>6</v>
      </c>
      <c r="T211" s="5">
        <f t="shared" si="67"/>
        <v>7</v>
      </c>
      <c r="U211" s="5">
        <f t="shared" si="67"/>
        <v>25</v>
      </c>
      <c r="V211" s="5">
        <f t="shared" si="67"/>
        <v>46</v>
      </c>
      <c r="W211" s="5">
        <f t="shared" si="67"/>
        <v>46</v>
      </c>
      <c r="X211" s="5">
        <f t="shared" si="67"/>
        <v>27</v>
      </c>
      <c r="Y211" s="5">
        <f t="shared" si="67"/>
        <v>37</v>
      </c>
      <c r="Z211" s="5">
        <f t="shared" si="67"/>
        <v>34</v>
      </c>
      <c r="AA211" s="5">
        <f t="shared" si="67"/>
        <v>20</v>
      </c>
      <c r="AB211" s="5">
        <f t="shared" si="67"/>
        <v>362</v>
      </c>
    </row>
    <row r="212" spans="1:28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>
        <v>1</v>
      </c>
      <c r="H213" s="6"/>
      <c r="I213" s="6"/>
      <c r="J213" s="6">
        <v>1</v>
      </c>
      <c r="K213" s="6"/>
      <c r="L213" s="6"/>
      <c r="M213" s="6"/>
      <c r="N213" s="6"/>
      <c r="O213" s="6">
        <v>1</v>
      </c>
      <c r="P213" s="6">
        <v>3</v>
      </c>
      <c r="Q213" s="6"/>
      <c r="R213" s="6"/>
      <c r="S213" s="6"/>
      <c r="T213" s="6"/>
      <c r="U213" s="6">
        <v>1</v>
      </c>
      <c r="V213" s="6"/>
      <c r="W213" s="6"/>
      <c r="X213" s="6">
        <v>2</v>
      </c>
      <c r="Y213" s="6"/>
      <c r="Z213" s="6"/>
      <c r="AA213" s="6"/>
      <c r="AB213" s="5">
        <f t="shared" ref="AB213:AB222" si="69">SUM(E213:AA213)</f>
        <v>9</v>
      </c>
    </row>
    <row r="214" spans="1:28" x14ac:dyDescent="0.4">
      <c r="A214" s="11" t="s">
        <v>50</v>
      </c>
      <c r="B214" s="50"/>
      <c r="C214" s="24" t="s">
        <v>221</v>
      </c>
      <c r="D214" s="5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>
        <v>1</v>
      </c>
      <c r="S214" s="6"/>
      <c r="T214" s="6"/>
      <c r="U214" s="6">
        <v>1</v>
      </c>
      <c r="V214" s="6"/>
      <c r="W214" s="6"/>
      <c r="X214" s="6">
        <v>1</v>
      </c>
      <c r="Y214" s="6"/>
      <c r="Z214" s="6"/>
      <c r="AA214" s="6"/>
      <c r="AB214" s="5">
        <f t="shared" si="69"/>
        <v>3</v>
      </c>
    </row>
    <row r="215" spans="1:28" x14ac:dyDescent="0.4">
      <c r="A215" s="7"/>
      <c r="B215" s="50"/>
      <c r="C215" s="24" t="s">
        <v>222</v>
      </c>
      <c r="D215" s="5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5">
        <f t="shared" si="69"/>
        <v>0</v>
      </c>
    </row>
    <row r="216" spans="1:28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5">
        <f t="shared" si="69"/>
        <v>0</v>
      </c>
    </row>
    <row r="217" spans="1:28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>
        <f t="shared" si="69"/>
        <v>0</v>
      </c>
    </row>
    <row r="218" spans="1:28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>
        <f t="shared" si="69"/>
        <v>0</v>
      </c>
    </row>
    <row r="219" spans="1:28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>
        <f t="shared" si="69"/>
        <v>0</v>
      </c>
    </row>
    <row r="220" spans="1:28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>
        <f t="shared" si="69"/>
        <v>0</v>
      </c>
    </row>
    <row r="221" spans="1:28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>
        <f t="shared" si="69"/>
        <v>0</v>
      </c>
    </row>
    <row r="222" spans="1:28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>
        <f t="shared" si="69"/>
        <v>0</v>
      </c>
    </row>
    <row r="223" spans="1:28" x14ac:dyDescent="0.4">
      <c r="A223" s="6" t="s">
        <v>26</v>
      </c>
      <c r="B223" s="85" t="s">
        <v>51</v>
      </c>
      <c r="C223" s="93"/>
      <c r="D223" s="94"/>
      <c r="E223" s="5">
        <f t="shared" ref="E223:AB223" si="70">SUM(E213:E222)</f>
        <v>0</v>
      </c>
      <c r="F223" s="5">
        <f t="shared" ref="F223:Q223" si="71">SUM(F213:F222)</f>
        <v>0</v>
      </c>
      <c r="G223" s="5">
        <f t="shared" si="71"/>
        <v>1</v>
      </c>
      <c r="H223" s="5">
        <f t="shared" si="71"/>
        <v>0</v>
      </c>
      <c r="I223" s="5">
        <f t="shared" si="71"/>
        <v>0</v>
      </c>
      <c r="J223" s="5">
        <f t="shared" si="71"/>
        <v>1</v>
      </c>
      <c r="K223" s="5">
        <f t="shared" si="71"/>
        <v>0</v>
      </c>
      <c r="L223" s="5">
        <f t="shared" si="71"/>
        <v>0</v>
      </c>
      <c r="M223" s="5">
        <f t="shared" si="71"/>
        <v>0</v>
      </c>
      <c r="N223" s="5">
        <f t="shared" si="71"/>
        <v>0</v>
      </c>
      <c r="O223" s="5">
        <f t="shared" si="71"/>
        <v>1</v>
      </c>
      <c r="P223" s="5">
        <f t="shared" si="71"/>
        <v>3</v>
      </c>
      <c r="Q223" s="5">
        <f t="shared" si="71"/>
        <v>0</v>
      </c>
      <c r="R223" s="5">
        <f t="shared" si="70"/>
        <v>1</v>
      </c>
      <c r="S223" s="5">
        <f t="shared" si="70"/>
        <v>0</v>
      </c>
      <c r="T223" s="5">
        <f t="shared" si="70"/>
        <v>0</v>
      </c>
      <c r="U223" s="5">
        <f t="shared" si="70"/>
        <v>2</v>
      </c>
      <c r="V223" s="5">
        <f t="shared" si="70"/>
        <v>0</v>
      </c>
      <c r="W223" s="5">
        <f t="shared" si="70"/>
        <v>0</v>
      </c>
      <c r="X223" s="5">
        <f t="shared" si="70"/>
        <v>3</v>
      </c>
      <c r="Y223" s="5">
        <f t="shared" si="70"/>
        <v>0</v>
      </c>
      <c r="Z223" s="5">
        <f t="shared" si="70"/>
        <v>0</v>
      </c>
      <c r="AA223" s="5">
        <f t="shared" si="70"/>
        <v>0</v>
      </c>
      <c r="AB223" s="5">
        <f t="shared" si="70"/>
        <v>12</v>
      </c>
    </row>
    <row r="224" spans="1:28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4">
      <c r="A225" s="11" t="s">
        <v>48</v>
      </c>
      <c r="B225" s="17" t="s">
        <v>77</v>
      </c>
      <c r="C225" s="92" t="s">
        <v>78</v>
      </c>
      <c r="D225" s="6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>
        <v>1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5">
        <f t="shared" ref="AB225:AB234" si="72">SUM(E225:AA225)</f>
        <v>1</v>
      </c>
    </row>
    <row r="226" spans="1:28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>
        <v>1</v>
      </c>
      <c r="O226" s="6"/>
      <c r="P226" s="6"/>
      <c r="Q226" s="6">
        <v>2</v>
      </c>
      <c r="R226" s="6"/>
      <c r="S226" s="6">
        <v>1</v>
      </c>
      <c r="T226" s="6">
        <v>1</v>
      </c>
      <c r="U226" s="6"/>
      <c r="V226" s="6"/>
      <c r="W226" s="6"/>
      <c r="X226" s="6"/>
      <c r="Y226" s="6">
        <v>1</v>
      </c>
      <c r="Z226" s="6"/>
      <c r="AA226" s="6"/>
      <c r="AB226" s="5">
        <f t="shared" si="72"/>
        <v>6</v>
      </c>
    </row>
    <row r="227" spans="1:28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>
        <v>1</v>
      </c>
      <c r="Y227" s="6"/>
      <c r="Z227" s="6"/>
      <c r="AA227" s="6"/>
      <c r="AB227" s="5">
        <f t="shared" si="72"/>
        <v>1</v>
      </c>
    </row>
    <row r="228" spans="1:28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>
        <v>1</v>
      </c>
      <c r="V228" s="6"/>
      <c r="W228" s="6"/>
      <c r="X228" s="6"/>
      <c r="Y228" s="6"/>
      <c r="Z228" s="6"/>
      <c r="AA228" s="6"/>
      <c r="AB228" s="5">
        <f t="shared" si="72"/>
        <v>1</v>
      </c>
    </row>
    <row r="229" spans="1:28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5">
        <f t="shared" si="72"/>
        <v>0</v>
      </c>
    </row>
    <row r="230" spans="1:28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>
        <f t="shared" si="72"/>
        <v>0</v>
      </c>
    </row>
    <row r="231" spans="1:28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>
        <f t="shared" si="72"/>
        <v>0</v>
      </c>
    </row>
    <row r="232" spans="1:28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>
        <f t="shared" si="72"/>
        <v>0</v>
      </c>
    </row>
    <row r="233" spans="1:28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>
        <f t="shared" si="72"/>
        <v>0</v>
      </c>
    </row>
    <row r="234" spans="1:28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>
        <f t="shared" si="72"/>
        <v>0</v>
      </c>
    </row>
    <row r="235" spans="1:28" x14ac:dyDescent="0.4">
      <c r="A235" s="6" t="s">
        <v>26</v>
      </c>
      <c r="B235" s="85" t="s">
        <v>51</v>
      </c>
      <c r="C235" s="93"/>
      <c r="D235" s="94"/>
      <c r="E235" s="5">
        <f t="shared" ref="E235:AB235" si="73">SUM(E225:E234)</f>
        <v>0</v>
      </c>
      <c r="F235" s="5">
        <f t="shared" ref="F235:Q235" si="74">SUM(F225:F234)</f>
        <v>0</v>
      </c>
      <c r="G235" s="5">
        <f t="shared" si="74"/>
        <v>0</v>
      </c>
      <c r="H235" s="5">
        <f t="shared" si="74"/>
        <v>0</v>
      </c>
      <c r="I235" s="5">
        <f t="shared" si="74"/>
        <v>0</v>
      </c>
      <c r="J235" s="5">
        <f t="shared" si="74"/>
        <v>0</v>
      </c>
      <c r="K235" s="5">
        <f t="shared" si="74"/>
        <v>0</v>
      </c>
      <c r="L235" s="5">
        <f t="shared" si="74"/>
        <v>0</v>
      </c>
      <c r="M235" s="5">
        <f t="shared" si="74"/>
        <v>0</v>
      </c>
      <c r="N235" s="5">
        <f t="shared" si="74"/>
        <v>1</v>
      </c>
      <c r="O235" s="5">
        <f t="shared" si="74"/>
        <v>0</v>
      </c>
      <c r="P235" s="5">
        <f t="shared" si="74"/>
        <v>0</v>
      </c>
      <c r="Q235" s="5">
        <f t="shared" si="74"/>
        <v>3</v>
      </c>
      <c r="R235" s="5">
        <f t="shared" si="73"/>
        <v>0</v>
      </c>
      <c r="S235" s="5">
        <f t="shared" si="73"/>
        <v>1</v>
      </c>
      <c r="T235" s="5">
        <f t="shared" si="73"/>
        <v>1</v>
      </c>
      <c r="U235" s="5">
        <f t="shared" si="73"/>
        <v>1</v>
      </c>
      <c r="V235" s="5">
        <f t="shared" si="73"/>
        <v>0</v>
      </c>
      <c r="W235" s="5">
        <f t="shared" si="73"/>
        <v>0</v>
      </c>
      <c r="X235" s="5">
        <f t="shared" si="73"/>
        <v>1</v>
      </c>
      <c r="Y235" s="5">
        <f t="shared" si="73"/>
        <v>1</v>
      </c>
      <c r="Z235" s="5">
        <f t="shared" si="73"/>
        <v>0</v>
      </c>
      <c r="AA235" s="5">
        <f t="shared" si="73"/>
        <v>0</v>
      </c>
      <c r="AB235" s="5">
        <f t="shared" si="73"/>
        <v>9</v>
      </c>
    </row>
    <row r="236" spans="1:28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4">
      <c r="A237" s="11" t="s">
        <v>48</v>
      </c>
      <c r="B237" s="17" t="s">
        <v>79</v>
      </c>
      <c r="C237" s="92" t="s">
        <v>80</v>
      </c>
      <c r="D237" s="66"/>
      <c r="E237" s="6">
        <v>1</v>
      </c>
      <c r="F237" s="6"/>
      <c r="G237" s="6">
        <v>1</v>
      </c>
      <c r="H237" s="6"/>
      <c r="I237" s="6"/>
      <c r="J237" s="6"/>
      <c r="K237" s="6"/>
      <c r="L237" s="6"/>
      <c r="M237" s="6"/>
      <c r="N237" s="6"/>
      <c r="O237" s="6">
        <v>1</v>
      </c>
      <c r="P237" s="6"/>
      <c r="Q237" s="6">
        <v>1</v>
      </c>
      <c r="R237" s="6">
        <v>1</v>
      </c>
      <c r="S237" s="6"/>
      <c r="T237" s="6">
        <v>1</v>
      </c>
      <c r="U237" s="6"/>
      <c r="V237" s="6"/>
      <c r="W237" s="6"/>
      <c r="X237" s="6"/>
      <c r="Y237" s="6">
        <v>1</v>
      </c>
      <c r="Z237" s="6"/>
      <c r="AA237" s="6"/>
      <c r="AB237" s="5">
        <f t="shared" ref="AB237:AB246" si="75">SUM(E237:AA237)</f>
        <v>7</v>
      </c>
    </row>
    <row r="238" spans="1:28" x14ac:dyDescent="0.4">
      <c r="A238" s="11" t="s">
        <v>50</v>
      </c>
      <c r="B238" s="50"/>
      <c r="C238" s="24" t="s">
        <v>227</v>
      </c>
      <c r="D238" s="5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>
        <v>7</v>
      </c>
      <c r="Q238" s="6">
        <v>1</v>
      </c>
      <c r="R238" s="6"/>
      <c r="S238" s="6"/>
      <c r="T238" s="6"/>
      <c r="U238" s="6"/>
      <c r="V238" s="6">
        <v>2</v>
      </c>
      <c r="W238" s="6"/>
      <c r="X238" s="6"/>
      <c r="Y238" s="6">
        <v>21</v>
      </c>
      <c r="Z238" s="6"/>
      <c r="AA238" s="6"/>
      <c r="AB238" s="5">
        <f t="shared" si="75"/>
        <v>31</v>
      </c>
    </row>
    <row r="239" spans="1:28" x14ac:dyDescent="0.4">
      <c r="A239" s="7"/>
      <c r="B239" s="50"/>
      <c r="C239" s="24" t="s">
        <v>228</v>
      </c>
      <c r="D239" s="51"/>
      <c r="E239" s="6"/>
      <c r="F239" s="6"/>
      <c r="G239" s="6"/>
      <c r="H239" s="6"/>
      <c r="I239" s="6">
        <v>1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>
        <v>1</v>
      </c>
      <c r="W239" s="6"/>
      <c r="X239" s="6"/>
      <c r="Y239" s="6"/>
      <c r="Z239" s="6"/>
      <c r="AA239" s="6"/>
      <c r="AB239" s="5">
        <f t="shared" si="75"/>
        <v>2</v>
      </c>
    </row>
    <row r="240" spans="1:28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5">
        <f t="shared" si="75"/>
        <v>0</v>
      </c>
    </row>
    <row r="241" spans="1:28" x14ac:dyDescent="0.4">
      <c r="A241" s="7"/>
      <c r="B241" s="50"/>
      <c r="C241" s="24" t="s">
        <v>230</v>
      </c>
      <c r="D241" s="5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5">
        <f t="shared" si="75"/>
        <v>0</v>
      </c>
    </row>
    <row r="242" spans="1:28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5">
        <f t="shared" si="75"/>
        <v>0</v>
      </c>
    </row>
    <row r="243" spans="1:28" x14ac:dyDescent="0.4">
      <c r="A243" s="7"/>
      <c r="B243" s="50"/>
      <c r="C243" s="24" t="s">
        <v>232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5">
        <f t="shared" si="75"/>
        <v>0</v>
      </c>
    </row>
    <row r="244" spans="1:28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5">
        <f t="shared" si="75"/>
        <v>0</v>
      </c>
    </row>
    <row r="245" spans="1:28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5">
        <f t="shared" si="75"/>
        <v>0</v>
      </c>
    </row>
    <row r="246" spans="1:28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5">
        <f t="shared" si="75"/>
        <v>0</v>
      </c>
    </row>
    <row r="247" spans="1:28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AB247" si="76">SUM(E237:E246)</f>
        <v>1</v>
      </c>
      <c r="F247" s="5">
        <f t="shared" ref="F247:Q247" si="77">SUM(F237:F246)</f>
        <v>0</v>
      </c>
      <c r="G247" s="5">
        <f t="shared" si="77"/>
        <v>1</v>
      </c>
      <c r="H247" s="5">
        <f t="shared" si="77"/>
        <v>0</v>
      </c>
      <c r="I247" s="5">
        <f t="shared" si="77"/>
        <v>1</v>
      </c>
      <c r="J247" s="5">
        <f t="shared" si="77"/>
        <v>0</v>
      </c>
      <c r="K247" s="5">
        <f t="shared" si="77"/>
        <v>0</v>
      </c>
      <c r="L247" s="5">
        <f t="shared" si="77"/>
        <v>0</v>
      </c>
      <c r="M247" s="5">
        <f t="shared" si="77"/>
        <v>0</v>
      </c>
      <c r="N247" s="5">
        <f t="shared" si="77"/>
        <v>0</v>
      </c>
      <c r="O247" s="5">
        <f t="shared" si="77"/>
        <v>1</v>
      </c>
      <c r="P247" s="5">
        <f t="shared" si="77"/>
        <v>7</v>
      </c>
      <c r="Q247" s="5">
        <f t="shared" si="77"/>
        <v>2</v>
      </c>
      <c r="R247" s="5">
        <f t="shared" si="76"/>
        <v>1</v>
      </c>
      <c r="S247" s="5">
        <f t="shared" si="76"/>
        <v>0</v>
      </c>
      <c r="T247" s="5">
        <f t="shared" si="76"/>
        <v>1</v>
      </c>
      <c r="U247" s="5">
        <f t="shared" si="76"/>
        <v>0</v>
      </c>
      <c r="V247" s="5">
        <f t="shared" si="76"/>
        <v>3</v>
      </c>
      <c r="W247" s="5">
        <f t="shared" si="76"/>
        <v>0</v>
      </c>
      <c r="X247" s="5">
        <f t="shared" si="76"/>
        <v>0</v>
      </c>
      <c r="Y247" s="5">
        <f t="shared" si="76"/>
        <v>22</v>
      </c>
      <c r="Z247" s="5">
        <f t="shared" si="76"/>
        <v>0</v>
      </c>
      <c r="AA247" s="5">
        <f t="shared" si="76"/>
        <v>0</v>
      </c>
      <c r="AB247" s="5">
        <f t="shared" si="76"/>
        <v>40</v>
      </c>
    </row>
    <row r="248" spans="1:28" x14ac:dyDescent="0.4">
      <c r="A248" s="64"/>
      <c r="B248" s="86"/>
      <c r="C248" s="86"/>
      <c r="D248" s="86"/>
      <c r="E248" s="95"/>
    </row>
    <row r="249" spans="1:28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>
        <v>1</v>
      </c>
      <c r="S249" s="6"/>
      <c r="T249" s="6"/>
      <c r="U249" s="6"/>
      <c r="V249" s="6"/>
      <c r="W249" s="6"/>
      <c r="X249" s="6"/>
      <c r="Y249" s="6"/>
      <c r="Z249" s="6"/>
      <c r="AA249" s="6"/>
      <c r="AB249" s="5">
        <f t="shared" ref="AB249:AB258" si="78">SUM(E249:AA249)</f>
        <v>1</v>
      </c>
    </row>
    <row r="250" spans="1:28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5">
        <f t="shared" si="78"/>
        <v>0</v>
      </c>
    </row>
    <row r="251" spans="1:28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5">
        <f t="shared" si="78"/>
        <v>0</v>
      </c>
    </row>
    <row r="252" spans="1:28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5">
        <f t="shared" si="78"/>
        <v>0</v>
      </c>
    </row>
    <row r="253" spans="1:28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>
        <f t="shared" si="78"/>
        <v>0</v>
      </c>
    </row>
    <row r="254" spans="1:28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>
        <f t="shared" si="78"/>
        <v>0</v>
      </c>
    </row>
    <row r="255" spans="1:28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>
        <f t="shared" si="78"/>
        <v>0</v>
      </c>
    </row>
    <row r="256" spans="1:28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>
        <f t="shared" si="78"/>
        <v>0</v>
      </c>
    </row>
    <row r="257" spans="1:28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>
        <f t="shared" si="78"/>
        <v>0</v>
      </c>
    </row>
    <row r="258" spans="1:28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>
        <f t="shared" si="78"/>
        <v>0</v>
      </c>
    </row>
    <row r="259" spans="1:28" x14ac:dyDescent="0.4">
      <c r="A259" s="6" t="s">
        <v>26</v>
      </c>
      <c r="B259" s="85" t="s">
        <v>51</v>
      </c>
      <c r="C259" s="93"/>
      <c r="D259" s="94"/>
      <c r="E259" s="5">
        <f t="shared" ref="E259:AB259" si="79">SUM(E249:E258)</f>
        <v>0</v>
      </c>
      <c r="F259" s="5">
        <f t="shared" ref="F259:Q259" si="80">SUM(F249:F258)</f>
        <v>0</v>
      </c>
      <c r="G259" s="5">
        <f t="shared" si="80"/>
        <v>0</v>
      </c>
      <c r="H259" s="5">
        <f t="shared" si="80"/>
        <v>0</v>
      </c>
      <c r="I259" s="5">
        <f t="shared" si="80"/>
        <v>0</v>
      </c>
      <c r="J259" s="5">
        <f t="shared" si="80"/>
        <v>0</v>
      </c>
      <c r="K259" s="5">
        <f t="shared" si="80"/>
        <v>0</v>
      </c>
      <c r="L259" s="5">
        <f t="shared" si="80"/>
        <v>0</v>
      </c>
      <c r="M259" s="5">
        <f t="shared" si="80"/>
        <v>0</v>
      </c>
      <c r="N259" s="5">
        <f t="shared" si="80"/>
        <v>0</v>
      </c>
      <c r="O259" s="5">
        <f t="shared" si="80"/>
        <v>0</v>
      </c>
      <c r="P259" s="5">
        <f t="shared" si="80"/>
        <v>0</v>
      </c>
      <c r="Q259" s="5">
        <f t="shared" si="80"/>
        <v>0</v>
      </c>
      <c r="R259" s="5">
        <f t="shared" si="79"/>
        <v>1</v>
      </c>
      <c r="S259" s="5">
        <f t="shared" si="79"/>
        <v>0</v>
      </c>
      <c r="T259" s="5">
        <f t="shared" si="79"/>
        <v>0</v>
      </c>
      <c r="U259" s="5">
        <f t="shared" si="79"/>
        <v>0</v>
      </c>
      <c r="V259" s="5">
        <f t="shared" si="79"/>
        <v>0</v>
      </c>
      <c r="W259" s="5">
        <f t="shared" si="79"/>
        <v>0</v>
      </c>
      <c r="X259" s="5">
        <f t="shared" si="79"/>
        <v>0</v>
      </c>
      <c r="Y259" s="5">
        <f t="shared" si="79"/>
        <v>0</v>
      </c>
      <c r="Z259" s="5">
        <f t="shared" si="79"/>
        <v>0</v>
      </c>
      <c r="AA259" s="5">
        <f t="shared" si="79"/>
        <v>0</v>
      </c>
      <c r="AB259" s="5">
        <f t="shared" si="79"/>
        <v>1</v>
      </c>
    </row>
    <row r="261" spans="1:28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5"/>
      <c r="U261" s="5"/>
      <c r="V261" s="5"/>
      <c r="W261" s="5"/>
      <c r="X261" s="5"/>
      <c r="Y261" s="5"/>
      <c r="Z261" s="15"/>
      <c r="AA261" s="15"/>
      <c r="AB261" s="5"/>
    </row>
    <row r="262" spans="1:28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169</v>
      </c>
      <c r="F262" s="6">
        <f t="shared" ref="F262:Q262" si="81">F55+F67+F79+F91+F103+F115+F127+F139+F151+F163+F175+F187+F199+F211+F223+F235+F247+F259</f>
        <v>186</v>
      </c>
      <c r="G262" s="6">
        <f t="shared" si="81"/>
        <v>224</v>
      </c>
      <c r="H262" s="6">
        <f t="shared" si="81"/>
        <v>186</v>
      </c>
      <c r="I262" s="6">
        <f t="shared" si="81"/>
        <v>117</v>
      </c>
      <c r="J262" s="6">
        <f t="shared" si="81"/>
        <v>129</v>
      </c>
      <c r="K262" s="6">
        <f t="shared" si="81"/>
        <v>135</v>
      </c>
      <c r="L262" s="6">
        <f t="shared" si="81"/>
        <v>114</v>
      </c>
      <c r="M262" s="6">
        <f t="shared" si="81"/>
        <v>218</v>
      </c>
      <c r="N262" s="6">
        <f t="shared" si="81"/>
        <v>179</v>
      </c>
      <c r="O262" s="6">
        <f t="shared" si="81"/>
        <v>214</v>
      </c>
      <c r="P262" s="6">
        <f t="shared" si="81"/>
        <v>206</v>
      </c>
      <c r="Q262" s="6">
        <f t="shared" si="81"/>
        <v>195</v>
      </c>
      <c r="R262" s="6">
        <f t="shared" ref="R262:W262" si="82">R55+R67+R79+R91+R103+R115+R127+R139+R151+R163+R175+R187+R199+R211+R223+R235+R247+R259</f>
        <v>203</v>
      </c>
      <c r="S262" s="6">
        <f t="shared" si="82"/>
        <v>174</v>
      </c>
      <c r="T262" s="6">
        <f t="shared" si="82"/>
        <v>200</v>
      </c>
      <c r="U262" s="6">
        <f t="shared" si="82"/>
        <v>227</v>
      </c>
      <c r="V262" s="6">
        <f t="shared" si="82"/>
        <v>183</v>
      </c>
      <c r="W262" s="6">
        <f t="shared" si="82"/>
        <v>194</v>
      </c>
      <c r="X262" s="6">
        <f t="shared" ref="X262:AA262" si="83">X55+X67+X79+X91+X103+X115+X127+X139+X151+X163+X175+X187+X199+X211+X223+X235+X247+X259</f>
        <v>221</v>
      </c>
      <c r="Y262" s="6">
        <f t="shared" si="83"/>
        <v>188</v>
      </c>
      <c r="Z262" s="6">
        <f t="shared" si="83"/>
        <v>132</v>
      </c>
      <c r="AA262" s="6">
        <f t="shared" si="83"/>
        <v>113</v>
      </c>
      <c r="AB262" s="5">
        <f>SUM(E262:AA262)</f>
        <v>4107</v>
      </c>
    </row>
    <row r="263" spans="1:28" x14ac:dyDescent="0.4">
      <c r="A263" s="13"/>
      <c r="B263" s="19" t="s">
        <v>87</v>
      </c>
      <c r="C263" s="100" t="s">
        <v>88</v>
      </c>
      <c r="D263" s="101"/>
      <c r="E263" s="6">
        <v>6</v>
      </c>
      <c r="F263" s="6">
        <v>4</v>
      </c>
      <c r="G263" s="6">
        <v>11</v>
      </c>
      <c r="H263" s="6">
        <v>11</v>
      </c>
      <c r="I263" s="6">
        <v>7</v>
      </c>
      <c r="J263" s="6">
        <v>9</v>
      </c>
      <c r="K263" s="6">
        <v>9</v>
      </c>
      <c r="L263" s="6">
        <v>12</v>
      </c>
      <c r="M263" s="6">
        <v>11</v>
      </c>
      <c r="N263" s="6">
        <v>9</v>
      </c>
      <c r="O263" s="6">
        <v>14</v>
      </c>
      <c r="P263" s="6">
        <v>13</v>
      </c>
      <c r="Q263" s="6">
        <v>9</v>
      </c>
      <c r="R263" s="6">
        <v>20</v>
      </c>
      <c r="S263" s="6">
        <v>12</v>
      </c>
      <c r="T263" s="6">
        <v>11</v>
      </c>
      <c r="U263" s="6">
        <v>14</v>
      </c>
      <c r="V263" s="6">
        <v>12</v>
      </c>
      <c r="W263" s="6">
        <v>7</v>
      </c>
      <c r="X263" s="6">
        <v>6</v>
      </c>
      <c r="Y263" s="6">
        <v>9</v>
      </c>
      <c r="Z263" s="6">
        <v>10</v>
      </c>
      <c r="AA263" s="6">
        <v>8</v>
      </c>
      <c r="AB263" s="5">
        <f>SUM(E263:AA263)</f>
        <v>234</v>
      </c>
    </row>
    <row r="264" spans="1:28" x14ac:dyDescent="0.4">
      <c r="A264" s="14"/>
      <c r="B264" s="19" t="s">
        <v>89</v>
      </c>
      <c r="C264" s="100" t="s">
        <v>90</v>
      </c>
      <c r="D264" s="101"/>
      <c r="E264" s="5">
        <f>SUM(E262:E263)</f>
        <v>175</v>
      </c>
      <c r="F264" s="5">
        <f t="shared" ref="F264:Q264" si="84">SUM(F262:F263)</f>
        <v>190</v>
      </c>
      <c r="G264" s="5">
        <f t="shared" si="84"/>
        <v>235</v>
      </c>
      <c r="H264" s="5">
        <f t="shared" si="84"/>
        <v>197</v>
      </c>
      <c r="I264" s="5">
        <f t="shared" si="84"/>
        <v>124</v>
      </c>
      <c r="J264" s="5">
        <f t="shared" si="84"/>
        <v>138</v>
      </c>
      <c r="K264" s="5">
        <f t="shared" si="84"/>
        <v>144</v>
      </c>
      <c r="L264" s="5">
        <f t="shared" si="84"/>
        <v>126</v>
      </c>
      <c r="M264" s="5">
        <f t="shared" si="84"/>
        <v>229</v>
      </c>
      <c r="N264" s="5">
        <f t="shared" si="84"/>
        <v>188</v>
      </c>
      <c r="O264" s="5">
        <f t="shared" si="84"/>
        <v>228</v>
      </c>
      <c r="P264" s="5">
        <f t="shared" si="84"/>
        <v>219</v>
      </c>
      <c r="Q264" s="5">
        <f t="shared" si="84"/>
        <v>204</v>
      </c>
      <c r="R264" s="5">
        <f t="shared" ref="R264:W264" si="85">SUM(R262:R263)</f>
        <v>223</v>
      </c>
      <c r="S264" s="5">
        <f t="shared" si="85"/>
        <v>186</v>
      </c>
      <c r="T264" s="5">
        <f t="shared" si="85"/>
        <v>211</v>
      </c>
      <c r="U264" s="5">
        <f t="shared" si="85"/>
        <v>241</v>
      </c>
      <c r="V264" s="5">
        <f t="shared" si="85"/>
        <v>195</v>
      </c>
      <c r="W264" s="5">
        <f t="shared" si="85"/>
        <v>201</v>
      </c>
      <c r="X264" s="5">
        <f t="shared" ref="X264:AA264" si="86">SUM(X262:X263)</f>
        <v>227</v>
      </c>
      <c r="Y264" s="5">
        <f t="shared" si="86"/>
        <v>197</v>
      </c>
      <c r="Z264" s="5">
        <f t="shared" si="86"/>
        <v>142</v>
      </c>
      <c r="AA264" s="5">
        <f t="shared" si="86"/>
        <v>121</v>
      </c>
      <c r="AB264" s="5">
        <f>SUM(E264:AA264)</f>
        <v>4341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U37"/>
    <mergeCell ref="B38:D38"/>
    <mergeCell ref="B39:C41"/>
    <mergeCell ref="A42:D42"/>
    <mergeCell ref="E42:U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AA12"/>
    <mergeCell ref="AB12:AB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9" type="noConversion"/>
  <conditionalFormatting sqref="E14:AA15">
    <cfRule type="containsBlanks" dxfId="85" priority="2">
      <formula>LEN(TRIM(E14))=0</formula>
    </cfRule>
  </conditionalFormatting>
  <conditionalFormatting sqref="E19:AA20">
    <cfRule type="containsBlanks" dxfId="84" priority="1">
      <formula>LEN(TRIM(E19))=0</formula>
    </cfRule>
  </conditionalFormatting>
  <conditionalFormatting sqref="E22:AA23 E25:AA26 E33:AA33 E35:AA35 E39:AA40">
    <cfRule type="containsBlanks" dxfId="83" priority="26">
      <formula>LEN(TRIM(E22))=0</formula>
    </cfRule>
  </conditionalFormatting>
  <conditionalFormatting sqref="E30:AA30">
    <cfRule type="expression" dxfId="82" priority="27">
      <formula>E30&lt;&gt;E47</formula>
    </cfRule>
    <cfRule type="expression" dxfId="81" priority="28">
      <formula>E30&lt;&gt;E34</formula>
    </cfRule>
  </conditionalFormatting>
  <conditionalFormatting sqref="E34:AA34">
    <cfRule type="expression" dxfId="80" priority="23">
      <formula>E30&lt;&gt;E34</formula>
    </cfRule>
    <cfRule type="expression" dxfId="79" priority="24">
      <formula>E30=E34</formula>
    </cfRule>
    <cfRule type="expression" dxfId="78" priority="29">
      <formula>E34&lt;&gt;E30</formula>
    </cfRule>
    <cfRule type="expression" dxfId="77" priority="31">
      <formula>E34&lt;&gt;E64</formula>
    </cfRule>
  </conditionalFormatting>
  <conditionalFormatting sqref="E45:AA54">
    <cfRule type="containsBlanks" dxfId="76" priority="21">
      <formula>LEN(TRIM(E45))=0</formula>
    </cfRule>
  </conditionalFormatting>
  <conditionalFormatting sqref="E57:AA66">
    <cfRule type="containsBlanks" dxfId="75" priority="20">
      <formula>LEN(TRIM(E57))=0</formula>
    </cfRule>
  </conditionalFormatting>
  <conditionalFormatting sqref="E69:AA78">
    <cfRule type="containsBlanks" dxfId="74" priority="19">
      <formula>LEN(TRIM(E69))=0</formula>
    </cfRule>
  </conditionalFormatting>
  <conditionalFormatting sqref="E81:AA90">
    <cfRule type="containsBlanks" dxfId="73" priority="18">
      <formula>LEN(TRIM(E81))=0</formula>
    </cfRule>
  </conditionalFormatting>
  <conditionalFormatting sqref="E93:AA102">
    <cfRule type="containsBlanks" dxfId="72" priority="17">
      <formula>LEN(TRIM(E93))=0</formula>
    </cfRule>
  </conditionalFormatting>
  <conditionalFormatting sqref="E105:AA114">
    <cfRule type="containsBlanks" dxfId="71" priority="16">
      <formula>LEN(TRIM(E105))=0</formula>
    </cfRule>
  </conditionalFormatting>
  <conditionalFormatting sqref="E117:AA126">
    <cfRule type="containsBlanks" dxfId="70" priority="3">
      <formula>LEN(TRIM(E117))=0</formula>
    </cfRule>
  </conditionalFormatting>
  <conditionalFormatting sqref="E129:AA138">
    <cfRule type="containsBlanks" dxfId="69" priority="15">
      <formula>LEN(TRIM(E129))=0</formula>
    </cfRule>
  </conditionalFormatting>
  <conditionalFormatting sqref="E141:AA150">
    <cfRule type="containsBlanks" dxfId="68" priority="14">
      <formula>LEN(TRIM(E141))=0</formula>
    </cfRule>
  </conditionalFormatting>
  <conditionalFormatting sqref="E153:AA162">
    <cfRule type="containsBlanks" dxfId="67" priority="5">
      <formula>LEN(TRIM(E153))=0</formula>
    </cfRule>
  </conditionalFormatting>
  <conditionalFormatting sqref="E165:AA174">
    <cfRule type="containsBlanks" dxfId="66" priority="13">
      <formula>LEN(TRIM(E165))=0</formula>
    </cfRule>
  </conditionalFormatting>
  <conditionalFormatting sqref="E177:AA186">
    <cfRule type="containsBlanks" dxfId="65" priority="12">
      <formula>LEN(TRIM(E177))=0</formula>
    </cfRule>
  </conditionalFormatting>
  <conditionalFormatting sqref="E189:AA198">
    <cfRule type="containsBlanks" dxfId="64" priority="11">
      <formula>LEN(TRIM(E189))=0</formula>
    </cfRule>
  </conditionalFormatting>
  <conditionalFormatting sqref="E201:AA210">
    <cfRule type="containsBlanks" dxfId="63" priority="10">
      <formula>LEN(TRIM(E201))=0</formula>
    </cfRule>
  </conditionalFormatting>
  <conditionalFormatting sqref="E213:AA222">
    <cfRule type="containsBlanks" dxfId="62" priority="9">
      <formula>LEN(TRIM(E213))=0</formula>
    </cfRule>
  </conditionalFormatting>
  <conditionalFormatting sqref="E225:AA234">
    <cfRule type="containsBlanks" dxfId="61" priority="8">
      <formula>LEN(TRIM(E225))=0</formula>
    </cfRule>
  </conditionalFormatting>
  <conditionalFormatting sqref="E237:AA246">
    <cfRule type="containsBlanks" dxfId="60" priority="7">
      <formula>LEN(TRIM(E237))=0</formula>
    </cfRule>
  </conditionalFormatting>
  <conditionalFormatting sqref="E249:AA258">
    <cfRule type="containsBlanks" dxfId="59" priority="6">
      <formula>LEN(TRIM(E249))=0</formula>
    </cfRule>
  </conditionalFormatting>
  <conditionalFormatting sqref="E262:AA263">
    <cfRule type="containsBlanks" dxfId="58" priority="4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8068-74DB-4052-8183-3149BB69620E}">
  <sheetPr>
    <tabColor rgb="FF92D050"/>
  </sheetPr>
  <dimension ref="A2:AP264"/>
  <sheetViews>
    <sheetView topLeftCell="V13" zoomScaleNormal="100" workbookViewId="0">
      <pane ySplit="1" topLeftCell="A256" activePane="bottomLeft" state="frozen"/>
      <selection activeCell="D13" sqref="D13"/>
      <selection pane="bottomLeft" activeCell="AI255" sqref="AI255"/>
    </sheetView>
  </sheetViews>
  <sheetFormatPr defaultRowHeight="13.15" x14ac:dyDescent="0.4"/>
  <cols>
    <col min="3" max="3" width="67.140625" bestFit="1" customWidth="1"/>
    <col min="4" max="4" width="5.85546875" bestFit="1" customWidth="1"/>
    <col min="42" max="42" width="13.28515625" customWidth="1"/>
  </cols>
  <sheetData>
    <row r="2" spans="1:42" x14ac:dyDescent="0.4">
      <c r="C2" s="43" t="s">
        <v>98</v>
      </c>
      <c r="D2" s="43" t="s">
        <v>125</v>
      </c>
    </row>
    <row r="3" spans="1:42" x14ac:dyDescent="0.4">
      <c r="C3" s="43" t="s">
        <v>99</v>
      </c>
      <c r="D3" s="43" t="s">
        <v>100</v>
      </c>
    </row>
    <row r="4" spans="1:42" x14ac:dyDescent="0.4">
      <c r="C4" s="43" t="s">
        <v>101</v>
      </c>
      <c r="D4" s="43" t="s">
        <v>102</v>
      </c>
    </row>
    <row r="5" spans="1:42" x14ac:dyDescent="0.4">
      <c r="C5" s="43"/>
      <c r="D5" s="43"/>
    </row>
    <row r="6" spans="1:42" x14ac:dyDescent="0.4">
      <c r="C6" s="43"/>
      <c r="D6" s="43"/>
    </row>
    <row r="7" spans="1:42" x14ac:dyDescent="0.4">
      <c r="C7" s="43"/>
      <c r="D7" s="43"/>
    </row>
    <row r="8" spans="1:42" x14ac:dyDescent="0.4">
      <c r="C8" s="43"/>
      <c r="D8" s="43"/>
    </row>
    <row r="9" spans="1:42" x14ac:dyDescent="0.4">
      <c r="C9" s="43" t="s">
        <v>103</v>
      </c>
      <c r="D9" s="43" t="s">
        <v>144</v>
      </c>
    </row>
    <row r="11" spans="1:4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2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 t="s">
        <v>97</v>
      </c>
    </row>
    <row r="13" spans="1:42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104</v>
      </c>
      <c r="AD13" s="5" t="s">
        <v>105</v>
      </c>
      <c r="AE13" s="5" t="s">
        <v>106</v>
      </c>
      <c r="AF13" s="5" t="s">
        <v>107</v>
      </c>
      <c r="AG13" s="5" t="s">
        <v>108</v>
      </c>
      <c r="AH13" s="5" t="s">
        <v>109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114</v>
      </c>
      <c r="AN13" s="5" t="s">
        <v>115</v>
      </c>
      <c r="AO13" s="5" t="s">
        <v>116</v>
      </c>
      <c r="AP13" s="71"/>
    </row>
    <row r="14" spans="1:42" x14ac:dyDescent="0.4">
      <c r="A14" s="7"/>
      <c r="B14" s="73" t="s">
        <v>22</v>
      </c>
      <c r="C14" s="74"/>
      <c r="D14" s="6" t="s">
        <v>23</v>
      </c>
      <c r="E14" s="6">
        <v>146</v>
      </c>
      <c r="F14" s="6">
        <v>90</v>
      </c>
      <c r="G14" s="6">
        <v>124</v>
      </c>
      <c r="H14" s="6">
        <v>88</v>
      </c>
      <c r="I14" s="6">
        <v>100</v>
      </c>
      <c r="J14" s="6">
        <v>130</v>
      </c>
      <c r="K14" s="6">
        <v>149</v>
      </c>
      <c r="L14" s="6">
        <v>149</v>
      </c>
      <c r="M14" s="6">
        <v>146</v>
      </c>
      <c r="N14" s="6">
        <v>129</v>
      </c>
      <c r="O14" s="6">
        <v>102</v>
      </c>
      <c r="P14" s="6">
        <v>117</v>
      </c>
      <c r="Q14" s="6">
        <v>117</v>
      </c>
      <c r="R14" s="6">
        <v>142</v>
      </c>
      <c r="S14" s="6">
        <v>147</v>
      </c>
      <c r="T14" s="6">
        <v>127</v>
      </c>
      <c r="U14" s="6">
        <v>81</v>
      </c>
      <c r="V14" s="6">
        <v>139</v>
      </c>
      <c r="W14" s="6">
        <v>98</v>
      </c>
      <c r="X14" s="6">
        <v>137</v>
      </c>
      <c r="Y14" s="6">
        <v>141</v>
      </c>
      <c r="Z14" s="6">
        <v>134</v>
      </c>
      <c r="AA14" s="6">
        <v>102</v>
      </c>
      <c r="AB14" s="6">
        <v>132</v>
      </c>
      <c r="AC14" s="6">
        <v>88</v>
      </c>
      <c r="AD14" s="6">
        <v>88</v>
      </c>
      <c r="AE14" s="6">
        <v>97</v>
      </c>
      <c r="AF14" s="6">
        <v>105</v>
      </c>
      <c r="AG14" s="6">
        <v>112</v>
      </c>
      <c r="AH14" s="6">
        <v>117</v>
      </c>
      <c r="AI14" s="6">
        <v>107</v>
      </c>
      <c r="AJ14" s="6">
        <v>104</v>
      </c>
      <c r="AK14" s="6">
        <v>109</v>
      </c>
      <c r="AL14" s="6">
        <v>143</v>
      </c>
      <c r="AM14" s="6">
        <v>126</v>
      </c>
      <c r="AN14" s="6">
        <v>109</v>
      </c>
      <c r="AO14" s="6">
        <v>99</v>
      </c>
      <c r="AP14" s="5">
        <f>SUM(E14:AO14)</f>
        <v>4371</v>
      </c>
    </row>
    <row r="15" spans="1:42" x14ac:dyDescent="0.4">
      <c r="A15" s="7"/>
      <c r="B15" s="75"/>
      <c r="C15" s="76"/>
      <c r="D15" s="6" t="s">
        <v>24</v>
      </c>
      <c r="E15" s="6">
        <v>148</v>
      </c>
      <c r="F15" s="6">
        <v>85</v>
      </c>
      <c r="G15" s="6">
        <v>124</v>
      </c>
      <c r="H15" s="6">
        <v>94</v>
      </c>
      <c r="I15" s="6">
        <v>110</v>
      </c>
      <c r="J15" s="6">
        <v>116</v>
      </c>
      <c r="K15" s="6">
        <v>144</v>
      </c>
      <c r="L15" s="6">
        <v>145</v>
      </c>
      <c r="M15" s="6">
        <v>145</v>
      </c>
      <c r="N15" s="6">
        <v>116</v>
      </c>
      <c r="O15" s="6">
        <v>108</v>
      </c>
      <c r="P15" s="6">
        <v>114</v>
      </c>
      <c r="Q15" s="6">
        <v>135</v>
      </c>
      <c r="R15" s="6">
        <v>153</v>
      </c>
      <c r="S15" s="6">
        <v>143</v>
      </c>
      <c r="T15" s="6">
        <v>141</v>
      </c>
      <c r="U15" s="6">
        <v>80</v>
      </c>
      <c r="V15" s="6">
        <v>145</v>
      </c>
      <c r="W15" s="6">
        <v>96</v>
      </c>
      <c r="X15" s="6">
        <v>131</v>
      </c>
      <c r="Y15" s="6">
        <v>149</v>
      </c>
      <c r="Z15" s="6">
        <v>142</v>
      </c>
      <c r="AA15" s="6">
        <v>109</v>
      </c>
      <c r="AB15" s="6">
        <v>132</v>
      </c>
      <c r="AC15" s="6">
        <v>107</v>
      </c>
      <c r="AD15" s="6">
        <v>96</v>
      </c>
      <c r="AE15" s="6">
        <v>102</v>
      </c>
      <c r="AF15" s="6">
        <v>103</v>
      </c>
      <c r="AG15" s="6">
        <v>141</v>
      </c>
      <c r="AH15" s="6">
        <v>103</v>
      </c>
      <c r="AI15" s="6">
        <v>105</v>
      </c>
      <c r="AJ15" s="6">
        <v>116</v>
      </c>
      <c r="AK15" s="6">
        <v>111</v>
      </c>
      <c r="AL15" s="6">
        <v>137</v>
      </c>
      <c r="AM15" s="6">
        <v>122</v>
      </c>
      <c r="AN15" s="6">
        <v>115</v>
      </c>
      <c r="AO15" s="6">
        <v>103</v>
      </c>
      <c r="AP15" s="5">
        <f>SUM(E15:AO15)</f>
        <v>4466</v>
      </c>
    </row>
    <row r="16" spans="1:42" x14ac:dyDescent="0.4">
      <c r="A16" s="8"/>
      <c r="B16" s="77"/>
      <c r="C16" s="78"/>
      <c r="D16" s="5" t="s">
        <v>25</v>
      </c>
      <c r="E16" s="5">
        <f t="shared" ref="E16:AO16" si="0">SUM(E14:E15)</f>
        <v>294</v>
      </c>
      <c r="F16" s="5">
        <f t="shared" si="0"/>
        <v>175</v>
      </c>
      <c r="G16" s="5">
        <f t="shared" si="0"/>
        <v>248</v>
      </c>
      <c r="H16" s="5">
        <f t="shared" si="0"/>
        <v>182</v>
      </c>
      <c r="I16" s="5">
        <f t="shared" si="0"/>
        <v>210</v>
      </c>
      <c r="J16" s="5">
        <f t="shared" si="0"/>
        <v>246</v>
      </c>
      <c r="K16" s="5">
        <f t="shared" si="0"/>
        <v>293</v>
      </c>
      <c r="L16" s="5">
        <f t="shared" si="0"/>
        <v>294</v>
      </c>
      <c r="M16" s="5">
        <f t="shared" si="0"/>
        <v>291</v>
      </c>
      <c r="N16" s="5">
        <f t="shared" si="0"/>
        <v>245</v>
      </c>
      <c r="O16" s="5">
        <f t="shared" si="0"/>
        <v>210</v>
      </c>
      <c r="P16" s="5">
        <f t="shared" si="0"/>
        <v>231</v>
      </c>
      <c r="Q16" s="5">
        <f t="shared" si="0"/>
        <v>252</v>
      </c>
      <c r="R16" s="5">
        <f t="shared" si="0"/>
        <v>295</v>
      </c>
      <c r="S16" s="5">
        <f t="shared" si="0"/>
        <v>290</v>
      </c>
      <c r="T16" s="5">
        <f t="shared" si="0"/>
        <v>268</v>
      </c>
      <c r="U16" s="5">
        <f t="shared" si="0"/>
        <v>161</v>
      </c>
      <c r="V16" s="5">
        <f t="shared" si="0"/>
        <v>284</v>
      </c>
      <c r="W16" s="5">
        <f t="shared" si="0"/>
        <v>194</v>
      </c>
      <c r="X16" s="5">
        <f t="shared" si="0"/>
        <v>268</v>
      </c>
      <c r="Y16" s="5">
        <f t="shared" si="0"/>
        <v>290</v>
      </c>
      <c r="Z16" s="5">
        <f t="shared" si="0"/>
        <v>276</v>
      </c>
      <c r="AA16" s="5">
        <f t="shared" si="0"/>
        <v>211</v>
      </c>
      <c r="AB16" s="5">
        <f t="shared" si="0"/>
        <v>264</v>
      </c>
      <c r="AC16" s="5">
        <f t="shared" si="0"/>
        <v>195</v>
      </c>
      <c r="AD16" s="5">
        <f t="shared" si="0"/>
        <v>184</v>
      </c>
      <c r="AE16" s="5">
        <f t="shared" si="0"/>
        <v>199</v>
      </c>
      <c r="AF16" s="5">
        <f t="shared" si="0"/>
        <v>208</v>
      </c>
      <c r="AG16" s="5">
        <f t="shared" si="0"/>
        <v>253</v>
      </c>
      <c r="AH16" s="5">
        <f t="shared" si="0"/>
        <v>220</v>
      </c>
      <c r="AI16" s="5">
        <f t="shared" si="0"/>
        <v>212</v>
      </c>
      <c r="AJ16" s="5">
        <f t="shared" si="0"/>
        <v>220</v>
      </c>
      <c r="AK16" s="5">
        <f t="shared" si="0"/>
        <v>220</v>
      </c>
      <c r="AL16" s="5">
        <f t="shared" si="0"/>
        <v>280</v>
      </c>
      <c r="AM16" s="5">
        <f t="shared" si="0"/>
        <v>248</v>
      </c>
      <c r="AN16" s="5">
        <f t="shared" si="0"/>
        <v>224</v>
      </c>
      <c r="AO16" s="5">
        <f t="shared" si="0"/>
        <v>202</v>
      </c>
      <c r="AP16" s="5">
        <f>SUM(E16:AO16)</f>
        <v>8837</v>
      </c>
    </row>
    <row r="17" spans="1:42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28"/>
    </row>
    <row r="18" spans="1:42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28"/>
    </row>
    <row r="19" spans="1:42" x14ac:dyDescent="0.4">
      <c r="A19" s="11"/>
      <c r="B19" s="79" t="s">
        <v>28</v>
      </c>
      <c r="C19" s="80" t="s">
        <v>29</v>
      </c>
      <c r="D19" s="6" t="s">
        <v>23</v>
      </c>
      <c r="E19" s="6">
        <v>99</v>
      </c>
      <c r="F19" s="6">
        <v>69</v>
      </c>
      <c r="G19" s="6">
        <v>95</v>
      </c>
      <c r="H19" s="6">
        <v>53</v>
      </c>
      <c r="I19" s="6">
        <v>84</v>
      </c>
      <c r="J19" s="6">
        <v>98</v>
      </c>
      <c r="K19" s="6">
        <v>111</v>
      </c>
      <c r="L19" s="6">
        <v>112</v>
      </c>
      <c r="M19" s="6">
        <v>109</v>
      </c>
      <c r="N19" s="6">
        <v>90</v>
      </c>
      <c r="O19" s="6">
        <v>77</v>
      </c>
      <c r="P19" s="6">
        <v>80</v>
      </c>
      <c r="Q19" s="6">
        <v>95</v>
      </c>
      <c r="R19" s="6">
        <v>101</v>
      </c>
      <c r="S19" s="6">
        <v>107</v>
      </c>
      <c r="T19" s="6">
        <v>88</v>
      </c>
      <c r="U19" s="6">
        <v>64</v>
      </c>
      <c r="V19" s="6">
        <v>114</v>
      </c>
      <c r="W19" s="6">
        <v>74</v>
      </c>
      <c r="X19" s="6">
        <v>104</v>
      </c>
      <c r="Y19" s="6">
        <v>115</v>
      </c>
      <c r="Z19" s="6">
        <v>85</v>
      </c>
      <c r="AA19" s="6">
        <v>75</v>
      </c>
      <c r="AB19" s="6">
        <v>89</v>
      </c>
      <c r="AC19" s="6">
        <v>73</v>
      </c>
      <c r="AD19" s="6">
        <v>69</v>
      </c>
      <c r="AE19" s="6">
        <v>82</v>
      </c>
      <c r="AF19" s="6">
        <v>83</v>
      </c>
      <c r="AG19" s="6">
        <v>89</v>
      </c>
      <c r="AH19" s="6">
        <v>92</v>
      </c>
      <c r="AI19" s="6">
        <v>74</v>
      </c>
      <c r="AJ19" s="6">
        <v>86</v>
      </c>
      <c r="AK19" s="6">
        <v>93</v>
      </c>
      <c r="AL19" s="6">
        <v>95</v>
      </c>
      <c r="AM19" s="6">
        <v>104</v>
      </c>
      <c r="AN19" s="6">
        <v>82</v>
      </c>
      <c r="AO19" s="6">
        <v>90</v>
      </c>
      <c r="AP19" s="5">
        <f t="shared" ref="AP19:AP30" si="1">SUM(E19:AO19)</f>
        <v>3300</v>
      </c>
    </row>
    <row r="20" spans="1:42" x14ac:dyDescent="0.4">
      <c r="A20" s="12"/>
      <c r="B20" s="76"/>
      <c r="C20" s="81"/>
      <c r="D20" s="6" t="s">
        <v>24</v>
      </c>
      <c r="E20" s="6">
        <v>122</v>
      </c>
      <c r="F20" s="6">
        <v>69</v>
      </c>
      <c r="G20" s="6">
        <v>98</v>
      </c>
      <c r="H20" s="6">
        <v>73</v>
      </c>
      <c r="I20" s="6">
        <v>75</v>
      </c>
      <c r="J20" s="6">
        <v>97</v>
      </c>
      <c r="K20" s="6">
        <v>121</v>
      </c>
      <c r="L20" s="6">
        <v>123</v>
      </c>
      <c r="M20" s="6">
        <v>119</v>
      </c>
      <c r="N20" s="6">
        <v>94</v>
      </c>
      <c r="O20" s="6">
        <v>84</v>
      </c>
      <c r="P20" s="6">
        <v>91</v>
      </c>
      <c r="Q20" s="6">
        <v>108</v>
      </c>
      <c r="R20" s="6">
        <v>116</v>
      </c>
      <c r="S20" s="6">
        <v>106</v>
      </c>
      <c r="T20" s="6">
        <v>103</v>
      </c>
      <c r="U20" s="6">
        <v>66</v>
      </c>
      <c r="V20" s="6">
        <v>122</v>
      </c>
      <c r="W20" s="6">
        <v>79</v>
      </c>
      <c r="X20" s="6">
        <v>107</v>
      </c>
      <c r="Y20" s="6">
        <v>125</v>
      </c>
      <c r="Z20" s="6">
        <v>106</v>
      </c>
      <c r="AA20" s="6">
        <v>94</v>
      </c>
      <c r="AB20" s="6">
        <v>89</v>
      </c>
      <c r="AC20" s="6">
        <v>87</v>
      </c>
      <c r="AD20" s="6">
        <v>77</v>
      </c>
      <c r="AE20" s="6">
        <v>86</v>
      </c>
      <c r="AF20" s="6">
        <v>93</v>
      </c>
      <c r="AG20" s="6">
        <v>107</v>
      </c>
      <c r="AH20" s="6">
        <v>89</v>
      </c>
      <c r="AI20" s="6">
        <v>87</v>
      </c>
      <c r="AJ20" s="6">
        <v>98</v>
      </c>
      <c r="AK20" s="6">
        <v>92</v>
      </c>
      <c r="AL20" s="6">
        <v>115</v>
      </c>
      <c r="AM20" s="6">
        <v>99</v>
      </c>
      <c r="AN20" s="6">
        <v>98</v>
      </c>
      <c r="AO20" s="6">
        <v>98</v>
      </c>
      <c r="AP20" s="5">
        <f t="shared" si="1"/>
        <v>3613</v>
      </c>
    </row>
    <row r="21" spans="1:42" x14ac:dyDescent="0.4">
      <c r="A21" s="13"/>
      <c r="B21" s="78"/>
      <c r="C21" s="82"/>
      <c r="D21" s="5" t="s">
        <v>25</v>
      </c>
      <c r="E21" s="5">
        <f t="shared" ref="E21:AO21" si="2">SUM(E19:E20)</f>
        <v>221</v>
      </c>
      <c r="F21" s="5">
        <f t="shared" si="2"/>
        <v>138</v>
      </c>
      <c r="G21" s="5">
        <f t="shared" si="2"/>
        <v>193</v>
      </c>
      <c r="H21" s="5">
        <f t="shared" si="2"/>
        <v>126</v>
      </c>
      <c r="I21" s="5">
        <f t="shared" si="2"/>
        <v>159</v>
      </c>
      <c r="J21" s="5">
        <f t="shared" si="2"/>
        <v>195</v>
      </c>
      <c r="K21" s="5">
        <f t="shared" si="2"/>
        <v>232</v>
      </c>
      <c r="L21" s="5">
        <f t="shared" si="2"/>
        <v>235</v>
      </c>
      <c r="M21" s="5">
        <f t="shared" si="2"/>
        <v>228</v>
      </c>
      <c r="N21" s="5">
        <f t="shared" si="2"/>
        <v>184</v>
      </c>
      <c r="O21" s="5">
        <f t="shared" si="2"/>
        <v>161</v>
      </c>
      <c r="P21" s="5">
        <f t="shared" si="2"/>
        <v>171</v>
      </c>
      <c r="Q21" s="5">
        <f t="shared" si="2"/>
        <v>203</v>
      </c>
      <c r="R21" s="5">
        <f t="shared" si="2"/>
        <v>217</v>
      </c>
      <c r="S21" s="5">
        <f t="shared" si="2"/>
        <v>213</v>
      </c>
      <c r="T21" s="5">
        <f t="shared" si="2"/>
        <v>191</v>
      </c>
      <c r="U21" s="5">
        <f t="shared" si="2"/>
        <v>130</v>
      </c>
      <c r="V21" s="5">
        <f t="shared" si="2"/>
        <v>236</v>
      </c>
      <c r="W21" s="5">
        <f t="shared" si="2"/>
        <v>153</v>
      </c>
      <c r="X21" s="5">
        <f t="shared" si="2"/>
        <v>211</v>
      </c>
      <c r="Y21" s="5">
        <f t="shared" si="2"/>
        <v>240</v>
      </c>
      <c r="Z21" s="5">
        <f t="shared" si="2"/>
        <v>191</v>
      </c>
      <c r="AA21" s="5">
        <f t="shared" si="2"/>
        <v>169</v>
      </c>
      <c r="AB21" s="5">
        <f t="shared" si="2"/>
        <v>178</v>
      </c>
      <c r="AC21" s="5">
        <f t="shared" si="2"/>
        <v>160</v>
      </c>
      <c r="AD21" s="5">
        <f t="shared" si="2"/>
        <v>146</v>
      </c>
      <c r="AE21" s="5">
        <f t="shared" si="2"/>
        <v>168</v>
      </c>
      <c r="AF21" s="5">
        <f t="shared" si="2"/>
        <v>176</v>
      </c>
      <c r="AG21" s="5">
        <f t="shared" si="2"/>
        <v>196</v>
      </c>
      <c r="AH21" s="5">
        <f t="shared" si="2"/>
        <v>181</v>
      </c>
      <c r="AI21" s="5">
        <f t="shared" si="2"/>
        <v>161</v>
      </c>
      <c r="AJ21" s="5">
        <f t="shared" si="2"/>
        <v>184</v>
      </c>
      <c r="AK21" s="5">
        <f t="shared" si="2"/>
        <v>185</v>
      </c>
      <c r="AL21" s="5">
        <f t="shared" si="2"/>
        <v>210</v>
      </c>
      <c r="AM21" s="5">
        <f t="shared" si="2"/>
        <v>203</v>
      </c>
      <c r="AN21" s="5">
        <f t="shared" si="2"/>
        <v>180</v>
      </c>
      <c r="AO21" s="5">
        <f t="shared" si="2"/>
        <v>188</v>
      </c>
      <c r="AP21" s="5">
        <f t="shared" si="1"/>
        <v>6913</v>
      </c>
    </row>
    <row r="22" spans="1:42" x14ac:dyDescent="0.4">
      <c r="A22" s="12"/>
      <c r="B22" s="79" t="s">
        <v>30</v>
      </c>
      <c r="C22" s="80" t="s">
        <v>31</v>
      </c>
      <c r="D22" s="6" t="s">
        <v>23</v>
      </c>
      <c r="E22" s="6"/>
      <c r="F22" s="6"/>
      <c r="G22" s="6"/>
      <c r="H22" s="6"/>
      <c r="I22" s="6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</v>
      </c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>
        <v>1</v>
      </c>
      <c r="AH22" s="6">
        <v>1</v>
      </c>
      <c r="AI22" s="6">
        <v>1</v>
      </c>
      <c r="AJ22" s="6">
        <v>2</v>
      </c>
      <c r="AK22" s="6">
        <v>1</v>
      </c>
      <c r="AL22" s="6"/>
      <c r="AM22" s="6">
        <v>1</v>
      </c>
      <c r="AN22" s="6">
        <v>1</v>
      </c>
      <c r="AO22" s="6">
        <v>1</v>
      </c>
      <c r="AP22" s="5">
        <f t="shared" si="1"/>
        <v>13</v>
      </c>
    </row>
    <row r="23" spans="1:42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>
        <v>1</v>
      </c>
      <c r="O23" s="6"/>
      <c r="P23" s="6"/>
      <c r="Q23" s="6"/>
      <c r="R23" s="6"/>
      <c r="S23" s="6"/>
      <c r="T23" s="6"/>
      <c r="U23" s="6"/>
      <c r="V23" s="6">
        <v>2</v>
      </c>
      <c r="W23" s="6">
        <v>1</v>
      </c>
      <c r="X23" s="6"/>
      <c r="Y23" s="6">
        <v>1</v>
      </c>
      <c r="Z23" s="6"/>
      <c r="AA23" s="6"/>
      <c r="AB23" s="6"/>
      <c r="AC23" s="6"/>
      <c r="AD23" s="6"/>
      <c r="AE23" s="6"/>
      <c r="AF23" s="6">
        <v>2</v>
      </c>
      <c r="AG23" s="6"/>
      <c r="AH23" s="6"/>
      <c r="AI23" s="6"/>
      <c r="AJ23" s="6">
        <v>2</v>
      </c>
      <c r="AK23" s="6"/>
      <c r="AL23" s="6"/>
      <c r="AM23" s="6"/>
      <c r="AN23" s="6"/>
      <c r="AO23" s="6"/>
      <c r="AP23" s="5">
        <f t="shared" si="1"/>
        <v>9</v>
      </c>
    </row>
    <row r="24" spans="1:42" x14ac:dyDescent="0.4">
      <c r="A24" s="13"/>
      <c r="B24" s="78"/>
      <c r="C24" s="82"/>
      <c r="D24" s="5" t="s">
        <v>25</v>
      </c>
      <c r="E24" s="5">
        <f t="shared" ref="E24:AO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1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1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3"/>
        <v>0</v>
      </c>
      <c r="V24" s="5">
        <f t="shared" si="3"/>
        <v>4</v>
      </c>
      <c r="W24" s="5">
        <f t="shared" si="3"/>
        <v>2</v>
      </c>
      <c r="X24" s="5">
        <f t="shared" si="3"/>
        <v>0</v>
      </c>
      <c r="Y24" s="5">
        <f t="shared" si="3"/>
        <v>1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  <c r="AD24" s="5">
        <f t="shared" si="3"/>
        <v>0</v>
      </c>
      <c r="AE24" s="5">
        <f t="shared" si="3"/>
        <v>0</v>
      </c>
      <c r="AF24" s="5">
        <f t="shared" si="3"/>
        <v>2</v>
      </c>
      <c r="AG24" s="5">
        <f t="shared" si="3"/>
        <v>1</v>
      </c>
      <c r="AH24" s="5">
        <f t="shared" si="3"/>
        <v>1</v>
      </c>
      <c r="AI24" s="5">
        <f t="shared" si="3"/>
        <v>1</v>
      </c>
      <c r="AJ24" s="5">
        <f t="shared" si="3"/>
        <v>4</v>
      </c>
      <c r="AK24" s="5">
        <f t="shared" si="3"/>
        <v>1</v>
      </c>
      <c r="AL24" s="5">
        <f t="shared" si="3"/>
        <v>0</v>
      </c>
      <c r="AM24" s="5">
        <f t="shared" si="3"/>
        <v>1</v>
      </c>
      <c r="AN24" s="5">
        <f t="shared" si="3"/>
        <v>1</v>
      </c>
      <c r="AO24" s="5">
        <f t="shared" si="3"/>
        <v>1</v>
      </c>
      <c r="AP24" s="5">
        <f t="shared" si="1"/>
        <v>22</v>
      </c>
    </row>
    <row r="25" spans="1:42" x14ac:dyDescent="0.4">
      <c r="A25" s="12"/>
      <c r="B25" s="79" t="s">
        <v>32</v>
      </c>
      <c r="C25" s="80" t="s">
        <v>33</v>
      </c>
      <c r="D25" s="6" t="s">
        <v>23</v>
      </c>
      <c r="E25" s="6"/>
      <c r="F25" s="6">
        <v>1</v>
      </c>
      <c r="G25" s="6"/>
      <c r="H25" s="6">
        <v>1</v>
      </c>
      <c r="I25" s="6"/>
      <c r="J25" s="6">
        <v>1</v>
      </c>
      <c r="K25" s="6"/>
      <c r="L25" s="6">
        <v>1</v>
      </c>
      <c r="M25" s="6"/>
      <c r="N25" s="6"/>
      <c r="O25" s="6"/>
      <c r="P25" s="6"/>
      <c r="Q25" s="6"/>
      <c r="R25" s="6">
        <v>4</v>
      </c>
      <c r="S25" s="6"/>
      <c r="T25" s="6">
        <v>3</v>
      </c>
      <c r="U25" s="6"/>
      <c r="V25" s="6">
        <v>1</v>
      </c>
      <c r="W25" s="6">
        <v>1</v>
      </c>
      <c r="X25" s="6">
        <v>2</v>
      </c>
      <c r="Y25" s="6"/>
      <c r="Z25" s="6">
        <v>2</v>
      </c>
      <c r="AA25" s="6">
        <v>4</v>
      </c>
      <c r="AB25" s="6">
        <v>4</v>
      </c>
      <c r="AC25" s="6"/>
      <c r="AD25" s="6"/>
      <c r="AE25" s="6">
        <v>3</v>
      </c>
      <c r="AF25" s="6"/>
      <c r="AG25" s="6"/>
      <c r="AH25" s="6">
        <v>5</v>
      </c>
      <c r="AI25" s="6">
        <v>2</v>
      </c>
      <c r="AJ25" s="6"/>
      <c r="AK25" s="6">
        <v>1</v>
      </c>
      <c r="AL25" s="6"/>
      <c r="AM25" s="6"/>
      <c r="AN25" s="6"/>
      <c r="AO25" s="6"/>
      <c r="AP25" s="5">
        <f t="shared" si="1"/>
        <v>36</v>
      </c>
    </row>
    <row r="26" spans="1:42" x14ac:dyDescent="0.4">
      <c r="A26" s="12"/>
      <c r="B26" s="76"/>
      <c r="C26" s="81"/>
      <c r="D26" s="6" t="s">
        <v>24</v>
      </c>
      <c r="E26" s="6"/>
      <c r="F26" s="6">
        <v>1</v>
      </c>
      <c r="G26" s="6">
        <v>2</v>
      </c>
      <c r="H26" s="6">
        <v>1</v>
      </c>
      <c r="I26" s="6">
        <v>3</v>
      </c>
      <c r="J26" s="6">
        <v>3</v>
      </c>
      <c r="K26" s="6"/>
      <c r="L26" s="6">
        <v>2</v>
      </c>
      <c r="M26" s="6">
        <v>1</v>
      </c>
      <c r="N26" s="6"/>
      <c r="O26" s="6">
        <v>3</v>
      </c>
      <c r="P26" s="6"/>
      <c r="Q26" s="6"/>
      <c r="R26" s="6">
        <v>9</v>
      </c>
      <c r="S26" s="6"/>
      <c r="T26" s="6">
        <v>5</v>
      </c>
      <c r="U26" s="6"/>
      <c r="V26" s="6">
        <v>1</v>
      </c>
      <c r="W26" s="6"/>
      <c r="X26" s="6">
        <v>1</v>
      </c>
      <c r="Y26" s="6"/>
      <c r="Z26" s="6">
        <v>3</v>
      </c>
      <c r="AA26" s="6">
        <v>3</v>
      </c>
      <c r="AB26" s="6">
        <v>3</v>
      </c>
      <c r="AC26" s="6">
        <v>2</v>
      </c>
      <c r="AD26" s="6"/>
      <c r="AE26" s="6">
        <v>2</v>
      </c>
      <c r="AF26" s="6"/>
      <c r="AG26" s="6"/>
      <c r="AH26" s="6">
        <v>4</v>
      </c>
      <c r="AI26" s="6">
        <v>3</v>
      </c>
      <c r="AJ26" s="6"/>
      <c r="AK26" s="6">
        <v>2</v>
      </c>
      <c r="AL26" s="6"/>
      <c r="AM26" s="6">
        <v>4</v>
      </c>
      <c r="AN26" s="6"/>
      <c r="AO26" s="6"/>
      <c r="AP26" s="5">
        <f t="shared" si="1"/>
        <v>58</v>
      </c>
    </row>
    <row r="27" spans="1:42" x14ac:dyDescent="0.4">
      <c r="A27" s="13"/>
      <c r="B27" s="78"/>
      <c r="C27" s="82"/>
      <c r="D27" s="5" t="s">
        <v>25</v>
      </c>
      <c r="E27" s="5">
        <f t="shared" ref="E27:AO27" si="4">SUM(E25:E26)</f>
        <v>0</v>
      </c>
      <c r="F27" s="5">
        <f t="shared" si="4"/>
        <v>2</v>
      </c>
      <c r="G27" s="5">
        <f t="shared" si="4"/>
        <v>2</v>
      </c>
      <c r="H27" s="5">
        <f t="shared" si="4"/>
        <v>2</v>
      </c>
      <c r="I27" s="5">
        <f t="shared" si="4"/>
        <v>3</v>
      </c>
      <c r="J27" s="5">
        <f t="shared" si="4"/>
        <v>4</v>
      </c>
      <c r="K27" s="5">
        <f t="shared" si="4"/>
        <v>0</v>
      </c>
      <c r="L27" s="5">
        <f t="shared" si="4"/>
        <v>3</v>
      </c>
      <c r="M27" s="5">
        <f t="shared" si="4"/>
        <v>1</v>
      </c>
      <c r="N27" s="5">
        <f t="shared" si="4"/>
        <v>0</v>
      </c>
      <c r="O27" s="5">
        <f t="shared" si="4"/>
        <v>3</v>
      </c>
      <c r="P27" s="5">
        <f t="shared" si="4"/>
        <v>0</v>
      </c>
      <c r="Q27" s="5">
        <f t="shared" si="4"/>
        <v>0</v>
      </c>
      <c r="R27" s="5">
        <f t="shared" si="4"/>
        <v>13</v>
      </c>
      <c r="S27" s="5">
        <f t="shared" si="4"/>
        <v>0</v>
      </c>
      <c r="T27" s="5">
        <f t="shared" si="4"/>
        <v>8</v>
      </c>
      <c r="U27" s="5">
        <f t="shared" si="4"/>
        <v>0</v>
      </c>
      <c r="V27" s="5">
        <f t="shared" si="4"/>
        <v>2</v>
      </c>
      <c r="W27" s="5">
        <f t="shared" si="4"/>
        <v>1</v>
      </c>
      <c r="X27" s="5">
        <f t="shared" si="4"/>
        <v>3</v>
      </c>
      <c r="Y27" s="5">
        <f t="shared" si="4"/>
        <v>0</v>
      </c>
      <c r="Z27" s="5">
        <f t="shared" si="4"/>
        <v>5</v>
      </c>
      <c r="AA27" s="5">
        <f t="shared" si="4"/>
        <v>7</v>
      </c>
      <c r="AB27" s="5">
        <f t="shared" si="4"/>
        <v>7</v>
      </c>
      <c r="AC27" s="5">
        <f t="shared" si="4"/>
        <v>2</v>
      </c>
      <c r="AD27" s="5">
        <f t="shared" si="4"/>
        <v>0</v>
      </c>
      <c r="AE27" s="5">
        <f t="shared" si="4"/>
        <v>5</v>
      </c>
      <c r="AF27" s="5">
        <f t="shared" si="4"/>
        <v>0</v>
      </c>
      <c r="AG27" s="5">
        <f t="shared" si="4"/>
        <v>0</v>
      </c>
      <c r="AH27" s="5">
        <f t="shared" si="4"/>
        <v>9</v>
      </c>
      <c r="AI27" s="5">
        <f t="shared" si="4"/>
        <v>5</v>
      </c>
      <c r="AJ27" s="5">
        <f t="shared" si="4"/>
        <v>0</v>
      </c>
      <c r="AK27" s="5">
        <f t="shared" si="4"/>
        <v>3</v>
      </c>
      <c r="AL27" s="5">
        <f t="shared" si="4"/>
        <v>0</v>
      </c>
      <c r="AM27" s="5">
        <f t="shared" si="4"/>
        <v>4</v>
      </c>
      <c r="AN27" s="5">
        <f t="shared" si="4"/>
        <v>0</v>
      </c>
      <c r="AO27" s="5">
        <f t="shared" si="4"/>
        <v>0</v>
      </c>
      <c r="AP27" s="5">
        <f t="shared" si="1"/>
        <v>94</v>
      </c>
    </row>
    <row r="28" spans="1:42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99</v>
      </c>
      <c r="F28" s="5">
        <f t="shared" ref="F28:AO29" si="5">SUM(F19,F22,F25)</f>
        <v>70</v>
      </c>
      <c r="G28" s="5">
        <f t="shared" si="5"/>
        <v>95</v>
      </c>
      <c r="H28" s="5">
        <f t="shared" si="5"/>
        <v>54</v>
      </c>
      <c r="I28" s="5">
        <f t="shared" si="5"/>
        <v>85</v>
      </c>
      <c r="J28" s="5">
        <f t="shared" si="5"/>
        <v>99</v>
      </c>
      <c r="K28" s="5">
        <f t="shared" si="5"/>
        <v>111</v>
      </c>
      <c r="L28" s="5">
        <f t="shared" si="5"/>
        <v>113</v>
      </c>
      <c r="M28" s="5">
        <f t="shared" si="5"/>
        <v>109</v>
      </c>
      <c r="N28" s="5">
        <f t="shared" si="5"/>
        <v>90</v>
      </c>
      <c r="O28" s="5">
        <f t="shared" si="5"/>
        <v>77</v>
      </c>
      <c r="P28" s="5">
        <f t="shared" si="5"/>
        <v>80</v>
      </c>
      <c r="Q28" s="5">
        <f t="shared" si="5"/>
        <v>95</v>
      </c>
      <c r="R28" s="5">
        <f t="shared" si="5"/>
        <v>105</v>
      </c>
      <c r="S28" s="5">
        <f t="shared" si="5"/>
        <v>107</v>
      </c>
      <c r="T28" s="5">
        <f t="shared" si="5"/>
        <v>91</v>
      </c>
      <c r="U28" s="5">
        <f t="shared" si="5"/>
        <v>64</v>
      </c>
      <c r="V28" s="5">
        <f t="shared" si="5"/>
        <v>117</v>
      </c>
      <c r="W28" s="5">
        <f t="shared" si="5"/>
        <v>76</v>
      </c>
      <c r="X28" s="5">
        <f t="shared" si="5"/>
        <v>106</v>
      </c>
      <c r="Y28" s="5">
        <f t="shared" si="5"/>
        <v>115</v>
      </c>
      <c r="Z28" s="5">
        <f t="shared" si="5"/>
        <v>87</v>
      </c>
      <c r="AA28" s="5">
        <f t="shared" si="5"/>
        <v>79</v>
      </c>
      <c r="AB28" s="5">
        <f t="shared" si="5"/>
        <v>93</v>
      </c>
      <c r="AC28" s="5">
        <f t="shared" si="5"/>
        <v>73</v>
      </c>
      <c r="AD28" s="5">
        <f t="shared" si="5"/>
        <v>69</v>
      </c>
      <c r="AE28" s="5">
        <f t="shared" si="5"/>
        <v>85</v>
      </c>
      <c r="AF28" s="5">
        <f t="shared" si="5"/>
        <v>83</v>
      </c>
      <c r="AG28" s="5">
        <f t="shared" si="5"/>
        <v>90</v>
      </c>
      <c r="AH28" s="5">
        <f t="shared" si="5"/>
        <v>98</v>
      </c>
      <c r="AI28" s="5">
        <f t="shared" si="5"/>
        <v>77</v>
      </c>
      <c r="AJ28" s="5">
        <f t="shared" si="5"/>
        <v>88</v>
      </c>
      <c r="AK28" s="5">
        <f t="shared" si="5"/>
        <v>95</v>
      </c>
      <c r="AL28" s="5">
        <f t="shared" si="5"/>
        <v>95</v>
      </c>
      <c r="AM28" s="5">
        <f t="shared" si="5"/>
        <v>105</v>
      </c>
      <c r="AN28" s="5">
        <f t="shared" si="5"/>
        <v>83</v>
      </c>
      <c r="AO28" s="5">
        <f t="shared" si="5"/>
        <v>91</v>
      </c>
      <c r="AP28" s="5">
        <f t="shared" si="1"/>
        <v>3349</v>
      </c>
    </row>
    <row r="29" spans="1:42" x14ac:dyDescent="0.4">
      <c r="A29" s="13"/>
      <c r="B29" s="76"/>
      <c r="C29" s="81"/>
      <c r="D29" s="5" t="s">
        <v>24</v>
      </c>
      <c r="E29" s="5">
        <f>SUM(E20,E23,E26)</f>
        <v>122</v>
      </c>
      <c r="F29" s="5">
        <f t="shared" si="5"/>
        <v>70</v>
      </c>
      <c r="G29" s="5">
        <f t="shared" si="5"/>
        <v>100</v>
      </c>
      <c r="H29" s="5">
        <f t="shared" si="5"/>
        <v>74</v>
      </c>
      <c r="I29" s="5">
        <f t="shared" si="5"/>
        <v>78</v>
      </c>
      <c r="J29" s="5">
        <f t="shared" si="5"/>
        <v>100</v>
      </c>
      <c r="K29" s="5">
        <f t="shared" si="5"/>
        <v>121</v>
      </c>
      <c r="L29" s="5">
        <f t="shared" si="5"/>
        <v>125</v>
      </c>
      <c r="M29" s="5">
        <f t="shared" si="5"/>
        <v>120</v>
      </c>
      <c r="N29" s="5">
        <f t="shared" si="5"/>
        <v>95</v>
      </c>
      <c r="O29" s="5">
        <f t="shared" si="5"/>
        <v>87</v>
      </c>
      <c r="P29" s="5">
        <f t="shared" si="5"/>
        <v>91</v>
      </c>
      <c r="Q29" s="5">
        <f t="shared" si="5"/>
        <v>108</v>
      </c>
      <c r="R29" s="5">
        <f t="shared" si="5"/>
        <v>125</v>
      </c>
      <c r="S29" s="5">
        <f t="shared" si="5"/>
        <v>106</v>
      </c>
      <c r="T29" s="5">
        <f t="shared" si="5"/>
        <v>108</v>
      </c>
      <c r="U29" s="5">
        <f t="shared" si="5"/>
        <v>66</v>
      </c>
      <c r="V29" s="5">
        <f t="shared" si="5"/>
        <v>125</v>
      </c>
      <c r="W29" s="5">
        <f t="shared" si="5"/>
        <v>80</v>
      </c>
      <c r="X29" s="5">
        <f t="shared" si="5"/>
        <v>108</v>
      </c>
      <c r="Y29" s="5">
        <f t="shared" si="5"/>
        <v>126</v>
      </c>
      <c r="Z29" s="5">
        <f t="shared" si="5"/>
        <v>109</v>
      </c>
      <c r="AA29" s="5">
        <f t="shared" si="5"/>
        <v>97</v>
      </c>
      <c r="AB29" s="5">
        <f t="shared" si="5"/>
        <v>92</v>
      </c>
      <c r="AC29" s="5">
        <f t="shared" si="5"/>
        <v>89</v>
      </c>
      <c r="AD29" s="5">
        <f t="shared" si="5"/>
        <v>77</v>
      </c>
      <c r="AE29" s="5">
        <f t="shared" si="5"/>
        <v>88</v>
      </c>
      <c r="AF29" s="5">
        <f t="shared" si="5"/>
        <v>95</v>
      </c>
      <c r="AG29" s="5">
        <f t="shared" si="5"/>
        <v>107</v>
      </c>
      <c r="AH29" s="5">
        <f t="shared" si="5"/>
        <v>93</v>
      </c>
      <c r="AI29" s="5">
        <f t="shared" si="5"/>
        <v>90</v>
      </c>
      <c r="AJ29" s="5">
        <f t="shared" si="5"/>
        <v>100</v>
      </c>
      <c r="AK29" s="5">
        <f t="shared" si="5"/>
        <v>94</v>
      </c>
      <c r="AL29" s="5">
        <f t="shared" si="5"/>
        <v>115</v>
      </c>
      <c r="AM29" s="5">
        <f t="shared" si="5"/>
        <v>103</v>
      </c>
      <c r="AN29" s="5">
        <f t="shared" si="5"/>
        <v>98</v>
      </c>
      <c r="AO29" s="5">
        <f t="shared" si="5"/>
        <v>98</v>
      </c>
      <c r="AP29" s="5">
        <f t="shared" si="1"/>
        <v>3680</v>
      </c>
    </row>
    <row r="30" spans="1:42" x14ac:dyDescent="0.4">
      <c r="A30" s="13"/>
      <c r="B30" s="78"/>
      <c r="C30" s="82"/>
      <c r="D30" s="5" t="s">
        <v>25</v>
      </c>
      <c r="E30" s="5">
        <f t="shared" ref="E30:AO30" si="6">SUM(E28:E29)</f>
        <v>221</v>
      </c>
      <c r="F30" s="5">
        <f t="shared" si="6"/>
        <v>140</v>
      </c>
      <c r="G30" s="5">
        <f t="shared" si="6"/>
        <v>195</v>
      </c>
      <c r="H30" s="5">
        <f t="shared" si="6"/>
        <v>128</v>
      </c>
      <c r="I30" s="5">
        <f t="shared" si="6"/>
        <v>163</v>
      </c>
      <c r="J30" s="5">
        <f t="shared" si="6"/>
        <v>199</v>
      </c>
      <c r="K30" s="5">
        <f t="shared" si="6"/>
        <v>232</v>
      </c>
      <c r="L30" s="5">
        <f t="shared" si="6"/>
        <v>238</v>
      </c>
      <c r="M30" s="5">
        <f t="shared" si="6"/>
        <v>229</v>
      </c>
      <c r="N30" s="5">
        <f t="shared" si="6"/>
        <v>185</v>
      </c>
      <c r="O30" s="5">
        <f t="shared" si="6"/>
        <v>164</v>
      </c>
      <c r="P30" s="5">
        <f t="shared" si="6"/>
        <v>171</v>
      </c>
      <c r="Q30" s="5">
        <f t="shared" si="6"/>
        <v>203</v>
      </c>
      <c r="R30" s="5">
        <f t="shared" si="6"/>
        <v>230</v>
      </c>
      <c r="S30" s="5">
        <f t="shared" si="6"/>
        <v>213</v>
      </c>
      <c r="T30" s="5">
        <f t="shared" si="6"/>
        <v>199</v>
      </c>
      <c r="U30" s="5">
        <f t="shared" si="6"/>
        <v>130</v>
      </c>
      <c r="V30" s="5">
        <f t="shared" si="6"/>
        <v>242</v>
      </c>
      <c r="W30" s="5">
        <f t="shared" si="6"/>
        <v>156</v>
      </c>
      <c r="X30" s="5">
        <f t="shared" si="6"/>
        <v>214</v>
      </c>
      <c r="Y30" s="5">
        <f t="shared" si="6"/>
        <v>241</v>
      </c>
      <c r="Z30" s="5">
        <f t="shared" si="6"/>
        <v>196</v>
      </c>
      <c r="AA30" s="5">
        <f t="shared" si="6"/>
        <v>176</v>
      </c>
      <c r="AB30" s="5">
        <f t="shared" si="6"/>
        <v>185</v>
      </c>
      <c r="AC30" s="5">
        <f t="shared" si="6"/>
        <v>162</v>
      </c>
      <c r="AD30" s="5">
        <f t="shared" si="6"/>
        <v>146</v>
      </c>
      <c r="AE30" s="5">
        <f t="shared" si="6"/>
        <v>173</v>
      </c>
      <c r="AF30" s="5">
        <f t="shared" si="6"/>
        <v>178</v>
      </c>
      <c r="AG30" s="5">
        <f t="shared" si="6"/>
        <v>197</v>
      </c>
      <c r="AH30" s="5">
        <f t="shared" si="6"/>
        <v>191</v>
      </c>
      <c r="AI30" s="5">
        <f t="shared" si="6"/>
        <v>167</v>
      </c>
      <c r="AJ30" s="5">
        <f t="shared" si="6"/>
        <v>188</v>
      </c>
      <c r="AK30" s="5">
        <f t="shared" si="6"/>
        <v>189</v>
      </c>
      <c r="AL30" s="5">
        <f t="shared" si="6"/>
        <v>210</v>
      </c>
      <c r="AM30" s="5">
        <f t="shared" si="6"/>
        <v>208</v>
      </c>
      <c r="AN30" s="5">
        <f t="shared" si="6"/>
        <v>181</v>
      </c>
      <c r="AO30" s="5">
        <f t="shared" si="6"/>
        <v>189</v>
      </c>
      <c r="AP30" s="5">
        <f t="shared" si="1"/>
        <v>7029</v>
      </c>
    </row>
    <row r="31" spans="1:42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28"/>
    </row>
    <row r="32" spans="1:42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28"/>
    </row>
    <row r="33" spans="1:42" x14ac:dyDescent="0.4">
      <c r="A33" s="6">
        <v>1</v>
      </c>
      <c r="B33" s="72" t="s">
        <v>38</v>
      </c>
      <c r="C33" s="65"/>
      <c r="D33" s="66"/>
      <c r="E33" s="6">
        <v>300</v>
      </c>
      <c r="F33" s="6">
        <v>179</v>
      </c>
      <c r="G33" s="6">
        <v>253</v>
      </c>
      <c r="H33" s="6">
        <v>186</v>
      </c>
      <c r="I33" s="6">
        <v>215</v>
      </c>
      <c r="J33" s="6">
        <v>251</v>
      </c>
      <c r="K33" s="6">
        <v>299</v>
      </c>
      <c r="L33" s="6">
        <v>300</v>
      </c>
      <c r="M33" s="6">
        <v>297</v>
      </c>
      <c r="N33" s="6">
        <v>250</v>
      </c>
      <c r="O33" s="6">
        <v>225</v>
      </c>
      <c r="P33" s="6">
        <v>236</v>
      </c>
      <c r="Q33" s="6">
        <v>258</v>
      </c>
      <c r="R33" s="6">
        <v>302</v>
      </c>
      <c r="S33" s="6">
        <v>296</v>
      </c>
      <c r="T33" s="6">
        <v>272</v>
      </c>
      <c r="U33" s="6">
        <v>165</v>
      </c>
      <c r="V33" s="6">
        <v>310</v>
      </c>
      <c r="W33" s="6">
        <v>198</v>
      </c>
      <c r="X33" s="6">
        <v>274</v>
      </c>
      <c r="Y33" s="6">
        <v>296</v>
      </c>
      <c r="Z33" s="6">
        <v>282</v>
      </c>
      <c r="AA33" s="6">
        <v>216</v>
      </c>
      <c r="AB33" s="6">
        <v>270</v>
      </c>
      <c r="AC33" s="6">
        <v>199</v>
      </c>
      <c r="AD33" s="6">
        <v>188</v>
      </c>
      <c r="AE33" s="6">
        <v>204</v>
      </c>
      <c r="AF33" s="6">
        <v>213</v>
      </c>
      <c r="AG33" s="6">
        <v>259</v>
      </c>
      <c r="AH33" s="6">
        <v>224</v>
      </c>
      <c r="AI33" s="6">
        <v>217</v>
      </c>
      <c r="AJ33" s="6">
        <v>225</v>
      </c>
      <c r="AK33" s="6">
        <v>255</v>
      </c>
      <c r="AL33" s="6">
        <v>286</v>
      </c>
      <c r="AM33" s="6">
        <v>253</v>
      </c>
      <c r="AN33" s="6">
        <v>229</v>
      </c>
      <c r="AO33" s="6">
        <v>207</v>
      </c>
      <c r="AP33" s="5">
        <f>SUM(E33:AO33)</f>
        <v>9089</v>
      </c>
    </row>
    <row r="34" spans="1:42" x14ac:dyDescent="0.4">
      <c r="A34" s="6">
        <v>2</v>
      </c>
      <c r="B34" s="72" t="s">
        <v>39</v>
      </c>
      <c r="C34" s="65"/>
      <c r="D34" s="66"/>
      <c r="E34" s="5">
        <v>221</v>
      </c>
      <c r="F34" s="5">
        <v>140</v>
      </c>
      <c r="G34" s="5">
        <v>195</v>
      </c>
      <c r="H34" s="5">
        <v>128</v>
      </c>
      <c r="I34" s="5">
        <v>163</v>
      </c>
      <c r="J34" s="5">
        <v>199</v>
      </c>
      <c r="K34" s="5">
        <v>232</v>
      </c>
      <c r="L34" s="5">
        <v>238</v>
      </c>
      <c r="M34" s="5">
        <v>229</v>
      </c>
      <c r="N34" s="5">
        <v>185</v>
      </c>
      <c r="O34" s="5">
        <v>164</v>
      </c>
      <c r="P34" s="5">
        <v>171</v>
      </c>
      <c r="Q34" s="5">
        <v>203</v>
      </c>
      <c r="R34" s="5">
        <v>230</v>
      </c>
      <c r="S34" s="5">
        <v>213</v>
      </c>
      <c r="T34" s="5">
        <v>199</v>
      </c>
      <c r="U34" s="5">
        <v>130</v>
      </c>
      <c r="V34" s="5">
        <v>242</v>
      </c>
      <c r="W34" s="5">
        <v>156</v>
      </c>
      <c r="X34" s="5">
        <v>214</v>
      </c>
      <c r="Y34" s="5">
        <v>241</v>
      </c>
      <c r="Z34" s="5">
        <v>196</v>
      </c>
      <c r="AA34" s="5">
        <v>176</v>
      </c>
      <c r="AB34" s="5">
        <v>185</v>
      </c>
      <c r="AC34" s="5">
        <v>162</v>
      </c>
      <c r="AD34" s="5">
        <v>146</v>
      </c>
      <c r="AE34" s="5">
        <v>173</v>
      </c>
      <c r="AF34" s="5">
        <v>178</v>
      </c>
      <c r="AG34" s="5">
        <v>197</v>
      </c>
      <c r="AH34" s="5">
        <v>191</v>
      </c>
      <c r="AI34" s="5">
        <v>167</v>
      </c>
      <c r="AJ34" s="5">
        <v>188</v>
      </c>
      <c r="AK34" s="5">
        <v>189</v>
      </c>
      <c r="AL34" s="5">
        <v>210</v>
      </c>
      <c r="AM34" s="5">
        <v>208</v>
      </c>
      <c r="AN34" s="5">
        <v>181</v>
      </c>
      <c r="AO34" s="5">
        <v>189</v>
      </c>
      <c r="AP34" s="5">
        <f>SUM(E34:AO34)</f>
        <v>7029</v>
      </c>
    </row>
    <row r="35" spans="1:42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/>
      <c r="I35" s="6"/>
      <c r="J35" s="6"/>
      <c r="K35" s="6">
        <v>1</v>
      </c>
      <c r="L35" s="6"/>
      <c r="M35" s="6"/>
      <c r="N35" s="6"/>
      <c r="O35" s="6"/>
      <c r="P35" s="6"/>
      <c r="Q35" s="6">
        <v>1</v>
      </c>
      <c r="R35" s="6">
        <v>1</v>
      </c>
      <c r="S35" s="6"/>
      <c r="T35" s="6"/>
      <c r="U35" s="6"/>
      <c r="V35" s="6">
        <v>1</v>
      </c>
      <c r="W35" s="6"/>
      <c r="X35" s="6">
        <v>2</v>
      </c>
      <c r="Y35" s="6"/>
      <c r="Z35" s="6"/>
      <c r="AA35" s="6"/>
      <c r="AB35" s="6"/>
      <c r="AC35" s="6"/>
      <c r="AD35" s="6"/>
      <c r="AE35" s="6"/>
      <c r="AF35" s="6">
        <v>2</v>
      </c>
      <c r="AG35" s="6"/>
      <c r="AH35" s="6"/>
      <c r="AI35" s="6"/>
      <c r="AJ35" s="6">
        <v>1</v>
      </c>
      <c r="AK35" s="6"/>
      <c r="AL35" s="6"/>
      <c r="AM35" s="6"/>
      <c r="AN35" s="6">
        <v>1</v>
      </c>
      <c r="AO35" s="6">
        <v>2</v>
      </c>
      <c r="AP35" s="5">
        <f>SUM(E35:AO35)</f>
        <v>12</v>
      </c>
    </row>
    <row r="36" spans="1:42" x14ac:dyDescent="0.4">
      <c r="A36" s="6">
        <v>4</v>
      </c>
      <c r="B36" s="72" t="s">
        <v>41</v>
      </c>
      <c r="C36" s="65"/>
      <c r="D36" s="66"/>
      <c r="E36" s="5">
        <f t="shared" ref="E36:AO36" si="7">E33-(E34+E35)</f>
        <v>79</v>
      </c>
      <c r="F36" s="5">
        <f t="shared" si="7"/>
        <v>39</v>
      </c>
      <c r="G36" s="5">
        <f t="shared" si="7"/>
        <v>58</v>
      </c>
      <c r="H36" s="5">
        <f t="shared" si="7"/>
        <v>58</v>
      </c>
      <c r="I36" s="5">
        <f t="shared" si="7"/>
        <v>52</v>
      </c>
      <c r="J36" s="5">
        <f t="shared" si="7"/>
        <v>52</v>
      </c>
      <c r="K36" s="5">
        <f t="shared" si="7"/>
        <v>66</v>
      </c>
      <c r="L36" s="5">
        <f t="shared" si="7"/>
        <v>62</v>
      </c>
      <c r="M36" s="5">
        <f t="shared" si="7"/>
        <v>68</v>
      </c>
      <c r="N36" s="5">
        <f t="shared" si="7"/>
        <v>65</v>
      </c>
      <c r="O36" s="5">
        <f t="shared" si="7"/>
        <v>61</v>
      </c>
      <c r="P36" s="5">
        <f t="shared" si="7"/>
        <v>65</v>
      </c>
      <c r="Q36" s="5">
        <f t="shared" si="7"/>
        <v>54</v>
      </c>
      <c r="R36" s="5">
        <f t="shared" si="7"/>
        <v>71</v>
      </c>
      <c r="S36" s="5">
        <f t="shared" si="7"/>
        <v>83</v>
      </c>
      <c r="T36" s="5">
        <f t="shared" si="7"/>
        <v>73</v>
      </c>
      <c r="U36" s="5">
        <f t="shared" si="7"/>
        <v>35</v>
      </c>
      <c r="V36" s="5">
        <f t="shared" si="7"/>
        <v>67</v>
      </c>
      <c r="W36" s="5">
        <f t="shared" si="7"/>
        <v>42</v>
      </c>
      <c r="X36" s="5">
        <f t="shared" si="7"/>
        <v>58</v>
      </c>
      <c r="Y36" s="5">
        <f t="shared" si="7"/>
        <v>55</v>
      </c>
      <c r="Z36" s="5">
        <f t="shared" si="7"/>
        <v>86</v>
      </c>
      <c r="AA36" s="5">
        <f t="shared" si="7"/>
        <v>40</v>
      </c>
      <c r="AB36" s="5">
        <f t="shared" si="7"/>
        <v>85</v>
      </c>
      <c r="AC36" s="5">
        <f t="shared" si="7"/>
        <v>37</v>
      </c>
      <c r="AD36" s="5">
        <f t="shared" si="7"/>
        <v>42</v>
      </c>
      <c r="AE36" s="5">
        <f t="shared" si="7"/>
        <v>31</v>
      </c>
      <c r="AF36" s="5">
        <f t="shared" si="7"/>
        <v>33</v>
      </c>
      <c r="AG36" s="5">
        <f t="shared" si="7"/>
        <v>62</v>
      </c>
      <c r="AH36" s="5">
        <f t="shared" si="7"/>
        <v>33</v>
      </c>
      <c r="AI36" s="5">
        <f t="shared" si="7"/>
        <v>50</v>
      </c>
      <c r="AJ36" s="5">
        <f t="shared" si="7"/>
        <v>36</v>
      </c>
      <c r="AK36" s="5">
        <f t="shared" si="7"/>
        <v>66</v>
      </c>
      <c r="AL36" s="5">
        <f t="shared" si="7"/>
        <v>76</v>
      </c>
      <c r="AM36" s="5">
        <f t="shared" si="7"/>
        <v>45</v>
      </c>
      <c r="AN36" s="5">
        <f t="shared" si="7"/>
        <v>47</v>
      </c>
      <c r="AO36" s="5">
        <f t="shared" si="7"/>
        <v>16</v>
      </c>
      <c r="AP36" s="5">
        <f>SUM(E36:AO36)</f>
        <v>2048</v>
      </c>
    </row>
    <row r="37" spans="1:42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28"/>
    </row>
    <row r="38" spans="1:42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8"/>
    </row>
    <row r="39" spans="1:42" x14ac:dyDescent="0.4">
      <c r="A39" s="11"/>
      <c r="B39" s="87" t="s">
        <v>44</v>
      </c>
      <c r="C39" s="74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>
        <v>1</v>
      </c>
      <c r="M39" s="6"/>
      <c r="N39" s="6"/>
      <c r="O39" s="6">
        <v>2</v>
      </c>
      <c r="P39" s="6"/>
      <c r="Q39" s="6"/>
      <c r="R39" s="6"/>
      <c r="S39" s="6"/>
      <c r="T39" s="6"/>
      <c r="U39" s="6"/>
      <c r="V39" s="6"/>
      <c r="W39" s="6">
        <v>2</v>
      </c>
      <c r="X39" s="6"/>
      <c r="Y39" s="6"/>
      <c r="Z39" s="6"/>
      <c r="AA39" s="6"/>
      <c r="AB39" s="6"/>
      <c r="AC39" s="6"/>
      <c r="AD39" s="6"/>
      <c r="AE39" s="6"/>
      <c r="AF39" s="6">
        <v>1</v>
      </c>
      <c r="AG39" s="6"/>
      <c r="AH39" s="6"/>
      <c r="AI39" s="6"/>
      <c r="AJ39" s="6"/>
      <c r="AK39" s="6"/>
      <c r="AL39" s="6"/>
      <c r="AM39" s="6"/>
      <c r="AN39" s="6"/>
      <c r="AO39" s="6"/>
      <c r="AP39" s="5">
        <f>SUM(E39:AO39)</f>
        <v>7</v>
      </c>
    </row>
    <row r="40" spans="1:42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>
        <v>5</v>
      </c>
      <c r="K40" s="6">
        <v>2</v>
      </c>
      <c r="L40" s="6">
        <v>2</v>
      </c>
      <c r="M40" s="6"/>
      <c r="N40" s="6"/>
      <c r="O40" s="6">
        <v>2</v>
      </c>
      <c r="P40" s="6"/>
      <c r="Q40" s="6"/>
      <c r="R40" s="6"/>
      <c r="S40" s="6"/>
      <c r="T40" s="6">
        <v>1</v>
      </c>
      <c r="U40" s="6"/>
      <c r="V40" s="6"/>
      <c r="W40" s="6">
        <v>1</v>
      </c>
      <c r="X40" s="6"/>
      <c r="Y40" s="6"/>
      <c r="Z40" s="6"/>
      <c r="AA40" s="6"/>
      <c r="AB40" s="6"/>
      <c r="AC40" s="6"/>
      <c r="AD40" s="6"/>
      <c r="AE40" s="6"/>
      <c r="AF40" s="6">
        <v>1</v>
      </c>
      <c r="AG40" s="6"/>
      <c r="AH40" s="6"/>
      <c r="AI40" s="6"/>
      <c r="AJ40" s="6"/>
      <c r="AK40" s="6"/>
      <c r="AL40" s="6"/>
      <c r="AM40" s="6"/>
      <c r="AN40" s="6"/>
      <c r="AO40" s="6"/>
      <c r="AP40" s="5">
        <f>SUM(E40:AO40)</f>
        <v>14</v>
      </c>
    </row>
    <row r="41" spans="1:42" x14ac:dyDescent="0.4">
      <c r="A41" s="14"/>
      <c r="B41" s="89"/>
      <c r="C41" s="78"/>
      <c r="D41" s="5" t="s">
        <v>25</v>
      </c>
      <c r="E41" s="5">
        <f t="shared" ref="E41:AO41" si="8">SUM(E39:E40)</f>
        <v>0</v>
      </c>
      <c r="F41" s="5">
        <f t="shared" si="8"/>
        <v>0</v>
      </c>
      <c r="G41" s="5">
        <f t="shared" si="8"/>
        <v>0</v>
      </c>
      <c r="H41" s="5">
        <f t="shared" si="8"/>
        <v>0</v>
      </c>
      <c r="I41" s="5">
        <f t="shared" si="8"/>
        <v>0</v>
      </c>
      <c r="J41" s="5">
        <f t="shared" si="8"/>
        <v>6</v>
      </c>
      <c r="K41" s="5">
        <f t="shared" si="8"/>
        <v>2</v>
      </c>
      <c r="L41" s="5">
        <f t="shared" si="8"/>
        <v>3</v>
      </c>
      <c r="M41" s="5">
        <f t="shared" si="8"/>
        <v>0</v>
      </c>
      <c r="N41" s="5">
        <f t="shared" si="8"/>
        <v>0</v>
      </c>
      <c r="O41" s="5">
        <f t="shared" si="8"/>
        <v>4</v>
      </c>
      <c r="P41" s="5">
        <f t="shared" si="8"/>
        <v>0</v>
      </c>
      <c r="Q41" s="5">
        <f t="shared" si="8"/>
        <v>0</v>
      </c>
      <c r="R41" s="5">
        <f t="shared" si="8"/>
        <v>0</v>
      </c>
      <c r="S41" s="5">
        <f t="shared" si="8"/>
        <v>0</v>
      </c>
      <c r="T41" s="5">
        <f t="shared" si="8"/>
        <v>1</v>
      </c>
      <c r="U41" s="5">
        <f t="shared" si="8"/>
        <v>0</v>
      </c>
      <c r="V41" s="5">
        <f t="shared" si="8"/>
        <v>0</v>
      </c>
      <c r="W41" s="5">
        <f t="shared" si="8"/>
        <v>3</v>
      </c>
      <c r="X41" s="5">
        <f t="shared" si="8"/>
        <v>0</v>
      </c>
      <c r="Y41" s="5">
        <f t="shared" si="8"/>
        <v>0</v>
      </c>
      <c r="Z41" s="5">
        <f t="shared" si="8"/>
        <v>0</v>
      </c>
      <c r="AA41" s="5">
        <f t="shared" si="8"/>
        <v>0</v>
      </c>
      <c r="AB41" s="5">
        <f t="shared" si="8"/>
        <v>0</v>
      </c>
      <c r="AC41" s="5">
        <f t="shared" si="8"/>
        <v>0</v>
      </c>
      <c r="AD41" s="5">
        <f t="shared" si="8"/>
        <v>0</v>
      </c>
      <c r="AE41" s="5">
        <f t="shared" si="8"/>
        <v>0</v>
      </c>
      <c r="AF41" s="5">
        <f t="shared" si="8"/>
        <v>2</v>
      </c>
      <c r="AG41" s="5">
        <f t="shared" si="8"/>
        <v>0</v>
      </c>
      <c r="AH41" s="5">
        <f t="shared" si="8"/>
        <v>0</v>
      </c>
      <c r="AI41" s="5">
        <f t="shared" si="8"/>
        <v>0</v>
      </c>
      <c r="AJ41" s="5">
        <f t="shared" si="8"/>
        <v>0</v>
      </c>
      <c r="AK41" s="5">
        <f t="shared" si="8"/>
        <v>0</v>
      </c>
      <c r="AL41" s="5">
        <f t="shared" si="8"/>
        <v>0</v>
      </c>
      <c r="AM41" s="5">
        <f t="shared" si="8"/>
        <v>0</v>
      </c>
      <c r="AN41" s="5">
        <f t="shared" si="8"/>
        <v>0</v>
      </c>
      <c r="AO41" s="5">
        <f t="shared" si="8"/>
        <v>0</v>
      </c>
      <c r="AP41" s="5">
        <f>SUM(E41:AO41)</f>
        <v>21</v>
      </c>
    </row>
    <row r="42" spans="1:42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5"/>
    </row>
    <row r="43" spans="1:42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5"/>
    </row>
    <row r="45" spans="1:42" x14ac:dyDescent="0.4">
      <c r="A45" s="11" t="s">
        <v>48</v>
      </c>
      <c r="B45" s="17" t="s">
        <v>28</v>
      </c>
      <c r="C45" s="92" t="s">
        <v>49</v>
      </c>
      <c r="D45" s="66"/>
      <c r="E45" s="6">
        <v>11</v>
      </c>
      <c r="F45" s="6">
        <v>8</v>
      </c>
      <c r="G45" s="6">
        <v>9</v>
      </c>
      <c r="H45" s="6">
        <v>5</v>
      </c>
      <c r="I45" s="6">
        <v>7</v>
      </c>
      <c r="J45" s="6">
        <v>7</v>
      </c>
      <c r="K45" s="6">
        <v>3</v>
      </c>
      <c r="L45" s="6">
        <v>3</v>
      </c>
      <c r="M45" s="6">
        <v>2</v>
      </c>
      <c r="N45" s="6">
        <v>2</v>
      </c>
      <c r="O45" s="6">
        <v>4</v>
      </c>
      <c r="P45" s="6">
        <v>2</v>
      </c>
      <c r="Q45" s="6">
        <v>3</v>
      </c>
      <c r="R45" s="6">
        <v>5</v>
      </c>
      <c r="S45" s="6">
        <v>3</v>
      </c>
      <c r="T45" s="6">
        <v>7</v>
      </c>
      <c r="U45" s="6">
        <v>3</v>
      </c>
      <c r="V45" s="6">
        <v>0</v>
      </c>
      <c r="W45" s="6">
        <v>3</v>
      </c>
      <c r="X45" s="6">
        <v>3</v>
      </c>
      <c r="Y45" s="6">
        <v>2</v>
      </c>
      <c r="Z45" s="6">
        <v>1</v>
      </c>
      <c r="AA45" s="6">
        <v>8</v>
      </c>
      <c r="AB45" s="6">
        <v>4</v>
      </c>
      <c r="AC45" s="6">
        <v>4</v>
      </c>
      <c r="AD45" s="6">
        <v>3</v>
      </c>
      <c r="AE45" s="6">
        <v>5</v>
      </c>
      <c r="AF45" s="6">
        <v>1</v>
      </c>
      <c r="AG45" s="6">
        <v>5</v>
      </c>
      <c r="AH45" s="6">
        <v>2</v>
      </c>
      <c r="AI45" s="6">
        <v>3</v>
      </c>
      <c r="AJ45" s="6">
        <v>2</v>
      </c>
      <c r="AK45" s="6">
        <v>2</v>
      </c>
      <c r="AL45" s="6">
        <v>48</v>
      </c>
      <c r="AM45" s="6">
        <v>33</v>
      </c>
      <c r="AN45" s="6">
        <v>3</v>
      </c>
      <c r="AO45" s="6">
        <v>2</v>
      </c>
      <c r="AP45" s="5">
        <f t="shared" ref="AP45:AP54" si="9">SUM(E45:AO45)</f>
        <v>218</v>
      </c>
    </row>
    <row r="46" spans="1:42" x14ac:dyDescent="0.4">
      <c r="A46" s="11" t="s">
        <v>50</v>
      </c>
      <c r="B46" s="50"/>
      <c r="C46" s="24" t="s">
        <v>147</v>
      </c>
      <c r="D46" s="51"/>
      <c r="E46" s="6">
        <v>1</v>
      </c>
      <c r="F46" s="6">
        <v>2</v>
      </c>
      <c r="G46" s="6">
        <v>3</v>
      </c>
      <c r="H46" s="6"/>
      <c r="I46" s="6">
        <v>1</v>
      </c>
      <c r="J46" s="6">
        <v>1</v>
      </c>
      <c r="K46" s="6">
        <v>4</v>
      </c>
      <c r="L46" s="6"/>
      <c r="M46" s="6">
        <v>4</v>
      </c>
      <c r="N46" s="6">
        <v>2</v>
      </c>
      <c r="O46" s="6">
        <v>3</v>
      </c>
      <c r="P46" s="6">
        <v>1</v>
      </c>
      <c r="Q46" s="6">
        <v>2</v>
      </c>
      <c r="R46" s="6">
        <v>5</v>
      </c>
      <c r="S46" s="6"/>
      <c r="T46" s="6">
        <v>2</v>
      </c>
      <c r="U46" s="6"/>
      <c r="V46" s="6">
        <v>3</v>
      </c>
      <c r="W46" s="6"/>
      <c r="X46" s="6"/>
      <c r="Y46" s="6">
        <v>3</v>
      </c>
      <c r="Z46" s="6"/>
      <c r="AA46" s="6">
        <v>3</v>
      </c>
      <c r="AB46" s="6">
        <v>1</v>
      </c>
      <c r="AC46" s="6">
        <v>2</v>
      </c>
      <c r="AD46" s="6">
        <v>2</v>
      </c>
      <c r="AE46" s="6">
        <v>1</v>
      </c>
      <c r="AF46" s="6"/>
      <c r="AG46" s="6">
        <v>3</v>
      </c>
      <c r="AH46" s="6">
        <v>4</v>
      </c>
      <c r="AI46" s="6">
        <v>2</v>
      </c>
      <c r="AJ46" s="6">
        <v>2</v>
      </c>
      <c r="AK46" s="6">
        <v>15</v>
      </c>
      <c r="AL46" s="6">
        <v>63</v>
      </c>
      <c r="AM46" s="6">
        <v>60</v>
      </c>
      <c r="AN46" s="6">
        <v>1</v>
      </c>
      <c r="AO46" s="6">
        <v>1</v>
      </c>
      <c r="AP46" s="5">
        <f t="shared" si="9"/>
        <v>197</v>
      </c>
    </row>
    <row r="47" spans="1:42" x14ac:dyDescent="0.4">
      <c r="A47" s="7"/>
      <c r="B47" s="50"/>
      <c r="C47" s="24" t="s">
        <v>148</v>
      </c>
      <c r="D47" s="51"/>
      <c r="E47" s="6">
        <v>5</v>
      </c>
      <c r="F47" s="6">
        <v>3</v>
      </c>
      <c r="G47" s="6">
        <v>4</v>
      </c>
      <c r="H47" s="6">
        <v>5</v>
      </c>
      <c r="I47" s="6">
        <v>5</v>
      </c>
      <c r="J47" s="6">
        <v>10</v>
      </c>
      <c r="K47" s="6">
        <v>20</v>
      </c>
      <c r="L47" s="6">
        <v>36</v>
      </c>
      <c r="M47" s="6"/>
      <c r="N47" s="6">
        <v>7</v>
      </c>
      <c r="O47" s="6">
        <v>8</v>
      </c>
      <c r="P47" s="6">
        <v>13</v>
      </c>
      <c r="Q47" s="6">
        <v>3</v>
      </c>
      <c r="R47" s="6">
        <v>6</v>
      </c>
      <c r="S47" s="6">
        <v>3</v>
      </c>
      <c r="T47" s="6">
        <v>3</v>
      </c>
      <c r="U47" s="6"/>
      <c r="V47" s="6">
        <v>2</v>
      </c>
      <c r="W47" s="6">
        <v>2</v>
      </c>
      <c r="X47" s="6">
        <v>1</v>
      </c>
      <c r="Y47" s="6"/>
      <c r="Z47" s="6">
        <v>1</v>
      </c>
      <c r="AA47" s="6">
        <v>9</v>
      </c>
      <c r="AB47" s="6">
        <v>6</v>
      </c>
      <c r="AC47" s="6">
        <v>3</v>
      </c>
      <c r="AD47" s="6">
        <v>8</v>
      </c>
      <c r="AE47" s="6">
        <v>9</v>
      </c>
      <c r="AF47" s="6">
        <v>2</v>
      </c>
      <c r="AG47" s="6">
        <v>17</v>
      </c>
      <c r="AH47" s="6">
        <v>25</v>
      </c>
      <c r="AI47" s="6">
        <v>3</v>
      </c>
      <c r="AJ47" s="6">
        <v>10</v>
      </c>
      <c r="AK47" s="6">
        <v>22</v>
      </c>
      <c r="AL47" s="6">
        <v>13</v>
      </c>
      <c r="AM47" s="6">
        <v>10</v>
      </c>
      <c r="AN47" s="6">
        <v>4</v>
      </c>
      <c r="AO47" s="6"/>
      <c r="AP47" s="5">
        <f t="shared" si="9"/>
        <v>278</v>
      </c>
    </row>
    <row r="48" spans="1:42" x14ac:dyDescent="0.4">
      <c r="A48" s="7"/>
      <c r="B48" s="50"/>
      <c r="C48" s="24" t="s">
        <v>149</v>
      </c>
      <c r="D48" s="51"/>
      <c r="E48" s="6">
        <v>23</v>
      </c>
      <c r="F48" s="6">
        <v>52</v>
      </c>
      <c r="G48" s="6">
        <v>32</v>
      </c>
      <c r="H48" s="6">
        <v>24</v>
      </c>
      <c r="I48" s="6">
        <v>42</v>
      </c>
      <c r="J48" s="6">
        <v>33</v>
      </c>
      <c r="K48" s="6">
        <v>23</v>
      </c>
      <c r="L48" s="6">
        <v>25</v>
      </c>
      <c r="M48" s="6">
        <v>5</v>
      </c>
      <c r="N48" s="6">
        <v>21</v>
      </c>
      <c r="O48" s="6">
        <v>3</v>
      </c>
      <c r="P48" s="6">
        <v>7</v>
      </c>
      <c r="Q48" s="6">
        <v>2</v>
      </c>
      <c r="R48" s="6">
        <v>1</v>
      </c>
      <c r="S48" s="6">
        <v>10</v>
      </c>
      <c r="T48" s="6">
        <v>3</v>
      </c>
      <c r="U48" s="6">
        <v>32</v>
      </c>
      <c r="V48" s="6">
        <v>26</v>
      </c>
      <c r="W48" s="6">
        <v>25</v>
      </c>
      <c r="X48" s="6">
        <v>22</v>
      </c>
      <c r="Y48" s="6">
        <v>9</v>
      </c>
      <c r="Z48" s="6"/>
      <c r="AA48" s="6">
        <v>8</v>
      </c>
      <c r="AB48" s="6">
        <v>12</v>
      </c>
      <c r="AC48" s="6">
        <v>8</v>
      </c>
      <c r="AD48" s="6">
        <v>2</v>
      </c>
      <c r="AE48" s="6">
        <v>21</v>
      </c>
      <c r="AF48" s="6">
        <v>24</v>
      </c>
      <c r="AG48" s="6">
        <v>16</v>
      </c>
      <c r="AH48" s="6">
        <v>31</v>
      </c>
      <c r="AI48" s="6">
        <v>12</v>
      </c>
      <c r="AJ48" s="6"/>
      <c r="AK48" s="6">
        <v>1</v>
      </c>
      <c r="AL48" s="6">
        <v>5</v>
      </c>
      <c r="AM48" s="6">
        <v>2</v>
      </c>
      <c r="AN48" s="6"/>
      <c r="AO48" s="6">
        <v>2</v>
      </c>
      <c r="AP48" s="5">
        <f t="shared" si="9"/>
        <v>564</v>
      </c>
    </row>
    <row r="49" spans="1:42" x14ac:dyDescent="0.4">
      <c r="A49" s="7"/>
      <c r="B49" s="50"/>
      <c r="C49" s="24" t="s">
        <v>150</v>
      </c>
      <c r="D49" s="51"/>
      <c r="E49" s="6"/>
      <c r="F49" s="6"/>
      <c r="G49" s="6">
        <v>1</v>
      </c>
      <c r="H49" s="6">
        <v>2</v>
      </c>
      <c r="I49" s="6">
        <v>1</v>
      </c>
      <c r="J49" s="6">
        <v>1</v>
      </c>
      <c r="K49" s="6">
        <v>2</v>
      </c>
      <c r="L49" s="6">
        <v>1</v>
      </c>
      <c r="M49" s="6"/>
      <c r="N49" s="6">
        <v>2</v>
      </c>
      <c r="O49" s="6"/>
      <c r="P49" s="6"/>
      <c r="Q49" s="6">
        <v>1</v>
      </c>
      <c r="R49" s="6"/>
      <c r="S49" s="6"/>
      <c r="T49" s="6"/>
      <c r="U49" s="6"/>
      <c r="V49" s="6">
        <v>1</v>
      </c>
      <c r="W49" s="6"/>
      <c r="X49" s="6"/>
      <c r="Y49" s="6"/>
      <c r="Z49" s="6"/>
      <c r="AA49" s="6">
        <v>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>
        <v>1</v>
      </c>
      <c r="AM49" s="6">
        <v>1</v>
      </c>
      <c r="AN49" s="6"/>
      <c r="AO49" s="6"/>
      <c r="AP49" s="5">
        <f t="shared" si="9"/>
        <v>15</v>
      </c>
    </row>
    <row r="50" spans="1:42" x14ac:dyDescent="0.4">
      <c r="A50" s="7"/>
      <c r="B50" s="50"/>
      <c r="C50" s="24" t="s">
        <v>151</v>
      </c>
      <c r="D50" s="51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2</v>
      </c>
      <c r="P50" s="6"/>
      <c r="Q50" s="6"/>
      <c r="R50" s="6"/>
      <c r="S50" s="6"/>
      <c r="T50" s="6">
        <v>2</v>
      </c>
      <c r="U50" s="6"/>
      <c r="V50" s="6"/>
      <c r="W50" s="6"/>
      <c r="X50" s="6"/>
      <c r="Y50" s="6"/>
      <c r="Z50" s="6"/>
      <c r="AA50" s="6">
        <v>1</v>
      </c>
      <c r="AB50" s="6">
        <v>1</v>
      </c>
      <c r="AC50" s="6">
        <v>1</v>
      </c>
      <c r="AD50" s="6"/>
      <c r="AE50" s="6"/>
      <c r="AF50" s="6">
        <v>2</v>
      </c>
      <c r="AG50" s="6"/>
      <c r="AH50" s="6"/>
      <c r="AI50" s="6"/>
      <c r="AJ50" s="6"/>
      <c r="AK50" s="6"/>
      <c r="AL50" s="6">
        <v>1</v>
      </c>
      <c r="AM50" s="6"/>
      <c r="AN50" s="6"/>
      <c r="AO50" s="6"/>
      <c r="AP50" s="5">
        <f t="shared" si="9"/>
        <v>10</v>
      </c>
    </row>
    <row r="51" spans="1:42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</v>
      </c>
      <c r="X51" s="6"/>
      <c r="Y51" s="6"/>
      <c r="Z51" s="6"/>
      <c r="AA51" s="6">
        <v>1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5">
        <f t="shared" si="9"/>
        <v>2</v>
      </c>
    </row>
    <row r="52" spans="1:42" ht="13.15" customHeight="1" x14ac:dyDescent="0.4">
      <c r="A52" s="7"/>
      <c r="B52" s="50"/>
      <c r="C52" s="24" t="s">
        <v>153</v>
      </c>
      <c r="D52" s="51"/>
      <c r="E52" s="6"/>
      <c r="F52" s="6"/>
      <c r="G52" s="6"/>
      <c r="H52" s="6"/>
      <c r="I52" s="6"/>
      <c r="J52" s="6">
        <v>1</v>
      </c>
      <c r="K52" s="6"/>
      <c r="L52" s="6">
        <v>2</v>
      </c>
      <c r="M52" s="6"/>
      <c r="N52" s="6"/>
      <c r="O52" s="6"/>
      <c r="P52" s="6"/>
      <c r="Q52" s="6"/>
      <c r="R52" s="6"/>
      <c r="S52" s="6">
        <v>1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>
        <v>1</v>
      </c>
      <c r="AN52" s="6"/>
      <c r="AO52" s="6">
        <v>1</v>
      </c>
      <c r="AP52" s="5">
        <f t="shared" si="9"/>
        <v>6</v>
      </c>
    </row>
    <row r="53" spans="1:42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5">
        <f t="shared" si="9"/>
        <v>0</v>
      </c>
    </row>
    <row r="54" spans="1:42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5">
        <f t="shared" si="9"/>
        <v>0</v>
      </c>
    </row>
    <row r="55" spans="1:42" x14ac:dyDescent="0.4">
      <c r="A55" s="6" t="s">
        <v>26</v>
      </c>
      <c r="B55" s="85" t="s">
        <v>51</v>
      </c>
      <c r="C55" s="65"/>
      <c r="D55" s="66"/>
      <c r="E55" s="5">
        <f>SUM(E45:E54)</f>
        <v>40</v>
      </c>
      <c r="F55" s="5">
        <f t="shared" ref="F55:AP55" si="10">SUM(F45:F54)</f>
        <v>65</v>
      </c>
      <c r="G55" s="5">
        <f t="shared" si="10"/>
        <v>49</v>
      </c>
      <c r="H55" s="5">
        <f t="shared" si="10"/>
        <v>36</v>
      </c>
      <c r="I55" s="5">
        <f t="shared" si="10"/>
        <v>56</v>
      </c>
      <c r="J55" s="5">
        <f t="shared" si="10"/>
        <v>53</v>
      </c>
      <c r="K55" s="5">
        <f t="shared" si="10"/>
        <v>52</v>
      </c>
      <c r="L55" s="5">
        <f t="shared" si="10"/>
        <v>67</v>
      </c>
      <c r="M55" s="5">
        <f t="shared" si="10"/>
        <v>11</v>
      </c>
      <c r="N55" s="5">
        <f t="shared" si="10"/>
        <v>34</v>
      </c>
      <c r="O55" s="5">
        <f t="shared" si="10"/>
        <v>20</v>
      </c>
      <c r="P55" s="5">
        <f t="shared" si="10"/>
        <v>23</v>
      </c>
      <c r="Q55" s="5">
        <f t="shared" si="10"/>
        <v>11</v>
      </c>
      <c r="R55" s="5">
        <f t="shared" si="10"/>
        <v>17</v>
      </c>
      <c r="S55" s="5">
        <f t="shared" si="10"/>
        <v>17</v>
      </c>
      <c r="T55" s="5">
        <f t="shared" si="10"/>
        <v>17</v>
      </c>
      <c r="U55" s="5">
        <f t="shared" si="10"/>
        <v>35</v>
      </c>
      <c r="V55" s="5">
        <f t="shared" si="10"/>
        <v>32</v>
      </c>
      <c r="W55" s="5">
        <f t="shared" si="10"/>
        <v>31</v>
      </c>
      <c r="X55" s="5">
        <f t="shared" si="10"/>
        <v>26</v>
      </c>
      <c r="Y55" s="5">
        <f t="shared" si="10"/>
        <v>14</v>
      </c>
      <c r="Z55" s="5">
        <f t="shared" si="10"/>
        <v>2</v>
      </c>
      <c r="AA55" s="5">
        <f t="shared" si="10"/>
        <v>31</v>
      </c>
      <c r="AB55" s="5">
        <f t="shared" si="10"/>
        <v>24</v>
      </c>
      <c r="AC55" s="5">
        <f t="shared" si="10"/>
        <v>18</v>
      </c>
      <c r="AD55" s="5">
        <f t="shared" si="10"/>
        <v>15</v>
      </c>
      <c r="AE55" s="5">
        <f t="shared" si="10"/>
        <v>36</v>
      </c>
      <c r="AF55" s="5">
        <f t="shared" si="10"/>
        <v>29</v>
      </c>
      <c r="AG55" s="5">
        <f t="shared" si="10"/>
        <v>41</v>
      </c>
      <c r="AH55" s="5">
        <f t="shared" si="10"/>
        <v>62</v>
      </c>
      <c r="AI55" s="5">
        <f t="shared" si="10"/>
        <v>20</v>
      </c>
      <c r="AJ55" s="5">
        <f t="shared" si="10"/>
        <v>14</v>
      </c>
      <c r="AK55" s="5">
        <f t="shared" si="10"/>
        <v>40</v>
      </c>
      <c r="AL55" s="5">
        <f t="shared" si="10"/>
        <v>131</v>
      </c>
      <c r="AM55" s="5">
        <f t="shared" si="10"/>
        <v>107</v>
      </c>
      <c r="AN55" s="5">
        <f t="shared" si="10"/>
        <v>8</v>
      </c>
      <c r="AO55" s="5">
        <f t="shared" si="10"/>
        <v>6</v>
      </c>
      <c r="AP55" s="5">
        <f t="shared" si="10"/>
        <v>1290</v>
      </c>
    </row>
    <row r="56" spans="1:42" x14ac:dyDescent="0.4">
      <c r="A56" s="90"/>
      <c r="B56" s="89"/>
      <c r="C56" s="89"/>
      <c r="D56" s="89"/>
      <c r="E56" s="89"/>
      <c r="AP56" s="5"/>
    </row>
    <row r="57" spans="1:42" x14ac:dyDescent="0.4">
      <c r="A57" s="11" t="s">
        <v>48</v>
      </c>
      <c r="B57" s="17" t="s">
        <v>30</v>
      </c>
      <c r="C57" s="92" t="s">
        <v>52</v>
      </c>
      <c r="D57" s="66"/>
      <c r="E57" s="6">
        <v>5</v>
      </c>
      <c r="F57" s="6">
        <v>6</v>
      </c>
      <c r="G57" s="6">
        <v>9</v>
      </c>
      <c r="H57" s="6">
        <v>1</v>
      </c>
      <c r="I57" s="6">
        <v>2</v>
      </c>
      <c r="J57" s="6">
        <v>0</v>
      </c>
      <c r="K57" s="6">
        <v>3</v>
      </c>
      <c r="L57" s="6">
        <v>2</v>
      </c>
      <c r="M57" s="6">
        <v>1</v>
      </c>
      <c r="N57" s="6">
        <v>2</v>
      </c>
      <c r="O57" s="6">
        <v>1</v>
      </c>
      <c r="P57" s="6">
        <v>1</v>
      </c>
      <c r="Q57" s="6">
        <v>4</v>
      </c>
      <c r="R57" s="6">
        <v>14</v>
      </c>
      <c r="S57" s="6">
        <v>5</v>
      </c>
      <c r="T57" s="6">
        <v>7</v>
      </c>
      <c r="U57" s="6">
        <v>1</v>
      </c>
      <c r="V57" s="6">
        <v>7</v>
      </c>
      <c r="W57" s="6">
        <v>6</v>
      </c>
      <c r="X57" s="6">
        <v>1</v>
      </c>
      <c r="Y57" s="6">
        <v>3</v>
      </c>
      <c r="Z57" s="6">
        <v>3</v>
      </c>
      <c r="AA57" s="6">
        <v>4</v>
      </c>
      <c r="AB57" s="6">
        <v>6</v>
      </c>
      <c r="AC57" s="6">
        <v>4</v>
      </c>
      <c r="AD57" s="6">
        <v>3</v>
      </c>
      <c r="AE57" s="6"/>
      <c r="AF57" s="6">
        <v>13</v>
      </c>
      <c r="AG57" s="6">
        <v>11</v>
      </c>
      <c r="AH57" s="6">
        <v>4</v>
      </c>
      <c r="AI57" s="6">
        <v>7</v>
      </c>
      <c r="AJ57" s="6"/>
      <c r="AK57" s="6">
        <v>6</v>
      </c>
      <c r="AL57" s="6">
        <v>1</v>
      </c>
      <c r="AM57" s="6">
        <v>5</v>
      </c>
      <c r="AN57" s="6">
        <v>1</v>
      </c>
      <c r="AO57" s="6"/>
      <c r="AP57" s="5">
        <f t="shared" ref="AP57:AP66" si="11">SUM(E57:AO57)</f>
        <v>149</v>
      </c>
    </row>
    <row r="58" spans="1:42" x14ac:dyDescent="0.4">
      <c r="A58" s="11" t="s">
        <v>50</v>
      </c>
      <c r="B58" s="50"/>
      <c r="C58" s="24" t="s">
        <v>154</v>
      </c>
      <c r="D58" s="51"/>
      <c r="E58" s="6">
        <v>3</v>
      </c>
      <c r="F58" s="6">
        <v>1</v>
      </c>
      <c r="G58" s="6">
        <v>2</v>
      </c>
      <c r="H58" s="6">
        <v>1</v>
      </c>
      <c r="I58" s="6">
        <v>1</v>
      </c>
      <c r="J58" s="6">
        <v>1</v>
      </c>
      <c r="K58" s="6">
        <v>2</v>
      </c>
      <c r="L58" s="6">
        <v>1</v>
      </c>
      <c r="M58" s="6">
        <v>7</v>
      </c>
      <c r="N58" s="6">
        <v>5</v>
      </c>
      <c r="O58" s="6"/>
      <c r="P58" s="6">
        <v>4</v>
      </c>
      <c r="Q58" s="6">
        <v>4</v>
      </c>
      <c r="R58" s="6">
        <v>6</v>
      </c>
      <c r="S58" s="6">
        <v>3</v>
      </c>
      <c r="T58" s="6">
        <v>3</v>
      </c>
      <c r="U58" s="6">
        <v>2</v>
      </c>
      <c r="V58" s="6">
        <v>1</v>
      </c>
      <c r="W58" s="6">
        <v>1</v>
      </c>
      <c r="X58" s="6">
        <v>2</v>
      </c>
      <c r="Y58" s="6">
        <v>1</v>
      </c>
      <c r="Z58" s="6">
        <v>1</v>
      </c>
      <c r="AA58" s="6">
        <v>3</v>
      </c>
      <c r="AB58" s="6">
        <v>1</v>
      </c>
      <c r="AC58" s="6">
        <v>0</v>
      </c>
      <c r="AD58" s="6"/>
      <c r="AE58" s="6"/>
      <c r="AF58" s="6">
        <v>7</v>
      </c>
      <c r="AG58" s="6">
        <v>3</v>
      </c>
      <c r="AH58" s="6">
        <v>3</v>
      </c>
      <c r="AI58" s="6">
        <v>4</v>
      </c>
      <c r="AJ58" s="6">
        <v>2</v>
      </c>
      <c r="AK58" s="6">
        <v>22</v>
      </c>
      <c r="AL58" s="6">
        <v>1</v>
      </c>
      <c r="AM58" s="6">
        <v>1</v>
      </c>
      <c r="AN58" s="6">
        <v>1</v>
      </c>
      <c r="AO58" s="6"/>
      <c r="AP58" s="5">
        <f t="shared" si="11"/>
        <v>100</v>
      </c>
    </row>
    <row r="59" spans="1:42" x14ac:dyDescent="0.4">
      <c r="A59" s="7"/>
      <c r="B59" s="50"/>
      <c r="C59" s="24" t="s">
        <v>155</v>
      </c>
      <c r="D59" s="51"/>
      <c r="E59" s="6"/>
      <c r="F59" s="6">
        <v>1</v>
      </c>
      <c r="G59" s="6">
        <v>3</v>
      </c>
      <c r="H59" s="6"/>
      <c r="I59" s="6">
        <v>1</v>
      </c>
      <c r="J59" s="6"/>
      <c r="K59" s="6">
        <v>1</v>
      </c>
      <c r="L59" s="6">
        <v>1</v>
      </c>
      <c r="M59" s="6">
        <v>1</v>
      </c>
      <c r="N59" s="6">
        <v>1</v>
      </c>
      <c r="O59" s="6">
        <v>2</v>
      </c>
      <c r="P59" s="6">
        <v>1</v>
      </c>
      <c r="Q59" s="6">
        <v>2</v>
      </c>
      <c r="R59" s="6">
        <v>4</v>
      </c>
      <c r="S59" s="6">
        <v>1</v>
      </c>
      <c r="T59" s="6">
        <v>6</v>
      </c>
      <c r="U59" s="6">
        <v>2</v>
      </c>
      <c r="V59" s="6">
        <v>4</v>
      </c>
      <c r="W59" s="6">
        <v>5</v>
      </c>
      <c r="X59" s="6">
        <v>5</v>
      </c>
      <c r="Y59" s="6">
        <v>8</v>
      </c>
      <c r="Z59" s="6">
        <v>4</v>
      </c>
      <c r="AA59" s="6">
        <v>1</v>
      </c>
      <c r="AB59" s="6">
        <v>5</v>
      </c>
      <c r="AC59" s="6">
        <v>4</v>
      </c>
      <c r="AD59" s="6"/>
      <c r="AE59" s="6">
        <v>2</v>
      </c>
      <c r="AF59" s="6">
        <v>5</v>
      </c>
      <c r="AG59" s="6">
        <v>5</v>
      </c>
      <c r="AH59" s="6">
        <v>2</v>
      </c>
      <c r="AI59" s="6">
        <v>6</v>
      </c>
      <c r="AJ59" s="6">
        <v>1</v>
      </c>
      <c r="AK59" s="6">
        <v>7</v>
      </c>
      <c r="AL59" s="6">
        <v>1</v>
      </c>
      <c r="AM59" s="6">
        <v>4</v>
      </c>
      <c r="AN59" s="6"/>
      <c r="AO59" s="6"/>
      <c r="AP59" s="5">
        <f t="shared" si="11"/>
        <v>96</v>
      </c>
    </row>
    <row r="60" spans="1:42" x14ac:dyDescent="0.4">
      <c r="A60" s="7"/>
      <c r="B60" s="50"/>
      <c r="C60" s="24" t="s">
        <v>156</v>
      </c>
      <c r="D60" s="51"/>
      <c r="E60" s="6">
        <v>1</v>
      </c>
      <c r="F60" s="6">
        <v>1</v>
      </c>
      <c r="G60" s="6"/>
      <c r="H60" s="6"/>
      <c r="I60" s="6"/>
      <c r="J60" s="6"/>
      <c r="K60" s="6">
        <v>1</v>
      </c>
      <c r="L60" s="6"/>
      <c r="M60" s="6"/>
      <c r="N60" s="6"/>
      <c r="O60" s="6">
        <v>1</v>
      </c>
      <c r="P60" s="6"/>
      <c r="Q60" s="6"/>
      <c r="R60" s="6">
        <v>1</v>
      </c>
      <c r="S60" s="6">
        <v>1</v>
      </c>
      <c r="T60" s="6">
        <v>1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/>
      <c r="AA60" s="6">
        <v>0</v>
      </c>
      <c r="AB60" s="6">
        <v>1</v>
      </c>
      <c r="AC60" s="6"/>
      <c r="AD60" s="6"/>
      <c r="AE60" s="6"/>
      <c r="AF60" s="6">
        <v>1</v>
      </c>
      <c r="AG60" s="6">
        <v>1</v>
      </c>
      <c r="AH60" s="6"/>
      <c r="AI60" s="6"/>
      <c r="AJ60" s="6"/>
      <c r="AK60" s="6">
        <v>1</v>
      </c>
      <c r="AL60" s="6"/>
      <c r="AM60" s="6"/>
      <c r="AN60" s="6"/>
      <c r="AO60" s="6"/>
      <c r="AP60" s="5">
        <f t="shared" si="11"/>
        <v>12</v>
      </c>
    </row>
    <row r="61" spans="1:42" x14ac:dyDescent="0.4">
      <c r="A61" s="7"/>
      <c r="B61" s="50"/>
      <c r="C61" s="24" t="s">
        <v>157</v>
      </c>
      <c r="D61" s="51"/>
      <c r="E61" s="6">
        <v>34</v>
      </c>
      <c r="F61" s="6">
        <v>2</v>
      </c>
      <c r="G61" s="6">
        <v>1</v>
      </c>
      <c r="H61" s="6"/>
      <c r="I61" s="6">
        <v>1</v>
      </c>
      <c r="J61" s="6"/>
      <c r="K61" s="6"/>
      <c r="L61" s="6"/>
      <c r="M61" s="6">
        <v>1</v>
      </c>
      <c r="N61" s="6">
        <v>1</v>
      </c>
      <c r="O61" s="6">
        <v>2</v>
      </c>
      <c r="P61" s="6"/>
      <c r="Q61" s="6">
        <v>1</v>
      </c>
      <c r="R61" s="6">
        <v>76</v>
      </c>
      <c r="S61" s="6">
        <v>8</v>
      </c>
      <c r="T61" s="6">
        <v>0</v>
      </c>
      <c r="U61" s="6">
        <v>0</v>
      </c>
      <c r="V61" s="6">
        <v>2</v>
      </c>
      <c r="W61" s="6">
        <v>1</v>
      </c>
      <c r="X61" s="6">
        <v>0</v>
      </c>
      <c r="Y61" s="6">
        <v>1</v>
      </c>
      <c r="Z61" s="6"/>
      <c r="AA61" s="6">
        <v>2</v>
      </c>
      <c r="AB61" s="6">
        <v>1</v>
      </c>
      <c r="AC61" s="6"/>
      <c r="AD61" s="6"/>
      <c r="AE61" s="6"/>
      <c r="AF61" s="6"/>
      <c r="AG61" s="6">
        <v>2</v>
      </c>
      <c r="AH61" s="6"/>
      <c r="AI61" s="6"/>
      <c r="AJ61" s="6"/>
      <c r="AK61" s="6">
        <v>2</v>
      </c>
      <c r="AL61" s="6"/>
      <c r="AM61" s="6"/>
      <c r="AN61" s="6"/>
      <c r="AO61" s="6"/>
      <c r="AP61" s="5">
        <f t="shared" si="11"/>
        <v>138</v>
      </c>
    </row>
    <row r="62" spans="1:42" x14ac:dyDescent="0.4">
      <c r="A62" s="7"/>
      <c r="B62" s="50"/>
      <c r="C62" s="24" t="s">
        <v>158</v>
      </c>
      <c r="D62" s="51"/>
      <c r="E62" s="6">
        <v>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</v>
      </c>
      <c r="U62" s="6">
        <v>1</v>
      </c>
      <c r="V62" s="6">
        <v>0</v>
      </c>
      <c r="W62" s="6">
        <v>4</v>
      </c>
      <c r="X62" s="6">
        <v>8</v>
      </c>
      <c r="Y62" s="6">
        <v>1</v>
      </c>
      <c r="Z62" s="6"/>
      <c r="AA62" s="6">
        <v>5</v>
      </c>
      <c r="AB62" s="6">
        <v>3</v>
      </c>
      <c r="AC62" s="6"/>
      <c r="AD62" s="6"/>
      <c r="AE62" s="6"/>
      <c r="AF62" s="6"/>
      <c r="AG62" s="6">
        <v>1</v>
      </c>
      <c r="AH62" s="6"/>
      <c r="AI62" s="6"/>
      <c r="AJ62" s="6"/>
      <c r="AK62" s="6"/>
      <c r="AL62" s="6">
        <v>1</v>
      </c>
      <c r="AM62" s="6"/>
      <c r="AN62" s="6"/>
      <c r="AO62" s="6">
        <v>2</v>
      </c>
      <c r="AP62" s="5">
        <f t="shared" si="11"/>
        <v>33</v>
      </c>
    </row>
    <row r="63" spans="1:42" ht="13.15" customHeight="1" x14ac:dyDescent="0.4">
      <c r="A63" s="7"/>
      <c r="B63" s="50"/>
      <c r="C63" s="24" t="s">
        <v>159</v>
      </c>
      <c r="D63" s="51"/>
      <c r="E63" s="6">
        <v>1</v>
      </c>
      <c r="F63" s="6"/>
      <c r="G63" s="6"/>
      <c r="H63" s="6"/>
      <c r="I63" s="6"/>
      <c r="J63" s="6"/>
      <c r="K63" s="6"/>
      <c r="L63" s="6"/>
      <c r="M63" s="6">
        <v>1</v>
      </c>
      <c r="N63" s="6"/>
      <c r="O63" s="6"/>
      <c r="P63" s="6"/>
      <c r="Q63" s="6"/>
      <c r="R63" s="6"/>
      <c r="S63" s="6"/>
      <c r="T63" s="6">
        <v>0</v>
      </c>
      <c r="U63" s="6">
        <v>0</v>
      </c>
      <c r="V63" s="6">
        <v>0</v>
      </c>
      <c r="W63" s="6">
        <v>0</v>
      </c>
      <c r="X63" s="6"/>
      <c r="Y63" s="6">
        <v>0</v>
      </c>
      <c r="Z63" s="6"/>
      <c r="AA63" s="6"/>
      <c r="AB63" s="6">
        <v>0</v>
      </c>
      <c r="AC63" s="6"/>
      <c r="AD63" s="6"/>
      <c r="AE63" s="6"/>
      <c r="AF63" s="6"/>
      <c r="AG63" s="6"/>
      <c r="AH63" s="6">
        <v>1</v>
      </c>
      <c r="AI63" s="6"/>
      <c r="AJ63" s="6"/>
      <c r="AK63" s="6"/>
      <c r="AL63" s="6"/>
      <c r="AM63" s="6"/>
      <c r="AN63" s="6"/>
      <c r="AO63" s="6"/>
      <c r="AP63" s="5">
        <f t="shared" si="11"/>
        <v>3</v>
      </c>
    </row>
    <row r="64" spans="1:42" x14ac:dyDescent="0.4">
      <c r="A64" s="7"/>
      <c r="B64" s="50"/>
      <c r="C64" s="24" t="s">
        <v>160</v>
      </c>
      <c r="D64" s="51"/>
      <c r="E64" s="6">
        <v>2</v>
      </c>
      <c r="F64" s="6">
        <v>1</v>
      </c>
      <c r="G64" s="6">
        <v>2</v>
      </c>
      <c r="H64" s="6">
        <v>5</v>
      </c>
      <c r="I64" s="6"/>
      <c r="J64" s="6"/>
      <c r="K64" s="6"/>
      <c r="L64" s="6">
        <v>2</v>
      </c>
      <c r="M64" s="6"/>
      <c r="N64" s="6">
        <v>1</v>
      </c>
      <c r="O64" s="6"/>
      <c r="P64" s="6"/>
      <c r="Q64" s="6"/>
      <c r="R64" s="6">
        <v>1</v>
      </c>
      <c r="S64" s="6">
        <v>1</v>
      </c>
      <c r="T64" s="6">
        <v>2</v>
      </c>
      <c r="U64" s="6">
        <v>0</v>
      </c>
      <c r="V64" s="6">
        <v>3</v>
      </c>
      <c r="W64" s="6">
        <v>21</v>
      </c>
      <c r="X64" s="6"/>
      <c r="Y64" s="6">
        <v>1</v>
      </c>
      <c r="Z64" s="6"/>
      <c r="AA64" s="6"/>
      <c r="AB64" s="6">
        <v>14</v>
      </c>
      <c r="AC64" s="6">
        <v>1</v>
      </c>
      <c r="AD64" s="6">
        <v>2</v>
      </c>
      <c r="AE64" s="6"/>
      <c r="AF64" s="6"/>
      <c r="AG64" s="6"/>
      <c r="AH64" s="6">
        <v>2</v>
      </c>
      <c r="AI64" s="6">
        <v>2</v>
      </c>
      <c r="AJ64" s="6">
        <v>4</v>
      </c>
      <c r="AK64" s="6"/>
      <c r="AL64" s="6"/>
      <c r="AM64" s="6"/>
      <c r="AN64" s="6"/>
      <c r="AO64" s="6"/>
      <c r="AP64" s="5">
        <f t="shared" si="11"/>
        <v>67</v>
      </c>
    </row>
    <row r="65" spans="1:42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5">
        <f t="shared" si="11"/>
        <v>0</v>
      </c>
    </row>
    <row r="66" spans="1:42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5">
        <f t="shared" si="11"/>
        <v>0</v>
      </c>
    </row>
    <row r="67" spans="1:42" x14ac:dyDescent="0.4">
      <c r="A67" s="6" t="s">
        <v>26</v>
      </c>
      <c r="B67" s="85" t="s">
        <v>51</v>
      </c>
      <c r="C67" s="65"/>
      <c r="D67" s="66"/>
      <c r="E67" s="5">
        <f t="shared" ref="E67:AP67" si="12">SUM(E57:E66)</f>
        <v>48</v>
      </c>
      <c r="F67" s="5">
        <f t="shared" si="12"/>
        <v>12</v>
      </c>
      <c r="G67" s="5">
        <f t="shared" si="12"/>
        <v>17</v>
      </c>
      <c r="H67" s="5">
        <f t="shared" si="12"/>
        <v>7</v>
      </c>
      <c r="I67" s="5">
        <f t="shared" si="12"/>
        <v>5</v>
      </c>
      <c r="J67" s="5">
        <f t="shared" si="12"/>
        <v>1</v>
      </c>
      <c r="K67" s="5">
        <f t="shared" si="12"/>
        <v>7</v>
      </c>
      <c r="L67" s="5">
        <f t="shared" si="12"/>
        <v>6</v>
      </c>
      <c r="M67" s="5">
        <f t="shared" si="12"/>
        <v>11</v>
      </c>
      <c r="N67" s="5">
        <f t="shared" si="12"/>
        <v>10</v>
      </c>
      <c r="O67" s="5">
        <f t="shared" si="12"/>
        <v>6</v>
      </c>
      <c r="P67" s="5">
        <f t="shared" si="12"/>
        <v>6</v>
      </c>
      <c r="Q67" s="5">
        <f t="shared" si="12"/>
        <v>11</v>
      </c>
      <c r="R67" s="5">
        <f t="shared" si="12"/>
        <v>102</v>
      </c>
      <c r="S67" s="5">
        <f t="shared" si="12"/>
        <v>19</v>
      </c>
      <c r="T67" s="5">
        <f t="shared" si="12"/>
        <v>24</v>
      </c>
      <c r="U67" s="5">
        <f t="shared" si="12"/>
        <v>6</v>
      </c>
      <c r="V67" s="5">
        <f t="shared" si="12"/>
        <v>17</v>
      </c>
      <c r="W67" s="5">
        <f t="shared" si="12"/>
        <v>38</v>
      </c>
      <c r="X67" s="5">
        <f t="shared" si="12"/>
        <v>16</v>
      </c>
      <c r="Y67" s="5">
        <f t="shared" si="12"/>
        <v>16</v>
      </c>
      <c r="Z67" s="5">
        <f t="shared" si="12"/>
        <v>8</v>
      </c>
      <c r="AA67" s="5">
        <f t="shared" si="12"/>
        <v>15</v>
      </c>
      <c r="AB67" s="5">
        <f t="shared" si="12"/>
        <v>31</v>
      </c>
      <c r="AC67" s="5">
        <f t="shared" si="12"/>
        <v>9</v>
      </c>
      <c r="AD67" s="5">
        <f t="shared" si="12"/>
        <v>5</v>
      </c>
      <c r="AE67" s="5">
        <f t="shared" si="12"/>
        <v>2</v>
      </c>
      <c r="AF67" s="5">
        <f t="shared" si="12"/>
        <v>26</v>
      </c>
      <c r="AG67" s="5">
        <f t="shared" si="12"/>
        <v>23</v>
      </c>
      <c r="AH67" s="5">
        <f t="shared" si="12"/>
        <v>12</v>
      </c>
      <c r="AI67" s="5">
        <f t="shared" si="12"/>
        <v>19</v>
      </c>
      <c r="AJ67" s="5">
        <f t="shared" si="12"/>
        <v>7</v>
      </c>
      <c r="AK67" s="5">
        <f t="shared" si="12"/>
        <v>38</v>
      </c>
      <c r="AL67" s="5">
        <f t="shared" si="12"/>
        <v>4</v>
      </c>
      <c r="AM67" s="5">
        <f t="shared" si="12"/>
        <v>10</v>
      </c>
      <c r="AN67" s="5">
        <f t="shared" si="12"/>
        <v>2</v>
      </c>
      <c r="AO67" s="5">
        <f t="shared" si="12"/>
        <v>2</v>
      </c>
      <c r="AP67" s="5">
        <f t="shared" si="12"/>
        <v>598</v>
      </c>
    </row>
    <row r="68" spans="1:42" x14ac:dyDescent="0.4">
      <c r="A68" s="90"/>
      <c r="B68" s="89"/>
      <c r="C68" s="89"/>
      <c r="D68" s="89"/>
      <c r="E68" s="89"/>
    </row>
    <row r="69" spans="1:42" x14ac:dyDescent="0.4">
      <c r="A69" s="11" t="s">
        <v>48</v>
      </c>
      <c r="B69" s="17" t="s">
        <v>32</v>
      </c>
      <c r="C69" s="92" t="s">
        <v>53</v>
      </c>
      <c r="D69" s="66"/>
      <c r="E69" s="6">
        <v>2</v>
      </c>
      <c r="F69" s="6">
        <v>10</v>
      </c>
      <c r="G69" s="6">
        <v>2</v>
      </c>
      <c r="H69" s="6">
        <v>3</v>
      </c>
      <c r="I69" s="6">
        <v>2</v>
      </c>
      <c r="J69" s="6">
        <v>3</v>
      </c>
      <c r="K69" s="6">
        <v>3</v>
      </c>
      <c r="L69" s="6">
        <v>7</v>
      </c>
      <c r="M69" s="6"/>
      <c r="N69" s="6">
        <v>4</v>
      </c>
      <c r="O69" s="6">
        <v>7</v>
      </c>
      <c r="P69" s="6">
        <v>1</v>
      </c>
      <c r="Q69" s="6">
        <v>9</v>
      </c>
      <c r="R69" s="6">
        <v>1</v>
      </c>
      <c r="S69" s="6">
        <v>3</v>
      </c>
      <c r="T69" s="6">
        <v>6</v>
      </c>
      <c r="U69" s="6"/>
      <c r="V69" s="6">
        <v>5</v>
      </c>
      <c r="W69" s="6">
        <v>1</v>
      </c>
      <c r="X69" s="6">
        <v>5</v>
      </c>
      <c r="Y69" s="6">
        <v>2</v>
      </c>
      <c r="Z69" s="6"/>
      <c r="AA69" s="6">
        <v>6</v>
      </c>
      <c r="AB69" s="6">
        <v>1</v>
      </c>
      <c r="AC69" s="6">
        <v>3</v>
      </c>
      <c r="AD69" s="6"/>
      <c r="AE69" s="6">
        <v>3</v>
      </c>
      <c r="AF69" s="6">
        <v>2</v>
      </c>
      <c r="AG69" s="6">
        <v>3</v>
      </c>
      <c r="AH69" s="6">
        <v>4</v>
      </c>
      <c r="AI69" s="6">
        <v>3</v>
      </c>
      <c r="AJ69" s="6"/>
      <c r="AK69" s="6">
        <v>5</v>
      </c>
      <c r="AL69" s="6">
        <v>7</v>
      </c>
      <c r="AM69" s="6">
        <v>5</v>
      </c>
      <c r="AN69" s="6"/>
      <c r="AO69" s="6">
        <v>3</v>
      </c>
      <c r="AP69" s="5">
        <f t="shared" ref="AP69:AP78" si="13">SUM(E69:AO69)</f>
        <v>121</v>
      </c>
    </row>
    <row r="70" spans="1:42" x14ac:dyDescent="0.4">
      <c r="A70" s="11" t="s">
        <v>50</v>
      </c>
      <c r="B70" s="50"/>
      <c r="C70" s="24" t="s">
        <v>161</v>
      </c>
      <c r="D70" s="51"/>
      <c r="E70" s="6">
        <v>4</v>
      </c>
      <c r="F70" s="6">
        <v>6</v>
      </c>
      <c r="G70" s="6"/>
      <c r="H70" s="6">
        <v>1</v>
      </c>
      <c r="I70" s="6">
        <v>7</v>
      </c>
      <c r="J70" s="6">
        <v>8</v>
      </c>
      <c r="K70" s="6">
        <v>12</v>
      </c>
      <c r="L70" s="6">
        <v>4</v>
      </c>
      <c r="M70" s="6">
        <v>4</v>
      </c>
      <c r="N70" s="6">
        <v>9</v>
      </c>
      <c r="O70" s="6">
        <v>75</v>
      </c>
      <c r="P70" s="6">
        <v>8</v>
      </c>
      <c r="Q70" s="6">
        <v>14</v>
      </c>
      <c r="R70" s="6">
        <v>1</v>
      </c>
      <c r="S70" s="6">
        <v>7</v>
      </c>
      <c r="T70" s="6">
        <v>6</v>
      </c>
      <c r="U70" s="6">
        <v>10</v>
      </c>
      <c r="V70" s="6">
        <v>6</v>
      </c>
      <c r="W70" s="6">
        <v>4</v>
      </c>
      <c r="X70" s="6">
        <v>6</v>
      </c>
      <c r="Y70" s="6">
        <v>7</v>
      </c>
      <c r="Z70" s="6">
        <v>3</v>
      </c>
      <c r="AA70" s="6"/>
      <c r="AB70" s="6">
        <v>3</v>
      </c>
      <c r="AC70" s="6">
        <v>1</v>
      </c>
      <c r="AD70" s="6">
        <v>1</v>
      </c>
      <c r="AE70" s="6">
        <v>21</v>
      </c>
      <c r="AF70" s="6">
        <v>5</v>
      </c>
      <c r="AG70" s="6">
        <v>10</v>
      </c>
      <c r="AH70" s="6">
        <v>7</v>
      </c>
      <c r="AI70" s="6">
        <v>6</v>
      </c>
      <c r="AJ70" s="6"/>
      <c r="AK70" s="6">
        <v>16</v>
      </c>
      <c r="AL70" s="6">
        <v>1</v>
      </c>
      <c r="AM70" s="6">
        <v>3</v>
      </c>
      <c r="AN70" s="6">
        <v>3</v>
      </c>
      <c r="AO70" s="6">
        <v>3</v>
      </c>
      <c r="AP70" s="5">
        <f t="shared" si="13"/>
        <v>282</v>
      </c>
    </row>
    <row r="71" spans="1:42" x14ac:dyDescent="0.4">
      <c r="A71" s="7"/>
      <c r="B71" s="50"/>
      <c r="C71" s="24" t="s">
        <v>162</v>
      </c>
      <c r="D71" s="51"/>
      <c r="E71" s="6"/>
      <c r="F71" s="6"/>
      <c r="G71" s="6"/>
      <c r="H71" s="6"/>
      <c r="I71" s="6"/>
      <c r="J71" s="6"/>
      <c r="K71" s="6"/>
      <c r="L71" s="6">
        <v>1</v>
      </c>
      <c r="M71" s="6">
        <v>1</v>
      </c>
      <c r="N71" s="6"/>
      <c r="O71" s="6"/>
      <c r="P71" s="6">
        <v>4</v>
      </c>
      <c r="Q71" s="6">
        <v>1</v>
      </c>
      <c r="R71" s="6"/>
      <c r="S71" s="6">
        <v>1</v>
      </c>
      <c r="T71" s="6">
        <v>1</v>
      </c>
      <c r="U71" s="6">
        <v>2</v>
      </c>
      <c r="V71" s="6"/>
      <c r="W71" s="6"/>
      <c r="X71" s="6">
        <v>1</v>
      </c>
      <c r="Y71" s="6"/>
      <c r="Z71" s="6"/>
      <c r="AA71" s="6">
        <v>1</v>
      </c>
      <c r="AB71" s="6"/>
      <c r="AC71" s="6">
        <v>1</v>
      </c>
      <c r="AD71" s="6">
        <v>1</v>
      </c>
      <c r="AE71" s="6">
        <v>2</v>
      </c>
      <c r="AF71" s="6"/>
      <c r="AG71" s="6"/>
      <c r="AH71" s="6"/>
      <c r="AI71" s="6"/>
      <c r="AJ71" s="6"/>
      <c r="AK71" s="6"/>
      <c r="AL71" s="6"/>
      <c r="AM71" s="6"/>
      <c r="AN71" s="6">
        <v>1</v>
      </c>
      <c r="AO71" s="6"/>
      <c r="AP71" s="5">
        <f t="shared" si="13"/>
        <v>18</v>
      </c>
    </row>
    <row r="72" spans="1:42" x14ac:dyDescent="0.4">
      <c r="A72" s="7"/>
      <c r="B72" s="50"/>
      <c r="C72" s="24" t="s">
        <v>163</v>
      </c>
      <c r="D72" s="51"/>
      <c r="E72" s="6">
        <v>1</v>
      </c>
      <c r="F72" s="6"/>
      <c r="G72" s="6">
        <v>2</v>
      </c>
      <c r="H72" s="6"/>
      <c r="I72" s="6">
        <v>2</v>
      </c>
      <c r="J72" s="6"/>
      <c r="K72" s="6">
        <v>1</v>
      </c>
      <c r="L72" s="6"/>
      <c r="M72" s="6">
        <v>1</v>
      </c>
      <c r="N72" s="6">
        <v>2</v>
      </c>
      <c r="O72" s="6"/>
      <c r="P72" s="6">
        <v>4</v>
      </c>
      <c r="Q72" s="6">
        <v>3</v>
      </c>
      <c r="R72" s="6">
        <v>1</v>
      </c>
      <c r="S72" s="6">
        <v>1</v>
      </c>
      <c r="T72" s="6"/>
      <c r="U72" s="6"/>
      <c r="V72" s="6"/>
      <c r="W72" s="6"/>
      <c r="X72" s="6">
        <v>2</v>
      </c>
      <c r="Y72" s="6"/>
      <c r="Z72" s="6"/>
      <c r="AA72" s="6">
        <v>1</v>
      </c>
      <c r="AB72" s="6"/>
      <c r="AC72" s="6">
        <v>2</v>
      </c>
      <c r="AD72" s="6"/>
      <c r="AE72" s="6">
        <v>2</v>
      </c>
      <c r="AF72" s="6"/>
      <c r="AG72" s="6">
        <v>1</v>
      </c>
      <c r="AH72" s="6">
        <v>2</v>
      </c>
      <c r="AI72" s="6"/>
      <c r="AJ72" s="6"/>
      <c r="AK72" s="6"/>
      <c r="AL72" s="6">
        <v>1</v>
      </c>
      <c r="AM72" s="6"/>
      <c r="AN72" s="6"/>
      <c r="AO72" s="6"/>
      <c r="AP72" s="5">
        <f t="shared" si="13"/>
        <v>29</v>
      </c>
    </row>
    <row r="73" spans="1:42" x14ac:dyDescent="0.4">
      <c r="A73" s="7"/>
      <c r="B73" s="50"/>
      <c r="C73" s="24" t="s">
        <v>164</v>
      </c>
      <c r="D73" s="51"/>
      <c r="E73" s="6">
        <v>1</v>
      </c>
      <c r="F73" s="6">
        <v>5</v>
      </c>
      <c r="G73" s="6">
        <v>3</v>
      </c>
      <c r="H73" s="6"/>
      <c r="I73" s="6">
        <v>1</v>
      </c>
      <c r="J73" s="6"/>
      <c r="K73" s="6"/>
      <c r="L73" s="6">
        <v>6</v>
      </c>
      <c r="M73" s="6">
        <v>3</v>
      </c>
      <c r="N73" s="6">
        <v>4</v>
      </c>
      <c r="O73" s="6"/>
      <c r="P73" s="6">
        <v>1</v>
      </c>
      <c r="Q73" s="6">
        <v>6</v>
      </c>
      <c r="R73" s="6">
        <v>2</v>
      </c>
      <c r="S73" s="6">
        <v>5</v>
      </c>
      <c r="T73" s="6"/>
      <c r="U73" s="6"/>
      <c r="V73" s="6">
        <v>3</v>
      </c>
      <c r="W73" s="6"/>
      <c r="X73" s="6">
        <v>2</v>
      </c>
      <c r="Y73" s="6">
        <v>1</v>
      </c>
      <c r="Z73" s="6"/>
      <c r="AA73" s="6">
        <v>1</v>
      </c>
      <c r="AB73" s="6"/>
      <c r="AC73" s="6">
        <v>4</v>
      </c>
      <c r="AD73" s="6">
        <v>1</v>
      </c>
      <c r="AE73" s="6">
        <v>5</v>
      </c>
      <c r="AF73" s="6">
        <v>3</v>
      </c>
      <c r="AG73" s="6">
        <v>21</v>
      </c>
      <c r="AH73" s="6">
        <v>12</v>
      </c>
      <c r="AI73" s="6">
        <v>8</v>
      </c>
      <c r="AJ73" s="6"/>
      <c r="AK73" s="6">
        <v>2</v>
      </c>
      <c r="AL73" s="6">
        <v>33</v>
      </c>
      <c r="AM73" s="6">
        <v>19</v>
      </c>
      <c r="AN73" s="6"/>
      <c r="AO73" s="6"/>
      <c r="AP73" s="5">
        <f t="shared" si="13"/>
        <v>152</v>
      </c>
    </row>
    <row r="74" spans="1:42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/>
      <c r="J74" s="6"/>
      <c r="K74" s="6"/>
      <c r="L74" s="6">
        <v>1</v>
      </c>
      <c r="M74" s="6"/>
      <c r="N74" s="6"/>
      <c r="O74" s="6"/>
      <c r="P74" s="6"/>
      <c r="Q74" s="6"/>
      <c r="R74" s="6">
        <v>1</v>
      </c>
      <c r="S74" s="6"/>
      <c r="T74" s="6">
        <v>1</v>
      </c>
      <c r="U74" s="6"/>
      <c r="V74" s="6"/>
      <c r="W74" s="6"/>
      <c r="X74" s="6"/>
      <c r="Y74" s="6"/>
      <c r="Z74" s="6"/>
      <c r="AA74" s="6"/>
      <c r="AB74" s="6"/>
      <c r="AC74" s="6">
        <v>3</v>
      </c>
      <c r="AD74" s="6"/>
      <c r="AE74" s="6"/>
      <c r="AF74" s="6"/>
      <c r="AG74" s="6"/>
      <c r="AH74" s="6"/>
      <c r="AI74" s="6"/>
      <c r="AJ74" s="6"/>
      <c r="AK74" s="6"/>
      <c r="AL74" s="6"/>
      <c r="AM74" s="6">
        <v>1</v>
      </c>
      <c r="AN74" s="6"/>
      <c r="AO74" s="6"/>
      <c r="AP74" s="5">
        <f t="shared" si="13"/>
        <v>7</v>
      </c>
    </row>
    <row r="75" spans="1:42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5">
        <f t="shared" si="13"/>
        <v>0</v>
      </c>
    </row>
    <row r="76" spans="1:42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</v>
      </c>
      <c r="P76" s="6">
        <v>1</v>
      </c>
      <c r="Q76" s="6"/>
      <c r="R76" s="6"/>
      <c r="S76" s="6">
        <v>1</v>
      </c>
      <c r="T76" s="6"/>
      <c r="U76" s="6"/>
      <c r="V76" s="6">
        <v>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>
        <v>1</v>
      </c>
      <c r="AN76" s="6">
        <v>1</v>
      </c>
      <c r="AO76" s="6"/>
      <c r="AP76" s="5">
        <f t="shared" si="13"/>
        <v>6</v>
      </c>
    </row>
    <row r="77" spans="1:42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5">
        <f t="shared" si="13"/>
        <v>0</v>
      </c>
    </row>
    <row r="78" spans="1:42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5">
        <f t="shared" si="13"/>
        <v>0</v>
      </c>
    </row>
    <row r="79" spans="1:42" x14ac:dyDescent="0.4">
      <c r="A79" s="6" t="s">
        <v>26</v>
      </c>
      <c r="B79" s="85" t="s">
        <v>51</v>
      </c>
      <c r="C79" s="65"/>
      <c r="D79" s="66"/>
      <c r="E79" s="5">
        <f t="shared" ref="E79:AP79" si="14">SUM(E69:E78)</f>
        <v>8</v>
      </c>
      <c r="F79" s="5">
        <f t="shared" si="14"/>
        <v>21</v>
      </c>
      <c r="G79" s="5">
        <f t="shared" si="14"/>
        <v>7</v>
      </c>
      <c r="H79" s="5">
        <f t="shared" si="14"/>
        <v>4</v>
      </c>
      <c r="I79" s="5">
        <f t="shared" si="14"/>
        <v>12</v>
      </c>
      <c r="J79" s="5">
        <f t="shared" si="14"/>
        <v>11</v>
      </c>
      <c r="K79" s="5">
        <f t="shared" si="14"/>
        <v>16</v>
      </c>
      <c r="L79" s="5">
        <f t="shared" si="14"/>
        <v>19</v>
      </c>
      <c r="M79" s="5">
        <f t="shared" si="14"/>
        <v>9</v>
      </c>
      <c r="N79" s="5">
        <f t="shared" si="14"/>
        <v>19</v>
      </c>
      <c r="O79" s="5">
        <f t="shared" si="14"/>
        <v>83</v>
      </c>
      <c r="P79" s="5">
        <f t="shared" si="14"/>
        <v>19</v>
      </c>
      <c r="Q79" s="5">
        <f t="shared" si="14"/>
        <v>33</v>
      </c>
      <c r="R79" s="5">
        <f t="shared" si="14"/>
        <v>6</v>
      </c>
      <c r="S79" s="5">
        <f t="shared" si="14"/>
        <v>18</v>
      </c>
      <c r="T79" s="5">
        <f t="shared" si="14"/>
        <v>14</v>
      </c>
      <c r="U79" s="5">
        <f t="shared" si="14"/>
        <v>12</v>
      </c>
      <c r="V79" s="5">
        <f t="shared" si="14"/>
        <v>15</v>
      </c>
      <c r="W79" s="5">
        <f t="shared" si="14"/>
        <v>5</v>
      </c>
      <c r="X79" s="5">
        <f t="shared" si="14"/>
        <v>16</v>
      </c>
      <c r="Y79" s="5">
        <f t="shared" si="14"/>
        <v>10</v>
      </c>
      <c r="Z79" s="5">
        <f t="shared" si="14"/>
        <v>3</v>
      </c>
      <c r="AA79" s="5">
        <f t="shared" si="14"/>
        <v>9</v>
      </c>
      <c r="AB79" s="5">
        <f t="shared" si="14"/>
        <v>4</v>
      </c>
      <c r="AC79" s="5">
        <f t="shared" si="14"/>
        <v>14</v>
      </c>
      <c r="AD79" s="5">
        <f t="shared" si="14"/>
        <v>3</v>
      </c>
      <c r="AE79" s="5">
        <f t="shared" si="14"/>
        <v>33</v>
      </c>
      <c r="AF79" s="5">
        <f t="shared" si="14"/>
        <v>10</v>
      </c>
      <c r="AG79" s="5">
        <f t="shared" si="14"/>
        <v>35</v>
      </c>
      <c r="AH79" s="5">
        <f t="shared" si="14"/>
        <v>25</v>
      </c>
      <c r="AI79" s="5">
        <f t="shared" si="14"/>
        <v>17</v>
      </c>
      <c r="AJ79" s="5">
        <f t="shared" si="14"/>
        <v>0</v>
      </c>
      <c r="AK79" s="5">
        <f t="shared" si="14"/>
        <v>23</v>
      </c>
      <c r="AL79" s="5">
        <f t="shared" si="14"/>
        <v>42</v>
      </c>
      <c r="AM79" s="5">
        <f t="shared" si="14"/>
        <v>29</v>
      </c>
      <c r="AN79" s="5">
        <f t="shared" si="14"/>
        <v>5</v>
      </c>
      <c r="AO79" s="5">
        <f t="shared" si="14"/>
        <v>6</v>
      </c>
      <c r="AP79" s="5">
        <f t="shared" si="14"/>
        <v>615</v>
      </c>
    </row>
    <row r="80" spans="1:42" x14ac:dyDescent="0.4">
      <c r="A80" s="90"/>
      <c r="B80" s="89"/>
      <c r="C80" s="89"/>
      <c r="D80" s="89"/>
      <c r="E80" s="89"/>
    </row>
    <row r="81" spans="1:42" x14ac:dyDescent="0.4">
      <c r="A81" s="11" t="s">
        <v>48</v>
      </c>
      <c r="B81" s="17" t="s">
        <v>34</v>
      </c>
      <c r="C81" s="92" t="s">
        <v>54</v>
      </c>
      <c r="D81" s="66"/>
      <c r="E81" s="6">
        <v>5</v>
      </c>
      <c r="F81" s="6">
        <v>1</v>
      </c>
      <c r="G81" s="6">
        <v>1</v>
      </c>
      <c r="H81" s="6">
        <v>2</v>
      </c>
      <c r="I81" s="6"/>
      <c r="J81" s="6"/>
      <c r="K81" s="6">
        <v>1</v>
      </c>
      <c r="L81" s="6">
        <v>1</v>
      </c>
      <c r="M81" s="6">
        <v>2</v>
      </c>
      <c r="N81" s="6"/>
      <c r="O81" s="6"/>
      <c r="P81" s="6"/>
      <c r="Q81" s="6">
        <v>5</v>
      </c>
      <c r="R81" s="6">
        <v>2</v>
      </c>
      <c r="S81" s="6">
        <v>5</v>
      </c>
      <c r="T81" s="6">
        <v>7</v>
      </c>
      <c r="U81" s="6"/>
      <c r="V81" s="6">
        <v>1</v>
      </c>
      <c r="W81" s="6">
        <v>1</v>
      </c>
      <c r="X81" s="6">
        <v>11</v>
      </c>
      <c r="Y81" s="6">
        <v>2</v>
      </c>
      <c r="Z81" s="6">
        <v>2</v>
      </c>
      <c r="AA81" s="6">
        <v>8</v>
      </c>
      <c r="AB81" s="6">
        <v>4</v>
      </c>
      <c r="AC81" s="6">
        <v>2</v>
      </c>
      <c r="AD81" s="6">
        <v>5</v>
      </c>
      <c r="AE81" s="6">
        <v>5</v>
      </c>
      <c r="AF81" s="6">
        <v>16</v>
      </c>
      <c r="AG81" s="6">
        <v>3</v>
      </c>
      <c r="AH81" s="6"/>
      <c r="AI81" s="6">
        <v>2</v>
      </c>
      <c r="AJ81" s="6"/>
      <c r="AK81" s="6">
        <v>4</v>
      </c>
      <c r="AL81" s="6">
        <v>3</v>
      </c>
      <c r="AM81" s="6">
        <v>8</v>
      </c>
      <c r="AN81" s="6">
        <v>2</v>
      </c>
      <c r="AO81" s="6">
        <v>9</v>
      </c>
      <c r="AP81" s="5">
        <f t="shared" ref="AP81:AP90" si="15">SUM(E81:AO81)</f>
        <v>120</v>
      </c>
    </row>
    <row r="82" spans="1:42" x14ac:dyDescent="0.4">
      <c r="A82" s="11" t="s">
        <v>50</v>
      </c>
      <c r="B82" s="50"/>
      <c r="C82" s="24" t="s">
        <v>168</v>
      </c>
      <c r="D82" s="51"/>
      <c r="E82" s="6">
        <v>7</v>
      </c>
      <c r="F82" s="6">
        <v>3</v>
      </c>
      <c r="G82" s="6">
        <v>4</v>
      </c>
      <c r="H82" s="6">
        <v>22</v>
      </c>
      <c r="I82" s="6"/>
      <c r="J82" s="6">
        <v>4</v>
      </c>
      <c r="K82" s="6">
        <v>5</v>
      </c>
      <c r="L82" s="6">
        <v>4</v>
      </c>
      <c r="M82" s="6">
        <v>5</v>
      </c>
      <c r="N82" s="6">
        <v>3</v>
      </c>
      <c r="O82" s="6">
        <v>6</v>
      </c>
      <c r="P82" s="6">
        <v>8</v>
      </c>
      <c r="Q82" s="6">
        <v>16</v>
      </c>
      <c r="R82" s="6">
        <v>22</v>
      </c>
      <c r="S82" s="6">
        <v>21</v>
      </c>
      <c r="T82" s="6">
        <v>32</v>
      </c>
      <c r="U82" s="6">
        <v>6</v>
      </c>
      <c r="V82" s="6">
        <v>20</v>
      </c>
      <c r="W82" s="6">
        <v>19</v>
      </c>
      <c r="X82" s="6">
        <v>32</v>
      </c>
      <c r="Y82" s="6">
        <v>22</v>
      </c>
      <c r="Z82" s="6">
        <v>100</v>
      </c>
      <c r="AA82" s="6">
        <v>30</v>
      </c>
      <c r="AB82" s="6">
        <v>32</v>
      </c>
      <c r="AC82" s="6">
        <v>10</v>
      </c>
      <c r="AD82" s="6">
        <v>18</v>
      </c>
      <c r="AE82" s="6">
        <v>47</v>
      </c>
      <c r="AF82" s="6">
        <v>52</v>
      </c>
      <c r="AG82" s="6">
        <v>21</v>
      </c>
      <c r="AH82" s="6">
        <v>31</v>
      </c>
      <c r="AI82" s="6">
        <v>10</v>
      </c>
      <c r="AJ82" s="6">
        <v>16</v>
      </c>
      <c r="AK82" s="6">
        <v>36</v>
      </c>
      <c r="AL82" s="6">
        <v>3</v>
      </c>
      <c r="AM82" s="6">
        <v>10</v>
      </c>
      <c r="AN82" s="6">
        <v>121</v>
      </c>
      <c r="AO82" s="6">
        <v>124</v>
      </c>
      <c r="AP82" s="5">
        <f t="shared" si="15"/>
        <v>922</v>
      </c>
    </row>
    <row r="83" spans="1:42" x14ac:dyDescent="0.4">
      <c r="A83" s="7"/>
      <c r="B83" s="50"/>
      <c r="C83" s="24" t="s">
        <v>169</v>
      </c>
      <c r="D83" s="51"/>
      <c r="E83" s="6">
        <v>1</v>
      </c>
      <c r="F83" s="6"/>
      <c r="G83" s="6"/>
      <c r="H83" s="6"/>
      <c r="I83" s="6"/>
      <c r="J83" s="6">
        <v>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2</v>
      </c>
      <c r="V83" s="6"/>
      <c r="W83" s="6"/>
      <c r="X83" s="6"/>
      <c r="Y83" s="6">
        <v>1</v>
      </c>
      <c r="Z83" s="6"/>
      <c r="AA83" s="6"/>
      <c r="AB83" s="6">
        <v>1</v>
      </c>
      <c r="AC83" s="6"/>
      <c r="AD83" s="6"/>
      <c r="AE83" s="6"/>
      <c r="AF83" s="6">
        <v>1</v>
      </c>
      <c r="AG83" s="6"/>
      <c r="AH83" s="6"/>
      <c r="AI83" s="6"/>
      <c r="AJ83" s="6"/>
      <c r="AK83" s="6">
        <v>2</v>
      </c>
      <c r="AL83" s="6"/>
      <c r="AM83" s="6">
        <v>1</v>
      </c>
      <c r="AN83" s="6">
        <v>1</v>
      </c>
      <c r="AO83" s="6"/>
      <c r="AP83" s="5">
        <f t="shared" si="15"/>
        <v>11</v>
      </c>
    </row>
    <row r="84" spans="1:42" x14ac:dyDescent="0.4">
      <c r="A84" s="7"/>
      <c r="B84" s="50"/>
      <c r="C84" s="24" t="s">
        <v>170</v>
      </c>
      <c r="D84" s="51"/>
      <c r="E84" s="6"/>
      <c r="F84" s="6"/>
      <c r="G84" s="6"/>
      <c r="H84" s="6"/>
      <c r="I84" s="6"/>
      <c r="J84" s="6"/>
      <c r="K84" s="6">
        <v>1</v>
      </c>
      <c r="L84" s="6"/>
      <c r="M84" s="6">
        <v>1</v>
      </c>
      <c r="N84" s="6">
        <v>1</v>
      </c>
      <c r="O84" s="6"/>
      <c r="P84" s="6">
        <v>7</v>
      </c>
      <c r="Q84" s="6"/>
      <c r="R84" s="6">
        <v>1</v>
      </c>
      <c r="S84" s="6">
        <v>1</v>
      </c>
      <c r="T84" s="6"/>
      <c r="U84" s="6">
        <v>7</v>
      </c>
      <c r="V84" s="6">
        <v>2</v>
      </c>
      <c r="W84" s="6">
        <v>1</v>
      </c>
      <c r="X84" s="6"/>
      <c r="Y84" s="6"/>
      <c r="Z84" s="6">
        <v>1</v>
      </c>
      <c r="AA84" s="6">
        <v>2</v>
      </c>
      <c r="AB84" s="6">
        <v>2</v>
      </c>
      <c r="AC84" s="6">
        <v>1</v>
      </c>
      <c r="AD84" s="6"/>
      <c r="AE84" s="6"/>
      <c r="AF84" s="6"/>
      <c r="AG84" s="6">
        <v>1</v>
      </c>
      <c r="AH84" s="6"/>
      <c r="AI84" s="6"/>
      <c r="AJ84" s="6"/>
      <c r="AK84" s="6"/>
      <c r="AL84" s="6"/>
      <c r="AM84" s="6"/>
      <c r="AN84" s="6">
        <v>1</v>
      </c>
      <c r="AO84" s="6"/>
      <c r="AP84" s="5">
        <f t="shared" si="15"/>
        <v>30</v>
      </c>
    </row>
    <row r="85" spans="1:42" ht="13.15" customHeight="1" x14ac:dyDescent="0.4">
      <c r="A85" s="7"/>
      <c r="B85" s="50"/>
      <c r="C85" s="24" t="s">
        <v>171</v>
      </c>
      <c r="D85" s="51"/>
      <c r="E85" s="6">
        <v>1</v>
      </c>
      <c r="F85" s="6"/>
      <c r="G85" s="6"/>
      <c r="H85" s="6"/>
      <c r="I85" s="6"/>
      <c r="J85" s="6"/>
      <c r="K85" s="6">
        <v>1</v>
      </c>
      <c r="L85" s="6"/>
      <c r="M85" s="6">
        <v>4</v>
      </c>
      <c r="N85" s="6"/>
      <c r="O85" s="6"/>
      <c r="P85" s="6">
        <v>1</v>
      </c>
      <c r="Q85" s="6"/>
      <c r="R85" s="6"/>
      <c r="S85" s="6"/>
      <c r="T85" s="6"/>
      <c r="U85" s="6"/>
      <c r="V85" s="6"/>
      <c r="W85" s="6"/>
      <c r="X85" s="6">
        <v>2</v>
      </c>
      <c r="Y85" s="6"/>
      <c r="Z85" s="6"/>
      <c r="AA85" s="6"/>
      <c r="AB85" s="6">
        <v>1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>
        <v>2</v>
      </c>
      <c r="AN85" s="6">
        <v>1</v>
      </c>
      <c r="AO85" s="6"/>
      <c r="AP85" s="5">
        <f t="shared" si="15"/>
        <v>13</v>
      </c>
    </row>
    <row r="86" spans="1:42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5">
        <f t="shared" si="15"/>
        <v>2</v>
      </c>
    </row>
    <row r="87" spans="1:42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>
        <v>1</v>
      </c>
      <c r="AG87" s="6"/>
      <c r="AH87" s="6"/>
      <c r="AI87" s="6"/>
      <c r="AJ87" s="6"/>
      <c r="AK87" s="6"/>
      <c r="AL87" s="6"/>
      <c r="AM87" s="6"/>
      <c r="AN87" s="6"/>
      <c r="AO87" s="6"/>
      <c r="AP87" s="5">
        <f t="shared" si="15"/>
        <v>1</v>
      </c>
    </row>
    <row r="88" spans="1:42" x14ac:dyDescent="0.4">
      <c r="A88" s="7"/>
      <c r="B88" s="50"/>
      <c r="C88" s="24" t="s">
        <v>174</v>
      </c>
      <c r="D88" s="51"/>
      <c r="E88" s="6">
        <v>1</v>
      </c>
      <c r="F88" s="6"/>
      <c r="G88" s="6"/>
      <c r="H88" s="6"/>
      <c r="I88" s="6"/>
      <c r="J88" s="6"/>
      <c r="K88" s="6"/>
      <c r="L88" s="6"/>
      <c r="M88" s="6"/>
      <c r="N88" s="6"/>
      <c r="O88" s="6">
        <v>2</v>
      </c>
      <c r="P88" s="6"/>
      <c r="Q88" s="6"/>
      <c r="R88" s="6"/>
      <c r="S88" s="6">
        <v>3</v>
      </c>
      <c r="T88" s="6">
        <v>1</v>
      </c>
      <c r="U88" s="6">
        <v>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</v>
      </c>
      <c r="AJ88" s="6"/>
      <c r="AK88" s="6"/>
      <c r="AL88" s="6"/>
      <c r="AM88" s="6"/>
      <c r="AN88" s="6"/>
      <c r="AO88" s="6"/>
      <c r="AP88" s="5">
        <f t="shared" si="15"/>
        <v>15</v>
      </c>
    </row>
    <row r="89" spans="1:42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5">
        <f t="shared" si="15"/>
        <v>0</v>
      </c>
    </row>
    <row r="90" spans="1:42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5">
        <f t="shared" si="15"/>
        <v>0</v>
      </c>
    </row>
    <row r="91" spans="1:42" x14ac:dyDescent="0.4">
      <c r="A91" s="6" t="s">
        <v>26</v>
      </c>
      <c r="B91" s="85" t="s">
        <v>51</v>
      </c>
      <c r="C91" s="65"/>
      <c r="D91" s="66"/>
      <c r="E91" s="5">
        <f t="shared" ref="E91:AP91" si="16">SUM(E81:E90)</f>
        <v>15</v>
      </c>
      <c r="F91" s="5">
        <f t="shared" si="16"/>
        <v>4</v>
      </c>
      <c r="G91" s="5">
        <f t="shared" si="16"/>
        <v>5</v>
      </c>
      <c r="H91" s="5">
        <f t="shared" si="16"/>
        <v>24</v>
      </c>
      <c r="I91" s="5">
        <f t="shared" si="16"/>
        <v>0</v>
      </c>
      <c r="J91" s="5">
        <f t="shared" si="16"/>
        <v>5</v>
      </c>
      <c r="K91" s="5">
        <f t="shared" si="16"/>
        <v>8</v>
      </c>
      <c r="L91" s="5">
        <f t="shared" si="16"/>
        <v>5</v>
      </c>
      <c r="M91" s="5">
        <f t="shared" si="16"/>
        <v>12</v>
      </c>
      <c r="N91" s="5">
        <f t="shared" si="16"/>
        <v>4</v>
      </c>
      <c r="O91" s="5">
        <f t="shared" si="16"/>
        <v>8</v>
      </c>
      <c r="P91" s="5">
        <f t="shared" si="16"/>
        <v>16</v>
      </c>
      <c r="Q91" s="5">
        <f t="shared" si="16"/>
        <v>21</v>
      </c>
      <c r="R91" s="5">
        <f t="shared" si="16"/>
        <v>25</v>
      </c>
      <c r="S91" s="5">
        <f t="shared" si="16"/>
        <v>30</v>
      </c>
      <c r="T91" s="5">
        <f t="shared" si="16"/>
        <v>40</v>
      </c>
      <c r="U91" s="5">
        <f t="shared" si="16"/>
        <v>22</v>
      </c>
      <c r="V91" s="5">
        <f t="shared" si="16"/>
        <v>23</v>
      </c>
      <c r="W91" s="5">
        <f t="shared" si="16"/>
        <v>21</v>
      </c>
      <c r="X91" s="5">
        <f t="shared" si="16"/>
        <v>45</v>
      </c>
      <c r="Y91" s="5">
        <f t="shared" si="16"/>
        <v>25</v>
      </c>
      <c r="Z91" s="5">
        <f t="shared" si="16"/>
        <v>103</v>
      </c>
      <c r="AA91" s="5">
        <f t="shared" si="16"/>
        <v>40</v>
      </c>
      <c r="AB91" s="5">
        <f t="shared" si="16"/>
        <v>42</v>
      </c>
      <c r="AC91" s="5">
        <f t="shared" si="16"/>
        <v>13</v>
      </c>
      <c r="AD91" s="5">
        <f t="shared" si="16"/>
        <v>23</v>
      </c>
      <c r="AE91" s="5">
        <f t="shared" si="16"/>
        <v>52</v>
      </c>
      <c r="AF91" s="5">
        <f t="shared" si="16"/>
        <v>70</v>
      </c>
      <c r="AG91" s="5">
        <f t="shared" si="16"/>
        <v>25</v>
      </c>
      <c r="AH91" s="5">
        <f t="shared" si="16"/>
        <v>31</v>
      </c>
      <c r="AI91" s="5">
        <f t="shared" si="16"/>
        <v>13</v>
      </c>
      <c r="AJ91" s="5">
        <f t="shared" si="16"/>
        <v>16</v>
      </c>
      <c r="AK91" s="5">
        <f t="shared" si="16"/>
        <v>42</v>
      </c>
      <c r="AL91" s="5">
        <f t="shared" si="16"/>
        <v>6</v>
      </c>
      <c r="AM91" s="5">
        <f t="shared" si="16"/>
        <v>21</v>
      </c>
      <c r="AN91" s="5">
        <f t="shared" si="16"/>
        <v>126</v>
      </c>
      <c r="AO91" s="5">
        <f t="shared" si="16"/>
        <v>133</v>
      </c>
      <c r="AP91" s="5">
        <f t="shared" si="16"/>
        <v>1114</v>
      </c>
    </row>
    <row r="92" spans="1:42" x14ac:dyDescent="0.4">
      <c r="A92" s="90"/>
      <c r="B92" s="89"/>
      <c r="C92" s="89"/>
      <c r="D92" s="89"/>
      <c r="E92" s="89"/>
    </row>
    <row r="93" spans="1:42" x14ac:dyDescent="0.4">
      <c r="A93" s="11" t="s">
        <v>48</v>
      </c>
      <c r="B93" s="17" t="s">
        <v>55</v>
      </c>
      <c r="C93" s="92" t="s">
        <v>56</v>
      </c>
      <c r="D93" s="66"/>
      <c r="E93" s="6">
        <v>1</v>
      </c>
      <c r="F93" s="6"/>
      <c r="G93" s="6"/>
      <c r="H93" s="6"/>
      <c r="I93" s="6">
        <v>1</v>
      </c>
      <c r="J93" s="6"/>
      <c r="K93" s="6"/>
      <c r="L93" s="6">
        <v>3</v>
      </c>
      <c r="M93" s="6">
        <v>1</v>
      </c>
      <c r="N93" s="6">
        <v>1</v>
      </c>
      <c r="O93" s="6"/>
      <c r="P93" s="6"/>
      <c r="Q93" s="6"/>
      <c r="R93" s="6">
        <v>4</v>
      </c>
      <c r="S93" s="6"/>
      <c r="T93" s="6">
        <v>3</v>
      </c>
      <c r="U93" s="6"/>
      <c r="V93" s="6">
        <v>1</v>
      </c>
      <c r="W93" s="6">
        <v>2</v>
      </c>
      <c r="X93" s="6">
        <v>1</v>
      </c>
      <c r="Y93" s="6">
        <v>2</v>
      </c>
      <c r="Z93" s="6">
        <v>2</v>
      </c>
      <c r="AA93" s="6">
        <v>3</v>
      </c>
      <c r="AB93" s="6"/>
      <c r="AC93" s="6"/>
      <c r="AD93" s="6">
        <v>2</v>
      </c>
      <c r="AE93" s="6">
        <v>1</v>
      </c>
      <c r="AF93" s="6"/>
      <c r="AG93" s="6">
        <v>1</v>
      </c>
      <c r="AH93" s="6"/>
      <c r="AI93" s="6"/>
      <c r="AJ93" s="6"/>
      <c r="AK93" s="6">
        <v>1</v>
      </c>
      <c r="AL93" s="6">
        <v>1</v>
      </c>
      <c r="AM93" s="6">
        <v>2</v>
      </c>
      <c r="AN93" s="6"/>
      <c r="AO93" s="6"/>
      <c r="AP93" s="5">
        <f t="shared" ref="AP93:AP102" si="17">SUM(E93:AO93)</f>
        <v>33</v>
      </c>
    </row>
    <row r="94" spans="1:42" x14ac:dyDescent="0.4">
      <c r="A94" s="11" t="s">
        <v>50</v>
      </c>
      <c r="B94" s="50"/>
      <c r="C94" s="24" t="s">
        <v>175</v>
      </c>
      <c r="D94" s="51"/>
      <c r="E94" s="6">
        <v>1</v>
      </c>
      <c r="F94" s="6">
        <v>3</v>
      </c>
      <c r="G94" s="6">
        <v>2</v>
      </c>
      <c r="H94" s="6">
        <v>1</v>
      </c>
      <c r="I94" s="6">
        <v>11</v>
      </c>
      <c r="J94" s="6"/>
      <c r="K94" s="6"/>
      <c r="L94" s="6">
        <v>3</v>
      </c>
      <c r="M94" s="6">
        <v>1</v>
      </c>
      <c r="N94" s="6">
        <v>12</v>
      </c>
      <c r="O94" s="6"/>
      <c r="P94" s="6"/>
      <c r="Q94" s="6"/>
      <c r="R94" s="6">
        <v>1</v>
      </c>
      <c r="S94" s="6"/>
      <c r="T94" s="6"/>
      <c r="U94" s="6"/>
      <c r="V94" s="6">
        <v>2</v>
      </c>
      <c r="W94" s="6">
        <v>1</v>
      </c>
      <c r="X94" s="6"/>
      <c r="Y94" s="6">
        <v>1</v>
      </c>
      <c r="Z94" s="6"/>
      <c r="AA94" s="6">
        <v>1</v>
      </c>
      <c r="AB94" s="6"/>
      <c r="AC94" s="6"/>
      <c r="AD94" s="6"/>
      <c r="AE94" s="6">
        <v>1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5">
        <f t="shared" si="17"/>
        <v>41</v>
      </c>
    </row>
    <row r="95" spans="1:42" x14ac:dyDescent="0.4">
      <c r="A95" s="7"/>
      <c r="B95" s="50"/>
      <c r="C95" s="24" t="s">
        <v>176</v>
      </c>
      <c r="D95" s="51"/>
      <c r="E95" s="6">
        <v>1</v>
      </c>
      <c r="F95" s="6"/>
      <c r="G95" s="6"/>
      <c r="H95" s="6"/>
      <c r="I95" s="6"/>
      <c r="J95" s="6">
        <v>2</v>
      </c>
      <c r="K95" s="6"/>
      <c r="L95" s="6"/>
      <c r="M95" s="6"/>
      <c r="N95" s="6"/>
      <c r="O95" s="6"/>
      <c r="P95" s="6"/>
      <c r="Q95" s="6"/>
      <c r="R95" s="6">
        <v>1</v>
      </c>
      <c r="S95" s="6"/>
      <c r="T95" s="6"/>
      <c r="U95" s="6"/>
      <c r="V95" s="6"/>
      <c r="W95" s="6">
        <v>1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5">
        <f t="shared" si="17"/>
        <v>5</v>
      </c>
    </row>
    <row r="96" spans="1:42" ht="13.15" customHeight="1" x14ac:dyDescent="0.4">
      <c r="A96" s="7"/>
      <c r="B96" s="50"/>
      <c r="C96" s="24" t="s">
        <v>177</v>
      </c>
      <c r="D96" s="51"/>
      <c r="E96" s="6"/>
      <c r="F96" s="6"/>
      <c r="G96" s="6">
        <v>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>
        <v>1</v>
      </c>
      <c r="AA96" s="6"/>
      <c r="AB96" s="6"/>
      <c r="AC96" s="6"/>
      <c r="AD96" s="6"/>
      <c r="AE96" s="6"/>
      <c r="AF96" s="6"/>
      <c r="AG96" s="6"/>
      <c r="AH96" s="6">
        <v>1</v>
      </c>
      <c r="AI96" s="6"/>
      <c r="AJ96" s="6"/>
      <c r="AK96" s="6"/>
      <c r="AL96" s="6"/>
      <c r="AM96" s="6"/>
      <c r="AN96" s="6"/>
      <c r="AO96" s="6"/>
      <c r="AP96" s="5">
        <f t="shared" si="17"/>
        <v>3</v>
      </c>
    </row>
    <row r="97" spans="1:42" x14ac:dyDescent="0.4">
      <c r="A97" s="7"/>
      <c r="B97" s="50"/>
      <c r="C97" s="24" t="s">
        <v>178</v>
      </c>
      <c r="D97" s="51"/>
      <c r="E97" s="6"/>
      <c r="F97" s="6">
        <v>2</v>
      </c>
      <c r="G97" s="6"/>
      <c r="H97" s="6">
        <v>1</v>
      </c>
      <c r="I97" s="6">
        <v>1</v>
      </c>
      <c r="J97" s="6">
        <v>3</v>
      </c>
      <c r="K97" s="6">
        <v>1</v>
      </c>
      <c r="L97" s="6">
        <v>2</v>
      </c>
      <c r="M97" s="6">
        <v>1</v>
      </c>
      <c r="N97" s="6"/>
      <c r="O97" s="6"/>
      <c r="P97" s="6">
        <v>1</v>
      </c>
      <c r="Q97" s="6">
        <v>2</v>
      </c>
      <c r="R97" s="6">
        <v>1</v>
      </c>
      <c r="S97" s="6"/>
      <c r="T97" s="6">
        <v>2</v>
      </c>
      <c r="U97" s="6">
        <v>1</v>
      </c>
      <c r="V97" s="6">
        <v>3</v>
      </c>
      <c r="W97" s="6">
        <v>1</v>
      </c>
      <c r="X97" s="6">
        <v>4</v>
      </c>
      <c r="Y97" s="6">
        <v>38</v>
      </c>
      <c r="Z97" s="6">
        <v>10</v>
      </c>
      <c r="AA97" s="6">
        <v>1</v>
      </c>
      <c r="AB97" s="6">
        <v>1</v>
      </c>
      <c r="AC97" s="6">
        <v>14</v>
      </c>
      <c r="AD97" s="6">
        <v>13</v>
      </c>
      <c r="AE97" s="6">
        <v>3</v>
      </c>
      <c r="AF97" s="6">
        <v>7</v>
      </c>
      <c r="AG97" s="6">
        <v>1</v>
      </c>
      <c r="AH97" s="6">
        <v>3</v>
      </c>
      <c r="AI97" s="6"/>
      <c r="AJ97" s="6">
        <v>73</v>
      </c>
      <c r="AK97" s="6">
        <v>4</v>
      </c>
      <c r="AL97" s="6"/>
      <c r="AM97" s="6">
        <v>10</v>
      </c>
      <c r="AN97" s="6">
        <v>3</v>
      </c>
      <c r="AO97" s="6"/>
      <c r="AP97" s="5">
        <f t="shared" si="17"/>
        <v>207</v>
      </c>
    </row>
    <row r="98" spans="1:42" x14ac:dyDescent="0.4">
      <c r="A98" s="7"/>
      <c r="B98" s="50"/>
      <c r="C98" s="24" t="s">
        <v>179</v>
      </c>
      <c r="D98" s="51"/>
      <c r="E98" s="6"/>
      <c r="F98" s="6"/>
      <c r="G98" s="6"/>
      <c r="H98" s="6">
        <v>4</v>
      </c>
      <c r="I98" s="6">
        <v>1</v>
      </c>
      <c r="J98" s="6"/>
      <c r="K98" s="6"/>
      <c r="L98" s="6"/>
      <c r="M98" s="6"/>
      <c r="N98" s="6"/>
      <c r="O98" s="6"/>
      <c r="P98" s="6">
        <v>2</v>
      </c>
      <c r="Q98" s="6">
        <v>1</v>
      </c>
      <c r="R98" s="6">
        <v>2</v>
      </c>
      <c r="S98" s="6">
        <v>5</v>
      </c>
      <c r="T98" s="6">
        <v>8</v>
      </c>
      <c r="U98" s="6"/>
      <c r="V98" s="6">
        <v>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>
        <v>1</v>
      </c>
      <c r="AL98" s="6"/>
      <c r="AM98" s="6"/>
      <c r="AN98" s="6">
        <v>1</v>
      </c>
      <c r="AO98" s="6"/>
      <c r="AP98" s="5">
        <f t="shared" si="17"/>
        <v>26</v>
      </c>
    </row>
    <row r="99" spans="1:42" x14ac:dyDescent="0.4">
      <c r="A99" s="7"/>
      <c r="B99" s="50"/>
      <c r="C99" s="24" t="s">
        <v>180</v>
      </c>
      <c r="D99" s="51"/>
      <c r="E99" s="6"/>
      <c r="F99" s="6"/>
      <c r="G99" s="6">
        <v>1</v>
      </c>
      <c r="H99" s="6"/>
      <c r="I99" s="6"/>
      <c r="J99" s="6">
        <v>2</v>
      </c>
      <c r="K99" s="6"/>
      <c r="L99" s="6"/>
      <c r="M99" s="6">
        <v>8</v>
      </c>
      <c r="N99" s="6">
        <v>3</v>
      </c>
      <c r="O99" s="6"/>
      <c r="P99" s="6"/>
      <c r="Q99" s="6">
        <v>1</v>
      </c>
      <c r="R99" s="6">
        <v>1</v>
      </c>
      <c r="S99" s="6"/>
      <c r="T99" s="6">
        <v>1</v>
      </c>
      <c r="U99" s="6"/>
      <c r="V99" s="6"/>
      <c r="W99" s="6">
        <v>1</v>
      </c>
      <c r="X99" s="6"/>
      <c r="Y99" s="6"/>
      <c r="Z99" s="6"/>
      <c r="AA99" s="6"/>
      <c r="AB99" s="6"/>
      <c r="AC99" s="6">
        <v>2</v>
      </c>
      <c r="AD99" s="6">
        <v>2</v>
      </c>
      <c r="AE99" s="6"/>
      <c r="AF99" s="6">
        <v>2</v>
      </c>
      <c r="AG99" s="6"/>
      <c r="AH99" s="6">
        <v>1</v>
      </c>
      <c r="AI99" s="6">
        <v>3</v>
      </c>
      <c r="AJ99" s="6"/>
      <c r="AK99" s="6"/>
      <c r="AL99" s="6"/>
      <c r="AM99" s="6"/>
      <c r="AN99" s="6"/>
      <c r="AO99" s="6"/>
      <c r="AP99" s="5">
        <f t="shared" si="17"/>
        <v>28</v>
      </c>
    </row>
    <row r="100" spans="1:42" x14ac:dyDescent="0.4">
      <c r="A100" s="7"/>
      <c r="B100" s="50"/>
      <c r="C100" s="24" t="s">
        <v>181</v>
      </c>
      <c r="D100" s="51"/>
      <c r="E100" s="6">
        <v>11</v>
      </c>
      <c r="F100" s="6"/>
      <c r="G100" s="6">
        <v>10</v>
      </c>
      <c r="H100" s="6">
        <v>1</v>
      </c>
      <c r="I100" s="6">
        <v>8</v>
      </c>
      <c r="J100" s="6">
        <v>14</v>
      </c>
      <c r="K100" s="6">
        <v>5</v>
      </c>
      <c r="L100" s="6">
        <v>79</v>
      </c>
      <c r="M100" s="6">
        <v>1</v>
      </c>
      <c r="N100" s="6">
        <v>8</v>
      </c>
      <c r="O100" s="6">
        <v>2</v>
      </c>
      <c r="P100" s="6">
        <v>7</v>
      </c>
      <c r="Q100" s="6">
        <v>21</v>
      </c>
      <c r="R100" s="6">
        <v>1</v>
      </c>
      <c r="S100" s="6">
        <v>11</v>
      </c>
      <c r="T100" s="6">
        <v>22</v>
      </c>
      <c r="U100" s="6">
        <v>8</v>
      </c>
      <c r="V100" s="6">
        <v>30</v>
      </c>
      <c r="W100" s="6">
        <v>17</v>
      </c>
      <c r="X100" s="6">
        <v>8</v>
      </c>
      <c r="Y100" s="6">
        <v>7</v>
      </c>
      <c r="Z100" s="6">
        <v>1</v>
      </c>
      <c r="AA100" s="6">
        <v>13</v>
      </c>
      <c r="AB100" s="6">
        <v>6</v>
      </c>
      <c r="AC100" s="6">
        <v>1</v>
      </c>
      <c r="AD100" s="6">
        <v>1</v>
      </c>
      <c r="AE100" s="6">
        <v>6</v>
      </c>
      <c r="AF100" s="6">
        <v>2</v>
      </c>
      <c r="AG100" s="6">
        <v>9</v>
      </c>
      <c r="AH100" s="6">
        <v>2</v>
      </c>
      <c r="AI100" s="6">
        <v>3</v>
      </c>
      <c r="AJ100" s="6">
        <v>6</v>
      </c>
      <c r="AK100" s="6">
        <v>3</v>
      </c>
      <c r="AL100" s="6">
        <v>3</v>
      </c>
      <c r="AM100" s="6">
        <v>3</v>
      </c>
      <c r="AN100" s="6">
        <v>1</v>
      </c>
      <c r="AO100" s="6"/>
      <c r="AP100" s="5">
        <f t="shared" si="17"/>
        <v>331</v>
      </c>
    </row>
    <row r="101" spans="1:42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5">
        <f t="shared" si="17"/>
        <v>0</v>
      </c>
    </row>
    <row r="102" spans="1:42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5">
        <f t="shared" si="17"/>
        <v>0</v>
      </c>
    </row>
    <row r="103" spans="1:42" x14ac:dyDescent="0.4">
      <c r="A103" s="6" t="s">
        <v>26</v>
      </c>
      <c r="B103" s="85" t="s">
        <v>51</v>
      </c>
      <c r="C103" s="65"/>
      <c r="D103" s="66"/>
      <c r="E103" s="5">
        <f t="shared" ref="E103:AP103" si="18">SUM(E93:E102)</f>
        <v>14</v>
      </c>
      <c r="F103" s="5">
        <f t="shared" si="18"/>
        <v>5</v>
      </c>
      <c r="G103" s="5">
        <f t="shared" si="18"/>
        <v>14</v>
      </c>
      <c r="H103" s="5">
        <f t="shared" si="18"/>
        <v>7</v>
      </c>
      <c r="I103" s="5">
        <f t="shared" si="18"/>
        <v>22</v>
      </c>
      <c r="J103" s="5">
        <f t="shared" si="18"/>
        <v>21</v>
      </c>
      <c r="K103" s="5">
        <f t="shared" si="18"/>
        <v>6</v>
      </c>
      <c r="L103" s="5">
        <f t="shared" si="18"/>
        <v>87</v>
      </c>
      <c r="M103" s="5">
        <f t="shared" si="18"/>
        <v>12</v>
      </c>
      <c r="N103" s="5">
        <f t="shared" si="18"/>
        <v>24</v>
      </c>
      <c r="O103" s="5">
        <f t="shared" si="18"/>
        <v>2</v>
      </c>
      <c r="P103" s="5">
        <f t="shared" si="18"/>
        <v>10</v>
      </c>
      <c r="Q103" s="5">
        <f t="shared" si="18"/>
        <v>25</v>
      </c>
      <c r="R103" s="5">
        <f t="shared" si="18"/>
        <v>11</v>
      </c>
      <c r="S103" s="5">
        <f t="shared" si="18"/>
        <v>16</v>
      </c>
      <c r="T103" s="5">
        <f t="shared" si="18"/>
        <v>36</v>
      </c>
      <c r="U103" s="5">
        <f t="shared" si="18"/>
        <v>9</v>
      </c>
      <c r="V103" s="5">
        <f t="shared" si="18"/>
        <v>37</v>
      </c>
      <c r="W103" s="5">
        <f t="shared" si="18"/>
        <v>23</v>
      </c>
      <c r="X103" s="5">
        <f t="shared" si="18"/>
        <v>13</v>
      </c>
      <c r="Y103" s="5">
        <f t="shared" si="18"/>
        <v>48</v>
      </c>
      <c r="Z103" s="5">
        <f t="shared" si="18"/>
        <v>14</v>
      </c>
      <c r="AA103" s="5">
        <f t="shared" si="18"/>
        <v>18</v>
      </c>
      <c r="AB103" s="5">
        <f t="shared" si="18"/>
        <v>7</v>
      </c>
      <c r="AC103" s="5">
        <f t="shared" si="18"/>
        <v>17</v>
      </c>
      <c r="AD103" s="5">
        <f t="shared" si="18"/>
        <v>18</v>
      </c>
      <c r="AE103" s="5">
        <f t="shared" si="18"/>
        <v>11</v>
      </c>
      <c r="AF103" s="5">
        <f t="shared" si="18"/>
        <v>11</v>
      </c>
      <c r="AG103" s="5">
        <f t="shared" si="18"/>
        <v>11</v>
      </c>
      <c r="AH103" s="5">
        <f t="shared" si="18"/>
        <v>7</v>
      </c>
      <c r="AI103" s="5">
        <f t="shared" si="18"/>
        <v>6</v>
      </c>
      <c r="AJ103" s="5">
        <f t="shared" si="18"/>
        <v>79</v>
      </c>
      <c r="AK103" s="5">
        <f t="shared" si="18"/>
        <v>9</v>
      </c>
      <c r="AL103" s="5">
        <f t="shared" si="18"/>
        <v>4</v>
      </c>
      <c r="AM103" s="5">
        <f t="shared" si="18"/>
        <v>15</v>
      </c>
      <c r="AN103" s="5">
        <f t="shared" si="18"/>
        <v>5</v>
      </c>
      <c r="AO103" s="5">
        <f t="shared" si="18"/>
        <v>0</v>
      </c>
      <c r="AP103" s="5">
        <f t="shared" si="18"/>
        <v>674</v>
      </c>
    </row>
    <row r="104" spans="1:42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spans="1:42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>
        <v>1</v>
      </c>
      <c r="R105" s="6"/>
      <c r="S105" s="6">
        <v>1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5">
        <f t="shared" ref="AP105:AP114" si="19">SUM(E105:AO105)</f>
        <v>2</v>
      </c>
    </row>
    <row r="106" spans="1:42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>
        <v>1</v>
      </c>
      <c r="AC106" s="6"/>
      <c r="AD106" s="6"/>
      <c r="AE106" s="6">
        <v>1</v>
      </c>
      <c r="AF106" s="6"/>
      <c r="AG106" s="6"/>
      <c r="AH106" s="6"/>
      <c r="AI106" s="6"/>
      <c r="AJ106" s="6"/>
      <c r="AK106" s="6"/>
      <c r="AL106" s="6"/>
      <c r="AM106" s="6"/>
      <c r="AN106" s="6">
        <v>1</v>
      </c>
      <c r="AO106" s="6"/>
      <c r="AP106" s="5">
        <f t="shared" si="19"/>
        <v>4</v>
      </c>
    </row>
    <row r="107" spans="1:42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5">
        <f t="shared" si="19"/>
        <v>0</v>
      </c>
    </row>
    <row r="108" spans="1:42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5">
        <f t="shared" si="19"/>
        <v>0</v>
      </c>
    </row>
    <row r="109" spans="1:42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5">
        <f t="shared" si="19"/>
        <v>0</v>
      </c>
    </row>
    <row r="110" spans="1:42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5">
        <f t="shared" si="19"/>
        <v>0</v>
      </c>
    </row>
    <row r="111" spans="1:42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5">
        <f t="shared" si="19"/>
        <v>0</v>
      </c>
    </row>
    <row r="112" spans="1:42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5">
        <f t="shared" si="19"/>
        <v>0</v>
      </c>
    </row>
    <row r="113" spans="1:42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5">
        <f t="shared" si="19"/>
        <v>0</v>
      </c>
    </row>
    <row r="114" spans="1:42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5">
        <f t="shared" si="19"/>
        <v>0</v>
      </c>
    </row>
    <row r="115" spans="1:42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AP115" si="20">SUM(E105:E114)</f>
        <v>0</v>
      </c>
      <c r="F115" s="5">
        <f t="shared" si="20"/>
        <v>0</v>
      </c>
      <c r="G115" s="5">
        <f t="shared" si="20"/>
        <v>0</v>
      </c>
      <c r="H115" s="5">
        <f t="shared" si="20"/>
        <v>1</v>
      </c>
      <c r="I115" s="5">
        <f t="shared" si="20"/>
        <v>0</v>
      </c>
      <c r="J115" s="5">
        <f t="shared" si="20"/>
        <v>0</v>
      </c>
      <c r="K115" s="5">
        <f t="shared" si="20"/>
        <v>0</v>
      </c>
      <c r="L115" s="5">
        <f t="shared" si="20"/>
        <v>0</v>
      </c>
      <c r="M115" s="5">
        <f t="shared" si="20"/>
        <v>0</v>
      </c>
      <c r="N115" s="5">
        <f t="shared" si="20"/>
        <v>0</v>
      </c>
      <c r="O115" s="5">
        <f t="shared" si="20"/>
        <v>0</v>
      </c>
      <c r="P115" s="5">
        <f t="shared" si="20"/>
        <v>0</v>
      </c>
      <c r="Q115" s="5">
        <f t="shared" si="20"/>
        <v>1</v>
      </c>
      <c r="R115" s="5">
        <f t="shared" si="20"/>
        <v>0</v>
      </c>
      <c r="S115" s="5">
        <f t="shared" si="20"/>
        <v>1</v>
      </c>
      <c r="T115" s="5">
        <f t="shared" si="20"/>
        <v>0</v>
      </c>
      <c r="U115" s="5">
        <f t="shared" si="20"/>
        <v>0</v>
      </c>
      <c r="V115" s="5">
        <f t="shared" si="20"/>
        <v>0</v>
      </c>
      <c r="W115" s="5">
        <f t="shared" si="20"/>
        <v>0</v>
      </c>
      <c r="X115" s="5">
        <f t="shared" si="20"/>
        <v>0</v>
      </c>
      <c r="Y115" s="5">
        <f t="shared" si="20"/>
        <v>0</v>
      </c>
      <c r="Z115" s="5">
        <f t="shared" si="20"/>
        <v>0</v>
      </c>
      <c r="AA115" s="5">
        <f t="shared" si="20"/>
        <v>0</v>
      </c>
      <c r="AB115" s="5">
        <f t="shared" si="20"/>
        <v>1</v>
      </c>
      <c r="AC115" s="5">
        <f t="shared" si="20"/>
        <v>0</v>
      </c>
      <c r="AD115" s="5">
        <f t="shared" si="20"/>
        <v>0</v>
      </c>
      <c r="AE115" s="5">
        <f t="shared" si="20"/>
        <v>1</v>
      </c>
      <c r="AF115" s="5">
        <f t="shared" si="20"/>
        <v>0</v>
      </c>
      <c r="AG115" s="5">
        <f t="shared" si="20"/>
        <v>0</v>
      </c>
      <c r="AH115" s="5">
        <f t="shared" si="20"/>
        <v>0</v>
      </c>
      <c r="AI115" s="5">
        <f t="shared" si="20"/>
        <v>0</v>
      </c>
      <c r="AJ115" s="5">
        <f t="shared" si="20"/>
        <v>0</v>
      </c>
      <c r="AK115" s="5">
        <f t="shared" si="20"/>
        <v>0</v>
      </c>
      <c r="AL115" s="5">
        <f t="shared" si="20"/>
        <v>0</v>
      </c>
      <c r="AM115" s="5">
        <f t="shared" si="20"/>
        <v>0</v>
      </c>
      <c r="AN115" s="5">
        <f t="shared" si="20"/>
        <v>1</v>
      </c>
      <c r="AO115" s="5">
        <f t="shared" si="20"/>
        <v>0</v>
      </c>
      <c r="AP115" s="5">
        <f t="shared" si="20"/>
        <v>6</v>
      </c>
    </row>
    <row r="116" spans="1:42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5"/>
    </row>
    <row r="117" spans="1:42" x14ac:dyDescent="0.4">
      <c r="A117" s="11" t="s">
        <v>48</v>
      </c>
      <c r="B117" s="17" t="s">
        <v>59</v>
      </c>
      <c r="C117" s="92" t="s">
        <v>60</v>
      </c>
      <c r="D117" s="66"/>
      <c r="E117" s="6"/>
      <c r="F117" s="6"/>
      <c r="G117" s="6">
        <v>1</v>
      </c>
      <c r="H117" s="6"/>
      <c r="I117" s="6"/>
      <c r="J117" s="6"/>
      <c r="K117" s="6"/>
      <c r="L117" s="6"/>
      <c r="M117" s="6">
        <v>1</v>
      </c>
      <c r="N117" s="6"/>
      <c r="O117" s="6"/>
      <c r="P117" s="6"/>
      <c r="Q117" s="6">
        <v>1</v>
      </c>
      <c r="R117" s="6"/>
      <c r="S117" s="6">
        <v>4</v>
      </c>
      <c r="T117" s="6">
        <v>5</v>
      </c>
      <c r="U117" s="6"/>
      <c r="V117" s="6"/>
      <c r="W117" s="6">
        <v>2</v>
      </c>
      <c r="X117" s="6">
        <v>1</v>
      </c>
      <c r="Y117" s="6"/>
      <c r="Z117" s="6"/>
      <c r="AA117" s="6">
        <v>1</v>
      </c>
      <c r="AB117" s="6">
        <v>3</v>
      </c>
      <c r="AC117" s="6"/>
      <c r="AD117" s="6"/>
      <c r="AE117" s="6">
        <v>3</v>
      </c>
      <c r="AF117" s="6"/>
      <c r="AG117" s="6">
        <v>1</v>
      </c>
      <c r="AH117" s="6">
        <v>1</v>
      </c>
      <c r="AI117" s="6"/>
      <c r="AJ117" s="6"/>
      <c r="AK117" s="6">
        <v>1</v>
      </c>
      <c r="AL117" s="6">
        <v>1</v>
      </c>
      <c r="AM117" s="6">
        <v>1</v>
      </c>
      <c r="AN117" s="6"/>
      <c r="AO117" s="6"/>
      <c r="AP117" s="5">
        <f t="shared" ref="AP117:AP126" si="21">SUM(E117:AO117)</f>
        <v>27</v>
      </c>
    </row>
    <row r="118" spans="1:42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/>
      <c r="M118" s="6"/>
      <c r="N118" s="6">
        <v>1</v>
      </c>
      <c r="O118" s="6"/>
      <c r="P118" s="6"/>
      <c r="Q118" s="6"/>
      <c r="R118" s="6"/>
      <c r="S118" s="6">
        <v>1</v>
      </c>
      <c r="T118" s="6"/>
      <c r="U118" s="6"/>
      <c r="V118" s="6"/>
      <c r="W118" s="6"/>
      <c r="X118" s="6"/>
      <c r="Y118" s="6"/>
      <c r="Z118" s="6"/>
      <c r="AA118" s="6"/>
      <c r="AB118" s="6">
        <v>1</v>
      </c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5">
        <f t="shared" si="21"/>
        <v>3</v>
      </c>
    </row>
    <row r="119" spans="1:42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5">
        <f t="shared" si="21"/>
        <v>0</v>
      </c>
    </row>
    <row r="120" spans="1:42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5">
        <f t="shared" si="21"/>
        <v>0</v>
      </c>
    </row>
    <row r="121" spans="1:42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5">
        <f t="shared" si="21"/>
        <v>0</v>
      </c>
    </row>
    <row r="122" spans="1:42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5">
        <f t="shared" si="21"/>
        <v>0</v>
      </c>
    </row>
    <row r="123" spans="1:42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5">
        <f t="shared" si="21"/>
        <v>0</v>
      </c>
    </row>
    <row r="124" spans="1:42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5">
        <f t="shared" si="21"/>
        <v>0</v>
      </c>
    </row>
    <row r="125" spans="1:42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5">
        <f t="shared" si="21"/>
        <v>0</v>
      </c>
    </row>
    <row r="126" spans="1:42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5">
        <f t="shared" si="21"/>
        <v>0</v>
      </c>
    </row>
    <row r="127" spans="1:42" x14ac:dyDescent="0.4">
      <c r="A127" s="6" t="s">
        <v>26</v>
      </c>
      <c r="B127" s="85" t="s">
        <v>51</v>
      </c>
      <c r="C127" s="93"/>
      <c r="D127" s="94"/>
      <c r="E127" s="5">
        <f t="shared" ref="E127:AP127" si="22">SUM(E117:E126)</f>
        <v>0</v>
      </c>
      <c r="F127" s="5">
        <f t="shared" si="22"/>
        <v>0</v>
      </c>
      <c r="G127" s="5">
        <f t="shared" si="22"/>
        <v>1</v>
      </c>
      <c r="H127" s="5">
        <f t="shared" si="22"/>
        <v>0</v>
      </c>
      <c r="I127" s="5">
        <f t="shared" si="22"/>
        <v>0</v>
      </c>
      <c r="J127" s="5">
        <f t="shared" si="22"/>
        <v>0</v>
      </c>
      <c r="K127" s="5">
        <f t="shared" si="22"/>
        <v>0</v>
      </c>
      <c r="L127" s="5">
        <f t="shared" si="22"/>
        <v>0</v>
      </c>
      <c r="M127" s="5">
        <f t="shared" si="22"/>
        <v>1</v>
      </c>
      <c r="N127" s="5">
        <f t="shared" si="22"/>
        <v>1</v>
      </c>
      <c r="O127" s="5">
        <f t="shared" si="22"/>
        <v>0</v>
      </c>
      <c r="P127" s="5">
        <f t="shared" si="22"/>
        <v>0</v>
      </c>
      <c r="Q127" s="5">
        <f t="shared" si="22"/>
        <v>1</v>
      </c>
      <c r="R127" s="5">
        <f t="shared" si="22"/>
        <v>0</v>
      </c>
      <c r="S127" s="5">
        <f t="shared" si="22"/>
        <v>5</v>
      </c>
      <c r="T127" s="5">
        <f t="shared" si="22"/>
        <v>5</v>
      </c>
      <c r="U127" s="5">
        <f t="shared" si="22"/>
        <v>0</v>
      </c>
      <c r="V127" s="5">
        <f t="shared" si="22"/>
        <v>0</v>
      </c>
      <c r="W127" s="5">
        <f t="shared" si="22"/>
        <v>2</v>
      </c>
      <c r="X127" s="5">
        <f t="shared" si="22"/>
        <v>1</v>
      </c>
      <c r="Y127" s="5">
        <f t="shared" si="22"/>
        <v>0</v>
      </c>
      <c r="Z127" s="5">
        <f t="shared" si="22"/>
        <v>0</v>
      </c>
      <c r="AA127" s="5">
        <f t="shared" si="22"/>
        <v>1</v>
      </c>
      <c r="AB127" s="5">
        <f t="shared" si="22"/>
        <v>4</v>
      </c>
      <c r="AC127" s="5">
        <f t="shared" si="22"/>
        <v>0</v>
      </c>
      <c r="AD127" s="5">
        <f t="shared" si="22"/>
        <v>0</v>
      </c>
      <c r="AE127" s="5">
        <f t="shared" si="22"/>
        <v>3</v>
      </c>
      <c r="AF127" s="5">
        <f t="shared" si="22"/>
        <v>0</v>
      </c>
      <c r="AG127" s="5">
        <f t="shared" si="22"/>
        <v>1</v>
      </c>
      <c r="AH127" s="5">
        <f t="shared" si="22"/>
        <v>1</v>
      </c>
      <c r="AI127" s="5">
        <f t="shared" si="22"/>
        <v>0</v>
      </c>
      <c r="AJ127" s="5">
        <f t="shared" si="22"/>
        <v>0</v>
      </c>
      <c r="AK127" s="5">
        <f t="shared" si="22"/>
        <v>1</v>
      </c>
      <c r="AL127" s="5">
        <f t="shared" si="22"/>
        <v>1</v>
      </c>
      <c r="AM127" s="5">
        <f t="shared" si="22"/>
        <v>1</v>
      </c>
      <c r="AN127" s="5">
        <f t="shared" si="22"/>
        <v>0</v>
      </c>
      <c r="AO127" s="5">
        <f t="shared" si="22"/>
        <v>0</v>
      </c>
      <c r="AP127" s="5">
        <f t="shared" si="22"/>
        <v>30</v>
      </c>
    </row>
    <row r="128" spans="1:42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spans="1:42" x14ac:dyDescent="0.4">
      <c r="A129" s="11" t="s">
        <v>48</v>
      </c>
      <c r="B129" s="17" t="s">
        <v>61</v>
      </c>
      <c r="C129" s="92" t="s">
        <v>62</v>
      </c>
      <c r="D129" s="66"/>
      <c r="E129" s="6"/>
      <c r="F129" s="6"/>
      <c r="G129" s="6">
        <v>1</v>
      </c>
      <c r="H129" s="6"/>
      <c r="I129" s="6"/>
      <c r="J129" s="6"/>
      <c r="K129" s="6"/>
      <c r="L129" s="6"/>
      <c r="M129" s="6"/>
      <c r="N129" s="6">
        <v>1</v>
      </c>
      <c r="O129" s="6">
        <v>4</v>
      </c>
      <c r="P129" s="6"/>
      <c r="Q129" s="6">
        <v>2</v>
      </c>
      <c r="R129" s="6"/>
      <c r="S129" s="6">
        <v>2</v>
      </c>
      <c r="T129" s="6">
        <v>2</v>
      </c>
      <c r="U129" s="6">
        <v>1</v>
      </c>
      <c r="V129" s="6">
        <v>1</v>
      </c>
      <c r="W129" s="6"/>
      <c r="X129" s="6">
        <v>3</v>
      </c>
      <c r="Y129" s="6">
        <v>9</v>
      </c>
      <c r="Z129" s="6"/>
      <c r="AA129" s="6"/>
      <c r="AB129" s="6">
        <v>1</v>
      </c>
      <c r="AC129" s="6">
        <v>5</v>
      </c>
      <c r="AD129" s="6">
        <v>5</v>
      </c>
      <c r="AE129" s="6">
        <v>1</v>
      </c>
      <c r="AF129" s="6">
        <v>2</v>
      </c>
      <c r="AG129" s="6"/>
      <c r="AH129" s="6"/>
      <c r="AI129" s="6">
        <v>1</v>
      </c>
      <c r="AJ129" s="6"/>
      <c r="AK129" s="6">
        <v>4</v>
      </c>
      <c r="AL129" s="6"/>
      <c r="AM129" s="6">
        <v>1</v>
      </c>
      <c r="AN129" s="6"/>
      <c r="AO129" s="6"/>
      <c r="AP129" s="5">
        <f t="shared" ref="AP129:AP138" si="23">SUM(E129:AO129)</f>
        <v>46</v>
      </c>
    </row>
    <row r="130" spans="1:42" ht="13.15" customHeight="1" x14ac:dyDescent="0.4">
      <c r="A130" s="11" t="s">
        <v>50</v>
      </c>
      <c r="B130" s="50"/>
      <c r="C130" s="24" t="s">
        <v>184</v>
      </c>
      <c r="D130" s="51"/>
      <c r="E130" s="6">
        <v>2</v>
      </c>
      <c r="F130" s="6">
        <v>1</v>
      </c>
      <c r="G130" s="6">
        <v>11</v>
      </c>
      <c r="H130" s="6">
        <v>4</v>
      </c>
      <c r="I130" s="6">
        <v>7</v>
      </c>
      <c r="J130" s="6">
        <v>4</v>
      </c>
      <c r="K130" s="6">
        <v>3</v>
      </c>
      <c r="L130" s="6">
        <v>2</v>
      </c>
      <c r="M130" s="6">
        <v>5</v>
      </c>
      <c r="N130" s="6">
        <v>3</v>
      </c>
      <c r="O130" s="6">
        <v>2</v>
      </c>
      <c r="P130" s="6">
        <v>3</v>
      </c>
      <c r="Q130" s="6">
        <v>10</v>
      </c>
      <c r="R130" s="6">
        <v>4</v>
      </c>
      <c r="S130" s="6">
        <v>26</v>
      </c>
      <c r="T130" s="6">
        <v>16</v>
      </c>
      <c r="U130" s="6">
        <v>2</v>
      </c>
      <c r="V130" s="6">
        <v>18</v>
      </c>
      <c r="W130" s="6"/>
      <c r="X130" s="6">
        <v>17</v>
      </c>
      <c r="Y130" s="6">
        <v>46</v>
      </c>
      <c r="Z130" s="6">
        <v>4</v>
      </c>
      <c r="AA130" s="6">
        <v>1</v>
      </c>
      <c r="AB130" s="6">
        <v>5</v>
      </c>
      <c r="AC130" s="6">
        <v>42</v>
      </c>
      <c r="AD130" s="6">
        <v>42</v>
      </c>
      <c r="AE130" s="6">
        <v>7</v>
      </c>
      <c r="AF130" s="6">
        <v>4</v>
      </c>
      <c r="AG130" s="6">
        <v>11</v>
      </c>
      <c r="AH130" s="6">
        <v>10</v>
      </c>
      <c r="AI130" s="6">
        <v>8</v>
      </c>
      <c r="AJ130" s="6">
        <v>4</v>
      </c>
      <c r="AK130" s="6">
        <v>6</v>
      </c>
      <c r="AL130" s="6">
        <v>2</v>
      </c>
      <c r="AM130" s="6"/>
      <c r="AN130" s="6">
        <v>1</v>
      </c>
      <c r="AO130" s="6">
        <v>4</v>
      </c>
      <c r="AP130" s="5">
        <f t="shared" si="23"/>
        <v>337</v>
      </c>
    </row>
    <row r="131" spans="1:42" x14ac:dyDescent="0.4">
      <c r="A131" s="7"/>
      <c r="B131" s="50"/>
      <c r="C131" s="24" t="s">
        <v>185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>
        <v>1</v>
      </c>
      <c r="Q131" s="6"/>
      <c r="R131" s="6"/>
      <c r="S131" s="6"/>
      <c r="T131" s="6">
        <v>1</v>
      </c>
      <c r="U131" s="6">
        <v>1</v>
      </c>
      <c r="V131" s="6"/>
      <c r="W131" s="6"/>
      <c r="X131" s="6"/>
      <c r="Y131" s="6">
        <v>1</v>
      </c>
      <c r="Z131" s="6"/>
      <c r="AA131" s="6"/>
      <c r="AB131" s="6"/>
      <c r="AC131" s="6"/>
      <c r="AD131" s="6"/>
      <c r="AE131" s="6"/>
      <c r="AF131" s="6"/>
      <c r="AG131" s="6">
        <v>1</v>
      </c>
      <c r="AH131" s="6"/>
      <c r="AI131" s="6"/>
      <c r="AJ131" s="6"/>
      <c r="AK131" s="6"/>
      <c r="AL131" s="6"/>
      <c r="AM131" s="6"/>
      <c r="AN131" s="6"/>
      <c r="AO131" s="6"/>
      <c r="AP131" s="5">
        <f t="shared" si="23"/>
        <v>5</v>
      </c>
    </row>
    <row r="132" spans="1:42" x14ac:dyDescent="0.4">
      <c r="A132" s="7"/>
      <c r="B132" s="50"/>
      <c r="C132" s="24" t="s">
        <v>186</v>
      </c>
      <c r="D132" s="5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/>
      <c r="X132" s="6"/>
      <c r="Y132" s="6">
        <v>1</v>
      </c>
      <c r="Z132" s="6"/>
      <c r="AA132" s="6"/>
      <c r="AB132" s="6">
        <v>1</v>
      </c>
      <c r="AC132" s="6">
        <v>2</v>
      </c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5">
        <f t="shared" si="23"/>
        <v>5</v>
      </c>
    </row>
    <row r="133" spans="1:42" x14ac:dyDescent="0.4">
      <c r="A133" s="7"/>
      <c r="B133" s="50"/>
      <c r="C133" s="24" t="s">
        <v>187</v>
      </c>
      <c r="D133" s="5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>
        <v>1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5">
        <f t="shared" si="23"/>
        <v>1</v>
      </c>
    </row>
    <row r="134" spans="1:42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5">
        <f t="shared" si="23"/>
        <v>0</v>
      </c>
    </row>
    <row r="135" spans="1:42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>
        <v>1</v>
      </c>
      <c r="Q135" s="6"/>
      <c r="R135" s="6">
        <v>5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5">
        <f t="shared" si="23"/>
        <v>6</v>
      </c>
    </row>
    <row r="136" spans="1:42" x14ac:dyDescent="0.4">
      <c r="A136" s="7"/>
      <c r="B136" s="50"/>
      <c r="C136" s="24" t="s">
        <v>190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5">
        <f t="shared" si="23"/>
        <v>0</v>
      </c>
    </row>
    <row r="137" spans="1:42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5">
        <f t="shared" si="23"/>
        <v>0</v>
      </c>
    </row>
    <row r="138" spans="1:42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5">
        <f t="shared" si="23"/>
        <v>0</v>
      </c>
    </row>
    <row r="139" spans="1:42" x14ac:dyDescent="0.4">
      <c r="A139" s="6" t="s">
        <v>26</v>
      </c>
      <c r="B139" s="85" t="s">
        <v>51</v>
      </c>
      <c r="C139" s="93"/>
      <c r="D139" s="94"/>
      <c r="E139" s="5">
        <f t="shared" ref="E139:AP139" si="24">SUM(E129:E138)</f>
        <v>2</v>
      </c>
      <c r="F139" s="5">
        <f t="shared" si="24"/>
        <v>1</v>
      </c>
      <c r="G139" s="5">
        <f t="shared" si="24"/>
        <v>12</v>
      </c>
      <c r="H139" s="5">
        <f t="shared" si="24"/>
        <v>4</v>
      </c>
      <c r="I139" s="5">
        <f t="shared" si="24"/>
        <v>7</v>
      </c>
      <c r="J139" s="5">
        <f t="shared" si="24"/>
        <v>4</v>
      </c>
      <c r="K139" s="5">
        <f t="shared" si="24"/>
        <v>3</v>
      </c>
      <c r="L139" s="5">
        <f t="shared" si="24"/>
        <v>2</v>
      </c>
      <c r="M139" s="5">
        <f t="shared" si="24"/>
        <v>5</v>
      </c>
      <c r="N139" s="5">
        <f t="shared" si="24"/>
        <v>4</v>
      </c>
      <c r="O139" s="5">
        <f t="shared" si="24"/>
        <v>6</v>
      </c>
      <c r="P139" s="5">
        <f t="shared" si="24"/>
        <v>5</v>
      </c>
      <c r="Q139" s="5">
        <f t="shared" si="24"/>
        <v>12</v>
      </c>
      <c r="R139" s="5">
        <f t="shared" si="24"/>
        <v>9</v>
      </c>
      <c r="S139" s="5">
        <f t="shared" si="24"/>
        <v>29</v>
      </c>
      <c r="T139" s="5">
        <f t="shared" si="24"/>
        <v>19</v>
      </c>
      <c r="U139" s="5">
        <f t="shared" si="24"/>
        <v>5</v>
      </c>
      <c r="V139" s="5">
        <f t="shared" si="24"/>
        <v>19</v>
      </c>
      <c r="W139" s="5">
        <f t="shared" si="24"/>
        <v>0</v>
      </c>
      <c r="X139" s="5">
        <f t="shared" si="24"/>
        <v>20</v>
      </c>
      <c r="Y139" s="5">
        <f t="shared" si="24"/>
        <v>57</v>
      </c>
      <c r="Z139" s="5">
        <f t="shared" si="24"/>
        <v>4</v>
      </c>
      <c r="AA139" s="5">
        <f t="shared" si="24"/>
        <v>1</v>
      </c>
      <c r="AB139" s="5">
        <f t="shared" si="24"/>
        <v>7</v>
      </c>
      <c r="AC139" s="5">
        <f t="shared" si="24"/>
        <v>49</v>
      </c>
      <c r="AD139" s="5">
        <f t="shared" si="24"/>
        <v>47</v>
      </c>
      <c r="AE139" s="5">
        <f t="shared" si="24"/>
        <v>8</v>
      </c>
      <c r="AF139" s="5">
        <f t="shared" si="24"/>
        <v>6</v>
      </c>
      <c r="AG139" s="5">
        <f t="shared" si="24"/>
        <v>12</v>
      </c>
      <c r="AH139" s="5">
        <f t="shared" si="24"/>
        <v>10</v>
      </c>
      <c r="AI139" s="5">
        <f t="shared" si="24"/>
        <v>9</v>
      </c>
      <c r="AJ139" s="5">
        <f t="shared" si="24"/>
        <v>4</v>
      </c>
      <c r="AK139" s="5">
        <f t="shared" si="24"/>
        <v>10</v>
      </c>
      <c r="AL139" s="5">
        <f t="shared" si="24"/>
        <v>2</v>
      </c>
      <c r="AM139" s="5">
        <f t="shared" si="24"/>
        <v>1</v>
      </c>
      <c r="AN139" s="5">
        <f t="shared" si="24"/>
        <v>1</v>
      </c>
      <c r="AO139" s="5">
        <f t="shared" si="24"/>
        <v>4</v>
      </c>
      <c r="AP139" s="5">
        <f t="shared" si="24"/>
        <v>400</v>
      </c>
    </row>
    <row r="140" spans="1:42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spans="1:42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>
        <v>1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5">
        <f t="shared" ref="AP141:AP150" si="25">SUM(E141:AO141)</f>
        <v>1</v>
      </c>
    </row>
    <row r="142" spans="1:42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>
        <v>1</v>
      </c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>
        <v>1</v>
      </c>
      <c r="AM142" s="6"/>
      <c r="AN142" s="6"/>
      <c r="AO142" s="6"/>
      <c r="AP142" s="5">
        <f t="shared" si="25"/>
        <v>2</v>
      </c>
    </row>
    <row r="143" spans="1:42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>
        <v>1</v>
      </c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5">
        <f t="shared" si="25"/>
        <v>1</v>
      </c>
    </row>
    <row r="144" spans="1:42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5">
        <f t="shared" si="25"/>
        <v>0</v>
      </c>
    </row>
    <row r="145" spans="1:42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5">
        <f t="shared" si="25"/>
        <v>0</v>
      </c>
    </row>
    <row r="146" spans="1:42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5">
        <f t="shared" si="25"/>
        <v>0</v>
      </c>
    </row>
    <row r="147" spans="1:42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5">
        <f t="shared" si="25"/>
        <v>0</v>
      </c>
    </row>
    <row r="148" spans="1:42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5">
        <f t="shared" si="25"/>
        <v>0</v>
      </c>
    </row>
    <row r="149" spans="1:42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5">
        <f t="shared" si="25"/>
        <v>0</v>
      </c>
    </row>
    <row r="150" spans="1:42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5">
        <f t="shared" si="25"/>
        <v>0</v>
      </c>
    </row>
    <row r="151" spans="1:42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AP151" si="26">SUM(E141:E150)</f>
        <v>0</v>
      </c>
      <c r="F151" s="5">
        <f t="shared" si="26"/>
        <v>0</v>
      </c>
      <c r="G151" s="5">
        <f t="shared" si="26"/>
        <v>0</v>
      </c>
      <c r="H151" s="5">
        <f t="shared" si="26"/>
        <v>0</v>
      </c>
      <c r="I151" s="5">
        <f t="shared" si="26"/>
        <v>0</v>
      </c>
      <c r="J151" s="5">
        <f t="shared" si="26"/>
        <v>0</v>
      </c>
      <c r="K151" s="5">
        <f t="shared" si="26"/>
        <v>0</v>
      </c>
      <c r="L151" s="5">
        <f t="shared" si="26"/>
        <v>0</v>
      </c>
      <c r="M151" s="5">
        <f t="shared" si="26"/>
        <v>0</v>
      </c>
      <c r="N151" s="5">
        <f t="shared" si="26"/>
        <v>0</v>
      </c>
      <c r="O151" s="5">
        <f t="shared" si="26"/>
        <v>0</v>
      </c>
      <c r="P151" s="5">
        <f t="shared" si="26"/>
        <v>0</v>
      </c>
      <c r="Q151" s="5">
        <f t="shared" si="26"/>
        <v>0</v>
      </c>
      <c r="R151" s="5">
        <f t="shared" si="26"/>
        <v>1</v>
      </c>
      <c r="S151" s="5">
        <f t="shared" si="26"/>
        <v>0</v>
      </c>
      <c r="T151" s="5">
        <f t="shared" si="26"/>
        <v>0</v>
      </c>
      <c r="U151" s="5">
        <f t="shared" si="26"/>
        <v>0</v>
      </c>
      <c r="V151" s="5">
        <f t="shared" si="26"/>
        <v>1</v>
      </c>
      <c r="W151" s="5">
        <f t="shared" si="26"/>
        <v>0</v>
      </c>
      <c r="X151" s="5">
        <f t="shared" si="26"/>
        <v>0</v>
      </c>
      <c r="Y151" s="5">
        <f t="shared" si="26"/>
        <v>0</v>
      </c>
      <c r="Z151" s="5">
        <f t="shared" si="26"/>
        <v>0</v>
      </c>
      <c r="AA151" s="5">
        <f t="shared" si="26"/>
        <v>0</v>
      </c>
      <c r="AB151" s="5">
        <f t="shared" si="26"/>
        <v>0</v>
      </c>
      <c r="AC151" s="5">
        <f t="shared" si="26"/>
        <v>1</v>
      </c>
      <c r="AD151" s="5">
        <f t="shared" si="26"/>
        <v>0</v>
      </c>
      <c r="AE151" s="5">
        <f t="shared" si="26"/>
        <v>0</v>
      </c>
      <c r="AF151" s="5">
        <f t="shared" si="26"/>
        <v>0</v>
      </c>
      <c r="AG151" s="5">
        <f t="shared" si="26"/>
        <v>0</v>
      </c>
      <c r="AH151" s="5">
        <f t="shared" si="26"/>
        <v>0</v>
      </c>
      <c r="AI151" s="5">
        <f t="shared" si="26"/>
        <v>0</v>
      </c>
      <c r="AJ151" s="5">
        <f t="shared" si="26"/>
        <v>0</v>
      </c>
      <c r="AK151" s="5">
        <f t="shared" si="26"/>
        <v>0</v>
      </c>
      <c r="AL151" s="5">
        <f t="shared" si="26"/>
        <v>1</v>
      </c>
      <c r="AM151" s="5">
        <f t="shared" si="26"/>
        <v>0</v>
      </c>
      <c r="AN151" s="5">
        <f t="shared" si="26"/>
        <v>0</v>
      </c>
      <c r="AO151" s="5">
        <f t="shared" si="26"/>
        <v>0</v>
      </c>
      <c r="AP151" s="5">
        <f t="shared" si="26"/>
        <v>4</v>
      </c>
    </row>
    <row r="152" spans="1:42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5"/>
    </row>
    <row r="153" spans="1:42" x14ac:dyDescent="0.4">
      <c r="A153" s="11" t="s">
        <v>48</v>
      </c>
      <c r="B153" s="44" t="s">
        <v>65</v>
      </c>
      <c r="C153" s="96" t="s">
        <v>66</v>
      </c>
      <c r="D153" s="7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>
        <v>1</v>
      </c>
      <c r="R153" s="6"/>
      <c r="S153" s="6"/>
      <c r="T153" s="6"/>
      <c r="U153" s="6"/>
      <c r="V153" s="6"/>
      <c r="W153" s="6"/>
      <c r="X153" s="6">
        <v>1</v>
      </c>
      <c r="Y153" s="6"/>
      <c r="Z153" s="6"/>
      <c r="AA153" s="6"/>
      <c r="AB153" s="6"/>
      <c r="AC153" s="6"/>
      <c r="AD153" s="6"/>
      <c r="AE153" s="6"/>
      <c r="AF153" s="6">
        <v>1</v>
      </c>
      <c r="AG153" s="6"/>
      <c r="AH153" s="6"/>
      <c r="AI153" s="6"/>
      <c r="AJ153" s="6"/>
      <c r="AK153" s="6"/>
      <c r="AL153" s="6">
        <v>1</v>
      </c>
      <c r="AM153" s="6"/>
      <c r="AN153" s="6"/>
      <c r="AO153" s="6"/>
      <c r="AP153" s="5">
        <f t="shared" ref="AP153:AP162" si="27">SUM(E153:AO153)</f>
        <v>4</v>
      </c>
    </row>
    <row r="154" spans="1:42" x14ac:dyDescent="0.4">
      <c r="A154" s="52" t="s">
        <v>50</v>
      </c>
      <c r="B154" s="50"/>
      <c r="C154" s="24" t="s">
        <v>193</v>
      </c>
      <c r="D154" s="51"/>
      <c r="E154" s="53"/>
      <c r="F154" s="6"/>
      <c r="G154" s="6">
        <v>1</v>
      </c>
      <c r="H154" s="6"/>
      <c r="I154" s="6"/>
      <c r="J154" s="6"/>
      <c r="K154" s="6"/>
      <c r="L154" s="6"/>
      <c r="M154" s="6"/>
      <c r="N154" s="6"/>
      <c r="O154" s="6"/>
      <c r="P154" s="6"/>
      <c r="Q154" s="6">
        <v>1</v>
      </c>
      <c r="R154" s="6"/>
      <c r="S154" s="6"/>
      <c r="T154" s="6"/>
      <c r="U154" s="6"/>
      <c r="V154" s="6"/>
      <c r="W154" s="6"/>
      <c r="X154" s="6"/>
      <c r="Y154" s="6">
        <v>3</v>
      </c>
      <c r="Z154" s="6"/>
      <c r="AA154" s="6"/>
      <c r="AB154" s="6"/>
      <c r="AC154" s="6"/>
      <c r="AD154" s="6">
        <v>1</v>
      </c>
      <c r="AE154" s="6"/>
      <c r="AF154" s="6"/>
      <c r="AG154" s="6">
        <v>1</v>
      </c>
      <c r="AH154" s="6"/>
      <c r="AI154" s="6"/>
      <c r="AJ154" s="6">
        <v>1</v>
      </c>
      <c r="AK154" s="6"/>
      <c r="AL154" s="6"/>
      <c r="AM154" s="6"/>
      <c r="AN154" s="6"/>
      <c r="AO154" s="6"/>
      <c r="AP154" s="5">
        <f t="shared" si="27"/>
        <v>8</v>
      </c>
    </row>
    <row r="155" spans="1:42" x14ac:dyDescent="0.4">
      <c r="A155" s="7"/>
      <c r="B155" s="50"/>
      <c r="C155" s="24" t="s">
        <v>194</v>
      </c>
      <c r="D155" s="51"/>
      <c r="E155" s="53">
        <v>4</v>
      </c>
      <c r="F155" s="6">
        <v>4</v>
      </c>
      <c r="G155" s="6">
        <v>1</v>
      </c>
      <c r="H155" s="6">
        <v>1</v>
      </c>
      <c r="I155" s="6"/>
      <c r="J155" s="6"/>
      <c r="K155" s="6">
        <v>4</v>
      </c>
      <c r="L155" s="6"/>
      <c r="M155" s="6">
        <v>4</v>
      </c>
      <c r="N155" s="6">
        <v>3</v>
      </c>
      <c r="O155" s="6"/>
      <c r="P155" s="6">
        <v>1</v>
      </c>
      <c r="Q155" s="6">
        <v>6</v>
      </c>
      <c r="R155" s="6">
        <v>2</v>
      </c>
      <c r="S155" s="6"/>
      <c r="T155" s="6">
        <v>2</v>
      </c>
      <c r="U155" s="6">
        <v>3</v>
      </c>
      <c r="V155" s="6">
        <v>7</v>
      </c>
      <c r="W155" s="6">
        <v>2</v>
      </c>
      <c r="X155" s="6">
        <v>1</v>
      </c>
      <c r="Y155" s="6">
        <v>4</v>
      </c>
      <c r="Z155" s="6">
        <v>5</v>
      </c>
      <c r="AA155" s="6">
        <v>4</v>
      </c>
      <c r="AB155" s="6">
        <v>8</v>
      </c>
      <c r="AC155" s="6">
        <v>1</v>
      </c>
      <c r="AD155" s="6">
        <v>1</v>
      </c>
      <c r="AE155" s="6">
        <v>4</v>
      </c>
      <c r="AF155" s="6">
        <v>1</v>
      </c>
      <c r="AG155" s="6">
        <v>1</v>
      </c>
      <c r="AH155" s="6"/>
      <c r="AI155" s="6"/>
      <c r="AJ155" s="6">
        <v>1</v>
      </c>
      <c r="AK155" s="6"/>
      <c r="AL155" s="6"/>
      <c r="AM155" s="6"/>
      <c r="AN155" s="6"/>
      <c r="AO155" s="6"/>
      <c r="AP155" s="5">
        <f t="shared" si="27"/>
        <v>75</v>
      </c>
    </row>
    <row r="156" spans="1:42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/>
      <c r="J156" s="6"/>
      <c r="K156" s="6"/>
      <c r="L156" s="6"/>
      <c r="M156" s="6">
        <v>1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5">
        <f t="shared" si="27"/>
        <v>1</v>
      </c>
    </row>
    <row r="157" spans="1:42" x14ac:dyDescent="0.4">
      <c r="A157" s="7"/>
      <c r="B157" s="50"/>
      <c r="C157" s="24" t="s">
        <v>196</v>
      </c>
      <c r="D157" s="51"/>
      <c r="E157" s="53"/>
      <c r="F157" s="6"/>
      <c r="G157" s="6"/>
      <c r="H157" s="6"/>
      <c r="I157" s="6"/>
      <c r="J157" s="6"/>
      <c r="K157" s="6">
        <v>6</v>
      </c>
      <c r="L157" s="6">
        <v>1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>
        <v>4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5">
        <f t="shared" si="27"/>
        <v>11</v>
      </c>
    </row>
    <row r="158" spans="1:42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5">
        <f t="shared" si="27"/>
        <v>0</v>
      </c>
    </row>
    <row r="159" spans="1:42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5">
        <f t="shared" si="27"/>
        <v>0</v>
      </c>
    </row>
    <row r="160" spans="1:42" x14ac:dyDescent="0.4">
      <c r="A160" s="7"/>
      <c r="B160" s="50"/>
      <c r="C160" s="24" t="s">
        <v>199</v>
      </c>
      <c r="D160" s="51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5">
        <f t="shared" si="27"/>
        <v>0</v>
      </c>
    </row>
    <row r="161" spans="1:42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5">
        <f t="shared" si="27"/>
        <v>0</v>
      </c>
    </row>
    <row r="162" spans="1:42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5">
        <f t="shared" si="27"/>
        <v>0</v>
      </c>
    </row>
    <row r="163" spans="1:42" x14ac:dyDescent="0.4">
      <c r="A163" s="6" t="s">
        <v>26</v>
      </c>
      <c r="B163" s="97" t="s">
        <v>51</v>
      </c>
      <c r="C163" s="98"/>
      <c r="D163" s="99"/>
      <c r="E163" s="5">
        <f t="shared" ref="E163:AP163" si="28">SUM(E153:E162)</f>
        <v>4</v>
      </c>
      <c r="F163" s="5">
        <f t="shared" si="28"/>
        <v>4</v>
      </c>
      <c r="G163" s="5">
        <f t="shared" si="28"/>
        <v>2</v>
      </c>
      <c r="H163" s="5">
        <f t="shared" si="28"/>
        <v>1</v>
      </c>
      <c r="I163" s="5">
        <f t="shared" si="28"/>
        <v>0</v>
      </c>
      <c r="J163" s="5">
        <f t="shared" si="28"/>
        <v>0</v>
      </c>
      <c r="K163" s="5">
        <f t="shared" si="28"/>
        <v>10</v>
      </c>
      <c r="L163" s="5">
        <f t="shared" si="28"/>
        <v>1</v>
      </c>
      <c r="M163" s="5">
        <f t="shared" si="28"/>
        <v>5</v>
      </c>
      <c r="N163" s="5">
        <f t="shared" si="28"/>
        <v>3</v>
      </c>
      <c r="O163" s="5">
        <f t="shared" si="28"/>
        <v>0</v>
      </c>
      <c r="P163" s="5">
        <f t="shared" si="28"/>
        <v>1</v>
      </c>
      <c r="Q163" s="5">
        <f t="shared" si="28"/>
        <v>8</v>
      </c>
      <c r="R163" s="5">
        <f t="shared" si="28"/>
        <v>2</v>
      </c>
      <c r="S163" s="5">
        <f t="shared" si="28"/>
        <v>0</v>
      </c>
      <c r="T163" s="5">
        <f t="shared" si="28"/>
        <v>2</v>
      </c>
      <c r="U163" s="5">
        <f t="shared" si="28"/>
        <v>3</v>
      </c>
      <c r="V163" s="5">
        <f t="shared" si="28"/>
        <v>7</v>
      </c>
      <c r="W163" s="5">
        <f t="shared" si="28"/>
        <v>2</v>
      </c>
      <c r="X163" s="5">
        <f t="shared" si="28"/>
        <v>2</v>
      </c>
      <c r="Y163" s="5">
        <f t="shared" si="28"/>
        <v>7</v>
      </c>
      <c r="Z163" s="5">
        <f t="shared" si="28"/>
        <v>5</v>
      </c>
      <c r="AA163" s="5">
        <f t="shared" si="28"/>
        <v>4</v>
      </c>
      <c r="AB163" s="5">
        <f t="shared" si="28"/>
        <v>8</v>
      </c>
      <c r="AC163" s="5">
        <f t="shared" si="28"/>
        <v>1</v>
      </c>
      <c r="AD163" s="5">
        <f t="shared" si="28"/>
        <v>6</v>
      </c>
      <c r="AE163" s="5">
        <f t="shared" si="28"/>
        <v>4</v>
      </c>
      <c r="AF163" s="5">
        <f t="shared" si="28"/>
        <v>2</v>
      </c>
      <c r="AG163" s="5">
        <f t="shared" si="28"/>
        <v>2</v>
      </c>
      <c r="AH163" s="5">
        <f t="shared" si="28"/>
        <v>0</v>
      </c>
      <c r="AI163" s="5">
        <f t="shared" si="28"/>
        <v>0</v>
      </c>
      <c r="AJ163" s="5">
        <f t="shared" si="28"/>
        <v>2</v>
      </c>
      <c r="AK163" s="5">
        <f t="shared" si="28"/>
        <v>0</v>
      </c>
      <c r="AL163" s="5">
        <f t="shared" si="28"/>
        <v>1</v>
      </c>
      <c r="AM163" s="5">
        <f t="shared" si="28"/>
        <v>0</v>
      </c>
      <c r="AN163" s="5">
        <f t="shared" si="28"/>
        <v>0</v>
      </c>
      <c r="AO163" s="5">
        <f t="shared" si="28"/>
        <v>0</v>
      </c>
      <c r="AP163" s="5">
        <f t="shared" si="28"/>
        <v>99</v>
      </c>
    </row>
    <row r="164" spans="1:42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spans="1:42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/>
      <c r="F165" s="6">
        <v>2</v>
      </c>
      <c r="G165" s="6"/>
      <c r="H165" s="6"/>
      <c r="I165" s="6"/>
      <c r="J165" s="6"/>
      <c r="K165" s="6">
        <v>1</v>
      </c>
      <c r="L165" s="6"/>
      <c r="M165" s="6">
        <v>1</v>
      </c>
      <c r="N165" s="6"/>
      <c r="O165" s="6"/>
      <c r="P165" s="6"/>
      <c r="Q165" s="6">
        <v>1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>
        <v>1</v>
      </c>
      <c r="AL165" s="6"/>
      <c r="AM165" s="6"/>
      <c r="AN165" s="6"/>
      <c r="AO165" s="6"/>
      <c r="AP165" s="5">
        <f t="shared" ref="AP165:AP174" si="29">SUM(E165:AO165)</f>
        <v>6</v>
      </c>
    </row>
    <row r="166" spans="1:42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5">
        <f t="shared" si="29"/>
        <v>0</v>
      </c>
    </row>
    <row r="167" spans="1:42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5">
        <f t="shared" si="29"/>
        <v>0</v>
      </c>
    </row>
    <row r="168" spans="1:42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5">
        <f t="shared" si="29"/>
        <v>0</v>
      </c>
    </row>
    <row r="169" spans="1:42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5">
        <f t="shared" si="29"/>
        <v>0</v>
      </c>
    </row>
    <row r="170" spans="1:42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5">
        <f t="shared" si="29"/>
        <v>0</v>
      </c>
    </row>
    <row r="171" spans="1:42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5">
        <f t="shared" si="29"/>
        <v>0</v>
      </c>
    </row>
    <row r="172" spans="1:42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5">
        <f t="shared" si="29"/>
        <v>0</v>
      </c>
    </row>
    <row r="173" spans="1:42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5">
        <f t="shared" si="29"/>
        <v>0</v>
      </c>
    </row>
    <row r="174" spans="1:42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5">
        <f t="shared" si="29"/>
        <v>0</v>
      </c>
    </row>
    <row r="175" spans="1:42" x14ac:dyDescent="0.4">
      <c r="A175" s="6" t="s">
        <v>26</v>
      </c>
      <c r="B175" s="85" t="s">
        <v>51</v>
      </c>
      <c r="C175" s="93"/>
      <c r="D175" s="94"/>
      <c r="E175" s="5">
        <f t="shared" ref="E175:AP175" si="30">SUM(E165:E174)</f>
        <v>0</v>
      </c>
      <c r="F175" s="5">
        <f t="shared" si="30"/>
        <v>2</v>
      </c>
      <c r="G175" s="5">
        <f t="shared" si="30"/>
        <v>0</v>
      </c>
      <c r="H175" s="5">
        <f t="shared" si="30"/>
        <v>0</v>
      </c>
      <c r="I175" s="5">
        <f t="shared" si="30"/>
        <v>0</v>
      </c>
      <c r="J175" s="5">
        <f t="shared" si="30"/>
        <v>0</v>
      </c>
      <c r="K175" s="5">
        <f t="shared" si="30"/>
        <v>1</v>
      </c>
      <c r="L175" s="5">
        <f t="shared" si="30"/>
        <v>0</v>
      </c>
      <c r="M175" s="5">
        <f t="shared" si="30"/>
        <v>1</v>
      </c>
      <c r="N175" s="5">
        <f t="shared" si="30"/>
        <v>0</v>
      </c>
      <c r="O175" s="5">
        <f t="shared" si="30"/>
        <v>0</v>
      </c>
      <c r="P175" s="5">
        <f t="shared" si="30"/>
        <v>0</v>
      </c>
      <c r="Q175" s="5">
        <f t="shared" si="30"/>
        <v>1</v>
      </c>
      <c r="R175" s="5">
        <f t="shared" si="30"/>
        <v>0</v>
      </c>
      <c r="S175" s="5">
        <f t="shared" si="30"/>
        <v>0</v>
      </c>
      <c r="T175" s="5">
        <f t="shared" si="30"/>
        <v>0</v>
      </c>
      <c r="U175" s="5">
        <f t="shared" si="30"/>
        <v>0</v>
      </c>
      <c r="V175" s="5">
        <f t="shared" si="30"/>
        <v>0</v>
      </c>
      <c r="W175" s="5">
        <f t="shared" si="30"/>
        <v>0</v>
      </c>
      <c r="X175" s="5">
        <f t="shared" si="30"/>
        <v>0</v>
      </c>
      <c r="Y175" s="5">
        <f t="shared" si="30"/>
        <v>0</v>
      </c>
      <c r="Z175" s="5">
        <f t="shared" si="30"/>
        <v>0</v>
      </c>
      <c r="AA175" s="5">
        <f t="shared" si="30"/>
        <v>0</v>
      </c>
      <c r="AB175" s="5">
        <f t="shared" si="30"/>
        <v>0</v>
      </c>
      <c r="AC175" s="5">
        <f t="shared" si="30"/>
        <v>0</v>
      </c>
      <c r="AD175" s="5">
        <f t="shared" si="30"/>
        <v>0</v>
      </c>
      <c r="AE175" s="5">
        <f t="shared" si="30"/>
        <v>0</v>
      </c>
      <c r="AF175" s="5">
        <f t="shared" si="30"/>
        <v>0</v>
      </c>
      <c r="AG175" s="5">
        <f t="shared" si="30"/>
        <v>0</v>
      </c>
      <c r="AH175" s="5">
        <f t="shared" si="30"/>
        <v>0</v>
      </c>
      <c r="AI175" s="5">
        <f t="shared" si="30"/>
        <v>0</v>
      </c>
      <c r="AJ175" s="5">
        <f t="shared" si="30"/>
        <v>0</v>
      </c>
      <c r="AK175" s="5">
        <f t="shared" si="30"/>
        <v>1</v>
      </c>
      <c r="AL175" s="5">
        <f t="shared" si="30"/>
        <v>0</v>
      </c>
      <c r="AM175" s="5">
        <f t="shared" si="30"/>
        <v>0</v>
      </c>
      <c r="AN175" s="5">
        <f t="shared" si="30"/>
        <v>0</v>
      </c>
      <c r="AO175" s="5">
        <f t="shared" si="30"/>
        <v>0</v>
      </c>
      <c r="AP175" s="5">
        <f t="shared" si="30"/>
        <v>6</v>
      </c>
    </row>
    <row r="176" spans="1:42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spans="1:42" x14ac:dyDescent="0.4">
      <c r="A177" s="11" t="s">
        <v>48</v>
      </c>
      <c r="B177" s="17" t="s">
        <v>69</v>
      </c>
      <c r="C177" s="92" t="s">
        <v>70</v>
      </c>
      <c r="D177" s="66"/>
      <c r="E177" s="6">
        <v>1</v>
      </c>
      <c r="F177" s="6">
        <v>1</v>
      </c>
      <c r="G177" s="6">
        <v>1</v>
      </c>
      <c r="H177" s="6">
        <v>1</v>
      </c>
      <c r="I177" s="6"/>
      <c r="J177" s="6">
        <v>1</v>
      </c>
      <c r="K177" s="6">
        <v>1</v>
      </c>
      <c r="L177" s="6"/>
      <c r="M177" s="6"/>
      <c r="N177" s="6"/>
      <c r="O177" s="6">
        <v>1</v>
      </c>
      <c r="P177" s="6">
        <v>1</v>
      </c>
      <c r="Q177" s="6"/>
      <c r="R177" s="6">
        <v>1</v>
      </c>
      <c r="S177" s="6">
        <v>1</v>
      </c>
      <c r="T177" s="6">
        <v>2</v>
      </c>
      <c r="U177" s="6"/>
      <c r="V177" s="6">
        <v>2</v>
      </c>
      <c r="W177" s="6">
        <v>2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>
        <v>1</v>
      </c>
      <c r="AH177" s="6"/>
      <c r="AI177" s="6"/>
      <c r="AJ177" s="6"/>
      <c r="AK177" s="6"/>
      <c r="AL177" s="6"/>
      <c r="AM177" s="6"/>
      <c r="AN177" s="6"/>
      <c r="AO177" s="6"/>
      <c r="AP177" s="5">
        <f t="shared" ref="AP177:AP186" si="31">SUM(E177:AO177)</f>
        <v>17</v>
      </c>
    </row>
    <row r="178" spans="1:42" x14ac:dyDescent="0.4">
      <c r="A178" s="11" t="s">
        <v>50</v>
      </c>
      <c r="B178" s="50"/>
      <c r="C178" s="24" t="s">
        <v>200</v>
      </c>
      <c r="D178" s="51"/>
      <c r="E178" s="6">
        <v>1</v>
      </c>
      <c r="F178" s="6"/>
      <c r="G178" s="6"/>
      <c r="H178" s="6"/>
      <c r="I178" s="6"/>
      <c r="J178" s="6">
        <v>1</v>
      </c>
      <c r="K178" s="6"/>
      <c r="L178" s="6"/>
      <c r="M178" s="6"/>
      <c r="N178" s="6"/>
      <c r="O178" s="6"/>
      <c r="P178" s="6">
        <v>1</v>
      </c>
      <c r="Q178" s="6"/>
      <c r="R178" s="6">
        <v>3</v>
      </c>
      <c r="S178" s="6"/>
      <c r="T178" s="6"/>
      <c r="U178" s="6"/>
      <c r="V178" s="6"/>
      <c r="W178" s="6">
        <v>1</v>
      </c>
      <c r="X178" s="6">
        <v>1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5">
        <f t="shared" si="31"/>
        <v>8</v>
      </c>
    </row>
    <row r="179" spans="1:42" x14ac:dyDescent="0.4">
      <c r="A179" s="7"/>
      <c r="B179" s="50"/>
      <c r="C179" s="24" t="s">
        <v>201</v>
      </c>
      <c r="D179" s="51"/>
      <c r="E179" s="6"/>
      <c r="F179" s="6">
        <v>1</v>
      </c>
      <c r="G179" s="6"/>
      <c r="H179" s="6"/>
      <c r="I179" s="6"/>
      <c r="J179" s="6">
        <v>1</v>
      </c>
      <c r="K179" s="6"/>
      <c r="L179" s="6">
        <v>1</v>
      </c>
      <c r="M179" s="6"/>
      <c r="N179" s="6"/>
      <c r="O179" s="6">
        <v>1</v>
      </c>
      <c r="P179" s="6"/>
      <c r="Q179" s="6"/>
      <c r="R179" s="6"/>
      <c r="S179" s="6"/>
      <c r="T179" s="6">
        <v>1</v>
      </c>
      <c r="U179" s="6"/>
      <c r="V179" s="6"/>
      <c r="W179" s="6">
        <v>1</v>
      </c>
      <c r="X179" s="6"/>
      <c r="Y179" s="6"/>
      <c r="Z179" s="6">
        <v>1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5">
        <f t="shared" si="31"/>
        <v>7</v>
      </c>
    </row>
    <row r="180" spans="1:42" x14ac:dyDescent="0.4">
      <c r="A180" s="7"/>
      <c r="B180" s="50"/>
      <c r="C180" s="24" t="s">
        <v>202</v>
      </c>
      <c r="D180" s="51"/>
      <c r="E180" s="6">
        <v>4</v>
      </c>
      <c r="F180" s="6">
        <v>7</v>
      </c>
      <c r="G180" s="6">
        <v>6</v>
      </c>
      <c r="H180" s="6"/>
      <c r="I180" s="6"/>
      <c r="J180" s="6"/>
      <c r="K180" s="6">
        <v>1</v>
      </c>
      <c r="L180" s="6"/>
      <c r="M180" s="6"/>
      <c r="N180" s="6"/>
      <c r="O180" s="6"/>
      <c r="P180" s="6"/>
      <c r="Q180" s="6">
        <v>9</v>
      </c>
      <c r="R180" s="6"/>
      <c r="S180" s="6"/>
      <c r="T180" s="6"/>
      <c r="U180" s="6"/>
      <c r="V180" s="6">
        <v>5</v>
      </c>
      <c r="W180" s="6"/>
      <c r="X180" s="6"/>
      <c r="Y180" s="6"/>
      <c r="Z180" s="6"/>
      <c r="AA180" s="6"/>
      <c r="AB180" s="6"/>
      <c r="AC180" s="6"/>
      <c r="AD180" s="6"/>
      <c r="AE180" s="6"/>
      <c r="AF180" s="6">
        <v>1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5">
        <f t="shared" si="31"/>
        <v>33</v>
      </c>
    </row>
    <row r="181" spans="1:42" x14ac:dyDescent="0.4">
      <c r="A181" s="7"/>
      <c r="B181" s="50"/>
      <c r="C181" s="24" t="s">
        <v>203</v>
      </c>
      <c r="D181" s="51"/>
      <c r="E181" s="6">
        <v>1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>
        <v>1</v>
      </c>
      <c r="Q181" s="6"/>
      <c r="R181" s="6"/>
      <c r="S181" s="6">
        <v>1</v>
      </c>
      <c r="T181" s="6">
        <v>1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>
        <v>1</v>
      </c>
      <c r="AL181" s="6"/>
      <c r="AM181" s="6"/>
      <c r="AN181" s="6"/>
      <c r="AO181" s="6"/>
      <c r="AP181" s="5">
        <f t="shared" si="31"/>
        <v>5</v>
      </c>
    </row>
    <row r="182" spans="1:42" x14ac:dyDescent="0.4">
      <c r="A182" s="7"/>
      <c r="B182" s="50"/>
      <c r="C182" s="24" t="s">
        <v>204</v>
      </c>
      <c r="D182" s="5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>
        <v>1</v>
      </c>
      <c r="U182" s="6"/>
      <c r="V182" s="6"/>
      <c r="W182" s="6"/>
      <c r="X182" s="6"/>
      <c r="Y182" s="6"/>
      <c r="Z182" s="6"/>
      <c r="AA182" s="6">
        <v>1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5">
        <f t="shared" si="31"/>
        <v>2</v>
      </c>
    </row>
    <row r="183" spans="1:42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5">
        <f t="shared" si="31"/>
        <v>0</v>
      </c>
    </row>
    <row r="184" spans="1:42" x14ac:dyDescent="0.4">
      <c r="A184" s="7"/>
      <c r="B184" s="50"/>
      <c r="C184" s="24" t="s">
        <v>206</v>
      </c>
      <c r="D184" s="51"/>
      <c r="E184" s="6"/>
      <c r="F184" s="6"/>
      <c r="G184" s="6">
        <v>1</v>
      </c>
      <c r="H184" s="6">
        <v>3</v>
      </c>
      <c r="I184" s="6"/>
      <c r="J184" s="6">
        <v>19</v>
      </c>
      <c r="K184" s="6">
        <v>1</v>
      </c>
      <c r="L184" s="6"/>
      <c r="M184" s="6"/>
      <c r="N184" s="6">
        <v>1</v>
      </c>
      <c r="O184" s="6"/>
      <c r="P184" s="6"/>
      <c r="Q184" s="6"/>
      <c r="R184" s="6">
        <v>1</v>
      </c>
      <c r="S184" s="6"/>
      <c r="T184" s="6"/>
      <c r="U184" s="6"/>
      <c r="V184" s="6">
        <v>1</v>
      </c>
      <c r="W184" s="6">
        <v>1</v>
      </c>
      <c r="X184" s="6"/>
      <c r="Y184" s="6"/>
      <c r="Z184" s="6"/>
      <c r="AA184" s="6"/>
      <c r="AB184" s="6"/>
      <c r="AC184" s="6"/>
      <c r="AD184" s="6"/>
      <c r="AE184" s="6">
        <v>2</v>
      </c>
      <c r="AF184" s="6"/>
      <c r="AG184" s="6"/>
      <c r="AH184" s="6"/>
      <c r="AI184" s="6"/>
      <c r="AJ184" s="6"/>
      <c r="AK184" s="6"/>
      <c r="AL184" s="6">
        <v>1</v>
      </c>
      <c r="AM184" s="6">
        <v>2</v>
      </c>
      <c r="AN184" s="6"/>
      <c r="AO184" s="6"/>
      <c r="AP184" s="5">
        <f t="shared" si="31"/>
        <v>33</v>
      </c>
    </row>
    <row r="185" spans="1:42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5">
        <f t="shared" si="31"/>
        <v>0</v>
      </c>
    </row>
    <row r="186" spans="1:42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5">
        <f t="shared" si="31"/>
        <v>0</v>
      </c>
    </row>
    <row r="187" spans="1:42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AP187" si="32">SUM(E177:E186)</f>
        <v>7</v>
      </c>
      <c r="F187" s="5">
        <f t="shared" si="32"/>
        <v>9</v>
      </c>
      <c r="G187" s="5">
        <f t="shared" si="32"/>
        <v>8</v>
      </c>
      <c r="H187" s="5">
        <f t="shared" si="32"/>
        <v>4</v>
      </c>
      <c r="I187" s="5">
        <f t="shared" si="32"/>
        <v>0</v>
      </c>
      <c r="J187" s="5">
        <f t="shared" si="32"/>
        <v>22</v>
      </c>
      <c r="K187" s="5">
        <f t="shared" si="32"/>
        <v>3</v>
      </c>
      <c r="L187" s="5">
        <f t="shared" si="32"/>
        <v>1</v>
      </c>
      <c r="M187" s="5">
        <f t="shared" si="32"/>
        <v>0</v>
      </c>
      <c r="N187" s="5">
        <f t="shared" si="32"/>
        <v>1</v>
      </c>
      <c r="O187" s="5">
        <f t="shared" si="32"/>
        <v>2</v>
      </c>
      <c r="P187" s="5">
        <f t="shared" si="32"/>
        <v>3</v>
      </c>
      <c r="Q187" s="5">
        <f t="shared" si="32"/>
        <v>9</v>
      </c>
      <c r="R187" s="5">
        <f t="shared" si="32"/>
        <v>5</v>
      </c>
      <c r="S187" s="5">
        <f t="shared" si="32"/>
        <v>2</v>
      </c>
      <c r="T187" s="5">
        <f t="shared" si="32"/>
        <v>5</v>
      </c>
      <c r="U187" s="5">
        <f t="shared" si="32"/>
        <v>0</v>
      </c>
      <c r="V187" s="5">
        <f t="shared" si="32"/>
        <v>8</v>
      </c>
      <c r="W187" s="5">
        <f t="shared" si="32"/>
        <v>5</v>
      </c>
      <c r="X187" s="5">
        <f t="shared" si="32"/>
        <v>1</v>
      </c>
      <c r="Y187" s="5">
        <f t="shared" si="32"/>
        <v>0</v>
      </c>
      <c r="Z187" s="5">
        <f t="shared" si="32"/>
        <v>1</v>
      </c>
      <c r="AA187" s="5">
        <f t="shared" si="32"/>
        <v>1</v>
      </c>
      <c r="AB187" s="5">
        <f t="shared" si="32"/>
        <v>0</v>
      </c>
      <c r="AC187" s="5">
        <f t="shared" si="32"/>
        <v>0</v>
      </c>
      <c r="AD187" s="5">
        <f t="shared" si="32"/>
        <v>0</v>
      </c>
      <c r="AE187" s="5">
        <f t="shared" si="32"/>
        <v>2</v>
      </c>
      <c r="AF187" s="5">
        <f t="shared" si="32"/>
        <v>1</v>
      </c>
      <c r="AG187" s="5">
        <f t="shared" si="32"/>
        <v>1</v>
      </c>
      <c r="AH187" s="5">
        <f t="shared" si="32"/>
        <v>0</v>
      </c>
      <c r="AI187" s="5">
        <f t="shared" si="32"/>
        <v>0</v>
      </c>
      <c r="AJ187" s="5">
        <f t="shared" si="32"/>
        <v>0</v>
      </c>
      <c r="AK187" s="5">
        <f t="shared" si="32"/>
        <v>1</v>
      </c>
      <c r="AL187" s="5">
        <f t="shared" si="32"/>
        <v>1</v>
      </c>
      <c r="AM187" s="5">
        <f t="shared" si="32"/>
        <v>2</v>
      </c>
      <c r="AN187" s="5">
        <f t="shared" si="32"/>
        <v>0</v>
      </c>
      <c r="AO187" s="5">
        <f t="shared" si="32"/>
        <v>0</v>
      </c>
      <c r="AP187" s="5">
        <f t="shared" si="32"/>
        <v>105</v>
      </c>
    </row>
    <row r="188" spans="1:42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5"/>
    </row>
    <row r="189" spans="1:42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>
        <v>1</v>
      </c>
      <c r="H189" s="6"/>
      <c r="I189" s="6"/>
      <c r="J189" s="6"/>
      <c r="K189" s="6"/>
      <c r="L189" s="6">
        <v>1</v>
      </c>
      <c r="M189" s="6"/>
      <c r="N189" s="6"/>
      <c r="O189" s="6"/>
      <c r="P189" s="6"/>
      <c r="Q189" s="6"/>
      <c r="R189" s="6">
        <v>1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5">
        <f t="shared" ref="AP189:AP198" si="33">SUM(E189:AO189)</f>
        <v>3</v>
      </c>
    </row>
    <row r="190" spans="1:42" x14ac:dyDescent="0.4">
      <c r="A190" s="11" t="s">
        <v>50</v>
      </c>
      <c r="B190" s="50"/>
      <c r="C190" s="24" t="s">
        <v>207</v>
      </c>
      <c r="D190" s="51"/>
      <c r="E190" s="6"/>
      <c r="F190" s="6"/>
      <c r="G190" s="6">
        <v>1</v>
      </c>
      <c r="H190" s="6"/>
      <c r="I190" s="6"/>
      <c r="J190" s="6"/>
      <c r="K190" s="6">
        <v>1</v>
      </c>
      <c r="L190" s="6"/>
      <c r="M190" s="6"/>
      <c r="N190" s="6"/>
      <c r="O190" s="6"/>
      <c r="P190" s="6">
        <v>1</v>
      </c>
      <c r="Q190" s="6"/>
      <c r="R190" s="6"/>
      <c r="S190" s="6"/>
      <c r="T190" s="6"/>
      <c r="U190" s="6"/>
      <c r="V190" s="6"/>
      <c r="W190" s="6"/>
      <c r="X190" s="6">
        <v>1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5">
        <f t="shared" si="33"/>
        <v>4</v>
      </c>
    </row>
    <row r="191" spans="1:42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/>
      <c r="K191" s="6"/>
      <c r="L191" s="6"/>
      <c r="M191" s="6">
        <v>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5">
        <f t="shared" si="33"/>
        <v>1</v>
      </c>
    </row>
    <row r="192" spans="1:42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5">
        <f t="shared" si="33"/>
        <v>0</v>
      </c>
    </row>
    <row r="193" spans="1:42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5">
        <f t="shared" si="33"/>
        <v>0</v>
      </c>
    </row>
    <row r="194" spans="1:42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>
        <v>1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>
        <v>1</v>
      </c>
      <c r="AO194" s="6"/>
      <c r="AP194" s="5">
        <f t="shared" si="33"/>
        <v>2</v>
      </c>
    </row>
    <row r="195" spans="1:42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>
        <v>1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5">
        <f t="shared" si="33"/>
        <v>1</v>
      </c>
    </row>
    <row r="196" spans="1:42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5">
        <f t="shared" si="33"/>
        <v>0</v>
      </c>
    </row>
    <row r="197" spans="1:42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5">
        <f t="shared" si="33"/>
        <v>0</v>
      </c>
    </row>
    <row r="198" spans="1:42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5">
        <f t="shared" si="33"/>
        <v>0</v>
      </c>
    </row>
    <row r="199" spans="1:42" x14ac:dyDescent="0.4">
      <c r="A199" s="6" t="s">
        <v>26</v>
      </c>
      <c r="B199" s="85" t="s">
        <v>51</v>
      </c>
      <c r="C199" s="93"/>
      <c r="D199" s="94"/>
      <c r="E199" s="5">
        <f t="shared" ref="E199:AP199" si="34">SUM(E189:E198)</f>
        <v>0</v>
      </c>
      <c r="F199" s="5">
        <f t="shared" si="34"/>
        <v>0</v>
      </c>
      <c r="G199" s="5">
        <f t="shared" si="34"/>
        <v>2</v>
      </c>
      <c r="H199" s="5">
        <f t="shared" si="34"/>
        <v>0</v>
      </c>
      <c r="I199" s="5">
        <f t="shared" si="34"/>
        <v>0</v>
      </c>
      <c r="J199" s="5">
        <f t="shared" si="34"/>
        <v>0</v>
      </c>
      <c r="K199" s="5">
        <f t="shared" si="34"/>
        <v>1</v>
      </c>
      <c r="L199" s="5">
        <f t="shared" si="34"/>
        <v>1</v>
      </c>
      <c r="M199" s="5">
        <f t="shared" si="34"/>
        <v>1</v>
      </c>
      <c r="N199" s="5">
        <f t="shared" si="34"/>
        <v>0</v>
      </c>
      <c r="O199" s="5">
        <f t="shared" si="34"/>
        <v>0</v>
      </c>
      <c r="P199" s="5">
        <f t="shared" si="34"/>
        <v>1</v>
      </c>
      <c r="Q199" s="5">
        <f t="shared" si="34"/>
        <v>0</v>
      </c>
      <c r="R199" s="5">
        <f t="shared" si="34"/>
        <v>1</v>
      </c>
      <c r="S199" s="5">
        <f t="shared" si="34"/>
        <v>0</v>
      </c>
      <c r="T199" s="5">
        <f t="shared" si="34"/>
        <v>1</v>
      </c>
      <c r="U199" s="5">
        <f t="shared" si="34"/>
        <v>0</v>
      </c>
      <c r="V199" s="5">
        <f t="shared" si="34"/>
        <v>0</v>
      </c>
      <c r="W199" s="5">
        <f t="shared" si="34"/>
        <v>0</v>
      </c>
      <c r="X199" s="5">
        <f t="shared" si="34"/>
        <v>1</v>
      </c>
      <c r="Y199" s="5">
        <f t="shared" si="34"/>
        <v>1</v>
      </c>
      <c r="Z199" s="5">
        <f t="shared" si="34"/>
        <v>0</v>
      </c>
      <c r="AA199" s="5">
        <f t="shared" si="34"/>
        <v>0</v>
      </c>
      <c r="AB199" s="5">
        <f t="shared" si="34"/>
        <v>0</v>
      </c>
      <c r="AC199" s="5">
        <f t="shared" si="34"/>
        <v>0</v>
      </c>
      <c r="AD199" s="5">
        <f t="shared" si="34"/>
        <v>0</v>
      </c>
      <c r="AE199" s="5">
        <f t="shared" si="34"/>
        <v>0</v>
      </c>
      <c r="AF199" s="5">
        <f t="shared" si="34"/>
        <v>0</v>
      </c>
      <c r="AG199" s="5">
        <f t="shared" si="34"/>
        <v>0</v>
      </c>
      <c r="AH199" s="5">
        <f t="shared" si="34"/>
        <v>0</v>
      </c>
      <c r="AI199" s="5">
        <f t="shared" si="34"/>
        <v>0</v>
      </c>
      <c r="AJ199" s="5">
        <f t="shared" si="34"/>
        <v>0</v>
      </c>
      <c r="AK199" s="5">
        <f t="shared" si="34"/>
        <v>0</v>
      </c>
      <c r="AL199" s="5">
        <f t="shared" si="34"/>
        <v>0</v>
      </c>
      <c r="AM199" s="5">
        <f t="shared" si="34"/>
        <v>0</v>
      </c>
      <c r="AN199" s="5">
        <f t="shared" si="34"/>
        <v>1</v>
      </c>
      <c r="AO199" s="5">
        <f t="shared" si="34"/>
        <v>0</v>
      </c>
      <c r="AP199" s="5">
        <f t="shared" si="34"/>
        <v>11</v>
      </c>
    </row>
    <row r="200" spans="1:42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spans="1:42" x14ac:dyDescent="0.4">
      <c r="A201" s="11" t="s">
        <v>48</v>
      </c>
      <c r="B201" s="17" t="s">
        <v>73</v>
      </c>
      <c r="C201" s="92" t="s">
        <v>74</v>
      </c>
      <c r="D201" s="66"/>
      <c r="E201" s="6">
        <v>4</v>
      </c>
      <c r="F201" s="6">
        <v>1</v>
      </c>
      <c r="G201" s="6">
        <v>3</v>
      </c>
      <c r="H201" s="6">
        <v>5</v>
      </c>
      <c r="I201" s="6">
        <v>4</v>
      </c>
      <c r="J201" s="6">
        <v>1</v>
      </c>
      <c r="K201" s="6">
        <v>7</v>
      </c>
      <c r="L201" s="6"/>
      <c r="M201" s="6">
        <v>3</v>
      </c>
      <c r="N201" s="6">
        <v>3</v>
      </c>
      <c r="O201" s="6">
        <v>4</v>
      </c>
      <c r="P201" s="6">
        <v>5</v>
      </c>
      <c r="Q201" s="6">
        <v>5</v>
      </c>
      <c r="R201" s="6">
        <v>1</v>
      </c>
      <c r="S201" s="6">
        <v>2</v>
      </c>
      <c r="T201" s="6">
        <v>2</v>
      </c>
      <c r="U201" s="6"/>
      <c r="V201" s="6">
        <v>9</v>
      </c>
      <c r="W201" s="6"/>
      <c r="X201" s="6">
        <v>1</v>
      </c>
      <c r="Y201" s="6"/>
      <c r="Z201" s="6">
        <v>1</v>
      </c>
      <c r="AA201" s="6">
        <v>1</v>
      </c>
      <c r="AB201" s="6">
        <v>8</v>
      </c>
      <c r="AC201" s="6">
        <v>3</v>
      </c>
      <c r="AD201" s="6"/>
      <c r="AE201" s="6"/>
      <c r="AF201" s="6">
        <v>1</v>
      </c>
      <c r="AG201" s="6">
        <v>1</v>
      </c>
      <c r="AH201" s="6"/>
      <c r="AI201" s="6">
        <v>5</v>
      </c>
      <c r="AJ201" s="6">
        <v>1</v>
      </c>
      <c r="AK201" s="6"/>
      <c r="AL201" s="6">
        <v>2</v>
      </c>
      <c r="AM201" s="6"/>
      <c r="AN201" s="6"/>
      <c r="AO201" s="6"/>
      <c r="AP201" s="5">
        <f t="shared" ref="AP201:AP210" si="35">SUM(E201:AO201)</f>
        <v>83</v>
      </c>
    </row>
    <row r="202" spans="1:42" x14ac:dyDescent="0.4">
      <c r="A202" s="11" t="s">
        <v>50</v>
      </c>
      <c r="B202" s="50"/>
      <c r="C202" s="24" t="s">
        <v>214</v>
      </c>
      <c r="D202" s="51"/>
      <c r="E202" s="6">
        <v>49</v>
      </c>
      <c r="F202" s="6">
        <v>4</v>
      </c>
      <c r="G202" s="6">
        <v>10</v>
      </c>
      <c r="H202" s="6">
        <v>17</v>
      </c>
      <c r="I202" s="6">
        <v>18</v>
      </c>
      <c r="J202" s="6">
        <v>3</v>
      </c>
      <c r="K202" s="6">
        <v>18</v>
      </c>
      <c r="L202" s="6">
        <v>10</v>
      </c>
      <c r="M202" s="6">
        <v>39</v>
      </c>
      <c r="N202" s="6">
        <v>15</v>
      </c>
      <c r="O202" s="6">
        <v>12</v>
      </c>
      <c r="P202" s="6">
        <v>57</v>
      </c>
      <c r="Q202" s="6">
        <v>39</v>
      </c>
      <c r="R202" s="6">
        <v>6</v>
      </c>
      <c r="S202" s="6">
        <v>13</v>
      </c>
      <c r="T202" s="6">
        <v>14</v>
      </c>
      <c r="U202" s="6">
        <v>14</v>
      </c>
      <c r="V202" s="6">
        <v>49</v>
      </c>
      <c r="W202" s="6">
        <v>15</v>
      </c>
      <c r="X202" s="6">
        <v>33</v>
      </c>
      <c r="Y202" s="6">
        <v>9</v>
      </c>
      <c r="Z202" s="6">
        <v>17</v>
      </c>
      <c r="AA202" s="6">
        <v>17</v>
      </c>
      <c r="AB202" s="6">
        <v>23</v>
      </c>
      <c r="AC202" s="6">
        <v>14</v>
      </c>
      <c r="AD202" s="6">
        <v>3</v>
      </c>
      <c r="AE202" s="6">
        <v>7</v>
      </c>
      <c r="AF202" s="6">
        <v>5</v>
      </c>
      <c r="AG202" s="6">
        <v>7</v>
      </c>
      <c r="AH202" s="6">
        <v>13</v>
      </c>
      <c r="AI202" s="6">
        <v>15</v>
      </c>
      <c r="AJ202" s="6">
        <v>51</v>
      </c>
      <c r="AK202" s="6">
        <v>10</v>
      </c>
      <c r="AL202" s="6">
        <v>3</v>
      </c>
      <c r="AM202" s="6">
        <v>4</v>
      </c>
      <c r="AN202" s="6">
        <v>5</v>
      </c>
      <c r="AO202" s="6"/>
      <c r="AP202" s="5">
        <f t="shared" si="35"/>
        <v>638</v>
      </c>
    </row>
    <row r="203" spans="1:42" x14ac:dyDescent="0.4">
      <c r="A203" s="7"/>
      <c r="B203" s="50"/>
      <c r="C203" s="24" t="s">
        <v>215</v>
      </c>
      <c r="D203" s="51"/>
      <c r="E203" s="6"/>
      <c r="F203" s="6"/>
      <c r="G203" s="6"/>
      <c r="H203" s="6">
        <v>1</v>
      </c>
      <c r="I203" s="6"/>
      <c r="J203" s="6"/>
      <c r="K203" s="6"/>
      <c r="L203" s="6">
        <v>1</v>
      </c>
      <c r="M203" s="6">
        <v>4</v>
      </c>
      <c r="N203" s="6"/>
      <c r="O203" s="6"/>
      <c r="P203" s="6">
        <v>1</v>
      </c>
      <c r="Q203" s="6">
        <v>1</v>
      </c>
      <c r="R203" s="6">
        <v>2</v>
      </c>
      <c r="S203" s="6">
        <v>2</v>
      </c>
      <c r="T203" s="6"/>
      <c r="U203" s="6">
        <v>1</v>
      </c>
      <c r="V203" s="6"/>
      <c r="W203" s="6"/>
      <c r="X203" s="6"/>
      <c r="Y203" s="6">
        <v>2</v>
      </c>
      <c r="Z203" s="6">
        <v>1</v>
      </c>
      <c r="AA203" s="6"/>
      <c r="AB203" s="6"/>
      <c r="AC203" s="6"/>
      <c r="AD203" s="6">
        <v>1</v>
      </c>
      <c r="AE203" s="6"/>
      <c r="AF203" s="6">
        <v>1</v>
      </c>
      <c r="AG203" s="6">
        <v>1</v>
      </c>
      <c r="AH203" s="6"/>
      <c r="AI203" s="6"/>
      <c r="AJ203" s="6">
        <v>1</v>
      </c>
      <c r="AK203" s="6"/>
      <c r="AL203" s="6"/>
      <c r="AM203" s="6"/>
      <c r="AN203" s="6"/>
      <c r="AO203" s="6">
        <v>1</v>
      </c>
      <c r="AP203" s="5">
        <f t="shared" si="35"/>
        <v>21</v>
      </c>
    </row>
    <row r="204" spans="1:42" x14ac:dyDescent="0.4">
      <c r="A204" s="7"/>
      <c r="B204" s="50"/>
      <c r="C204" s="24" t="s">
        <v>216</v>
      </c>
      <c r="D204" s="51"/>
      <c r="E204" s="6">
        <v>1</v>
      </c>
      <c r="F204" s="6"/>
      <c r="G204" s="6">
        <v>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>
        <v>1</v>
      </c>
      <c r="T204" s="6">
        <v>1</v>
      </c>
      <c r="U204" s="6"/>
      <c r="V204" s="6"/>
      <c r="W204" s="6"/>
      <c r="X204" s="6"/>
      <c r="Y204" s="6"/>
      <c r="Z204" s="6"/>
      <c r="AA204" s="6">
        <v>1</v>
      </c>
      <c r="AB204" s="6"/>
      <c r="AC204" s="6"/>
      <c r="AD204" s="6"/>
      <c r="AE204" s="6"/>
      <c r="AF204" s="6"/>
      <c r="AG204" s="6">
        <v>1</v>
      </c>
      <c r="AH204" s="6"/>
      <c r="AI204" s="6"/>
      <c r="AJ204" s="6"/>
      <c r="AK204" s="6"/>
      <c r="AL204" s="6"/>
      <c r="AM204" s="6"/>
      <c r="AN204" s="6"/>
      <c r="AO204" s="6"/>
      <c r="AP204" s="5">
        <f t="shared" si="35"/>
        <v>6</v>
      </c>
    </row>
    <row r="205" spans="1:42" x14ac:dyDescent="0.4">
      <c r="A205" s="7"/>
      <c r="B205" s="50"/>
      <c r="C205" s="24" t="s">
        <v>217</v>
      </c>
      <c r="D205" s="5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>
        <v>1</v>
      </c>
      <c r="V205" s="6"/>
      <c r="W205" s="6"/>
      <c r="X205" s="6">
        <v>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5">
        <f t="shared" si="35"/>
        <v>2</v>
      </c>
    </row>
    <row r="206" spans="1:42" x14ac:dyDescent="0.4">
      <c r="A206" s="7"/>
      <c r="B206" s="50"/>
      <c r="C206" s="24" t="s">
        <v>218</v>
      </c>
      <c r="D206" s="51"/>
      <c r="E206" s="6"/>
      <c r="F206" s="6"/>
      <c r="G206" s="6"/>
      <c r="H206" s="6"/>
      <c r="I206" s="6"/>
      <c r="J206" s="6"/>
      <c r="K206" s="6"/>
      <c r="L206" s="6"/>
      <c r="M206" s="6"/>
      <c r="N206" s="6">
        <v>2</v>
      </c>
      <c r="O206" s="6"/>
      <c r="P206" s="6">
        <v>3</v>
      </c>
      <c r="Q206" s="6"/>
      <c r="R206" s="6">
        <v>2</v>
      </c>
      <c r="S206" s="6"/>
      <c r="T206" s="6">
        <v>1</v>
      </c>
      <c r="U206" s="6"/>
      <c r="V206" s="6"/>
      <c r="W206" s="6"/>
      <c r="X206" s="6">
        <v>1</v>
      </c>
      <c r="Y206" s="6">
        <v>1</v>
      </c>
      <c r="Z206" s="6">
        <v>4</v>
      </c>
      <c r="AA206" s="6"/>
      <c r="AB206" s="6"/>
      <c r="AC206" s="6"/>
      <c r="AD206" s="6">
        <v>2</v>
      </c>
      <c r="AE206" s="6">
        <v>11</v>
      </c>
      <c r="AF206" s="6">
        <v>2</v>
      </c>
      <c r="AG206" s="6">
        <v>1</v>
      </c>
      <c r="AH206" s="6">
        <v>1</v>
      </c>
      <c r="AI206" s="6"/>
      <c r="AJ206" s="6"/>
      <c r="AK206" s="6"/>
      <c r="AL206" s="6"/>
      <c r="AM206" s="6">
        <v>3</v>
      </c>
      <c r="AN206" s="6"/>
      <c r="AO206" s="6"/>
      <c r="AP206" s="5">
        <f t="shared" si="35"/>
        <v>34</v>
      </c>
    </row>
    <row r="207" spans="1:42" ht="13.15" customHeight="1" x14ac:dyDescent="0.4">
      <c r="A207" s="7"/>
      <c r="B207" s="50"/>
      <c r="C207" s="24" t="s">
        <v>219</v>
      </c>
      <c r="D207" s="51"/>
      <c r="E207" s="6">
        <v>1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>
        <v>1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>
        <v>1</v>
      </c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5">
        <f t="shared" si="35"/>
        <v>3</v>
      </c>
    </row>
    <row r="208" spans="1:42" x14ac:dyDescent="0.4">
      <c r="A208" s="7"/>
      <c r="B208" s="50"/>
      <c r="C208" s="24" t="s">
        <v>220</v>
      </c>
      <c r="D208" s="5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>
        <v>1</v>
      </c>
      <c r="Q208" s="6"/>
      <c r="R208" s="6"/>
      <c r="S208" s="6">
        <v>2</v>
      </c>
      <c r="T208" s="6">
        <v>1</v>
      </c>
      <c r="U208" s="6"/>
      <c r="V208" s="6">
        <v>1</v>
      </c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>
        <v>1</v>
      </c>
      <c r="AK208" s="6"/>
      <c r="AL208" s="6"/>
      <c r="AM208" s="6"/>
      <c r="AN208" s="6"/>
      <c r="AO208" s="6"/>
      <c r="AP208" s="5">
        <f t="shared" si="35"/>
        <v>6</v>
      </c>
    </row>
    <row r="209" spans="1:42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5">
        <f t="shared" si="35"/>
        <v>0</v>
      </c>
    </row>
    <row r="210" spans="1:42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5">
        <f t="shared" si="35"/>
        <v>0</v>
      </c>
    </row>
    <row r="211" spans="1:42" x14ac:dyDescent="0.4">
      <c r="A211" s="6" t="s">
        <v>26</v>
      </c>
      <c r="B211" s="85" t="s">
        <v>51</v>
      </c>
      <c r="C211" s="93"/>
      <c r="D211" s="94"/>
      <c r="E211" s="5">
        <f t="shared" ref="E211:AP211" si="36">SUM(E201:E210)</f>
        <v>55</v>
      </c>
      <c r="F211" s="5">
        <f t="shared" si="36"/>
        <v>5</v>
      </c>
      <c r="G211" s="5">
        <f t="shared" si="36"/>
        <v>14</v>
      </c>
      <c r="H211" s="5">
        <f t="shared" si="36"/>
        <v>23</v>
      </c>
      <c r="I211" s="5">
        <f t="shared" si="36"/>
        <v>22</v>
      </c>
      <c r="J211" s="5">
        <f t="shared" si="36"/>
        <v>4</v>
      </c>
      <c r="K211" s="5">
        <f t="shared" si="36"/>
        <v>25</v>
      </c>
      <c r="L211" s="5">
        <f t="shared" si="36"/>
        <v>11</v>
      </c>
      <c r="M211" s="5">
        <f t="shared" si="36"/>
        <v>46</v>
      </c>
      <c r="N211" s="5">
        <f t="shared" si="36"/>
        <v>20</v>
      </c>
      <c r="O211" s="5">
        <f t="shared" si="36"/>
        <v>16</v>
      </c>
      <c r="P211" s="5">
        <f t="shared" si="36"/>
        <v>67</v>
      </c>
      <c r="Q211" s="5">
        <f t="shared" si="36"/>
        <v>45</v>
      </c>
      <c r="R211" s="5">
        <f t="shared" si="36"/>
        <v>11</v>
      </c>
      <c r="S211" s="5">
        <f t="shared" si="36"/>
        <v>20</v>
      </c>
      <c r="T211" s="5">
        <f t="shared" si="36"/>
        <v>20</v>
      </c>
      <c r="U211" s="5">
        <f t="shared" si="36"/>
        <v>16</v>
      </c>
      <c r="V211" s="5">
        <f t="shared" si="36"/>
        <v>59</v>
      </c>
      <c r="W211" s="5">
        <f t="shared" si="36"/>
        <v>15</v>
      </c>
      <c r="X211" s="5">
        <f t="shared" si="36"/>
        <v>36</v>
      </c>
      <c r="Y211" s="5">
        <f t="shared" si="36"/>
        <v>12</v>
      </c>
      <c r="Z211" s="5">
        <f t="shared" si="36"/>
        <v>23</v>
      </c>
      <c r="AA211" s="5">
        <f t="shared" si="36"/>
        <v>19</v>
      </c>
      <c r="AB211" s="5">
        <f t="shared" si="36"/>
        <v>31</v>
      </c>
      <c r="AC211" s="5">
        <f t="shared" si="36"/>
        <v>17</v>
      </c>
      <c r="AD211" s="5">
        <f t="shared" si="36"/>
        <v>6</v>
      </c>
      <c r="AE211" s="5">
        <f t="shared" si="36"/>
        <v>19</v>
      </c>
      <c r="AF211" s="5">
        <f t="shared" si="36"/>
        <v>9</v>
      </c>
      <c r="AG211" s="5">
        <f t="shared" si="36"/>
        <v>11</v>
      </c>
      <c r="AH211" s="5">
        <f t="shared" si="36"/>
        <v>14</v>
      </c>
      <c r="AI211" s="5">
        <f t="shared" si="36"/>
        <v>20</v>
      </c>
      <c r="AJ211" s="5">
        <f t="shared" si="36"/>
        <v>54</v>
      </c>
      <c r="AK211" s="5">
        <f t="shared" si="36"/>
        <v>10</v>
      </c>
      <c r="AL211" s="5">
        <f t="shared" si="36"/>
        <v>5</v>
      </c>
      <c r="AM211" s="5">
        <f t="shared" si="36"/>
        <v>7</v>
      </c>
      <c r="AN211" s="5">
        <f t="shared" si="36"/>
        <v>5</v>
      </c>
      <c r="AO211" s="5">
        <f t="shared" si="36"/>
        <v>1</v>
      </c>
      <c r="AP211" s="5">
        <f t="shared" si="36"/>
        <v>793</v>
      </c>
    </row>
    <row r="212" spans="1:42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 spans="1:42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>
        <v>1</v>
      </c>
      <c r="P213" s="6"/>
      <c r="Q213" s="6">
        <v>2</v>
      </c>
      <c r="R213" s="6">
        <v>3</v>
      </c>
      <c r="S213" s="6">
        <v>2</v>
      </c>
      <c r="T213" s="6">
        <v>2</v>
      </c>
      <c r="U213" s="6">
        <v>1</v>
      </c>
      <c r="V213" s="6">
        <v>1</v>
      </c>
      <c r="W213" s="6"/>
      <c r="X213" s="6"/>
      <c r="Y213" s="6"/>
      <c r="Z213" s="6"/>
      <c r="AA213" s="6">
        <v>1</v>
      </c>
      <c r="AB213" s="6"/>
      <c r="AC213" s="6"/>
      <c r="AD213" s="6"/>
      <c r="AE213" s="6"/>
      <c r="AF213" s="6">
        <v>1</v>
      </c>
      <c r="AG213" s="6">
        <v>1</v>
      </c>
      <c r="AH213" s="6"/>
      <c r="AI213" s="6"/>
      <c r="AJ213" s="6"/>
      <c r="AK213" s="6">
        <v>1</v>
      </c>
      <c r="AL213" s="6"/>
      <c r="AM213" s="6"/>
      <c r="AN213" s="6"/>
      <c r="AO213" s="6"/>
      <c r="AP213" s="5">
        <f t="shared" ref="AP213:AP222" si="37">SUM(E213:AO213)</f>
        <v>16</v>
      </c>
    </row>
    <row r="214" spans="1:42" x14ac:dyDescent="0.4">
      <c r="A214" s="11" t="s">
        <v>50</v>
      </c>
      <c r="B214" s="50"/>
      <c r="C214" s="24" t="s">
        <v>221</v>
      </c>
      <c r="D214" s="51"/>
      <c r="E214" s="6"/>
      <c r="F214" s="6"/>
      <c r="G214" s="6"/>
      <c r="H214" s="6"/>
      <c r="I214" s="6"/>
      <c r="J214" s="6"/>
      <c r="K214" s="6">
        <v>1</v>
      </c>
      <c r="L214" s="6"/>
      <c r="M214" s="6">
        <v>1</v>
      </c>
      <c r="N214" s="6">
        <v>1</v>
      </c>
      <c r="O214" s="6">
        <v>1</v>
      </c>
      <c r="P214" s="6">
        <v>1</v>
      </c>
      <c r="Q214" s="6">
        <v>3</v>
      </c>
      <c r="R214" s="6"/>
      <c r="S214" s="6">
        <v>2</v>
      </c>
      <c r="T214" s="6">
        <v>2</v>
      </c>
      <c r="U214" s="6"/>
      <c r="V214" s="6"/>
      <c r="W214" s="6"/>
      <c r="X214" s="6"/>
      <c r="Y214" s="6"/>
      <c r="Z214" s="6">
        <v>2</v>
      </c>
      <c r="AA214" s="6"/>
      <c r="AB214" s="6">
        <v>3</v>
      </c>
      <c r="AC214" s="6"/>
      <c r="AD214" s="6">
        <v>1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>
        <v>1</v>
      </c>
      <c r="AO214" s="6"/>
      <c r="AP214" s="5">
        <f t="shared" si="37"/>
        <v>19</v>
      </c>
    </row>
    <row r="215" spans="1:42" x14ac:dyDescent="0.4">
      <c r="A215" s="7"/>
      <c r="B215" s="50"/>
      <c r="C215" s="24" t="s">
        <v>222</v>
      </c>
      <c r="D215" s="5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>
        <v>1</v>
      </c>
      <c r="R215" s="6">
        <v>1</v>
      </c>
      <c r="S215" s="6"/>
      <c r="T215" s="6"/>
      <c r="U215" s="6"/>
      <c r="V215" s="6"/>
      <c r="W215" s="6"/>
      <c r="X215" s="6">
        <v>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>
        <v>1</v>
      </c>
      <c r="AL215" s="6"/>
      <c r="AM215" s="6"/>
      <c r="AN215" s="6">
        <v>1</v>
      </c>
      <c r="AO215" s="6"/>
      <c r="AP215" s="5">
        <f t="shared" si="37"/>
        <v>5</v>
      </c>
    </row>
    <row r="216" spans="1:42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5">
        <f t="shared" si="37"/>
        <v>0</v>
      </c>
    </row>
    <row r="217" spans="1:42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5">
        <f t="shared" si="37"/>
        <v>0</v>
      </c>
    </row>
    <row r="218" spans="1:42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5">
        <f t="shared" si="37"/>
        <v>0</v>
      </c>
    </row>
    <row r="219" spans="1:42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5">
        <f t="shared" si="37"/>
        <v>0</v>
      </c>
    </row>
    <row r="220" spans="1:42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5">
        <f t="shared" si="37"/>
        <v>0</v>
      </c>
    </row>
    <row r="221" spans="1:42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5">
        <f t="shared" si="37"/>
        <v>0</v>
      </c>
    </row>
    <row r="222" spans="1:42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5">
        <f t="shared" si="37"/>
        <v>0</v>
      </c>
    </row>
    <row r="223" spans="1:42" x14ac:dyDescent="0.4">
      <c r="A223" s="6" t="s">
        <v>26</v>
      </c>
      <c r="B223" s="85" t="s">
        <v>51</v>
      </c>
      <c r="C223" s="93"/>
      <c r="D223" s="94"/>
      <c r="E223" s="5">
        <f t="shared" ref="E223:AP223" si="38">SUM(E213:E222)</f>
        <v>0</v>
      </c>
      <c r="F223" s="5">
        <f t="shared" si="38"/>
        <v>0</v>
      </c>
      <c r="G223" s="5">
        <f t="shared" si="38"/>
        <v>0</v>
      </c>
      <c r="H223" s="5">
        <f t="shared" si="38"/>
        <v>0</v>
      </c>
      <c r="I223" s="5">
        <f t="shared" si="38"/>
        <v>0</v>
      </c>
      <c r="J223" s="5">
        <f t="shared" si="38"/>
        <v>0</v>
      </c>
      <c r="K223" s="5">
        <f t="shared" si="38"/>
        <v>1</v>
      </c>
      <c r="L223" s="5">
        <f t="shared" si="38"/>
        <v>0</v>
      </c>
      <c r="M223" s="5">
        <f t="shared" si="38"/>
        <v>1</v>
      </c>
      <c r="N223" s="5">
        <f t="shared" si="38"/>
        <v>1</v>
      </c>
      <c r="O223" s="5">
        <f t="shared" si="38"/>
        <v>2</v>
      </c>
      <c r="P223" s="5">
        <f t="shared" si="38"/>
        <v>1</v>
      </c>
      <c r="Q223" s="5">
        <f t="shared" si="38"/>
        <v>6</v>
      </c>
      <c r="R223" s="5">
        <f t="shared" si="38"/>
        <v>4</v>
      </c>
      <c r="S223" s="5">
        <f t="shared" si="38"/>
        <v>4</v>
      </c>
      <c r="T223" s="5">
        <f t="shared" si="38"/>
        <v>4</v>
      </c>
      <c r="U223" s="5">
        <f t="shared" si="38"/>
        <v>1</v>
      </c>
      <c r="V223" s="5">
        <f t="shared" si="38"/>
        <v>1</v>
      </c>
      <c r="W223" s="5">
        <f t="shared" si="38"/>
        <v>0</v>
      </c>
      <c r="X223" s="5">
        <f t="shared" si="38"/>
        <v>1</v>
      </c>
      <c r="Y223" s="5">
        <f t="shared" si="38"/>
        <v>0</v>
      </c>
      <c r="Z223" s="5">
        <f t="shared" si="38"/>
        <v>2</v>
      </c>
      <c r="AA223" s="5">
        <f t="shared" si="38"/>
        <v>1</v>
      </c>
      <c r="AB223" s="5">
        <f t="shared" si="38"/>
        <v>3</v>
      </c>
      <c r="AC223" s="5">
        <f t="shared" si="38"/>
        <v>0</v>
      </c>
      <c r="AD223" s="5">
        <f t="shared" si="38"/>
        <v>1</v>
      </c>
      <c r="AE223" s="5">
        <f t="shared" si="38"/>
        <v>0</v>
      </c>
      <c r="AF223" s="5">
        <f t="shared" si="38"/>
        <v>1</v>
      </c>
      <c r="AG223" s="5">
        <f t="shared" si="38"/>
        <v>1</v>
      </c>
      <c r="AH223" s="5">
        <f t="shared" si="38"/>
        <v>0</v>
      </c>
      <c r="AI223" s="5">
        <f t="shared" si="38"/>
        <v>0</v>
      </c>
      <c r="AJ223" s="5">
        <f t="shared" si="38"/>
        <v>0</v>
      </c>
      <c r="AK223" s="5">
        <f t="shared" si="38"/>
        <v>2</v>
      </c>
      <c r="AL223" s="5">
        <f t="shared" si="38"/>
        <v>0</v>
      </c>
      <c r="AM223" s="5">
        <f t="shared" si="38"/>
        <v>0</v>
      </c>
      <c r="AN223" s="5">
        <f t="shared" si="38"/>
        <v>2</v>
      </c>
      <c r="AO223" s="5">
        <f t="shared" si="38"/>
        <v>0</v>
      </c>
      <c r="AP223" s="5">
        <f t="shared" si="38"/>
        <v>40</v>
      </c>
    </row>
    <row r="224" spans="1:42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 spans="1:42" x14ac:dyDescent="0.4">
      <c r="A225" s="11" t="s">
        <v>48</v>
      </c>
      <c r="B225" s="17" t="s">
        <v>77</v>
      </c>
      <c r="C225" s="92" t="s">
        <v>78</v>
      </c>
      <c r="D225" s="66"/>
      <c r="E225" s="6"/>
      <c r="F225" s="6"/>
      <c r="G225" s="6"/>
      <c r="H225" s="6"/>
      <c r="I225" s="6"/>
      <c r="J225" s="6"/>
      <c r="K225" s="6">
        <v>1</v>
      </c>
      <c r="L225" s="6"/>
      <c r="M225" s="6"/>
      <c r="N225" s="6"/>
      <c r="O225" s="6"/>
      <c r="P225" s="6"/>
      <c r="Q225" s="6"/>
      <c r="R225" s="6">
        <v>4</v>
      </c>
      <c r="S225" s="6">
        <v>5</v>
      </c>
      <c r="T225" s="6"/>
      <c r="U225" s="6"/>
      <c r="V225" s="6"/>
      <c r="W225" s="6"/>
      <c r="X225" s="6"/>
      <c r="Y225" s="6"/>
      <c r="Z225" s="6"/>
      <c r="AA225" s="6">
        <v>1</v>
      </c>
      <c r="AB225" s="6">
        <v>1</v>
      </c>
      <c r="AC225" s="6">
        <v>1</v>
      </c>
      <c r="AD225" s="6">
        <v>1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5">
        <f t="shared" ref="AP225:AP234" si="39">SUM(E225:AO225)</f>
        <v>14</v>
      </c>
    </row>
    <row r="226" spans="1:42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>
        <v>1</v>
      </c>
      <c r="I226" s="6"/>
      <c r="J226" s="6"/>
      <c r="K226" s="6"/>
      <c r="L226" s="6">
        <v>1</v>
      </c>
      <c r="M226" s="6"/>
      <c r="N226" s="6"/>
      <c r="O226" s="6">
        <v>1</v>
      </c>
      <c r="P226" s="6">
        <v>1</v>
      </c>
      <c r="Q226" s="6">
        <v>1</v>
      </c>
      <c r="R226" s="6">
        <v>7</v>
      </c>
      <c r="S226" s="6">
        <v>14</v>
      </c>
      <c r="T226" s="6"/>
      <c r="U226" s="6"/>
      <c r="V226" s="6"/>
      <c r="W226" s="6">
        <v>2</v>
      </c>
      <c r="X226" s="6"/>
      <c r="Y226" s="6">
        <v>1</v>
      </c>
      <c r="Z226" s="6">
        <v>4</v>
      </c>
      <c r="AA226" s="6">
        <v>2</v>
      </c>
      <c r="AB226" s="6">
        <v>2</v>
      </c>
      <c r="AC226" s="6">
        <v>1</v>
      </c>
      <c r="AD226" s="6"/>
      <c r="AE226" s="6"/>
      <c r="AF226" s="6">
        <v>1</v>
      </c>
      <c r="AG226" s="6"/>
      <c r="AH226" s="6"/>
      <c r="AI226" s="6"/>
      <c r="AJ226" s="6"/>
      <c r="AK226" s="6"/>
      <c r="AL226" s="6"/>
      <c r="AM226" s="6"/>
      <c r="AN226" s="6"/>
      <c r="AO226" s="6"/>
      <c r="AP226" s="5">
        <f t="shared" si="39"/>
        <v>39</v>
      </c>
    </row>
    <row r="227" spans="1:42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>
        <v>1</v>
      </c>
      <c r="O227" s="6"/>
      <c r="P227" s="6"/>
      <c r="Q227" s="6">
        <v>1</v>
      </c>
      <c r="R227" s="6"/>
      <c r="S227" s="6">
        <v>4</v>
      </c>
      <c r="T227" s="6">
        <v>1</v>
      </c>
      <c r="U227" s="6"/>
      <c r="V227" s="6"/>
      <c r="W227" s="6"/>
      <c r="X227" s="6"/>
      <c r="Y227" s="6"/>
      <c r="Z227" s="6"/>
      <c r="AA227" s="6">
        <v>2</v>
      </c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5">
        <f t="shared" si="39"/>
        <v>9</v>
      </c>
    </row>
    <row r="228" spans="1:42" x14ac:dyDescent="0.4">
      <c r="A228" s="7"/>
      <c r="B228" s="17"/>
      <c r="C228" s="24" t="s">
        <v>225</v>
      </c>
      <c r="D228" s="49"/>
      <c r="E228" s="6"/>
      <c r="F228" s="6"/>
      <c r="G228" s="6"/>
      <c r="H228" s="6">
        <v>1</v>
      </c>
      <c r="I228" s="6"/>
      <c r="J228" s="6"/>
      <c r="K228" s="6"/>
      <c r="L228" s="6"/>
      <c r="M228" s="6">
        <v>1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5">
        <f t="shared" si="39"/>
        <v>2</v>
      </c>
    </row>
    <row r="229" spans="1:42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>
        <v>1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5">
        <f t="shared" si="39"/>
        <v>1</v>
      </c>
    </row>
    <row r="230" spans="1:42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5">
        <f t="shared" si="39"/>
        <v>0</v>
      </c>
    </row>
    <row r="231" spans="1:42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5">
        <f t="shared" si="39"/>
        <v>0</v>
      </c>
    </row>
    <row r="232" spans="1:42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5">
        <f t="shared" si="39"/>
        <v>0</v>
      </c>
    </row>
    <row r="233" spans="1:42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5">
        <f t="shared" si="39"/>
        <v>0</v>
      </c>
    </row>
    <row r="234" spans="1:42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5">
        <f t="shared" si="39"/>
        <v>0</v>
      </c>
    </row>
    <row r="235" spans="1:42" x14ac:dyDescent="0.4">
      <c r="A235" s="6" t="s">
        <v>26</v>
      </c>
      <c r="B235" s="85" t="s">
        <v>51</v>
      </c>
      <c r="C235" s="93"/>
      <c r="D235" s="94"/>
      <c r="E235" s="5">
        <f t="shared" ref="E235:AP235" si="40">SUM(E225:E234)</f>
        <v>0</v>
      </c>
      <c r="F235" s="5">
        <f t="shared" si="40"/>
        <v>0</v>
      </c>
      <c r="G235" s="5">
        <f t="shared" si="40"/>
        <v>0</v>
      </c>
      <c r="H235" s="5">
        <f t="shared" si="40"/>
        <v>2</v>
      </c>
      <c r="I235" s="5">
        <f t="shared" si="40"/>
        <v>0</v>
      </c>
      <c r="J235" s="5">
        <f t="shared" si="40"/>
        <v>0</v>
      </c>
      <c r="K235" s="5">
        <f t="shared" si="40"/>
        <v>1</v>
      </c>
      <c r="L235" s="5">
        <f t="shared" si="40"/>
        <v>1</v>
      </c>
      <c r="M235" s="5">
        <f t="shared" si="40"/>
        <v>1</v>
      </c>
      <c r="N235" s="5">
        <f t="shared" si="40"/>
        <v>1</v>
      </c>
      <c r="O235" s="5">
        <f t="shared" si="40"/>
        <v>2</v>
      </c>
      <c r="P235" s="5">
        <f t="shared" si="40"/>
        <v>1</v>
      </c>
      <c r="Q235" s="5">
        <f t="shared" si="40"/>
        <v>2</v>
      </c>
      <c r="R235" s="5">
        <f t="shared" si="40"/>
        <v>11</v>
      </c>
      <c r="S235" s="5">
        <f t="shared" si="40"/>
        <v>23</v>
      </c>
      <c r="T235" s="5">
        <f t="shared" si="40"/>
        <v>1</v>
      </c>
      <c r="U235" s="5">
        <f t="shared" si="40"/>
        <v>0</v>
      </c>
      <c r="V235" s="5">
        <f t="shared" si="40"/>
        <v>0</v>
      </c>
      <c r="W235" s="5">
        <f t="shared" si="40"/>
        <v>2</v>
      </c>
      <c r="X235" s="5">
        <f t="shared" si="40"/>
        <v>0</v>
      </c>
      <c r="Y235" s="5">
        <f t="shared" si="40"/>
        <v>1</v>
      </c>
      <c r="Z235" s="5">
        <f t="shared" si="40"/>
        <v>4</v>
      </c>
      <c r="AA235" s="5">
        <f t="shared" si="40"/>
        <v>5</v>
      </c>
      <c r="AB235" s="5">
        <f t="shared" si="40"/>
        <v>3</v>
      </c>
      <c r="AC235" s="5">
        <f t="shared" si="40"/>
        <v>2</v>
      </c>
      <c r="AD235" s="5">
        <f t="shared" si="40"/>
        <v>1</v>
      </c>
      <c r="AE235" s="5">
        <f t="shared" si="40"/>
        <v>0</v>
      </c>
      <c r="AF235" s="5">
        <f t="shared" si="40"/>
        <v>1</v>
      </c>
      <c r="AG235" s="5">
        <f t="shared" si="40"/>
        <v>0</v>
      </c>
      <c r="AH235" s="5">
        <f t="shared" si="40"/>
        <v>0</v>
      </c>
      <c r="AI235" s="5">
        <f t="shared" si="40"/>
        <v>0</v>
      </c>
      <c r="AJ235" s="5">
        <f t="shared" si="40"/>
        <v>0</v>
      </c>
      <c r="AK235" s="5">
        <f t="shared" si="40"/>
        <v>0</v>
      </c>
      <c r="AL235" s="5">
        <f t="shared" si="40"/>
        <v>0</v>
      </c>
      <c r="AM235" s="5">
        <f t="shared" si="40"/>
        <v>0</v>
      </c>
      <c r="AN235" s="5">
        <f t="shared" si="40"/>
        <v>0</v>
      </c>
      <c r="AO235" s="5">
        <f t="shared" si="40"/>
        <v>0</v>
      </c>
      <c r="AP235" s="5">
        <f t="shared" si="40"/>
        <v>65</v>
      </c>
    </row>
    <row r="236" spans="1:42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 spans="1:42" x14ac:dyDescent="0.4">
      <c r="A237" s="11" t="s">
        <v>48</v>
      </c>
      <c r="B237" s="17" t="s">
        <v>79</v>
      </c>
      <c r="C237" s="92" t="s">
        <v>80</v>
      </c>
      <c r="D237" s="66"/>
      <c r="E237" s="6">
        <v>1</v>
      </c>
      <c r="F237" s="6"/>
      <c r="G237" s="6">
        <v>8</v>
      </c>
      <c r="H237" s="6"/>
      <c r="I237" s="6">
        <v>11</v>
      </c>
      <c r="J237" s="6">
        <v>5</v>
      </c>
      <c r="K237" s="6">
        <v>7</v>
      </c>
      <c r="L237" s="6">
        <v>4</v>
      </c>
      <c r="M237" s="6">
        <v>10</v>
      </c>
      <c r="N237" s="6">
        <v>7</v>
      </c>
      <c r="O237" s="6">
        <v>3</v>
      </c>
      <c r="P237" s="6">
        <v>1</v>
      </c>
      <c r="Q237" s="6">
        <v>2</v>
      </c>
      <c r="R237" s="6">
        <v>1</v>
      </c>
      <c r="S237" s="6">
        <v>2</v>
      </c>
      <c r="T237" s="6"/>
      <c r="U237" s="6"/>
      <c r="V237" s="6">
        <v>1</v>
      </c>
      <c r="W237" s="6">
        <v>1</v>
      </c>
      <c r="X237" s="6">
        <v>3</v>
      </c>
      <c r="Y237" s="6">
        <v>5</v>
      </c>
      <c r="Z237" s="6"/>
      <c r="AA237" s="6">
        <v>1</v>
      </c>
      <c r="AB237" s="6">
        <v>1</v>
      </c>
      <c r="AC237" s="6">
        <v>1</v>
      </c>
      <c r="AD237" s="6"/>
      <c r="AE237" s="6"/>
      <c r="AF237" s="6"/>
      <c r="AG237" s="6">
        <v>2</v>
      </c>
      <c r="AH237" s="6">
        <v>5</v>
      </c>
      <c r="AI237" s="6">
        <v>4</v>
      </c>
      <c r="AJ237" s="6"/>
      <c r="AK237" s="6"/>
      <c r="AL237" s="6"/>
      <c r="AM237" s="6">
        <v>2</v>
      </c>
      <c r="AN237" s="6">
        <v>5</v>
      </c>
      <c r="AO237" s="6">
        <v>4</v>
      </c>
      <c r="AP237" s="5">
        <f t="shared" ref="AP237:AP246" si="41">SUM(E237:AO237)</f>
        <v>97</v>
      </c>
    </row>
    <row r="238" spans="1:42" x14ac:dyDescent="0.4">
      <c r="A238" s="11" t="s">
        <v>50</v>
      </c>
      <c r="B238" s="50"/>
      <c r="C238" s="24" t="s">
        <v>227</v>
      </c>
      <c r="D238" s="51"/>
      <c r="E238" s="6">
        <v>3</v>
      </c>
      <c r="F238" s="6">
        <v>1</v>
      </c>
      <c r="G238" s="6">
        <v>28</v>
      </c>
      <c r="H238" s="6">
        <v>3</v>
      </c>
      <c r="I238" s="6">
        <v>18</v>
      </c>
      <c r="J238" s="6">
        <v>66</v>
      </c>
      <c r="K238" s="6">
        <v>82</v>
      </c>
      <c r="L238" s="6">
        <v>28</v>
      </c>
      <c r="M238" s="6">
        <v>83</v>
      </c>
      <c r="N238" s="6">
        <v>39</v>
      </c>
      <c r="O238" s="6">
        <v>8</v>
      </c>
      <c r="P238" s="6">
        <v>12</v>
      </c>
      <c r="Q238" s="6">
        <v>1</v>
      </c>
      <c r="R238" s="6">
        <v>14</v>
      </c>
      <c r="S238" s="6">
        <v>9</v>
      </c>
      <c r="T238" s="6">
        <v>3</v>
      </c>
      <c r="U238" s="6">
        <v>6</v>
      </c>
      <c r="V238" s="6">
        <v>2</v>
      </c>
      <c r="W238" s="6">
        <v>4</v>
      </c>
      <c r="X238" s="6">
        <v>24</v>
      </c>
      <c r="Y238" s="6">
        <v>38</v>
      </c>
      <c r="Z238" s="6">
        <v>10</v>
      </c>
      <c r="AA238" s="6">
        <v>13</v>
      </c>
      <c r="AB238" s="6">
        <v>7</v>
      </c>
      <c r="AC238" s="6">
        <v>13</v>
      </c>
      <c r="AD238" s="6">
        <v>3</v>
      </c>
      <c r="AE238" s="6">
        <v>1</v>
      </c>
      <c r="AF238" s="6"/>
      <c r="AG238" s="6">
        <v>14</v>
      </c>
      <c r="AH238" s="6">
        <v>10</v>
      </c>
      <c r="AI238" s="6">
        <v>44</v>
      </c>
      <c r="AJ238" s="6"/>
      <c r="AK238" s="6">
        <v>1</v>
      </c>
      <c r="AL238" s="6">
        <v>1</v>
      </c>
      <c r="AM238" s="6">
        <v>3</v>
      </c>
      <c r="AN238" s="6">
        <v>15</v>
      </c>
      <c r="AO238" s="6">
        <v>28</v>
      </c>
      <c r="AP238" s="5">
        <f t="shared" si="41"/>
        <v>635</v>
      </c>
    </row>
    <row r="239" spans="1:42" x14ac:dyDescent="0.4">
      <c r="A239" s="7"/>
      <c r="B239" s="50"/>
      <c r="C239" s="24" t="s">
        <v>228</v>
      </c>
      <c r="D239" s="51"/>
      <c r="E239" s="6"/>
      <c r="F239" s="6"/>
      <c r="G239" s="6">
        <v>1</v>
      </c>
      <c r="H239" s="6"/>
      <c r="I239" s="6"/>
      <c r="J239" s="6">
        <v>1</v>
      </c>
      <c r="K239" s="6">
        <v>1</v>
      </c>
      <c r="L239" s="6"/>
      <c r="M239" s="6">
        <v>1</v>
      </c>
      <c r="N239" s="6"/>
      <c r="O239" s="6"/>
      <c r="P239" s="6">
        <v>1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>
        <v>1</v>
      </c>
      <c r="AN239" s="6">
        <v>2</v>
      </c>
      <c r="AO239" s="6">
        <v>2</v>
      </c>
      <c r="AP239" s="5">
        <f t="shared" si="41"/>
        <v>10</v>
      </c>
    </row>
    <row r="240" spans="1:42" ht="13.15" customHeight="1" x14ac:dyDescent="0.4">
      <c r="A240" s="7"/>
      <c r="B240" s="50"/>
      <c r="C240" s="24" t="s">
        <v>229</v>
      </c>
      <c r="D240" s="51"/>
      <c r="E240" s="6"/>
      <c r="F240" s="6"/>
      <c r="G240" s="6">
        <v>2</v>
      </c>
      <c r="H240" s="6"/>
      <c r="I240" s="6"/>
      <c r="J240" s="6"/>
      <c r="K240" s="6"/>
      <c r="L240" s="6"/>
      <c r="M240" s="6"/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>
        <v>2</v>
      </c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5">
        <f t="shared" si="41"/>
        <v>5</v>
      </c>
    </row>
    <row r="241" spans="1:42" x14ac:dyDescent="0.4">
      <c r="A241" s="7"/>
      <c r="B241" s="50"/>
      <c r="C241" s="24" t="s">
        <v>230</v>
      </c>
      <c r="D241" s="51"/>
      <c r="E241" s="6"/>
      <c r="F241" s="6"/>
      <c r="G241" s="6"/>
      <c r="H241" s="6"/>
      <c r="I241" s="6"/>
      <c r="J241" s="6">
        <v>1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1</v>
      </c>
      <c r="AC241" s="6"/>
      <c r="AD241" s="6"/>
      <c r="AE241" s="6"/>
      <c r="AF241" s="6"/>
      <c r="AG241" s="6"/>
      <c r="AH241" s="6">
        <v>1</v>
      </c>
      <c r="AI241" s="6"/>
      <c r="AJ241" s="6"/>
      <c r="AK241" s="6"/>
      <c r="AL241" s="6"/>
      <c r="AM241" s="6"/>
      <c r="AN241" s="6"/>
      <c r="AO241" s="6"/>
      <c r="AP241" s="5">
        <f t="shared" si="41"/>
        <v>3</v>
      </c>
    </row>
    <row r="242" spans="1:42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/>
      <c r="I242" s="6"/>
      <c r="J242" s="6">
        <v>2</v>
      </c>
      <c r="K242" s="6">
        <v>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5">
        <f t="shared" si="41"/>
        <v>3</v>
      </c>
    </row>
    <row r="243" spans="1:42" x14ac:dyDescent="0.4">
      <c r="A243" s="7"/>
      <c r="B243" s="50"/>
      <c r="C243" s="24" t="s">
        <v>232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5">
        <f t="shared" si="41"/>
        <v>0</v>
      </c>
    </row>
    <row r="244" spans="1:42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>
        <v>1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5">
        <f t="shared" si="41"/>
        <v>1</v>
      </c>
    </row>
    <row r="245" spans="1:42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5">
        <f t="shared" si="41"/>
        <v>0</v>
      </c>
    </row>
    <row r="246" spans="1:42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5">
        <f t="shared" si="41"/>
        <v>0</v>
      </c>
    </row>
    <row r="247" spans="1:42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AP247" si="42">SUM(E237:E246)</f>
        <v>4</v>
      </c>
      <c r="F247" s="5">
        <f t="shared" si="42"/>
        <v>1</v>
      </c>
      <c r="G247" s="5">
        <f t="shared" si="42"/>
        <v>39</v>
      </c>
      <c r="H247" s="5">
        <f t="shared" si="42"/>
        <v>3</v>
      </c>
      <c r="I247" s="5">
        <f t="shared" si="42"/>
        <v>29</v>
      </c>
      <c r="J247" s="5">
        <f t="shared" si="42"/>
        <v>75</v>
      </c>
      <c r="K247" s="5">
        <f t="shared" si="42"/>
        <v>91</v>
      </c>
      <c r="L247" s="5">
        <f t="shared" si="42"/>
        <v>32</v>
      </c>
      <c r="M247" s="5">
        <f t="shared" si="42"/>
        <v>94</v>
      </c>
      <c r="N247" s="5">
        <f t="shared" si="42"/>
        <v>47</v>
      </c>
      <c r="O247" s="5">
        <f t="shared" si="42"/>
        <v>11</v>
      </c>
      <c r="P247" s="5">
        <f t="shared" si="42"/>
        <v>14</v>
      </c>
      <c r="Q247" s="5">
        <f t="shared" si="42"/>
        <v>3</v>
      </c>
      <c r="R247" s="5">
        <f t="shared" si="42"/>
        <v>15</v>
      </c>
      <c r="S247" s="5">
        <f t="shared" si="42"/>
        <v>11</v>
      </c>
      <c r="T247" s="5">
        <f t="shared" si="42"/>
        <v>3</v>
      </c>
      <c r="U247" s="5">
        <f t="shared" si="42"/>
        <v>6</v>
      </c>
      <c r="V247" s="5">
        <f t="shared" si="42"/>
        <v>3</v>
      </c>
      <c r="W247" s="5">
        <f t="shared" si="42"/>
        <v>6</v>
      </c>
      <c r="X247" s="5">
        <f t="shared" si="42"/>
        <v>27</v>
      </c>
      <c r="Y247" s="5">
        <f t="shared" si="42"/>
        <v>43</v>
      </c>
      <c r="Z247" s="5">
        <f t="shared" si="42"/>
        <v>10</v>
      </c>
      <c r="AA247" s="5">
        <f t="shared" si="42"/>
        <v>14</v>
      </c>
      <c r="AB247" s="5">
        <f t="shared" si="42"/>
        <v>9</v>
      </c>
      <c r="AC247" s="5">
        <f t="shared" si="42"/>
        <v>14</v>
      </c>
      <c r="AD247" s="5">
        <f t="shared" si="42"/>
        <v>5</v>
      </c>
      <c r="AE247" s="5">
        <f t="shared" si="42"/>
        <v>1</v>
      </c>
      <c r="AF247" s="5">
        <f t="shared" si="42"/>
        <v>0</v>
      </c>
      <c r="AG247" s="5">
        <f t="shared" si="42"/>
        <v>16</v>
      </c>
      <c r="AH247" s="5">
        <f t="shared" si="42"/>
        <v>16</v>
      </c>
      <c r="AI247" s="5">
        <f t="shared" si="42"/>
        <v>48</v>
      </c>
      <c r="AJ247" s="5">
        <f t="shared" si="42"/>
        <v>0</v>
      </c>
      <c r="AK247" s="5">
        <f t="shared" si="42"/>
        <v>1</v>
      </c>
      <c r="AL247" s="5">
        <f t="shared" si="42"/>
        <v>1</v>
      </c>
      <c r="AM247" s="5">
        <f t="shared" si="42"/>
        <v>6</v>
      </c>
      <c r="AN247" s="5">
        <f t="shared" si="42"/>
        <v>22</v>
      </c>
      <c r="AO247" s="5">
        <f t="shared" si="42"/>
        <v>34</v>
      </c>
      <c r="AP247" s="5">
        <f t="shared" si="42"/>
        <v>754</v>
      </c>
    </row>
    <row r="248" spans="1:42" x14ac:dyDescent="0.4">
      <c r="A248" s="64"/>
      <c r="B248" s="86"/>
      <c r="C248" s="86"/>
      <c r="D248" s="86"/>
      <c r="E248" s="95"/>
    </row>
    <row r="249" spans="1:42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/>
      <c r="G249" s="6"/>
      <c r="H249" s="6"/>
      <c r="I249" s="6"/>
      <c r="J249" s="6"/>
      <c r="K249" s="6"/>
      <c r="L249" s="6"/>
      <c r="M249" s="6">
        <v>1</v>
      </c>
      <c r="N249" s="6"/>
      <c r="O249" s="6">
        <v>1</v>
      </c>
      <c r="P249" s="6"/>
      <c r="Q249" s="6"/>
      <c r="R249" s="6"/>
      <c r="S249" s="6">
        <v>1</v>
      </c>
      <c r="T249" s="6">
        <v>1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5">
        <f t="shared" ref="AP249:AP258" si="43">SUM(E249:AO249)</f>
        <v>4</v>
      </c>
    </row>
    <row r="250" spans="1:42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>
        <v>1</v>
      </c>
      <c r="N250" s="6"/>
      <c r="O250" s="6">
        <v>1</v>
      </c>
      <c r="P250" s="6"/>
      <c r="Q250" s="6"/>
      <c r="R250" s="6"/>
      <c r="S250" s="6"/>
      <c r="T250" s="6"/>
      <c r="U250" s="6">
        <v>4</v>
      </c>
      <c r="V250" s="6">
        <v>1</v>
      </c>
      <c r="W250" s="6">
        <v>1</v>
      </c>
      <c r="X250" s="6"/>
      <c r="Y250" s="6"/>
      <c r="Z250" s="6">
        <v>1</v>
      </c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5">
        <f t="shared" si="43"/>
        <v>9</v>
      </c>
    </row>
    <row r="251" spans="1:42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>
        <v>1</v>
      </c>
      <c r="T251" s="6"/>
      <c r="U251" s="6"/>
      <c r="V251" s="6"/>
      <c r="W251" s="6"/>
      <c r="X251" s="6"/>
      <c r="Y251" s="6"/>
      <c r="Z251" s="6">
        <v>1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5">
        <f t="shared" si="43"/>
        <v>2</v>
      </c>
    </row>
    <row r="252" spans="1:42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5">
        <f t="shared" si="43"/>
        <v>0</v>
      </c>
    </row>
    <row r="253" spans="1:42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5">
        <f t="shared" si="43"/>
        <v>0</v>
      </c>
    </row>
    <row r="254" spans="1:42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5">
        <f t="shared" si="43"/>
        <v>0</v>
      </c>
    </row>
    <row r="255" spans="1:42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5">
        <f t="shared" si="43"/>
        <v>0</v>
      </c>
    </row>
    <row r="256" spans="1:42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5">
        <f t="shared" si="43"/>
        <v>0</v>
      </c>
    </row>
    <row r="257" spans="1:42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5">
        <f t="shared" si="43"/>
        <v>0</v>
      </c>
    </row>
    <row r="258" spans="1:42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5">
        <f t="shared" si="43"/>
        <v>0</v>
      </c>
    </row>
    <row r="259" spans="1:42" x14ac:dyDescent="0.4">
      <c r="A259" s="6" t="s">
        <v>26</v>
      </c>
      <c r="B259" s="85" t="s">
        <v>51</v>
      </c>
      <c r="C259" s="93"/>
      <c r="D259" s="94"/>
      <c r="E259" s="5">
        <f t="shared" ref="E259:AP259" si="44">SUM(E249:E258)</f>
        <v>0</v>
      </c>
      <c r="F259" s="5">
        <f t="shared" si="44"/>
        <v>0</v>
      </c>
      <c r="G259" s="5">
        <f t="shared" si="44"/>
        <v>0</v>
      </c>
      <c r="H259" s="5">
        <f t="shared" si="44"/>
        <v>0</v>
      </c>
      <c r="I259" s="5">
        <f t="shared" si="44"/>
        <v>0</v>
      </c>
      <c r="J259" s="5">
        <f t="shared" si="44"/>
        <v>0</v>
      </c>
      <c r="K259" s="5">
        <f t="shared" si="44"/>
        <v>0</v>
      </c>
      <c r="L259" s="5">
        <f t="shared" si="44"/>
        <v>0</v>
      </c>
      <c r="M259" s="5">
        <f t="shared" si="44"/>
        <v>2</v>
      </c>
      <c r="N259" s="5">
        <f t="shared" si="44"/>
        <v>0</v>
      </c>
      <c r="O259" s="5">
        <f t="shared" si="44"/>
        <v>2</v>
      </c>
      <c r="P259" s="5">
        <f t="shared" si="44"/>
        <v>0</v>
      </c>
      <c r="Q259" s="5">
        <f t="shared" si="44"/>
        <v>0</v>
      </c>
      <c r="R259" s="5">
        <f t="shared" si="44"/>
        <v>0</v>
      </c>
      <c r="S259" s="5">
        <f t="shared" si="44"/>
        <v>2</v>
      </c>
      <c r="T259" s="5">
        <f t="shared" si="44"/>
        <v>1</v>
      </c>
      <c r="U259" s="5">
        <f t="shared" si="44"/>
        <v>4</v>
      </c>
      <c r="V259" s="5">
        <f t="shared" si="44"/>
        <v>1</v>
      </c>
      <c r="W259" s="5">
        <f t="shared" si="44"/>
        <v>1</v>
      </c>
      <c r="X259" s="5">
        <f t="shared" si="44"/>
        <v>0</v>
      </c>
      <c r="Y259" s="5">
        <f t="shared" si="44"/>
        <v>0</v>
      </c>
      <c r="Z259" s="5">
        <f t="shared" si="44"/>
        <v>2</v>
      </c>
      <c r="AA259" s="5">
        <f t="shared" si="44"/>
        <v>0</v>
      </c>
      <c r="AB259" s="5">
        <f t="shared" si="44"/>
        <v>0</v>
      </c>
      <c r="AC259" s="5">
        <f t="shared" si="44"/>
        <v>0</v>
      </c>
      <c r="AD259" s="5">
        <f t="shared" si="44"/>
        <v>0</v>
      </c>
      <c r="AE259" s="5">
        <f t="shared" si="44"/>
        <v>0</v>
      </c>
      <c r="AF259" s="5">
        <f t="shared" si="44"/>
        <v>0</v>
      </c>
      <c r="AG259" s="5">
        <f t="shared" si="44"/>
        <v>0</v>
      </c>
      <c r="AH259" s="5">
        <f t="shared" si="44"/>
        <v>0</v>
      </c>
      <c r="AI259" s="5">
        <f t="shared" si="44"/>
        <v>0</v>
      </c>
      <c r="AJ259" s="5">
        <f t="shared" si="44"/>
        <v>0</v>
      </c>
      <c r="AK259" s="5">
        <f t="shared" si="44"/>
        <v>0</v>
      </c>
      <c r="AL259" s="5">
        <f t="shared" si="44"/>
        <v>0</v>
      </c>
      <c r="AM259" s="5">
        <f t="shared" si="44"/>
        <v>0</v>
      </c>
      <c r="AN259" s="5">
        <f t="shared" si="44"/>
        <v>0</v>
      </c>
      <c r="AO259" s="5">
        <f t="shared" si="44"/>
        <v>0</v>
      </c>
      <c r="AP259" s="5">
        <f t="shared" si="44"/>
        <v>15</v>
      </c>
    </row>
    <row r="261" spans="1:42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197</v>
      </c>
      <c r="F262" s="6">
        <f t="shared" ref="F262:AO262" si="45">F55+F67+F79+F91+F103+F115+F127+F139+F151+F163+F175+F187+F199+F211+F223+F235+F247+F259</f>
        <v>129</v>
      </c>
      <c r="G262" s="6">
        <f t="shared" si="45"/>
        <v>170</v>
      </c>
      <c r="H262" s="6">
        <f t="shared" si="45"/>
        <v>116</v>
      </c>
      <c r="I262" s="6">
        <f t="shared" si="45"/>
        <v>153</v>
      </c>
      <c r="J262" s="6">
        <f t="shared" si="45"/>
        <v>196</v>
      </c>
      <c r="K262" s="6">
        <f t="shared" si="45"/>
        <v>225</v>
      </c>
      <c r="L262" s="6">
        <f t="shared" si="45"/>
        <v>233</v>
      </c>
      <c r="M262" s="6">
        <f t="shared" si="45"/>
        <v>212</v>
      </c>
      <c r="N262" s="6">
        <f t="shared" si="45"/>
        <v>169</v>
      </c>
      <c r="O262" s="6">
        <f t="shared" si="45"/>
        <v>160</v>
      </c>
      <c r="P262" s="6">
        <f t="shared" si="45"/>
        <v>167</v>
      </c>
      <c r="Q262" s="6">
        <f t="shared" si="45"/>
        <v>189</v>
      </c>
      <c r="R262" s="6">
        <f t="shared" si="45"/>
        <v>220</v>
      </c>
      <c r="S262" s="6">
        <f t="shared" si="45"/>
        <v>197</v>
      </c>
      <c r="T262" s="6">
        <f t="shared" si="45"/>
        <v>192</v>
      </c>
      <c r="U262" s="6">
        <f t="shared" si="45"/>
        <v>119</v>
      </c>
      <c r="V262" s="6">
        <f t="shared" si="45"/>
        <v>223</v>
      </c>
      <c r="W262" s="6">
        <f t="shared" si="45"/>
        <v>151</v>
      </c>
      <c r="X262" s="6">
        <f t="shared" si="45"/>
        <v>205</v>
      </c>
      <c r="Y262" s="6">
        <f t="shared" si="45"/>
        <v>234</v>
      </c>
      <c r="Z262" s="6">
        <f t="shared" si="45"/>
        <v>181</v>
      </c>
      <c r="AA262" s="6">
        <f t="shared" si="45"/>
        <v>159</v>
      </c>
      <c r="AB262" s="6">
        <f t="shared" si="45"/>
        <v>174</v>
      </c>
      <c r="AC262" s="6">
        <f t="shared" si="45"/>
        <v>155</v>
      </c>
      <c r="AD262" s="6">
        <f t="shared" si="45"/>
        <v>130</v>
      </c>
      <c r="AE262" s="6">
        <f t="shared" si="45"/>
        <v>172</v>
      </c>
      <c r="AF262" s="6">
        <f t="shared" si="45"/>
        <v>166</v>
      </c>
      <c r="AG262" s="6">
        <f t="shared" si="45"/>
        <v>179</v>
      </c>
      <c r="AH262" s="6">
        <f t="shared" si="45"/>
        <v>178</v>
      </c>
      <c r="AI262" s="6">
        <f t="shared" si="45"/>
        <v>152</v>
      </c>
      <c r="AJ262" s="6">
        <f t="shared" si="45"/>
        <v>176</v>
      </c>
      <c r="AK262" s="6">
        <f t="shared" si="45"/>
        <v>178</v>
      </c>
      <c r="AL262" s="6">
        <f t="shared" si="45"/>
        <v>199</v>
      </c>
      <c r="AM262" s="6">
        <f t="shared" si="45"/>
        <v>199</v>
      </c>
      <c r="AN262" s="6">
        <f t="shared" si="45"/>
        <v>178</v>
      </c>
      <c r="AO262" s="6">
        <f t="shared" si="45"/>
        <v>186</v>
      </c>
      <c r="AP262" s="5">
        <f>SUM(E262:AO262)</f>
        <v>6619</v>
      </c>
    </row>
    <row r="263" spans="1:42" x14ac:dyDescent="0.4">
      <c r="A263" s="13"/>
      <c r="B263" s="19" t="s">
        <v>87</v>
      </c>
      <c r="C263" s="100" t="s">
        <v>88</v>
      </c>
      <c r="D263" s="101"/>
      <c r="E263" s="6">
        <v>24</v>
      </c>
      <c r="F263" s="6">
        <v>11</v>
      </c>
      <c r="G263" s="6">
        <v>25</v>
      </c>
      <c r="H263" s="6">
        <v>12</v>
      </c>
      <c r="I263" s="6">
        <v>10</v>
      </c>
      <c r="J263" s="6">
        <v>3</v>
      </c>
      <c r="K263" s="6">
        <v>7</v>
      </c>
      <c r="L263" s="6">
        <v>5</v>
      </c>
      <c r="M263" s="6">
        <v>17</v>
      </c>
      <c r="N263" s="6">
        <v>16</v>
      </c>
      <c r="O263" s="6">
        <v>4</v>
      </c>
      <c r="P263" s="6">
        <v>4</v>
      </c>
      <c r="Q263" s="6">
        <v>14</v>
      </c>
      <c r="R263" s="6">
        <v>10</v>
      </c>
      <c r="S263" s="6">
        <v>16</v>
      </c>
      <c r="T263" s="6">
        <v>7</v>
      </c>
      <c r="U263" s="6">
        <v>11</v>
      </c>
      <c r="V263" s="6">
        <v>19</v>
      </c>
      <c r="W263" s="6">
        <v>5</v>
      </c>
      <c r="X263" s="6">
        <v>9</v>
      </c>
      <c r="Y263" s="6">
        <v>7</v>
      </c>
      <c r="Z263" s="6">
        <v>15</v>
      </c>
      <c r="AA263" s="6">
        <v>17</v>
      </c>
      <c r="AB263" s="6">
        <v>11</v>
      </c>
      <c r="AC263" s="6">
        <v>7</v>
      </c>
      <c r="AD263" s="6">
        <v>16</v>
      </c>
      <c r="AE263" s="6">
        <v>1</v>
      </c>
      <c r="AF263" s="6">
        <v>12</v>
      </c>
      <c r="AG263" s="6">
        <v>18</v>
      </c>
      <c r="AH263" s="6">
        <v>13</v>
      </c>
      <c r="AI263" s="6">
        <v>15</v>
      </c>
      <c r="AJ263" s="6">
        <v>12</v>
      </c>
      <c r="AK263" s="6">
        <v>11</v>
      </c>
      <c r="AL263" s="6">
        <v>11</v>
      </c>
      <c r="AM263" s="6">
        <v>9</v>
      </c>
      <c r="AN263" s="6">
        <v>3</v>
      </c>
      <c r="AO263" s="6">
        <v>3</v>
      </c>
      <c r="AP263" s="5">
        <f>SUM(E263:AO263)</f>
        <v>410</v>
      </c>
    </row>
    <row r="264" spans="1:42" x14ac:dyDescent="0.4">
      <c r="A264" s="14"/>
      <c r="B264" s="19" t="s">
        <v>89</v>
      </c>
      <c r="C264" s="100" t="s">
        <v>90</v>
      </c>
      <c r="D264" s="101"/>
      <c r="E264" s="5">
        <f>SUM(E262:E263)</f>
        <v>221</v>
      </c>
      <c r="F264" s="5">
        <f t="shared" ref="F264:AO264" si="46">SUM(F262:F263)</f>
        <v>140</v>
      </c>
      <c r="G264" s="5">
        <f t="shared" si="46"/>
        <v>195</v>
      </c>
      <c r="H264" s="5">
        <f t="shared" si="46"/>
        <v>128</v>
      </c>
      <c r="I264" s="5">
        <f t="shared" si="46"/>
        <v>163</v>
      </c>
      <c r="J264" s="5">
        <f t="shared" si="46"/>
        <v>199</v>
      </c>
      <c r="K264" s="5">
        <f t="shared" si="46"/>
        <v>232</v>
      </c>
      <c r="L264" s="5">
        <f t="shared" si="46"/>
        <v>238</v>
      </c>
      <c r="M264" s="5">
        <f t="shared" si="46"/>
        <v>229</v>
      </c>
      <c r="N264" s="5">
        <f t="shared" si="46"/>
        <v>185</v>
      </c>
      <c r="O264" s="5">
        <f t="shared" si="46"/>
        <v>164</v>
      </c>
      <c r="P264" s="5">
        <f t="shared" si="46"/>
        <v>171</v>
      </c>
      <c r="Q264" s="5">
        <f t="shared" si="46"/>
        <v>203</v>
      </c>
      <c r="R264" s="5">
        <f t="shared" si="46"/>
        <v>230</v>
      </c>
      <c r="S264" s="5">
        <f t="shared" si="46"/>
        <v>213</v>
      </c>
      <c r="T264" s="5">
        <f t="shared" si="46"/>
        <v>199</v>
      </c>
      <c r="U264" s="5">
        <f t="shared" si="46"/>
        <v>130</v>
      </c>
      <c r="V264" s="5">
        <f t="shared" si="46"/>
        <v>242</v>
      </c>
      <c r="W264" s="5">
        <f t="shared" si="46"/>
        <v>156</v>
      </c>
      <c r="X264" s="5">
        <f t="shared" si="46"/>
        <v>214</v>
      </c>
      <c r="Y264" s="5">
        <f t="shared" si="46"/>
        <v>241</v>
      </c>
      <c r="Z264" s="5">
        <f t="shared" si="46"/>
        <v>196</v>
      </c>
      <c r="AA264" s="5">
        <f t="shared" si="46"/>
        <v>176</v>
      </c>
      <c r="AB264" s="5">
        <f t="shared" si="46"/>
        <v>185</v>
      </c>
      <c r="AC264" s="5">
        <f t="shared" si="46"/>
        <v>162</v>
      </c>
      <c r="AD264" s="5">
        <f t="shared" si="46"/>
        <v>146</v>
      </c>
      <c r="AE264" s="5">
        <f t="shared" si="46"/>
        <v>173</v>
      </c>
      <c r="AF264" s="5">
        <f t="shared" si="46"/>
        <v>178</v>
      </c>
      <c r="AG264" s="5">
        <f t="shared" si="46"/>
        <v>197</v>
      </c>
      <c r="AH264" s="5">
        <f t="shared" si="46"/>
        <v>191</v>
      </c>
      <c r="AI264" s="5">
        <f t="shared" si="46"/>
        <v>167</v>
      </c>
      <c r="AJ264" s="5">
        <f t="shared" si="46"/>
        <v>188</v>
      </c>
      <c r="AK264" s="5">
        <f t="shared" si="46"/>
        <v>189</v>
      </c>
      <c r="AL264" s="5">
        <f t="shared" si="46"/>
        <v>210</v>
      </c>
      <c r="AM264" s="5">
        <f t="shared" si="46"/>
        <v>208</v>
      </c>
      <c r="AN264" s="5">
        <f t="shared" si="46"/>
        <v>181</v>
      </c>
      <c r="AO264" s="5">
        <f t="shared" si="46"/>
        <v>189</v>
      </c>
      <c r="AP264" s="5">
        <f>SUM(E264:AO264)</f>
        <v>7029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AO37"/>
    <mergeCell ref="B38:D38"/>
    <mergeCell ref="B39:C41"/>
    <mergeCell ref="A42:D42"/>
    <mergeCell ref="E42:AO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O12"/>
    <mergeCell ref="AP12:AP13"/>
    <mergeCell ref="B13:D13"/>
    <mergeCell ref="B14:C16"/>
  </mergeCells>
  <conditionalFormatting sqref="E14:AO15">
    <cfRule type="containsBlanks" dxfId="57" priority="2">
      <formula>LEN(TRIM(E14))=0</formula>
    </cfRule>
  </conditionalFormatting>
  <conditionalFormatting sqref="E19:AO20">
    <cfRule type="containsBlanks" dxfId="56" priority="1">
      <formula>LEN(TRIM(E19))=0</formula>
    </cfRule>
  </conditionalFormatting>
  <conditionalFormatting sqref="E22:AO23 E25:AO26 E33:AO33 E35:AO35 E39:AO40">
    <cfRule type="containsBlanks" dxfId="55" priority="26">
      <formula>LEN(TRIM(E22))=0</formula>
    </cfRule>
  </conditionalFormatting>
  <conditionalFormatting sqref="E30:AO30">
    <cfRule type="expression" dxfId="54" priority="27">
      <formula>E30&lt;&gt;E47</formula>
    </cfRule>
    <cfRule type="expression" dxfId="53" priority="28">
      <formula>E30&lt;&gt;E34</formula>
    </cfRule>
  </conditionalFormatting>
  <conditionalFormatting sqref="E34:AO34">
    <cfRule type="expression" dxfId="52" priority="23">
      <formula>E30&lt;&gt;E34</formula>
    </cfRule>
    <cfRule type="expression" dxfId="51" priority="24">
      <formula>E30=E34</formula>
    </cfRule>
    <cfRule type="expression" dxfId="50" priority="29">
      <formula>E34&lt;&gt;E30</formula>
    </cfRule>
    <cfRule type="expression" dxfId="49" priority="30">
      <formula>E34&lt;&gt;E64</formula>
    </cfRule>
  </conditionalFormatting>
  <conditionalFormatting sqref="E45:AO54">
    <cfRule type="containsBlanks" dxfId="48" priority="21">
      <formula>LEN(TRIM(E45))=0</formula>
    </cfRule>
  </conditionalFormatting>
  <conditionalFormatting sqref="E57:AO66">
    <cfRule type="containsBlanks" dxfId="47" priority="20">
      <formula>LEN(TRIM(E57))=0</formula>
    </cfRule>
  </conditionalFormatting>
  <conditionalFormatting sqref="E69:AO78">
    <cfRule type="containsBlanks" dxfId="46" priority="19">
      <formula>LEN(TRIM(E69))=0</formula>
    </cfRule>
  </conditionalFormatting>
  <conditionalFormatting sqref="E81:AO90">
    <cfRule type="containsBlanks" dxfId="45" priority="18">
      <formula>LEN(TRIM(E81))=0</formula>
    </cfRule>
  </conditionalFormatting>
  <conditionalFormatting sqref="E93:AO102">
    <cfRule type="containsBlanks" dxfId="44" priority="17">
      <formula>LEN(TRIM(E93))=0</formula>
    </cfRule>
  </conditionalFormatting>
  <conditionalFormatting sqref="E105:AO114">
    <cfRule type="containsBlanks" dxfId="43" priority="16">
      <formula>LEN(TRIM(E105))=0</formula>
    </cfRule>
  </conditionalFormatting>
  <conditionalFormatting sqref="E117:AO126">
    <cfRule type="containsBlanks" dxfId="42" priority="3">
      <formula>LEN(TRIM(E117))=0</formula>
    </cfRule>
  </conditionalFormatting>
  <conditionalFormatting sqref="E129:AO138">
    <cfRule type="containsBlanks" dxfId="41" priority="15">
      <formula>LEN(TRIM(E129))=0</formula>
    </cfRule>
  </conditionalFormatting>
  <conditionalFormatting sqref="E141:AO150">
    <cfRule type="containsBlanks" dxfId="40" priority="14">
      <formula>LEN(TRIM(E141))=0</formula>
    </cfRule>
  </conditionalFormatting>
  <conditionalFormatting sqref="E153:AO162">
    <cfRule type="containsBlanks" dxfId="39" priority="5">
      <formula>LEN(TRIM(E153))=0</formula>
    </cfRule>
  </conditionalFormatting>
  <conditionalFormatting sqref="E165:AO174">
    <cfRule type="containsBlanks" dxfId="38" priority="13">
      <formula>LEN(TRIM(E165))=0</formula>
    </cfRule>
  </conditionalFormatting>
  <conditionalFormatting sqref="E177:AO186">
    <cfRule type="containsBlanks" dxfId="37" priority="12">
      <formula>LEN(TRIM(E177))=0</formula>
    </cfRule>
  </conditionalFormatting>
  <conditionalFormatting sqref="E189:AO198">
    <cfRule type="containsBlanks" dxfId="36" priority="11">
      <formula>LEN(TRIM(E189))=0</formula>
    </cfRule>
  </conditionalFormatting>
  <conditionalFormatting sqref="E201:AO210">
    <cfRule type="containsBlanks" dxfId="35" priority="10">
      <formula>LEN(TRIM(E201))=0</formula>
    </cfRule>
  </conditionalFormatting>
  <conditionalFormatting sqref="E213:AO222">
    <cfRule type="containsBlanks" dxfId="34" priority="9">
      <formula>LEN(TRIM(E213))=0</formula>
    </cfRule>
  </conditionalFormatting>
  <conditionalFormatting sqref="E225:AO234">
    <cfRule type="containsBlanks" dxfId="33" priority="8">
      <formula>LEN(TRIM(E225))=0</formula>
    </cfRule>
  </conditionalFormatting>
  <conditionalFormatting sqref="E237:AO246">
    <cfRule type="containsBlanks" dxfId="32" priority="7">
      <formula>LEN(TRIM(E237))=0</formula>
    </cfRule>
  </conditionalFormatting>
  <conditionalFormatting sqref="E249:AO258">
    <cfRule type="containsBlanks" dxfId="31" priority="6">
      <formula>LEN(TRIM(E249))=0</formula>
    </cfRule>
  </conditionalFormatting>
  <conditionalFormatting sqref="E262:AO263">
    <cfRule type="containsBlanks" dxfId="30" priority="4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54CD-19EF-4EFA-99DC-A0CC628130D6}">
  <sheetPr>
    <tabColor rgb="FF92D050"/>
  </sheetPr>
  <dimension ref="A2:BL264"/>
  <sheetViews>
    <sheetView topLeftCell="AU13" zoomScale="115" zoomScaleNormal="115" workbookViewId="0">
      <pane ySplit="1" topLeftCell="A260" activePane="bottomLeft" state="frozen"/>
      <selection activeCell="A13" sqref="A13"/>
      <selection pane="bottomLeft" activeCell="BL263" sqref="BL263"/>
    </sheetView>
  </sheetViews>
  <sheetFormatPr defaultRowHeight="13.15" x14ac:dyDescent="0.4"/>
  <cols>
    <col min="3" max="3" width="67.140625" bestFit="1" customWidth="1"/>
    <col min="4" max="4" width="5.85546875" bestFit="1" customWidth="1"/>
    <col min="64" max="64" width="13.28515625" customWidth="1"/>
  </cols>
  <sheetData>
    <row r="2" spans="1:64" x14ac:dyDescent="0.4">
      <c r="C2" s="43" t="s">
        <v>98</v>
      </c>
      <c r="D2" s="43" t="s">
        <v>125</v>
      </c>
    </row>
    <row r="3" spans="1:64" x14ac:dyDescent="0.4">
      <c r="C3" s="43" t="s">
        <v>99</v>
      </c>
      <c r="D3" s="43" t="s">
        <v>100</v>
      </c>
    </row>
    <row r="4" spans="1:64" x14ac:dyDescent="0.4">
      <c r="C4" s="43" t="s">
        <v>101</v>
      </c>
      <c r="D4" s="43" t="s">
        <v>102</v>
      </c>
    </row>
    <row r="5" spans="1:64" x14ac:dyDescent="0.4">
      <c r="C5" s="43"/>
      <c r="D5" s="43"/>
    </row>
    <row r="6" spans="1:64" x14ac:dyDescent="0.4">
      <c r="C6" s="43"/>
      <c r="D6" s="43"/>
    </row>
    <row r="7" spans="1:64" x14ac:dyDescent="0.4">
      <c r="C7" s="43"/>
      <c r="D7" s="43"/>
    </row>
    <row r="8" spans="1:64" x14ac:dyDescent="0.4">
      <c r="C8" s="43"/>
      <c r="D8" s="43"/>
    </row>
    <row r="9" spans="1:64" x14ac:dyDescent="0.4">
      <c r="C9" s="43" t="s">
        <v>103</v>
      </c>
      <c r="D9" s="43" t="s">
        <v>145</v>
      </c>
    </row>
    <row r="11" spans="1:6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4" x14ac:dyDescent="0.4">
      <c r="A12" s="5" t="s">
        <v>0</v>
      </c>
      <c r="B12" s="67" t="s">
        <v>1</v>
      </c>
      <c r="C12" s="65"/>
      <c r="D12" s="66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70" t="s">
        <v>97</v>
      </c>
    </row>
    <row r="13" spans="1:64" x14ac:dyDescent="0.4">
      <c r="A13" s="6" t="s">
        <v>2</v>
      </c>
      <c r="B13" s="72" t="s">
        <v>3</v>
      </c>
      <c r="C13" s="65"/>
      <c r="D13" s="6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104</v>
      </c>
      <c r="AD13" s="5" t="s">
        <v>105</v>
      </c>
      <c r="AE13" s="5" t="s">
        <v>106</v>
      </c>
      <c r="AF13" s="5" t="s">
        <v>107</v>
      </c>
      <c r="AG13" s="5" t="s">
        <v>108</v>
      </c>
      <c r="AH13" s="5" t="s">
        <v>109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114</v>
      </c>
      <c r="AN13" s="5" t="s">
        <v>115</v>
      </c>
      <c r="AO13" s="5" t="s">
        <v>116</v>
      </c>
      <c r="AP13" s="5" t="s">
        <v>117</v>
      </c>
      <c r="AQ13" s="5" t="s">
        <v>118</v>
      </c>
      <c r="AR13" s="5" t="s">
        <v>119</v>
      </c>
      <c r="AS13" s="5" t="s">
        <v>120</v>
      </c>
      <c r="AT13" s="5" t="s">
        <v>121</v>
      </c>
      <c r="AU13" s="5" t="s">
        <v>122</v>
      </c>
      <c r="AV13" s="5" t="s">
        <v>123</v>
      </c>
      <c r="AW13" s="5" t="s">
        <v>124</v>
      </c>
      <c r="AX13" s="5" t="s">
        <v>128</v>
      </c>
      <c r="AY13" s="5" t="s">
        <v>129</v>
      </c>
      <c r="AZ13" s="5" t="s">
        <v>130</v>
      </c>
      <c r="BA13" s="5" t="s">
        <v>131</v>
      </c>
      <c r="BB13" s="5" t="s">
        <v>132</v>
      </c>
      <c r="BC13" s="5" t="s">
        <v>133</v>
      </c>
      <c r="BD13" s="5" t="s">
        <v>134</v>
      </c>
      <c r="BE13" s="5" t="s">
        <v>135</v>
      </c>
      <c r="BF13" s="5" t="s">
        <v>136</v>
      </c>
      <c r="BG13" s="5" t="s">
        <v>137</v>
      </c>
      <c r="BH13" s="5" t="s">
        <v>138</v>
      </c>
      <c r="BI13" s="5" t="s">
        <v>139</v>
      </c>
      <c r="BJ13" s="5" t="s">
        <v>140</v>
      </c>
      <c r="BK13" s="5" t="s">
        <v>146</v>
      </c>
      <c r="BL13" s="71"/>
    </row>
    <row r="14" spans="1:64" x14ac:dyDescent="0.4">
      <c r="A14" s="7"/>
      <c r="B14" s="73" t="s">
        <v>22</v>
      </c>
      <c r="C14" s="74"/>
      <c r="D14" s="6" t="s">
        <v>23</v>
      </c>
      <c r="E14" s="6">
        <v>128</v>
      </c>
      <c r="F14" s="6">
        <v>143</v>
      </c>
      <c r="G14" s="6">
        <v>132</v>
      </c>
      <c r="H14" s="6">
        <v>93</v>
      </c>
      <c r="I14" s="6">
        <v>143</v>
      </c>
      <c r="J14" s="6">
        <v>135</v>
      </c>
      <c r="K14" s="6">
        <v>131</v>
      </c>
      <c r="L14" s="6">
        <v>148</v>
      </c>
      <c r="M14" s="6">
        <v>151</v>
      </c>
      <c r="N14" s="6">
        <v>82</v>
      </c>
      <c r="O14" s="6">
        <v>97</v>
      </c>
      <c r="P14" s="6">
        <v>124</v>
      </c>
      <c r="Q14" s="6">
        <v>119</v>
      </c>
      <c r="R14" s="6">
        <v>144</v>
      </c>
      <c r="S14" s="6">
        <v>141</v>
      </c>
      <c r="T14" s="6">
        <v>82</v>
      </c>
      <c r="U14" s="6">
        <v>130</v>
      </c>
      <c r="V14" s="6">
        <v>138</v>
      </c>
      <c r="W14" s="6">
        <v>123</v>
      </c>
      <c r="X14" s="6">
        <v>107</v>
      </c>
      <c r="Y14" s="6">
        <v>141</v>
      </c>
      <c r="Z14" s="6">
        <v>148</v>
      </c>
      <c r="AA14" s="6">
        <v>87</v>
      </c>
      <c r="AB14" s="6">
        <v>74</v>
      </c>
      <c r="AC14" s="6">
        <v>63</v>
      </c>
      <c r="AD14" s="6">
        <v>127</v>
      </c>
      <c r="AE14" s="6">
        <v>116</v>
      </c>
      <c r="AF14" s="6">
        <v>111</v>
      </c>
      <c r="AG14" s="6">
        <v>101</v>
      </c>
      <c r="AH14" s="6">
        <v>84</v>
      </c>
      <c r="AI14" s="6">
        <v>140</v>
      </c>
      <c r="AJ14" s="6">
        <v>155</v>
      </c>
      <c r="AK14" s="6">
        <v>150</v>
      </c>
      <c r="AL14" s="6">
        <v>110</v>
      </c>
      <c r="AM14" s="6">
        <v>122</v>
      </c>
      <c r="AN14" s="6">
        <v>90</v>
      </c>
      <c r="AO14" s="6">
        <v>131</v>
      </c>
      <c r="AP14" s="6">
        <v>77</v>
      </c>
      <c r="AQ14" s="6">
        <v>92</v>
      </c>
      <c r="AR14" s="6">
        <v>150</v>
      </c>
      <c r="AS14" s="6">
        <v>128</v>
      </c>
      <c r="AT14" s="6">
        <v>103</v>
      </c>
      <c r="AU14" s="6">
        <v>96</v>
      </c>
      <c r="AV14" s="6">
        <v>80</v>
      </c>
      <c r="AW14" s="6">
        <v>134</v>
      </c>
      <c r="AX14" s="6">
        <v>113</v>
      </c>
      <c r="AY14" s="6">
        <v>105</v>
      </c>
      <c r="AZ14" s="6">
        <v>105</v>
      </c>
      <c r="BA14" s="6">
        <v>71</v>
      </c>
      <c r="BB14" s="6">
        <v>88</v>
      </c>
      <c r="BC14" s="6">
        <v>136</v>
      </c>
      <c r="BD14" s="6">
        <v>120</v>
      </c>
      <c r="BE14" s="6">
        <v>138</v>
      </c>
      <c r="BF14" s="6">
        <v>130</v>
      </c>
      <c r="BG14" s="6">
        <v>55</v>
      </c>
      <c r="BH14" s="6">
        <v>95</v>
      </c>
      <c r="BI14" s="6">
        <v>89</v>
      </c>
      <c r="BJ14" s="6">
        <v>88</v>
      </c>
      <c r="BK14" s="6">
        <v>101</v>
      </c>
      <c r="BL14" s="5">
        <f>SUM(E14:BK14)</f>
        <v>6735</v>
      </c>
    </row>
    <row r="15" spans="1:64" x14ac:dyDescent="0.4">
      <c r="A15" s="7"/>
      <c r="B15" s="75"/>
      <c r="C15" s="76"/>
      <c r="D15" s="6" t="s">
        <v>24</v>
      </c>
      <c r="E15" s="6">
        <v>134</v>
      </c>
      <c r="F15" s="6">
        <v>142</v>
      </c>
      <c r="G15" s="6">
        <v>132</v>
      </c>
      <c r="H15" s="6">
        <v>96</v>
      </c>
      <c r="I15" s="6">
        <v>156</v>
      </c>
      <c r="J15" s="6">
        <v>149</v>
      </c>
      <c r="K15" s="6">
        <v>153</v>
      </c>
      <c r="L15" s="6">
        <v>145</v>
      </c>
      <c r="M15" s="6">
        <v>144</v>
      </c>
      <c r="N15" s="6">
        <v>93</v>
      </c>
      <c r="O15" s="6">
        <v>103</v>
      </c>
      <c r="P15" s="6">
        <v>152</v>
      </c>
      <c r="Q15" s="6">
        <v>111</v>
      </c>
      <c r="R15" s="6">
        <v>149</v>
      </c>
      <c r="S15" s="6">
        <v>147</v>
      </c>
      <c r="T15" s="6">
        <v>73</v>
      </c>
      <c r="U15" s="6">
        <v>163</v>
      </c>
      <c r="V15" s="6">
        <v>133</v>
      </c>
      <c r="W15" s="6">
        <v>147</v>
      </c>
      <c r="X15" s="6">
        <v>112</v>
      </c>
      <c r="Y15" s="6">
        <v>144</v>
      </c>
      <c r="Z15" s="6">
        <v>149</v>
      </c>
      <c r="AA15" s="6">
        <v>95</v>
      </c>
      <c r="AB15" s="6">
        <v>81</v>
      </c>
      <c r="AC15" s="6">
        <v>73</v>
      </c>
      <c r="AD15" s="6">
        <v>133</v>
      </c>
      <c r="AE15" s="6">
        <v>122</v>
      </c>
      <c r="AF15" s="6">
        <v>94</v>
      </c>
      <c r="AG15" s="6">
        <v>116</v>
      </c>
      <c r="AH15" s="6">
        <v>89</v>
      </c>
      <c r="AI15" s="6">
        <v>152</v>
      </c>
      <c r="AJ15" s="6">
        <v>144</v>
      </c>
      <c r="AK15" s="6">
        <v>147</v>
      </c>
      <c r="AL15" s="6">
        <v>101</v>
      </c>
      <c r="AM15" s="6">
        <v>120</v>
      </c>
      <c r="AN15" s="6">
        <v>105</v>
      </c>
      <c r="AO15" s="6">
        <v>131</v>
      </c>
      <c r="AP15" s="6">
        <v>82</v>
      </c>
      <c r="AQ15" s="6">
        <v>88</v>
      </c>
      <c r="AR15" s="6">
        <v>149</v>
      </c>
      <c r="AS15" s="6">
        <v>156</v>
      </c>
      <c r="AT15" s="6">
        <v>110</v>
      </c>
      <c r="AU15" s="6">
        <v>86</v>
      </c>
      <c r="AV15" s="6">
        <v>80</v>
      </c>
      <c r="AW15" s="6">
        <v>137</v>
      </c>
      <c r="AX15" s="6">
        <v>120</v>
      </c>
      <c r="AY15" s="6">
        <v>105</v>
      </c>
      <c r="AZ15" s="6">
        <v>120</v>
      </c>
      <c r="BA15" s="6">
        <v>68</v>
      </c>
      <c r="BB15" s="6">
        <v>106</v>
      </c>
      <c r="BC15" s="6">
        <v>142</v>
      </c>
      <c r="BD15" s="6">
        <v>141</v>
      </c>
      <c r="BE15" s="6">
        <v>141</v>
      </c>
      <c r="BF15" s="6">
        <v>162</v>
      </c>
      <c r="BG15" s="6">
        <v>57</v>
      </c>
      <c r="BH15" s="6">
        <v>99</v>
      </c>
      <c r="BI15" s="6">
        <v>100</v>
      </c>
      <c r="BJ15" s="6">
        <v>99</v>
      </c>
      <c r="BK15" s="6">
        <v>112</v>
      </c>
      <c r="BL15" s="5">
        <f>SUM(E15:BK15)</f>
        <v>7090</v>
      </c>
    </row>
    <row r="16" spans="1:64" x14ac:dyDescent="0.4">
      <c r="A16" s="8"/>
      <c r="B16" s="77"/>
      <c r="C16" s="78"/>
      <c r="D16" s="5" t="s">
        <v>25</v>
      </c>
      <c r="E16" s="5">
        <f t="shared" ref="E16:BK16" si="0">SUM(E14:E15)</f>
        <v>262</v>
      </c>
      <c r="F16" s="5">
        <f t="shared" si="0"/>
        <v>285</v>
      </c>
      <c r="G16" s="5">
        <f t="shared" si="0"/>
        <v>264</v>
      </c>
      <c r="H16" s="5">
        <f t="shared" si="0"/>
        <v>189</v>
      </c>
      <c r="I16" s="5">
        <f t="shared" si="0"/>
        <v>299</v>
      </c>
      <c r="J16" s="5">
        <f t="shared" si="0"/>
        <v>284</v>
      </c>
      <c r="K16" s="5">
        <f t="shared" si="0"/>
        <v>284</v>
      </c>
      <c r="L16" s="5">
        <f t="shared" si="0"/>
        <v>293</v>
      </c>
      <c r="M16" s="5">
        <f t="shared" si="0"/>
        <v>295</v>
      </c>
      <c r="N16" s="5">
        <f t="shared" si="0"/>
        <v>175</v>
      </c>
      <c r="O16" s="5">
        <f t="shared" si="0"/>
        <v>200</v>
      </c>
      <c r="P16" s="5">
        <f t="shared" si="0"/>
        <v>276</v>
      </c>
      <c r="Q16" s="5">
        <f t="shared" si="0"/>
        <v>230</v>
      </c>
      <c r="R16" s="5">
        <f t="shared" si="0"/>
        <v>293</v>
      </c>
      <c r="S16" s="5">
        <f t="shared" si="0"/>
        <v>288</v>
      </c>
      <c r="T16" s="5">
        <f t="shared" si="0"/>
        <v>155</v>
      </c>
      <c r="U16" s="5">
        <f t="shared" si="0"/>
        <v>293</v>
      </c>
      <c r="V16" s="5">
        <f t="shared" si="0"/>
        <v>271</v>
      </c>
      <c r="W16" s="5">
        <f t="shared" si="0"/>
        <v>270</v>
      </c>
      <c r="X16" s="5">
        <f t="shared" si="0"/>
        <v>219</v>
      </c>
      <c r="Y16" s="5">
        <f t="shared" si="0"/>
        <v>285</v>
      </c>
      <c r="Z16" s="5">
        <f t="shared" si="0"/>
        <v>297</v>
      </c>
      <c r="AA16" s="5">
        <f t="shared" si="0"/>
        <v>182</v>
      </c>
      <c r="AB16" s="5">
        <f t="shared" si="0"/>
        <v>155</v>
      </c>
      <c r="AC16" s="5">
        <f t="shared" si="0"/>
        <v>136</v>
      </c>
      <c r="AD16" s="5">
        <f t="shared" si="0"/>
        <v>260</v>
      </c>
      <c r="AE16" s="5">
        <f t="shared" si="0"/>
        <v>238</v>
      </c>
      <c r="AF16" s="5">
        <f t="shared" si="0"/>
        <v>205</v>
      </c>
      <c r="AG16" s="5">
        <f t="shared" si="0"/>
        <v>217</v>
      </c>
      <c r="AH16" s="5">
        <f t="shared" si="0"/>
        <v>173</v>
      </c>
      <c r="AI16" s="5">
        <f t="shared" si="0"/>
        <v>292</v>
      </c>
      <c r="AJ16" s="5">
        <f t="shared" si="0"/>
        <v>299</v>
      </c>
      <c r="AK16" s="5">
        <f t="shared" si="0"/>
        <v>297</v>
      </c>
      <c r="AL16" s="5">
        <f t="shared" si="0"/>
        <v>211</v>
      </c>
      <c r="AM16" s="5">
        <f t="shared" si="0"/>
        <v>242</v>
      </c>
      <c r="AN16" s="5">
        <f t="shared" si="0"/>
        <v>195</v>
      </c>
      <c r="AO16" s="5">
        <f t="shared" si="0"/>
        <v>262</v>
      </c>
      <c r="AP16" s="5">
        <f t="shared" si="0"/>
        <v>159</v>
      </c>
      <c r="AQ16" s="5">
        <f t="shared" si="0"/>
        <v>180</v>
      </c>
      <c r="AR16" s="5">
        <f t="shared" si="0"/>
        <v>299</v>
      </c>
      <c r="AS16" s="5">
        <f t="shared" si="0"/>
        <v>284</v>
      </c>
      <c r="AT16" s="5">
        <f t="shared" si="0"/>
        <v>213</v>
      </c>
      <c r="AU16" s="5">
        <f t="shared" si="0"/>
        <v>182</v>
      </c>
      <c r="AV16" s="5">
        <f t="shared" si="0"/>
        <v>160</v>
      </c>
      <c r="AW16" s="5">
        <f t="shared" si="0"/>
        <v>271</v>
      </c>
      <c r="AX16" s="5">
        <f t="shared" si="0"/>
        <v>233</v>
      </c>
      <c r="AY16" s="5">
        <f t="shared" si="0"/>
        <v>210</v>
      </c>
      <c r="AZ16" s="5">
        <f t="shared" si="0"/>
        <v>225</v>
      </c>
      <c r="BA16" s="5">
        <f t="shared" si="0"/>
        <v>139</v>
      </c>
      <c r="BB16" s="5">
        <f t="shared" si="0"/>
        <v>194</v>
      </c>
      <c r="BC16" s="5">
        <f t="shared" si="0"/>
        <v>278</v>
      </c>
      <c r="BD16" s="5">
        <f t="shared" si="0"/>
        <v>261</v>
      </c>
      <c r="BE16" s="5">
        <f t="shared" si="0"/>
        <v>279</v>
      </c>
      <c r="BF16" s="5">
        <f t="shared" si="0"/>
        <v>292</v>
      </c>
      <c r="BG16" s="5">
        <f t="shared" si="0"/>
        <v>112</v>
      </c>
      <c r="BH16" s="5">
        <f t="shared" si="0"/>
        <v>194</v>
      </c>
      <c r="BI16" s="5">
        <f t="shared" ref="BI16" si="1">SUM(BI14:BI15)</f>
        <v>189</v>
      </c>
      <c r="BJ16" s="5">
        <f t="shared" si="0"/>
        <v>187</v>
      </c>
      <c r="BK16" s="5">
        <f t="shared" si="0"/>
        <v>213</v>
      </c>
      <c r="BL16" s="5">
        <f>SUM(E16:BK16)</f>
        <v>13825</v>
      </c>
    </row>
    <row r="17" spans="1:64" x14ac:dyDescent="0.4">
      <c r="A17" s="64"/>
      <c r="B17" s="65"/>
      <c r="C17" s="65"/>
      <c r="D17" s="6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28"/>
    </row>
    <row r="18" spans="1:64" x14ac:dyDescent="0.4">
      <c r="A18" s="11" t="s">
        <v>26</v>
      </c>
      <c r="B18" s="72" t="s">
        <v>27</v>
      </c>
      <c r="C18" s="65"/>
      <c r="D18" s="6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28"/>
    </row>
    <row r="19" spans="1:64" x14ac:dyDescent="0.4">
      <c r="A19" s="11"/>
      <c r="B19" s="79" t="s">
        <v>28</v>
      </c>
      <c r="C19" s="80" t="s">
        <v>29</v>
      </c>
      <c r="D19" s="6" t="s">
        <v>23</v>
      </c>
      <c r="E19" s="6">
        <v>89</v>
      </c>
      <c r="F19" s="6">
        <v>92</v>
      </c>
      <c r="G19" s="6">
        <v>100</v>
      </c>
      <c r="H19" s="6">
        <v>69</v>
      </c>
      <c r="I19" s="6">
        <v>106</v>
      </c>
      <c r="J19" s="6">
        <v>93</v>
      </c>
      <c r="K19" s="6">
        <v>82</v>
      </c>
      <c r="L19" s="6">
        <v>109</v>
      </c>
      <c r="M19" s="6">
        <v>112</v>
      </c>
      <c r="N19" s="6">
        <v>53</v>
      </c>
      <c r="O19" s="6">
        <v>77</v>
      </c>
      <c r="P19" s="6">
        <v>96</v>
      </c>
      <c r="Q19" s="6">
        <v>112</v>
      </c>
      <c r="R19" s="6">
        <v>119</v>
      </c>
      <c r="S19" s="6">
        <v>105</v>
      </c>
      <c r="T19" s="6">
        <v>62</v>
      </c>
      <c r="U19" s="6">
        <v>90</v>
      </c>
      <c r="V19" s="6">
        <v>84</v>
      </c>
      <c r="W19" s="6">
        <v>87</v>
      </c>
      <c r="X19" s="6">
        <v>75</v>
      </c>
      <c r="Y19" s="6">
        <v>105</v>
      </c>
      <c r="Z19" s="6">
        <v>112</v>
      </c>
      <c r="AA19" s="6">
        <v>63</v>
      </c>
      <c r="AB19" s="6">
        <v>61</v>
      </c>
      <c r="AC19" s="6">
        <v>53</v>
      </c>
      <c r="AD19" s="6">
        <v>93</v>
      </c>
      <c r="AE19" s="6">
        <v>93</v>
      </c>
      <c r="AF19" s="6">
        <v>88</v>
      </c>
      <c r="AG19" s="6">
        <v>74</v>
      </c>
      <c r="AH19" s="6">
        <v>58</v>
      </c>
      <c r="AI19" s="6">
        <v>103</v>
      </c>
      <c r="AJ19" s="6">
        <v>112</v>
      </c>
      <c r="AK19" s="6">
        <v>114</v>
      </c>
      <c r="AL19" s="6">
        <v>90</v>
      </c>
      <c r="AM19" s="6">
        <v>90</v>
      </c>
      <c r="AN19" s="6">
        <v>68</v>
      </c>
      <c r="AO19" s="6">
        <v>87</v>
      </c>
      <c r="AP19" s="6">
        <v>57</v>
      </c>
      <c r="AQ19" s="6">
        <v>66</v>
      </c>
      <c r="AR19" s="6">
        <v>117</v>
      </c>
      <c r="AS19" s="6">
        <v>102</v>
      </c>
      <c r="AT19" s="6">
        <v>72</v>
      </c>
      <c r="AU19" s="6">
        <v>60</v>
      </c>
      <c r="AV19" s="6">
        <v>60</v>
      </c>
      <c r="AW19" s="6">
        <v>101</v>
      </c>
      <c r="AX19" s="6">
        <v>88</v>
      </c>
      <c r="AY19" s="6">
        <v>87</v>
      </c>
      <c r="AZ19" s="6">
        <v>89</v>
      </c>
      <c r="BA19" s="6">
        <v>60</v>
      </c>
      <c r="BB19" s="6">
        <v>58</v>
      </c>
      <c r="BC19" s="6">
        <v>86</v>
      </c>
      <c r="BD19" s="6">
        <v>74</v>
      </c>
      <c r="BE19" s="6">
        <v>103</v>
      </c>
      <c r="BF19" s="6">
        <v>79</v>
      </c>
      <c r="BG19" s="6">
        <v>54</v>
      </c>
      <c r="BH19" s="6">
        <v>86</v>
      </c>
      <c r="BI19" s="6">
        <v>82</v>
      </c>
      <c r="BJ19" s="6">
        <v>66</v>
      </c>
      <c r="BK19" s="6">
        <v>89</v>
      </c>
      <c r="BL19" s="5">
        <f t="shared" ref="BL19:BL30" si="2">SUM(E19:BK19)</f>
        <v>5012</v>
      </c>
    </row>
    <row r="20" spans="1:64" x14ac:dyDescent="0.4">
      <c r="A20" s="12"/>
      <c r="B20" s="76"/>
      <c r="C20" s="81"/>
      <c r="D20" s="6" t="s">
        <v>24</v>
      </c>
      <c r="E20" s="6">
        <v>96</v>
      </c>
      <c r="F20" s="6">
        <v>102</v>
      </c>
      <c r="G20" s="6">
        <v>104</v>
      </c>
      <c r="H20" s="6">
        <v>82</v>
      </c>
      <c r="I20" s="6">
        <v>121</v>
      </c>
      <c r="J20" s="6">
        <v>114</v>
      </c>
      <c r="K20" s="6">
        <v>117</v>
      </c>
      <c r="L20" s="6">
        <v>109</v>
      </c>
      <c r="M20" s="6">
        <v>116</v>
      </c>
      <c r="N20" s="6">
        <v>77</v>
      </c>
      <c r="O20" s="6">
        <v>77</v>
      </c>
      <c r="P20" s="6">
        <v>105</v>
      </c>
      <c r="Q20" s="6">
        <v>104</v>
      </c>
      <c r="R20" s="6">
        <v>126</v>
      </c>
      <c r="S20" s="6">
        <v>125</v>
      </c>
      <c r="T20" s="6">
        <v>59</v>
      </c>
      <c r="U20" s="6">
        <v>123</v>
      </c>
      <c r="V20" s="6">
        <v>92</v>
      </c>
      <c r="W20" s="6">
        <v>104</v>
      </c>
      <c r="X20" s="6">
        <v>86</v>
      </c>
      <c r="Y20" s="6">
        <v>108</v>
      </c>
      <c r="Z20" s="6">
        <v>128</v>
      </c>
      <c r="AA20" s="6">
        <v>70</v>
      </c>
      <c r="AB20" s="6">
        <v>66</v>
      </c>
      <c r="AC20" s="6">
        <v>67</v>
      </c>
      <c r="AD20" s="6">
        <v>104</v>
      </c>
      <c r="AE20" s="6">
        <v>94</v>
      </c>
      <c r="AF20" s="6">
        <v>84</v>
      </c>
      <c r="AG20" s="6">
        <v>99</v>
      </c>
      <c r="AH20" s="6">
        <v>70</v>
      </c>
      <c r="AI20" s="6">
        <v>125</v>
      </c>
      <c r="AJ20" s="6">
        <v>111</v>
      </c>
      <c r="AK20" s="6">
        <v>113</v>
      </c>
      <c r="AL20" s="6">
        <v>87</v>
      </c>
      <c r="AM20" s="6">
        <v>91</v>
      </c>
      <c r="AN20" s="6">
        <v>77</v>
      </c>
      <c r="AO20" s="6">
        <v>102</v>
      </c>
      <c r="AP20" s="6">
        <v>76</v>
      </c>
      <c r="AQ20" s="6">
        <v>70</v>
      </c>
      <c r="AR20" s="6">
        <v>131</v>
      </c>
      <c r="AS20" s="6">
        <v>128</v>
      </c>
      <c r="AT20" s="6">
        <v>84</v>
      </c>
      <c r="AU20" s="6">
        <v>71</v>
      </c>
      <c r="AV20" s="6">
        <v>66</v>
      </c>
      <c r="AW20" s="6">
        <v>104</v>
      </c>
      <c r="AX20" s="6">
        <v>96</v>
      </c>
      <c r="AY20" s="6">
        <v>90</v>
      </c>
      <c r="AZ20" s="6">
        <v>96</v>
      </c>
      <c r="BA20" s="6">
        <v>61</v>
      </c>
      <c r="BB20" s="6">
        <v>85</v>
      </c>
      <c r="BC20" s="6">
        <v>98</v>
      </c>
      <c r="BD20" s="6">
        <v>102</v>
      </c>
      <c r="BE20" s="6">
        <v>107</v>
      </c>
      <c r="BF20" s="6">
        <v>107</v>
      </c>
      <c r="BG20" s="6">
        <v>57</v>
      </c>
      <c r="BH20" s="6">
        <v>96</v>
      </c>
      <c r="BI20" s="6">
        <v>95</v>
      </c>
      <c r="BJ20" s="6">
        <v>68</v>
      </c>
      <c r="BK20" s="6">
        <v>104</v>
      </c>
      <c r="BL20" s="5">
        <f t="shared" si="2"/>
        <v>5627</v>
      </c>
    </row>
    <row r="21" spans="1:64" x14ac:dyDescent="0.4">
      <c r="A21" s="13"/>
      <c r="B21" s="78"/>
      <c r="C21" s="82"/>
      <c r="D21" s="5" t="s">
        <v>25</v>
      </c>
      <c r="E21" s="5">
        <f t="shared" ref="E21:BK21" si="3">SUM(E19:E20)</f>
        <v>185</v>
      </c>
      <c r="F21" s="5">
        <f t="shared" si="3"/>
        <v>194</v>
      </c>
      <c r="G21" s="5">
        <f t="shared" si="3"/>
        <v>204</v>
      </c>
      <c r="H21" s="5">
        <f t="shared" si="3"/>
        <v>151</v>
      </c>
      <c r="I21" s="5">
        <f t="shared" si="3"/>
        <v>227</v>
      </c>
      <c r="J21" s="5">
        <f t="shared" si="3"/>
        <v>207</v>
      </c>
      <c r="K21" s="5">
        <f t="shared" si="3"/>
        <v>199</v>
      </c>
      <c r="L21" s="5">
        <f t="shared" si="3"/>
        <v>218</v>
      </c>
      <c r="M21" s="5">
        <f t="shared" si="3"/>
        <v>228</v>
      </c>
      <c r="N21" s="5">
        <f t="shared" si="3"/>
        <v>130</v>
      </c>
      <c r="O21" s="5">
        <f t="shared" si="3"/>
        <v>154</v>
      </c>
      <c r="P21" s="5">
        <f t="shared" si="3"/>
        <v>201</v>
      </c>
      <c r="Q21" s="5">
        <f t="shared" si="3"/>
        <v>216</v>
      </c>
      <c r="R21" s="5">
        <f t="shared" si="3"/>
        <v>245</v>
      </c>
      <c r="S21" s="5">
        <f t="shared" si="3"/>
        <v>230</v>
      </c>
      <c r="T21" s="5">
        <f t="shared" si="3"/>
        <v>121</v>
      </c>
      <c r="U21" s="5">
        <f t="shared" si="3"/>
        <v>213</v>
      </c>
      <c r="V21" s="5">
        <f t="shared" si="3"/>
        <v>176</v>
      </c>
      <c r="W21" s="5">
        <f t="shared" si="3"/>
        <v>191</v>
      </c>
      <c r="X21" s="5">
        <f t="shared" si="3"/>
        <v>161</v>
      </c>
      <c r="Y21" s="5">
        <f t="shared" si="3"/>
        <v>213</v>
      </c>
      <c r="Z21" s="5">
        <f t="shared" si="3"/>
        <v>240</v>
      </c>
      <c r="AA21" s="5">
        <f t="shared" si="3"/>
        <v>133</v>
      </c>
      <c r="AB21" s="5">
        <f t="shared" si="3"/>
        <v>127</v>
      </c>
      <c r="AC21" s="5">
        <f t="shared" si="3"/>
        <v>120</v>
      </c>
      <c r="AD21" s="5">
        <f t="shared" si="3"/>
        <v>197</v>
      </c>
      <c r="AE21" s="5">
        <f t="shared" si="3"/>
        <v>187</v>
      </c>
      <c r="AF21" s="5">
        <f t="shared" si="3"/>
        <v>172</v>
      </c>
      <c r="AG21" s="5">
        <f t="shared" si="3"/>
        <v>173</v>
      </c>
      <c r="AH21" s="5">
        <f t="shared" si="3"/>
        <v>128</v>
      </c>
      <c r="AI21" s="5">
        <f t="shared" si="3"/>
        <v>228</v>
      </c>
      <c r="AJ21" s="5">
        <f t="shared" si="3"/>
        <v>223</v>
      </c>
      <c r="AK21" s="5">
        <f t="shared" si="3"/>
        <v>227</v>
      </c>
      <c r="AL21" s="5">
        <f t="shared" si="3"/>
        <v>177</v>
      </c>
      <c r="AM21" s="5">
        <f t="shared" si="3"/>
        <v>181</v>
      </c>
      <c r="AN21" s="5">
        <f t="shared" si="3"/>
        <v>145</v>
      </c>
      <c r="AO21" s="5">
        <f t="shared" si="3"/>
        <v>189</v>
      </c>
      <c r="AP21" s="5">
        <f t="shared" si="3"/>
        <v>133</v>
      </c>
      <c r="AQ21" s="5">
        <f t="shared" si="3"/>
        <v>136</v>
      </c>
      <c r="AR21" s="5">
        <f t="shared" si="3"/>
        <v>248</v>
      </c>
      <c r="AS21" s="5">
        <f t="shared" si="3"/>
        <v>230</v>
      </c>
      <c r="AT21" s="5">
        <f t="shared" si="3"/>
        <v>156</v>
      </c>
      <c r="AU21" s="5">
        <f t="shared" si="3"/>
        <v>131</v>
      </c>
      <c r="AV21" s="5">
        <f t="shared" si="3"/>
        <v>126</v>
      </c>
      <c r="AW21" s="5">
        <f t="shared" si="3"/>
        <v>205</v>
      </c>
      <c r="AX21" s="5">
        <f t="shared" si="3"/>
        <v>184</v>
      </c>
      <c r="AY21" s="5">
        <f t="shared" si="3"/>
        <v>177</v>
      </c>
      <c r="AZ21" s="5">
        <f t="shared" si="3"/>
        <v>185</v>
      </c>
      <c r="BA21" s="5">
        <f t="shared" si="3"/>
        <v>121</v>
      </c>
      <c r="BB21" s="5">
        <f t="shared" si="3"/>
        <v>143</v>
      </c>
      <c r="BC21" s="5">
        <f t="shared" si="3"/>
        <v>184</v>
      </c>
      <c r="BD21" s="5">
        <f t="shared" si="3"/>
        <v>176</v>
      </c>
      <c r="BE21" s="5">
        <f t="shared" si="3"/>
        <v>210</v>
      </c>
      <c r="BF21" s="5">
        <f t="shared" si="3"/>
        <v>186</v>
      </c>
      <c r="BG21" s="5">
        <f t="shared" si="3"/>
        <v>111</v>
      </c>
      <c r="BH21" s="5">
        <f t="shared" si="3"/>
        <v>182</v>
      </c>
      <c r="BI21" s="5">
        <f t="shared" ref="BI21" si="4">SUM(BI19:BI20)</f>
        <v>177</v>
      </c>
      <c r="BJ21" s="5">
        <f t="shared" si="3"/>
        <v>134</v>
      </c>
      <c r="BK21" s="5">
        <f t="shared" si="3"/>
        <v>193</v>
      </c>
      <c r="BL21" s="5">
        <f t="shared" si="2"/>
        <v>10639</v>
      </c>
    </row>
    <row r="22" spans="1:64" x14ac:dyDescent="0.4">
      <c r="A22" s="12"/>
      <c r="B22" s="79" t="s">
        <v>30</v>
      </c>
      <c r="C22" s="8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1</v>
      </c>
      <c r="AG22" s="6"/>
      <c r="AH22" s="6"/>
      <c r="AI22" s="6"/>
      <c r="AJ22" s="6"/>
      <c r="AK22" s="6"/>
      <c r="AL22" s="6"/>
      <c r="AM22" s="6"/>
      <c r="AN22" s="6">
        <v>1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1</v>
      </c>
      <c r="BD22" s="6">
        <v>1</v>
      </c>
      <c r="BE22" s="6"/>
      <c r="BF22" s="6"/>
      <c r="BG22" s="6">
        <v>1</v>
      </c>
      <c r="BH22" s="6">
        <v>1</v>
      </c>
      <c r="BI22" s="6"/>
      <c r="BJ22" s="6"/>
      <c r="BK22" s="6">
        <v>1</v>
      </c>
      <c r="BL22" s="5">
        <f t="shared" si="2"/>
        <v>7</v>
      </c>
    </row>
    <row r="23" spans="1:64" x14ac:dyDescent="0.4">
      <c r="A23" s="12"/>
      <c r="B23" s="76"/>
      <c r="C23" s="8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4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v>1</v>
      </c>
      <c r="AK23" s="6"/>
      <c r="AL23" s="6"/>
      <c r="AM23" s="6"/>
      <c r="AN23" s="6"/>
      <c r="AO23" s="6">
        <v>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5">
        <f t="shared" si="2"/>
        <v>7</v>
      </c>
    </row>
    <row r="24" spans="1:64" x14ac:dyDescent="0.4">
      <c r="A24" s="13"/>
      <c r="B24" s="78"/>
      <c r="C24" s="82"/>
      <c r="D24" s="5" t="s">
        <v>25</v>
      </c>
      <c r="E24" s="5">
        <f t="shared" ref="E24:BK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4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1</v>
      </c>
      <c r="AG24" s="5">
        <f t="shared" si="5"/>
        <v>0</v>
      </c>
      <c r="AH24" s="5">
        <f t="shared" si="5"/>
        <v>0</v>
      </c>
      <c r="AI24" s="5">
        <f t="shared" si="5"/>
        <v>0</v>
      </c>
      <c r="AJ24" s="5">
        <f t="shared" si="5"/>
        <v>1</v>
      </c>
      <c r="AK24" s="5">
        <f t="shared" si="5"/>
        <v>0</v>
      </c>
      <c r="AL24" s="5">
        <f t="shared" si="5"/>
        <v>0</v>
      </c>
      <c r="AM24" s="5">
        <f t="shared" si="5"/>
        <v>0</v>
      </c>
      <c r="AN24" s="5">
        <f t="shared" si="5"/>
        <v>1</v>
      </c>
      <c r="AO24" s="5">
        <f t="shared" si="5"/>
        <v>1</v>
      </c>
      <c r="AP24" s="5">
        <f t="shared" si="5"/>
        <v>0</v>
      </c>
      <c r="AQ24" s="5">
        <f t="shared" si="5"/>
        <v>0</v>
      </c>
      <c r="AR24" s="5">
        <f t="shared" si="5"/>
        <v>0</v>
      </c>
      <c r="AS24" s="5">
        <f t="shared" si="5"/>
        <v>0</v>
      </c>
      <c r="AT24" s="5">
        <f t="shared" si="5"/>
        <v>0</v>
      </c>
      <c r="AU24" s="5">
        <f t="shared" si="5"/>
        <v>0</v>
      </c>
      <c r="AV24" s="5">
        <f t="shared" si="5"/>
        <v>0</v>
      </c>
      <c r="AW24" s="5">
        <f t="shared" si="5"/>
        <v>0</v>
      </c>
      <c r="AX24" s="5">
        <f t="shared" si="5"/>
        <v>0</v>
      </c>
      <c r="AY24" s="5">
        <f t="shared" si="5"/>
        <v>0</v>
      </c>
      <c r="AZ24" s="5">
        <f t="shared" si="5"/>
        <v>1</v>
      </c>
      <c r="BA24" s="5">
        <f t="shared" si="5"/>
        <v>0</v>
      </c>
      <c r="BB24" s="5">
        <f t="shared" si="5"/>
        <v>0</v>
      </c>
      <c r="BC24" s="5">
        <f t="shared" si="5"/>
        <v>1</v>
      </c>
      <c r="BD24" s="5">
        <f t="shared" si="5"/>
        <v>1</v>
      </c>
      <c r="BE24" s="5">
        <f t="shared" si="5"/>
        <v>0</v>
      </c>
      <c r="BF24" s="5">
        <f t="shared" si="5"/>
        <v>0</v>
      </c>
      <c r="BG24" s="5">
        <f t="shared" si="5"/>
        <v>1</v>
      </c>
      <c r="BH24" s="5">
        <f t="shared" si="5"/>
        <v>1</v>
      </c>
      <c r="BI24" s="5">
        <f t="shared" ref="BI24" si="6">SUM(BI22:BI23)</f>
        <v>0</v>
      </c>
      <c r="BJ24" s="5">
        <f t="shared" si="5"/>
        <v>0</v>
      </c>
      <c r="BK24" s="5">
        <f t="shared" si="5"/>
        <v>1</v>
      </c>
      <c r="BL24" s="5">
        <f t="shared" si="2"/>
        <v>14</v>
      </c>
    </row>
    <row r="25" spans="1:64" x14ac:dyDescent="0.4">
      <c r="A25" s="12"/>
      <c r="B25" s="79" t="s">
        <v>32</v>
      </c>
      <c r="C25" s="80" t="s">
        <v>33</v>
      </c>
      <c r="D25" s="6" t="s">
        <v>23</v>
      </c>
      <c r="E25" s="6"/>
      <c r="F25" s="6">
        <v>2</v>
      </c>
      <c r="G25" s="6"/>
      <c r="H25" s="6">
        <v>1</v>
      </c>
      <c r="I25" s="6"/>
      <c r="J25" s="6">
        <v>1</v>
      </c>
      <c r="K25" s="6"/>
      <c r="L25" s="6">
        <v>4</v>
      </c>
      <c r="M25" s="6">
        <v>2</v>
      </c>
      <c r="N25" s="6"/>
      <c r="O25" s="6"/>
      <c r="P25" s="6">
        <v>2</v>
      </c>
      <c r="Q25" s="6"/>
      <c r="R25" s="6"/>
      <c r="S25" s="6"/>
      <c r="T25" s="6"/>
      <c r="U25" s="6"/>
      <c r="V25" s="6"/>
      <c r="W25" s="6">
        <v>2</v>
      </c>
      <c r="X25" s="6"/>
      <c r="Y25" s="6">
        <v>1</v>
      </c>
      <c r="Z25" s="6"/>
      <c r="AA25" s="6"/>
      <c r="AB25" s="6"/>
      <c r="AC25" s="6"/>
      <c r="AD25" s="6"/>
      <c r="AE25" s="6"/>
      <c r="AF25" s="6"/>
      <c r="AG25" s="6">
        <v>1</v>
      </c>
      <c r="AH25" s="6">
        <v>1</v>
      </c>
      <c r="AI25" s="6">
        <v>1</v>
      </c>
      <c r="AJ25" s="6"/>
      <c r="AK25" s="6"/>
      <c r="AL25" s="6">
        <v>1</v>
      </c>
      <c r="AM25" s="6">
        <v>2</v>
      </c>
      <c r="AN25" s="6"/>
      <c r="AO25" s="6">
        <v>3</v>
      </c>
      <c r="AP25" s="6"/>
      <c r="AQ25" s="6"/>
      <c r="AR25" s="6"/>
      <c r="AS25" s="6"/>
      <c r="AT25" s="6"/>
      <c r="AU25" s="6"/>
      <c r="AV25" s="6">
        <v>5</v>
      </c>
      <c r="AW25" s="6"/>
      <c r="AX25" s="6"/>
      <c r="AY25" s="6"/>
      <c r="AZ25" s="6">
        <v>2</v>
      </c>
      <c r="BA25" s="6"/>
      <c r="BB25" s="6"/>
      <c r="BC25" s="6">
        <v>3</v>
      </c>
      <c r="BD25" s="6"/>
      <c r="BE25" s="6"/>
      <c r="BF25" s="6"/>
      <c r="BG25" s="6"/>
      <c r="BH25" s="6"/>
      <c r="BI25" s="6"/>
      <c r="BJ25" s="6"/>
      <c r="BK25" s="6"/>
      <c r="BL25" s="5">
        <f t="shared" si="2"/>
        <v>34</v>
      </c>
    </row>
    <row r="26" spans="1:64" x14ac:dyDescent="0.4">
      <c r="A26" s="12"/>
      <c r="B26" s="76"/>
      <c r="C26" s="81"/>
      <c r="D26" s="6" t="s">
        <v>24</v>
      </c>
      <c r="E26" s="6"/>
      <c r="F26" s="6">
        <v>1</v>
      </c>
      <c r="G26" s="6"/>
      <c r="H26" s="6">
        <v>3</v>
      </c>
      <c r="I26" s="6"/>
      <c r="J26" s="6"/>
      <c r="K26" s="6">
        <v>1</v>
      </c>
      <c r="L26" s="6">
        <v>1</v>
      </c>
      <c r="M26" s="6">
        <v>1</v>
      </c>
      <c r="N26" s="6"/>
      <c r="O26" s="6"/>
      <c r="P26" s="6">
        <v>1</v>
      </c>
      <c r="Q26" s="6"/>
      <c r="R26" s="6"/>
      <c r="S26" s="6"/>
      <c r="T26" s="6"/>
      <c r="U26" s="6"/>
      <c r="V26" s="6">
        <v>1</v>
      </c>
      <c r="W26" s="6">
        <v>4</v>
      </c>
      <c r="X26" s="6"/>
      <c r="Y26" s="6">
        <v>1</v>
      </c>
      <c r="Z26" s="6"/>
      <c r="AA26" s="6"/>
      <c r="AB26" s="6"/>
      <c r="AC26" s="6"/>
      <c r="AD26" s="6"/>
      <c r="AE26" s="6"/>
      <c r="AF26" s="6">
        <v>2</v>
      </c>
      <c r="AG26" s="6">
        <v>1</v>
      </c>
      <c r="AH26" s="6">
        <v>1</v>
      </c>
      <c r="AI26" s="6">
        <v>1</v>
      </c>
      <c r="AJ26" s="6">
        <v>1</v>
      </c>
      <c r="AK26" s="6">
        <v>2</v>
      </c>
      <c r="AL26" s="6">
        <v>3</v>
      </c>
      <c r="AM26" s="6">
        <v>1</v>
      </c>
      <c r="AN26" s="6"/>
      <c r="AO26" s="6"/>
      <c r="AP26" s="6"/>
      <c r="AQ26" s="6"/>
      <c r="AR26" s="6"/>
      <c r="AS26" s="6"/>
      <c r="AT26" s="6"/>
      <c r="AU26" s="6"/>
      <c r="AV26" s="6">
        <v>1</v>
      </c>
      <c r="AW26" s="6"/>
      <c r="AX26" s="6"/>
      <c r="AY26" s="6"/>
      <c r="AZ26" s="6">
        <v>1</v>
      </c>
      <c r="BA26" s="6">
        <v>2</v>
      </c>
      <c r="BB26" s="6"/>
      <c r="BC26" s="6">
        <v>6</v>
      </c>
      <c r="BD26" s="6"/>
      <c r="BE26" s="6"/>
      <c r="BF26" s="6"/>
      <c r="BG26" s="6"/>
      <c r="BH26" s="6"/>
      <c r="BI26" s="6"/>
      <c r="BJ26" s="6"/>
      <c r="BK26" s="6"/>
      <c r="BL26" s="5">
        <f t="shared" si="2"/>
        <v>36</v>
      </c>
    </row>
    <row r="27" spans="1:64" x14ac:dyDescent="0.4">
      <c r="A27" s="13"/>
      <c r="B27" s="78"/>
      <c r="C27" s="82"/>
      <c r="D27" s="5" t="s">
        <v>25</v>
      </c>
      <c r="E27" s="5">
        <f t="shared" ref="E27:BK27" si="7">SUM(E25:E26)</f>
        <v>0</v>
      </c>
      <c r="F27" s="5">
        <f t="shared" si="7"/>
        <v>3</v>
      </c>
      <c r="G27" s="5">
        <f t="shared" si="7"/>
        <v>0</v>
      </c>
      <c r="H27" s="5">
        <f t="shared" si="7"/>
        <v>4</v>
      </c>
      <c r="I27" s="5">
        <f t="shared" si="7"/>
        <v>0</v>
      </c>
      <c r="J27" s="5">
        <f t="shared" si="7"/>
        <v>1</v>
      </c>
      <c r="K27" s="5">
        <f t="shared" si="7"/>
        <v>1</v>
      </c>
      <c r="L27" s="5">
        <f t="shared" si="7"/>
        <v>5</v>
      </c>
      <c r="M27" s="5">
        <f t="shared" si="7"/>
        <v>3</v>
      </c>
      <c r="N27" s="5">
        <f t="shared" si="7"/>
        <v>0</v>
      </c>
      <c r="O27" s="5">
        <f t="shared" si="7"/>
        <v>0</v>
      </c>
      <c r="P27" s="5">
        <f t="shared" si="7"/>
        <v>3</v>
      </c>
      <c r="Q27" s="5">
        <f t="shared" si="7"/>
        <v>0</v>
      </c>
      <c r="R27" s="5">
        <f t="shared" si="7"/>
        <v>0</v>
      </c>
      <c r="S27" s="5">
        <f t="shared" si="7"/>
        <v>0</v>
      </c>
      <c r="T27" s="5">
        <f t="shared" si="7"/>
        <v>0</v>
      </c>
      <c r="U27" s="5">
        <f t="shared" si="7"/>
        <v>0</v>
      </c>
      <c r="V27" s="5">
        <f t="shared" si="7"/>
        <v>1</v>
      </c>
      <c r="W27" s="5">
        <f t="shared" si="7"/>
        <v>6</v>
      </c>
      <c r="X27" s="5">
        <f t="shared" si="7"/>
        <v>0</v>
      </c>
      <c r="Y27" s="5">
        <f t="shared" si="7"/>
        <v>2</v>
      </c>
      <c r="Z27" s="5">
        <f t="shared" si="7"/>
        <v>0</v>
      </c>
      <c r="AA27" s="5">
        <f t="shared" si="7"/>
        <v>0</v>
      </c>
      <c r="AB27" s="5">
        <f t="shared" si="7"/>
        <v>0</v>
      </c>
      <c r="AC27" s="5">
        <f t="shared" si="7"/>
        <v>0</v>
      </c>
      <c r="AD27" s="5">
        <f t="shared" si="7"/>
        <v>0</v>
      </c>
      <c r="AE27" s="5">
        <f t="shared" si="7"/>
        <v>0</v>
      </c>
      <c r="AF27" s="5">
        <f t="shared" si="7"/>
        <v>2</v>
      </c>
      <c r="AG27" s="5">
        <f t="shared" si="7"/>
        <v>2</v>
      </c>
      <c r="AH27" s="5">
        <f t="shared" si="7"/>
        <v>2</v>
      </c>
      <c r="AI27" s="5">
        <f t="shared" si="7"/>
        <v>2</v>
      </c>
      <c r="AJ27" s="5">
        <f t="shared" si="7"/>
        <v>1</v>
      </c>
      <c r="AK27" s="5">
        <f t="shared" si="7"/>
        <v>2</v>
      </c>
      <c r="AL27" s="5">
        <f t="shared" si="7"/>
        <v>4</v>
      </c>
      <c r="AM27" s="5">
        <f t="shared" si="7"/>
        <v>3</v>
      </c>
      <c r="AN27" s="5">
        <f t="shared" si="7"/>
        <v>0</v>
      </c>
      <c r="AO27" s="5">
        <f t="shared" si="7"/>
        <v>3</v>
      </c>
      <c r="AP27" s="5">
        <f t="shared" si="7"/>
        <v>0</v>
      </c>
      <c r="AQ27" s="5">
        <f t="shared" si="7"/>
        <v>0</v>
      </c>
      <c r="AR27" s="5">
        <f t="shared" si="7"/>
        <v>0</v>
      </c>
      <c r="AS27" s="5">
        <f t="shared" si="7"/>
        <v>0</v>
      </c>
      <c r="AT27" s="5">
        <f t="shared" si="7"/>
        <v>0</v>
      </c>
      <c r="AU27" s="5">
        <f t="shared" si="7"/>
        <v>0</v>
      </c>
      <c r="AV27" s="5">
        <f t="shared" si="7"/>
        <v>6</v>
      </c>
      <c r="AW27" s="5">
        <f t="shared" si="7"/>
        <v>0</v>
      </c>
      <c r="AX27" s="5">
        <f t="shared" si="7"/>
        <v>0</v>
      </c>
      <c r="AY27" s="5">
        <f t="shared" si="7"/>
        <v>0</v>
      </c>
      <c r="AZ27" s="5">
        <f t="shared" si="7"/>
        <v>3</v>
      </c>
      <c r="BA27" s="5">
        <f t="shared" si="7"/>
        <v>2</v>
      </c>
      <c r="BB27" s="5">
        <f t="shared" si="7"/>
        <v>0</v>
      </c>
      <c r="BC27" s="5">
        <f t="shared" si="7"/>
        <v>9</v>
      </c>
      <c r="BD27" s="5">
        <f t="shared" si="7"/>
        <v>0</v>
      </c>
      <c r="BE27" s="5">
        <f t="shared" si="7"/>
        <v>0</v>
      </c>
      <c r="BF27" s="5">
        <f t="shared" si="7"/>
        <v>0</v>
      </c>
      <c r="BG27" s="5">
        <f t="shared" si="7"/>
        <v>0</v>
      </c>
      <c r="BH27" s="5">
        <f t="shared" si="7"/>
        <v>0</v>
      </c>
      <c r="BI27" s="5">
        <f t="shared" ref="BI27" si="8">SUM(BI25:BI26)</f>
        <v>0</v>
      </c>
      <c r="BJ27" s="5">
        <f t="shared" si="7"/>
        <v>0</v>
      </c>
      <c r="BK27" s="5">
        <f t="shared" si="7"/>
        <v>0</v>
      </c>
      <c r="BL27" s="5">
        <f t="shared" si="2"/>
        <v>70</v>
      </c>
    </row>
    <row r="28" spans="1:64" x14ac:dyDescent="0.4">
      <c r="A28" s="13"/>
      <c r="B28" s="83" t="s">
        <v>34</v>
      </c>
      <c r="C28" s="84" t="s">
        <v>35</v>
      </c>
      <c r="D28" s="5" t="s">
        <v>23</v>
      </c>
      <c r="E28" s="5">
        <f>SUM(E19,E22,E25)</f>
        <v>89</v>
      </c>
      <c r="F28" s="5">
        <f t="shared" ref="F28:BK29" si="9">SUM(F19,F22,F25)</f>
        <v>94</v>
      </c>
      <c r="G28" s="5">
        <f t="shared" si="9"/>
        <v>100</v>
      </c>
      <c r="H28" s="5">
        <f t="shared" si="9"/>
        <v>70</v>
      </c>
      <c r="I28" s="5">
        <f t="shared" si="9"/>
        <v>106</v>
      </c>
      <c r="J28" s="5">
        <f t="shared" si="9"/>
        <v>94</v>
      </c>
      <c r="K28" s="5">
        <f t="shared" si="9"/>
        <v>82</v>
      </c>
      <c r="L28" s="5">
        <f t="shared" si="9"/>
        <v>113</v>
      </c>
      <c r="M28" s="5">
        <f t="shared" si="9"/>
        <v>114</v>
      </c>
      <c r="N28" s="5">
        <f t="shared" si="9"/>
        <v>53</v>
      </c>
      <c r="O28" s="5">
        <f t="shared" si="9"/>
        <v>77</v>
      </c>
      <c r="P28" s="5">
        <f t="shared" si="9"/>
        <v>98</v>
      </c>
      <c r="Q28" s="5">
        <f t="shared" si="9"/>
        <v>112</v>
      </c>
      <c r="R28" s="5">
        <f t="shared" si="9"/>
        <v>119</v>
      </c>
      <c r="S28" s="5">
        <f t="shared" si="9"/>
        <v>105</v>
      </c>
      <c r="T28" s="5">
        <f t="shared" si="9"/>
        <v>62</v>
      </c>
      <c r="U28" s="5">
        <f t="shared" si="9"/>
        <v>90</v>
      </c>
      <c r="V28" s="5">
        <f t="shared" si="9"/>
        <v>84</v>
      </c>
      <c r="W28" s="5">
        <f t="shared" si="9"/>
        <v>89</v>
      </c>
      <c r="X28" s="5">
        <f t="shared" si="9"/>
        <v>75</v>
      </c>
      <c r="Y28" s="5">
        <f t="shared" si="9"/>
        <v>106</v>
      </c>
      <c r="Z28" s="5">
        <f t="shared" si="9"/>
        <v>112</v>
      </c>
      <c r="AA28" s="5">
        <f t="shared" si="9"/>
        <v>63</v>
      </c>
      <c r="AB28" s="5">
        <f t="shared" si="9"/>
        <v>61</v>
      </c>
      <c r="AC28" s="5">
        <f t="shared" si="9"/>
        <v>53</v>
      </c>
      <c r="AD28" s="5">
        <f t="shared" si="9"/>
        <v>93</v>
      </c>
      <c r="AE28" s="5">
        <f t="shared" si="9"/>
        <v>93</v>
      </c>
      <c r="AF28" s="5">
        <f t="shared" si="9"/>
        <v>89</v>
      </c>
      <c r="AG28" s="5">
        <f t="shared" si="9"/>
        <v>75</v>
      </c>
      <c r="AH28" s="5">
        <f t="shared" si="9"/>
        <v>59</v>
      </c>
      <c r="AI28" s="5">
        <f t="shared" si="9"/>
        <v>104</v>
      </c>
      <c r="AJ28" s="5">
        <f t="shared" si="9"/>
        <v>112</v>
      </c>
      <c r="AK28" s="5">
        <f t="shared" si="9"/>
        <v>114</v>
      </c>
      <c r="AL28" s="5">
        <f t="shared" si="9"/>
        <v>91</v>
      </c>
      <c r="AM28" s="5">
        <f t="shared" si="9"/>
        <v>92</v>
      </c>
      <c r="AN28" s="5">
        <f t="shared" si="9"/>
        <v>69</v>
      </c>
      <c r="AO28" s="5">
        <f t="shared" si="9"/>
        <v>90</v>
      </c>
      <c r="AP28" s="5">
        <f t="shared" si="9"/>
        <v>57</v>
      </c>
      <c r="AQ28" s="5">
        <f t="shared" si="9"/>
        <v>66</v>
      </c>
      <c r="AR28" s="5">
        <f t="shared" si="9"/>
        <v>117</v>
      </c>
      <c r="AS28" s="5">
        <f t="shared" si="9"/>
        <v>102</v>
      </c>
      <c r="AT28" s="5">
        <f t="shared" si="9"/>
        <v>72</v>
      </c>
      <c r="AU28" s="5">
        <f t="shared" si="9"/>
        <v>60</v>
      </c>
      <c r="AV28" s="5">
        <f t="shared" si="9"/>
        <v>65</v>
      </c>
      <c r="AW28" s="5">
        <f t="shared" si="9"/>
        <v>101</v>
      </c>
      <c r="AX28" s="5">
        <f t="shared" si="9"/>
        <v>88</v>
      </c>
      <c r="AY28" s="5">
        <f t="shared" si="9"/>
        <v>87</v>
      </c>
      <c r="AZ28" s="5">
        <f t="shared" si="9"/>
        <v>91</v>
      </c>
      <c r="BA28" s="5">
        <f t="shared" si="9"/>
        <v>60</v>
      </c>
      <c r="BB28" s="5">
        <f t="shared" si="9"/>
        <v>58</v>
      </c>
      <c r="BC28" s="5">
        <f t="shared" si="9"/>
        <v>90</v>
      </c>
      <c r="BD28" s="5">
        <f t="shared" si="9"/>
        <v>75</v>
      </c>
      <c r="BE28" s="5">
        <f t="shared" si="9"/>
        <v>103</v>
      </c>
      <c r="BF28" s="5">
        <f t="shared" si="9"/>
        <v>79</v>
      </c>
      <c r="BG28" s="5">
        <f t="shared" si="9"/>
        <v>55</v>
      </c>
      <c r="BH28" s="5">
        <f t="shared" si="9"/>
        <v>87</v>
      </c>
      <c r="BI28" s="5">
        <f t="shared" ref="BI28" si="10">SUM(BI19,BI22,BI25)</f>
        <v>82</v>
      </c>
      <c r="BJ28" s="5">
        <f t="shared" si="9"/>
        <v>66</v>
      </c>
      <c r="BK28" s="5">
        <f t="shared" si="9"/>
        <v>90</v>
      </c>
      <c r="BL28" s="5">
        <f t="shared" si="2"/>
        <v>5053</v>
      </c>
    </row>
    <row r="29" spans="1:64" x14ac:dyDescent="0.4">
      <c r="A29" s="13"/>
      <c r="B29" s="76"/>
      <c r="C29" s="81"/>
      <c r="D29" s="5" t="s">
        <v>24</v>
      </c>
      <c r="E29" s="5">
        <f>SUM(E20,E23,E26)</f>
        <v>96</v>
      </c>
      <c r="F29" s="5">
        <f t="shared" si="9"/>
        <v>103</v>
      </c>
      <c r="G29" s="5">
        <f t="shared" si="9"/>
        <v>104</v>
      </c>
      <c r="H29" s="5">
        <f t="shared" si="9"/>
        <v>85</v>
      </c>
      <c r="I29" s="5">
        <f t="shared" si="9"/>
        <v>121</v>
      </c>
      <c r="J29" s="5">
        <f t="shared" si="9"/>
        <v>114</v>
      </c>
      <c r="K29" s="5">
        <f t="shared" si="9"/>
        <v>118</v>
      </c>
      <c r="L29" s="5">
        <f t="shared" si="9"/>
        <v>110</v>
      </c>
      <c r="M29" s="5">
        <f t="shared" si="9"/>
        <v>117</v>
      </c>
      <c r="N29" s="5">
        <f t="shared" si="9"/>
        <v>77</v>
      </c>
      <c r="O29" s="5">
        <f t="shared" si="9"/>
        <v>77</v>
      </c>
      <c r="P29" s="5">
        <f t="shared" si="9"/>
        <v>106</v>
      </c>
      <c r="Q29" s="5">
        <f t="shared" si="9"/>
        <v>108</v>
      </c>
      <c r="R29" s="5">
        <f t="shared" si="9"/>
        <v>126</v>
      </c>
      <c r="S29" s="5">
        <f t="shared" si="9"/>
        <v>125</v>
      </c>
      <c r="T29" s="5">
        <f t="shared" si="9"/>
        <v>59</v>
      </c>
      <c r="U29" s="5">
        <f t="shared" si="9"/>
        <v>123</v>
      </c>
      <c r="V29" s="5">
        <f t="shared" si="9"/>
        <v>93</v>
      </c>
      <c r="W29" s="5">
        <f t="shared" si="9"/>
        <v>108</v>
      </c>
      <c r="X29" s="5">
        <f t="shared" si="9"/>
        <v>86</v>
      </c>
      <c r="Y29" s="5">
        <f t="shared" si="9"/>
        <v>109</v>
      </c>
      <c r="Z29" s="5">
        <f t="shared" si="9"/>
        <v>128</v>
      </c>
      <c r="AA29" s="5">
        <f t="shared" si="9"/>
        <v>70</v>
      </c>
      <c r="AB29" s="5">
        <f t="shared" si="9"/>
        <v>66</v>
      </c>
      <c r="AC29" s="5">
        <f t="shared" si="9"/>
        <v>67</v>
      </c>
      <c r="AD29" s="5">
        <f t="shared" si="9"/>
        <v>104</v>
      </c>
      <c r="AE29" s="5">
        <f t="shared" si="9"/>
        <v>94</v>
      </c>
      <c r="AF29" s="5">
        <f t="shared" si="9"/>
        <v>86</v>
      </c>
      <c r="AG29" s="5">
        <f t="shared" si="9"/>
        <v>100</v>
      </c>
      <c r="AH29" s="5">
        <f t="shared" si="9"/>
        <v>71</v>
      </c>
      <c r="AI29" s="5">
        <f t="shared" si="9"/>
        <v>126</v>
      </c>
      <c r="AJ29" s="5">
        <f t="shared" si="9"/>
        <v>113</v>
      </c>
      <c r="AK29" s="5">
        <f t="shared" si="9"/>
        <v>115</v>
      </c>
      <c r="AL29" s="5">
        <f t="shared" si="9"/>
        <v>90</v>
      </c>
      <c r="AM29" s="5">
        <f t="shared" si="9"/>
        <v>92</v>
      </c>
      <c r="AN29" s="5">
        <f t="shared" si="9"/>
        <v>77</v>
      </c>
      <c r="AO29" s="5">
        <f t="shared" si="9"/>
        <v>103</v>
      </c>
      <c r="AP29" s="5">
        <f t="shared" si="9"/>
        <v>76</v>
      </c>
      <c r="AQ29" s="5">
        <f t="shared" si="9"/>
        <v>70</v>
      </c>
      <c r="AR29" s="5">
        <f t="shared" si="9"/>
        <v>131</v>
      </c>
      <c r="AS29" s="5">
        <f t="shared" si="9"/>
        <v>128</v>
      </c>
      <c r="AT29" s="5">
        <f t="shared" si="9"/>
        <v>84</v>
      </c>
      <c r="AU29" s="5">
        <f t="shared" si="9"/>
        <v>71</v>
      </c>
      <c r="AV29" s="5">
        <f t="shared" si="9"/>
        <v>67</v>
      </c>
      <c r="AW29" s="5">
        <f t="shared" si="9"/>
        <v>104</v>
      </c>
      <c r="AX29" s="5">
        <f t="shared" si="9"/>
        <v>96</v>
      </c>
      <c r="AY29" s="5">
        <f t="shared" si="9"/>
        <v>90</v>
      </c>
      <c r="AZ29" s="5">
        <f t="shared" si="9"/>
        <v>98</v>
      </c>
      <c r="BA29" s="5">
        <f t="shared" si="9"/>
        <v>63</v>
      </c>
      <c r="BB29" s="5">
        <f t="shared" si="9"/>
        <v>85</v>
      </c>
      <c r="BC29" s="5">
        <f t="shared" si="9"/>
        <v>104</v>
      </c>
      <c r="BD29" s="5">
        <f t="shared" si="9"/>
        <v>102</v>
      </c>
      <c r="BE29" s="5">
        <f t="shared" si="9"/>
        <v>107</v>
      </c>
      <c r="BF29" s="5">
        <f t="shared" si="9"/>
        <v>107</v>
      </c>
      <c r="BG29" s="5">
        <f t="shared" si="9"/>
        <v>57</v>
      </c>
      <c r="BH29" s="5">
        <f t="shared" si="9"/>
        <v>96</v>
      </c>
      <c r="BI29" s="5">
        <f t="shared" ref="BI29" si="11">SUM(BI20,BI23,BI26)</f>
        <v>95</v>
      </c>
      <c r="BJ29" s="5">
        <f t="shared" si="9"/>
        <v>68</v>
      </c>
      <c r="BK29" s="5">
        <f t="shared" si="9"/>
        <v>104</v>
      </c>
      <c r="BL29" s="5">
        <f t="shared" si="2"/>
        <v>5670</v>
      </c>
    </row>
    <row r="30" spans="1:64" x14ac:dyDescent="0.4">
      <c r="A30" s="13"/>
      <c r="B30" s="78"/>
      <c r="C30" s="82"/>
      <c r="D30" s="5" t="s">
        <v>25</v>
      </c>
      <c r="E30" s="5">
        <f t="shared" ref="E30:BK30" si="12">SUM(E28:E29)</f>
        <v>185</v>
      </c>
      <c r="F30" s="5">
        <f t="shared" si="12"/>
        <v>197</v>
      </c>
      <c r="G30" s="5">
        <f t="shared" si="12"/>
        <v>204</v>
      </c>
      <c r="H30" s="5">
        <f t="shared" si="12"/>
        <v>155</v>
      </c>
      <c r="I30" s="5">
        <f t="shared" si="12"/>
        <v>227</v>
      </c>
      <c r="J30" s="5">
        <f t="shared" si="12"/>
        <v>208</v>
      </c>
      <c r="K30" s="5">
        <f t="shared" si="12"/>
        <v>200</v>
      </c>
      <c r="L30" s="5">
        <f t="shared" si="12"/>
        <v>223</v>
      </c>
      <c r="M30" s="5">
        <f t="shared" si="12"/>
        <v>231</v>
      </c>
      <c r="N30" s="5">
        <f t="shared" si="12"/>
        <v>130</v>
      </c>
      <c r="O30" s="5">
        <f t="shared" si="12"/>
        <v>154</v>
      </c>
      <c r="P30" s="5">
        <f t="shared" si="12"/>
        <v>204</v>
      </c>
      <c r="Q30" s="5">
        <f t="shared" si="12"/>
        <v>220</v>
      </c>
      <c r="R30" s="5">
        <f t="shared" si="12"/>
        <v>245</v>
      </c>
      <c r="S30" s="5">
        <f t="shared" si="12"/>
        <v>230</v>
      </c>
      <c r="T30" s="5">
        <f t="shared" si="12"/>
        <v>121</v>
      </c>
      <c r="U30" s="5">
        <f t="shared" si="12"/>
        <v>213</v>
      </c>
      <c r="V30" s="5">
        <f t="shared" si="12"/>
        <v>177</v>
      </c>
      <c r="W30" s="5">
        <f t="shared" si="12"/>
        <v>197</v>
      </c>
      <c r="X30" s="5">
        <f t="shared" si="12"/>
        <v>161</v>
      </c>
      <c r="Y30" s="5">
        <f t="shared" si="12"/>
        <v>215</v>
      </c>
      <c r="Z30" s="5">
        <f t="shared" si="12"/>
        <v>240</v>
      </c>
      <c r="AA30" s="5">
        <f t="shared" si="12"/>
        <v>133</v>
      </c>
      <c r="AB30" s="5">
        <f t="shared" si="12"/>
        <v>127</v>
      </c>
      <c r="AC30" s="5">
        <f t="shared" si="12"/>
        <v>120</v>
      </c>
      <c r="AD30" s="5">
        <f t="shared" si="12"/>
        <v>197</v>
      </c>
      <c r="AE30" s="5">
        <f t="shared" si="12"/>
        <v>187</v>
      </c>
      <c r="AF30" s="5">
        <f t="shared" si="12"/>
        <v>175</v>
      </c>
      <c r="AG30" s="5">
        <f t="shared" si="12"/>
        <v>175</v>
      </c>
      <c r="AH30" s="5">
        <f t="shared" si="12"/>
        <v>130</v>
      </c>
      <c r="AI30" s="5">
        <f t="shared" si="12"/>
        <v>230</v>
      </c>
      <c r="AJ30" s="5">
        <f t="shared" si="12"/>
        <v>225</v>
      </c>
      <c r="AK30" s="5">
        <f t="shared" si="12"/>
        <v>229</v>
      </c>
      <c r="AL30" s="5">
        <f t="shared" si="12"/>
        <v>181</v>
      </c>
      <c r="AM30" s="5">
        <f t="shared" si="12"/>
        <v>184</v>
      </c>
      <c r="AN30" s="5">
        <f t="shared" si="12"/>
        <v>146</v>
      </c>
      <c r="AO30" s="5">
        <f t="shared" si="12"/>
        <v>193</v>
      </c>
      <c r="AP30" s="5">
        <f t="shared" si="12"/>
        <v>133</v>
      </c>
      <c r="AQ30" s="5">
        <f t="shared" si="12"/>
        <v>136</v>
      </c>
      <c r="AR30" s="5">
        <f t="shared" si="12"/>
        <v>248</v>
      </c>
      <c r="AS30" s="5">
        <f t="shared" si="12"/>
        <v>230</v>
      </c>
      <c r="AT30" s="5">
        <f t="shared" si="12"/>
        <v>156</v>
      </c>
      <c r="AU30" s="5">
        <f t="shared" si="12"/>
        <v>131</v>
      </c>
      <c r="AV30" s="5">
        <f t="shared" si="12"/>
        <v>132</v>
      </c>
      <c r="AW30" s="5">
        <f t="shared" si="12"/>
        <v>205</v>
      </c>
      <c r="AX30" s="5">
        <f t="shared" si="12"/>
        <v>184</v>
      </c>
      <c r="AY30" s="5">
        <f t="shared" si="12"/>
        <v>177</v>
      </c>
      <c r="AZ30" s="5">
        <f t="shared" si="12"/>
        <v>189</v>
      </c>
      <c r="BA30" s="5">
        <f t="shared" si="12"/>
        <v>123</v>
      </c>
      <c r="BB30" s="5">
        <f t="shared" si="12"/>
        <v>143</v>
      </c>
      <c r="BC30" s="5">
        <f t="shared" si="12"/>
        <v>194</v>
      </c>
      <c r="BD30" s="5">
        <f t="shared" si="12"/>
        <v>177</v>
      </c>
      <c r="BE30" s="5">
        <f t="shared" si="12"/>
        <v>210</v>
      </c>
      <c r="BF30" s="5">
        <f t="shared" si="12"/>
        <v>186</v>
      </c>
      <c r="BG30" s="5">
        <f t="shared" si="12"/>
        <v>112</v>
      </c>
      <c r="BH30" s="5">
        <f t="shared" si="12"/>
        <v>183</v>
      </c>
      <c r="BI30" s="5">
        <f t="shared" ref="BI30" si="13">SUM(BI28:BI29)</f>
        <v>177</v>
      </c>
      <c r="BJ30" s="5">
        <f t="shared" si="12"/>
        <v>134</v>
      </c>
      <c r="BK30" s="5">
        <f t="shared" si="12"/>
        <v>194</v>
      </c>
      <c r="BL30" s="5">
        <f t="shared" si="2"/>
        <v>10723</v>
      </c>
    </row>
    <row r="31" spans="1:64" x14ac:dyDescent="0.4">
      <c r="A31" s="64"/>
      <c r="B31" s="65"/>
      <c r="C31" s="65"/>
      <c r="D31" s="6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28"/>
    </row>
    <row r="32" spans="1:64" x14ac:dyDescent="0.4">
      <c r="A32" s="14" t="s">
        <v>36</v>
      </c>
      <c r="B32" s="67" t="s">
        <v>37</v>
      </c>
      <c r="C32" s="65"/>
      <c r="D32" s="6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8"/>
    </row>
    <row r="33" spans="1:64" x14ac:dyDescent="0.4">
      <c r="A33" s="6">
        <v>1</v>
      </c>
      <c r="B33" s="72" t="s">
        <v>38</v>
      </c>
      <c r="C33" s="65"/>
      <c r="D33" s="66"/>
      <c r="E33" s="6">
        <v>268</v>
      </c>
      <c r="F33" s="6">
        <v>291</v>
      </c>
      <c r="G33" s="6">
        <v>270</v>
      </c>
      <c r="H33" s="6">
        <v>193</v>
      </c>
      <c r="I33" s="6">
        <v>305</v>
      </c>
      <c r="J33" s="6">
        <v>290</v>
      </c>
      <c r="K33" s="6">
        <v>290</v>
      </c>
      <c r="L33" s="6">
        <v>299</v>
      </c>
      <c r="M33" s="6">
        <v>311</v>
      </c>
      <c r="N33" s="6">
        <v>179</v>
      </c>
      <c r="O33" s="6">
        <v>204</v>
      </c>
      <c r="P33" s="6">
        <v>282</v>
      </c>
      <c r="Q33" s="6">
        <v>234</v>
      </c>
      <c r="R33" s="6">
        <v>299</v>
      </c>
      <c r="S33" s="6">
        <v>292</v>
      </c>
      <c r="T33" s="6">
        <v>159</v>
      </c>
      <c r="U33" s="6">
        <v>300</v>
      </c>
      <c r="V33" s="6">
        <v>277</v>
      </c>
      <c r="W33" s="6">
        <v>272</v>
      </c>
      <c r="X33" s="6">
        <v>224</v>
      </c>
      <c r="Y33" s="6">
        <v>291</v>
      </c>
      <c r="Z33" s="6">
        <v>309</v>
      </c>
      <c r="AA33" s="6">
        <v>186</v>
      </c>
      <c r="AB33" s="6">
        <v>159</v>
      </c>
      <c r="AC33" s="6">
        <v>139</v>
      </c>
      <c r="AD33" s="6">
        <v>266</v>
      </c>
      <c r="AE33" s="6">
        <v>243</v>
      </c>
      <c r="AF33" s="6">
        <v>210</v>
      </c>
      <c r="AG33" s="6">
        <v>222</v>
      </c>
      <c r="AH33" s="6">
        <v>177</v>
      </c>
      <c r="AI33" s="6">
        <v>298</v>
      </c>
      <c r="AJ33" s="6">
        <v>305</v>
      </c>
      <c r="AK33" s="6">
        <v>303</v>
      </c>
      <c r="AL33" s="6">
        <v>217</v>
      </c>
      <c r="AM33" s="6">
        <v>247</v>
      </c>
      <c r="AN33" s="6">
        <v>199</v>
      </c>
      <c r="AO33" s="6">
        <v>269</v>
      </c>
      <c r="AP33" s="6">
        <v>163</v>
      </c>
      <c r="AQ33" s="6">
        <v>185</v>
      </c>
      <c r="AR33" s="6">
        <v>305</v>
      </c>
      <c r="AS33" s="6">
        <v>290</v>
      </c>
      <c r="AT33" s="6">
        <v>218</v>
      </c>
      <c r="AU33" s="6">
        <v>185</v>
      </c>
      <c r="AV33" s="6">
        <v>164</v>
      </c>
      <c r="AW33" s="6">
        <v>277</v>
      </c>
      <c r="AX33" s="6">
        <v>239</v>
      </c>
      <c r="AY33" s="6">
        <v>205</v>
      </c>
      <c r="AZ33" s="6">
        <v>230</v>
      </c>
      <c r="BA33" s="6">
        <v>142</v>
      </c>
      <c r="BB33" s="6">
        <v>198</v>
      </c>
      <c r="BC33" s="6">
        <v>283</v>
      </c>
      <c r="BD33" s="6">
        <v>267</v>
      </c>
      <c r="BE33" s="6">
        <v>285</v>
      </c>
      <c r="BF33" s="6">
        <v>298</v>
      </c>
      <c r="BG33" s="6">
        <v>115</v>
      </c>
      <c r="BH33" s="6">
        <v>198</v>
      </c>
      <c r="BI33" s="6">
        <v>193</v>
      </c>
      <c r="BJ33" s="6">
        <v>191</v>
      </c>
      <c r="BK33" s="6">
        <v>217</v>
      </c>
      <c r="BL33" s="5">
        <f>SUM(E33:BK33)</f>
        <v>14127</v>
      </c>
    </row>
    <row r="34" spans="1:64" x14ac:dyDescent="0.4">
      <c r="A34" s="6">
        <v>2</v>
      </c>
      <c r="B34" s="72" t="s">
        <v>39</v>
      </c>
      <c r="C34" s="65"/>
      <c r="D34" s="66"/>
      <c r="E34" s="5">
        <v>185</v>
      </c>
      <c r="F34" s="5">
        <v>197</v>
      </c>
      <c r="G34" s="5">
        <v>204</v>
      </c>
      <c r="H34" s="5">
        <v>155</v>
      </c>
      <c r="I34" s="5">
        <v>227</v>
      </c>
      <c r="J34" s="5">
        <v>208</v>
      </c>
      <c r="K34" s="5">
        <v>200</v>
      </c>
      <c r="L34" s="5">
        <v>223</v>
      </c>
      <c r="M34" s="5">
        <v>231</v>
      </c>
      <c r="N34" s="5">
        <v>130</v>
      </c>
      <c r="O34" s="5">
        <v>154</v>
      </c>
      <c r="P34" s="5">
        <v>204</v>
      </c>
      <c r="Q34" s="5">
        <v>220</v>
      </c>
      <c r="R34" s="5">
        <v>245</v>
      </c>
      <c r="S34" s="5">
        <v>230</v>
      </c>
      <c r="T34" s="5">
        <v>121</v>
      </c>
      <c r="U34" s="5">
        <v>213</v>
      </c>
      <c r="V34" s="5">
        <v>177</v>
      </c>
      <c r="W34" s="5">
        <v>197</v>
      </c>
      <c r="X34" s="5">
        <v>161</v>
      </c>
      <c r="Y34" s="5">
        <v>215</v>
      </c>
      <c r="Z34" s="5">
        <v>240</v>
      </c>
      <c r="AA34" s="5">
        <v>133</v>
      </c>
      <c r="AB34" s="5">
        <v>127</v>
      </c>
      <c r="AC34" s="5">
        <v>120</v>
      </c>
      <c r="AD34" s="5">
        <v>197</v>
      </c>
      <c r="AE34" s="5">
        <v>187</v>
      </c>
      <c r="AF34" s="5">
        <v>175</v>
      </c>
      <c r="AG34" s="5">
        <v>175</v>
      </c>
      <c r="AH34" s="5">
        <v>130</v>
      </c>
      <c r="AI34" s="5">
        <v>230</v>
      </c>
      <c r="AJ34" s="5">
        <v>225</v>
      </c>
      <c r="AK34" s="5">
        <v>229</v>
      </c>
      <c r="AL34" s="5">
        <v>181</v>
      </c>
      <c r="AM34" s="5">
        <v>184</v>
      </c>
      <c r="AN34" s="5">
        <v>146</v>
      </c>
      <c r="AO34" s="5">
        <v>193</v>
      </c>
      <c r="AP34" s="5">
        <v>133</v>
      </c>
      <c r="AQ34" s="5">
        <v>136</v>
      </c>
      <c r="AR34" s="5">
        <v>248</v>
      </c>
      <c r="AS34" s="5">
        <v>230</v>
      </c>
      <c r="AT34" s="5">
        <v>156</v>
      </c>
      <c r="AU34" s="5">
        <v>131</v>
      </c>
      <c r="AV34" s="5">
        <v>132</v>
      </c>
      <c r="AW34" s="5">
        <v>205</v>
      </c>
      <c r="AX34" s="5">
        <v>184</v>
      </c>
      <c r="AY34" s="5">
        <v>177</v>
      </c>
      <c r="AZ34" s="5">
        <v>189</v>
      </c>
      <c r="BA34" s="5">
        <v>123</v>
      </c>
      <c r="BB34" s="5">
        <v>143</v>
      </c>
      <c r="BC34" s="5">
        <v>194</v>
      </c>
      <c r="BD34" s="5">
        <v>177</v>
      </c>
      <c r="BE34" s="5">
        <v>210</v>
      </c>
      <c r="BF34" s="5">
        <v>186</v>
      </c>
      <c r="BG34" s="5">
        <v>112</v>
      </c>
      <c r="BH34" s="5">
        <v>183</v>
      </c>
      <c r="BI34" s="5">
        <v>177</v>
      </c>
      <c r="BJ34" s="5">
        <v>134</v>
      </c>
      <c r="BK34" s="5">
        <v>194</v>
      </c>
      <c r="BL34" s="5">
        <f>SUM(E34:BK34)</f>
        <v>10723</v>
      </c>
    </row>
    <row r="35" spans="1:64" x14ac:dyDescent="0.4">
      <c r="A35" s="6">
        <v>3</v>
      </c>
      <c r="B35" s="72" t="s">
        <v>40</v>
      </c>
      <c r="C35" s="65"/>
      <c r="D35" s="66"/>
      <c r="E35" s="6"/>
      <c r="F35" s="6"/>
      <c r="G35" s="6"/>
      <c r="H35" s="6">
        <v>1</v>
      </c>
      <c r="I35" s="6"/>
      <c r="J35" s="6"/>
      <c r="K35" s="6"/>
      <c r="L35" s="6"/>
      <c r="M35" s="6"/>
      <c r="N35" s="6"/>
      <c r="O35" s="6"/>
      <c r="P35" s="6">
        <v>2</v>
      </c>
      <c r="Q35" s="6">
        <v>1</v>
      </c>
      <c r="R35" s="6"/>
      <c r="S35" s="6"/>
      <c r="T35" s="6"/>
      <c r="U35" s="6"/>
      <c r="V35" s="6">
        <v>1</v>
      </c>
      <c r="W35" s="6"/>
      <c r="X35" s="6">
        <v>1</v>
      </c>
      <c r="Y35" s="6"/>
      <c r="Z35" s="6">
        <v>3</v>
      </c>
      <c r="AA35" s="6"/>
      <c r="AB35" s="6"/>
      <c r="AC35" s="6"/>
      <c r="AD35" s="6"/>
      <c r="AE35" s="6"/>
      <c r="AF35" s="6"/>
      <c r="AG35" s="6">
        <v>2</v>
      </c>
      <c r="AH35" s="6"/>
      <c r="AI35" s="6"/>
      <c r="AJ35" s="6"/>
      <c r="AK35" s="6"/>
      <c r="AL35" s="6">
        <v>1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1</v>
      </c>
      <c r="AW35" s="6">
        <v>1</v>
      </c>
      <c r="AX35" s="6"/>
      <c r="AY35" s="6"/>
      <c r="AZ35" s="6"/>
      <c r="BA35" s="6"/>
      <c r="BB35" s="6">
        <v>4</v>
      </c>
      <c r="BC35" s="6"/>
      <c r="BD35" s="6"/>
      <c r="BE35" s="6"/>
      <c r="BF35" s="6"/>
      <c r="BG35" s="6"/>
      <c r="BH35" s="6"/>
      <c r="BI35" s="6"/>
      <c r="BJ35" s="6"/>
      <c r="BK35" s="6"/>
      <c r="BL35" s="5">
        <f>SUM(E35:BK35)</f>
        <v>18</v>
      </c>
    </row>
    <row r="36" spans="1:64" x14ac:dyDescent="0.4">
      <c r="A36" s="6">
        <v>4</v>
      </c>
      <c r="B36" s="72" t="s">
        <v>41</v>
      </c>
      <c r="C36" s="65"/>
      <c r="D36" s="66"/>
      <c r="E36" s="5">
        <f t="shared" ref="E36:BK36" si="14">E33-(E34+E35)</f>
        <v>83</v>
      </c>
      <c r="F36" s="5">
        <f t="shared" si="14"/>
        <v>94</v>
      </c>
      <c r="G36" s="5">
        <f t="shared" si="14"/>
        <v>66</v>
      </c>
      <c r="H36" s="5">
        <f t="shared" si="14"/>
        <v>37</v>
      </c>
      <c r="I36" s="5">
        <f t="shared" si="14"/>
        <v>78</v>
      </c>
      <c r="J36" s="5">
        <f t="shared" si="14"/>
        <v>82</v>
      </c>
      <c r="K36" s="5">
        <f t="shared" si="14"/>
        <v>90</v>
      </c>
      <c r="L36" s="5">
        <f t="shared" si="14"/>
        <v>76</v>
      </c>
      <c r="M36" s="5">
        <f t="shared" si="14"/>
        <v>80</v>
      </c>
      <c r="N36" s="5">
        <f t="shared" si="14"/>
        <v>49</v>
      </c>
      <c r="O36" s="5">
        <f t="shared" si="14"/>
        <v>50</v>
      </c>
      <c r="P36" s="5">
        <f t="shared" si="14"/>
        <v>76</v>
      </c>
      <c r="Q36" s="5">
        <f t="shared" si="14"/>
        <v>13</v>
      </c>
      <c r="R36" s="5">
        <f t="shared" si="14"/>
        <v>54</v>
      </c>
      <c r="S36" s="5">
        <f t="shared" si="14"/>
        <v>62</v>
      </c>
      <c r="T36" s="5">
        <f t="shared" si="14"/>
        <v>38</v>
      </c>
      <c r="U36" s="5">
        <f t="shared" si="14"/>
        <v>87</v>
      </c>
      <c r="V36" s="5">
        <f t="shared" si="14"/>
        <v>99</v>
      </c>
      <c r="W36" s="5">
        <f t="shared" si="14"/>
        <v>75</v>
      </c>
      <c r="X36" s="5">
        <f t="shared" si="14"/>
        <v>62</v>
      </c>
      <c r="Y36" s="5">
        <f t="shared" si="14"/>
        <v>76</v>
      </c>
      <c r="Z36" s="5">
        <f t="shared" si="14"/>
        <v>66</v>
      </c>
      <c r="AA36" s="5">
        <f t="shared" si="14"/>
        <v>53</v>
      </c>
      <c r="AB36" s="5">
        <f t="shared" si="14"/>
        <v>32</v>
      </c>
      <c r="AC36" s="5">
        <f t="shared" si="14"/>
        <v>19</v>
      </c>
      <c r="AD36" s="5">
        <f t="shared" si="14"/>
        <v>69</v>
      </c>
      <c r="AE36" s="5">
        <f t="shared" si="14"/>
        <v>56</v>
      </c>
      <c r="AF36" s="5">
        <f t="shared" si="14"/>
        <v>35</v>
      </c>
      <c r="AG36" s="5">
        <f t="shared" si="14"/>
        <v>45</v>
      </c>
      <c r="AH36" s="5">
        <f t="shared" si="14"/>
        <v>47</v>
      </c>
      <c r="AI36" s="5">
        <f t="shared" si="14"/>
        <v>68</v>
      </c>
      <c r="AJ36" s="5">
        <f t="shared" si="14"/>
        <v>80</v>
      </c>
      <c r="AK36" s="5">
        <f t="shared" si="14"/>
        <v>74</v>
      </c>
      <c r="AL36" s="5">
        <f t="shared" si="14"/>
        <v>35</v>
      </c>
      <c r="AM36" s="5">
        <f t="shared" si="14"/>
        <v>63</v>
      </c>
      <c r="AN36" s="5">
        <f t="shared" si="14"/>
        <v>53</v>
      </c>
      <c r="AO36" s="5">
        <f t="shared" si="14"/>
        <v>76</v>
      </c>
      <c r="AP36" s="5">
        <f t="shared" si="14"/>
        <v>30</v>
      </c>
      <c r="AQ36" s="5">
        <f t="shared" si="14"/>
        <v>49</v>
      </c>
      <c r="AR36" s="5">
        <f t="shared" si="14"/>
        <v>57</v>
      </c>
      <c r="AS36" s="5">
        <f t="shared" si="14"/>
        <v>60</v>
      </c>
      <c r="AT36" s="5">
        <f t="shared" si="14"/>
        <v>62</v>
      </c>
      <c r="AU36" s="5">
        <f t="shared" si="14"/>
        <v>54</v>
      </c>
      <c r="AV36" s="5">
        <f t="shared" si="14"/>
        <v>31</v>
      </c>
      <c r="AW36" s="5">
        <f t="shared" si="14"/>
        <v>71</v>
      </c>
      <c r="AX36" s="5">
        <f t="shared" si="14"/>
        <v>55</v>
      </c>
      <c r="AY36" s="5">
        <f t="shared" si="14"/>
        <v>28</v>
      </c>
      <c r="AZ36" s="5">
        <f t="shared" si="14"/>
        <v>41</v>
      </c>
      <c r="BA36" s="5">
        <f t="shared" si="14"/>
        <v>19</v>
      </c>
      <c r="BB36" s="5">
        <f t="shared" si="14"/>
        <v>51</v>
      </c>
      <c r="BC36" s="5">
        <f t="shared" si="14"/>
        <v>89</v>
      </c>
      <c r="BD36" s="5">
        <f t="shared" si="14"/>
        <v>90</v>
      </c>
      <c r="BE36" s="5">
        <f t="shared" si="14"/>
        <v>75</v>
      </c>
      <c r="BF36" s="5">
        <f t="shared" si="14"/>
        <v>112</v>
      </c>
      <c r="BG36" s="5">
        <f t="shared" si="14"/>
        <v>3</v>
      </c>
      <c r="BH36" s="5">
        <f t="shared" si="14"/>
        <v>15</v>
      </c>
      <c r="BI36" s="5">
        <f t="shared" ref="BI36" si="15">BI33-(BI34+BI35)</f>
        <v>16</v>
      </c>
      <c r="BJ36" s="5">
        <f t="shared" si="14"/>
        <v>57</v>
      </c>
      <c r="BK36" s="5">
        <f t="shared" si="14"/>
        <v>23</v>
      </c>
      <c r="BL36" s="5">
        <f>SUM(E36:BK36)</f>
        <v>3386</v>
      </c>
    </row>
    <row r="37" spans="1:64" x14ac:dyDescent="0.4">
      <c r="A37" s="64"/>
      <c r="B37" s="65"/>
      <c r="C37" s="65"/>
      <c r="D37" s="65"/>
      <c r="E37" s="64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105"/>
      <c r="BH37" s="105"/>
      <c r="BI37" s="105"/>
      <c r="BJ37" s="105"/>
      <c r="BK37" s="106"/>
      <c r="BL37" s="28"/>
    </row>
    <row r="38" spans="1:64" x14ac:dyDescent="0.4">
      <c r="A38" s="16" t="s">
        <v>42</v>
      </c>
      <c r="B38" s="67" t="s">
        <v>43</v>
      </c>
      <c r="C38" s="65"/>
      <c r="D38" s="6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28"/>
    </row>
    <row r="39" spans="1:64" x14ac:dyDescent="0.4">
      <c r="A39" s="11"/>
      <c r="B39" s="87" t="s">
        <v>44</v>
      </c>
      <c r="C39" s="74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5">
        <f>SUM(E39:BK39)</f>
        <v>2</v>
      </c>
    </row>
    <row r="40" spans="1:64" x14ac:dyDescent="0.4">
      <c r="A40" s="12"/>
      <c r="B40" s="88"/>
      <c r="C40" s="76"/>
      <c r="D40" s="6" t="s">
        <v>24</v>
      </c>
      <c r="E40" s="6"/>
      <c r="F40" s="6"/>
      <c r="G40" s="6"/>
      <c r="H40" s="6"/>
      <c r="I40" s="6"/>
      <c r="J40" s="6"/>
      <c r="K40" s="6">
        <v>1</v>
      </c>
      <c r="L40" s="6">
        <v>2</v>
      </c>
      <c r="M40" s="6"/>
      <c r="N40" s="6"/>
      <c r="O40" s="6"/>
      <c r="P40" s="6"/>
      <c r="Q40" s="6"/>
      <c r="R40" s="6"/>
      <c r="S40" s="6">
        <v>6</v>
      </c>
      <c r="T40" s="6"/>
      <c r="U40" s="6"/>
      <c r="V40" s="6"/>
      <c r="W40" s="6"/>
      <c r="X40" s="6"/>
      <c r="Y40" s="6"/>
      <c r="Z40" s="6"/>
      <c r="AA40" s="6"/>
      <c r="AB40" s="6"/>
      <c r="AC40" s="6">
        <v>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5">
        <f>SUM(E40:BK40)</f>
        <v>11</v>
      </c>
    </row>
    <row r="41" spans="1:64" x14ac:dyDescent="0.4">
      <c r="A41" s="14"/>
      <c r="B41" s="89"/>
      <c r="C41" s="78"/>
      <c r="D41" s="5" t="s">
        <v>25</v>
      </c>
      <c r="E41" s="5">
        <f t="shared" ref="E41:BK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1</v>
      </c>
      <c r="L41" s="5">
        <f t="shared" si="16"/>
        <v>2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si="16"/>
        <v>0</v>
      </c>
      <c r="Q41" s="5">
        <f t="shared" si="16"/>
        <v>0</v>
      </c>
      <c r="R41" s="5">
        <f t="shared" si="16"/>
        <v>0</v>
      </c>
      <c r="S41" s="5">
        <f t="shared" si="16"/>
        <v>6</v>
      </c>
      <c r="T41" s="5">
        <f t="shared" si="16"/>
        <v>0</v>
      </c>
      <c r="U41" s="5">
        <f t="shared" si="16"/>
        <v>0</v>
      </c>
      <c r="V41" s="5">
        <f t="shared" si="16"/>
        <v>0</v>
      </c>
      <c r="W41" s="5">
        <f t="shared" si="16"/>
        <v>0</v>
      </c>
      <c r="X41" s="5">
        <f t="shared" si="16"/>
        <v>0</v>
      </c>
      <c r="Y41" s="5">
        <f t="shared" si="16"/>
        <v>0</v>
      </c>
      <c r="Z41" s="5">
        <f t="shared" si="16"/>
        <v>0</v>
      </c>
      <c r="AA41" s="5">
        <f t="shared" si="16"/>
        <v>0</v>
      </c>
      <c r="AB41" s="5">
        <f t="shared" si="16"/>
        <v>0</v>
      </c>
      <c r="AC41" s="5">
        <f t="shared" si="16"/>
        <v>2</v>
      </c>
      <c r="AD41" s="5">
        <f t="shared" si="16"/>
        <v>0</v>
      </c>
      <c r="AE41" s="5">
        <f t="shared" si="16"/>
        <v>0</v>
      </c>
      <c r="AF41" s="5">
        <f t="shared" si="16"/>
        <v>0</v>
      </c>
      <c r="AG41" s="5">
        <f t="shared" si="16"/>
        <v>0</v>
      </c>
      <c r="AH41" s="5">
        <f t="shared" si="16"/>
        <v>0</v>
      </c>
      <c r="AI41" s="5">
        <f t="shared" si="16"/>
        <v>0</v>
      </c>
      <c r="AJ41" s="5">
        <f t="shared" si="16"/>
        <v>0</v>
      </c>
      <c r="AK41" s="5">
        <f t="shared" si="16"/>
        <v>0</v>
      </c>
      <c r="AL41" s="5">
        <f t="shared" si="16"/>
        <v>0</v>
      </c>
      <c r="AM41" s="5">
        <f t="shared" si="16"/>
        <v>0</v>
      </c>
      <c r="AN41" s="5">
        <f t="shared" si="16"/>
        <v>0</v>
      </c>
      <c r="AO41" s="5">
        <f t="shared" si="16"/>
        <v>2</v>
      </c>
      <c r="AP41" s="5">
        <f t="shared" si="16"/>
        <v>0</v>
      </c>
      <c r="AQ41" s="5">
        <f t="shared" si="16"/>
        <v>0</v>
      </c>
      <c r="AR41" s="5">
        <f t="shared" si="16"/>
        <v>0</v>
      </c>
      <c r="AS41" s="5">
        <f t="shared" si="16"/>
        <v>0</v>
      </c>
      <c r="AT41" s="5">
        <f t="shared" si="16"/>
        <v>0</v>
      </c>
      <c r="AU41" s="5">
        <f t="shared" si="16"/>
        <v>0</v>
      </c>
      <c r="AV41" s="5">
        <f t="shared" si="16"/>
        <v>0</v>
      </c>
      <c r="AW41" s="5">
        <f t="shared" si="16"/>
        <v>0</v>
      </c>
      <c r="AX41" s="5">
        <f t="shared" si="16"/>
        <v>0</v>
      </c>
      <c r="AY41" s="5">
        <f t="shared" si="16"/>
        <v>0</v>
      </c>
      <c r="AZ41" s="5">
        <f t="shared" si="16"/>
        <v>0</v>
      </c>
      <c r="BA41" s="5">
        <f t="shared" si="16"/>
        <v>0</v>
      </c>
      <c r="BB41" s="5">
        <f t="shared" si="16"/>
        <v>0</v>
      </c>
      <c r="BC41" s="5">
        <f t="shared" si="16"/>
        <v>0</v>
      </c>
      <c r="BD41" s="5">
        <f t="shared" si="16"/>
        <v>0</v>
      </c>
      <c r="BE41" s="5">
        <f t="shared" si="16"/>
        <v>0</v>
      </c>
      <c r="BF41" s="5">
        <f t="shared" si="16"/>
        <v>0</v>
      </c>
      <c r="BG41" s="5">
        <f t="shared" si="16"/>
        <v>0</v>
      </c>
      <c r="BH41" s="5">
        <f t="shared" si="16"/>
        <v>0</v>
      </c>
      <c r="BI41" s="5">
        <f t="shared" ref="BI41" si="17">SUM(BI39:BI40)</f>
        <v>0</v>
      </c>
      <c r="BJ41" s="5">
        <f t="shared" si="16"/>
        <v>0</v>
      </c>
      <c r="BK41" s="5">
        <f t="shared" si="16"/>
        <v>0</v>
      </c>
      <c r="BL41" s="5">
        <f>SUM(E41:BK41)</f>
        <v>13</v>
      </c>
    </row>
    <row r="42" spans="1:64" x14ac:dyDescent="0.4">
      <c r="A42" s="90"/>
      <c r="B42" s="89"/>
      <c r="C42" s="89"/>
      <c r="D42" s="78"/>
      <c r="E42" s="64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65"/>
      <c r="BH42" s="65"/>
      <c r="BI42" s="65"/>
      <c r="BJ42" s="65"/>
      <c r="BK42" s="66"/>
      <c r="BL42" s="5"/>
    </row>
    <row r="43" spans="1:64" ht="13.15" customHeight="1" x14ac:dyDescent="0.4">
      <c r="A43" s="16" t="s">
        <v>45</v>
      </c>
      <c r="B43" s="67" t="s">
        <v>46</v>
      </c>
      <c r="C43" s="65"/>
      <c r="D43" s="66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</row>
    <row r="44" spans="1:64" ht="13.15" customHeight="1" x14ac:dyDescent="0.4">
      <c r="A44" s="87" t="s">
        <v>47</v>
      </c>
      <c r="B44" s="91"/>
      <c r="C44" s="91"/>
      <c r="D44" s="7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5"/>
    </row>
    <row r="45" spans="1:64" x14ac:dyDescent="0.4">
      <c r="A45" s="11" t="s">
        <v>48</v>
      </c>
      <c r="B45" s="17" t="s">
        <v>28</v>
      </c>
      <c r="C45" s="92" t="s">
        <v>49</v>
      </c>
      <c r="D45" s="66"/>
      <c r="E45" s="6">
        <v>6</v>
      </c>
      <c r="F45" s="6">
        <v>3</v>
      </c>
      <c r="G45" s="6">
        <v>7</v>
      </c>
      <c r="H45" s="6">
        <v>3</v>
      </c>
      <c r="I45" s="6">
        <v>6</v>
      </c>
      <c r="J45" s="6">
        <v>7</v>
      </c>
      <c r="K45" s="6">
        <v>6</v>
      </c>
      <c r="L45" s="6">
        <v>3</v>
      </c>
      <c r="M45" s="6">
        <v>7</v>
      </c>
      <c r="N45" s="6">
        <v>1</v>
      </c>
      <c r="O45" s="6">
        <v>3</v>
      </c>
      <c r="P45" s="6">
        <v>4</v>
      </c>
      <c r="Q45" s="6">
        <v>2</v>
      </c>
      <c r="R45" s="6">
        <v>1</v>
      </c>
      <c r="S45" s="6">
        <v>6</v>
      </c>
      <c r="T45" s="6">
        <v>3</v>
      </c>
      <c r="U45" s="6">
        <v>8</v>
      </c>
      <c r="V45" s="6">
        <v>4</v>
      </c>
      <c r="W45" s="6">
        <v>5</v>
      </c>
      <c r="X45" s="6">
        <v>1</v>
      </c>
      <c r="Y45" s="6">
        <v>1</v>
      </c>
      <c r="Z45" s="6">
        <v>8</v>
      </c>
      <c r="AA45" s="6">
        <v>4</v>
      </c>
      <c r="AB45" s="6">
        <v>3</v>
      </c>
      <c r="AC45" s="6"/>
      <c r="AD45" s="6">
        <v>1</v>
      </c>
      <c r="AE45" s="6">
        <v>2</v>
      </c>
      <c r="AF45" s="6">
        <v>5</v>
      </c>
      <c r="AG45" s="6">
        <v>5</v>
      </c>
      <c r="AH45" s="6">
        <v>4</v>
      </c>
      <c r="AI45" s="6"/>
      <c r="AJ45" s="6">
        <v>6</v>
      </c>
      <c r="AK45" s="6">
        <v>1</v>
      </c>
      <c r="AL45" s="6">
        <v>1</v>
      </c>
      <c r="AM45" s="6">
        <v>2</v>
      </c>
      <c r="AN45" s="6">
        <v>3</v>
      </c>
      <c r="AO45" s="6">
        <v>6</v>
      </c>
      <c r="AP45" s="6">
        <v>1</v>
      </c>
      <c r="AQ45" s="6">
        <v>7</v>
      </c>
      <c r="AR45" s="6">
        <v>9</v>
      </c>
      <c r="AS45" s="6">
        <v>6</v>
      </c>
      <c r="AT45" s="6">
        <v>8</v>
      </c>
      <c r="AU45" s="6">
        <v>6</v>
      </c>
      <c r="AV45" s="6">
        <v>1</v>
      </c>
      <c r="AW45" s="6"/>
      <c r="AX45" s="6">
        <v>1</v>
      </c>
      <c r="AY45" s="6">
        <v>1</v>
      </c>
      <c r="AZ45" s="6">
        <v>4</v>
      </c>
      <c r="BA45" s="6">
        <v>2</v>
      </c>
      <c r="BB45" s="6"/>
      <c r="BC45" s="6">
        <v>1</v>
      </c>
      <c r="BD45" s="6">
        <v>8</v>
      </c>
      <c r="BE45" s="6">
        <v>2</v>
      </c>
      <c r="BF45" s="6">
        <v>2</v>
      </c>
      <c r="BG45" s="6">
        <v>1</v>
      </c>
      <c r="BH45" s="6"/>
      <c r="BI45" s="6">
        <v>1</v>
      </c>
      <c r="BJ45" s="6"/>
      <c r="BK45" s="6">
        <v>1</v>
      </c>
      <c r="BL45" s="5">
        <f t="shared" ref="BL45:BL54" si="18">SUM(E45:BK45)</f>
        <v>200</v>
      </c>
    </row>
    <row r="46" spans="1:64" x14ac:dyDescent="0.4">
      <c r="A46" s="11" t="s">
        <v>50</v>
      </c>
      <c r="B46" s="50"/>
      <c r="C46" s="24" t="s">
        <v>147</v>
      </c>
      <c r="D46" s="51"/>
      <c r="E46" s="6">
        <v>2</v>
      </c>
      <c r="F46" s="6">
        <v>2</v>
      </c>
      <c r="G46" s="6"/>
      <c r="H46" s="6">
        <v>1</v>
      </c>
      <c r="I46" s="6">
        <v>4</v>
      </c>
      <c r="J46" s="6">
        <v>3</v>
      </c>
      <c r="K46" s="6">
        <v>1</v>
      </c>
      <c r="L46" s="6">
        <v>4</v>
      </c>
      <c r="M46" s="6">
        <v>9</v>
      </c>
      <c r="N46" s="6">
        <v>4</v>
      </c>
      <c r="O46" s="6">
        <v>13</v>
      </c>
      <c r="P46" s="6">
        <v>2</v>
      </c>
      <c r="Q46" s="6">
        <v>2</v>
      </c>
      <c r="R46" s="6">
        <v>7</v>
      </c>
      <c r="S46" s="6">
        <v>31</v>
      </c>
      <c r="T46" s="6">
        <v>5</v>
      </c>
      <c r="U46" s="6"/>
      <c r="V46" s="6"/>
      <c r="W46" s="6">
        <v>5</v>
      </c>
      <c r="X46" s="6">
        <v>3</v>
      </c>
      <c r="Y46" s="6"/>
      <c r="Z46" s="6">
        <v>7</v>
      </c>
      <c r="AA46" s="6">
        <v>8</v>
      </c>
      <c r="AB46" s="6">
        <v>1</v>
      </c>
      <c r="AC46" s="6">
        <v>1</v>
      </c>
      <c r="AD46" s="6">
        <v>6</v>
      </c>
      <c r="AE46" s="6">
        <v>1</v>
      </c>
      <c r="AF46" s="6">
        <v>4</v>
      </c>
      <c r="AG46" s="6">
        <v>1</v>
      </c>
      <c r="AH46" s="6">
        <v>1</v>
      </c>
      <c r="AI46" s="6"/>
      <c r="AJ46" s="6">
        <v>1</v>
      </c>
      <c r="AK46" s="6">
        <v>5</v>
      </c>
      <c r="AL46" s="6"/>
      <c r="AM46" s="6"/>
      <c r="AN46" s="6"/>
      <c r="AO46" s="6"/>
      <c r="AP46" s="6">
        <v>1</v>
      </c>
      <c r="AQ46" s="6">
        <v>3</v>
      </c>
      <c r="AR46" s="6">
        <v>4</v>
      </c>
      <c r="AS46" s="6">
        <v>3</v>
      </c>
      <c r="AT46" s="6">
        <v>2</v>
      </c>
      <c r="AU46" s="6">
        <v>1</v>
      </c>
      <c r="AV46" s="6"/>
      <c r="AW46" s="6">
        <v>1</v>
      </c>
      <c r="AX46" s="6"/>
      <c r="AY46" s="6"/>
      <c r="AZ46" s="6">
        <v>2</v>
      </c>
      <c r="BA46" s="6">
        <v>1</v>
      </c>
      <c r="BB46" s="6">
        <v>1</v>
      </c>
      <c r="BC46" s="6"/>
      <c r="BD46" s="6">
        <v>1</v>
      </c>
      <c r="BE46" s="6">
        <v>4</v>
      </c>
      <c r="BF46" s="6">
        <v>2</v>
      </c>
      <c r="BG46" s="6">
        <v>1</v>
      </c>
      <c r="BH46" s="6">
        <v>1</v>
      </c>
      <c r="BI46" s="6"/>
      <c r="BJ46" s="6"/>
      <c r="BK46" s="6"/>
      <c r="BL46" s="5">
        <f t="shared" si="18"/>
        <v>162</v>
      </c>
    </row>
    <row r="47" spans="1:64" x14ac:dyDescent="0.4">
      <c r="A47" s="7"/>
      <c r="B47" s="50"/>
      <c r="C47" s="24" t="s">
        <v>148</v>
      </c>
      <c r="D47" s="51"/>
      <c r="E47" s="6">
        <v>1</v>
      </c>
      <c r="F47" s="6">
        <v>2</v>
      </c>
      <c r="G47" s="6">
        <v>2</v>
      </c>
      <c r="H47" s="6">
        <v>2</v>
      </c>
      <c r="I47" s="6">
        <v>2</v>
      </c>
      <c r="J47" s="6">
        <v>4</v>
      </c>
      <c r="K47" s="6">
        <v>2</v>
      </c>
      <c r="L47" s="6">
        <v>1</v>
      </c>
      <c r="M47" s="6"/>
      <c r="N47" s="6"/>
      <c r="O47" s="6">
        <v>1</v>
      </c>
      <c r="P47" s="6">
        <v>1</v>
      </c>
      <c r="Q47" s="6">
        <v>2</v>
      </c>
      <c r="R47" s="6">
        <v>4</v>
      </c>
      <c r="S47" s="6">
        <v>3</v>
      </c>
      <c r="T47" s="6">
        <v>3</v>
      </c>
      <c r="U47" s="6">
        <v>2</v>
      </c>
      <c r="V47" s="6"/>
      <c r="W47" s="6">
        <v>11</v>
      </c>
      <c r="X47" s="6">
        <v>2</v>
      </c>
      <c r="Y47" s="6">
        <v>3</v>
      </c>
      <c r="Z47" s="6">
        <v>12</v>
      </c>
      <c r="AA47" s="6">
        <v>4</v>
      </c>
      <c r="AB47" s="6">
        <v>3</v>
      </c>
      <c r="AC47" s="6">
        <v>5</v>
      </c>
      <c r="AD47" s="6">
        <v>8</v>
      </c>
      <c r="AE47" s="6"/>
      <c r="AF47" s="6">
        <v>4</v>
      </c>
      <c r="AG47" s="6">
        <v>2</v>
      </c>
      <c r="AH47" s="6"/>
      <c r="AI47" s="6">
        <v>2</v>
      </c>
      <c r="AJ47" s="6">
        <v>3</v>
      </c>
      <c r="AK47" s="6">
        <v>4</v>
      </c>
      <c r="AL47" s="6"/>
      <c r="AM47" s="6">
        <v>2</v>
      </c>
      <c r="AN47" s="6"/>
      <c r="AO47" s="6">
        <v>10</v>
      </c>
      <c r="AP47" s="6">
        <v>3</v>
      </c>
      <c r="AQ47" s="6">
        <v>10</v>
      </c>
      <c r="AR47" s="6">
        <v>24</v>
      </c>
      <c r="AS47" s="6">
        <v>14</v>
      </c>
      <c r="AT47" s="6">
        <v>26</v>
      </c>
      <c r="AU47" s="6">
        <v>38</v>
      </c>
      <c r="AV47" s="6"/>
      <c r="AW47" s="6">
        <v>3</v>
      </c>
      <c r="AX47" s="6"/>
      <c r="AY47" s="6">
        <v>1</v>
      </c>
      <c r="AZ47" s="6">
        <v>3</v>
      </c>
      <c r="BA47" s="6"/>
      <c r="BB47" s="6">
        <v>1</v>
      </c>
      <c r="BC47" s="6">
        <v>1</v>
      </c>
      <c r="BD47" s="6">
        <v>1</v>
      </c>
      <c r="BE47" s="6">
        <v>2</v>
      </c>
      <c r="BF47" s="6"/>
      <c r="BG47" s="6"/>
      <c r="BH47" s="6"/>
      <c r="BI47" s="6"/>
      <c r="BJ47" s="6">
        <v>5</v>
      </c>
      <c r="BK47" s="6">
        <v>1</v>
      </c>
      <c r="BL47" s="5">
        <f t="shared" si="18"/>
        <v>240</v>
      </c>
    </row>
    <row r="48" spans="1:64" x14ac:dyDescent="0.4">
      <c r="A48" s="7"/>
      <c r="B48" s="50"/>
      <c r="C48" s="24" t="s">
        <v>149</v>
      </c>
      <c r="D48" s="51"/>
      <c r="E48" s="6">
        <v>3</v>
      </c>
      <c r="F48" s="6">
        <v>9</v>
      </c>
      <c r="G48" s="6">
        <v>46</v>
      </c>
      <c r="H48" s="6">
        <v>16</v>
      </c>
      <c r="I48" s="6">
        <v>9</v>
      </c>
      <c r="J48" s="6">
        <v>6</v>
      </c>
      <c r="K48" s="6">
        <v>3</v>
      </c>
      <c r="L48" s="6">
        <v>6</v>
      </c>
      <c r="M48" s="6">
        <v>3</v>
      </c>
      <c r="N48" s="6">
        <v>10</v>
      </c>
      <c r="O48" s="6">
        <v>26</v>
      </c>
      <c r="P48" s="6">
        <v>1</v>
      </c>
      <c r="Q48" s="6">
        <v>28</v>
      </c>
      <c r="R48" s="6">
        <v>5</v>
      </c>
      <c r="S48" s="6">
        <v>14</v>
      </c>
      <c r="T48" s="6">
        <v>1</v>
      </c>
      <c r="U48" s="6">
        <v>13</v>
      </c>
      <c r="V48" s="6">
        <v>2</v>
      </c>
      <c r="W48" s="6">
        <v>8</v>
      </c>
      <c r="X48" s="6">
        <v>14</v>
      </c>
      <c r="Y48" s="6">
        <v>9</v>
      </c>
      <c r="Z48" s="6">
        <v>21</v>
      </c>
      <c r="AA48" s="6">
        <v>35</v>
      </c>
      <c r="AB48" s="6">
        <v>15</v>
      </c>
      <c r="AC48" s="6">
        <v>12</v>
      </c>
      <c r="AD48" s="6">
        <v>4</v>
      </c>
      <c r="AE48" s="6">
        <v>7</v>
      </c>
      <c r="AF48" s="6">
        <v>27</v>
      </c>
      <c r="AG48" s="6">
        <v>15</v>
      </c>
      <c r="AH48" s="6">
        <v>3</v>
      </c>
      <c r="AI48" s="6"/>
      <c r="AJ48" s="6">
        <v>3</v>
      </c>
      <c r="AK48" s="6">
        <v>14</v>
      </c>
      <c r="AL48" s="6"/>
      <c r="AM48" s="6"/>
      <c r="AN48" s="6"/>
      <c r="AO48" s="6">
        <v>2</v>
      </c>
      <c r="AP48" s="6"/>
      <c r="AQ48" s="6">
        <v>20</v>
      </c>
      <c r="AR48" s="6">
        <v>30</v>
      </c>
      <c r="AS48" s="6">
        <v>14</v>
      </c>
      <c r="AT48" s="6">
        <v>21</v>
      </c>
      <c r="AU48" s="6">
        <v>2</v>
      </c>
      <c r="AV48" s="6"/>
      <c r="AW48" s="6"/>
      <c r="AX48" s="6"/>
      <c r="AY48" s="6">
        <v>5</v>
      </c>
      <c r="AZ48" s="6">
        <v>4</v>
      </c>
      <c r="BA48" s="6"/>
      <c r="BB48" s="6"/>
      <c r="BC48" s="6"/>
      <c r="BD48" s="6">
        <v>1</v>
      </c>
      <c r="BE48" s="6">
        <v>1</v>
      </c>
      <c r="BF48" s="6"/>
      <c r="BG48" s="6"/>
      <c r="BH48" s="6"/>
      <c r="BI48" s="6">
        <v>1</v>
      </c>
      <c r="BJ48" s="6">
        <v>1</v>
      </c>
      <c r="BK48" s="6">
        <v>2</v>
      </c>
      <c r="BL48" s="5">
        <f t="shared" si="18"/>
        <v>492</v>
      </c>
    </row>
    <row r="49" spans="1:64" x14ac:dyDescent="0.4">
      <c r="A49" s="7"/>
      <c r="B49" s="50"/>
      <c r="C49" s="24" t="s">
        <v>150</v>
      </c>
      <c r="D49" s="51"/>
      <c r="E49" s="6"/>
      <c r="F49" s="6"/>
      <c r="G49" s="6"/>
      <c r="H49" s="6"/>
      <c r="I49" s="6"/>
      <c r="J49" s="6"/>
      <c r="K49" s="6">
        <v>1</v>
      </c>
      <c r="L49" s="6"/>
      <c r="M49" s="6">
        <v>2</v>
      </c>
      <c r="N49" s="6"/>
      <c r="O49" s="6"/>
      <c r="P49" s="6">
        <v>1</v>
      </c>
      <c r="Q49" s="6"/>
      <c r="R49" s="6"/>
      <c r="S49" s="6"/>
      <c r="T49" s="6"/>
      <c r="U49" s="6"/>
      <c r="V49" s="6"/>
      <c r="W49" s="6"/>
      <c r="X49" s="6"/>
      <c r="Y49" s="6"/>
      <c r="Z49" s="6">
        <v>1</v>
      </c>
      <c r="AA49" s="6">
        <v>1</v>
      </c>
      <c r="AB49" s="6"/>
      <c r="AC49" s="6"/>
      <c r="AD49" s="6">
        <v>1</v>
      </c>
      <c r="AE49" s="6"/>
      <c r="AF49" s="6">
        <v>2</v>
      </c>
      <c r="AG49" s="6"/>
      <c r="AH49" s="6"/>
      <c r="AI49" s="6"/>
      <c r="AJ49" s="6"/>
      <c r="AK49" s="6">
        <v>2</v>
      </c>
      <c r="AL49" s="6"/>
      <c r="AM49" s="6"/>
      <c r="AN49" s="6"/>
      <c r="AO49" s="6">
        <v>1</v>
      </c>
      <c r="AP49" s="6"/>
      <c r="AQ49" s="6">
        <v>1</v>
      </c>
      <c r="AR49" s="6">
        <v>1</v>
      </c>
      <c r="AS49" s="6">
        <v>2</v>
      </c>
      <c r="AT49" s="6">
        <v>1</v>
      </c>
      <c r="AU49" s="6"/>
      <c r="AV49" s="6"/>
      <c r="AW49" s="6"/>
      <c r="AX49" s="6">
        <v>1</v>
      </c>
      <c r="AY49" s="6"/>
      <c r="AZ49" s="6"/>
      <c r="BA49" s="6"/>
      <c r="BB49" s="6"/>
      <c r="BC49" s="6">
        <v>1</v>
      </c>
      <c r="BD49" s="6"/>
      <c r="BE49" s="6">
        <v>1</v>
      </c>
      <c r="BF49" s="6"/>
      <c r="BG49" s="6"/>
      <c r="BH49" s="6"/>
      <c r="BI49" s="6"/>
      <c r="BJ49" s="6"/>
      <c r="BK49" s="6"/>
      <c r="BL49" s="5">
        <f t="shared" si="18"/>
        <v>20</v>
      </c>
    </row>
    <row r="50" spans="1:64" x14ac:dyDescent="0.4">
      <c r="A50" s="7"/>
      <c r="B50" s="50"/>
      <c r="C50" s="24" t="s">
        <v>151</v>
      </c>
      <c r="D50" s="51"/>
      <c r="E50" s="6">
        <v>1</v>
      </c>
      <c r="F50" s="6"/>
      <c r="G50" s="6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</v>
      </c>
      <c r="Z50" s="6"/>
      <c r="AA50" s="6"/>
      <c r="AB50" s="6"/>
      <c r="AC50" s="6">
        <v>1</v>
      </c>
      <c r="AD50" s="6"/>
      <c r="AE50" s="6">
        <v>1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1</v>
      </c>
      <c r="AR50" s="6">
        <v>1</v>
      </c>
      <c r="AS50" s="6">
        <v>1</v>
      </c>
      <c r="AT50" s="6"/>
      <c r="AU50" s="6"/>
      <c r="AV50" s="6"/>
      <c r="AW50" s="6">
        <v>1</v>
      </c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v>1</v>
      </c>
      <c r="BK50" s="6"/>
      <c r="BL50" s="5">
        <f t="shared" si="18"/>
        <v>10</v>
      </c>
    </row>
    <row r="51" spans="1:64" x14ac:dyDescent="0.4">
      <c r="A51" s="7"/>
      <c r="B51" s="50"/>
      <c r="C51" s="24" t="s">
        <v>152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5">
        <f t="shared" si="18"/>
        <v>1</v>
      </c>
    </row>
    <row r="52" spans="1:64" ht="13.15" customHeight="1" x14ac:dyDescent="0.4">
      <c r="A52" s="7"/>
      <c r="B52" s="50"/>
      <c r="C52" s="24" t="s">
        <v>153</v>
      </c>
      <c r="D52" s="51"/>
      <c r="E52" s="6">
        <v>1</v>
      </c>
      <c r="F52" s="6"/>
      <c r="G52" s="6">
        <v>1</v>
      </c>
      <c r="H52" s="6"/>
      <c r="I52" s="6"/>
      <c r="J52" s="6"/>
      <c r="K52" s="6">
        <v>1</v>
      </c>
      <c r="L52" s="6"/>
      <c r="M52" s="6"/>
      <c r="N52" s="6"/>
      <c r="O52" s="6"/>
      <c r="P52" s="6"/>
      <c r="Q52" s="6"/>
      <c r="R52" s="6"/>
      <c r="S52" s="6"/>
      <c r="T52" s="6"/>
      <c r="U52" s="6">
        <v>1</v>
      </c>
      <c r="V52" s="6"/>
      <c r="W52" s="6"/>
      <c r="X52" s="6"/>
      <c r="Y52" s="6"/>
      <c r="Z52" s="6"/>
      <c r="AA52" s="6"/>
      <c r="AB52" s="6"/>
      <c r="AC52" s="6"/>
      <c r="AD52" s="6"/>
      <c r="AE52" s="6">
        <v>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5">
        <f t="shared" si="18"/>
        <v>6</v>
      </c>
    </row>
    <row r="53" spans="1:64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5">
        <f t="shared" si="18"/>
        <v>0</v>
      </c>
    </row>
    <row r="54" spans="1:64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5">
        <f t="shared" si="18"/>
        <v>0</v>
      </c>
    </row>
    <row r="55" spans="1:64" x14ac:dyDescent="0.4">
      <c r="A55" s="6" t="s">
        <v>26</v>
      </c>
      <c r="B55" s="85" t="s">
        <v>51</v>
      </c>
      <c r="C55" s="65"/>
      <c r="D55" s="66"/>
      <c r="E55" s="5">
        <f>SUM(E45:E54)</f>
        <v>14</v>
      </c>
      <c r="F55" s="5">
        <f t="shared" ref="F55:BL55" si="19">SUM(F45:F54)</f>
        <v>16</v>
      </c>
      <c r="G55" s="5">
        <f t="shared" si="19"/>
        <v>57</v>
      </c>
      <c r="H55" s="5">
        <f t="shared" si="19"/>
        <v>22</v>
      </c>
      <c r="I55" s="5">
        <f t="shared" si="19"/>
        <v>21</v>
      </c>
      <c r="J55" s="5">
        <f t="shared" si="19"/>
        <v>20</v>
      </c>
      <c r="K55" s="5">
        <f t="shared" si="19"/>
        <v>14</v>
      </c>
      <c r="L55" s="5">
        <f t="shared" si="19"/>
        <v>14</v>
      </c>
      <c r="M55" s="5">
        <f t="shared" si="19"/>
        <v>21</v>
      </c>
      <c r="N55" s="5">
        <f t="shared" si="19"/>
        <v>15</v>
      </c>
      <c r="O55" s="5">
        <f t="shared" si="19"/>
        <v>43</v>
      </c>
      <c r="P55" s="5">
        <f t="shared" si="19"/>
        <v>9</v>
      </c>
      <c r="Q55" s="5">
        <f t="shared" si="19"/>
        <v>34</v>
      </c>
      <c r="R55" s="5">
        <f t="shared" si="19"/>
        <v>17</v>
      </c>
      <c r="S55" s="5">
        <f t="shared" si="19"/>
        <v>55</v>
      </c>
      <c r="T55" s="5">
        <f t="shared" si="19"/>
        <v>12</v>
      </c>
      <c r="U55" s="5">
        <f t="shared" si="19"/>
        <v>24</v>
      </c>
      <c r="V55" s="5">
        <f t="shared" si="19"/>
        <v>6</v>
      </c>
      <c r="W55" s="5">
        <f t="shared" si="19"/>
        <v>29</v>
      </c>
      <c r="X55" s="5">
        <f t="shared" si="19"/>
        <v>20</v>
      </c>
      <c r="Y55" s="5">
        <f t="shared" si="19"/>
        <v>14</v>
      </c>
      <c r="Z55" s="5">
        <f t="shared" si="19"/>
        <v>49</v>
      </c>
      <c r="AA55" s="5">
        <f t="shared" si="19"/>
        <v>52</v>
      </c>
      <c r="AB55" s="5">
        <f t="shared" si="19"/>
        <v>22</v>
      </c>
      <c r="AC55" s="5">
        <f t="shared" si="19"/>
        <v>19</v>
      </c>
      <c r="AD55" s="5">
        <f t="shared" si="19"/>
        <v>20</v>
      </c>
      <c r="AE55" s="5">
        <f t="shared" si="19"/>
        <v>12</v>
      </c>
      <c r="AF55" s="5">
        <f t="shared" si="19"/>
        <v>42</v>
      </c>
      <c r="AG55" s="5">
        <f t="shared" si="19"/>
        <v>23</v>
      </c>
      <c r="AH55" s="5">
        <f t="shared" si="19"/>
        <v>8</v>
      </c>
      <c r="AI55" s="5">
        <f t="shared" si="19"/>
        <v>2</v>
      </c>
      <c r="AJ55" s="5">
        <f t="shared" si="19"/>
        <v>13</v>
      </c>
      <c r="AK55" s="5">
        <f t="shared" si="19"/>
        <v>26</v>
      </c>
      <c r="AL55" s="5">
        <f t="shared" si="19"/>
        <v>1</v>
      </c>
      <c r="AM55" s="5">
        <f t="shared" si="19"/>
        <v>4</v>
      </c>
      <c r="AN55" s="5">
        <f t="shared" si="19"/>
        <v>3</v>
      </c>
      <c r="AO55" s="5">
        <f t="shared" si="19"/>
        <v>19</v>
      </c>
      <c r="AP55" s="5">
        <f t="shared" si="19"/>
        <v>5</v>
      </c>
      <c r="AQ55" s="5">
        <f t="shared" si="19"/>
        <v>42</v>
      </c>
      <c r="AR55" s="5">
        <f t="shared" si="19"/>
        <v>69</v>
      </c>
      <c r="AS55" s="5">
        <f t="shared" si="19"/>
        <v>40</v>
      </c>
      <c r="AT55" s="5">
        <f t="shared" si="19"/>
        <v>58</v>
      </c>
      <c r="AU55" s="5">
        <f t="shared" si="19"/>
        <v>47</v>
      </c>
      <c r="AV55" s="5">
        <f t="shared" si="19"/>
        <v>1</v>
      </c>
      <c r="AW55" s="5">
        <f t="shared" si="19"/>
        <v>5</v>
      </c>
      <c r="AX55" s="5">
        <f t="shared" si="19"/>
        <v>2</v>
      </c>
      <c r="AY55" s="5">
        <f t="shared" si="19"/>
        <v>7</v>
      </c>
      <c r="AZ55" s="5">
        <f t="shared" si="19"/>
        <v>13</v>
      </c>
      <c r="BA55" s="5">
        <f t="shared" si="19"/>
        <v>4</v>
      </c>
      <c r="BB55" s="5">
        <f t="shared" si="19"/>
        <v>2</v>
      </c>
      <c r="BC55" s="5">
        <f t="shared" si="19"/>
        <v>3</v>
      </c>
      <c r="BD55" s="5">
        <f t="shared" si="19"/>
        <v>11</v>
      </c>
      <c r="BE55" s="5">
        <f t="shared" si="19"/>
        <v>10</v>
      </c>
      <c r="BF55" s="5">
        <f t="shared" si="19"/>
        <v>4</v>
      </c>
      <c r="BG55" s="5">
        <f t="shared" si="19"/>
        <v>2</v>
      </c>
      <c r="BH55" s="5">
        <f t="shared" si="19"/>
        <v>1</v>
      </c>
      <c r="BI55" s="5">
        <f t="shared" ref="BI55" si="20">SUM(BI45:BI54)</f>
        <v>2</v>
      </c>
      <c r="BJ55" s="5">
        <f t="shared" si="19"/>
        <v>7</v>
      </c>
      <c r="BK55" s="5">
        <f t="shared" si="19"/>
        <v>4</v>
      </c>
      <c r="BL55" s="5">
        <f t="shared" si="19"/>
        <v>1131</v>
      </c>
    </row>
    <row r="56" spans="1:64" x14ac:dyDescent="0.4">
      <c r="A56" s="90"/>
      <c r="B56" s="89"/>
      <c r="C56" s="89"/>
      <c r="D56" s="89"/>
      <c r="E56" s="89"/>
      <c r="BL56" s="5"/>
    </row>
    <row r="57" spans="1:64" x14ac:dyDescent="0.4">
      <c r="A57" s="11" t="s">
        <v>48</v>
      </c>
      <c r="B57" s="17" t="s">
        <v>30</v>
      </c>
      <c r="C57" s="92" t="s">
        <v>52</v>
      </c>
      <c r="D57" s="66"/>
      <c r="E57" s="6"/>
      <c r="F57" s="6">
        <v>3</v>
      </c>
      <c r="G57" s="6">
        <v>3</v>
      </c>
      <c r="H57" s="6">
        <v>3</v>
      </c>
      <c r="I57" s="6">
        <v>6</v>
      </c>
      <c r="J57" s="6">
        <v>7</v>
      </c>
      <c r="K57" s="6">
        <v>4</v>
      </c>
      <c r="L57" s="6">
        <v>4</v>
      </c>
      <c r="M57" s="6">
        <v>2</v>
      </c>
      <c r="N57" s="6">
        <v>1</v>
      </c>
      <c r="O57" s="6">
        <v>5</v>
      </c>
      <c r="P57" s="6">
        <v>2</v>
      </c>
      <c r="Q57" s="6">
        <v>5</v>
      </c>
      <c r="R57" s="6">
        <v>1</v>
      </c>
      <c r="S57" s="6">
        <v>2</v>
      </c>
      <c r="T57" s="6">
        <v>2</v>
      </c>
      <c r="U57" s="6">
        <v>2</v>
      </c>
      <c r="V57" s="6">
        <v>5</v>
      </c>
      <c r="W57" s="6">
        <v>4</v>
      </c>
      <c r="X57" s="6">
        <v>1</v>
      </c>
      <c r="Y57" s="6"/>
      <c r="Z57" s="6"/>
      <c r="AA57" s="6">
        <v>1</v>
      </c>
      <c r="AB57" s="6">
        <v>2</v>
      </c>
      <c r="AC57" s="6"/>
      <c r="AD57" s="6">
        <v>4</v>
      </c>
      <c r="AE57" s="6">
        <v>2</v>
      </c>
      <c r="AF57" s="6">
        <v>3</v>
      </c>
      <c r="AG57" s="6">
        <v>7</v>
      </c>
      <c r="AH57" s="6">
        <v>2</v>
      </c>
      <c r="AI57" s="6">
        <v>2</v>
      </c>
      <c r="AJ57" s="6">
        <v>5</v>
      </c>
      <c r="AK57" s="6">
        <v>8</v>
      </c>
      <c r="AL57" s="6">
        <v>3</v>
      </c>
      <c r="AM57" s="6">
        <v>5</v>
      </c>
      <c r="AN57" s="6"/>
      <c r="AO57" s="6">
        <v>7</v>
      </c>
      <c r="AP57" s="6">
        <v>1</v>
      </c>
      <c r="AQ57" s="6">
        <v>4</v>
      </c>
      <c r="AR57" s="6">
        <v>9</v>
      </c>
      <c r="AS57" s="6">
        <v>7</v>
      </c>
      <c r="AT57" s="6">
        <v>4</v>
      </c>
      <c r="AU57" s="6">
        <v>6</v>
      </c>
      <c r="AV57" s="6">
        <v>1</v>
      </c>
      <c r="AW57" s="6">
        <v>5</v>
      </c>
      <c r="AX57" s="6"/>
      <c r="AY57" s="6">
        <v>2</v>
      </c>
      <c r="AZ57" s="6">
        <v>4</v>
      </c>
      <c r="BA57" s="6"/>
      <c r="BB57" s="6">
        <v>1</v>
      </c>
      <c r="BC57" s="6">
        <v>10</v>
      </c>
      <c r="BD57" s="6">
        <v>3</v>
      </c>
      <c r="BE57" s="6">
        <v>4</v>
      </c>
      <c r="BF57" s="6">
        <v>6</v>
      </c>
      <c r="BG57" s="6">
        <v>1</v>
      </c>
      <c r="BH57" s="6">
        <v>5</v>
      </c>
      <c r="BI57" s="6"/>
      <c r="BJ57" s="6">
        <v>4</v>
      </c>
      <c r="BK57" s="6">
        <v>2</v>
      </c>
      <c r="BL57" s="5">
        <f t="shared" ref="BL57:BL66" si="21">SUM(E57:BK57)</f>
        <v>192</v>
      </c>
    </row>
    <row r="58" spans="1:64" x14ac:dyDescent="0.4">
      <c r="A58" s="11" t="s">
        <v>50</v>
      </c>
      <c r="B58" s="50"/>
      <c r="C58" s="24" t="s">
        <v>154</v>
      </c>
      <c r="D58" s="51"/>
      <c r="E58" s="6">
        <v>2</v>
      </c>
      <c r="F58" s="6"/>
      <c r="G58" s="6"/>
      <c r="H58" s="6">
        <v>1</v>
      </c>
      <c r="I58" s="6">
        <v>5</v>
      </c>
      <c r="J58" s="6">
        <v>3</v>
      </c>
      <c r="K58" s="6">
        <v>5</v>
      </c>
      <c r="L58" s="6">
        <v>3</v>
      </c>
      <c r="M58" s="6">
        <v>4</v>
      </c>
      <c r="N58" s="6">
        <v>4</v>
      </c>
      <c r="O58" s="6"/>
      <c r="P58" s="6">
        <v>1</v>
      </c>
      <c r="Q58" s="6">
        <v>2</v>
      </c>
      <c r="R58" s="6"/>
      <c r="S58" s="6">
        <v>1</v>
      </c>
      <c r="T58" s="6"/>
      <c r="U58" s="6">
        <v>2</v>
      </c>
      <c r="V58" s="6"/>
      <c r="W58" s="6">
        <v>4</v>
      </c>
      <c r="X58" s="6">
        <v>5</v>
      </c>
      <c r="Y58" s="6">
        <v>2</v>
      </c>
      <c r="Z58" s="6">
        <v>3</v>
      </c>
      <c r="AA58" s="6">
        <v>1</v>
      </c>
      <c r="AB58" s="6">
        <v>1</v>
      </c>
      <c r="AC58" s="6">
        <v>3</v>
      </c>
      <c r="AD58" s="6">
        <v>1</v>
      </c>
      <c r="AE58" s="6">
        <v>1</v>
      </c>
      <c r="AF58" s="6">
        <v>2</v>
      </c>
      <c r="AG58" s="6">
        <v>2</v>
      </c>
      <c r="AH58" s="6">
        <v>1</v>
      </c>
      <c r="AI58" s="6"/>
      <c r="AJ58" s="6">
        <v>2</v>
      </c>
      <c r="AK58" s="6">
        <v>4</v>
      </c>
      <c r="AL58" s="6">
        <v>1</v>
      </c>
      <c r="AM58" s="6">
        <v>1</v>
      </c>
      <c r="AN58" s="6"/>
      <c r="AO58" s="6"/>
      <c r="AP58" s="6"/>
      <c r="AQ58" s="6">
        <v>1</v>
      </c>
      <c r="AR58" s="6">
        <v>5</v>
      </c>
      <c r="AS58" s="6">
        <v>2</v>
      </c>
      <c r="AT58" s="6">
        <v>1</v>
      </c>
      <c r="AU58" s="6">
        <v>3</v>
      </c>
      <c r="AV58" s="6"/>
      <c r="AW58" s="6"/>
      <c r="AX58" s="6">
        <v>2</v>
      </c>
      <c r="AY58" s="6"/>
      <c r="AZ58" s="6"/>
      <c r="BA58" s="6"/>
      <c r="BB58" s="6">
        <v>7</v>
      </c>
      <c r="BC58" s="6">
        <v>3</v>
      </c>
      <c r="BD58" s="6"/>
      <c r="BE58" s="6"/>
      <c r="BF58" s="6"/>
      <c r="BG58" s="6">
        <v>1</v>
      </c>
      <c r="BH58" s="6">
        <v>1</v>
      </c>
      <c r="BI58" s="6"/>
      <c r="BJ58" s="6">
        <v>1</v>
      </c>
      <c r="BK58" s="6">
        <v>2</v>
      </c>
      <c r="BL58" s="5">
        <f t="shared" si="21"/>
        <v>96</v>
      </c>
    </row>
    <row r="59" spans="1:64" x14ac:dyDescent="0.4">
      <c r="A59" s="7"/>
      <c r="B59" s="50"/>
      <c r="C59" s="24" t="s">
        <v>155</v>
      </c>
      <c r="D59" s="51"/>
      <c r="E59" s="6"/>
      <c r="F59" s="6">
        <v>3</v>
      </c>
      <c r="G59" s="6">
        <v>4</v>
      </c>
      <c r="H59" s="6">
        <v>3</v>
      </c>
      <c r="I59" s="6">
        <v>3</v>
      </c>
      <c r="J59" s="6">
        <v>2</v>
      </c>
      <c r="K59" s="6">
        <v>3</v>
      </c>
      <c r="L59" s="6">
        <v>1</v>
      </c>
      <c r="M59" s="6">
        <v>1</v>
      </c>
      <c r="N59" s="6">
        <v>2</v>
      </c>
      <c r="O59" s="6"/>
      <c r="P59" s="6">
        <v>4</v>
      </c>
      <c r="Q59" s="6">
        <v>3</v>
      </c>
      <c r="R59" s="6">
        <v>2</v>
      </c>
      <c r="S59" s="6">
        <v>2</v>
      </c>
      <c r="T59" s="6"/>
      <c r="U59" s="6">
        <v>1</v>
      </c>
      <c r="V59" s="6"/>
      <c r="W59" s="6">
        <v>2</v>
      </c>
      <c r="X59" s="6">
        <v>1</v>
      </c>
      <c r="Y59" s="6">
        <v>2</v>
      </c>
      <c r="Z59" s="6"/>
      <c r="AA59" s="6">
        <v>1</v>
      </c>
      <c r="AB59" s="6"/>
      <c r="AC59" s="6"/>
      <c r="AD59" s="6"/>
      <c r="AE59" s="6">
        <v>2</v>
      </c>
      <c r="AF59" s="6">
        <v>4</v>
      </c>
      <c r="AG59" s="6">
        <v>5</v>
      </c>
      <c r="AH59" s="6">
        <v>1</v>
      </c>
      <c r="AI59" s="6"/>
      <c r="AJ59" s="6">
        <v>1</v>
      </c>
      <c r="AK59" s="6">
        <v>3</v>
      </c>
      <c r="AL59" s="6">
        <v>3</v>
      </c>
      <c r="AM59" s="6">
        <v>1</v>
      </c>
      <c r="AN59" s="6"/>
      <c r="AO59" s="6">
        <v>6</v>
      </c>
      <c r="AP59" s="6">
        <v>3</v>
      </c>
      <c r="AQ59" s="6">
        <v>1</v>
      </c>
      <c r="AR59" s="6">
        <v>1</v>
      </c>
      <c r="AS59" s="6">
        <v>2</v>
      </c>
      <c r="AT59" s="6"/>
      <c r="AU59" s="6">
        <v>2</v>
      </c>
      <c r="AV59" s="6">
        <v>2</v>
      </c>
      <c r="AW59" s="6">
        <v>1</v>
      </c>
      <c r="AX59" s="6"/>
      <c r="AY59" s="6">
        <v>1</v>
      </c>
      <c r="AZ59" s="6"/>
      <c r="BA59" s="6"/>
      <c r="BB59" s="6">
        <v>3</v>
      </c>
      <c r="BC59" s="6">
        <v>3</v>
      </c>
      <c r="BD59" s="6"/>
      <c r="BE59" s="6"/>
      <c r="BF59" s="6"/>
      <c r="BG59" s="6"/>
      <c r="BH59" s="6">
        <v>1</v>
      </c>
      <c r="BI59" s="6">
        <v>1</v>
      </c>
      <c r="BJ59" s="6">
        <v>2</v>
      </c>
      <c r="BK59" s="6">
        <v>1</v>
      </c>
      <c r="BL59" s="5">
        <f t="shared" si="21"/>
        <v>90</v>
      </c>
    </row>
    <row r="60" spans="1:64" x14ac:dyDescent="0.4">
      <c r="A60" s="7"/>
      <c r="B60" s="50"/>
      <c r="C60" s="24" t="s">
        <v>156</v>
      </c>
      <c r="D60" s="5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1</v>
      </c>
      <c r="Q60" s="6">
        <v>1</v>
      </c>
      <c r="R60" s="6">
        <v>2</v>
      </c>
      <c r="S60" s="6"/>
      <c r="T60" s="6"/>
      <c r="U60" s="6"/>
      <c r="V60" s="6"/>
      <c r="W60" s="6">
        <v>1</v>
      </c>
      <c r="X60" s="6"/>
      <c r="Y60" s="6"/>
      <c r="Z60" s="6"/>
      <c r="AA60" s="6">
        <v>1</v>
      </c>
      <c r="AB60" s="6"/>
      <c r="AC60" s="6"/>
      <c r="AD60" s="6"/>
      <c r="AE60" s="6"/>
      <c r="AF60" s="6"/>
      <c r="AG60" s="6">
        <v>2</v>
      </c>
      <c r="AH60" s="6">
        <v>1</v>
      </c>
      <c r="AI60" s="6"/>
      <c r="AJ60" s="6">
        <v>1</v>
      </c>
      <c r="AK60" s="6">
        <v>1</v>
      </c>
      <c r="AL60" s="6"/>
      <c r="AM60" s="6"/>
      <c r="AN60" s="6"/>
      <c r="AO60" s="6"/>
      <c r="AP60" s="6">
        <v>1</v>
      </c>
      <c r="AQ60" s="6">
        <v>2</v>
      </c>
      <c r="AR60" s="6">
        <v>2</v>
      </c>
      <c r="AS60" s="6"/>
      <c r="AT60" s="6">
        <v>1</v>
      </c>
      <c r="AU60" s="6">
        <v>3</v>
      </c>
      <c r="AV60" s="6"/>
      <c r="AW60" s="6"/>
      <c r="AX60" s="6"/>
      <c r="AY60" s="6"/>
      <c r="AZ60" s="6">
        <v>1</v>
      </c>
      <c r="BA60" s="6"/>
      <c r="BB60" s="6">
        <v>1</v>
      </c>
      <c r="BC60" s="6">
        <v>1</v>
      </c>
      <c r="BD60" s="6"/>
      <c r="BE60" s="6"/>
      <c r="BF60" s="6"/>
      <c r="BG60" s="6"/>
      <c r="BH60" s="6"/>
      <c r="BI60" s="6"/>
      <c r="BJ60" s="6"/>
      <c r="BK60" s="6">
        <v>2</v>
      </c>
      <c r="BL60" s="5">
        <f t="shared" si="21"/>
        <v>25</v>
      </c>
    </row>
    <row r="61" spans="1:64" x14ac:dyDescent="0.4">
      <c r="A61" s="7"/>
      <c r="B61" s="50"/>
      <c r="C61" s="24" t="s">
        <v>157</v>
      </c>
      <c r="D61" s="51"/>
      <c r="E61" s="6"/>
      <c r="F61" s="6"/>
      <c r="G61" s="6">
        <v>1</v>
      </c>
      <c r="H61" s="6">
        <v>3</v>
      </c>
      <c r="I61" s="6">
        <v>10</v>
      </c>
      <c r="J61" s="6">
        <v>3</v>
      </c>
      <c r="K61" s="6">
        <v>1</v>
      </c>
      <c r="L61" s="6"/>
      <c r="M61" s="6"/>
      <c r="N61" s="6">
        <v>2</v>
      </c>
      <c r="O61" s="6"/>
      <c r="P61" s="6">
        <v>1</v>
      </c>
      <c r="Q61" s="6">
        <v>65</v>
      </c>
      <c r="R61" s="6">
        <v>10</v>
      </c>
      <c r="S61" s="6">
        <v>12</v>
      </c>
      <c r="T61" s="6"/>
      <c r="U61" s="6">
        <v>2</v>
      </c>
      <c r="V61" s="6"/>
      <c r="W61" s="6">
        <v>3</v>
      </c>
      <c r="X61" s="6">
        <v>1</v>
      </c>
      <c r="Y61" s="6"/>
      <c r="Z61" s="6">
        <v>1</v>
      </c>
      <c r="AA61" s="6"/>
      <c r="AB61" s="6"/>
      <c r="AC61" s="6"/>
      <c r="AD61" s="6"/>
      <c r="AE61" s="6">
        <v>2</v>
      </c>
      <c r="AF61" s="6"/>
      <c r="AG61" s="6"/>
      <c r="AH61" s="6"/>
      <c r="AI61" s="6"/>
      <c r="AJ61" s="6"/>
      <c r="AK61" s="6">
        <v>2</v>
      </c>
      <c r="AL61" s="6"/>
      <c r="AM61" s="6"/>
      <c r="AN61" s="6"/>
      <c r="AO61" s="6"/>
      <c r="AP61" s="6"/>
      <c r="AQ61" s="6">
        <v>1</v>
      </c>
      <c r="AR61" s="6">
        <v>2</v>
      </c>
      <c r="AS61" s="6"/>
      <c r="AT61" s="6">
        <v>1</v>
      </c>
      <c r="AU61" s="6">
        <v>1</v>
      </c>
      <c r="AV61" s="6">
        <v>1</v>
      </c>
      <c r="AW61" s="6"/>
      <c r="AX61" s="6"/>
      <c r="AY61" s="6">
        <v>1</v>
      </c>
      <c r="AZ61" s="6"/>
      <c r="BA61" s="6">
        <v>1</v>
      </c>
      <c r="BB61" s="6">
        <v>14</v>
      </c>
      <c r="BC61" s="6">
        <v>27</v>
      </c>
      <c r="BD61" s="6">
        <v>29</v>
      </c>
      <c r="BE61" s="6">
        <v>12</v>
      </c>
      <c r="BF61" s="6">
        <v>33</v>
      </c>
      <c r="BG61" s="6">
        <v>1</v>
      </c>
      <c r="BH61" s="6">
        <v>2</v>
      </c>
      <c r="BI61" s="6">
        <v>1</v>
      </c>
      <c r="BJ61" s="6"/>
      <c r="BK61" s="6">
        <v>4</v>
      </c>
      <c r="BL61" s="5">
        <f t="shared" si="21"/>
        <v>250</v>
      </c>
    </row>
    <row r="62" spans="1:64" x14ac:dyDescent="0.4">
      <c r="A62" s="7"/>
      <c r="B62" s="50"/>
      <c r="C62" s="24" t="s">
        <v>158</v>
      </c>
      <c r="D62" s="51"/>
      <c r="E62" s="6">
        <v>1</v>
      </c>
      <c r="F62" s="6"/>
      <c r="G62" s="6"/>
      <c r="H62" s="6"/>
      <c r="I62" s="6"/>
      <c r="J62" s="6"/>
      <c r="K62" s="6"/>
      <c r="L62" s="6"/>
      <c r="M62" s="6"/>
      <c r="N62" s="6">
        <v>1</v>
      </c>
      <c r="O62" s="6">
        <v>2</v>
      </c>
      <c r="P62" s="6">
        <v>1</v>
      </c>
      <c r="Q62" s="6">
        <v>4</v>
      </c>
      <c r="R62" s="6"/>
      <c r="S62" s="6"/>
      <c r="T62" s="6"/>
      <c r="U62" s="6"/>
      <c r="V62" s="6"/>
      <c r="W62" s="6">
        <v>2</v>
      </c>
      <c r="X62" s="6"/>
      <c r="Y62" s="6"/>
      <c r="Z62" s="6"/>
      <c r="AA62" s="6"/>
      <c r="AB62" s="6"/>
      <c r="AC62" s="6"/>
      <c r="AD62" s="6"/>
      <c r="AE62" s="6">
        <v>1</v>
      </c>
      <c r="AF62" s="6"/>
      <c r="AG62" s="6"/>
      <c r="AH62" s="6">
        <v>1</v>
      </c>
      <c r="AI62" s="6"/>
      <c r="AJ62" s="6"/>
      <c r="AK62" s="6">
        <v>37</v>
      </c>
      <c r="AL62" s="6"/>
      <c r="AM62" s="6"/>
      <c r="AN62" s="6"/>
      <c r="AO62" s="6">
        <v>2</v>
      </c>
      <c r="AP62" s="6"/>
      <c r="AQ62" s="6"/>
      <c r="AR62" s="6"/>
      <c r="AS62" s="6"/>
      <c r="AT62" s="6"/>
      <c r="AU62" s="6"/>
      <c r="AV62" s="6"/>
      <c r="AW62" s="6">
        <v>20</v>
      </c>
      <c r="AX62" s="6"/>
      <c r="AY62" s="6"/>
      <c r="AZ62" s="6">
        <v>1</v>
      </c>
      <c r="BA62" s="6">
        <v>1</v>
      </c>
      <c r="BB62" s="6">
        <v>1</v>
      </c>
      <c r="BC62" s="6">
        <v>1</v>
      </c>
      <c r="BD62" s="6"/>
      <c r="BE62" s="6"/>
      <c r="BF62" s="6"/>
      <c r="BG62" s="6"/>
      <c r="BH62" s="6"/>
      <c r="BI62" s="6"/>
      <c r="BJ62" s="6">
        <v>5</v>
      </c>
      <c r="BK62" s="6"/>
      <c r="BL62" s="5">
        <f t="shared" si="21"/>
        <v>81</v>
      </c>
    </row>
    <row r="63" spans="1:64" ht="13.15" customHeight="1" x14ac:dyDescent="0.4">
      <c r="A63" s="7"/>
      <c r="B63" s="50"/>
      <c r="C63" s="24" t="s">
        <v>159</v>
      </c>
      <c r="D63" s="51"/>
      <c r="E63" s="6"/>
      <c r="F63" s="6"/>
      <c r="G63" s="6"/>
      <c r="H63" s="6"/>
      <c r="I63" s="6"/>
      <c r="J63" s="6"/>
      <c r="K63" s="6"/>
      <c r="L63" s="6">
        <v>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5">
        <f t="shared" si="21"/>
        <v>1</v>
      </c>
    </row>
    <row r="64" spans="1:64" x14ac:dyDescent="0.4">
      <c r="A64" s="7"/>
      <c r="B64" s="50"/>
      <c r="C64" s="24" t="s">
        <v>160</v>
      </c>
      <c r="D64" s="51"/>
      <c r="E64" s="6"/>
      <c r="F64" s="6">
        <v>1</v>
      </c>
      <c r="G64" s="6"/>
      <c r="H64" s="6">
        <v>1</v>
      </c>
      <c r="I64" s="6"/>
      <c r="J64" s="6"/>
      <c r="K64" s="6"/>
      <c r="L64" s="6">
        <v>3</v>
      </c>
      <c r="M64" s="6"/>
      <c r="N64" s="6"/>
      <c r="O64" s="6"/>
      <c r="P64" s="6"/>
      <c r="Q64" s="6">
        <v>3</v>
      </c>
      <c r="R64" s="6">
        <v>17</v>
      </c>
      <c r="S64" s="6">
        <v>5</v>
      </c>
      <c r="T64" s="6">
        <v>2</v>
      </c>
      <c r="U64" s="6"/>
      <c r="V64" s="6"/>
      <c r="W64" s="6">
        <v>3</v>
      </c>
      <c r="X64" s="6"/>
      <c r="Y64" s="6">
        <v>3</v>
      </c>
      <c r="Z64" s="6"/>
      <c r="AA64" s="6"/>
      <c r="AB64" s="6"/>
      <c r="AC64" s="6"/>
      <c r="AD64" s="6">
        <v>14</v>
      </c>
      <c r="AE64" s="6"/>
      <c r="AF64" s="6"/>
      <c r="AG64" s="6">
        <v>1</v>
      </c>
      <c r="AH64" s="6"/>
      <c r="AI64" s="6">
        <v>1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2</v>
      </c>
      <c r="BG64" s="6">
        <v>1</v>
      </c>
      <c r="BH64" s="6"/>
      <c r="BI64" s="6"/>
      <c r="BJ64" s="6"/>
      <c r="BK64" s="6">
        <v>4</v>
      </c>
      <c r="BL64" s="5">
        <f t="shared" si="21"/>
        <v>61</v>
      </c>
    </row>
    <row r="65" spans="1:64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5">
        <f t="shared" si="21"/>
        <v>0</v>
      </c>
    </row>
    <row r="66" spans="1:64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5">
        <f t="shared" si="21"/>
        <v>0</v>
      </c>
    </row>
    <row r="67" spans="1:64" x14ac:dyDescent="0.4">
      <c r="A67" s="6" t="s">
        <v>26</v>
      </c>
      <c r="B67" s="85" t="s">
        <v>51</v>
      </c>
      <c r="C67" s="65"/>
      <c r="D67" s="66"/>
      <c r="E67" s="5">
        <f t="shared" ref="E67:BL67" si="22">SUM(E57:E66)</f>
        <v>3</v>
      </c>
      <c r="F67" s="5">
        <f t="shared" si="22"/>
        <v>7</v>
      </c>
      <c r="G67" s="5">
        <f t="shared" si="22"/>
        <v>8</v>
      </c>
      <c r="H67" s="5">
        <f t="shared" si="22"/>
        <v>11</v>
      </c>
      <c r="I67" s="5">
        <f t="shared" si="22"/>
        <v>24</v>
      </c>
      <c r="J67" s="5">
        <f t="shared" si="22"/>
        <v>15</v>
      </c>
      <c r="K67" s="5">
        <f t="shared" si="22"/>
        <v>13</v>
      </c>
      <c r="L67" s="5">
        <f t="shared" si="22"/>
        <v>12</v>
      </c>
      <c r="M67" s="5">
        <f t="shared" si="22"/>
        <v>7</v>
      </c>
      <c r="N67" s="5">
        <f t="shared" si="22"/>
        <v>10</v>
      </c>
      <c r="O67" s="5">
        <f t="shared" si="22"/>
        <v>7</v>
      </c>
      <c r="P67" s="5">
        <f t="shared" si="22"/>
        <v>10</v>
      </c>
      <c r="Q67" s="5">
        <f t="shared" si="22"/>
        <v>83</v>
      </c>
      <c r="R67" s="5">
        <f t="shared" si="22"/>
        <v>32</v>
      </c>
      <c r="S67" s="5">
        <f t="shared" si="22"/>
        <v>22</v>
      </c>
      <c r="T67" s="5">
        <f t="shared" si="22"/>
        <v>4</v>
      </c>
      <c r="U67" s="5">
        <f t="shared" si="22"/>
        <v>7</v>
      </c>
      <c r="V67" s="5">
        <f t="shared" si="22"/>
        <v>5</v>
      </c>
      <c r="W67" s="5">
        <f t="shared" si="22"/>
        <v>19</v>
      </c>
      <c r="X67" s="5">
        <f t="shared" si="22"/>
        <v>8</v>
      </c>
      <c r="Y67" s="5">
        <f t="shared" si="22"/>
        <v>7</v>
      </c>
      <c r="Z67" s="5">
        <f t="shared" si="22"/>
        <v>4</v>
      </c>
      <c r="AA67" s="5">
        <f t="shared" si="22"/>
        <v>4</v>
      </c>
      <c r="AB67" s="5">
        <f t="shared" si="22"/>
        <v>3</v>
      </c>
      <c r="AC67" s="5">
        <f t="shared" si="22"/>
        <v>3</v>
      </c>
      <c r="AD67" s="5">
        <f t="shared" si="22"/>
        <v>19</v>
      </c>
      <c r="AE67" s="5">
        <f t="shared" si="22"/>
        <v>8</v>
      </c>
      <c r="AF67" s="5">
        <f t="shared" si="22"/>
        <v>9</v>
      </c>
      <c r="AG67" s="5">
        <f t="shared" si="22"/>
        <v>17</v>
      </c>
      <c r="AH67" s="5">
        <f t="shared" si="22"/>
        <v>6</v>
      </c>
      <c r="AI67" s="5">
        <f t="shared" si="22"/>
        <v>3</v>
      </c>
      <c r="AJ67" s="5">
        <f t="shared" si="22"/>
        <v>9</v>
      </c>
      <c r="AK67" s="5">
        <f t="shared" si="22"/>
        <v>55</v>
      </c>
      <c r="AL67" s="5">
        <f t="shared" si="22"/>
        <v>7</v>
      </c>
      <c r="AM67" s="5">
        <f t="shared" si="22"/>
        <v>7</v>
      </c>
      <c r="AN67" s="5">
        <f t="shared" si="22"/>
        <v>0</v>
      </c>
      <c r="AO67" s="5">
        <f t="shared" si="22"/>
        <v>15</v>
      </c>
      <c r="AP67" s="5">
        <f t="shared" si="22"/>
        <v>5</v>
      </c>
      <c r="AQ67" s="5">
        <f t="shared" si="22"/>
        <v>9</v>
      </c>
      <c r="AR67" s="5">
        <f t="shared" si="22"/>
        <v>19</v>
      </c>
      <c r="AS67" s="5">
        <f t="shared" si="22"/>
        <v>11</v>
      </c>
      <c r="AT67" s="5">
        <f t="shared" si="22"/>
        <v>7</v>
      </c>
      <c r="AU67" s="5">
        <f t="shared" si="22"/>
        <v>15</v>
      </c>
      <c r="AV67" s="5">
        <f t="shared" si="22"/>
        <v>4</v>
      </c>
      <c r="AW67" s="5">
        <f t="shared" si="22"/>
        <v>26</v>
      </c>
      <c r="AX67" s="5">
        <f t="shared" si="22"/>
        <v>2</v>
      </c>
      <c r="AY67" s="5">
        <f t="shared" si="22"/>
        <v>4</v>
      </c>
      <c r="AZ67" s="5">
        <f t="shared" si="22"/>
        <v>6</v>
      </c>
      <c r="BA67" s="5">
        <f t="shared" si="22"/>
        <v>2</v>
      </c>
      <c r="BB67" s="5">
        <f t="shared" si="22"/>
        <v>27</v>
      </c>
      <c r="BC67" s="5">
        <f t="shared" si="22"/>
        <v>45</v>
      </c>
      <c r="BD67" s="5">
        <f t="shared" si="22"/>
        <v>32</v>
      </c>
      <c r="BE67" s="5">
        <f t="shared" si="22"/>
        <v>16</v>
      </c>
      <c r="BF67" s="5">
        <f t="shared" si="22"/>
        <v>41</v>
      </c>
      <c r="BG67" s="5">
        <f t="shared" si="22"/>
        <v>4</v>
      </c>
      <c r="BH67" s="5">
        <f t="shared" si="22"/>
        <v>9</v>
      </c>
      <c r="BI67" s="5">
        <f t="shared" ref="BI67" si="23">SUM(BI57:BI66)</f>
        <v>2</v>
      </c>
      <c r="BJ67" s="5">
        <f t="shared" si="22"/>
        <v>12</v>
      </c>
      <c r="BK67" s="5">
        <f t="shared" si="22"/>
        <v>15</v>
      </c>
      <c r="BL67" s="5">
        <f t="shared" si="22"/>
        <v>796</v>
      </c>
    </row>
    <row r="68" spans="1:64" x14ac:dyDescent="0.4">
      <c r="A68" s="90"/>
      <c r="B68" s="89"/>
      <c r="C68" s="89"/>
      <c r="D68" s="89"/>
      <c r="E68" s="89"/>
    </row>
    <row r="69" spans="1:64" x14ac:dyDescent="0.4">
      <c r="A69" s="11" t="s">
        <v>48</v>
      </c>
      <c r="B69" s="17" t="s">
        <v>32</v>
      </c>
      <c r="C69" s="92" t="s">
        <v>53</v>
      </c>
      <c r="D69" s="66"/>
      <c r="E69" s="6">
        <v>8</v>
      </c>
      <c r="F69" s="6">
        <v>8</v>
      </c>
      <c r="G69" s="6">
        <v>6</v>
      </c>
      <c r="H69" s="6">
        <v>5</v>
      </c>
      <c r="I69" s="6">
        <v>6</v>
      </c>
      <c r="J69" s="6">
        <v>8</v>
      </c>
      <c r="K69" s="6">
        <v>6</v>
      </c>
      <c r="L69" s="6">
        <v>5</v>
      </c>
      <c r="M69" s="6">
        <v>1</v>
      </c>
      <c r="N69" s="6">
        <v>1</v>
      </c>
      <c r="O69" s="6">
        <v>6</v>
      </c>
      <c r="P69" s="6">
        <v>3</v>
      </c>
      <c r="Q69" s="6">
        <v>1</v>
      </c>
      <c r="R69" s="6">
        <v>4</v>
      </c>
      <c r="S69" s="6">
        <v>2</v>
      </c>
      <c r="T69" s="6">
        <v>2</v>
      </c>
      <c r="U69" s="6">
        <v>6</v>
      </c>
      <c r="V69" s="6">
        <v>2</v>
      </c>
      <c r="W69" s="6">
        <v>2</v>
      </c>
      <c r="X69" s="6">
        <v>1</v>
      </c>
      <c r="Y69" s="6">
        <v>2</v>
      </c>
      <c r="Z69" s="6">
        <v>5</v>
      </c>
      <c r="AA69" s="6">
        <v>2</v>
      </c>
      <c r="AB69" s="6">
        <v>1</v>
      </c>
      <c r="AC69" s="6">
        <v>1</v>
      </c>
      <c r="AD69" s="6">
        <v>1</v>
      </c>
      <c r="AE69" s="6">
        <v>5</v>
      </c>
      <c r="AF69" s="6">
        <v>5</v>
      </c>
      <c r="AG69" s="6">
        <v>2</v>
      </c>
      <c r="AH69" s="6">
        <v>7</v>
      </c>
      <c r="AI69" s="6">
        <v>1</v>
      </c>
      <c r="AJ69" s="6">
        <v>3</v>
      </c>
      <c r="AK69" s="6">
        <v>6</v>
      </c>
      <c r="AL69" s="6">
        <v>4</v>
      </c>
      <c r="AM69" s="6">
        <v>14</v>
      </c>
      <c r="AN69" s="6">
        <v>9</v>
      </c>
      <c r="AO69" s="6">
        <v>12</v>
      </c>
      <c r="AP69" s="6">
        <v>7</v>
      </c>
      <c r="AQ69" s="6">
        <v>2</v>
      </c>
      <c r="AR69" s="6">
        <v>4</v>
      </c>
      <c r="AS69" s="6">
        <v>6</v>
      </c>
      <c r="AT69" s="6">
        <v>4</v>
      </c>
      <c r="AU69" s="6">
        <v>5</v>
      </c>
      <c r="AV69" s="6"/>
      <c r="AW69" s="6">
        <v>1</v>
      </c>
      <c r="AX69" s="6"/>
      <c r="AY69" s="6">
        <v>4</v>
      </c>
      <c r="AZ69" s="6">
        <v>5</v>
      </c>
      <c r="BA69" s="6"/>
      <c r="BB69" s="6">
        <v>6</v>
      </c>
      <c r="BC69" s="6">
        <v>2</v>
      </c>
      <c r="BD69" s="6"/>
      <c r="BE69" s="6">
        <v>2</v>
      </c>
      <c r="BF69" s="6">
        <v>3</v>
      </c>
      <c r="BG69" s="6"/>
      <c r="BH69" s="6">
        <v>1</v>
      </c>
      <c r="BI69" s="6"/>
      <c r="BJ69" s="6"/>
      <c r="BK69" s="6">
        <v>3</v>
      </c>
      <c r="BL69" s="5">
        <f t="shared" ref="BL69:BL78" si="24">SUM(E69:BK69)</f>
        <v>218</v>
      </c>
    </row>
    <row r="70" spans="1:64" x14ac:dyDescent="0.4">
      <c r="A70" s="11" t="s">
        <v>50</v>
      </c>
      <c r="B70" s="50"/>
      <c r="C70" s="24" t="s">
        <v>161</v>
      </c>
      <c r="D70" s="51"/>
      <c r="E70" s="6">
        <v>120</v>
      </c>
      <c r="F70" s="6">
        <v>21</v>
      </c>
      <c r="G70" s="6">
        <v>18</v>
      </c>
      <c r="H70" s="6">
        <v>11</v>
      </c>
      <c r="I70" s="6">
        <v>20</v>
      </c>
      <c r="J70" s="6">
        <v>28</v>
      </c>
      <c r="K70" s="6">
        <v>31</v>
      </c>
      <c r="L70" s="6">
        <v>20</v>
      </c>
      <c r="M70" s="6">
        <v>41</v>
      </c>
      <c r="N70" s="6">
        <v>3</v>
      </c>
      <c r="O70" s="6">
        <v>8</v>
      </c>
      <c r="P70" s="6">
        <v>17</v>
      </c>
      <c r="Q70" s="6">
        <v>10</v>
      </c>
      <c r="R70" s="6">
        <v>31</v>
      </c>
      <c r="S70" s="6">
        <v>22</v>
      </c>
      <c r="T70" s="6"/>
      <c r="U70" s="6">
        <v>4</v>
      </c>
      <c r="V70" s="6"/>
      <c r="W70" s="6">
        <v>9</v>
      </c>
      <c r="X70" s="6"/>
      <c r="Y70" s="6"/>
      <c r="Z70" s="6">
        <v>15</v>
      </c>
      <c r="AA70" s="6">
        <v>8</v>
      </c>
      <c r="AB70" s="6"/>
      <c r="AC70" s="6">
        <v>2</v>
      </c>
      <c r="AD70" s="6">
        <v>21</v>
      </c>
      <c r="AE70" s="6">
        <v>42</v>
      </c>
      <c r="AF70" s="6">
        <v>26</v>
      </c>
      <c r="AG70" s="6">
        <v>17</v>
      </c>
      <c r="AH70" s="6">
        <v>13</v>
      </c>
      <c r="AI70" s="6">
        <v>2</v>
      </c>
      <c r="AJ70" s="6">
        <v>11</v>
      </c>
      <c r="AK70" s="6">
        <v>17</v>
      </c>
      <c r="AL70" s="6">
        <v>9</v>
      </c>
      <c r="AM70" s="6">
        <v>19</v>
      </c>
      <c r="AN70" s="6">
        <v>5</v>
      </c>
      <c r="AO70" s="6">
        <v>3</v>
      </c>
      <c r="AP70" s="6">
        <v>49</v>
      </c>
      <c r="AQ70" s="6">
        <v>1</v>
      </c>
      <c r="AR70" s="6">
        <v>33</v>
      </c>
      <c r="AS70" s="6">
        <v>31</v>
      </c>
      <c r="AT70" s="6">
        <v>29</v>
      </c>
      <c r="AU70" s="6">
        <v>14</v>
      </c>
      <c r="AV70" s="6">
        <v>1</v>
      </c>
      <c r="AW70" s="6">
        <v>8</v>
      </c>
      <c r="AX70" s="6">
        <v>6</v>
      </c>
      <c r="AY70" s="6">
        <v>23</v>
      </c>
      <c r="AZ70" s="6">
        <v>40</v>
      </c>
      <c r="BA70" s="6">
        <v>10</v>
      </c>
      <c r="BB70" s="6">
        <v>26</v>
      </c>
      <c r="BC70" s="6">
        <v>12</v>
      </c>
      <c r="BD70" s="6">
        <v>1</v>
      </c>
      <c r="BE70" s="6">
        <v>1</v>
      </c>
      <c r="BF70" s="6">
        <v>5</v>
      </c>
      <c r="BG70" s="6">
        <v>1</v>
      </c>
      <c r="BH70" s="6">
        <v>1</v>
      </c>
      <c r="BI70" s="6"/>
      <c r="BJ70" s="6">
        <v>15</v>
      </c>
      <c r="BK70" s="6">
        <v>11</v>
      </c>
      <c r="BL70" s="5">
        <f t="shared" si="24"/>
        <v>942</v>
      </c>
    </row>
    <row r="71" spans="1:64" x14ac:dyDescent="0.4">
      <c r="A71" s="7"/>
      <c r="B71" s="50"/>
      <c r="C71" s="24" t="s">
        <v>162</v>
      </c>
      <c r="D71" s="51"/>
      <c r="E71" s="6"/>
      <c r="F71" s="6"/>
      <c r="G71" s="6">
        <v>1</v>
      </c>
      <c r="H71" s="6">
        <v>1</v>
      </c>
      <c r="I71" s="6">
        <v>1</v>
      </c>
      <c r="J71" s="6">
        <v>11</v>
      </c>
      <c r="K71" s="6">
        <v>1</v>
      </c>
      <c r="L71" s="6"/>
      <c r="M71" s="6"/>
      <c r="N71" s="6"/>
      <c r="O71" s="6">
        <v>2</v>
      </c>
      <c r="P71" s="6">
        <v>1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2</v>
      </c>
      <c r="AT71" s="6"/>
      <c r="AU71" s="6"/>
      <c r="AV71" s="6"/>
      <c r="AW71" s="6"/>
      <c r="AX71" s="6"/>
      <c r="AY71" s="6"/>
      <c r="AZ71" s="6">
        <v>1</v>
      </c>
      <c r="BA71" s="6"/>
      <c r="BB71" s="6">
        <v>1</v>
      </c>
      <c r="BC71" s="6">
        <v>2</v>
      </c>
      <c r="BD71" s="6"/>
      <c r="BE71" s="6"/>
      <c r="BF71" s="6"/>
      <c r="BG71" s="6"/>
      <c r="BH71" s="6"/>
      <c r="BI71" s="6"/>
      <c r="BJ71" s="6"/>
      <c r="BK71" s="6"/>
      <c r="BL71" s="5">
        <f t="shared" si="24"/>
        <v>24</v>
      </c>
    </row>
    <row r="72" spans="1:64" x14ac:dyDescent="0.4">
      <c r="A72" s="7"/>
      <c r="B72" s="50"/>
      <c r="C72" s="24" t="s">
        <v>163</v>
      </c>
      <c r="D72" s="51"/>
      <c r="E72" s="6"/>
      <c r="F72" s="6"/>
      <c r="G72" s="6">
        <v>1</v>
      </c>
      <c r="H72" s="6"/>
      <c r="I72" s="6">
        <v>1</v>
      </c>
      <c r="J72" s="6">
        <v>2</v>
      </c>
      <c r="K72" s="6"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1</v>
      </c>
      <c r="X72" s="6"/>
      <c r="Y72" s="6"/>
      <c r="Z72" s="6">
        <v>1</v>
      </c>
      <c r="AA72" s="6"/>
      <c r="AB72" s="6"/>
      <c r="AC72" s="6"/>
      <c r="AD72" s="6"/>
      <c r="AE72" s="6"/>
      <c r="AF72" s="6">
        <v>1</v>
      </c>
      <c r="AG72" s="6"/>
      <c r="AH72" s="6"/>
      <c r="AI72" s="6"/>
      <c r="AJ72" s="6">
        <v>1</v>
      </c>
      <c r="AK72" s="6">
        <v>1</v>
      </c>
      <c r="AL72" s="6">
        <v>1</v>
      </c>
      <c r="AM72" s="6">
        <v>1</v>
      </c>
      <c r="AN72" s="6"/>
      <c r="AO72" s="6">
        <v>1</v>
      </c>
      <c r="AP72" s="6"/>
      <c r="AQ72" s="6"/>
      <c r="AR72" s="6"/>
      <c r="AS72" s="6"/>
      <c r="AT72" s="6">
        <v>1</v>
      </c>
      <c r="AU72" s="6"/>
      <c r="AV72" s="6"/>
      <c r="AW72" s="6"/>
      <c r="AX72" s="6"/>
      <c r="AY72" s="6"/>
      <c r="AZ72" s="6"/>
      <c r="BA72" s="6"/>
      <c r="BB72" s="6"/>
      <c r="BC72" s="6">
        <v>2</v>
      </c>
      <c r="BD72" s="6"/>
      <c r="BE72" s="6"/>
      <c r="BF72" s="6">
        <v>1</v>
      </c>
      <c r="BG72" s="6"/>
      <c r="BH72" s="6"/>
      <c r="BI72" s="6"/>
      <c r="BJ72" s="6">
        <v>1</v>
      </c>
      <c r="BK72" s="6"/>
      <c r="BL72" s="5">
        <f t="shared" si="24"/>
        <v>18</v>
      </c>
    </row>
    <row r="73" spans="1:64" x14ac:dyDescent="0.4">
      <c r="A73" s="7"/>
      <c r="B73" s="50"/>
      <c r="C73" s="24" t="s">
        <v>164</v>
      </c>
      <c r="D73" s="51"/>
      <c r="E73" s="6"/>
      <c r="F73" s="6">
        <v>4</v>
      </c>
      <c r="G73" s="6"/>
      <c r="H73" s="6">
        <v>1</v>
      </c>
      <c r="I73" s="6">
        <v>20</v>
      </c>
      <c r="J73" s="6">
        <v>3</v>
      </c>
      <c r="K73" s="6">
        <v>3</v>
      </c>
      <c r="L73" s="6">
        <v>1</v>
      </c>
      <c r="M73" s="6"/>
      <c r="N73" s="6">
        <v>4</v>
      </c>
      <c r="O73" s="6">
        <v>6</v>
      </c>
      <c r="P73" s="6">
        <v>17</v>
      </c>
      <c r="Q73" s="6">
        <v>1</v>
      </c>
      <c r="R73" s="6"/>
      <c r="S73" s="6">
        <v>2</v>
      </c>
      <c r="T73" s="6">
        <v>1</v>
      </c>
      <c r="U73" s="6">
        <v>30</v>
      </c>
      <c r="V73" s="6">
        <v>10</v>
      </c>
      <c r="W73" s="6">
        <v>9</v>
      </c>
      <c r="X73" s="6">
        <v>8</v>
      </c>
      <c r="Y73" s="6">
        <v>42</v>
      </c>
      <c r="Z73" s="6">
        <v>13</v>
      </c>
      <c r="AA73" s="6">
        <v>8</v>
      </c>
      <c r="AB73" s="6">
        <v>1</v>
      </c>
      <c r="AC73" s="6"/>
      <c r="AD73" s="6">
        <v>9</v>
      </c>
      <c r="AE73" s="6">
        <v>6</v>
      </c>
      <c r="AF73" s="6">
        <v>2</v>
      </c>
      <c r="AG73" s="6">
        <v>7</v>
      </c>
      <c r="AH73" s="6"/>
      <c r="AI73" s="6"/>
      <c r="AJ73" s="6">
        <v>1</v>
      </c>
      <c r="AK73" s="6">
        <v>2</v>
      </c>
      <c r="AL73" s="6">
        <v>2</v>
      </c>
      <c r="AM73" s="6">
        <v>3</v>
      </c>
      <c r="AN73" s="6"/>
      <c r="AO73" s="6">
        <v>1</v>
      </c>
      <c r="AP73" s="6"/>
      <c r="AQ73" s="6"/>
      <c r="AR73" s="6">
        <v>1</v>
      </c>
      <c r="AS73" s="6">
        <v>1</v>
      </c>
      <c r="AT73" s="6">
        <v>10</v>
      </c>
      <c r="AU73" s="6">
        <v>2</v>
      </c>
      <c r="AV73" s="6"/>
      <c r="AW73" s="6"/>
      <c r="AX73" s="6">
        <v>2</v>
      </c>
      <c r="AY73" s="6">
        <v>3</v>
      </c>
      <c r="AZ73" s="6"/>
      <c r="BA73" s="6"/>
      <c r="BB73" s="6"/>
      <c r="BC73" s="6">
        <v>11</v>
      </c>
      <c r="BD73" s="6">
        <v>1</v>
      </c>
      <c r="BE73" s="6">
        <v>1</v>
      </c>
      <c r="BF73" s="6">
        <v>2</v>
      </c>
      <c r="BG73" s="6"/>
      <c r="BH73" s="6">
        <v>6</v>
      </c>
      <c r="BI73" s="6">
        <v>17</v>
      </c>
      <c r="BJ73" s="6"/>
      <c r="BK73" s="6">
        <v>1</v>
      </c>
      <c r="BL73" s="5">
        <f t="shared" si="24"/>
        <v>275</v>
      </c>
    </row>
    <row r="74" spans="1:64" ht="13.15" customHeight="1" x14ac:dyDescent="0.4">
      <c r="A74" s="7"/>
      <c r="B74" s="50"/>
      <c r="C74" s="24" t="s">
        <v>165</v>
      </c>
      <c r="D74" s="51"/>
      <c r="E74" s="6"/>
      <c r="F74" s="6"/>
      <c r="G74" s="6"/>
      <c r="H74" s="6"/>
      <c r="I74" s="6">
        <v>1</v>
      </c>
      <c r="J74" s="6"/>
      <c r="K74" s="6"/>
      <c r="L74" s="6"/>
      <c r="M74" s="6"/>
      <c r="N74" s="6">
        <v>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>
        <v>1</v>
      </c>
      <c r="AG74" s="6"/>
      <c r="AH74" s="6"/>
      <c r="AI74" s="6"/>
      <c r="AJ74" s="6"/>
      <c r="AK74" s="6"/>
      <c r="AL74" s="6"/>
      <c r="AM74" s="6">
        <v>1</v>
      </c>
      <c r="AN74" s="6"/>
      <c r="AO74" s="6"/>
      <c r="AP74" s="6">
        <v>1</v>
      </c>
      <c r="AQ74" s="6"/>
      <c r="AR74" s="6"/>
      <c r="AS74" s="6"/>
      <c r="AT74" s="6">
        <v>1</v>
      </c>
      <c r="AU74" s="6">
        <v>1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5">
        <f t="shared" si="24"/>
        <v>7</v>
      </c>
    </row>
    <row r="75" spans="1:64" x14ac:dyDescent="0.4">
      <c r="A75" s="7"/>
      <c r="B75" s="50"/>
      <c r="C75" s="24" t="s">
        <v>166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5">
        <f t="shared" si="24"/>
        <v>1</v>
      </c>
    </row>
    <row r="76" spans="1:64" x14ac:dyDescent="0.4">
      <c r="A76" s="7"/>
      <c r="B76" s="50"/>
      <c r="C76" s="24" t="s">
        <v>167</v>
      </c>
      <c r="D76" s="5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1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>
        <v>1</v>
      </c>
      <c r="AG76" s="6"/>
      <c r="AH76" s="6"/>
      <c r="AI76" s="6"/>
      <c r="AJ76" s="6"/>
      <c r="AK76" s="6"/>
      <c r="AL76" s="6"/>
      <c r="AM76" s="6">
        <v>1</v>
      </c>
      <c r="AN76" s="6"/>
      <c r="AO76" s="6"/>
      <c r="AP76" s="6"/>
      <c r="AQ76" s="6"/>
      <c r="AR76" s="6">
        <v>1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5">
        <f t="shared" si="24"/>
        <v>4</v>
      </c>
    </row>
    <row r="77" spans="1:64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5">
        <f t="shared" si="24"/>
        <v>0</v>
      </c>
    </row>
    <row r="78" spans="1:64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5">
        <f t="shared" si="24"/>
        <v>0</v>
      </c>
    </row>
    <row r="79" spans="1:64" x14ac:dyDescent="0.4">
      <c r="A79" s="6" t="s">
        <v>26</v>
      </c>
      <c r="B79" s="85" t="s">
        <v>51</v>
      </c>
      <c r="C79" s="65"/>
      <c r="D79" s="66"/>
      <c r="E79" s="5">
        <f t="shared" ref="E79:BL79" si="25">SUM(E69:E78)</f>
        <v>128</v>
      </c>
      <c r="F79" s="5">
        <f t="shared" si="25"/>
        <v>33</v>
      </c>
      <c r="G79" s="5">
        <f t="shared" si="25"/>
        <v>26</v>
      </c>
      <c r="H79" s="5">
        <f t="shared" si="25"/>
        <v>18</v>
      </c>
      <c r="I79" s="5">
        <f t="shared" si="25"/>
        <v>49</v>
      </c>
      <c r="J79" s="5">
        <f t="shared" si="25"/>
        <v>52</v>
      </c>
      <c r="K79" s="5">
        <f t="shared" si="25"/>
        <v>42</v>
      </c>
      <c r="L79" s="5">
        <f t="shared" si="25"/>
        <v>26</v>
      </c>
      <c r="M79" s="5">
        <f t="shared" si="25"/>
        <v>42</v>
      </c>
      <c r="N79" s="5">
        <f t="shared" si="25"/>
        <v>9</v>
      </c>
      <c r="O79" s="5">
        <f t="shared" si="25"/>
        <v>22</v>
      </c>
      <c r="P79" s="5">
        <f t="shared" si="25"/>
        <v>38</v>
      </c>
      <c r="Q79" s="5">
        <f t="shared" si="25"/>
        <v>13</v>
      </c>
      <c r="R79" s="5">
        <f t="shared" si="25"/>
        <v>35</v>
      </c>
      <c r="S79" s="5">
        <f t="shared" si="25"/>
        <v>27</v>
      </c>
      <c r="T79" s="5">
        <f t="shared" si="25"/>
        <v>3</v>
      </c>
      <c r="U79" s="5">
        <f t="shared" si="25"/>
        <v>40</v>
      </c>
      <c r="V79" s="5">
        <f t="shared" si="25"/>
        <v>12</v>
      </c>
      <c r="W79" s="5">
        <f t="shared" si="25"/>
        <v>21</v>
      </c>
      <c r="X79" s="5">
        <f t="shared" si="25"/>
        <v>9</v>
      </c>
      <c r="Y79" s="5">
        <f t="shared" si="25"/>
        <v>44</v>
      </c>
      <c r="Z79" s="5">
        <f t="shared" si="25"/>
        <v>34</v>
      </c>
      <c r="AA79" s="5">
        <f t="shared" si="25"/>
        <v>18</v>
      </c>
      <c r="AB79" s="5">
        <f t="shared" si="25"/>
        <v>2</v>
      </c>
      <c r="AC79" s="5">
        <f t="shared" si="25"/>
        <v>3</v>
      </c>
      <c r="AD79" s="5">
        <f t="shared" si="25"/>
        <v>31</v>
      </c>
      <c r="AE79" s="5">
        <f t="shared" si="25"/>
        <v>53</v>
      </c>
      <c r="AF79" s="5">
        <f t="shared" si="25"/>
        <v>36</v>
      </c>
      <c r="AG79" s="5">
        <f t="shared" si="25"/>
        <v>26</v>
      </c>
      <c r="AH79" s="5">
        <f t="shared" si="25"/>
        <v>20</v>
      </c>
      <c r="AI79" s="5">
        <f t="shared" si="25"/>
        <v>3</v>
      </c>
      <c r="AJ79" s="5">
        <f t="shared" si="25"/>
        <v>16</v>
      </c>
      <c r="AK79" s="5">
        <f t="shared" si="25"/>
        <v>26</v>
      </c>
      <c r="AL79" s="5">
        <f t="shared" si="25"/>
        <v>16</v>
      </c>
      <c r="AM79" s="5">
        <f t="shared" si="25"/>
        <v>39</v>
      </c>
      <c r="AN79" s="5">
        <f t="shared" si="25"/>
        <v>14</v>
      </c>
      <c r="AO79" s="5">
        <f t="shared" si="25"/>
        <v>17</v>
      </c>
      <c r="AP79" s="5">
        <f t="shared" si="25"/>
        <v>57</v>
      </c>
      <c r="AQ79" s="5">
        <f t="shared" si="25"/>
        <v>3</v>
      </c>
      <c r="AR79" s="5">
        <f t="shared" si="25"/>
        <v>39</v>
      </c>
      <c r="AS79" s="5">
        <f t="shared" si="25"/>
        <v>40</v>
      </c>
      <c r="AT79" s="5">
        <f t="shared" si="25"/>
        <v>45</v>
      </c>
      <c r="AU79" s="5">
        <f t="shared" si="25"/>
        <v>22</v>
      </c>
      <c r="AV79" s="5">
        <f t="shared" si="25"/>
        <v>1</v>
      </c>
      <c r="AW79" s="5">
        <f t="shared" si="25"/>
        <v>9</v>
      </c>
      <c r="AX79" s="5">
        <f t="shared" si="25"/>
        <v>8</v>
      </c>
      <c r="AY79" s="5">
        <f t="shared" si="25"/>
        <v>30</v>
      </c>
      <c r="AZ79" s="5">
        <f t="shared" si="25"/>
        <v>46</v>
      </c>
      <c r="BA79" s="5">
        <f t="shared" si="25"/>
        <v>10</v>
      </c>
      <c r="BB79" s="5">
        <f t="shared" si="25"/>
        <v>33</v>
      </c>
      <c r="BC79" s="5">
        <f t="shared" si="25"/>
        <v>29</v>
      </c>
      <c r="BD79" s="5">
        <f t="shared" si="25"/>
        <v>2</v>
      </c>
      <c r="BE79" s="5">
        <f t="shared" si="25"/>
        <v>4</v>
      </c>
      <c r="BF79" s="5">
        <f t="shared" si="25"/>
        <v>11</v>
      </c>
      <c r="BG79" s="5">
        <f t="shared" si="25"/>
        <v>1</v>
      </c>
      <c r="BH79" s="5">
        <f t="shared" si="25"/>
        <v>8</v>
      </c>
      <c r="BI79" s="5">
        <f t="shared" ref="BI79" si="26">SUM(BI69:BI78)</f>
        <v>17</v>
      </c>
      <c r="BJ79" s="5">
        <f t="shared" si="25"/>
        <v>16</v>
      </c>
      <c r="BK79" s="5">
        <f t="shared" si="25"/>
        <v>15</v>
      </c>
      <c r="BL79" s="5">
        <f t="shared" si="25"/>
        <v>1489</v>
      </c>
    </row>
    <row r="80" spans="1:64" x14ac:dyDescent="0.4">
      <c r="A80" s="90"/>
      <c r="B80" s="89"/>
      <c r="C80" s="89"/>
      <c r="D80" s="89"/>
      <c r="E80" s="89"/>
    </row>
    <row r="81" spans="1:64" x14ac:dyDescent="0.4">
      <c r="A81" s="11" t="s">
        <v>48</v>
      </c>
      <c r="B81" s="17" t="s">
        <v>34</v>
      </c>
      <c r="C81" s="92" t="s">
        <v>54</v>
      </c>
      <c r="D81" s="66"/>
      <c r="E81" s="6">
        <v>3</v>
      </c>
      <c r="F81" s="6">
        <v>4</v>
      </c>
      <c r="G81" s="6">
        <v>3</v>
      </c>
      <c r="H81" s="6">
        <v>8</v>
      </c>
      <c r="I81" s="6">
        <v>10</v>
      </c>
      <c r="J81" s="6">
        <v>3</v>
      </c>
      <c r="K81" s="6">
        <v>7</v>
      </c>
      <c r="L81" s="6">
        <v>2</v>
      </c>
      <c r="M81" s="6">
        <v>4</v>
      </c>
      <c r="N81" s="6">
        <v>6</v>
      </c>
      <c r="O81" s="6">
        <v>2</v>
      </c>
      <c r="P81" s="6">
        <v>2</v>
      </c>
      <c r="Q81" s="6">
        <v>4</v>
      </c>
      <c r="R81" s="6">
        <v>3</v>
      </c>
      <c r="S81" s="6">
        <v>1</v>
      </c>
      <c r="T81" s="6">
        <v>6</v>
      </c>
      <c r="U81" s="6">
        <v>9</v>
      </c>
      <c r="V81" s="6">
        <v>18</v>
      </c>
      <c r="W81" s="6">
        <v>2</v>
      </c>
      <c r="X81" s="6">
        <v>3</v>
      </c>
      <c r="Y81" s="6">
        <v>6</v>
      </c>
      <c r="Z81" s="6">
        <v>3</v>
      </c>
      <c r="AA81" s="6">
        <v>1</v>
      </c>
      <c r="AB81" s="6">
        <v>2</v>
      </c>
      <c r="AC81" s="6">
        <v>4</v>
      </c>
      <c r="AD81" s="6">
        <v>2</v>
      </c>
      <c r="AE81" s="6">
        <v>7</v>
      </c>
      <c r="AF81" s="6">
        <v>2</v>
      </c>
      <c r="AG81" s="6">
        <v>6</v>
      </c>
      <c r="AH81" s="6">
        <v>9</v>
      </c>
      <c r="AI81" s="6">
        <v>14</v>
      </c>
      <c r="AJ81" s="6">
        <v>28</v>
      </c>
      <c r="AK81" s="6">
        <v>2</v>
      </c>
      <c r="AL81" s="6">
        <v>15</v>
      </c>
      <c r="AM81" s="6">
        <v>10</v>
      </c>
      <c r="AN81" s="6">
        <v>18</v>
      </c>
      <c r="AO81" s="6">
        <v>9</v>
      </c>
      <c r="AP81" s="6">
        <v>6</v>
      </c>
      <c r="AQ81" s="6">
        <v>4</v>
      </c>
      <c r="AR81" s="6">
        <v>8</v>
      </c>
      <c r="AS81" s="6">
        <v>3</v>
      </c>
      <c r="AT81" s="6">
        <v>5</v>
      </c>
      <c r="AU81" s="6">
        <v>2</v>
      </c>
      <c r="AV81" s="6">
        <v>10</v>
      </c>
      <c r="AW81" s="6">
        <v>7</v>
      </c>
      <c r="AX81" s="6">
        <v>8</v>
      </c>
      <c r="AY81" s="6">
        <v>11</v>
      </c>
      <c r="AZ81" s="6">
        <v>10</v>
      </c>
      <c r="BA81" s="6">
        <v>16</v>
      </c>
      <c r="BB81" s="6">
        <v>10</v>
      </c>
      <c r="BC81" s="6">
        <v>11</v>
      </c>
      <c r="BD81" s="6">
        <v>6</v>
      </c>
      <c r="BE81" s="6">
        <v>5</v>
      </c>
      <c r="BF81" s="6">
        <v>4</v>
      </c>
      <c r="BG81" s="6">
        <v>3</v>
      </c>
      <c r="BH81" s="6">
        <v>6</v>
      </c>
      <c r="BI81" s="6">
        <v>3</v>
      </c>
      <c r="BJ81" s="6">
        <v>8</v>
      </c>
      <c r="BK81" s="6">
        <v>8</v>
      </c>
      <c r="BL81" s="5">
        <f t="shared" ref="BL81:BL90" si="27">SUM(E81:BK81)</f>
        <v>392</v>
      </c>
    </row>
    <row r="82" spans="1:64" x14ac:dyDescent="0.4">
      <c r="A82" s="11" t="s">
        <v>50</v>
      </c>
      <c r="B82" s="50"/>
      <c r="C82" s="24" t="s">
        <v>168</v>
      </c>
      <c r="D82" s="51"/>
      <c r="E82" s="6">
        <v>7</v>
      </c>
      <c r="F82" s="6">
        <v>35</v>
      </c>
      <c r="G82" s="6">
        <v>9</v>
      </c>
      <c r="H82" s="6">
        <v>48</v>
      </c>
      <c r="I82" s="6">
        <v>51</v>
      </c>
      <c r="J82" s="6">
        <v>34</v>
      </c>
      <c r="K82" s="6">
        <v>31</v>
      </c>
      <c r="L82" s="6">
        <v>17</v>
      </c>
      <c r="M82" s="6">
        <v>24</v>
      </c>
      <c r="N82" s="6">
        <v>61</v>
      </c>
      <c r="O82" s="6">
        <v>44</v>
      </c>
      <c r="P82" s="6">
        <v>35</v>
      </c>
      <c r="Q82" s="6">
        <v>23</v>
      </c>
      <c r="R82" s="6">
        <v>20</v>
      </c>
      <c r="S82" s="6">
        <v>12</v>
      </c>
      <c r="T82" s="6">
        <v>18</v>
      </c>
      <c r="U82" s="6">
        <v>54</v>
      </c>
      <c r="V82" s="6">
        <v>65</v>
      </c>
      <c r="W82" s="6">
        <v>11</v>
      </c>
      <c r="X82" s="6">
        <v>17</v>
      </c>
      <c r="Y82" s="6">
        <v>19</v>
      </c>
      <c r="Z82" s="6">
        <v>23</v>
      </c>
      <c r="AA82" s="6">
        <v>12</v>
      </c>
      <c r="AB82" s="6">
        <v>12</v>
      </c>
      <c r="AC82" s="6">
        <v>53</v>
      </c>
      <c r="AD82" s="6">
        <v>29</v>
      </c>
      <c r="AE82" s="6">
        <v>62</v>
      </c>
      <c r="AF82" s="6">
        <v>19</v>
      </c>
      <c r="AG82" s="6">
        <v>42</v>
      </c>
      <c r="AH82" s="6">
        <v>58</v>
      </c>
      <c r="AI82" s="6">
        <v>197</v>
      </c>
      <c r="AJ82" s="6">
        <v>120</v>
      </c>
      <c r="AK82" s="6">
        <v>43</v>
      </c>
      <c r="AL82" s="6">
        <v>99</v>
      </c>
      <c r="AM82" s="6">
        <v>81</v>
      </c>
      <c r="AN82" s="6">
        <v>78</v>
      </c>
      <c r="AO82" s="6">
        <v>69</v>
      </c>
      <c r="AP82" s="6">
        <v>46</v>
      </c>
      <c r="AQ82" s="6">
        <v>45</v>
      </c>
      <c r="AR82" s="6">
        <v>57</v>
      </c>
      <c r="AS82" s="6">
        <v>61</v>
      </c>
      <c r="AT82" s="6">
        <v>12</v>
      </c>
      <c r="AU82" s="6">
        <v>22</v>
      </c>
      <c r="AV82" s="6">
        <v>19</v>
      </c>
      <c r="AW82" s="6">
        <v>151</v>
      </c>
      <c r="AX82" s="6">
        <v>151</v>
      </c>
      <c r="AY82" s="6">
        <v>106</v>
      </c>
      <c r="AZ82" s="6">
        <v>60</v>
      </c>
      <c r="BA82" s="6">
        <v>85</v>
      </c>
      <c r="BB82" s="6">
        <v>25</v>
      </c>
      <c r="BC82" s="6">
        <v>22</v>
      </c>
      <c r="BD82" s="6">
        <v>28</v>
      </c>
      <c r="BE82" s="6">
        <v>13</v>
      </c>
      <c r="BF82" s="6">
        <v>10</v>
      </c>
      <c r="BG82" s="6">
        <v>97</v>
      </c>
      <c r="BH82" s="6">
        <v>127</v>
      </c>
      <c r="BI82" s="6">
        <v>125</v>
      </c>
      <c r="BJ82" s="6">
        <v>38</v>
      </c>
      <c r="BK82" s="6">
        <v>45</v>
      </c>
      <c r="BL82" s="5">
        <f t="shared" si="27"/>
        <v>2977</v>
      </c>
    </row>
    <row r="83" spans="1:64" x14ac:dyDescent="0.4">
      <c r="A83" s="7"/>
      <c r="B83" s="50"/>
      <c r="C83" s="24" t="s">
        <v>169</v>
      </c>
      <c r="D83" s="51"/>
      <c r="E83" s="6"/>
      <c r="F83" s="6"/>
      <c r="G83" s="6"/>
      <c r="H83" s="6"/>
      <c r="I83" s="6">
        <v>1</v>
      </c>
      <c r="J83" s="6"/>
      <c r="K83" s="6">
        <v>2</v>
      </c>
      <c r="L83" s="6"/>
      <c r="M83" s="6">
        <v>2</v>
      </c>
      <c r="N83" s="6"/>
      <c r="O83" s="6">
        <v>1</v>
      </c>
      <c r="P83" s="6"/>
      <c r="Q83" s="6"/>
      <c r="R83" s="6"/>
      <c r="S83" s="6"/>
      <c r="T83" s="6"/>
      <c r="U83" s="6">
        <v>1</v>
      </c>
      <c r="V83" s="6"/>
      <c r="W83" s="6">
        <v>1</v>
      </c>
      <c r="X83" s="6"/>
      <c r="Y83" s="6">
        <v>2</v>
      </c>
      <c r="Z83" s="6"/>
      <c r="AA83" s="6"/>
      <c r="AB83" s="6"/>
      <c r="AC83" s="6"/>
      <c r="AD83" s="6"/>
      <c r="AE83" s="6"/>
      <c r="AF83" s="6"/>
      <c r="AG83" s="6"/>
      <c r="AH83" s="6"/>
      <c r="AI83" s="6">
        <v>1</v>
      </c>
      <c r="AJ83" s="6">
        <v>1</v>
      </c>
      <c r="AK83" s="6">
        <v>1</v>
      </c>
      <c r="AL83" s="6">
        <v>1</v>
      </c>
      <c r="AM83" s="6">
        <v>1</v>
      </c>
      <c r="AN83" s="6"/>
      <c r="AO83" s="6">
        <v>1</v>
      </c>
      <c r="AP83" s="6"/>
      <c r="AQ83" s="6">
        <v>1</v>
      </c>
      <c r="AR83" s="6"/>
      <c r="AS83" s="6"/>
      <c r="AT83" s="6"/>
      <c r="AU83" s="6">
        <v>1</v>
      </c>
      <c r="AV83" s="6"/>
      <c r="AW83" s="6"/>
      <c r="AX83" s="6">
        <v>1</v>
      </c>
      <c r="AY83" s="6">
        <v>1</v>
      </c>
      <c r="AZ83" s="6"/>
      <c r="BA83" s="6"/>
      <c r="BB83" s="6"/>
      <c r="BC83" s="6"/>
      <c r="BD83" s="6"/>
      <c r="BE83" s="6">
        <v>1</v>
      </c>
      <c r="BF83" s="6"/>
      <c r="BG83" s="6"/>
      <c r="BH83" s="6">
        <v>1</v>
      </c>
      <c r="BI83" s="6"/>
      <c r="BJ83" s="6"/>
      <c r="BK83" s="6"/>
      <c r="BL83" s="5">
        <f t="shared" si="27"/>
        <v>22</v>
      </c>
    </row>
    <row r="84" spans="1:64" x14ac:dyDescent="0.4">
      <c r="A84" s="7"/>
      <c r="B84" s="50"/>
      <c r="C84" s="24" t="s">
        <v>170</v>
      </c>
      <c r="D84" s="51"/>
      <c r="E84" s="6"/>
      <c r="F84" s="6">
        <v>4</v>
      </c>
      <c r="G84" s="6">
        <v>3</v>
      </c>
      <c r="H84" s="6"/>
      <c r="I84" s="6"/>
      <c r="J84" s="6">
        <v>4</v>
      </c>
      <c r="K84" s="6">
        <v>5</v>
      </c>
      <c r="L84" s="6">
        <v>7</v>
      </c>
      <c r="M84" s="6">
        <v>12</v>
      </c>
      <c r="N84" s="6"/>
      <c r="O84" s="6">
        <v>2</v>
      </c>
      <c r="P84" s="6">
        <v>3</v>
      </c>
      <c r="Q84" s="6">
        <v>1</v>
      </c>
      <c r="R84" s="6">
        <v>5</v>
      </c>
      <c r="S84" s="6">
        <v>6</v>
      </c>
      <c r="T84" s="6"/>
      <c r="U84" s="6">
        <v>1</v>
      </c>
      <c r="V84" s="6">
        <v>3</v>
      </c>
      <c r="W84" s="6">
        <v>3</v>
      </c>
      <c r="X84" s="6"/>
      <c r="Y84" s="6">
        <v>1</v>
      </c>
      <c r="Z84" s="6"/>
      <c r="AA84" s="6">
        <v>1</v>
      </c>
      <c r="AB84" s="6"/>
      <c r="AC84" s="6">
        <v>1</v>
      </c>
      <c r="AD84" s="6">
        <v>10</v>
      </c>
      <c r="AE84" s="6"/>
      <c r="AF84" s="6">
        <v>1</v>
      </c>
      <c r="AG84" s="6"/>
      <c r="AH84" s="6"/>
      <c r="AI84" s="6"/>
      <c r="AJ84" s="6"/>
      <c r="AK84" s="6">
        <v>3</v>
      </c>
      <c r="AL84" s="6"/>
      <c r="AM84" s="6"/>
      <c r="AN84" s="6">
        <v>1</v>
      </c>
      <c r="AO84" s="6"/>
      <c r="AP84" s="6"/>
      <c r="AQ84" s="6"/>
      <c r="AR84" s="6"/>
      <c r="AS84" s="6">
        <v>1</v>
      </c>
      <c r="AT84" s="6"/>
      <c r="AU84" s="6"/>
      <c r="AV84" s="6"/>
      <c r="AW84" s="6"/>
      <c r="AX84" s="6"/>
      <c r="AY84" s="6"/>
      <c r="AZ84" s="6"/>
      <c r="BA84" s="6">
        <v>1</v>
      </c>
      <c r="BB84" s="6">
        <v>1</v>
      </c>
      <c r="BC84" s="6"/>
      <c r="BD84" s="6"/>
      <c r="BE84" s="6"/>
      <c r="BF84" s="6"/>
      <c r="BG84" s="6"/>
      <c r="BH84" s="6">
        <v>1</v>
      </c>
      <c r="BI84" s="6"/>
      <c r="BJ84" s="6"/>
      <c r="BK84" s="6"/>
      <c r="BL84" s="5">
        <f t="shared" si="27"/>
        <v>81</v>
      </c>
    </row>
    <row r="85" spans="1:64" ht="13.15" customHeight="1" x14ac:dyDescent="0.4">
      <c r="A85" s="7"/>
      <c r="B85" s="50"/>
      <c r="C85" s="24" t="s">
        <v>171</v>
      </c>
      <c r="D85" s="51"/>
      <c r="E85" s="6"/>
      <c r="F85" s="6">
        <v>1</v>
      </c>
      <c r="G85" s="6"/>
      <c r="H85" s="6">
        <v>1</v>
      </c>
      <c r="I85" s="6"/>
      <c r="J85" s="6"/>
      <c r="K85" s="6"/>
      <c r="L85" s="6"/>
      <c r="M85" s="6"/>
      <c r="N85" s="6"/>
      <c r="O85" s="6"/>
      <c r="P85" s="6">
        <v>1</v>
      </c>
      <c r="Q85" s="6">
        <v>1</v>
      </c>
      <c r="R85" s="6"/>
      <c r="S85" s="6"/>
      <c r="T85" s="6"/>
      <c r="U85" s="6"/>
      <c r="V85" s="6"/>
      <c r="W85" s="6">
        <v>1</v>
      </c>
      <c r="X85" s="6"/>
      <c r="Y85" s="6">
        <v>1</v>
      </c>
      <c r="Z85" s="6"/>
      <c r="AA85" s="6"/>
      <c r="AB85" s="6"/>
      <c r="AC85" s="6"/>
      <c r="AD85" s="6"/>
      <c r="AE85" s="6">
        <v>1</v>
      </c>
      <c r="AF85" s="6"/>
      <c r="AG85" s="6">
        <v>1</v>
      </c>
      <c r="AH85" s="6">
        <v>2</v>
      </c>
      <c r="AI85" s="6"/>
      <c r="AJ85" s="6"/>
      <c r="AK85" s="6"/>
      <c r="AL85" s="6">
        <v>1</v>
      </c>
      <c r="AM85" s="6"/>
      <c r="AN85" s="6"/>
      <c r="AO85" s="6"/>
      <c r="AP85" s="6"/>
      <c r="AQ85" s="6"/>
      <c r="AR85" s="6">
        <v>1</v>
      </c>
      <c r="AS85" s="6">
        <v>3</v>
      </c>
      <c r="AT85" s="6"/>
      <c r="AU85" s="6"/>
      <c r="AV85" s="6">
        <v>1</v>
      </c>
      <c r="AW85" s="6">
        <v>1</v>
      </c>
      <c r="AX85" s="6"/>
      <c r="AY85" s="6"/>
      <c r="AZ85" s="6">
        <v>1</v>
      </c>
      <c r="BA85" s="6"/>
      <c r="BB85" s="6">
        <v>2</v>
      </c>
      <c r="BC85" s="6">
        <v>1</v>
      </c>
      <c r="BD85" s="6"/>
      <c r="BE85" s="6">
        <v>1</v>
      </c>
      <c r="BF85" s="6"/>
      <c r="BG85" s="6"/>
      <c r="BH85" s="6">
        <v>1</v>
      </c>
      <c r="BI85" s="6"/>
      <c r="BJ85" s="6"/>
      <c r="BK85" s="6"/>
      <c r="BL85" s="5">
        <f t="shared" si="27"/>
        <v>23</v>
      </c>
    </row>
    <row r="86" spans="1:64" x14ac:dyDescent="0.4">
      <c r="A86" s="7"/>
      <c r="B86" s="50"/>
      <c r="C86" s="24" t="s">
        <v>172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</v>
      </c>
      <c r="AH86" s="6"/>
      <c r="AI86" s="6"/>
      <c r="AJ86" s="6"/>
      <c r="AK86" s="6"/>
      <c r="AL86" s="6"/>
      <c r="AM86" s="6"/>
      <c r="AN86" s="6"/>
      <c r="AO86" s="6">
        <v>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1</v>
      </c>
      <c r="BC86" s="6"/>
      <c r="BD86" s="6"/>
      <c r="BE86" s="6"/>
      <c r="BF86" s="6"/>
      <c r="BG86" s="6"/>
      <c r="BH86" s="6"/>
      <c r="BI86" s="6"/>
      <c r="BJ86" s="6"/>
      <c r="BK86" s="6"/>
      <c r="BL86" s="5">
        <f t="shared" si="27"/>
        <v>4</v>
      </c>
    </row>
    <row r="87" spans="1:64" x14ac:dyDescent="0.4">
      <c r="A87" s="7"/>
      <c r="B87" s="50"/>
      <c r="C87" s="24" t="s">
        <v>173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>
        <v>1</v>
      </c>
      <c r="AP87" s="6">
        <v>1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5">
        <f t="shared" si="27"/>
        <v>2</v>
      </c>
    </row>
    <row r="88" spans="1:64" x14ac:dyDescent="0.4">
      <c r="A88" s="7"/>
      <c r="B88" s="50"/>
      <c r="C88" s="24" t="s">
        <v>174</v>
      </c>
      <c r="D88" s="51"/>
      <c r="E88" s="6"/>
      <c r="F88" s="6"/>
      <c r="G88" s="6">
        <v>1</v>
      </c>
      <c r="H88" s="6"/>
      <c r="I88" s="6"/>
      <c r="J88" s="6">
        <v>1</v>
      </c>
      <c r="K88" s="6"/>
      <c r="L88" s="6"/>
      <c r="M88" s="6"/>
      <c r="N88" s="6"/>
      <c r="O88" s="6">
        <v>1</v>
      </c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>
        <v>1</v>
      </c>
      <c r="AA88" s="6"/>
      <c r="AB88" s="6"/>
      <c r="AC88" s="6">
        <v>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>
        <v>1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5">
        <f t="shared" si="27"/>
        <v>7</v>
      </c>
    </row>
    <row r="89" spans="1:64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5">
        <f t="shared" si="27"/>
        <v>0</v>
      </c>
    </row>
    <row r="90" spans="1:64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5">
        <f t="shared" si="27"/>
        <v>0</v>
      </c>
    </row>
    <row r="91" spans="1:64" x14ac:dyDescent="0.4">
      <c r="A91" s="6" t="s">
        <v>26</v>
      </c>
      <c r="B91" s="85" t="s">
        <v>51</v>
      </c>
      <c r="C91" s="65"/>
      <c r="D91" s="66"/>
      <c r="E91" s="5">
        <f t="shared" ref="E91:BL91" si="28">SUM(E81:E90)</f>
        <v>10</v>
      </c>
      <c r="F91" s="5">
        <f t="shared" si="28"/>
        <v>44</v>
      </c>
      <c r="G91" s="5">
        <f t="shared" si="28"/>
        <v>16</v>
      </c>
      <c r="H91" s="5">
        <f t="shared" si="28"/>
        <v>57</v>
      </c>
      <c r="I91" s="5">
        <f t="shared" si="28"/>
        <v>62</v>
      </c>
      <c r="J91" s="5">
        <f t="shared" si="28"/>
        <v>42</v>
      </c>
      <c r="K91" s="5">
        <f t="shared" si="28"/>
        <v>45</v>
      </c>
      <c r="L91" s="5">
        <f t="shared" si="28"/>
        <v>26</v>
      </c>
      <c r="M91" s="5">
        <f t="shared" si="28"/>
        <v>42</v>
      </c>
      <c r="N91" s="5">
        <f t="shared" si="28"/>
        <v>67</v>
      </c>
      <c r="O91" s="5">
        <f t="shared" si="28"/>
        <v>50</v>
      </c>
      <c r="P91" s="5">
        <f t="shared" si="28"/>
        <v>42</v>
      </c>
      <c r="Q91" s="5">
        <f t="shared" si="28"/>
        <v>29</v>
      </c>
      <c r="R91" s="5">
        <f t="shared" si="28"/>
        <v>28</v>
      </c>
      <c r="S91" s="5">
        <f t="shared" si="28"/>
        <v>19</v>
      </c>
      <c r="T91" s="5">
        <f t="shared" si="28"/>
        <v>24</v>
      </c>
      <c r="U91" s="5">
        <f t="shared" si="28"/>
        <v>66</v>
      </c>
      <c r="V91" s="5">
        <f t="shared" si="28"/>
        <v>86</v>
      </c>
      <c r="W91" s="5">
        <f t="shared" si="28"/>
        <v>18</v>
      </c>
      <c r="X91" s="5">
        <f t="shared" si="28"/>
        <v>20</v>
      </c>
      <c r="Y91" s="5">
        <f t="shared" si="28"/>
        <v>29</v>
      </c>
      <c r="Z91" s="5">
        <f t="shared" si="28"/>
        <v>27</v>
      </c>
      <c r="AA91" s="5">
        <f t="shared" si="28"/>
        <v>14</v>
      </c>
      <c r="AB91" s="5">
        <f t="shared" si="28"/>
        <v>14</v>
      </c>
      <c r="AC91" s="5">
        <f t="shared" si="28"/>
        <v>59</v>
      </c>
      <c r="AD91" s="5">
        <f t="shared" si="28"/>
        <v>41</v>
      </c>
      <c r="AE91" s="5">
        <f t="shared" si="28"/>
        <v>70</v>
      </c>
      <c r="AF91" s="5">
        <f t="shared" si="28"/>
        <v>22</v>
      </c>
      <c r="AG91" s="5">
        <f t="shared" si="28"/>
        <v>50</v>
      </c>
      <c r="AH91" s="5">
        <f t="shared" si="28"/>
        <v>69</v>
      </c>
      <c r="AI91" s="5">
        <f t="shared" si="28"/>
        <v>212</v>
      </c>
      <c r="AJ91" s="5">
        <f t="shared" si="28"/>
        <v>149</v>
      </c>
      <c r="AK91" s="5">
        <f t="shared" si="28"/>
        <v>49</v>
      </c>
      <c r="AL91" s="5">
        <f t="shared" si="28"/>
        <v>116</v>
      </c>
      <c r="AM91" s="5">
        <f t="shared" si="28"/>
        <v>92</v>
      </c>
      <c r="AN91" s="5">
        <f t="shared" si="28"/>
        <v>97</v>
      </c>
      <c r="AO91" s="5">
        <f t="shared" si="28"/>
        <v>82</v>
      </c>
      <c r="AP91" s="5">
        <f t="shared" si="28"/>
        <v>53</v>
      </c>
      <c r="AQ91" s="5">
        <f t="shared" si="28"/>
        <v>50</v>
      </c>
      <c r="AR91" s="5">
        <f t="shared" si="28"/>
        <v>66</v>
      </c>
      <c r="AS91" s="5">
        <f t="shared" si="28"/>
        <v>68</v>
      </c>
      <c r="AT91" s="5">
        <f t="shared" si="28"/>
        <v>17</v>
      </c>
      <c r="AU91" s="5">
        <f t="shared" si="28"/>
        <v>25</v>
      </c>
      <c r="AV91" s="5">
        <f t="shared" si="28"/>
        <v>30</v>
      </c>
      <c r="AW91" s="5">
        <f t="shared" si="28"/>
        <v>159</v>
      </c>
      <c r="AX91" s="5">
        <f t="shared" si="28"/>
        <v>160</v>
      </c>
      <c r="AY91" s="5">
        <f t="shared" si="28"/>
        <v>118</v>
      </c>
      <c r="AZ91" s="5">
        <f t="shared" si="28"/>
        <v>71</v>
      </c>
      <c r="BA91" s="5">
        <f t="shared" si="28"/>
        <v>102</v>
      </c>
      <c r="BB91" s="5">
        <f t="shared" si="28"/>
        <v>39</v>
      </c>
      <c r="BC91" s="5">
        <f t="shared" si="28"/>
        <v>34</v>
      </c>
      <c r="BD91" s="5">
        <f t="shared" si="28"/>
        <v>34</v>
      </c>
      <c r="BE91" s="5">
        <f t="shared" si="28"/>
        <v>20</v>
      </c>
      <c r="BF91" s="5">
        <f t="shared" si="28"/>
        <v>14</v>
      </c>
      <c r="BG91" s="5">
        <f t="shared" si="28"/>
        <v>100</v>
      </c>
      <c r="BH91" s="5">
        <f t="shared" si="28"/>
        <v>136</v>
      </c>
      <c r="BI91" s="5">
        <f t="shared" ref="BI91" si="29">SUM(BI81:BI90)</f>
        <v>128</v>
      </c>
      <c r="BJ91" s="5">
        <f t="shared" si="28"/>
        <v>46</v>
      </c>
      <c r="BK91" s="5">
        <f t="shared" si="28"/>
        <v>53</v>
      </c>
      <c r="BL91" s="5">
        <f t="shared" si="28"/>
        <v>3508</v>
      </c>
    </row>
    <row r="92" spans="1:64" x14ac:dyDescent="0.4">
      <c r="A92" s="90"/>
      <c r="B92" s="89"/>
      <c r="C92" s="89"/>
      <c r="D92" s="89"/>
      <c r="E92" s="89"/>
    </row>
    <row r="93" spans="1:64" x14ac:dyDescent="0.4">
      <c r="A93" s="11" t="s">
        <v>48</v>
      </c>
      <c r="B93" s="17" t="s">
        <v>55</v>
      </c>
      <c r="C93" s="92" t="s">
        <v>56</v>
      </c>
      <c r="D93" s="66"/>
      <c r="E93" s="6"/>
      <c r="F93" s="6">
        <v>5</v>
      </c>
      <c r="G93" s="6">
        <v>1</v>
      </c>
      <c r="H93" s="6"/>
      <c r="I93" s="6">
        <v>2</v>
      </c>
      <c r="J93" s="6">
        <v>1</v>
      </c>
      <c r="K93" s="6"/>
      <c r="L93" s="6"/>
      <c r="M93" s="6">
        <v>1</v>
      </c>
      <c r="N93" s="6">
        <v>1</v>
      </c>
      <c r="O93" s="6"/>
      <c r="P93" s="6"/>
      <c r="Q93" s="6"/>
      <c r="R93" s="6"/>
      <c r="S93" s="6"/>
      <c r="T93" s="6">
        <v>2</v>
      </c>
      <c r="U93" s="6"/>
      <c r="V93" s="6"/>
      <c r="W93" s="6"/>
      <c r="X93" s="6"/>
      <c r="Y93" s="6">
        <v>1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>
        <v>1</v>
      </c>
      <c r="AK93" s="6">
        <v>1</v>
      </c>
      <c r="AL93" s="6">
        <v>1</v>
      </c>
      <c r="AM93" s="6"/>
      <c r="AN93" s="6">
        <v>1</v>
      </c>
      <c r="AO93" s="6">
        <v>1</v>
      </c>
      <c r="AP93" s="6"/>
      <c r="AQ93" s="6"/>
      <c r="AR93" s="6"/>
      <c r="AS93" s="6">
        <v>2</v>
      </c>
      <c r="AT93" s="6">
        <v>3</v>
      </c>
      <c r="AU93" s="6"/>
      <c r="AV93" s="6">
        <v>5</v>
      </c>
      <c r="AW93" s="6"/>
      <c r="AX93" s="6"/>
      <c r="AY93" s="6"/>
      <c r="AZ93" s="6">
        <v>1</v>
      </c>
      <c r="BA93" s="6"/>
      <c r="BB93" s="6">
        <v>2</v>
      </c>
      <c r="BC93" s="6">
        <v>2</v>
      </c>
      <c r="BD93" s="6"/>
      <c r="BE93" s="6">
        <v>7</v>
      </c>
      <c r="BF93" s="6">
        <v>1</v>
      </c>
      <c r="BG93" s="6"/>
      <c r="BH93" s="6"/>
      <c r="BI93" s="6"/>
      <c r="BJ93" s="6"/>
      <c r="BK93" s="6"/>
      <c r="BL93" s="5">
        <f t="shared" ref="BL93:BL102" si="30">SUM(E93:BK93)</f>
        <v>42</v>
      </c>
    </row>
    <row r="94" spans="1:64" x14ac:dyDescent="0.4">
      <c r="A94" s="11" t="s">
        <v>50</v>
      </c>
      <c r="B94" s="50"/>
      <c r="C94" s="24" t="s">
        <v>175</v>
      </c>
      <c r="D94" s="51"/>
      <c r="E94" s="6"/>
      <c r="F94" s="6"/>
      <c r="G94" s="6"/>
      <c r="H94" s="6"/>
      <c r="I94" s="6">
        <v>1</v>
      </c>
      <c r="J94" s="6"/>
      <c r="K94" s="6"/>
      <c r="L94" s="6"/>
      <c r="M94" s="6"/>
      <c r="N94" s="6"/>
      <c r="O94" s="6">
        <v>1</v>
      </c>
      <c r="P94" s="6">
        <v>2</v>
      </c>
      <c r="Q94" s="6"/>
      <c r="R94" s="6"/>
      <c r="S94" s="6"/>
      <c r="T94" s="6"/>
      <c r="U94" s="6">
        <v>1</v>
      </c>
      <c r="V94" s="6"/>
      <c r="W94" s="6">
        <v>5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</v>
      </c>
      <c r="AI94" s="6"/>
      <c r="AJ94" s="6"/>
      <c r="AK94" s="6"/>
      <c r="AL94" s="6"/>
      <c r="AM94" s="6"/>
      <c r="AN94" s="6"/>
      <c r="AO94" s="6"/>
      <c r="AP94" s="6">
        <v>3</v>
      </c>
      <c r="AQ94" s="6"/>
      <c r="AR94" s="6"/>
      <c r="AS94" s="6"/>
      <c r="AT94" s="6">
        <v>1</v>
      </c>
      <c r="AU94" s="6"/>
      <c r="AV94" s="6">
        <v>3</v>
      </c>
      <c r="AW94" s="6"/>
      <c r="AX94" s="6"/>
      <c r="AY94" s="6">
        <v>1</v>
      </c>
      <c r="AZ94" s="6">
        <v>2</v>
      </c>
      <c r="BA94" s="6"/>
      <c r="BB94" s="6"/>
      <c r="BC94" s="6"/>
      <c r="BD94" s="6"/>
      <c r="BE94" s="6">
        <v>1</v>
      </c>
      <c r="BF94" s="6">
        <v>1</v>
      </c>
      <c r="BG94" s="6"/>
      <c r="BH94" s="6">
        <v>1</v>
      </c>
      <c r="BI94" s="6"/>
      <c r="BJ94" s="6"/>
      <c r="BK94" s="6">
        <v>1</v>
      </c>
      <c r="BL94" s="5">
        <f t="shared" si="30"/>
        <v>25</v>
      </c>
    </row>
    <row r="95" spans="1:64" x14ac:dyDescent="0.4">
      <c r="A95" s="7"/>
      <c r="B95" s="50"/>
      <c r="C95" s="24" t="s">
        <v>176</v>
      </c>
      <c r="D95" s="5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3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58</v>
      </c>
      <c r="AW95" s="6"/>
      <c r="AX95" s="6"/>
      <c r="AY95" s="6"/>
      <c r="AZ95" s="6"/>
      <c r="BA95" s="6"/>
      <c r="BB95" s="6"/>
      <c r="BC95" s="6">
        <v>2</v>
      </c>
      <c r="BD95" s="6"/>
      <c r="BE95" s="6">
        <v>9</v>
      </c>
      <c r="BF95" s="6">
        <v>5</v>
      </c>
      <c r="BG95" s="6"/>
      <c r="BH95" s="6"/>
      <c r="BI95" s="6"/>
      <c r="BJ95" s="6"/>
      <c r="BK95" s="6"/>
      <c r="BL95" s="5">
        <f t="shared" si="30"/>
        <v>77</v>
      </c>
    </row>
    <row r="96" spans="1:64" ht="13.15" customHeight="1" x14ac:dyDescent="0.4">
      <c r="A96" s="7"/>
      <c r="B96" s="50"/>
      <c r="C96" s="24" t="s">
        <v>177</v>
      </c>
      <c r="D96" s="51"/>
      <c r="E96" s="6"/>
      <c r="F96" s="6">
        <v>1</v>
      </c>
      <c r="G96" s="6"/>
      <c r="H96" s="6"/>
      <c r="I96" s="6"/>
      <c r="J96" s="6"/>
      <c r="K96" s="6"/>
      <c r="L96" s="6"/>
      <c r="M96" s="6"/>
      <c r="N96" s="6">
        <v>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>
        <v>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1</v>
      </c>
      <c r="BL96" s="5">
        <f t="shared" si="30"/>
        <v>4</v>
      </c>
    </row>
    <row r="97" spans="1:64" x14ac:dyDescent="0.4">
      <c r="A97" s="7"/>
      <c r="B97" s="50"/>
      <c r="C97" s="24" t="s">
        <v>178</v>
      </c>
      <c r="D97" s="51"/>
      <c r="E97" s="6">
        <v>3</v>
      </c>
      <c r="F97" s="6">
        <v>9</v>
      </c>
      <c r="G97" s="6">
        <v>13</v>
      </c>
      <c r="H97" s="6"/>
      <c r="I97" s="6">
        <v>11</v>
      </c>
      <c r="J97" s="6">
        <v>2</v>
      </c>
      <c r="K97" s="6">
        <v>1</v>
      </c>
      <c r="L97" s="6">
        <v>1</v>
      </c>
      <c r="M97" s="6"/>
      <c r="N97" s="6"/>
      <c r="O97" s="6">
        <v>1</v>
      </c>
      <c r="P97" s="6">
        <v>2</v>
      </c>
      <c r="Q97" s="6"/>
      <c r="R97" s="6"/>
      <c r="S97" s="6">
        <v>2</v>
      </c>
      <c r="T97" s="6"/>
      <c r="U97" s="6"/>
      <c r="V97" s="6"/>
      <c r="W97" s="6"/>
      <c r="X97" s="6"/>
      <c r="Y97" s="6"/>
      <c r="Z97" s="6">
        <v>1</v>
      </c>
      <c r="AA97" s="6">
        <v>4</v>
      </c>
      <c r="AB97" s="6"/>
      <c r="AC97" s="6"/>
      <c r="AD97" s="6">
        <v>2</v>
      </c>
      <c r="AE97" s="6">
        <v>1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9</v>
      </c>
      <c r="BA97" s="6"/>
      <c r="BB97" s="6">
        <v>1</v>
      </c>
      <c r="BC97" s="6">
        <v>25</v>
      </c>
      <c r="BD97" s="6">
        <v>3</v>
      </c>
      <c r="BE97" s="6">
        <v>43</v>
      </c>
      <c r="BF97" s="6">
        <v>18</v>
      </c>
      <c r="BG97" s="6"/>
      <c r="BH97" s="6"/>
      <c r="BI97" s="6"/>
      <c r="BJ97" s="6"/>
      <c r="BK97" s="6"/>
      <c r="BL97" s="5">
        <f t="shared" si="30"/>
        <v>152</v>
      </c>
    </row>
    <row r="98" spans="1:64" x14ac:dyDescent="0.4">
      <c r="A98" s="7"/>
      <c r="B98" s="50"/>
      <c r="C98" s="24" t="s">
        <v>179</v>
      </c>
      <c r="D98" s="51"/>
      <c r="E98" s="6"/>
      <c r="F98" s="6">
        <v>2</v>
      </c>
      <c r="G98" s="6"/>
      <c r="H98" s="6"/>
      <c r="I98" s="6">
        <v>1</v>
      </c>
      <c r="J98" s="6"/>
      <c r="K98" s="6"/>
      <c r="L98" s="6">
        <v>1</v>
      </c>
      <c r="M98" s="6"/>
      <c r="N98" s="6"/>
      <c r="O98" s="6"/>
      <c r="P98" s="6">
        <v>1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>
        <v>1</v>
      </c>
      <c r="AL98" s="6"/>
      <c r="AM98" s="6"/>
      <c r="AN98" s="6"/>
      <c r="AO98" s="6"/>
      <c r="AP98" s="6"/>
      <c r="AQ98" s="6"/>
      <c r="AR98" s="6"/>
      <c r="AS98" s="6"/>
      <c r="AT98" s="6"/>
      <c r="AU98" s="6">
        <v>1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5">
        <f t="shared" si="30"/>
        <v>7</v>
      </c>
    </row>
    <row r="99" spans="1:64" x14ac:dyDescent="0.4">
      <c r="A99" s="7"/>
      <c r="B99" s="50"/>
      <c r="C99" s="24" t="s">
        <v>180</v>
      </c>
      <c r="D99" s="51"/>
      <c r="E99" s="6"/>
      <c r="F99" s="6"/>
      <c r="G99" s="6"/>
      <c r="H99" s="6"/>
      <c r="I99" s="6"/>
      <c r="J99" s="6"/>
      <c r="K99" s="6">
        <v>1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>
        <v>1</v>
      </c>
      <c r="AP99" s="6"/>
      <c r="AQ99" s="6"/>
      <c r="AR99" s="6"/>
      <c r="AS99" s="6">
        <v>1</v>
      </c>
      <c r="AT99" s="6"/>
      <c r="AU99" s="6"/>
      <c r="AV99" s="6">
        <v>1</v>
      </c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</v>
      </c>
      <c r="BL99" s="5">
        <f t="shared" si="30"/>
        <v>5</v>
      </c>
    </row>
    <row r="100" spans="1:64" x14ac:dyDescent="0.4">
      <c r="A100" s="7"/>
      <c r="B100" s="50"/>
      <c r="C100" s="24" t="s">
        <v>181</v>
      </c>
      <c r="D100" s="51"/>
      <c r="E100" s="6">
        <v>13</v>
      </c>
      <c r="F100" s="6">
        <v>19</v>
      </c>
      <c r="G100" s="6">
        <v>25</v>
      </c>
      <c r="H100" s="6">
        <v>4</v>
      </c>
      <c r="I100" s="6">
        <v>8</v>
      </c>
      <c r="J100" s="6">
        <v>5</v>
      </c>
      <c r="K100" s="6">
        <v>4</v>
      </c>
      <c r="L100" s="6">
        <v>5</v>
      </c>
      <c r="M100" s="6">
        <v>13</v>
      </c>
      <c r="N100" s="6">
        <v>1</v>
      </c>
      <c r="O100" s="6">
        <v>1</v>
      </c>
      <c r="P100" s="6">
        <v>8</v>
      </c>
      <c r="Q100" s="6">
        <v>1</v>
      </c>
      <c r="R100" s="6">
        <v>1</v>
      </c>
      <c r="S100" s="6">
        <v>1</v>
      </c>
      <c r="T100" s="6">
        <v>1</v>
      </c>
      <c r="U100" s="6">
        <v>2</v>
      </c>
      <c r="V100" s="6">
        <v>1</v>
      </c>
      <c r="W100" s="6">
        <v>5</v>
      </c>
      <c r="X100" s="6">
        <v>8</v>
      </c>
      <c r="Y100" s="6">
        <v>7</v>
      </c>
      <c r="Z100" s="6">
        <v>13</v>
      </c>
      <c r="AA100" s="6">
        <v>5</v>
      </c>
      <c r="AB100" s="6"/>
      <c r="AC100" s="6">
        <v>1</v>
      </c>
      <c r="AD100" s="6">
        <v>14</v>
      </c>
      <c r="AE100" s="6">
        <v>1</v>
      </c>
      <c r="AF100" s="6">
        <v>5</v>
      </c>
      <c r="AG100" s="6">
        <v>6</v>
      </c>
      <c r="AH100" s="6">
        <v>1</v>
      </c>
      <c r="AI100" s="6"/>
      <c r="AJ100" s="6">
        <v>3</v>
      </c>
      <c r="AK100" s="6">
        <v>7</v>
      </c>
      <c r="AL100" s="6">
        <v>5</v>
      </c>
      <c r="AM100" s="6">
        <v>2</v>
      </c>
      <c r="AN100" s="6"/>
      <c r="AO100" s="6">
        <v>3</v>
      </c>
      <c r="AP100" s="6"/>
      <c r="AQ100" s="6"/>
      <c r="AR100" s="6">
        <v>5</v>
      </c>
      <c r="AS100" s="6">
        <v>15</v>
      </c>
      <c r="AT100" s="6">
        <v>11</v>
      </c>
      <c r="AU100" s="6"/>
      <c r="AV100" s="6"/>
      <c r="AW100" s="6">
        <v>3</v>
      </c>
      <c r="AX100" s="6"/>
      <c r="AY100" s="6"/>
      <c r="AZ100" s="6">
        <v>4</v>
      </c>
      <c r="BA100" s="6"/>
      <c r="BB100" s="6">
        <v>3</v>
      </c>
      <c r="BC100" s="6">
        <v>4</v>
      </c>
      <c r="BD100" s="6"/>
      <c r="BE100" s="6">
        <v>3</v>
      </c>
      <c r="BF100" s="6"/>
      <c r="BG100" s="6"/>
      <c r="BH100" s="6"/>
      <c r="BI100" s="6">
        <v>3</v>
      </c>
      <c r="BJ100" s="6">
        <v>4</v>
      </c>
      <c r="BK100" s="6">
        <v>9</v>
      </c>
      <c r="BL100" s="5">
        <f t="shared" si="30"/>
        <v>263</v>
      </c>
    </row>
    <row r="101" spans="1:64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5">
        <f t="shared" si="30"/>
        <v>0</v>
      </c>
    </row>
    <row r="102" spans="1:64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5">
        <f t="shared" si="30"/>
        <v>0</v>
      </c>
    </row>
    <row r="103" spans="1:64" x14ac:dyDescent="0.4">
      <c r="A103" s="6" t="s">
        <v>26</v>
      </c>
      <c r="B103" s="85" t="s">
        <v>51</v>
      </c>
      <c r="C103" s="65"/>
      <c r="D103" s="66"/>
      <c r="E103" s="5">
        <f t="shared" ref="E103:BL103" si="31">SUM(E93:E102)</f>
        <v>16</v>
      </c>
      <c r="F103" s="5">
        <f t="shared" si="31"/>
        <v>36</v>
      </c>
      <c r="G103" s="5">
        <f t="shared" si="31"/>
        <v>39</v>
      </c>
      <c r="H103" s="5">
        <f t="shared" si="31"/>
        <v>4</v>
      </c>
      <c r="I103" s="5">
        <f t="shared" si="31"/>
        <v>23</v>
      </c>
      <c r="J103" s="5">
        <f t="shared" si="31"/>
        <v>8</v>
      </c>
      <c r="K103" s="5">
        <f t="shared" si="31"/>
        <v>6</v>
      </c>
      <c r="L103" s="5">
        <f t="shared" si="31"/>
        <v>7</v>
      </c>
      <c r="M103" s="5">
        <f t="shared" si="31"/>
        <v>14</v>
      </c>
      <c r="N103" s="5">
        <f t="shared" si="31"/>
        <v>3</v>
      </c>
      <c r="O103" s="5">
        <f t="shared" si="31"/>
        <v>3</v>
      </c>
      <c r="P103" s="5">
        <f t="shared" si="31"/>
        <v>13</v>
      </c>
      <c r="Q103" s="5">
        <f t="shared" si="31"/>
        <v>1</v>
      </c>
      <c r="R103" s="5">
        <f t="shared" si="31"/>
        <v>1</v>
      </c>
      <c r="S103" s="5">
        <f t="shared" si="31"/>
        <v>3</v>
      </c>
      <c r="T103" s="5">
        <f t="shared" si="31"/>
        <v>6</v>
      </c>
      <c r="U103" s="5">
        <f t="shared" si="31"/>
        <v>3</v>
      </c>
      <c r="V103" s="5">
        <f t="shared" si="31"/>
        <v>1</v>
      </c>
      <c r="W103" s="5">
        <f t="shared" si="31"/>
        <v>10</v>
      </c>
      <c r="X103" s="5">
        <f t="shared" si="31"/>
        <v>8</v>
      </c>
      <c r="Y103" s="5">
        <f t="shared" si="31"/>
        <v>8</v>
      </c>
      <c r="Z103" s="5">
        <f t="shared" si="31"/>
        <v>14</v>
      </c>
      <c r="AA103" s="5">
        <f t="shared" si="31"/>
        <v>9</v>
      </c>
      <c r="AB103" s="5">
        <f t="shared" si="31"/>
        <v>0</v>
      </c>
      <c r="AC103" s="5">
        <f t="shared" si="31"/>
        <v>1</v>
      </c>
      <c r="AD103" s="5">
        <f t="shared" si="31"/>
        <v>17</v>
      </c>
      <c r="AE103" s="5">
        <f t="shared" si="31"/>
        <v>2</v>
      </c>
      <c r="AF103" s="5">
        <f t="shared" si="31"/>
        <v>5</v>
      </c>
      <c r="AG103" s="5">
        <f t="shared" si="31"/>
        <v>6</v>
      </c>
      <c r="AH103" s="5">
        <f t="shared" si="31"/>
        <v>2</v>
      </c>
      <c r="AI103" s="5">
        <f t="shared" si="31"/>
        <v>0</v>
      </c>
      <c r="AJ103" s="5">
        <f t="shared" si="31"/>
        <v>4</v>
      </c>
      <c r="AK103" s="5">
        <f t="shared" si="31"/>
        <v>9</v>
      </c>
      <c r="AL103" s="5">
        <f t="shared" si="31"/>
        <v>6</v>
      </c>
      <c r="AM103" s="5">
        <f t="shared" si="31"/>
        <v>2</v>
      </c>
      <c r="AN103" s="5">
        <f t="shared" si="31"/>
        <v>1</v>
      </c>
      <c r="AO103" s="5">
        <f t="shared" si="31"/>
        <v>5</v>
      </c>
      <c r="AP103" s="5">
        <f t="shared" si="31"/>
        <v>3</v>
      </c>
      <c r="AQ103" s="5">
        <f t="shared" si="31"/>
        <v>0</v>
      </c>
      <c r="AR103" s="5">
        <f t="shared" si="31"/>
        <v>5</v>
      </c>
      <c r="AS103" s="5">
        <f t="shared" si="31"/>
        <v>18</v>
      </c>
      <c r="AT103" s="5">
        <f t="shared" si="31"/>
        <v>15</v>
      </c>
      <c r="AU103" s="5">
        <f t="shared" si="31"/>
        <v>1</v>
      </c>
      <c r="AV103" s="5">
        <f t="shared" si="31"/>
        <v>67</v>
      </c>
      <c r="AW103" s="5">
        <f t="shared" si="31"/>
        <v>3</v>
      </c>
      <c r="AX103" s="5">
        <f t="shared" si="31"/>
        <v>0</v>
      </c>
      <c r="AY103" s="5">
        <f t="shared" si="31"/>
        <v>1</v>
      </c>
      <c r="AZ103" s="5">
        <f t="shared" si="31"/>
        <v>16</v>
      </c>
      <c r="BA103" s="5">
        <f t="shared" si="31"/>
        <v>0</v>
      </c>
      <c r="BB103" s="5">
        <f t="shared" si="31"/>
        <v>6</v>
      </c>
      <c r="BC103" s="5">
        <f t="shared" si="31"/>
        <v>33</v>
      </c>
      <c r="BD103" s="5">
        <f t="shared" si="31"/>
        <v>3</v>
      </c>
      <c r="BE103" s="5">
        <f t="shared" si="31"/>
        <v>63</v>
      </c>
      <c r="BF103" s="5">
        <f t="shared" si="31"/>
        <v>25</v>
      </c>
      <c r="BG103" s="5">
        <f t="shared" si="31"/>
        <v>0</v>
      </c>
      <c r="BH103" s="5">
        <f t="shared" si="31"/>
        <v>1</v>
      </c>
      <c r="BI103" s="5">
        <f t="shared" ref="BI103" si="32">SUM(BI93:BI102)</f>
        <v>3</v>
      </c>
      <c r="BJ103" s="5">
        <f t="shared" si="31"/>
        <v>4</v>
      </c>
      <c r="BK103" s="5">
        <f t="shared" si="31"/>
        <v>12</v>
      </c>
      <c r="BL103" s="5">
        <f t="shared" si="31"/>
        <v>575</v>
      </c>
    </row>
    <row r="104" spans="1:64" x14ac:dyDescent="0.4">
      <c r="A104" s="90"/>
      <c r="B104" s="89"/>
      <c r="C104" s="89"/>
      <c r="D104" s="89"/>
      <c r="E104" s="8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4" x14ac:dyDescent="0.4">
      <c r="A105" s="11" t="s">
        <v>48</v>
      </c>
      <c r="B105" s="17" t="s">
        <v>57</v>
      </c>
      <c r="C105" s="92" t="s">
        <v>58</v>
      </c>
      <c r="D105" s="66"/>
      <c r="E105" s="6"/>
      <c r="F105" s="6"/>
      <c r="G105" s="6"/>
      <c r="H105" s="6">
        <v>1</v>
      </c>
      <c r="I105" s="6"/>
      <c r="J105" s="6"/>
      <c r="K105" s="6"/>
      <c r="L105" s="6"/>
      <c r="M105" s="6"/>
      <c r="N105" s="6"/>
      <c r="O105" s="6">
        <v>1</v>
      </c>
      <c r="P105" s="6"/>
      <c r="Q105" s="6"/>
      <c r="R105" s="6"/>
      <c r="S105" s="6"/>
      <c r="T105" s="6"/>
      <c r="U105" s="6">
        <v>1</v>
      </c>
      <c r="V105" s="6"/>
      <c r="W105" s="6"/>
      <c r="X105" s="6"/>
      <c r="Y105" s="6"/>
      <c r="Z105" s="6"/>
      <c r="AA105" s="6"/>
      <c r="AB105" s="6">
        <v>1</v>
      </c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>
        <v>1</v>
      </c>
      <c r="AN105" s="6">
        <v>1</v>
      </c>
      <c r="AO105" s="6"/>
      <c r="AP105" s="6"/>
      <c r="AQ105" s="6"/>
      <c r="AR105" s="6"/>
      <c r="AS105" s="6"/>
      <c r="AT105" s="6"/>
      <c r="AU105" s="6">
        <v>1</v>
      </c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>
        <v>1</v>
      </c>
      <c r="BL105" s="5">
        <f t="shared" ref="BL105:BL114" si="33">SUM(E105:BK105)</f>
        <v>8</v>
      </c>
    </row>
    <row r="106" spans="1:64" x14ac:dyDescent="0.4">
      <c r="A106" s="11" t="s">
        <v>50</v>
      </c>
      <c r="B106" s="50"/>
      <c r="C106" s="24" t="s">
        <v>182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>
        <v>1</v>
      </c>
      <c r="P106" s="6"/>
      <c r="Q106" s="6"/>
      <c r="R106" s="6">
        <v>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>
        <v>1</v>
      </c>
      <c r="AU106" s="6">
        <v>1</v>
      </c>
      <c r="AV106" s="6">
        <v>1</v>
      </c>
      <c r="AW106" s="6"/>
      <c r="AX106" s="6"/>
      <c r="AY106" s="6"/>
      <c r="AZ106" s="6"/>
      <c r="BA106" s="6"/>
      <c r="BB106" s="6">
        <v>1</v>
      </c>
      <c r="BC106" s="6"/>
      <c r="BD106" s="6"/>
      <c r="BE106" s="6"/>
      <c r="BF106" s="6"/>
      <c r="BG106" s="6"/>
      <c r="BH106" s="6"/>
      <c r="BI106" s="6"/>
      <c r="BJ106" s="6"/>
      <c r="BK106" s="6"/>
      <c r="BL106" s="5">
        <f t="shared" si="33"/>
        <v>6</v>
      </c>
    </row>
    <row r="107" spans="1:64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5">
        <f t="shared" si="33"/>
        <v>0</v>
      </c>
    </row>
    <row r="108" spans="1:64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5">
        <f t="shared" si="33"/>
        <v>0</v>
      </c>
    </row>
    <row r="109" spans="1:64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5">
        <f t="shared" si="33"/>
        <v>0</v>
      </c>
    </row>
    <row r="110" spans="1:64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5">
        <f t="shared" si="33"/>
        <v>0</v>
      </c>
    </row>
    <row r="111" spans="1:64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5">
        <f t="shared" si="33"/>
        <v>0</v>
      </c>
    </row>
    <row r="112" spans="1:64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5">
        <f t="shared" si="33"/>
        <v>0</v>
      </c>
    </row>
    <row r="113" spans="1:6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5">
        <f t="shared" si="33"/>
        <v>0</v>
      </c>
    </row>
    <row r="114" spans="1:6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5">
        <f t="shared" si="33"/>
        <v>0</v>
      </c>
    </row>
    <row r="115" spans="1:64" ht="13.15" customHeight="1" x14ac:dyDescent="0.4">
      <c r="A115" s="6" t="s">
        <v>26</v>
      </c>
      <c r="B115" s="85" t="s">
        <v>51</v>
      </c>
      <c r="C115" s="93"/>
      <c r="D115" s="94"/>
      <c r="E115" s="5">
        <f t="shared" ref="E115:BL115" si="34">SUM(E105:E114)</f>
        <v>0</v>
      </c>
      <c r="F115" s="5">
        <f t="shared" si="34"/>
        <v>0</v>
      </c>
      <c r="G115" s="5">
        <f t="shared" si="34"/>
        <v>0</v>
      </c>
      <c r="H115" s="5">
        <f t="shared" si="34"/>
        <v>1</v>
      </c>
      <c r="I115" s="5">
        <f t="shared" si="34"/>
        <v>0</v>
      </c>
      <c r="J115" s="5">
        <f t="shared" si="34"/>
        <v>0</v>
      </c>
      <c r="K115" s="5">
        <f t="shared" si="34"/>
        <v>0</v>
      </c>
      <c r="L115" s="5">
        <f t="shared" si="34"/>
        <v>0</v>
      </c>
      <c r="M115" s="5">
        <f t="shared" si="34"/>
        <v>0</v>
      </c>
      <c r="N115" s="5">
        <f t="shared" si="34"/>
        <v>0</v>
      </c>
      <c r="O115" s="5">
        <f t="shared" si="34"/>
        <v>2</v>
      </c>
      <c r="P115" s="5">
        <f t="shared" si="34"/>
        <v>0</v>
      </c>
      <c r="Q115" s="5">
        <f t="shared" si="34"/>
        <v>0</v>
      </c>
      <c r="R115" s="5">
        <f t="shared" si="34"/>
        <v>1</v>
      </c>
      <c r="S115" s="5">
        <f t="shared" si="34"/>
        <v>0</v>
      </c>
      <c r="T115" s="5">
        <f t="shared" si="34"/>
        <v>0</v>
      </c>
      <c r="U115" s="5">
        <f t="shared" si="34"/>
        <v>1</v>
      </c>
      <c r="V115" s="5">
        <f t="shared" si="34"/>
        <v>0</v>
      </c>
      <c r="W115" s="5">
        <f t="shared" si="34"/>
        <v>0</v>
      </c>
      <c r="X115" s="5">
        <f t="shared" si="34"/>
        <v>0</v>
      </c>
      <c r="Y115" s="5">
        <f t="shared" si="34"/>
        <v>0</v>
      </c>
      <c r="Z115" s="5">
        <f t="shared" si="34"/>
        <v>0</v>
      </c>
      <c r="AA115" s="5">
        <f t="shared" si="34"/>
        <v>0</v>
      </c>
      <c r="AB115" s="5">
        <f t="shared" si="34"/>
        <v>1</v>
      </c>
      <c r="AC115" s="5">
        <f t="shared" si="34"/>
        <v>0</v>
      </c>
      <c r="AD115" s="5">
        <f t="shared" si="34"/>
        <v>0</v>
      </c>
      <c r="AE115" s="5">
        <f t="shared" si="34"/>
        <v>0</v>
      </c>
      <c r="AF115" s="5">
        <f t="shared" si="34"/>
        <v>0</v>
      </c>
      <c r="AG115" s="5">
        <f t="shared" si="34"/>
        <v>0</v>
      </c>
      <c r="AH115" s="5">
        <f t="shared" si="34"/>
        <v>0</v>
      </c>
      <c r="AI115" s="5">
        <f t="shared" si="34"/>
        <v>0</v>
      </c>
      <c r="AJ115" s="5">
        <f t="shared" si="34"/>
        <v>0</v>
      </c>
      <c r="AK115" s="5">
        <f t="shared" si="34"/>
        <v>0</v>
      </c>
      <c r="AL115" s="5">
        <f t="shared" si="34"/>
        <v>0</v>
      </c>
      <c r="AM115" s="5">
        <f t="shared" si="34"/>
        <v>1</v>
      </c>
      <c r="AN115" s="5">
        <f t="shared" si="34"/>
        <v>1</v>
      </c>
      <c r="AO115" s="5">
        <f t="shared" si="34"/>
        <v>0</v>
      </c>
      <c r="AP115" s="5">
        <f t="shared" si="34"/>
        <v>0</v>
      </c>
      <c r="AQ115" s="5">
        <f t="shared" si="34"/>
        <v>0</v>
      </c>
      <c r="AR115" s="5">
        <f t="shared" si="34"/>
        <v>0</v>
      </c>
      <c r="AS115" s="5">
        <f t="shared" si="34"/>
        <v>0</v>
      </c>
      <c r="AT115" s="5">
        <f t="shared" si="34"/>
        <v>1</v>
      </c>
      <c r="AU115" s="5">
        <f t="shared" si="34"/>
        <v>2</v>
      </c>
      <c r="AV115" s="5">
        <f t="shared" si="34"/>
        <v>1</v>
      </c>
      <c r="AW115" s="5">
        <f t="shared" si="34"/>
        <v>0</v>
      </c>
      <c r="AX115" s="5">
        <f t="shared" si="34"/>
        <v>0</v>
      </c>
      <c r="AY115" s="5">
        <f t="shared" si="34"/>
        <v>0</v>
      </c>
      <c r="AZ115" s="5">
        <f t="shared" si="34"/>
        <v>0</v>
      </c>
      <c r="BA115" s="5">
        <f t="shared" si="34"/>
        <v>0</v>
      </c>
      <c r="BB115" s="5">
        <f t="shared" si="34"/>
        <v>1</v>
      </c>
      <c r="BC115" s="5">
        <f t="shared" si="34"/>
        <v>0</v>
      </c>
      <c r="BD115" s="5">
        <f t="shared" si="34"/>
        <v>0</v>
      </c>
      <c r="BE115" s="5">
        <f t="shared" si="34"/>
        <v>0</v>
      </c>
      <c r="BF115" s="5">
        <f t="shared" si="34"/>
        <v>0</v>
      </c>
      <c r="BG115" s="5">
        <f t="shared" si="34"/>
        <v>0</v>
      </c>
      <c r="BH115" s="5">
        <f t="shared" si="34"/>
        <v>0</v>
      </c>
      <c r="BI115" s="5">
        <f t="shared" ref="BI115" si="35">SUM(BI105:BI114)</f>
        <v>0</v>
      </c>
      <c r="BJ115" s="5">
        <f t="shared" si="34"/>
        <v>0</v>
      </c>
      <c r="BK115" s="5">
        <f t="shared" si="34"/>
        <v>1</v>
      </c>
      <c r="BL115" s="5">
        <f t="shared" si="34"/>
        <v>14</v>
      </c>
    </row>
    <row r="116" spans="1:64" x14ac:dyDescent="0.4">
      <c r="A116" s="64"/>
      <c r="B116" s="86"/>
      <c r="C116" s="86"/>
      <c r="D116" s="86"/>
      <c r="E116" s="95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5"/>
    </row>
    <row r="117" spans="1:64" x14ac:dyDescent="0.4">
      <c r="A117" s="11" t="s">
        <v>48</v>
      </c>
      <c r="B117" s="17" t="s">
        <v>59</v>
      </c>
      <c r="C117" s="92" t="s">
        <v>60</v>
      </c>
      <c r="D117" s="66"/>
      <c r="E117" s="6">
        <v>1</v>
      </c>
      <c r="F117" s="6">
        <v>2</v>
      </c>
      <c r="G117" s="6">
        <v>2</v>
      </c>
      <c r="H117" s="6">
        <v>1</v>
      </c>
      <c r="I117" s="6"/>
      <c r="J117" s="6">
        <v>1</v>
      </c>
      <c r="K117" s="6"/>
      <c r="L117" s="6"/>
      <c r="M117" s="6">
        <v>1</v>
      </c>
      <c r="N117" s="6"/>
      <c r="O117" s="6"/>
      <c r="P117" s="6"/>
      <c r="Q117" s="6">
        <v>1</v>
      </c>
      <c r="R117" s="6"/>
      <c r="S117" s="6">
        <v>1</v>
      </c>
      <c r="T117" s="6"/>
      <c r="U117" s="6">
        <v>1</v>
      </c>
      <c r="V117" s="6"/>
      <c r="W117" s="6"/>
      <c r="X117" s="6">
        <v>1</v>
      </c>
      <c r="Y117" s="6"/>
      <c r="Z117" s="6">
        <v>1</v>
      </c>
      <c r="AA117" s="6"/>
      <c r="AB117" s="6"/>
      <c r="AC117" s="6"/>
      <c r="AD117" s="6"/>
      <c r="AE117" s="6">
        <v>1</v>
      </c>
      <c r="AF117" s="6"/>
      <c r="AG117" s="6">
        <v>2</v>
      </c>
      <c r="AH117" s="6"/>
      <c r="AI117" s="6"/>
      <c r="AJ117" s="6">
        <v>1</v>
      </c>
      <c r="AK117" s="6"/>
      <c r="AL117" s="6"/>
      <c r="AM117" s="6"/>
      <c r="AN117" s="6">
        <v>1</v>
      </c>
      <c r="AO117" s="6"/>
      <c r="AP117" s="6"/>
      <c r="AQ117" s="6"/>
      <c r="AR117" s="6"/>
      <c r="AS117" s="6">
        <v>1</v>
      </c>
      <c r="AT117" s="6"/>
      <c r="AU117" s="6">
        <v>1</v>
      </c>
      <c r="AV117" s="6"/>
      <c r="AW117" s="6"/>
      <c r="AX117" s="6"/>
      <c r="AY117" s="6"/>
      <c r="AZ117" s="6"/>
      <c r="BA117" s="6"/>
      <c r="BB117" s="6">
        <v>1</v>
      </c>
      <c r="BC117" s="6">
        <v>2</v>
      </c>
      <c r="BD117" s="6">
        <v>1</v>
      </c>
      <c r="BE117" s="6"/>
      <c r="BF117" s="6"/>
      <c r="BG117" s="6"/>
      <c r="BH117" s="6"/>
      <c r="BI117" s="6"/>
      <c r="BJ117" s="6"/>
      <c r="BK117" s="6">
        <v>1</v>
      </c>
      <c r="BL117" s="5">
        <f t="shared" ref="BL117:BL126" si="36">SUM(E117:BK117)</f>
        <v>25</v>
      </c>
    </row>
    <row r="118" spans="1:64" x14ac:dyDescent="0.4">
      <c r="A118" s="11" t="s">
        <v>50</v>
      </c>
      <c r="B118" s="50"/>
      <c r="C118" s="24" t="s">
        <v>183</v>
      </c>
      <c r="D118" s="5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>
        <v>1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5">
        <f t="shared" si="36"/>
        <v>1</v>
      </c>
    </row>
    <row r="119" spans="1:64" x14ac:dyDescent="0.4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5">
        <f t="shared" si="36"/>
        <v>0</v>
      </c>
    </row>
    <row r="120" spans="1:64" x14ac:dyDescent="0.4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5">
        <f t="shared" si="36"/>
        <v>0</v>
      </c>
    </row>
    <row r="121" spans="1:64" x14ac:dyDescent="0.4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5">
        <f t="shared" si="36"/>
        <v>0</v>
      </c>
    </row>
    <row r="122" spans="1:64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5">
        <f t="shared" si="36"/>
        <v>0</v>
      </c>
    </row>
    <row r="123" spans="1:64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5">
        <f t="shared" si="36"/>
        <v>0</v>
      </c>
    </row>
    <row r="124" spans="1:6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5">
        <f t="shared" si="36"/>
        <v>0</v>
      </c>
    </row>
    <row r="125" spans="1:6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5">
        <f t="shared" si="36"/>
        <v>0</v>
      </c>
    </row>
    <row r="126" spans="1:6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5">
        <f t="shared" si="36"/>
        <v>0</v>
      </c>
    </row>
    <row r="127" spans="1:64" x14ac:dyDescent="0.4">
      <c r="A127" s="6" t="s">
        <v>26</v>
      </c>
      <c r="B127" s="85" t="s">
        <v>51</v>
      </c>
      <c r="C127" s="93"/>
      <c r="D127" s="94"/>
      <c r="E127" s="5">
        <f t="shared" ref="E127:BL127" si="37">SUM(E117:E126)</f>
        <v>1</v>
      </c>
      <c r="F127" s="5">
        <f t="shared" si="37"/>
        <v>2</v>
      </c>
      <c r="G127" s="5">
        <f t="shared" si="37"/>
        <v>2</v>
      </c>
      <c r="H127" s="5">
        <f t="shared" si="37"/>
        <v>1</v>
      </c>
      <c r="I127" s="5">
        <f t="shared" si="37"/>
        <v>0</v>
      </c>
      <c r="J127" s="5">
        <f t="shared" si="37"/>
        <v>1</v>
      </c>
      <c r="K127" s="5">
        <f t="shared" si="37"/>
        <v>0</v>
      </c>
      <c r="L127" s="5">
        <f t="shared" si="37"/>
        <v>0</v>
      </c>
      <c r="M127" s="5">
        <f t="shared" si="37"/>
        <v>1</v>
      </c>
      <c r="N127" s="5">
        <f t="shared" si="37"/>
        <v>0</v>
      </c>
      <c r="O127" s="5">
        <f t="shared" si="37"/>
        <v>0</v>
      </c>
      <c r="P127" s="5">
        <f t="shared" si="37"/>
        <v>0</v>
      </c>
      <c r="Q127" s="5">
        <f t="shared" si="37"/>
        <v>1</v>
      </c>
      <c r="R127" s="5">
        <f t="shared" si="37"/>
        <v>0</v>
      </c>
      <c r="S127" s="5">
        <f t="shared" si="37"/>
        <v>1</v>
      </c>
      <c r="T127" s="5">
        <f t="shared" si="37"/>
        <v>0</v>
      </c>
      <c r="U127" s="5">
        <f t="shared" si="37"/>
        <v>2</v>
      </c>
      <c r="V127" s="5">
        <f t="shared" si="37"/>
        <v>0</v>
      </c>
      <c r="W127" s="5">
        <f t="shared" si="37"/>
        <v>0</v>
      </c>
      <c r="X127" s="5">
        <f t="shared" si="37"/>
        <v>1</v>
      </c>
      <c r="Y127" s="5">
        <f t="shared" si="37"/>
        <v>0</v>
      </c>
      <c r="Z127" s="5">
        <f t="shared" si="37"/>
        <v>1</v>
      </c>
      <c r="AA127" s="5">
        <f t="shared" si="37"/>
        <v>0</v>
      </c>
      <c r="AB127" s="5">
        <f t="shared" si="37"/>
        <v>0</v>
      </c>
      <c r="AC127" s="5">
        <f t="shared" si="37"/>
        <v>0</v>
      </c>
      <c r="AD127" s="5">
        <f t="shared" si="37"/>
        <v>0</v>
      </c>
      <c r="AE127" s="5">
        <f t="shared" si="37"/>
        <v>1</v>
      </c>
      <c r="AF127" s="5">
        <f t="shared" si="37"/>
        <v>0</v>
      </c>
      <c r="AG127" s="5">
        <f t="shared" si="37"/>
        <v>2</v>
      </c>
      <c r="AH127" s="5">
        <f t="shared" si="37"/>
        <v>0</v>
      </c>
      <c r="AI127" s="5">
        <f t="shared" si="37"/>
        <v>0</v>
      </c>
      <c r="AJ127" s="5">
        <f t="shared" si="37"/>
        <v>1</v>
      </c>
      <c r="AK127" s="5">
        <f t="shared" si="37"/>
        <v>0</v>
      </c>
      <c r="AL127" s="5">
        <f t="shared" si="37"/>
        <v>0</v>
      </c>
      <c r="AM127" s="5">
        <f t="shared" si="37"/>
        <v>0</v>
      </c>
      <c r="AN127" s="5">
        <f t="shared" si="37"/>
        <v>1</v>
      </c>
      <c r="AO127" s="5">
        <f t="shared" si="37"/>
        <v>0</v>
      </c>
      <c r="AP127" s="5">
        <f t="shared" si="37"/>
        <v>0</v>
      </c>
      <c r="AQ127" s="5">
        <f t="shared" si="37"/>
        <v>0</v>
      </c>
      <c r="AR127" s="5">
        <f t="shared" si="37"/>
        <v>0</v>
      </c>
      <c r="AS127" s="5">
        <f t="shared" si="37"/>
        <v>1</v>
      </c>
      <c r="AT127" s="5">
        <f t="shared" si="37"/>
        <v>0</v>
      </c>
      <c r="AU127" s="5">
        <f t="shared" si="37"/>
        <v>1</v>
      </c>
      <c r="AV127" s="5">
        <f t="shared" si="37"/>
        <v>0</v>
      </c>
      <c r="AW127" s="5">
        <f t="shared" si="37"/>
        <v>0</v>
      </c>
      <c r="AX127" s="5">
        <f t="shared" si="37"/>
        <v>0</v>
      </c>
      <c r="AY127" s="5">
        <f t="shared" si="37"/>
        <v>0</v>
      </c>
      <c r="AZ127" s="5">
        <f t="shared" si="37"/>
        <v>0</v>
      </c>
      <c r="BA127" s="5">
        <f t="shared" si="37"/>
        <v>0</v>
      </c>
      <c r="BB127" s="5">
        <f t="shared" si="37"/>
        <v>1</v>
      </c>
      <c r="BC127" s="5">
        <f t="shared" si="37"/>
        <v>2</v>
      </c>
      <c r="BD127" s="5">
        <f t="shared" si="37"/>
        <v>1</v>
      </c>
      <c r="BE127" s="5">
        <f t="shared" si="37"/>
        <v>0</v>
      </c>
      <c r="BF127" s="5">
        <f t="shared" si="37"/>
        <v>0</v>
      </c>
      <c r="BG127" s="5">
        <f t="shared" si="37"/>
        <v>0</v>
      </c>
      <c r="BH127" s="5">
        <f t="shared" si="37"/>
        <v>0</v>
      </c>
      <c r="BI127" s="5">
        <f t="shared" ref="BI127" si="38">SUM(BI117:BI126)</f>
        <v>0</v>
      </c>
      <c r="BJ127" s="5">
        <f t="shared" si="37"/>
        <v>0</v>
      </c>
      <c r="BK127" s="5">
        <f t="shared" si="37"/>
        <v>1</v>
      </c>
      <c r="BL127" s="5">
        <f t="shared" si="37"/>
        <v>26</v>
      </c>
    </row>
    <row r="128" spans="1:64" x14ac:dyDescent="0.4">
      <c r="A128" s="64"/>
      <c r="B128" s="86"/>
      <c r="C128" s="86"/>
      <c r="D128" s="86"/>
      <c r="E128" s="9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</row>
    <row r="129" spans="1:64" x14ac:dyDescent="0.4">
      <c r="A129" s="11" t="s">
        <v>48</v>
      </c>
      <c r="B129" s="17" t="s">
        <v>61</v>
      </c>
      <c r="C129" s="92" t="s">
        <v>62</v>
      </c>
      <c r="D129" s="66"/>
      <c r="E129" s="6"/>
      <c r="F129" s="6">
        <v>1</v>
      </c>
      <c r="G129" s="6"/>
      <c r="H129" s="6">
        <v>1</v>
      </c>
      <c r="I129" s="6">
        <v>2</v>
      </c>
      <c r="J129" s="6"/>
      <c r="K129" s="6"/>
      <c r="L129" s="6">
        <v>10</v>
      </c>
      <c r="M129" s="6">
        <v>7</v>
      </c>
      <c r="N129" s="6"/>
      <c r="O129" s="6">
        <v>1</v>
      </c>
      <c r="P129" s="6"/>
      <c r="Q129" s="6">
        <v>2</v>
      </c>
      <c r="R129" s="6">
        <v>1</v>
      </c>
      <c r="S129" s="6"/>
      <c r="T129" s="6"/>
      <c r="U129" s="6">
        <v>4</v>
      </c>
      <c r="V129" s="6"/>
      <c r="W129" s="6"/>
      <c r="X129" s="6">
        <v>2</v>
      </c>
      <c r="Y129" s="6"/>
      <c r="Z129" s="6">
        <v>1</v>
      </c>
      <c r="AA129" s="6"/>
      <c r="AB129" s="6">
        <v>2</v>
      </c>
      <c r="AC129" s="6"/>
      <c r="AD129" s="6"/>
      <c r="AE129" s="6"/>
      <c r="AF129" s="6">
        <v>2</v>
      </c>
      <c r="AG129" s="6">
        <v>1</v>
      </c>
      <c r="AH129" s="6"/>
      <c r="AI129" s="6"/>
      <c r="AJ129" s="6"/>
      <c r="AK129" s="6"/>
      <c r="AL129" s="6"/>
      <c r="AM129" s="6"/>
      <c r="AN129" s="6">
        <v>1</v>
      </c>
      <c r="AO129" s="6">
        <v>3</v>
      </c>
      <c r="AP129" s="6"/>
      <c r="AQ129" s="6"/>
      <c r="AR129" s="6">
        <v>2</v>
      </c>
      <c r="AS129" s="6">
        <v>5</v>
      </c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>
        <v>3</v>
      </c>
      <c r="BF129" s="6">
        <v>1</v>
      </c>
      <c r="BG129" s="6"/>
      <c r="BH129" s="6"/>
      <c r="BI129" s="6"/>
      <c r="BJ129" s="6"/>
      <c r="BK129" s="6"/>
      <c r="BL129" s="5">
        <f t="shared" ref="BL129:BL138" si="39">SUM(E129:BK129)</f>
        <v>52</v>
      </c>
    </row>
    <row r="130" spans="1:64" ht="13.15" customHeight="1" x14ac:dyDescent="0.4">
      <c r="A130" s="11" t="s">
        <v>50</v>
      </c>
      <c r="B130" s="50"/>
      <c r="C130" s="24" t="s">
        <v>184</v>
      </c>
      <c r="D130" s="51"/>
      <c r="E130" s="6"/>
      <c r="F130" s="6">
        <v>3</v>
      </c>
      <c r="G130" s="6">
        <v>1</v>
      </c>
      <c r="H130" s="6">
        <v>8</v>
      </c>
      <c r="I130" s="6">
        <v>2</v>
      </c>
      <c r="J130" s="6">
        <v>7</v>
      </c>
      <c r="K130" s="6">
        <v>6</v>
      </c>
      <c r="L130" s="6">
        <v>40</v>
      </c>
      <c r="M130" s="6">
        <v>45</v>
      </c>
      <c r="N130" s="6"/>
      <c r="O130" s="6">
        <v>9</v>
      </c>
      <c r="P130" s="6">
        <v>18</v>
      </c>
      <c r="Q130" s="6">
        <v>12</v>
      </c>
      <c r="R130" s="6">
        <v>6</v>
      </c>
      <c r="S130" s="6">
        <v>3</v>
      </c>
      <c r="T130" s="6">
        <v>2</v>
      </c>
      <c r="U130" s="6">
        <v>6</v>
      </c>
      <c r="V130" s="6">
        <v>1</v>
      </c>
      <c r="W130" s="6"/>
      <c r="X130" s="6"/>
      <c r="Y130" s="6">
        <v>10</v>
      </c>
      <c r="Z130" s="6">
        <v>6</v>
      </c>
      <c r="AA130" s="6">
        <v>3</v>
      </c>
      <c r="AB130" s="6">
        <v>7</v>
      </c>
      <c r="AC130" s="6">
        <v>1</v>
      </c>
      <c r="AD130" s="6">
        <v>29</v>
      </c>
      <c r="AE130" s="6">
        <v>7</v>
      </c>
      <c r="AF130" s="6">
        <v>18</v>
      </c>
      <c r="AG130" s="6">
        <v>6</v>
      </c>
      <c r="AH130" s="6"/>
      <c r="AI130" s="6"/>
      <c r="AJ130" s="6"/>
      <c r="AK130" s="6"/>
      <c r="AL130" s="6">
        <v>2</v>
      </c>
      <c r="AM130" s="6"/>
      <c r="AN130" s="6">
        <v>2</v>
      </c>
      <c r="AO130" s="6">
        <v>22</v>
      </c>
      <c r="AP130" s="6">
        <v>1</v>
      </c>
      <c r="AQ130" s="6">
        <v>2</v>
      </c>
      <c r="AR130" s="6">
        <v>4</v>
      </c>
      <c r="AS130" s="6">
        <v>13</v>
      </c>
      <c r="AT130" s="6"/>
      <c r="AU130" s="6">
        <v>1</v>
      </c>
      <c r="AV130" s="6">
        <v>6</v>
      </c>
      <c r="AW130" s="6">
        <v>2</v>
      </c>
      <c r="AX130" s="6"/>
      <c r="AY130" s="6">
        <v>2</v>
      </c>
      <c r="AZ130" s="6">
        <v>4</v>
      </c>
      <c r="BA130" s="6">
        <v>1</v>
      </c>
      <c r="BB130" s="6">
        <v>1</v>
      </c>
      <c r="BC130" s="6">
        <v>7</v>
      </c>
      <c r="BD130" s="6"/>
      <c r="BE130" s="6">
        <v>5</v>
      </c>
      <c r="BF130" s="6">
        <v>18</v>
      </c>
      <c r="BG130" s="6">
        <v>1</v>
      </c>
      <c r="BH130" s="6"/>
      <c r="BI130" s="6"/>
      <c r="BJ130" s="6"/>
      <c r="BK130" s="6"/>
      <c r="BL130" s="5">
        <f t="shared" si="39"/>
        <v>350</v>
      </c>
    </row>
    <row r="131" spans="1:64" x14ac:dyDescent="0.4">
      <c r="A131" s="7"/>
      <c r="B131" s="50"/>
      <c r="C131" s="24" t="s">
        <v>185</v>
      </c>
      <c r="D131" s="51"/>
      <c r="E131" s="6"/>
      <c r="F131" s="6"/>
      <c r="G131" s="6"/>
      <c r="H131" s="6">
        <v>1</v>
      </c>
      <c r="I131" s="6"/>
      <c r="J131" s="6"/>
      <c r="K131" s="6"/>
      <c r="L131" s="6"/>
      <c r="M131" s="6">
        <v>1</v>
      </c>
      <c r="N131" s="6"/>
      <c r="O131" s="6">
        <v>1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>
        <v>1</v>
      </c>
      <c r="AC131" s="6"/>
      <c r="AD131" s="6">
        <v>1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>
        <v>1</v>
      </c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>
        <v>1</v>
      </c>
      <c r="BF131" s="6"/>
      <c r="BG131" s="6"/>
      <c r="BH131" s="6">
        <v>1</v>
      </c>
      <c r="BI131" s="6"/>
      <c r="BJ131" s="6"/>
      <c r="BK131" s="6"/>
      <c r="BL131" s="5">
        <f t="shared" si="39"/>
        <v>8</v>
      </c>
    </row>
    <row r="132" spans="1:64" x14ac:dyDescent="0.4">
      <c r="A132" s="7"/>
      <c r="B132" s="50"/>
      <c r="C132" s="24" t="s">
        <v>186</v>
      </c>
      <c r="D132" s="5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>
        <v>1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>
        <v>1</v>
      </c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5">
        <f t="shared" si="39"/>
        <v>2</v>
      </c>
    </row>
    <row r="133" spans="1:64" x14ac:dyDescent="0.4">
      <c r="A133" s="7"/>
      <c r="B133" s="50"/>
      <c r="C133" s="24" t="s">
        <v>187</v>
      </c>
      <c r="D133" s="51"/>
      <c r="E133" s="6"/>
      <c r="F133" s="6">
        <v>1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>
        <v>1</v>
      </c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5">
        <f t="shared" si="39"/>
        <v>2</v>
      </c>
    </row>
    <row r="134" spans="1:64" x14ac:dyDescent="0.4">
      <c r="A134" s="7"/>
      <c r="B134" s="50"/>
      <c r="C134" s="24" t="s">
        <v>188</v>
      </c>
      <c r="D134" s="51"/>
      <c r="E134" s="6"/>
      <c r="F134" s="6"/>
      <c r="G134" s="6"/>
      <c r="H134" s="6"/>
      <c r="I134" s="6"/>
      <c r="J134" s="6"/>
      <c r="K134" s="6"/>
      <c r="L134" s="6"/>
      <c r="M134" s="6">
        <v>1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>
        <v>1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5">
        <f t="shared" si="39"/>
        <v>2</v>
      </c>
    </row>
    <row r="135" spans="1:64" x14ac:dyDescent="0.4">
      <c r="A135" s="7"/>
      <c r="B135" s="50"/>
      <c r="C135" s="24" t="s">
        <v>189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>
        <v>4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5">
        <f t="shared" si="39"/>
        <v>4</v>
      </c>
    </row>
    <row r="136" spans="1:64" x14ac:dyDescent="0.4">
      <c r="A136" s="7"/>
      <c r="B136" s="50"/>
      <c r="C136" s="24" t="s">
        <v>190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>
        <v>3</v>
      </c>
      <c r="AF136" s="6">
        <v>1</v>
      </c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5">
        <f t="shared" si="39"/>
        <v>4</v>
      </c>
    </row>
    <row r="137" spans="1:64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5">
        <f t="shared" si="39"/>
        <v>0</v>
      </c>
    </row>
    <row r="138" spans="1:64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5">
        <f t="shared" si="39"/>
        <v>0</v>
      </c>
    </row>
    <row r="139" spans="1:64" x14ac:dyDescent="0.4">
      <c r="A139" s="6" t="s">
        <v>26</v>
      </c>
      <c r="B139" s="85" t="s">
        <v>51</v>
      </c>
      <c r="C139" s="93"/>
      <c r="D139" s="94"/>
      <c r="E139" s="5">
        <f t="shared" ref="E139:BL139" si="40">SUM(E129:E138)</f>
        <v>0</v>
      </c>
      <c r="F139" s="5">
        <f t="shared" si="40"/>
        <v>5</v>
      </c>
      <c r="G139" s="5">
        <f t="shared" si="40"/>
        <v>1</v>
      </c>
      <c r="H139" s="5">
        <f t="shared" si="40"/>
        <v>10</v>
      </c>
      <c r="I139" s="5">
        <f t="shared" si="40"/>
        <v>4</v>
      </c>
      <c r="J139" s="5">
        <f t="shared" si="40"/>
        <v>7</v>
      </c>
      <c r="K139" s="5">
        <f t="shared" si="40"/>
        <v>6</v>
      </c>
      <c r="L139" s="5">
        <f t="shared" si="40"/>
        <v>50</v>
      </c>
      <c r="M139" s="5">
        <f t="shared" si="40"/>
        <v>54</v>
      </c>
      <c r="N139" s="5">
        <f t="shared" si="40"/>
        <v>0</v>
      </c>
      <c r="O139" s="5">
        <f t="shared" si="40"/>
        <v>12</v>
      </c>
      <c r="P139" s="5">
        <f t="shared" si="40"/>
        <v>22</v>
      </c>
      <c r="Q139" s="5">
        <f t="shared" si="40"/>
        <v>14</v>
      </c>
      <c r="R139" s="5">
        <f t="shared" si="40"/>
        <v>7</v>
      </c>
      <c r="S139" s="5">
        <f t="shared" si="40"/>
        <v>3</v>
      </c>
      <c r="T139" s="5">
        <f t="shared" si="40"/>
        <v>2</v>
      </c>
      <c r="U139" s="5">
        <f t="shared" si="40"/>
        <v>10</v>
      </c>
      <c r="V139" s="5">
        <f t="shared" si="40"/>
        <v>1</v>
      </c>
      <c r="W139" s="5">
        <f t="shared" si="40"/>
        <v>0</v>
      </c>
      <c r="X139" s="5">
        <f t="shared" si="40"/>
        <v>2</v>
      </c>
      <c r="Y139" s="5">
        <f t="shared" si="40"/>
        <v>10</v>
      </c>
      <c r="Z139" s="5">
        <f t="shared" si="40"/>
        <v>8</v>
      </c>
      <c r="AA139" s="5">
        <f t="shared" si="40"/>
        <v>3</v>
      </c>
      <c r="AB139" s="5">
        <f t="shared" si="40"/>
        <v>10</v>
      </c>
      <c r="AC139" s="5">
        <f t="shared" si="40"/>
        <v>1</v>
      </c>
      <c r="AD139" s="5">
        <f t="shared" si="40"/>
        <v>30</v>
      </c>
      <c r="AE139" s="5">
        <f t="shared" si="40"/>
        <v>11</v>
      </c>
      <c r="AF139" s="5">
        <f t="shared" si="40"/>
        <v>21</v>
      </c>
      <c r="AG139" s="5">
        <f t="shared" si="40"/>
        <v>7</v>
      </c>
      <c r="AH139" s="5">
        <f t="shared" si="40"/>
        <v>0</v>
      </c>
      <c r="AI139" s="5">
        <f t="shared" si="40"/>
        <v>0</v>
      </c>
      <c r="AJ139" s="5">
        <f t="shared" si="40"/>
        <v>0</v>
      </c>
      <c r="AK139" s="5">
        <f t="shared" si="40"/>
        <v>0</v>
      </c>
      <c r="AL139" s="5">
        <f t="shared" si="40"/>
        <v>2</v>
      </c>
      <c r="AM139" s="5">
        <f t="shared" si="40"/>
        <v>0</v>
      </c>
      <c r="AN139" s="5">
        <f t="shared" si="40"/>
        <v>3</v>
      </c>
      <c r="AO139" s="5">
        <f t="shared" si="40"/>
        <v>25</v>
      </c>
      <c r="AP139" s="5">
        <f t="shared" si="40"/>
        <v>2</v>
      </c>
      <c r="AQ139" s="5">
        <f t="shared" si="40"/>
        <v>3</v>
      </c>
      <c r="AR139" s="5">
        <f t="shared" si="40"/>
        <v>6</v>
      </c>
      <c r="AS139" s="5">
        <f t="shared" si="40"/>
        <v>18</v>
      </c>
      <c r="AT139" s="5">
        <f t="shared" si="40"/>
        <v>0</v>
      </c>
      <c r="AU139" s="5">
        <f t="shared" si="40"/>
        <v>1</v>
      </c>
      <c r="AV139" s="5">
        <f t="shared" si="40"/>
        <v>6</v>
      </c>
      <c r="AW139" s="5">
        <f t="shared" si="40"/>
        <v>2</v>
      </c>
      <c r="AX139" s="5">
        <f t="shared" si="40"/>
        <v>0</v>
      </c>
      <c r="AY139" s="5">
        <f t="shared" si="40"/>
        <v>2</v>
      </c>
      <c r="AZ139" s="5">
        <f t="shared" si="40"/>
        <v>4</v>
      </c>
      <c r="BA139" s="5">
        <f t="shared" si="40"/>
        <v>1</v>
      </c>
      <c r="BB139" s="5">
        <f t="shared" si="40"/>
        <v>1</v>
      </c>
      <c r="BC139" s="5">
        <f t="shared" si="40"/>
        <v>7</v>
      </c>
      <c r="BD139" s="5">
        <f t="shared" si="40"/>
        <v>0</v>
      </c>
      <c r="BE139" s="5">
        <f t="shared" si="40"/>
        <v>9</v>
      </c>
      <c r="BF139" s="5">
        <f t="shared" si="40"/>
        <v>19</v>
      </c>
      <c r="BG139" s="5">
        <f t="shared" si="40"/>
        <v>1</v>
      </c>
      <c r="BH139" s="5">
        <f t="shared" si="40"/>
        <v>1</v>
      </c>
      <c r="BI139" s="5">
        <f t="shared" ref="BI139" si="41">SUM(BI129:BI138)</f>
        <v>0</v>
      </c>
      <c r="BJ139" s="5">
        <f t="shared" si="40"/>
        <v>0</v>
      </c>
      <c r="BK139" s="5">
        <f t="shared" si="40"/>
        <v>0</v>
      </c>
      <c r="BL139" s="5">
        <f t="shared" si="40"/>
        <v>424</v>
      </c>
    </row>
    <row r="140" spans="1:64" x14ac:dyDescent="0.4">
      <c r="A140" s="64"/>
      <c r="B140" s="86"/>
      <c r="C140" s="86"/>
      <c r="D140" s="86"/>
      <c r="E140" s="95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</row>
    <row r="141" spans="1:64" ht="13.15" customHeight="1" x14ac:dyDescent="0.4">
      <c r="A141" s="11" t="s">
        <v>48</v>
      </c>
      <c r="B141" s="17" t="s">
        <v>63</v>
      </c>
      <c r="C141" s="92" t="s">
        <v>64</v>
      </c>
      <c r="D141" s="6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>
        <v>2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5">
        <f t="shared" ref="BL141:BL150" si="42">SUM(E141:BK141)</f>
        <v>2</v>
      </c>
    </row>
    <row r="142" spans="1:64" x14ac:dyDescent="0.4">
      <c r="A142" s="11" t="s">
        <v>50</v>
      </c>
      <c r="B142" s="17"/>
      <c r="C142" s="24" t="s">
        <v>191</v>
      </c>
      <c r="D142" s="49"/>
      <c r="E142" s="6"/>
      <c r="F142" s="6"/>
      <c r="G142" s="6"/>
      <c r="H142" s="6"/>
      <c r="I142" s="6"/>
      <c r="J142" s="6"/>
      <c r="K142" s="6">
        <v>2</v>
      </c>
      <c r="L142" s="6"/>
      <c r="M142" s="6"/>
      <c r="N142" s="6"/>
      <c r="O142" s="6"/>
      <c r="P142" s="6"/>
      <c r="Q142" s="6"/>
      <c r="R142" s="6"/>
      <c r="S142" s="6"/>
      <c r="T142" s="6">
        <v>1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>
        <v>2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5">
        <f t="shared" si="42"/>
        <v>5</v>
      </c>
    </row>
    <row r="143" spans="1:64" x14ac:dyDescent="0.4">
      <c r="A143" s="7"/>
      <c r="B143" s="17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>
        <v>1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5">
        <f t="shared" si="42"/>
        <v>1</v>
      </c>
    </row>
    <row r="144" spans="1:64" x14ac:dyDescent="0.4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5">
        <f t="shared" si="42"/>
        <v>0</v>
      </c>
    </row>
    <row r="145" spans="1:6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5">
        <f t="shared" si="42"/>
        <v>0</v>
      </c>
    </row>
    <row r="146" spans="1:6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5">
        <f t="shared" si="42"/>
        <v>0</v>
      </c>
    </row>
    <row r="147" spans="1:6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5">
        <f t="shared" si="42"/>
        <v>0</v>
      </c>
    </row>
    <row r="148" spans="1:6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5">
        <f t="shared" si="42"/>
        <v>0</v>
      </c>
    </row>
    <row r="149" spans="1:6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5">
        <f t="shared" si="42"/>
        <v>0</v>
      </c>
    </row>
    <row r="150" spans="1:6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5">
        <f t="shared" si="42"/>
        <v>0</v>
      </c>
    </row>
    <row r="151" spans="1:64" ht="13.15" customHeight="1" x14ac:dyDescent="0.4">
      <c r="A151" s="6" t="s">
        <v>26</v>
      </c>
      <c r="B151" s="85" t="s">
        <v>51</v>
      </c>
      <c r="C151" s="93"/>
      <c r="D151" s="94"/>
      <c r="E151" s="5">
        <f t="shared" ref="E151:BL151" si="43">SUM(E141:E150)</f>
        <v>0</v>
      </c>
      <c r="F151" s="5">
        <f t="shared" si="43"/>
        <v>0</v>
      </c>
      <c r="G151" s="5">
        <f t="shared" si="43"/>
        <v>0</v>
      </c>
      <c r="H151" s="5">
        <f t="shared" si="43"/>
        <v>0</v>
      </c>
      <c r="I151" s="5">
        <f t="shared" si="43"/>
        <v>0</v>
      </c>
      <c r="J151" s="5">
        <f t="shared" si="43"/>
        <v>0</v>
      </c>
      <c r="K151" s="5">
        <f t="shared" si="43"/>
        <v>2</v>
      </c>
      <c r="L151" s="5">
        <f t="shared" si="43"/>
        <v>0</v>
      </c>
      <c r="M151" s="5">
        <f t="shared" si="43"/>
        <v>0</v>
      </c>
      <c r="N151" s="5">
        <f t="shared" si="43"/>
        <v>0</v>
      </c>
      <c r="O151" s="5">
        <f t="shared" si="43"/>
        <v>0</v>
      </c>
      <c r="P151" s="5">
        <f t="shared" si="43"/>
        <v>0</v>
      </c>
      <c r="Q151" s="5">
        <f t="shared" si="43"/>
        <v>0</v>
      </c>
      <c r="R151" s="5">
        <f t="shared" si="43"/>
        <v>2</v>
      </c>
      <c r="S151" s="5">
        <f t="shared" si="43"/>
        <v>0</v>
      </c>
      <c r="T151" s="5">
        <f t="shared" si="43"/>
        <v>1</v>
      </c>
      <c r="U151" s="5">
        <f t="shared" si="43"/>
        <v>0</v>
      </c>
      <c r="V151" s="5">
        <f t="shared" si="43"/>
        <v>0</v>
      </c>
      <c r="W151" s="5">
        <f t="shared" si="43"/>
        <v>0</v>
      </c>
      <c r="X151" s="5">
        <f t="shared" si="43"/>
        <v>0</v>
      </c>
      <c r="Y151" s="5">
        <f t="shared" si="43"/>
        <v>0</v>
      </c>
      <c r="Z151" s="5">
        <f t="shared" si="43"/>
        <v>0</v>
      </c>
      <c r="AA151" s="5">
        <f t="shared" si="43"/>
        <v>0</v>
      </c>
      <c r="AB151" s="5">
        <f t="shared" si="43"/>
        <v>0</v>
      </c>
      <c r="AC151" s="5">
        <f t="shared" si="43"/>
        <v>0</v>
      </c>
      <c r="AD151" s="5">
        <f t="shared" si="43"/>
        <v>1</v>
      </c>
      <c r="AE151" s="5">
        <f t="shared" si="43"/>
        <v>0</v>
      </c>
      <c r="AF151" s="5">
        <f t="shared" si="43"/>
        <v>0</v>
      </c>
      <c r="AG151" s="5">
        <f t="shared" si="43"/>
        <v>0</v>
      </c>
      <c r="AH151" s="5">
        <f t="shared" si="43"/>
        <v>0</v>
      </c>
      <c r="AI151" s="5">
        <f t="shared" si="43"/>
        <v>0</v>
      </c>
      <c r="AJ151" s="5">
        <f t="shared" si="43"/>
        <v>0</v>
      </c>
      <c r="AK151" s="5">
        <f t="shared" si="43"/>
        <v>0</v>
      </c>
      <c r="AL151" s="5">
        <f t="shared" si="43"/>
        <v>0</v>
      </c>
      <c r="AM151" s="5">
        <f t="shared" si="43"/>
        <v>0</v>
      </c>
      <c r="AN151" s="5">
        <f t="shared" si="43"/>
        <v>0</v>
      </c>
      <c r="AO151" s="5">
        <f t="shared" si="43"/>
        <v>2</v>
      </c>
      <c r="AP151" s="5">
        <f t="shared" si="43"/>
        <v>0</v>
      </c>
      <c r="AQ151" s="5">
        <f t="shared" si="43"/>
        <v>0</v>
      </c>
      <c r="AR151" s="5">
        <f t="shared" si="43"/>
        <v>0</v>
      </c>
      <c r="AS151" s="5">
        <f t="shared" si="43"/>
        <v>0</v>
      </c>
      <c r="AT151" s="5">
        <f t="shared" si="43"/>
        <v>0</v>
      </c>
      <c r="AU151" s="5">
        <f t="shared" si="43"/>
        <v>0</v>
      </c>
      <c r="AV151" s="5">
        <f t="shared" si="43"/>
        <v>0</v>
      </c>
      <c r="AW151" s="5">
        <f t="shared" si="43"/>
        <v>0</v>
      </c>
      <c r="AX151" s="5">
        <f t="shared" si="43"/>
        <v>0</v>
      </c>
      <c r="AY151" s="5">
        <f t="shared" si="43"/>
        <v>0</v>
      </c>
      <c r="AZ151" s="5">
        <f t="shared" si="43"/>
        <v>0</v>
      </c>
      <c r="BA151" s="5">
        <f t="shared" si="43"/>
        <v>0</v>
      </c>
      <c r="BB151" s="5">
        <f t="shared" si="43"/>
        <v>0</v>
      </c>
      <c r="BC151" s="5">
        <f t="shared" si="43"/>
        <v>0</v>
      </c>
      <c r="BD151" s="5">
        <f t="shared" si="43"/>
        <v>0</v>
      </c>
      <c r="BE151" s="5">
        <f t="shared" si="43"/>
        <v>0</v>
      </c>
      <c r="BF151" s="5">
        <f t="shared" si="43"/>
        <v>0</v>
      </c>
      <c r="BG151" s="5">
        <f t="shared" si="43"/>
        <v>0</v>
      </c>
      <c r="BH151" s="5">
        <f t="shared" si="43"/>
        <v>0</v>
      </c>
      <c r="BI151" s="5">
        <f t="shared" ref="BI151" si="44">SUM(BI141:BI150)</f>
        <v>0</v>
      </c>
      <c r="BJ151" s="5">
        <f t="shared" si="43"/>
        <v>0</v>
      </c>
      <c r="BK151" s="5">
        <f t="shared" si="43"/>
        <v>0</v>
      </c>
      <c r="BL151" s="5">
        <f t="shared" si="43"/>
        <v>8</v>
      </c>
    </row>
    <row r="152" spans="1:64" x14ac:dyDescent="0.4">
      <c r="A152" s="64"/>
      <c r="B152" s="86"/>
      <c r="C152" s="86"/>
      <c r="D152" s="86"/>
      <c r="E152" s="95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5"/>
    </row>
    <row r="153" spans="1:64" x14ac:dyDescent="0.4">
      <c r="A153" s="11" t="s">
        <v>48</v>
      </c>
      <c r="B153" s="44" t="s">
        <v>65</v>
      </c>
      <c r="C153" s="96" t="s">
        <v>66</v>
      </c>
      <c r="D153" s="7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5">
        <f t="shared" ref="BL153:BL162" si="45">SUM(E153:BK153)</f>
        <v>0</v>
      </c>
    </row>
    <row r="154" spans="1:64" x14ac:dyDescent="0.4">
      <c r="A154" s="52" t="s">
        <v>50</v>
      </c>
      <c r="B154" s="50"/>
      <c r="C154" s="24" t="s">
        <v>193</v>
      </c>
      <c r="D154" s="51"/>
      <c r="E154" s="53"/>
      <c r="F154" s="6"/>
      <c r="G154" s="6"/>
      <c r="H154" s="6"/>
      <c r="I154" s="6"/>
      <c r="J154" s="6">
        <v>1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>
        <v>1</v>
      </c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5">
        <f t="shared" si="45"/>
        <v>2</v>
      </c>
    </row>
    <row r="155" spans="1:64" x14ac:dyDescent="0.4">
      <c r="A155" s="7"/>
      <c r="B155" s="50"/>
      <c r="C155" s="24" t="s">
        <v>194</v>
      </c>
      <c r="D155" s="51"/>
      <c r="E155" s="53"/>
      <c r="F155" s="6">
        <v>2</v>
      </c>
      <c r="G155" s="6">
        <v>3</v>
      </c>
      <c r="H155" s="6"/>
      <c r="I155" s="6">
        <v>4</v>
      </c>
      <c r="J155" s="6">
        <v>1</v>
      </c>
      <c r="K155" s="6"/>
      <c r="L155" s="6"/>
      <c r="M155" s="6"/>
      <c r="N155" s="6"/>
      <c r="O155" s="6"/>
      <c r="P155" s="6">
        <v>4</v>
      </c>
      <c r="Q155" s="6"/>
      <c r="R155" s="6"/>
      <c r="S155" s="6"/>
      <c r="T155" s="6"/>
      <c r="U155" s="6"/>
      <c r="V155" s="6"/>
      <c r="W155" s="6">
        <v>1</v>
      </c>
      <c r="X155" s="6">
        <v>1</v>
      </c>
      <c r="Y155" s="6"/>
      <c r="Z155" s="6"/>
      <c r="AA155" s="6"/>
      <c r="AB155" s="6"/>
      <c r="AC155" s="6"/>
      <c r="AD155" s="6"/>
      <c r="AE155" s="6"/>
      <c r="AF155" s="6">
        <v>1</v>
      </c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>
        <v>1</v>
      </c>
      <c r="BE155" s="6"/>
      <c r="BF155" s="6"/>
      <c r="BG155" s="6"/>
      <c r="BH155" s="6"/>
      <c r="BI155" s="6"/>
      <c r="BJ155" s="6"/>
      <c r="BK155" s="6"/>
      <c r="BL155" s="5">
        <f t="shared" si="45"/>
        <v>18</v>
      </c>
    </row>
    <row r="156" spans="1:64" x14ac:dyDescent="0.4">
      <c r="A156" s="7"/>
      <c r="B156" s="50"/>
      <c r="C156" s="24" t="s">
        <v>195</v>
      </c>
      <c r="D156" s="51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5">
        <f t="shared" si="45"/>
        <v>0</v>
      </c>
    </row>
    <row r="157" spans="1:64" x14ac:dyDescent="0.4">
      <c r="A157" s="7"/>
      <c r="B157" s="50"/>
      <c r="C157" s="24" t="s">
        <v>196</v>
      </c>
      <c r="D157" s="51"/>
      <c r="E157" s="53"/>
      <c r="F157" s="6"/>
      <c r="G157" s="6">
        <v>1</v>
      </c>
      <c r="H157" s="6"/>
      <c r="I157" s="6"/>
      <c r="J157" s="6"/>
      <c r="K157" s="6"/>
      <c r="L157" s="6"/>
      <c r="M157" s="6"/>
      <c r="N157" s="6"/>
      <c r="O157" s="6">
        <v>1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5">
        <f t="shared" si="45"/>
        <v>2</v>
      </c>
    </row>
    <row r="158" spans="1:64" x14ac:dyDescent="0.4">
      <c r="A158" s="7"/>
      <c r="B158" s="50"/>
      <c r="C158" s="24" t="s">
        <v>197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>
        <v>1</v>
      </c>
      <c r="BG158" s="6"/>
      <c r="BH158" s="6"/>
      <c r="BI158" s="6"/>
      <c r="BJ158" s="6"/>
      <c r="BK158" s="6"/>
      <c r="BL158" s="5">
        <f t="shared" si="45"/>
        <v>1</v>
      </c>
    </row>
    <row r="159" spans="1:64" x14ac:dyDescent="0.4">
      <c r="A159" s="7"/>
      <c r="B159" s="50"/>
      <c r="C159" s="24" t="s">
        <v>198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5">
        <f t="shared" si="45"/>
        <v>0</v>
      </c>
    </row>
    <row r="160" spans="1:64" x14ac:dyDescent="0.4">
      <c r="A160" s="7"/>
      <c r="B160" s="50"/>
      <c r="C160" s="24" t="s">
        <v>199</v>
      </c>
      <c r="D160" s="51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>
        <v>1</v>
      </c>
      <c r="AH160" s="6"/>
      <c r="AI160" s="6">
        <v>1</v>
      </c>
      <c r="AJ160" s="6"/>
      <c r="AK160" s="6"/>
      <c r="AL160" s="6">
        <v>2</v>
      </c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5">
        <f t="shared" si="45"/>
        <v>4</v>
      </c>
    </row>
    <row r="161" spans="1:6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5">
        <f t="shared" si="45"/>
        <v>0</v>
      </c>
    </row>
    <row r="162" spans="1:6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5">
        <f t="shared" si="45"/>
        <v>0</v>
      </c>
    </row>
    <row r="163" spans="1:64" x14ac:dyDescent="0.4">
      <c r="A163" s="6" t="s">
        <v>26</v>
      </c>
      <c r="B163" s="97" t="s">
        <v>51</v>
      </c>
      <c r="C163" s="98"/>
      <c r="D163" s="99"/>
      <c r="E163" s="5">
        <f t="shared" ref="E163:BL163" si="46">SUM(E153:E162)</f>
        <v>0</v>
      </c>
      <c r="F163" s="5">
        <f t="shared" si="46"/>
        <v>2</v>
      </c>
      <c r="G163" s="5">
        <f t="shared" si="46"/>
        <v>4</v>
      </c>
      <c r="H163" s="5">
        <f t="shared" si="46"/>
        <v>0</v>
      </c>
      <c r="I163" s="5">
        <f t="shared" si="46"/>
        <v>4</v>
      </c>
      <c r="J163" s="5">
        <f t="shared" si="46"/>
        <v>2</v>
      </c>
      <c r="K163" s="5">
        <f t="shared" si="46"/>
        <v>0</v>
      </c>
      <c r="L163" s="5">
        <f t="shared" si="46"/>
        <v>0</v>
      </c>
      <c r="M163" s="5">
        <f t="shared" si="46"/>
        <v>0</v>
      </c>
      <c r="N163" s="5">
        <f t="shared" si="46"/>
        <v>0</v>
      </c>
      <c r="O163" s="5">
        <f t="shared" si="46"/>
        <v>1</v>
      </c>
      <c r="P163" s="5">
        <f t="shared" si="46"/>
        <v>4</v>
      </c>
      <c r="Q163" s="5">
        <f t="shared" si="46"/>
        <v>0</v>
      </c>
      <c r="R163" s="5">
        <f t="shared" si="46"/>
        <v>0</v>
      </c>
      <c r="S163" s="5">
        <f t="shared" si="46"/>
        <v>0</v>
      </c>
      <c r="T163" s="5">
        <f t="shared" si="46"/>
        <v>0</v>
      </c>
      <c r="U163" s="5">
        <f t="shared" si="46"/>
        <v>0</v>
      </c>
      <c r="V163" s="5">
        <f t="shared" si="46"/>
        <v>0</v>
      </c>
      <c r="W163" s="5">
        <f t="shared" si="46"/>
        <v>1</v>
      </c>
      <c r="X163" s="5">
        <f t="shared" si="46"/>
        <v>1</v>
      </c>
      <c r="Y163" s="5">
        <f t="shared" si="46"/>
        <v>0</v>
      </c>
      <c r="Z163" s="5">
        <f t="shared" si="46"/>
        <v>0</v>
      </c>
      <c r="AA163" s="5">
        <f t="shared" si="46"/>
        <v>0</v>
      </c>
      <c r="AB163" s="5">
        <f t="shared" si="46"/>
        <v>0</v>
      </c>
      <c r="AC163" s="5">
        <f t="shared" si="46"/>
        <v>0</v>
      </c>
      <c r="AD163" s="5">
        <f t="shared" si="46"/>
        <v>0</v>
      </c>
      <c r="AE163" s="5">
        <f t="shared" si="46"/>
        <v>0</v>
      </c>
      <c r="AF163" s="5">
        <f t="shared" si="46"/>
        <v>1</v>
      </c>
      <c r="AG163" s="5">
        <f t="shared" si="46"/>
        <v>1</v>
      </c>
      <c r="AH163" s="5">
        <f t="shared" si="46"/>
        <v>0</v>
      </c>
      <c r="AI163" s="5">
        <f t="shared" si="46"/>
        <v>1</v>
      </c>
      <c r="AJ163" s="5">
        <f t="shared" si="46"/>
        <v>0</v>
      </c>
      <c r="AK163" s="5">
        <f t="shared" si="46"/>
        <v>0</v>
      </c>
      <c r="AL163" s="5">
        <f t="shared" si="46"/>
        <v>2</v>
      </c>
      <c r="AM163" s="5">
        <f t="shared" si="46"/>
        <v>1</v>
      </c>
      <c r="AN163" s="5">
        <f t="shared" si="46"/>
        <v>0</v>
      </c>
      <c r="AO163" s="5">
        <f t="shared" si="46"/>
        <v>0</v>
      </c>
      <c r="AP163" s="5">
        <f t="shared" si="46"/>
        <v>0</v>
      </c>
      <c r="AQ163" s="5">
        <f t="shared" si="46"/>
        <v>0</v>
      </c>
      <c r="AR163" s="5">
        <f t="shared" si="46"/>
        <v>0</v>
      </c>
      <c r="AS163" s="5">
        <f t="shared" si="46"/>
        <v>0</v>
      </c>
      <c r="AT163" s="5">
        <f t="shared" si="46"/>
        <v>0</v>
      </c>
      <c r="AU163" s="5">
        <f t="shared" si="46"/>
        <v>0</v>
      </c>
      <c r="AV163" s="5">
        <f t="shared" si="46"/>
        <v>0</v>
      </c>
      <c r="AW163" s="5">
        <f t="shared" si="46"/>
        <v>0</v>
      </c>
      <c r="AX163" s="5">
        <f t="shared" si="46"/>
        <v>0</v>
      </c>
      <c r="AY163" s="5">
        <f t="shared" si="46"/>
        <v>0</v>
      </c>
      <c r="AZ163" s="5">
        <f t="shared" si="46"/>
        <v>0</v>
      </c>
      <c r="BA163" s="5">
        <f t="shared" si="46"/>
        <v>0</v>
      </c>
      <c r="BB163" s="5">
        <f t="shared" si="46"/>
        <v>0</v>
      </c>
      <c r="BC163" s="5">
        <f t="shared" si="46"/>
        <v>0</v>
      </c>
      <c r="BD163" s="5">
        <f t="shared" si="46"/>
        <v>1</v>
      </c>
      <c r="BE163" s="5">
        <f t="shared" si="46"/>
        <v>0</v>
      </c>
      <c r="BF163" s="5">
        <f t="shared" si="46"/>
        <v>1</v>
      </c>
      <c r="BG163" s="5">
        <f t="shared" si="46"/>
        <v>0</v>
      </c>
      <c r="BH163" s="5">
        <f t="shared" si="46"/>
        <v>0</v>
      </c>
      <c r="BI163" s="5">
        <f t="shared" ref="BI163" si="47">SUM(BI153:BI162)</f>
        <v>0</v>
      </c>
      <c r="BJ163" s="5">
        <f t="shared" si="46"/>
        <v>0</v>
      </c>
      <c r="BK163" s="5">
        <f t="shared" si="46"/>
        <v>0</v>
      </c>
      <c r="BL163" s="5">
        <f t="shared" si="46"/>
        <v>27</v>
      </c>
    </row>
    <row r="164" spans="1:64" x14ac:dyDescent="0.4">
      <c r="A164" s="64"/>
      <c r="B164" s="86"/>
      <c r="C164" s="86"/>
      <c r="D164" s="86"/>
      <c r="E164" s="95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</row>
    <row r="165" spans="1:64" ht="13.15" customHeight="1" x14ac:dyDescent="0.4">
      <c r="A165" s="11" t="s">
        <v>48</v>
      </c>
      <c r="B165" s="17" t="s">
        <v>67</v>
      </c>
      <c r="C165" s="92" t="s">
        <v>68</v>
      </c>
      <c r="D165" s="6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>
        <v>1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>
        <v>1</v>
      </c>
      <c r="AP165" s="6"/>
      <c r="AQ165" s="6">
        <v>1</v>
      </c>
      <c r="AR165" s="6"/>
      <c r="AS165" s="6"/>
      <c r="AT165" s="6"/>
      <c r="AU165" s="6"/>
      <c r="AV165" s="6"/>
      <c r="AW165" s="6"/>
      <c r="AX165" s="6">
        <v>1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>
        <v>1</v>
      </c>
      <c r="BI165" s="6"/>
      <c r="BJ165" s="6"/>
      <c r="BK165" s="6">
        <v>1</v>
      </c>
      <c r="BL165" s="5">
        <f t="shared" ref="BL165:BL174" si="48">SUM(E165:BK165)</f>
        <v>6</v>
      </c>
    </row>
    <row r="166" spans="1:64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5">
        <f t="shared" si="48"/>
        <v>0</v>
      </c>
    </row>
    <row r="167" spans="1:6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5">
        <f t="shared" si="48"/>
        <v>0</v>
      </c>
    </row>
    <row r="168" spans="1:6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5">
        <f t="shared" si="48"/>
        <v>0</v>
      </c>
    </row>
    <row r="169" spans="1:6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5">
        <f t="shared" si="48"/>
        <v>0</v>
      </c>
    </row>
    <row r="170" spans="1:6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5">
        <f t="shared" si="48"/>
        <v>0</v>
      </c>
    </row>
    <row r="171" spans="1:6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5">
        <f t="shared" si="48"/>
        <v>0</v>
      </c>
    </row>
    <row r="172" spans="1:6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5">
        <f t="shared" si="48"/>
        <v>0</v>
      </c>
    </row>
    <row r="173" spans="1:6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5">
        <f t="shared" si="48"/>
        <v>0</v>
      </c>
    </row>
    <row r="174" spans="1:6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5">
        <f t="shared" si="48"/>
        <v>0</v>
      </c>
    </row>
    <row r="175" spans="1:64" x14ac:dyDescent="0.4">
      <c r="A175" s="6" t="s">
        <v>26</v>
      </c>
      <c r="B175" s="85" t="s">
        <v>51</v>
      </c>
      <c r="C175" s="93"/>
      <c r="D175" s="94"/>
      <c r="E175" s="5">
        <f t="shared" ref="E175:BL175" si="49">SUM(E165:E174)</f>
        <v>0</v>
      </c>
      <c r="F175" s="5">
        <f t="shared" si="49"/>
        <v>0</v>
      </c>
      <c r="G175" s="5">
        <f t="shared" si="49"/>
        <v>0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0</v>
      </c>
      <c r="L175" s="5">
        <f t="shared" si="49"/>
        <v>0</v>
      </c>
      <c r="M175" s="5">
        <f t="shared" si="49"/>
        <v>0</v>
      </c>
      <c r="N175" s="5">
        <f t="shared" si="49"/>
        <v>0</v>
      </c>
      <c r="O175" s="5">
        <f t="shared" si="49"/>
        <v>0</v>
      </c>
      <c r="P175" s="5">
        <f t="shared" si="49"/>
        <v>1</v>
      </c>
      <c r="Q175" s="5">
        <f t="shared" si="49"/>
        <v>0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0</v>
      </c>
      <c r="Z175" s="5">
        <f t="shared" si="49"/>
        <v>0</v>
      </c>
      <c r="AA175" s="5">
        <f t="shared" si="49"/>
        <v>0</v>
      </c>
      <c r="AB175" s="5">
        <f t="shared" si="49"/>
        <v>0</v>
      </c>
      <c r="AC175" s="5">
        <f t="shared" si="49"/>
        <v>0</v>
      </c>
      <c r="AD175" s="5">
        <f t="shared" si="49"/>
        <v>0</v>
      </c>
      <c r="AE175" s="5">
        <f t="shared" si="49"/>
        <v>0</v>
      </c>
      <c r="AF175" s="5">
        <f t="shared" si="49"/>
        <v>0</v>
      </c>
      <c r="AG175" s="5">
        <f t="shared" si="49"/>
        <v>0</v>
      </c>
      <c r="AH175" s="5">
        <f t="shared" si="49"/>
        <v>0</v>
      </c>
      <c r="AI175" s="5">
        <f t="shared" si="49"/>
        <v>0</v>
      </c>
      <c r="AJ175" s="5">
        <f t="shared" si="49"/>
        <v>0</v>
      </c>
      <c r="AK175" s="5">
        <f t="shared" si="49"/>
        <v>0</v>
      </c>
      <c r="AL175" s="5">
        <f t="shared" si="49"/>
        <v>0</v>
      </c>
      <c r="AM175" s="5">
        <f t="shared" si="49"/>
        <v>0</v>
      </c>
      <c r="AN175" s="5">
        <f t="shared" si="49"/>
        <v>0</v>
      </c>
      <c r="AO175" s="5">
        <f t="shared" si="49"/>
        <v>1</v>
      </c>
      <c r="AP175" s="5">
        <f t="shared" si="49"/>
        <v>0</v>
      </c>
      <c r="AQ175" s="5">
        <f t="shared" si="49"/>
        <v>1</v>
      </c>
      <c r="AR175" s="5">
        <f t="shared" si="49"/>
        <v>0</v>
      </c>
      <c r="AS175" s="5">
        <f t="shared" si="49"/>
        <v>0</v>
      </c>
      <c r="AT175" s="5">
        <f t="shared" si="49"/>
        <v>0</v>
      </c>
      <c r="AU175" s="5">
        <f t="shared" si="49"/>
        <v>0</v>
      </c>
      <c r="AV175" s="5">
        <f t="shared" si="49"/>
        <v>0</v>
      </c>
      <c r="AW175" s="5">
        <f t="shared" si="49"/>
        <v>0</v>
      </c>
      <c r="AX175" s="5">
        <f t="shared" si="49"/>
        <v>1</v>
      </c>
      <c r="AY175" s="5">
        <f t="shared" si="49"/>
        <v>0</v>
      </c>
      <c r="AZ175" s="5">
        <f t="shared" si="49"/>
        <v>0</v>
      </c>
      <c r="BA175" s="5">
        <f t="shared" si="49"/>
        <v>0</v>
      </c>
      <c r="BB175" s="5">
        <f t="shared" si="49"/>
        <v>0</v>
      </c>
      <c r="BC175" s="5">
        <f t="shared" si="49"/>
        <v>0</v>
      </c>
      <c r="BD175" s="5">
        <f t="shared" si="49"/>
        <v>0</v>
      </c>
      <c r="BE175" s="5">
        <f t="shared" si="49"/>
        <v>0</v>
      </c>
      <c r="BF175" s="5">
        <f t="shared" si="49"/>
        <v>0</v>
      </c>
      <c r="BG175" s="5">
        <f t="shared" si="49"/>
        <v>0</v>
      </c>
      <c r="BH175" s="5">
        <f t="shared" si="49"/>
        <v>1</v>
      </c>
      <c r="BI175" s="5">
        <f t="shared" ref="BI175" si="50">SUM(BI165:BI174)</f>
        <v>0</v>
      </c>
      <c r="BJ175" s="5">
        <f t="shared" si="49"/>
        <v>0</v>
      </c>
      <c r="BK175" s="5">
        <f t="shared" si="49"/>
        <v>1</v>
      </c>
      <c r="BL175" s="5">
        <f t="shared" si="49"/>
        <v>6</v>
      </c>
    </row>
    <row r="176" spans="1:64" ht="13.15" customHeight="1" x14ac:dyDescent="0.4">
      <c r="A176" s="64"/>
      <c r="B176" s="86"/>
      <c r="C176" s="86"/>
      <c r="D176" s="86"/>
      <c r="E176" s="95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</row>
    <row r="177" spans="1:64" x14ac:dyDescent="0.4">
      <c r="A177" s="11" t="s">
        <v>48</v>
      </c>
      <c r="B177" s="17" t="s">
        <v>69</v>
      </c>
      <c r="C177" s="92" t="s">
        <v>70</v>
      </c>
      <c r="D177" s="66"/>
      <c r="E177" s="6"/>
      <c r="F177" s="6"/>
      <c r="G177" s="6"/>
      <c r="H177" s="6"/>
      <c r="I177" s="6">
        <v>1</v>
      </c>
      <c r="J177" s="6">
        <v>2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>
        <v>1</v>
      </c>
      <c r="AA177" s="6"/>
      <c r="AB177" s="6"/>
      <c r="AC177" s="6"/>
      <c r="AD177" s="6"/>
      <c r="AE177" s="6"/>
      <c r="AF177" s="6">
        <v>3</v>
      </c>
      <c r="AG177" s="6"/>
      <c r="AH177" s="6"/>
      <c r="AI177" s="6"/>
      <c r="AJ177" s="6"/>
      <c r="AK177" s="6"/>
      <c r="AL177" s="6"/>
      <c r="AM177" s="6"/>
      <c r="AN177" s="6"/>
      <c r="AO177" s="6">
        <v>1</v>
      </c>
      <c r="AP177" s="6"/>
      <c r="AQ177" s="6"/>
      <c r="AR177" s="6">
        <v>1</v>
      </c>
      <c r="AS177" s="6">
        <v>1</v>
      </c>
      <c r="AT177" s="6"/>
      <c r="AU177" s="6"/>
      <c r="AV177" s="6">
        <v>1</v>
      </c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5">
        <f t="shared" ref="BL177:BL186" si="51">SUM(E177:BK177)</f>
        <v>11</v>
      </c>
    </row>
    <row r="178" spans="1:64" x14ac:dyDescent="0.4">
      <c r="A178" s="11" t="s">
        <v>50</v>
      </c>
      <c r="B178" s="50"/>
      <c r="C178" s="24" t="s">
        <v>200</v>
      </c>
      <c r="D178" s="51"/>
      <c r="E178" s="6"/>
      <c r="F178" s="6"/>
      <c r="G178" s="6">
        <v>2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>
        <v>1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>
        <v>1</v>
      </c>
      <c r="AR178" s="6">
        <v>1</v>
      </c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5">
        <f t="shared" si="51"/>
        <v>5</v>
      </c>
    </row>
    <row r="179" spans="1:64" x14ac:dyDescent="0.4">
      <c r="A179" s="7"/>
      <c r="B179" s="50"/>
      <c r="C179" s="24" t="s">
        <v>201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5">
        <f t="shared" si="51"/>
        <v>0</v>
      </c>
    </row>
    <row r="180" spans="1:64" x14ac:dyDescent="0.4">
      <c r="A180" s="7"/>
      <c r="B180" s="50"/>
      <c r="C180" s="24" t="s">
        <v>202</v>
      </c>
      <c r="D180" s="51"/>
      <c r="E180" s="6"/>
      <c r="F180" s="6">
        <v>1</v>
      </c>
      <c r="G180" s="6"/>
      <c r="H180" s="6">
        <v>10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>
        <v>2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>
        <v>1</v>
      </c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5">
        <f t="shared" si="51"/>
        <v>14</v>
      </c>
    </row>
    <row r="181" spans="1:64" x14ac:dyDescent="0.4">
      <c r="A181" s="7"/>
      <c r="B181" s="50"/>
      <c r="C181" s="24" t="s">
        <v>203</v>
      </c>
      <c r="D181" s="51"/>
      <c r="E181" s="6"/>
      <c r="F181" s="6"/>
      <c r="G181" s="6"/>
      <c r="H181" s="6">
        <v>3</v>
      </c>
      <c r="I181" s="6"/>
      <c r="J181" s="6">
        <v>1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>
        <v>1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>
        <v>1</v>
      </c>
      <c r="AJ181" s="6"/>
      <c r="AK181" s="6"/>
      <c r="AL181" s="6"/>
      <c r="AM181" s="6"/>
      <c r="AN181" s="6"/>
      <c r="AO181" s="6">
        <v>1</v>
      </c>
      <c r="AP181" s="6"/>
      <c r="AQ181" s="6"/>
      <c r="AR181" s="6">
        <v>1</v>
      </c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>
        <v>1</v>
      </c>
      <c r="BI181" s="6"/>
      <c r="BJ181" s="6"/>
      <c r="BK181" s="6"/>
      <c r="BL181" s="5">
        <f t="shared" si="51"/>
        <v>9</v>
      </c>
    </row>
    <row r="182" spans="1:64" x14ac:dyDescent="0.4">
      <c r="A182" s="7"/>
      <c r="B182" s="50"/>
      <c r="C182" s="24" t="s">
        <v>204</v>
      </c>
      <c r="D182" s="51"/>
      <c r="E182" s="6"/>
      <c r="F182" s="6"/>
      <c r="G182" s="6"/>
      <c r="H182" s="6">
        <v>1</v>
      </c>
      <c r="I182" s="6"/>
      <c r="J182" s="6"/>
      <c r="K182" s="6"/>
      <c r="L182" s="6"/>
      <c r="M182" s="6"/>
      <c r="N182" s="6"/>
      <c r="O182" s="6">
        <v>1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>
        <v>1</v>
      </c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5">
        <f t="shared" si="51"/>
        <v>3</v>
      </c>
    </row>
    <row r="183" spans="1:64" x14ac:dyDescent="0.4">
      <c r="A183" s="7"/>
      <c r="B183" s="50"/>
      <c r="C183" s="24" t="s">
        <v>205</v>
      </c>
      <c r="D183" s="5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5">
        <f t="shared" si="51"/>
        <v>0</v>
      </c>
    </row>
    <row r="184" spans="1:64" x14ac:dyDescent="0.4">
      <c r="A184" s="7"/>
      <c r="B184" s="50"/>
      <c r="C184" s="24" t="s">
        <v>206</v>
      </c>
      <c r="D184" s="5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>
        <v>1</v>
      </c>
      <c r="R184" s="6"/>
      <c r="S184" s="6"/>
      <c r="T184" s="6"/>
      <c r="U184" s="6"/>
      <c r="V184" s="6"/>
      <c r="W184" s="6"/>
      <c r="X184" s="6"/>
      <c r="Y184" s="6"/>
      <c r="Z184" s="6"/>
      <c r="AA184" s="6">
        <v>1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5">
        <f t="shared" si="51"/>
        <v>2</v>
      </c>
    </row>
    <row r="185" spans="1:64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5">
        <f t="shared" si="51"/>
        <v>0</v>
      </c>
    </row>
    <row r="186" spans="1:64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5">
        <f t="shared" si="51"/>
        <v>0</v>
      </c>
    </row>
    <row r="187" spans="1:64" ht="13.15" customHeight="1" x14ac:dyDescent="0.4">
      <c r="A187" s="6" t="s">
        <v>26</v>
      </c>
      <c r="B187" s="85" t="s">
        <v>51</v>
      </c>
      <c r="C187" s="93"/>
      <c r="D187" s="94"/>
      <c r="E187" s="5">
        <f t="shared" ref="E187:BL187" si="52">SUM(E177:E186)</f>
        <v>0</v>
      </c>
      <c r="F187" s="5">
        <f t="shared" si="52"/>
        <v>1</v>
      </c>
      <c r="G187" s="5">
        <f t="shared" si="52"/>
        <v>2</v>
      </c>
      <c r="H187" s="5">
        <f t="shared" si="52"/>
        <v>14</v>
      </c>
      <c r="I187" s="5">
        <f t="shared" si="52"/>
        <v>1</v>
      </c>
      <c r="J187" s="5">
        <f t="shared" si="52"/>
        <v>3</v>
      </c>
      <c r="K187" s="5">
        <f t="shared" si="52"/>
        <v>0</v>
      </c>
      <c r="L187" s="5">
        <f t="shared" si="52"/>
        <v>0</v>
      </c>
      <c r="M187" s="5">
        <f t="shared" si="52"/>
        <v>0</v>
      </c>
      <c r="N187" s="5">
        <f t="shared" si="52"/>
        <v>0</v>
      </c>
      <c r="O187" s="5">
        <f t="shared" si="52"/>
        <v>1</v>
      </c>
      <c r="P187" s="5">
        <f t="shared" si="52"/>
        <v>0</v>
      </c>
      <c r="Q187" s="5">
        <f t="shared" si="52"/>
        <v>1</v>
      </c>
      <c r="R187" s="5">
        <f t="shared" si="52"/>
        <v>0</v>
      </c>
      <c r="S187" s="5">
        <f t="shared" si="52"/>
        <v>0</v>
      </c>
      <c r="T187" s="5">
        <f t="shared" si="52"/>
        <v>0</v>
      </c>
      <c r="U187" s="5">
        <f t="shared" si="52"/>
        <v>0</v>
      </c>
      <c r="V187" s="5">
        <f t="shared" si="52"/>
        <v>0</v>
      </c>
      <c r="W187" s="5">
        <f t="shared" si="52"/>
        <v>1</v>
      </c>
      <c r="X187" s="5">
        <f t="shared" si="52"/>
        <v>1</v>
      </c>
      <c r="Y187" s="5">
        <f t="shared" si="52"/>
        <v>0</v>
      </c>
      <c r="Z187" s="5">
        <f t="shared" si="52"/>
        <v>1</v>
      </c>
      <c r="AA187" s="5">
        <f t="shared" si="52"/>
        <v>1</v>
      </c>
      <c r="AB187" s="5">
        <f t="shared" si="52"/>
        <v>0</v>
      </c>
      <c r="AC187" s="5">
        <f t="shared" si="52"/>
        <v>0</v>
      </c>
      <c r="AD187" s="5">
        <f t="shared" si="52"/>
        <v>0</v>
      </c>
      <c r="AE187" s="5">
        <f t="shared" si="52"/>
        <v>0</v>
      </c>
      <c r="AF187" s="5">
        <f t="shared" si="52"/>
        <v>5</v>
      </c>
      <c r="AG187" s="5">
        <f t="shared" si="52"/>
        <v>0</v>
      </c>
      <c r="AH187" s="5">
        <f t="shared" si="52"/>
        <v>0</v>
      </c>
      <c r="AI187" s="5">
        <f t="shared" si="52"/>
        <v>1</v>
      </c>
      <c r="AJ187" s="5">
        <f t="shared" si="52"/>
        <v>0</v>
      </c>
      <c r="AK187" s="5">
        <f t="shared" si="52"/>
        <v>0</v>
      </c>
      <c r="AL187" s="5">
        <f t="shared" si="52"/>
        <v>0</v>
      </c>
      <c r="AM187" s="5">
        <f t="shared" si="52"/>
        <v>0</v>
      </c>
      <c r="AN187" s="5">
        <f t="shared" si="52"/>
        <v>0</v>
      </c>
      <c r="AO187" s="5">
        <f t="shared" si="52"/>
        <v>2</v>
      </c>
      <c r="AP187" s="5">
        <f t="shared" si="52"/>
        <v>0</v>
      </c>
      <c r="AQ187" s="5">
        <f t="shared" si="52"/>
        <v>2</v>
      </c>
      <c r="AR187" s="5">
        <f t="shared" si="52"/>
        <v>3</v>
      </c>
      <c r="AS187" s="5">
        <f t="shared" si="52"/>
        <v>1</v>
      </c>
      <c r="AT187" s="5">
        <f t="shared" si="52"/>
        <v>1</v>
      </c>
      <c r="AU187" s="5">
        <f t="shared" si="52"/>
        <v>0</v>
      </c>
      <c r="AV187" s="5">
        <f t="shared" si="52"/>
        <v>1</v>
      </c>
      <c r="AW187" s="5">
        <f t="shared" si="52"/>
        <v>0</v>
      </c>
      <c r="AX187" s="5">
        <f t="shared" si="52"/>
        <v>0</v>
      </c>
      <c r="AY187" s="5">
        <f t="shared" si="52"/>
        <v>0</v>
      </c>
      <c r="AZ187" s="5">
        <f t="shared" si="52"/>
        <v>0</v>
      </c>
      <c r="BA187" s="5">
        <f t="shared" si="52"/>
        <v>0</v>
      </c>
      <c r="BB187" s="5">
        <f t="shared" si="52"/>
        <v>0</v>
      </c>
      <c r="BC187" s="5">
        <f t="shared" si="52"/>
        <v>0</v>
      </c>
      <c r="BD187" s="5">
        <f t="shared" si="52"/>
        <v>0</v>
      </c>
      <c r="BE187" s="5">
        <f t="shared" si="52"/>
        <v>0</v>
      </c>
      <c r="BF187" s="5">
        <f t="shared" si="52"/>
        <v>0</v>
      </c>
      <c r="BG187" s="5">
        <f t="shared" si="52"/>
        <v>0</v>
      </c>
      <c r="BH187" s="5">
        <f t="shared" si="52"/>
        <v>1</v>
      </c>
      <c r="BI187" s="5">
        <f t="shared" ref="BI187" si="53">SUM(BI177:BI186)</f>
        <v>0</v>
      </c>
      <c r="BJ187" s="5">
        <f t="shared" si="52"/>
        <v>0</v>
      </c>
      <c r="BK187" s="5">
        <f t="shared" si="52"/>
        <v>0</v>
      </c>
      <c r="BL187" s="5">
        <f t="shared" si="52"/>
        <v>44</v>
      </c>
    </row>
    <row r="188" spans="1:64" x14ac:dyDescent="0.4">
      <c r="A188" s="64"/>
      <c r="B188" s="86"/>
      <c r="C188" s="86"/>
      <c r="D188" s="86"/>
      <c r="E188" s="95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5"/>
    </row>
    <row r="189" spans="1:64" x14ac:dyDescent="0.4">
      <c r="A189" s="11" t="s">
        <v>48</v>
      </c>
      <c r="B189" s="17" t="s">
        <v>71</v>
      </c>
      <c r="C189" s="92" t="s">
        <v>72</v>
      </c>
      <c r="D189" s="6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>
        <v>1</v>
      </c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5">
        <f t="shared" ref="BL189:BL198" si="54">SUM(E189:BK189)</f>
        <v>1</v>
      </c>
    </row>
    <row r="190" spans="1:64" x14ac:dyDescent="0.4">
      <c r="A190" s="11" t="s">
        <v>50</v>
      </c>
      <c r="B190" s="50"/>
      <c r="C190" s="24" t="s">
        <v>207</v>
      </c>
      <c r="D190" s="51"/>
      <c r="E190" s="6"/>
      <c r="F190" s="6"/>
      <c r="G190" s="6">
        <v>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>
        <v>1</v>
      </c>
      <c r="Z190" s="6"/>
      <c r="AA190" s="6"/>
      <c r="AB190" s="6"/>
      <c r="AC190" s="6">
        <v>1</v>
      </c>
      <c r="AD190" s="6"/>
      <c r="AE190" s="6"/>
      <c r="AF190" s="6">
        <v>1</v>
      </c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>
        <v>1</v>
      </c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5">
        <f t="shared" si="54"/>
        <v>5</v>
      </c>
    </row>
    <row r="191" spans="1:64" x14ac:dyDescent="0.4">
      <c r="A191" s="7"/>
      <c r="B191" s="50"/>
      <c r="C191" s="24" t="s">
        <v>208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>
        <v>7</v>
      </c>
      <c r="V191" s="6"/>
      <c r="W191" s="6"/>
      <c r="X191" s="6"/>
      <c r="Y191" s="6"/>
      <c r="Z191" s="6"/>
      <c r="AA191" s="6"/>
      <c r="AB191" s="6">
        <v>2</v>
      </c>
      <c r="AC191" s="6">
        <v>1</v>
      </c>
      <c r="AD191" s="6"/>
      <c r="AE191" s="6">
        <v>2</v>
      </c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5">
        <f t="shared" si="54"/>
        <v>12</v>
      </c>
    </row>
    <row r="192" spans="1:64" x14ac:dyDescent="0.4">
      <c r="A192" s="7"/>
      <c r="B192" s="50"/>
      <c r="C192" s="24" t="s">
        <v>209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>
        <v>1</v>
      </c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5">
        <f t="shared" si="54"/>
        <v>1</v>
      </c>
    </row>
    <row r="193" spans="1:64" x14ac:dyDescent="0.4">
      <c r="A193" s="7"/>
      <c r="B193" s="50"/>
      <c r="C193" s="24" t="s">
        <v>210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5">
        <f t="shared" si="54"/>
        <v>0</v>
      </c>
    </row>
    <row r="194" spans="1:64" x14ac:dyDescent="0.4">
      <c r="A194" s="7"/>
      <c r="B194" s="50"/>
      <c r="C194" s="24" t="s">
        <v>211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5">
        <f t="shared" si="54"/>
        <v>0</v>
      </c>
    </row>
    <row r="195" spans="1:64" x14ac:dyDescent="0.4">
      <c r="A195" s="7"/>
      <c r="B195" s="50"/>
      <c r="C195" s="24" t="s">
        <v>212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>
        <v>2</v>
      </c>
      <c r="BI195" s="6"/>
      <c r="BJ195" s="6"/>
      <c r="BK195" s="6"/>
      <c r="BL195" s="5">
        <f t="shared" si="54"/>
        <v>2</v>
      </c>
    </row>
    <row r="196" spans="1:64" ht="13.15" customHeight="1" x14ac:dyDescent="0.4">
      <c r="A196" s="7"/>
      <c r="B196" s="50"/>
      <c r="C196" s="24" t="s">
        <v>213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5">
        <f t="shared" si="54"/>
        <v>0</v>
      </c>
    </row>
    <row r="197" spans="1:64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5">
        <f t="shared" si="54"/>
        <v>0</v>
      </c>
    </row>
    <row r="198" spans="1:64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5">
        <f t="shared" si="54"/>
        <v>0</v>
      </c>
    </row>
    <row r="199" spans="1:64" x14ac:dyDescent="0.4">
      <c r="A199" s="6" t="s">
        <v>26</v>
      </c>
      <c r="B199" s="85" t="s">
        <v>51</v>
      </c>
      <c r="C199" s="93"/>
      <c r="D199" s="94"/>
      <c r="E199" s="5">
        <f t="shared" ref="E199:BL199" si="55">SUM(E189:E198)</f>
        <v>0</v>
      </c>
      <c r="F199" s="5">
        <f t="shared" si="55"/>
        <v>0</v>
      </c>
      <c r="G199" s="5">
        <f t="shared" si="55"/>
        <v>1</v>
      </c>
      <c r="H199" s="5">
        <f t="shared" si="55"/>
        <v>0</v>
      </c>
      <c r="I199" s="5">
        <f t="shared" si="55"/>
        <v>0</v>
      </c>
      <c r="J199" s="5">
        <f t="shared" si="55"/>
        <v>0</v>
      </c>
      <c r="K199" s="5">
        <f t="shared" si="55"/>
        <v>0</v>
      </c>
      <c r="L199" s="5">
        <f t="shared" si="55"/>
        <v>0</v>
      </c>
      <c r="M199" s="5">
        <f t="shared" si="55"/>
        <v>0</v>
      </c>
      <c r="N199" s="5">
        <f t="shared" si="55"/>
        <v>0</v>
      </c>
      <c r="O199" s="5">
        <f t="shared" si="55"/>
        <v>0</v>
      </c>
      <c r="P199" s="5">
        <f t="shared" si="55"/>
        <v>0</v>
      </c>
      <c r="Q199" s="5">
        <f t="shared" si="55"/>
        <v>0</v>
      </c>
      <c r="R199" s="5">
        <f t="shared" si="55"/>
        <v>0</v>
      </c>
      <c r="S199" s="5">
        <f t="shared" si="55"/>
        <v>0</v>
      </c>
      <c r="T199" s="5">
        <f t="shared" si="55"/>
        <v>0</v>
      </c>
      <c r="U199" s="5">
        <f t="shared" si="55"/>
        <v>7</v>
      </c>
      <c r="V199" s="5">
        <f t="shared" si="55"/>
        <v>1</v>
      </c>
      <c r="W199" s="5">
        <f t="shared" si="55"/>
        <v>0</v>
      </c>
      <c r="X199" s="5">
        <f t="shared" si="55"/>
        <v>0</v>
      </c>
      <c r="Y199" s="5">
        <f t="shared" si="55"/>
        <v>1</v>
      </c>
      <c r="Z199" s="5">
        <f t="shared" si="55"/>
        <v>0</v>
      </c>
      <c r="AA199" s="5">
        <f t="shared" si="55"/>
        <v>0</v>
      </c>
      <c r="AB199" s="5">
        <f t="shared" si="55"/>
        <v>2</v>
      </c>
      <c r="AC199" s="5">
        <f t="shared" si="55"/>
        <v>2</v>
      </c>
      <c r="AD199" s="5">
        <f t="shared" si="55"/>
        <v>0</v>
      </c>
      <c r="AE199" s="5">
        <f t="shared" si="55"/>
        <v>2</v>
      </c>
      <c r="AF199" s="5">
        <f t="shared" si="55"/>
        <v>1</v>
      </c>
      <c r="AG199" s="5">
        <f t="shared" si="55"/>
        <v>0</v>
      </c>
      <c r="AH199" s="5">
        <f t="shared" si="55"/>
        <v>0</v>
      </c>
      <c r="AI199" s="5">
        <f t="shared" si="55"/>
        <v>0</v>
      </c>
      <c r="AJ199" s="5">
        <f t="shared" si="55"/>
        <v>0</v>
      </c>
      <c r="AK199" s="5">
        <f t="shared" si="55"/>
        <v>0</v>
      </c>
      <c r="AL199" s="5">
        <f t="shared" si="55"/>
        <v>0</v>
      </c>
      <c r="AM199" s="5">
        <f t="shared" si="55"/>
        <v>0</v>
      </c>
      <c r="AN199" s="5">
        <f t="shared" si="55"/>
        <v>0</v>
      </c>
      <c r="AO199" s="5">
        <f t="shared" si="55"/>
        <v>0</v>
      </c>
      <c r="AP199" s="5">
        <f t="shared" si="55"/>
        <v>0</v>
      </c>
      <c r="AQ199" s="5">
        <f t="shared" si="55"/>
        <v>0</v>
      </c>
      <c r="AR199" s="5">
        <f t="shared" si="55"/>
        <v>0</v>
      </c>
      <c r="AS199" s="5">
        <f t="shared" si="55"/>
        <v>0</v>
      </c>
      <c r="AT199" s="5">
        <f t="shared" si="55"/>
        <v>0</v>
      </c>
      <c r="AU199" s="5">
        <f t="shared" si="55"/>
        <v>1</v>
      </c>
      <c r="AV199" s="5">
        <f t="shared" si="55"/>
        <v>0</v>
      </c>
      <c r="AW199" s="5">
        <f t="shared" si="55"/>
        <v>0</v>
      </c>
      <c r="AX199" s="5">
        <f t="shared" si="55"/>
        <v>0</v>
      </c>
      <c r="AY199" s="5">
        <f t="shared" si="55"/>
        <v>0</v>
      </c>
      <c r="AZ199" s="5">
        <f t="shared" si="55"/>
        <v>1</v>
      </c>
      <c r="BA199" s="5">
        <f t="shared" si="55"/>
        <v>0</v>
      </c>
      <c r="BB199" s="5">
        <f t="shared" si="55"/>
        <v>0</v>
      </c>
      <c r="BC199" s="5">
        <f t="shared" si="55"/>
        <v>0</v>
      </c>
      <c r="BD199" s="5">
        <f t="shared" si="55"/>
        <v>0</v>
      </c>
      <c r="BE199" s="5">
        <f t="shared" si="55"/>
        <v>0</v>
      </c>
      <c r="BF199" s="5">
        <f t="shared" si="55"/>
        <v>0</v>
      </c>
      <c r="BG199" s="5">
        <f t="shared" si="55"/>
        <v>0</v>
      </c>
      <c r="BH199" s="5">
        <f t="shared" si="55"/>
        <v>2</v>
      </c>
      <c r="BI199" s="5">
        <f t="shared" ref="BI199" si="56">SUM(BI189:BI198)</f>
        <v>0</v>
      </c>
      <c r="BJ199" s="5">
        <f t="shared" si="55"/>
        <v>0</v>
      </c>
      <c r="BK199" s="5">
        <f t="shared" si="55"/>
        <v>0</v>
      </c>
      <c r="BL199" s="5">
        <f t="shared" si="55"/>
        <v>21</v>
      </c>
    </row>
    <row r="200" spans="1:64" x14ac:dyDescent="0.4">
      <c r="A200" s="64"/>
      <c r="B200" s="86"/>
      <c r="C200" s="86"/>
      <c r="D200" s="86"/>
      <c r="E200" s="9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</row>
    <row r="201" spans="1:64" x14ac:dyDescent="0.4">
      <c r="A201" s="11" t="s">
        <v>48</v>
      </c>
      <c r="B201" s="17" t="s">
        <v>73</v>
      </c>
      <c r="C201" s="92" t="s">
        <v>74</v>
      </c>
      <c r="D201" s="66"/>
      <c r="E201" s="6"/>
      <c r="F201" s="6">
        <v>3</v>
      </c>
      <c r="G201" s="6">
        <v>4</v>
      </c>
      <c r="H201" s="6">
        <v>5</v>
      </c>
      <c r="I201" s="6">
        <v>1</v>
      </c>
      <c r="J201" s="6">
        <v>1</v>
      </c>
      <c r="K201" s="6">
        <v>4</v>
      </c>
      <c r="L201" s="6">
        <v>5</v>
      </c>
      <c r="M201" s="6">
        <v>2</v>
      </c>
      <c r="N201" s="6">
        <v>1</v>
      </c>
      <c r="O201" s="6"/>
      <c r="P201" s="6">
        <v>6</v>
      </c>
      <c r="Q201" s="6"/>
      <c r="R201" s="6"/>
      <c r="S201" s="6">
        <v>2</v>
      </c>
      <c r="T201" s="6">
        <v>3</v>
      </c>
      <c r="U201" s="6">
        <v>2</v>
      </c>
      <c r="V201" s="6">
        <v>10</v>
      </c>
      <c r="W201" s="6">
        <v>6</v>
      </c>
      <c r="X201" s="6">
        <v>6</v>
      </c>
      <c r="Y201" s="6">
        <v>3</v>
      </c>
      <c r="Z201" s="6">
        <v>3</v>
      </c>
      <c r="AA201" s="6">
        <v>2</v>
      </c>
      <c r="AB201" s="6">
        <v>3</v>
      </c>
      <c r="AC201" s="6">
        <v>1</v>
      </c>
      <c r="AD201" s="6"/>
      <c r="AE201" s="6">
        <v>2</v>
      </c>
      <c r="AF201" s="6"/>
      <c r="AG201" s="6">
        <v>5</v>
      </c>
      <c r="AH201" s="6">
        <v>5</v>
      </c>
      <c r="AI201" s="6">
        <v>1</v>
      </c>
      <c r="AJ201" s="6"/>
      <c r="AK201" s="6"/>
      <c r="AL201" s="6">
        <v>1</v>
      </c>
      <c r="AM201" s="6"/>
      <c r="AN201" s="6"/>
      <c r="AO201" s="6">
        <v>2</v>
      </c>
      <c r="AP201" s="6"/>
      <c r="AQ201" s="6">
        <v>2</v>
      </c>
      <c r="AR201" s="6">
        <v>2</v>
      </c>
      <c r="AS201" s="6">
        <v>2</v>
      </c>
      <c r="AT201" s="6">
        <v>1</v>
      </c>
      <c r="AU201" s="6">
        <v>1</v>
      </c>
      <c r="AV201" s="6"/>
      <c r="AW201" s="6"/>
      <c r="AX201" s="6"/>
      <c r="AY201" s="6">
        <v>1</v>
      </c>
      <c r="AZ201" s="6"/>
      <c r="BA201" s="6"/>
      <c r="BB201" s="6">
        <v>4</v>
      </c>
      <c r="BC201" s="6">
        <v>8</v>
      </c>
      <c r="BD201" s="6">
        <v>7</v>
      </c>
      <c r="BE201" s="6">
        <v>8</v>
      </c>
      <c r="BF201" s="6">
        <v>4</v>
      </c>
      <c r="BG201" s="6"/>
      <c r="BH201" s="6">
        <v>1</v>
      </c>
      <c r="BI201" s="6">
        <v>1</v>
      </c>
      <c r="BJ201" s="6">
        <v>6</v>
      </c>
      <c r="BK201" s="6">
        <v>5</v>
      </c>
      <c r="BL201" s="5">
        <f t="shared" ref="BL201:BL210" si="57">SUM(E201:BK201)</f>
        <v>142</v>
      </c>
    </row>
    <row r="202" spans="1:64" x14ac:dyDescent="0.4">
      <c r="A202" s="11" t="s">
        <v>50</v>
      </c>
      <c r="B202" s="50"/>
      <c r="C202" s="24" t="s">
        <v>214</v>
      </c>
      <c r="D202" s="51"/>
      <c r="E202" s="6">
        <v>5</v>
      </c>
      <c r="F202" s="6">
        <v>31</v>
      </c>
      <c r="G202" s="6">
        <v>24</v>
      </c>
      <c r="H202" s="6">
        <v>11</v>
      </c>
      <c r="I202" s="6">
        <v>8</v>
      </c>
      <c r="J202" s="6">
        <v>23</v>
      </c>
      <c r="K202" s="6">
        <v>22</v>
      </c>
      <c r="L202" s="6">
        <v>50</v>
      </c>
      <c r="M202" s="6">
        <v>21</v>
      </c>
      <c r="N202" s="6">
        <v>4</v>
      </c>
      <c r="O202" s="6">
        <v>2</v>
      </c>
      <c r="P202" s="6">
        <v>26</v>
      </c>
      <c r="Q202" s="6">
        <v>21</v>
      </c>
      <c r="R202" s="6">
        <v>89</v>
      </c>
      <c r="S202" s="6">
        <v>26</v>
      </c>
      <c r="T202" s="6">
        <v>17</v>
      </c>
      <c r="U202" s="6">
        <v>19</v>
      </c>
      <c r="V202" s="6">
        <v>29</v>
      </c>
      <c r="W202" s="6">
        <v>67</v>
      </c>
      <c r="X202" s="6">
        <v>64</v>
      </c>
      <c r="Y202" s="6">
        <v>61</v>
      </c>
      <c r="Z202" s="6">
        <v>66</v>
      </c>
      <c r="AA202" s="6">
        <v>10</v>
      </c>
      <c r="AB202" s="6">
        <v>37</v>
      </c>
      <c r="AC202" s="6">
        <v>24</v>
      </c>
      <c r="AD202" s="6">
        <v>18</v>
      </c>
      <c r="AE202" s="6">
        <v>4</v>
      </c>
      <c r="AF202" s="6">
        <v>13</v>
      </c>
      <c r="AG202" s="6">
        <v>22</v>
      </c>
      <c r="AH202" s="6">
        <v>13</v>
      </c>
      <c r="AI202" s="6"/>
      <c r="AJ202" s="6">
        <v>8</v>
      </c>
      <c r="AK202" s="6">
        <v>10</v>
      </c>
      <c r="AL202" s="6">
        <v>11</v>
      </c>
      <c r="AM202" s="6">
        <v>12</v>
      </c>
      <c r="AN202" s="6">
        <v>2</v>
      </c>
      <c r="AO202" s="6">
        <v>4</v>
      </c>
      <c r="AP202" s="6"/>
      <c r="AQ202" s="6">
        <v>12</v>
      </c>
      <c r="AR202" s="6">
        <v>19</v>
      </c>
      <c r="AS202" s="6">
        <v>15</v>
      </c>
      <c r="AT202" s="6">
        <v>1</v>
      </c>
      <c r="AU202" s="6">
        <v>2</v>
      </c>
      <c r="AV202" s="6"/>
      <c r="AW202" s="6"/>
      <c r="AX202" s="6">
        <v>1</v>
      </c>
      <c r="AY202" s="6">
        <v>3</v>
      </c>
      <c r="AZ202" s="6">
        <v>16</v>
      </c>
      <c r="BA202" s="6"/>
      <c r="BB202" s="6">
        <v>15</v>
      </c>
      <c r="BC202" s="6">
        <v>23</v>
      </c>
      <c r="BD202" s="6">
        <v>73</v>
      </c>
      <c r="BE202" s="6">
        <v>59</v>
      </c>
      <c r="BF202" s="6">
        <v>56</v>
      </c>
      <c r="BG202" s="6"/>
      <c r="BH202" s="6">
        <v>1</v>
      </c>
      <c r="BI202" s="6">
        <v>16</v>
      </c>
      <c r="BJ202" s="6">
        <v>19</v>
      </c>
      <c r="BK202" s="6">
        <v>52</v>
      </c>
      <c r="BL202" s="5">
        <f t="shared" si="57"/>
        <v>1257</v>
      </c>
    </row>
    <row r="203" spans="1:64" x14ac:dyDescent="0.4">
      <c r="A203" s="7"/>
      <c r="B203" s="50"/>
      <c r="C203" s="24" t="s">
        <v>215</v>
      </c>
      <c r="D203" s="51"/>
      <c r="E203" s="6"/>
      <c r="F203" s="6"/>
      <c r="G203" s="6"/>
      <c r="H203" s="6"/>
      <c r="I203" s="6">
        <v>1</v>
      </c>
      <c r="J203" s="6">
        <v>1</v>
      </c>
      <c r="K203" s="6">
        <v>1</v>
      </c>
      <c r="L203" s="6"/>
      <c r="M203" s="6">
        <v>1</v>
      </c>
      <c r="N203" s="6"/>
      <c r="O203" s="6"/>
      <c r="P203" s="6">
        <v>1</v>
      </c>
      <c r="Q203" s="6"/>
      <c r="R203" s="6"/>
      <c r="S203" s="6"/>
      <c r="T203" s="6">
        <v>1</v>
      </c>
      <c r="U203" s="6">
        <v>1</v>
      </c>
      <c r="V203" s="6"/>
      <c r="W203" s="6">
        <v>1</v>
      </c>
      <c r="X203" s="6"/>
      <c r="Y203" s="6"/>
      <c r="Z203" s="6">
        <v>1</v>
      </c>
      <c r="AA203" s="6"/>
      <c r="AB203" s="6"/>
      <c r="AC203" s="6"/>
      <c r="AD203" s="6"/>
      <c r="AE203" s="6"/>
      <c r="AF203" s="6">
        <v>2</v>
      </c>
      <c r="AG203" s="6"/>
      <c r="AH203" s="6"/>
      <c r="AI203" s="6"/>
      <c r="AJ203" s="6"/>
      <c r="AK203" s="6"/>
      <c r="AL203" s="6">
        <v>1</v>
      </c>
      <c r="AM203" s="6"/>
      <c r="AN203" s="6"/>
      <c r="AO203" s="6"/>
      <c r="AP203" s="6"/>
      <c r="AQ203" s="6"/>
      <c r="AR203" s="6">
        <v>1</v>
      </c>
      <c r="AS203" s="6"/>
      <c r="AT203" s="6"/>
      <c r="AU203" s="6"/>
      <c r="AV203" s="6"/>
      <c r="AW203" s="6"/>
      <c r="AX203" s="6">
        <v>1</v>
      </c>
      <c r="AY203" s="6">
        <v>1</v>
      </c>
      <c r="AZ203" s="6"/>
      <c r="BA203" s="6"/>
      <c r="BB203" s="6"/>
      <c r="BC203" s="6">
        <v>3</v>
      </c>
      <c r="BD203" s="6">
        <v>1</v>
      </c>
      <c r="BE203" s="6">
        <v>1</v>
      </c>
      <c r="BF203" s="6">
        <v>1</v>
      </c>
      <c r="BG203" s="6"/>
      <c r="BH203" s="6">
        <v>13</v>
      </c>
      <c r="BI203" s="6">
        <v>4</v>
      </c>
      <c r="BJ203" s="6">
        <v>1</v>
      </c>
      <c r="BK203" s="6"/>
      <c r="BL203" s="5">
        <f t="shared" si="57"/>
        <v>39</v>
      </c>
    </row>
    <row r="204" spans="1:64" x14ac:dyDescent="0.4">
      <c r="A204" s="7"/>
      <c r="B204" s="50"/>
      <c r="C204" s="24" t="s">
        <v>216</v>
      </c>
      <c r="D204" s="5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>
        <v>1</v>
      </c>
      <c r="T204" s="6"/>
      <c r="U204" s="6"/>
      <c r="V204" s="6"/>
      <c r="W204" s="6"/>
      <c r="X204" s="6">
        <v>1</v>
      </c>
      <c r="Y204" s="6">
        <v>1</v>
      </c>
      <c r="Z204" s="6"/>
      <c r="AA204" s="6"/>
      <c r="AB204" s="6"/>
      <c r="AC204" s="6"/>
      <c r="AD204" s="6"/>
      <c r="AE204" s="6"/>
      <c r="AF204" s="6"/>
      <c r="AG204" s="6">
        <v>1</v>
      </c>
      <c r="AH204" s="6">
        <v>1</v>
      </c>
      <c r="AI204" s="6"/>
      <c r="AJ204" s="6"/>
      <c r="AK204" s="6">
        <v>1</v>
      </c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>
        <v>1</v>
      </c>
      <c r="BD204" s="6"/>
      <c r="BE204" s="6"/>
      <c r="BF204" s="6"/>
      <c r="BG204" s="6">
        <v>1</v>
      </c>
      <c r="BH204" s="6"/>
      <c r="BI204" s="6"/>
      <c r="BJ204" s="6"/>
      <c r="BK204" s="6"/>
      <c r="BL204" s="5">
        <f t="shared" si="57"/>
        <v>8</v>
      </c>
    </row>
    <row r="205" spans="1:64" x14ac:dyDescent="0.4">
      <c r="A205" s="7"/>
      <c r="B205" s="50"/>
      <c r="C205" s="24" t="s">
        <v>217</v>
      </c>
      <c r="D205" s="5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>
        <v>2</v>
      </c>
      <c r="P205" s="6"/>
      <c r="Q205" s="6"/>
      <c r="R205" s="6"/>
      <c r="S205" s="6"/>
      <c r="T205" s="6"/>
      <c r="U205" s="6">
        <v>1</v>
      </c>
      <c r="V205" s="6"/>
      <c r="W205" s="6"/>
      <c r="X205" s="6"/>
      <c r="Y205" s="6"/>
      <c r="Z205" s="6"/>
      <c r="AA205" s="6"/>
      <c r="AB205" s="6"/>
      <c r="AC205" s="6"/>
      <c r="AD205" s="6">
        <v>1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>
        <v>2</v>
      </c>
      <c r="AO205" s="6"/>
      <c r="AP205" s="6"/>
      <c r="AQ205" s="6"/>
      <c r="AR205" s="6"/>
      <c r="AS205" s="6"/>
      <c r="AT205" s="6">
        <v>1</v>
      </c>
      <c r="AU205" s="6"/>
      <c r="AV205" s="6"/>
      <c r="AW205" s="6"/>
      <c r="AX205" s="6"/>
      <c r="AY205" s="6"/>
      <c r="AZ205" s="6"/>
      <c r="BA205" s="6"/>
      <c r="BB205" s="6">
        <v>3</v>
      </c>
      <c r="BC205" s="6"/>
      <c r="BD205" s="6"/>
      <c r="BE205" s="6">
        <v>1</v>
      </c>
      <c r="BF205" s="6"/>
      <c r="BG205" s="6"/>
      <c r="BH205" s="6"/>
      <c r="BI205" s="6"/>
      <c r="BJ205" s="6"/>
      <c r="BK205" s="6"/>
      <c r="BL205" s="5">
        <f t="shared" si="57"/>
        <v>11</v>
      </c>
    </row>
    <row r="206" spans="1:64" x14ac:dyDescent="0.4">
      <c r="A206" s="7"/>
      <c r="B206" s="50"/>
      <c r="C206" s="24" t="s">
        <v>218</v>
      </c>
      <c r="D206" s="51"/>
      <c r="E206" s="6"/>
      <c r="F206" s="6"/>
      <c r="G206" s="6"/>
      <c r="H206" s="6">
        <v>1</v>
      </c>
      <c r="I206" s="6"/>
      <c r="J206" s="6"/>
      <c r="K206" s="6"/>
      <c r="L206" s="6"/>
      <c r="M206" s="6"/>
      <c r="N206" s="6"/>
      <c r="O206" s="6"/>
      <c r="P206" s="6">
        <v>1</v>
      </c>
      <c r="Q206" s="6"/>
      <c r="R206" s="6"/>
      <c r="S206" s="6"/>
      <c r="T206" s="6"/>
      <c r="U206" s="6"/>
      <c r="V206" s="6"/>
      <c r="W206" s="6">
        <v>1</v>
      </c>
      <c r="X206" s="6"/>
      <c r="Y206" s="6"/>
      <c r="Z206" s="6">
        <v>4</v>
      </c>
      <c r="AA206" s="6"/>
      <c r="AB206" s="6">
        <v>17</v>
      </c>
      <c r="AC206" s="6">
        <v>2</v>
      </c>
      <c r="AD206" s="6">
        <v>1</v>
      </c>
      <c r="AE206" s="6">
        <v>1</v>
      </c>
      <c r="AF206" s="6">
        <v>1</v>
      </c>
      <c r="AG206" s="6">
        <v>1</v>
      </c>
      <c r="AH206" s="6"/>
      <c r="AI206" s="6"/>
      <c r="AJ206" s="6">
        <v>1</v>
      </c>
      <c r="AK206" s="6"/>
      <c r="AL206" s="6"/>
      <c r="AM206" s="6"/>
      <c r="AN206" s="6"/>
      <c r="AO206" s="6"/>
      <c r="AP206" s="6"/>
      <c r="AQ206" s="6"/>
      <c r="AR206" s="6"/>
      <c r="AS206" s="6">
        <v>1</v>
      </c>
      <c r="AT206" s="6"/>
      <c r="AU206" s="6"/>
      <c r="AV206" s="6"/>
      <c r="AW206" s="6"/>
      <c r="AX206" s="6"/>
      <c r="AY206" s="6"/>
      <c r="AZ206" s="6"/>
      <c r="BA206" s="6">
        <v>1</v>
      </c>
      <c r="BB206" s="6"/>
      <c r="BC206" s="6"/>
      <c r="BD206" s="6"/>
      <c r="BE206" s="6">
        <v>10</v>
      </c>
      <c r="BF206" s="6">
        <v>5</v>
      </c>
      <c r="BG206" s="6">
        <v>1</v>
      </c>
      <c r="BH206" s="6"/>
      <c r="BI206" s="6"/>
      <c r="BJ206" s="6"/>
      <c r="BK206" s="6"/>
      <c r="BL206" s="5">
        <f t="shared" si="57"/>
        <v>49</v>
      </c>
    </row>
    <row r="207" spans="1:64" ht="13.15" customHeight="1" x14ac:dyDescent="0.4">
      <c r="A207" s="7"/>
      <c r="B207" s="50"/>
      <c r="C207" s="24" t="s">
        <v>219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>
        <v>1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>
        <v>1</v>
      </c>
      <c r="AO207" s="6"/>
      <c r="AP207" s="6">
        <v>1</v>
      </c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5">
        <f t="shared" si="57"/>
        <v>3</v>
      </c>
    </row>
    <row r="208" spans="1:64" x14ac:dyDescent="0.4">
      <c r="A208" s="7"/>
      <c r="B208" s="50"/>
      <c r="C208" s="24" t="s">
        <v>220</v>
      </c>
      <c r="D208" s="51"/>
      <c r="E208" s="6"/>
      <c r="F208" s="6">
        <v>1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>
        <v>1</v>
      </c>
      <c r="W208" s="6"/>
      <c r="X208" s="6"/>
      <c r="Y208" s="6">
        <v>1</v>
      </c>
      <c r="Z208" s="6">
        <v>2</v>
      </c>
      <c r="AA208" s="6"/>
      <c r="AB208" s="6"/>
      <c r="AC208" s="6"/>
      <c r="AD208" s="6"/>
      <c r="AE208" s="6"/>
      <c r="AF208" s="6"/>
      <c r="AG208" s="6">
        <v>1</v>
      </c>
      <c r="AH208" s="6"/>
      <c r="AI208" s="6"/>
      <c r="AJ208" s="6"/>
      <c r="AK208" s="6"/>
      <c r="AL208" s="6">
        <v>2</v>
      </c>
      <c r="AM208" s="6"/>
      <c r="AN208" s="6">
        <v>1</v>
      </c>
      <c r="AO208" s="6">
        <v>8</v>
      </c>
      <c r="AP208" s="6"/>
      <c r="AQ208" s="6">
        <v>1</v>
      </c>
      <c r="AR208" s="6"/>
      <c r="AS208" s="6"/>
      <c r="AT208" s="6">
        <v>1</v>
      </c>
      <c r="AU208" s="6"/>
      <c r="AV208" s="6"/>
      <c r="AW208" s="6"/>
      <c r="AX208" s="6"/>
      <c r="AY208" s="6"/>
      <c r="AZ208" s="6"/>
      <c r="BA208" s="6">
        <v>1</v>
      </c>
      <c r="BB208" s="6">
        <v>1</v>
      </c>
      <c r="BC208" s="6"/>
      <c r="BD208" s="6"/>
      <c r="BE208" s="6"/>
      <c r="BF208" s="6"/>
      <c r="BG208" s="6"/>
      <c r="BH208" s="6"/>
      <c r="BI208" s="6"/>
      <c r="BJ208" s="6"/>
      <c r="BK208" s="6"/>
      <c r="BL208" s="5">
        <f t="shared" si="57"/>
        <v>21</v>
      </c>
    </row>
    <row r="209" spans="1:64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5">
        <f t="shared" si="57"/>
        <v>0</v>
      </c>
    </row>
    <row r="210" spans="1:64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5">
        <f t="shared" si="57"/>
        <v>0</v>
      </c>
    </row>
    <row r="211" spans="1:64" x14ac:dyDescent="0.4">
      <c r="A211" s="6" t="s">
        <v>26</v>
      </c>
      <c r="B211" s="85" t="s">
        <v>51</v>
      </c>
      <c r="C211" s="93"/>
      <c r="D211" s="94"/>
      <c r="E211" s="5">
        <f t="shared" ref="E211:BL211" si="58">SUM(E201:E210)</f>
        <v>5</v>
      </c>
      <c r="F211" s="5">
        <f t="shared" si="58"/>
        <v>35</v>
      </c>
      <c r="G211" s="5">
        <f t="shared" si="58"/>
        <v>28</v>
      </c>
      <c r="H211" s="5">
        <f t="shared" si="58"/>
        <v>17</v>
      </c>
      <c r="I211" s="5">
        <f t="shared" si="58"/>
        <v>10</v>
      </c>
      <c r="J211" s="5">
        <f t="shared" si="58"/>
        <v>25</v>
      </c>
      <c r="K211" s="5">
        <f t="shared" si="58"/>
        <v>27</v>
      </c>
      <c r="L211" s="5">
        <f t="shared" si="58"/>
        <v>55</v>
      </c>
      <c r="M211" s="5">
        <f t="shared" si="58"/>
        <v>24</v>
      </c>
      <c r="N211" s="5">
        <f t="shared" si="58"/>
        <v>5</v>
      </c>
      <c r="O211" s="5">
        <f t="shared" si="58"/>
        <v>4</v>
      </c>
      <c r="P211" s="5">
        <f t="shared" si="58"/>
        <v>34</v>
      </c>
      <c r="Q211" s="5">
        <f t="shared" si="58"/>
        <v>21</v>
      </c>
      <c r="R211" s="5">
        <f t="shared" si="58"/>
        <v>89</v>
      </c>
      <c r="S211" s="5">
        <f t="shared" si="58"/>
        <v>29</v>
      </c>
      <c r="T211" s="5">
        <f t="shared" si="58"/>
        <v>21</v>
      </c>
      <c r="U211" s="5">
        <f t="shared" si="58"/>
        <v>23</v>
      </c>
      <c r="V211" s="5">
        <f t="shared" si="58"/>
        <v>40</v>
      </c>
      <c r="W211" s="5">
        <f t="shared" si="58"/>
        <v>75</v>
      </c>
      <c r="X211" s="5">
        <f t="shared" si="58"/>
        <v>71</v>
      </c>
      <c r="Y211" s="5">
        <f t="shared" si="58"/>
        <v>66</v>
      </c>
      <c r="Z211" s="5">
        <f t="shared" si="58"/>
        <v>76</v>
      </c>
      <c r="AA211" s="5">
        <f t="shared" si="58"/>
        <v>12</v>
      </c>
      <c r="AB211" s="5">
        <f t="shared" si="58"/>
        <v>57</v>
      </c>
      <c r="AC211" s="5">
        <f t="shared" si="58"/>
        <v>27</v>
      </c>
      <c r="AD211" s="5">
        <f t="shared" si="58"/>
        <v>21</v>
      </c>
      <c r="AE211" s="5">
        <f t="shared" si="58"/>
        <v>7</v>
      </c>
      <c r="AF211" s="5">
        <f t="shared" si="58"/>
        <v>16</v>
      </c>
      <c r="AG211" s="5">
        <f t="shared" si="58"/>
        <v>30</v>
      </c>
      <c r="AH211" s="5">
        <f t="shared" si="58"/>
        <v>19</v>
      </c>
      <c r="AI211" s="5">
        <f t="shared" si="58"/>
        <v>1</v>
      </c>
      <c r="AJ211" s="5">
        <f t="shared" si="58"/>
        <v>9</v>
      </c>
      <c r="AK211" s="5">
        <f t="shared" si="58"/>
        <v>11</v>
      </c>
      <c r="AL211" s="5">
        <f t="shared" si="58"/>
        <v>15</v>
      </c>
      <c r="AM211" s="5">
        <f t="shared" si="58"/>
        <v>12</v>
      </c>
      <c r="AN211" s="5">
        <f t="shared" si="58"/>
        <v>6</v>
      </c>
      <c r="AO211" s="5">
        <f t="shared" si="58"/>
        <v>14</v>
      </c>
      <c r="AP211" s="5">
        <f t="shared" si="58"/>
        <v>1</v>
      </c>
      <c r="AQ211" s="5">
        <f t="shared" si="58"/>
        <v>15</v>
      </c>
      <c r="AR211" s="5">
        <f t="shared" si="58"/>
        <v>22</v>
      </c>
      <c r="AS211" s="5">
        <f t="shared" si="58"/>
        <v>18</v>
      </c>
      <c r="AT211" s="5">
        <f t="shared" si="58"/>
        <v>4</v>
      </c>
      <c r="AU211" s="5">
        <f t="shared" si="58"/>
        <v>3</v>
      </c>
      <c r="AV211" s="5">
        <f t="shared" si="58"/>
        <v>0</v>
      </c>
      <c r="AW211" s="5">
        <f t="shared" si="58"/>
        <v>0</v>
      </c>
      <c r="AX211" s="5">
        <f t="shared" si="58"/>
        <v>2</v>
      </c>
      <c r="AY211" s="5">
        <f t="shared" si="58"/>
        <v>5</v>
      </c>
      <c r="AZ211" s="5">
        <f t="shared" si="58"/>
        <v>16</v>
      </c>
      <c r="BA211" s="5">
        <f t="shared" si="58"/>
        <v>2</v>
      </c>
      <c r="BB211" s="5">
        <f t="shared" si="58"/>
        <v>23</v>
      </c>
      <c r="BC211" s="5">
        <f t="shared" si="58"/>
        <v>35</v>
      </c>
      <c r="BD211" s="5">
        <f t="shared" si="58"/>
        <v>81</v>
      </c>
      <c r="BE211" s="5">
        <f t="shared" si="58"/>
        <v>79</v>
      </c>
      <c r="BF211" s="5">
        <f t="shared" si="58"/>
        <v>66</v>
      </c>
      <c r="BG211" s="5">
        <f t="shared" si="58"/>
        <v>2</v>
      </c>
      <c r="BH211" s="5">
        <f t="shared" si="58"/>
        <v>15</v>
      </c>
      <c r="BI211" s="5">
        <f t="shared" ref="BI211" si="59">SUM(BI201:BI210)</f>
        <v>21</v>
      </c>
      <c r="BJ211" s="5">
        <f t="shared" si="58"/>
        <v>26</v>
      </c>
      <c r="BK211" s="5">
        <f t="shared" si="58"/>
        <v>57</v>
      </c>
      <c r="BL211" s="5">
        <f t="shared" si="58"/>
        <v>1530</v>
      </c>
    </row>
    <row r="212" spans="1:64" x14ac:dyDescent="0.4">
      <c r="A212" s="64"/>
      <c r="B212" s="86"/>
      <c r="C212" s="86"/>
      <c r="D212" s="86"/>
      <c r="E212" s="9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</row>
    <row r="213" spans="1:64" x14ac:dyDescent="0.4">
      <c r="A213" s="11" t="s">
        <v>48</v>
      </c>
      <c r="B213" s="17" t="s">
        <v>75</v>
      </c>
      <c r="C213" s="92" t="s">
        <v>76</v>
      </c>
      <c r="D213" s="66"/>
      <c r="E213" s="6"/>
      <c r="F213" s="6"/>
      <c r="G213" s="6"/>
      <c r="H213" s="6"/>
      <c r="I213" s="6"/>
      <c r="J213" s="6">
        <v>1</v>
      </c>
      <c r="K213" s="6"/>
      <c r="L213" s="6"/>
      <c r="M213" s="6">
        <v>1</v>
      </c>
      <c r="N213" s="6"/>
      <c r="O213" s="6"/>
      <c r="P213" s="6"/>
      <c r="Q213" s="6"/>
      <c r="R213" s="6"/>
      <c r="S213" s="6"/>
      <c r="T213" s="6"/>
      <c r="U213" s="6">
        <v>1</v>
      </c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>
        <v>3</v>
      </c>
      <c r="AG213" s="6"/>
      <c r="AH213" s="6">
        <v>2</v>
      </c>
      <c r="AI213" s="6"/>
      <c r="AJ213" s="6"/>
      <c r="AK213" s="6"/>
      <c r="AL213" s="6">
        <v>4</v>
      </c>
      <c r="AM213" s="6">
        <v>3</v>
      </c>
      <c r="AN213" s="6">
        <v>1</v>
      </c>
      <c r="AO213" s="6"/>
      <c r="AP213" s="6"/>
      <c r="AQ213" s="6"/>
      <c r="AR213" s="6">
        <v>2</v>
      </c>
      <c r="AS213" s="6">
        <v>1</v>
      </c>
      <c r="AT213" s="6"/>
      <c r="AU213" s="6"/>
      <c r="AV213" s="6"/>
      <c r="AW213" s="6"/>
      <c r="AX213" s="6"/>
      <c r="AY213" s="6"/>
      <c r="AZ213" s="6"/>
      <c r="BA213" s="6">
        <v>1</v>
      </c>
      <c r="BB213" s="6"/>
      <c r="BC213" s="6"/>
      <c r="BD213" s="6"/>
      <c r="BE213" s="6"/>
      <c r="BF213" s="6"/>
      <c r="BG213" s="6"/>
      <c r="BH213" s="6"/>
      <c r="BI213" s="6"/>
      <c r="BJ213" s="6">
        <v>2</v>
      </c>
      <c r="BK213" s="6"/>
      <c r="BL213" s="5">
        <f t="shared" ref="BL213:BL222" si="60">SUM(E213:BK213)</f>
        <v>22</v>
      </c>
    </row>
    <row r="214" spans="1:64" x14ac:dyDescent="0.4">
      <c r="A214" s="11" t="s">
        <v>50</v>
      </c>
      <c r="B214" s="50"/>
      <c r="C214" s="24" t="s">
        <v>221</v>
      </c>
      <c r="D214" s="51"/>
      <c r="E214" s="6"/>
      <c r="F214" s="6">
        <v>1</v>
      </c>
      <c r="G214" s="6"/>
      <c r="H214" s="6">
        <v>4</v>
      </c>
      <c r="I214" s="6">
        <v>1</v>
      </c>
      <c r="J214" s="6"/>
      <c r="K214" s="6"/>
      <c r="L214" s="6"/>
      <c r="M214" s="6"/>
      <c r="N214" s="6">
        <v>1</v>
      </c>
      <c r="O214" s="6"/>
      <c r="P214" s="6"/>
      <c r="Q214" s="6"/>
      <c r="R214" s="6"/>
      <c r="S214" s="6"/>
      <c r="T214" s="6"/>
      <c r="U214" s="6">
        <v>1</v>
      </c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>
        <v>1</v>
      </c>
      <c r="AG214" s="6"/>
      <c r="AH214" s="6">
        <v>1</v>
      </c>
      <c r="AI214" s="6"/>
      <c r="AJ214" s="6">
        <v>1</v>
      </c>
      <c r="AK214" s="6"/>
      <c r="AL214" s="6">
        <v>2</v>
      </c>
      <c r="AM214" s="6">
        <v>1</v>
      </c>
      <c r="AN214" s="6"/>
      <c r="AO214" s="6">
        <v>2</v>
      </c>
      <c r="AP214" s="6"/>
      <c r="AQ214" s="6">
        <v>1</v>
      </c>
      <c r="AR214" s="6"/>
      <c r="AS214" s="6">
        <v>1</v>
      </c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>
        <v>1</v>
      </c>
      <c r="BH214" s="6"/>
      <c r="BI214" s="6"/>
      <c r="BJ214" s="6">
        <v>1</v>
      </c>
      <c r="BK214" s="6">
        <v>1</v>
      </c>
      <c r="BL214" s="5">
        <f t="shared" si="60"/>
        <v>21</v>
      </c>
    </row>
    <row r="215" spans="1:64" x14ac:dyDescent="0.4">
      <c r="A215" s="7"/>
      <c r="B215" s="50"/>
      <c r="C215" s="24" t="s">
        <v>222</v>
      </c>
      <c r="D215" s="51"/>
      <c r="E215" s="6"/>
      <c r="F215" s="6">
        <v>1</v>
      </c>
      <c r="G215" s="6"/>
      <c r="H215" s="6"/>
      <c r="I215" s="6"/>
      <c r="J215" s="6"/>
      <c r="K215" s="6"/>
      <c r="L215" s="6"/>
      <c r="M215" s="6">
        <v>1</v>
      </c>
      <c r="N215" s="6"/>
      <c r="O215" s="6"/>
      <c r="P215" s="6">
        <v>1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>
        <v>1</v>
      </c>
      <c r="AN215" s="6"/>
      <c r="AO215" s="6"/>
      <c r="AP215" s="6"/>
      <c r="AQ215" s="6"/>
      <c r="AR215" s="6"/>
      <c r="AS215" s="6"/>
      <c r="AT215" s="6">
        <v>1</v>
      </c>
      <c r="AU215" s="6"/>
      <c r="AV215" s="6"/>
      <c r="AW215" s="6"/>
      <c r="AX215" s="6">
        <v>1</v>
      </c>
      <c r="AY215" s="6"/>
      <c r="AZ215" s="6"/>
      <c r="BA215" s="6"/>
      <c r="BB215" s="6"/>
      <c r="BC215" s="6"/>
      <c r="BD215" s="6"/>
      <c r="BE215" s="6">
        <v>1</v>
      </c>
      <c r="BF215" s="6"/>
      <c r="BG215" s="6"/>
      <c r="BH215" s="6"/>
      <c r="BI215" s="6"/>
      <c r="BJ215" s="6"/>
      <c r="BK215" s="6"/>
      <c r="BL215" s="5">
        <f t="shared" si="60"/>
        <v>7</v>
      </c>
    </row>
    <row r="216" spans="1:64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5">
        <f t="shared" si="60"/>
        <v>0</v>
      </c>
    </row>
    <row r="217" spans="1:6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5">
        <f t="shared" si="60"/>
        <v>0</v>
      </c>
    </row>
    <row r="218" spans="1:6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5">
        <f t="shared" si="60"/>
        <v>0</v>
      </c>
    </row>
    <row r="219" spans="1:6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5">
        <f t="shared" si="60"/>
        <v>0</v>
      </c>
    </row>
    <row r="220" spans="1:6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5">
        <f t="shared" si="60"/>
        <v>0</v>
      </c>
    </row>
    <row r="221" spans="1:6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5">
        <f t="shared" si="60"/>
        <v>0</v>
      </c>
    </row>
    <row r="222" spans="1:6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5">
        <f t="shared" si="60"/>
        <v>0</v>
      </c>
    </row>
    <row r="223" spans="1:64" x14ac:dyDescent="0.4">
      <c r="A223" s="6" t="s">
        <v>26</v>
      </c>
      <c r="B223" s="85" t="s">
        <v>51</v>
      </c>
      <c r="C223" s="93"/>
      <c r="D223" s="94"/>
      <c r="E223" s="5">
        <f t="shared" ref="E223:BL223" si="61">SUM(E213:E222)</f>
        <v>0</v>
      </c>
      <c r="F223" s="5">
        <f t="shared" si="61"/>
        <v>2</v>
      </c>
      <c r="G223" s="5">
        <f t="shared" si="61"/>
        <v>0</v>
      </c>
      <c r="H223" s="5">
        <f t="shared" si="61"/>
        <v>4</v>
      </c>
      <c r="I223" s="5">
        <f t="shared" si="61"/>
        <v>1</v>
      </c>
      <c r="J223" s="5">
        <f t="shared" si="61"/>
        <v>1</v>
      </c>
      <c r="K223" s="5">
        <f t="shared" si="61"/>
        <v>0</v>
      </c>
      <c r="L223" s="5">
        <f t="shared" si="61"/>
        <v>0</v>
      </c>
      <c r="M223" s="5">
        <f t="shared" si="61"/>
        <v>2</v>
      </c>
      <c r="N223" s="5">
        <f t="shared" si="61"/>
        <v>1</v>
      </c>
      <c r="O223" s="5">
        <f t="shared" si="61"/>
        <v>0</v>
      </c>
      <c r="P223" s="5">
        <f t="shared" si="61"/>
        <v>1</v>
      </c>
      <c r="Q223" s="5">
        <f t="shared" si="61"/>
        <v>0</v>
      </c>
      <c r="R223" s="5">
        <f t="shared" si="61"/>
        <v>0</v>
      </c>
      <c r="S223" s="5">
        <f t="shared" si="61"/>
        <v>0</v>
      </c>
      <c r="T223" s="5">
        <f t="shared" si="61"/>
        <v>0</v>
      </c>
      <c r="U223" s="5">
        <f t="shared" si="61"/>
        <v>2</v>
      </c>
      <c r="V223" s="5">
        <f t="shared" si="61"/>
        <v>0</v>
      </c>
      <c r="W223" s="5">
        <f t="shared" si="61"/>
        <v>0</v>
      </c>
      <c r="X223" s="5">
        <f t="shared" si="61"/>
        <v>0</v>
      </c>
      <c r="Y223" s="5">
        <f t="shared" si="61"/>
        <v>0</v>
      </c>
      <c r="Z223" s="5">
        <f t="shared" si="61"/>
        <v>0</v>
      </c>
      <c r="AA223" s="5">
        <f t="shared" si="61"/>
        <v>0</v>
      </c>
      <c r="AB223" s="5">
        <f t="shared" si="61"/>
        <v>0</v>
      </c>
      <c r="AC223" s="5">
        <f t="shared" si="61"/>
        <v>0</v>
      </c>
      <c r="AD223" s="5">
        <f t="shared" si="61"/>
        <v>0</v>
      </c>
      <c r="AE223" s="5">
        <f t="shared" si="61"/>
        <v>0</v>
      </c>
      <c r="AF223" s="5">
        <f t="shared" si="61"/>
        <v>4</v>
      </c>
      <c r="AG223" s="5">
        <f t="shared" si="61"/>
        <v>0</v>
      </c>
      <c r="AH223" s="5">
        <f t="shared" si="61"/>
        <v>3</v>
      </c>
      <c r="AI223" s="5">
        <f t="shared" si="61"/>
        <v>0</v>
      </c>
      <c r="AJ223" s="5">
        <f t="shared" si="61"/>
        <v>1</v>
      </c>
      <c r="AK223" s="5">
        <f t="shared" si="61"/>
        <v>0</v>
      </c>
      <c r="AL223" s="5">
        <f t="shared" si="61"/>
        <v>6</v>
      </c>
      <c r="AM223" s="5">
        <f t="shared" si="61"/>
        <v>5</v>
      </c>
      <c r="AN223" s="5">
        <f t="shared" si="61"/>
        <v>1</v>
      </c>
      <c r="AO223" s="5">
        <f t="shared" si="61"/>
        <v>2</v>
      </c>
      <c r="AP223" s="5">
        <f t="shared" si="61"/>
        <v>0</v>
      </c>
      <c r="AQ223" s="5">
        <f t="shared" si="61"/>
        <v>1</v>
      </c>
      <c r="AR223" s="5">
        <f t="shared" si="61"/>
        <v>2</v>
      </c>
      <c r="AS223" s="5">
        <f t="shared" si="61"/>
        <v>2</v>
      </c>
      <c r="AT223" s="5">
        <f t="shared" si="61"/>
        <v>1</v>
      </c>
      <c r="AU223" s="5">
        <f t="shared" si="61"/>
        <v>0</v>
      </c>
      <c r="AV223" s="5">
        <f t="shared" si="61"/>
        <v>0</v>
      </c>
      <c r="AW223" s="5">
        <f t="shared" si="61"/>
        <v>0</v>
      </c>
      <c r="AX223" s="5">
        <f t="shared" si="61"/>
        <v>1</v>
      </c>
      <c r="AY223" s="5">
        <f t="shared" si="61"/>
        <v>0</v>
      </c>
      <c r="AZ223" s="5">
        <f t="shared" si="61"/>
        <v>0</v>
      </c>
      <c r="BA223" s="5">
        <f t="shared" si="61"/>
        <v>1</v>
      </c>
      <c r="BB223" s="5">
        <f t="shared" si="61"/>
        <v>0</v>
      </c>
      <c r="BC223" s="5">
        <f t="shared" si="61"/>
        <v>0</v>
      </c>
      <c r="BD223" s="5">
        <f t="shared" si="61"/>
        <v>0</v>
      </c>
      <c r="BE223" s="5">
        <f t="shared" si="61"/>
        <v>1</v>
      </c>
      <c r="BF223" s="5">
        <f t="shared" si="61"/>
        <v>0</v>
      </c>
      <c r="BG223" s="5">
        <f t="shared" si="61"/>
        <v>1</v>
      </c>
      <c r="BH223" s="5">
        <f t="shared" si="61"/>
        <v>0</v>
      </c>
      <c r="BI223" s="5">
        <f t="shared" ref="BI223" si="62">SUM(BI213:BI222)</f>
        <v>0</v>
      </c>
      <c r="BJ223" s="5">
        <f t="shared" si="61"/>
        <v>3</v>
      </c>
      <c r="BK223" s="5">
        <f t="shared" si="61"/>
        <v>1</v>
      </c>
      <c r="BL223" s="5">
        <f t="shared" si="61"/>
        <v>50</v>
      </c>
    </row>
    <row r="224" spans="1:64" x14ac:dyDescent="0.4">
      <c r="A224" s="64"/>
      <c r="B224" s="86"/>
      <c r="C224" s="86"/>
      <c r="D224" s="86"/>
      <c r="E224" s="9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</row>
    <row r="225" spans="1:64" x14ac:dyDescent="0.4">
      <c r="A225" s="11" t="s">
        <v>48</v>
      </c>
      <c r="B225" s="17" t="s">
        <v>77</v>
      </c>
      <c r="C225" s="92" t="s">
        <v>78</v>
      </c>
      <c r="D225" s="66"/>
      <c r="E225" s="6"/>
      <c r="F225" s="6"/>
      <c r="G225" s="6">
        <v>1</v>
      </c>
      <c r="H225" s="6"/>
      <c r="I225" s="6">
        <v>1</v>
      </c>
      <c r="J225" s="6"/>
      <c r="K225" s="6"/>
      <c r="L225" s="6"/>
      <c r="M225" s="6">
        <v>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>
        <v>1</v>
      </c>
      <c r="AR225" s="6"/>
      <c r="AS225" s="6">
        <v>1</v>
      </c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5">
        <f t="shared" ref="BL225:BL234" si="63">SUM(E225:BK225)</f>
        <v>6</v>
      </c>
    </row>
    <row r="226" spans="1:64" x14ac:dyDescent="0.4">
      <c r="A226" s="11" t="s">
        <v>50</v>
      </c>
      <c r="B226" s="17"/>
      <c r="C226" s="24" t="s">
        <v>223</v>
      </c>
      <c r="D226" s="49"/>
      <c r="E226" s="6"/>
      <c r="F226" s="6"/>
      <c r="G226" s="6"/>
      <c r="H226" s="6"/>
      <c r="I226" s="6"/>
      <c r="J226" s="6"/>
      <c r="K226" s="6"/>
      <c r="L226" s="6">
        <v>1</v>
      </c>
      <c r="M226" s="6">
        <v>7</v>
      </c>
      <c r="N226" s="6"/>
      <c r="O226" s="6"/>
      <c r="P226" s="6"/>
      <c r="Q226" s="6">
        <v>1</v>
      </c>
      <c r="R226" s="6"/>
      <c r="S226" s="6"/>
      <c r="T226" s="6"/>
      <c r="U226" s="6">
        <v>1</v>
      </c>
      <c r="V226" s="6"/>
      <c r="W226" s="6"/>
      <c r="X226" s="6"/>
      <c r="Y226" s="6"/>
      <c r="Z226" s="6"/>
      <c r="AA226" s="6"/>
      <c r="AB226" s="6"/>
      <c r="AC226" s="6"/>
      <c r="AD226" s="6"/>
      <c r="AE226" s="6">
        <v>4</v>
      </c>
      <c r="AF226" s="6"/>
      <c r="AG226" s="6">
        <v>1</v>
      </c>
      <c r="AH226" s="6"/>
      <c r="AI226" s="6"/>
      <c r="AJ226" s="6"/>
      <c r="AK226" s="6"/>
      <c r="AL226" s="6"/>
      <c r="AM226" s="6">
        <v>4</v>
      </c>
      <c r="AN226" s="6"/>
      <c r="AO226" s="6">
        <v>1</v>
      </c>
      <c r="AP226" s="6"/>
      <c r="AQ226" s="6">
        <v>3</v>
      </c>
      <c r="AR226" s="6"/>
      <c r="AS226" s="6">
        <v>2</v>
      </c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5">
        <f t="shared" si="63"/>
        <v>25</v>
      </c>
    </row>
    <row r="227" spans="1:64" x14ac:dyDescent="0.4">
      <c r="A227" s="7"/>
      <c r="B227" s="17"/>
      <c r="C227" s="24" t="s">
        <v>224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>
        <v>1</v>
      </c>
      <c r="AR227" s="6">
        <v>1</v>
      </c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5">
        <f t="shared" si="63"/>
        <v>2</v>
      </c>
    </row>
    <row r="228" spans="1:64" x14ac:dyDescent="0.4">
      <c r="A228" s="7"/>
      <c r="B228" s="17"/>
      <c r="C228" s="24" t="s">
        <v>225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5">
        <f t="shared" si="63"/>
        <v>0</v>
      </c>
    </row>
    <row r="229" spans="1:64" ht="13.15" customHeight="1" x14ac:dyDescent="0.4">
      <c r="A229" s="7"/>
      <c r="B229" s="50"/>
      <c r="C229" s="24" t="s">
        <v>226</v>
      </c>
      <c r="D229" s="5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5">
        <f t="shared" si="63"/>
        <v>0</v>
      </c>
    </row>
    <row r="230" spans="1:6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5">
        <f t="shared" si="63"/>
        <v>0</v>
      </c>
    </row>
    <row r="231" spans="1:6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5">
        <f t="shared" si="63"/>
        <v>0</v>
      </c>
    </row>
    <row r="232" spans="1:6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5">
        <f t="shared" si="63"/>
        <v>0</v>
      </c>
    </row>
    <row r="233" spans="1:6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5">
        <f t="shared" si="63"/>
        <v>0</v>
      </c>
    </row>
    <row r="234" spans="1:6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5">
        <f t="shared" si="63"/>
        <v>0</v>
      </c>
    </row>
    <row r="235" spans="1:64" x14ac:dyDescent="0.4">
      <c r="A235" s="6" t="s">
        <v>26</v>
      </c>
      <c r="B235" s="85" t="s">
        <v>51</v>
      </c>
      <c r="C235" s="93"/>
      <c r="D235" s="94"/>
      <c r="E235" s="5">
        <f t="shared" ref="E235:BL235" si="64">SUM(E225:E234)</f>
        <v>0</v>
      </c>
      <c r="F235" s="5">
        <f t="shared" si="64"/>
        <v>0</v>
      </c>
      <c r="G235" s="5">
        <f t="shared" si="64"/>
        <v>1</v>
      </c>
      <c r="H235" s="5">
        <f t="shared" si="64"/>
        <v>0</v>
      </c>
      <c r="I235" s="5">
        <f t="shared" si="64"/>
        <v>1</v>
      </c>
      <c r="J235" s="5">
        <f t="shared" si="64"/>
        <v>0</v>
      </c>
      <c r="K235" s="5">
        <f t="shared" si="64"/>
        <v>0</v>
      </c>
      <c r="L235" s="5">
        <f t="shared" si="64"/>
        <v>1</v>
      </c>
      <c r="M235" s="5">
        <f t="shared" si="64"/>
        <v>8</v>
      </c>
      <c r="N235" s="5">
        <f t="shared" si="64"/>
        <v>1</v>
      </c>
      <c r="O235" s="5">
        <f t="shared" si="64"/>
        <v>0</v>
      </c>
      <c r="P235" s="5">
        <f t="shared" si="64"/>
        <v>0</v>
      </c>
      <c r="Q235" s="5">
        <f t="shared" si="64"/>
        <v>1</v>
      </c>
      <c r="R235" s="5">
        <f t="shared" si="64"/>
        <v>0</v>
      </c>
      <c r="S235" s="5">
        <f t="shared" si="64"/>
        <v>0</v>
      </c>
      <c r="T235" s="5">
        <f t="shared" si="64"/>
        <v>0</v>
      </c>
      <c r="U235" s="5">
        <f t="shared" si="64"/>
        <v>1</v>
      </c>
      <c r="V235" s="5">
        <f t="shared" si="64"/>
        <v>0</v>
      </c>
      <c r="W235" s="5">
        <f t="shared" si="64"/>
        <v>0</v>
      </c>
      <c r="X235" s="5">
        <f t="shared" si="64"/>
        <v>0</v>
      </c>
      <c r="Y235" s="5">
        <f t="shared" si="64"/>
        <v>0</v>
      </c>
      <c r="Z235" s="5">
        <f t="shared" si="64"/>
        <v>0</v>
      </c>
      <c r="AA235" s="5">
        <f t="shared" si="64"/>
        <v>0</v>
      </c>
      <c r="AB235" s="5">
        <f t="shared" si="64"/>
        <v>0</v>
      </c>
      <c r="AC235" s="5">
        <f t="shared" si="64"/>
        <v>0</v>
      </c>
      <c r="AD235" s="5">
        <f t="shared" si="64"/>
        <v>0</v>
      </c>
      <c r="AE235" s="5">
        <f t="shared" si="64"/>
        <v>4</v>
      </c>
      <c r="AF235" s="5">
        <f t="shared" si="64"/>
        <v>0</v>
      </c>
      <c r="AG235" s="5">
        <f t="shared" si="64"/>
        <v>1</v>
      </c>
      <c r="AH235" s="5">
        <f t="shared" si="64"/>
        <v>0</v>
      </c>
      <c r="AI235" s="5">
        <f t="shared" si="64"/>
        <v>0</v>
      </c>
      <c r="AJ235" s="5">
        <f t="shared" si="64"/>
        <v>0</v>
      </c>
      <c r="AK235" s="5">
        <f t="shared" si="64"/>
        <v>0</v>
      </c>
      <c r="AL235" s="5">
        <f t="shared" si="64"/>
        <v>0</v>
      </c>
      <c r="AM235" s="5">
        <f t="shared" si="64"/>
        <v>4</v>
      </c>
      <c r="AN235" s="5">
        <f t="shared" si="64"/>
        <v>0</v>
      </c>
      <c r="AO235" s="5">
        <f t="shared" si="64"/>
        <v>1</v>
      </c>
      <c r="AP235" s="5">
        <f t="shared" si="64"/>
        <v>0</v>
      </c>
      <c r="AQ235" s="5">
        <f t="shared" si="64"/>
        <v>5</v>
      </c>
      <c r="AR235" s="5">
        <f t="shared" si="64"/>
        <v>1</v>
      </c>
      <c r="AS235" s="5">
        <f t="shared" si="64"/>
        <v>3</v>
      </c>
      <c r="AT235" s="5">
        <f t="shared" si="64"/>
        <v>0</v>
      </c>
      <c r="AU235" s="5">
        <f t="shared" si="64"/>
        <v>0</v>
      </c>
      <c r="AV235" s="5">
        <f t="shared" si="64"/>
        <v>0</v>
      </c>
      <c r="AW235" s="5">
        <f t="shared" si="64"/>
        <v>0</v>
      </c>
      <c r="AX235" s="5">
        <f t="shared" si="64"/>
        <v>0</v>
      </c>
      <c r="AY235" s="5">
        <f t="shared" si="64"/>
        <v>0</v>
      </c>
      <c r="AZ235" s="5">
        <f t="shared" si="64"/>
        <v>0</v>
      </c>
      <c r="BA235" s="5">
        <f t="shared" si="64"/>
        <v>0</v>
      </c>
      <c r="BB235" s="5">
        <f t="shared" si="64"/>
        <v>0</v>
      </c>
      <c r="BC235" s="5">
        <f t="shared" si="64"/>
        <v>0</v>
      </c>
      <c r="BD235" s="5">
        <f t="shared" si="64"/>
        <v>0</v>
      </c>
      <c r="BE235" s="5">
        <f t="shared" si="64"/>
        <v>0</v>
      </c>
      <c r="BF235" s="5">
        <f t="shared" si="64"/>
        <v>0</v>
      </c>
      <c r="BG235" s="5">
        <f t="shared" si="64"/>
        <v>0</v>
      </c>
      <c r="BH235" s="5">
        <f t="shared" si="64"/>
        <v>0</v>
      </c>
      <c r="BI235" s="5">
        <f t="shared" ref="BI235" si="65">SUM(BI225:BI234)</f>
        <v>0</v>
      </c>
      <c r="BJ235" s="5">
        <f t="shared" si="64"/>
        <v>0</v>
      </c>
      <c r="BK235" s="5">
        <f t="shared" si="64"/>
        <v>0</v>
      </c>
      <c r="BL235" s="5">
        <f t="shared" si="64"/>
        <v>33</v>
      </c>
    </row>
    <row r="236" spans="1:64" x14ac:dyDescent="0.4">
      <c r="A236" s="64"/>
      <c r="B236" s="86"/>
      <c r="C236" s="86"/>
      <c r="D236" s="86"/>
      <c r="E236" s="9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</row>
    <row r="237" spans="1:64" x14ac:dyDescent="0.4">
      <c r="A237" s="11" t="s">
        <v>48</v>
      </c>
      <c r="B237" s="17" t="s">
        <v>79</v>
      </c>
      <c r="C237" s="92" t="s">
        <v>80</v>
      </c>
      <c r="D237" s="66"/>
      <c r="E237" s="6"/>
      <c r="F237" s="6">
        <v>4</v>
      </c>
      <c r="G237" s="6"/>
      <c r="H237" s="6"/>
      <c r="I237" s="6">
        <v>3</v>
      </c>
      <c r="J237" s="6">
        <v>8</v>
      </c>
      <c r="K237" s="6">
        <v>4</v>
      </c>
      <c r="L237" s="6"/>
      <c r="M237" s="6">
        <v>1</v>
      </c>
      <c r="N237" s="6"/>
      <c r="O237" s="6"/>
      <c r="P237" s="6">
        <v>4</v>
      </c>
      <c r="Q237" s="6"/>
      <c r="R237" s="6"/>
      <c r="S237" s="6">
        <v>5</v>
      </c>
      <c r="T237" s="6">
        <v>6</v>
      </c>
      <c r="U237" s="6">
        <v>3</v>
      </c>
      <c r="V237" s="6"/>
      <c r="W237" s="6">
        <v>1</v>
      </c>
      <c r="X237" s="6">
        <v>5</v>
      </c>
      <c r="Y237" s="6">
        <v>6</v>
      </c>
      <c r="Z237" s="6">
        <v>1</v>
      </c>
      <c r="AA237" s="6">
        <v>1</v>
      </c>
      <c r="AB237" s="6">
        <v>1</v>
      </c>
      <c r="AC237" s="6"/>
      <c r="AD237" s="6">
        <v>2</v>
      </c>
      <c r="AE237" s="6"/>
      <c r="AF237" s="6"/>
      <c r="AG237" s="6">
        <v>2</v>
      </c>
      <c r="AH237" s="6"/>
      <c r="AI237" s="6"/>
      <c r="AJ237" s="6">
        <v>2</v>
      </c>
      <c r="AK237" s="6">
        <v>4</v>
      </c>
      <c r="AL237" s="6">
        <v>3</v>
      </c>
      <c r="AM237" s="6"/>
      <c r="AN237" s="6"/>
      <c r="AO237" s="6">
        <v>1</v>
      </c>
      <c r="AP237" s="6"/>
      <c r="AQ237" s="6">
        <v>2</v>
      </c>
      <c r="AR237" s="6"/>
      <c r="AS237" s="6"/>
      <c r="AT237" s="6"/>
      <c r="AU237" s="6"/>
      <c r="AV237" s="6"/>
      <c r="AW237" s="6"/>
      <c r="AX237" s="6">
        <v>2</v>
      </c>
      <c r="AY237" s="6"/>
      <c r="AZ237" s="6">
        <v>1</v>
      </c>
      <c r="BA237" s="6"/>
      <c r="BB237" s="6"/>
      <c r="BC237" s="6">
        <v>1</v>
      </c>
      <c r="BD237" s="6"/>
      <c r="BE237" s="6"/>
      <c r="BF237" s="6"/>
      <c r="BG237" s="6"/>
      <c r="BH237" s="6"/>
      <c r="BI237" s="6"/>
      <c r="BJ237" s="6">
        <v>2</v>
      </c>
      <c r="BK237" s="6">
        <v>2</v>
      </c>
      <c r="BL237" s="5">
        <f t="shared" ref="BL237:BL246" si="66">SUM(E237:BK237)</f>
        <v>77</v>
      </c>
    </row>
    <row r="238" spans="1:64" x14ac:dyDescent="0.4">
      <c r="A238" s="11" t="s">
        <v>50</v>
      </c>
      <c r="B238" s="50"/>
      <c r="C238" s="24" t="s">
        <v>227</v>
      </c>
      <c r="D238" s="51"/>
      <c r="E238" s="6"/>
      <c r="F238" s="6">
        <v>3</v>
      </c>
      <c r="G238" s="6">
        <v>4</v>
      </c>
      <c r="H238" s="6">
        <v>2</v>
      </c>
      <c r="I238" s="6">
        <v>2</v>
      </c>
      <c r="J238" s="6">
        <v>9</v>
      </c>
      <c r="K238" s="6">
        <v>29</v>
      </c>
      <c r="L238" s="6">
        <v>26</v>
      </c>
      <c r="M238" s="6">
        <v>12</v>
      </c>
      <c r="N238" s="6">
        <v>12</v>
      </c>
      <c r="O238" s="6">
        <v>2</v>
      </c>
      <c r="P238" s="6">
        <v>7</v>
      </c>
      <c r="Q238" s="6">
        <v>15</v>
      </c>
      <c r="R238" s="6">
        <v>28</v>
      </c>
      <c r="S238" s="6">
        <v>62</v>
      </c>
      <c r="T238" s="6">
        <v>27</v>
      </c>
      <c r="U238" s="6">
        <v>11</v>
      </c>
      <c r="V238" s="6">
        <v>12</v>
      </c>
      <c r="W238" s="6">
        <v>9</v>
      </c>
      <c r="X238" s="6">
        <v>6</v>
      </c>
      <c r="Y238" s="6">
        <v>24</v>
      </c>
      <c r="Z238" s="6">
        <v>9</v>
      </c>
      <c r="AA238" s="6">
        <v>10</v>
      </c>
      <c r="AB238" s="6">
        <v>9</v>
      </c>
      <c r="AC238" s="6">
        <v>3</v>
      </c>
      <c r="AD238" s="6">
        <v>9</v>
      </c>
      <c r="AE238" s="6">
        <v>5</v>
      </c>
      <c r="AF238" s="6">
        <v>1</v>
      </c>
      <c r="AG238" s="6">
        <v>2</v>
      </c>
      <c r="AH238" s="6"/>
      <c r="AI238" s="6"/>
      <c r="AJ238" s="6">
        <v>4</v>
      </c>
      <c r="AK238" s="6">
        <v>36</v>
      </c>
      <c r="AL238" s="6"/>
      <c r="AM238" s="6"/>
      <c r="AN238" s="6">
        <v>8</v>
      </c>
      <c r="AO238" s="6"/>
      <c r="AP238" s="6"/>
      <c r="AQ238" s="6">
        <v>1</v>
      </c>
      <c r="AR238" s="6"/>
      <c r="AS238" s="6">
        <v>1</v>
      </c>
      <c r="AT238" s="6">
        <v>1</v>
      </c>
      <c r="AU238" s="6"/>
      <c r="AV238" s="6">
        <v>1</v>
      </c>
      <c r="AW238" s="6"/>
      <c r="AX238" s="6">
        <v>3</v>
      </c>
      <c r="AY238" s="6">
        <v>4</v>
      </c>
      <c r="AZ238" s="6">
        <v>8</v>
      </c>
      <c r="BA238" s="6"/>
      <c r="BB238" s="6">
        <v>3</v>
      </c>
      <c r="BC238" s="6">
        <v>2</v>
      </c>
      <c r="BD238" s="6"/>
      <c r="BE238" s="6"/>
      <c r="BF238" s="6"/>
      <c r="BG238" s="6"/>
      <c r="BH238" s="6">
        <v>5</v>
      </c>
      <c r="BI238" s="6">
        <v>3</v>
      </c>
      <c r="BJ238" s="6">
        <v>12</v>
      </c>
      <c r="BK238" s="6">
        <v>29</v>
      </c>
      <c r="BL238" s="5">
        <f t="shared" si="66"/>
        <v>471</v>
      </c>
    </row>
    <row r="239" spans="1:64" x14ac:dyDescent="0.4">
      <c r="A239" s="7"/>
      <c r="B239" s="50"/>
      <c r="C239" s="24" t="s">
        <v>228</v>
      </c>
      <c r="D239" s="51"/>
      <c r="E239" s="6"/>
      <c r="F239" s="6"/>
      <c r="G239" s="6"/>
      <c r="H239" s="6"/>
      <c r="I239" s="6"/>
      <c r="J239" s="6">
        <v>1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>
        <v>1</v>
      </c>
      <c r="X239" s="6"/>
      <c r="Y239" s="6"/>
      <c r="Z239" s="6">
        <v>1</v>
      </c>
      <c r="AA239" s="6"/>
      <c r="AB239" s="6"/>
      <c r="AC239" s="6"/>
      <c r="AD239" s="6"/>
      <c r="AE239" s="6"/>
      <c r="AF239" s="6">
        <v>4</v>
      </c>
      <c r="AG239" s="6"/>
      <c r="AH239" s="6"/>
      <c r="AI239" s="6"/>
      <c r="AJ239" s="6"/>
      <c r="AK239" s="6">
        <v>1</v>
      </c>
      <c r="AL239" s="6"/>
      <c r="AM239" s="6"/>
      <c r="AN239" s="6"/>
      <c r="AO239" s="6"/>
      <c r="AP239" s="6"/>
      <c r="AQ239" s="6"/>
      <c r="AR239" s="6">
        <v>1</v>
      </c>
      <c r="AS239" s="6"/>
      <c r="AT239" s="6"/>
      <c r="AU239" s="6"/>
      <c r="AV239" s="6"/>
      <c r="AW239" s="6">
        <v>1</v>
      </c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>
        <v>1</v>
      </c>
      <c r="BL239" s="5">
        <f t="shared" si="66"/>
        <v>11</v>
      </c>
    </row>
    <row r="240" spans="1:64" ht="13.15" customHeight="1" x14ac:dyDescent="0.4">
      <c r="A240" s="7"/>
      <c r="B240" s="50"/>
      <c r="C240" s="24" t="s">
        <v>229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>
        <v>1</v>
      </c>
      <c r="S240" s="6"/>
      <c r="T240" s="6"/>
      <c r="U240" s="6"/>
      <c r="V240" s="6"/>
      <c r="W240" s="6"/>
      <c r="X240" s="6"/>
      <c r="Y240" s="6"/>
      <c r="Z240" s="6">
        <v>1</v>
      </c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5">
        <f t="shared" si="66"/>
        <v>2</v>
      </c>
    </row>
    <row r="241" spans="1:64" x14ac:dyDescent="0.4">
      <c r="A241" s="7"/>
      <c r="B241" s="50"/>
      <c r="C241" s="24" t="s">
        <v>230</v>
      </c>
      <c r="D241" s="5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>
        <v>2</v>
      </c>
      <c r="Q241" s="6"/>
      <c r="R241" s="6"/>
      <c r="S241" s="6">
        <v>1</v>
      </c>
      <c r="T241" s="6">
        <v>2</v>
      </c>
      <c r="U241" s="6"/>
      <c r="V241" s="6"/>
      <c r="W241" s="6"/>
      <c r="X241" s="6"/>
      <c r="Y241" s="6"/>
      <c r="Z241" s="6">
        <v>1</v>
      </c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5">
        <f t="shared" si="66"/>
        <v>6</v>
      </c>
    </row>
    <row r="242" spans="1:64" ht="12.75" customHeight="1" x14ac:dyDescent="0.4">
      <c r="A242" s="7"/>
      <c r="B242" s="50"/>
      <c r="C242" s="24" t="s">
        <v>231</v>
      </c>
      <c r="D242" s="5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5">
        <f t="shared" si="66"/>
        <v>0</v>
      </c>
    </row>
    <row r="243" spans="1:64" x14ac:dyDescent="0.4">
      <c r="A243" s="7"/>
      <c r="B243" s="50"/>
      <c r="C243" s="24" t="s">
        <v>232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5">
        <f t="shared" si="66"/>
        <v>0</v>
      </c>
    </row>
    <row r="244" spans="1:64" x14ac:dyDescent="0.4">
      <c r="A244" s="7"/>
      <c r="B244" s="45"/>
      <c r="C244" s="46"/>
      <c r="D244" s="4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5">
        <f t="shared" si="66"/>
        <v>0</v>
      </c>
    </row>
    <row r="245" spans="1:64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5">
        <f t="shared" si="66"/>
        <v>0</v>
      </c>
    </row>
    <row r="246" spans="1:64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5">
        <f t="shared" si="66"/>
        <v>0</v>
      </c>
    </row>
    <row r="247" spans="1:64" ht="12.75" customHeight="1" x14ac:dyDescent="0.4">
      <c r="A247" s="6" t="s">
        <v>26</v>
      </c>
      <c r="B247" s="85" t="s">
        <v>51</v>
      </c>
      <c r="C247" s="93"/>
      <c r="D247" s="94"/>
      <c r="E247" s="5">
        <f t="shared" ref="E247:BL247" si="67">SUM(E237:E246)</f>
        <v>0</v>
      </c>
      <c r="F247" s="5">
        <f t="shared" si="67"/>
        <v>7</v>
      </c>
      <c r="G247" s="5">
        <f t="shared" si="67"/>
        <v>4</v>
      </c>
      <c r="H247" s="5">
        <f t="shared" si="67"/>
        <v>2</v>
      </c>
      <c r="I247" s="5">
        <f t="shared" si="67"/>
        <v>5</v>
      </c>
      <c r="J247" s="5">
        <f t="shared" si="67"/>
        <v>18</v>
      </c>
      <c r="K247" s="5">
        <f t="shared" si="67"/>
        <v>33</v>
      </c>
      <c r="L247" s="5">
        <f t="shared" si="67"/>
        <v>26</v>
      </c>
      <c r="M247" s="5">
        <f t="shared" si="67"/>
        <v>13</v>
      </c>
      <c r="N247" s="5">
        <f t="shared" si="67"/>
        <v>12</v>
      </c>
      <c r="O247" s="5">
        <f t="shared" si="67"/>
        <v>2</v>
      </c>
      <c r="P247" s="5">
        <f t="shared" si="67"/>
        <v>13</v>
      </c>
      <c r="Q247" s="5">
        <f t="shared" si="67"/>
        <v>15</v>
      </c>
      <c r="R247" s="5">
        <f t="shared" si="67"/>
        <v>29</v>
      </c>
      <c r="S247" s="5">
        <f t="shared" si="67"/>
        <v>68</v>
      </c>
      <c r="T247" s="5">
        <f t="shared" si="67"/>
        <v>35</v>
      </c>
      <c r="U247" s="5">
        <f t="shared" si="67"/>
        <v>14</v>
      </c>
      <c r="V247" s="5">
        <f t="shared" si="67"/>
        <v>12</v>
      </c>
      <c r="W247" s="5">
        <f t="shared" si="67"/>
        <v>11</v>
      </c>
      <c r="X247" s="5">
        <f t="shared" si="67"/>
        <v>11</v>
      </c>
      <c r="Y247" s="5">
        <f t="shared" si="67"/>
        <v>30</v>
      </c>
      <c r="Z247" s="5">
        <f t="shared" si="67"/>
        <v>13</v>
      </c>
      <c r="AA247" s="5">
        <f t="shared" si="67"/>
        <v>11</v>
      </c>
      <c r="AB247" s="5">
        <f t="shared" si="67"/>
        <v>10</v>
      </c>
      <c r="AC247" s="5">
        <f t="shared" si="67"/>
        <v>3</v>
      </c>
      <c r="AD247" s="5">
        <f t="shared" si="67"/>
        <v>11</v>
      </c>
      <c r="AE247" s="5">
        <f t="shared" si="67"/>
        <v>5</v>
      </c>
      <c r="AF247" s="5">
        <f t="shared" si="67"/>
        <v>5</v>
      </c>
      <c r="AG247" s="5">
        <f t="shared" si="67"/>
        <v>4</v>
      </c>
      <c r="AH247" s="5">
        <f t="shared" si="67"/>
        <v>0</v>
      </c>
      <c r="AI247" s="5">
        <f t="shared" si="67"/>
        <v>0</v>
      </c>
      <c r="AJ247" s="5">
        <f t="shared" si="67"/>
        <v>6</v>
      </c>
      <c r="AK247" s="5">
        <f t="shared" si="67"/>
        <v>41</v>
      </c>
      <c r="AL247" s="5">
        <f t="shared" si="67"/>
        <v>3</v>
      </c>
      <c r="AM247" s="5">
        <f t="shared" si="67"/>
        <v>0</v>
      </c>
      <c r="AN247" s="5">
        <f t="shared" si="67"/>
        <v>8</v>
      </c>
      <c r="AO247" s="5">
        <f t="shared" si="67"/>
        <v>1</v>
      </c>
      <c r="AP247" s="5">
        <f t="shared" si="67"/>
        <v>0</v>
      </c>
      <c r="AQ247" s="5">
        <f t="shared" si="67"/>
        <v>3</v>
      </c>
      <c r="AR247" s="5">
        <f t="shared" si="67"/>
        <v>1</v>
      </c>
      <c r="AS247" s="5">
        <f t="shared" si="67"/>
        <v>1</v>
      </c>
      <c r="AT247" s="5">
        <f t="shared" si="67"/>
        <v>1</v>
      </c>
      <c r="AU247" s="5">
        <f t="shared" si="67"/>
        <v>0</v>
      </c>
      <c r="AV247" s="5">
        <f t="shared" si="67"/>
        <v>1</v>
      </c>
      <c r="AW247" s="5">
        <f t="shared" si="67"/>
        <v>1</v>
      </c>
      <c r="AX247" s="5">
        <f t="shared" si="67"/>
        <v>5</v>
      </c>
      <c r="AY247" s="5">
        <f t="shared" si="67"/>
        <v>4</v>
      </c>
      <c r="AZ247" s="5">
        <f t="shared" si="67"/>
        <v>9</v>
      </c>
      <c r="BA247" s="5">
        <f t="shared" si="67"/>
        <v>0</v>
      </c>
      <c r="BB247" s="5">
        <f t="shared" si="67"/>
        <v>3</v>
      </c>
      <c r="BC247" s="5">
        <f t="shared" si="67"/>
        <v>3</v>
      </c>
      <c r="BD247" s="5">
        <f t="shared" si="67"/>
        <v>0</v>
      </c>
      <c r="BE247" s="5">
        <f t="shared" si="67"/>
        <v>0</v>
      </c>
      <c r="BF247" s="5">
        <f t="shared" si="67"/>
        <v>0</v>
      </c>
      <c r="BG247" s="5">
        <f t="shared" si="67"/>
        <v>0</v>
      </c>
      <c r="BH247" s="5">
        <f t="shared" si="67"/>
        <v>5</v>
      </c>
      <c r="BI247" s="5">
        <f t="shared" ref="BI247" si="68">SUM(BI237:BI246)</f>
        <v>3</v>
      </c>
      <c r="BJ247" s="5">
        <f t="shared" si="67"/>
        <v>14</v>
      </c>
      <c r="BK247" s="5">
        <f t="shared" si="67"/>
        <v>32</v>
      </c>
      <c r="BL247" s="5">
        <f t="shared" si="67"/>
        <v>567</v>
      </c>
    </row>
    <row r="248" spans="1:64" x14ac:dyDescent="0.4">
      <c r="A248" s="64"/>
      <c r="B248" s="86"/>
      <c r="C248" s="86"/>
      <c r="D248" s="86"/>
      <c r="E248" s="95"/>
    </row>
    <row r="249" spans="1:64" x14ac:dyDescent="0.4">
      <c r="A249" s="11" t="s">
        <v>48</v>
      </c>
      <c r="B249" s="17" t="s">
        <v>81</v>
      </c>
      <c r="C249" s="92" t="s">
        <v>82</v>
      </c>
      <c r="D249" s="66"/>
      <c r="E249" s="6"/>
      <c r="F249" s="6">
        <v>1</v>
      </c>
      <c r="G249" s="6"/>
      <c r="H249" s="6"/>
      <c r="I249" s="6"/>
      <c r="J249" s="6">
        <v>1</v>
      </c>
      <c r="K249" s="6"/>
      <c r="L249" s="6"/>
      <c r="M249" s="6"/>
      <c r="N249" s="6">
        <v>1</v>
      </c>
      <c r="O249" s="6"/>
      <c r="P249" s="6"/>
      <c r="Q249" s="6"/>
      <c r="R249" s="6"/>
      <c r="S249" s="6">
        <v>1</v>
      </c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>
        <v>1</v>
      </c>
      <c r="AM249" s="6">
        <v>1</v>
      </c>
      <c r="AN249" s="6"/>
      <c r="AO249" s="6"/>
      <c r="AP249" s="6"/>
      <c r="AQ249" s="6"/>
      <c r="AR249" s="6">
        <v>2</v>
      </c>
      <c r="AS249" s="6"/>
      <c r="AT249" s="6"/>
      <c r="AU249" s="6">
        <v>1</v>
      </c>
      <c r="AV249" s="6"/>
      <c r="AW249" s="6"/>
      <c r="AX249" s="6"/>
      <c r="AY249" s="6"/>
      <c r="AZ249" s="6"/>
      <c r="BA249" s="6"/>
      <c r="BB249" s="6"/>
      <c r="BC249" s="6"/>
      <c r="BD249" s="6"/>
      <c r="BE249" s="6">
        <v>1</v>
      </c>
      <c r="BF249" s="6"/>
      <c r="BG249" s="6"/>
      <c r="BH249" s="6"/>
      <c r="BI249" s="6"/>
      <c r="BJ249" s="6"/>
      <c r="BK249" s="6"/>
      <c r="BL249" s="5">
        <f t="shared" ref="BL249:BL258" si="69">SUM(E249:BK249)</f>
        <v>10</v>
      </c>
    </row>
    <row r="250" spans="1:64" x14ac:dyDescent="0.4">
      <c r="A250" s="11" t="s">
        <v>50</v>
      </c>
      <c r="B250" s="17"/>
      <c r="C250" s="24" t="s">
        <v>233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>
        <v>2</v>
      </c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>
        <v>1</v>
      </c>
      <c r="BG250" s="6"/>
      <c r="BH250" s="6"/>
      <c r="BI250" s="6"/>
      <c r="BJ250" s="6"/>
      <c r="BK250" s="6"/>
      <c r="BL250" s="5">
        <f t="shared" si="69"/>
        <v>3</v>
      </c>
    </row>
    <row r="251" spans="1:64" x14ac:dyDescent="0.4">
      <c r="A251" s="7"/>
      <c r="B251" s="17"/>
      <c r="C251" s="24" t="s">
        <v>234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>
        <v>2</v>
      </c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5">
        <f t="shared" si="69"/>
        <v>2</v>
      </c>
    </row>
    <row r="252" spans="1:64" x14ac:dyDescent="0.4">
      <c r="A252" s="7"/>
      <c r="B252" s="50"/>
      <c r="C252" s="24" t="s">
        <v>235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>
        <v>1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5">
        <f t="shared" si="69"/>
        <v>1</v>
      </c>
    </row>
    <row r="253" spans="1:64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5">
        <f t="shared" si="69"/>
        <v>0</v>
      </c>
    </row>
    <row r="254" spans="1:64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5">
        <f t="shared" si="69"/>
        <v>0</v>
      </c>
    </row>
    <row r="255" spans="1:64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5">
        <f t="shared" si="69"/>
        <v>0</v>
      </c>
    </row>
    <row r="256" spans="1:64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5">
        <f t="shared" si="69"/>
        <v>0</v>
      </c>
    </row>
    <row r="257" spans="1:64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5">
        <f t="shared" si="69"/>
        <v>0</v>
      </c>
    </row>
    <row r="258" spans="1:64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5">
        <f t="shared" si="69"/>
        <v>0</v>
      </c>
    </row>
    <row r="259" spans="1:64" x14ac:dyDescent="0.4">
      <c r="A259" s="6" t="s">
        <v>26</v>
      </c>
      <c r="B259" s="85" t="s">
        <v>51</v>
      </c>
      <c r="C259" s="93"/>
      <c r="D259" s="94"/>
      <c r="E259" s="5">
        <f t="shared" ref="E259:BL259" si="70">SUM(E249:E258)</f>
        <v>0</v>
      </c>
      <c r="F259" s="5">
        <f t="shared" si="70"/>
        <v>1</v>
      </c>
      <c r="G259" s="5">
        <f t="shared" si="70"/>
        <v>0</v>
      </c>
      <c r="H259" s="5">
        <f t="shared" si="70"/>
        <v>0</v>
      </c>
      <c r="I259" s="5">
        <f t="shared" si="70"/>
        <v>0</v>
      </c>
      <c r="J259" s="5">
        <f t="shared" si="70"/>
        <v>1</v>
      </c>
      <c r="K259" s="5">
        <f t="shared" si="70"/>
        <v>0</v>
      </c>
      <c r="L259" s="5">
        <f t="shared" si="70"/>
        <v>0</v>
      </c>
      <c r="M259" s="5">
        <f t="shared" si="70"/>
        <v>0</v>
      </c>
      <c r="N259" s="5">
        <f t="shared" si="70"/>
        <v>1</v>
      </c>
      <c r="O259" s="5">
        <f t="shared" si="70"/>
        <v>0</v>
      </c>
      <c r="P259" s="5">
        <f t="shared" si="70"/>
        <v>0</v>
      </c>
      <c r="Q259" s="5">
        <f t="shared" si="70"/>
        <v>0</v>
      </c>
      <c r="R259" s="5">
        <f t="shared" si="70"/>
        <v>0</v>
      </c>
      <c r="S259" s="5">
        <f t="shared" si="70"/>
        <v>1</v>
      </c>
      <c r="T259" s="5">
        <f t="shared" si="70"/>
        <v>0</v>
      </c>
      <c r="U259" s="5">
        <f t="shared" si="70"/>
        <v>0</v>
      </c>
      <c r="V259" s="5">
        <f t="shared" si="70"/>
        <v>0</v>
      </c>
      <c r="W259" s="5">
        <f t="shared" si="70"/>
        <v>0</v>
      </c>
      <c r="X259" s="5">
        <f t="shared" si="70"/>
        <v>0</v>
      </c>
      <c r="Y259" s="5">
        <f t="shared" si="70"/>
        <v>0</v>
      </c>
      <c r="Z259" s="5">
        <f t="shared" si="70"/>
        <v>0</v>
      </c>
      <c r="AA259" s="5">
        <f t="shared" si="70"/>
        <v>0</v>
      </c>
      <c r="AB259" s="5">
        <f t="shared" si="70"/>
        <v>0</v>
      </c>
      <c r="AC259" s="5">
        <f t="shared" si="70"/>
        <v>0</v>
      </c>
      <c r="AD259" s="5">
        <f t="shared" si="70"/>
        <v>0</v>
      </c>
      <c r="AE259" s="5">
        <f t="shared" si="70"/>
        <v>0</v>
      </c>
      <c r="AF259" s="5">
        <f t="shared" si="70"/>
        <v>1</v>
      </c>
      <c r="AG259" s="5">
        <f t="shared" si="70"/>
        <v>0</v>
      </c>
      <c r="AH259" s="5">
        <f t="shared" si="70"/>
        <v>0</v>
      </c>
      <c r="AI259" s="5">
        <f t="shared" si="70"/>
        <v>0</v>
      </c>
      <c r="AJ259" s="5">
        <f t="shared" si="70"/>
        <v>0</v>
      </c>
      <c r="AK259" s="5">
        <f t="shared" si="70"/>
        <v>0</v>
      </c>
      <c r="AL259" s="5">
        <f t="shared" si="70"/>
        <v>1</v>
      </c>
      <c r="AM259" s="5">
        <f t="shared" si="70"/>
        <v>1</v>
      </c>
      <c r="AN259" s="5">
        <f t="shared" si="70"/>
        <v>0</v>
      </c>
      <c r="AO259" s="5">
        <f t="shared" si="70"/>
        <v>2</v>
      </c>
      <c r="AP259" s="5">
        <f t="shared" si="70"/>
        <v>2</v>
      </c>
      <c r="AQ259" s="5">
        <f t="shared" si="70"/>
        <v>0</v>
      </c>
      <c r="AR259" s="5">
        <f t="shared" si="70"/>
        <v>2</v>
      </c>
      <c r="AS259" s="5">
        <f t="shared" si="70"/>
        <v>0</v>
      </c>
      <c r="AT259" s="5">
        <f t="shared" si="70"/>
        <v>0</v>
      </c>
      <c r="AU259" s="5">
        <f t="shared" si="70"/>
        <v>1</v>
      </c>
      <c r="AV259" s="5">
        <f t="shared" si="70"/>
        <v>0</v>
      </c>
      <c r="AW259" s="5">
        <f t="shared" si="70"/>
        <v>0</v>
      </c>
      <c r="AX259" s="5">
        <f t="shared" si="70"/>
        <v>0</v>
      </c>
      <c r="AY259" s="5">
        <f t="shared" si="70"/>
        <v>0</v>
      </c>
      <c r="AZ259" s="5">
        <f t="shared" si="70"/>
        <v>0</v>
      </c>
      <c r="BA259" s="5">
        <f t="shared" si="70"/>
        <v>0</v>
      </c>
      <c r="BB259" s="5">
        <f t="shared" si="70"/>
        <v>0</v>
      </c>
      <c r="BC259" s="5">
        <f t="shared" si="70"/>
        <v>0</v>
      </c>
      <c r="BD259" s="5">
        <f t="shared" si="70"/>
        <v>0</v>
      </c>
      <c r="BE259" s="5">
        <f t="shared" si="70"/>
        <v>1</v>
      </c>
      <c r="BF259" s="5">
        <f t="shared" si="70"/>
        <v>1</v>
      </c>
      <c r="BG259" s="5">
        <f t="shared" si="70"/>
        <v>0</v>
      </c>
      <c r="BH259" s="5">
        <f t="shared" si="70"/>
        <v>0</v>
      </c>
      <c r="BI259" s="5">
        <f t="shared" ref="BI259" si="71">SUM(BI249:BI258)</f>
        <v>0</v>
      </c>
      <c r="BJ259" s="5">
        <f t="shared" si="70"/>
        <v>0</v>
      </c>
      <c r="BK259" s="5">
        <f t="shared" si="70"/>
        <v>0</v>
      </c>
      <c r="BL259" s="5">
        <f t="shared" si="70"/>
        <v>16</v>
      </c>
    </row>
    <row r="261" spans="1:64" x14ac:dyDescent="0.4">
      <c r="A261" s="16" t="s">
        <v>83</v>
      </c>
      <c r="B261" s="67" t="s">
        <v>84</v>
      </c>
      <c r="C261" s="102"/>
      <c r="D261" s="10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</row>
    <row r="262" spans="1:64" x14ac:dyDescent="0.4">
      <c r="A262" s="16"/>
      <c r="B262" s="19" t="s">
        <v>85</v>
      </c>
      <c r="C262" s="100" t="s">
        <v>86</v>
      </c>
      <c r="D262" s="101"/>
      <c r="E262" s="6">
        <f>E55+E67+E79+E91+E103+E115+E127+E139+E151+E163+E175+E187+E199+E211+E223+E235+E247+E259</f>
        <v>177</v>
      </c>
      <c r="F262" s="6">
        <f t="shared" ref="F262:BK262" si="72">F55+F67+F79+F91+F103+F115+F127+F139+F151+F163+F175+F187+F199+F211+F223+F235+F247+F259</f>
        <v>191</v>
      </c>
      <c r="G262" s="6">
        <f t="shared" si="72"/>
        <v>189</v>
      </c>
      <c r="H262" s="6">
        <f t="shared" si="72"/>
        <v>161</v>
      </c>
      <c r="I262" s="6">
        <f t="shared" si="72"/>
        <v>205</v>
      </c>
      <c r="J262" s="6">
        <f t="shared" si="72"/>
        <v>195</v>
      </c>
      <c r="K262" s="6">
        <f t="shared" si="72"/>
        <v>188</v>
      </c>
      <c r="L262" s="6">
        <f t="shared" si="72"/>
        <v>217</v>
      </c>
      <c r="M262" s="6">
        <f t="shared" si="72"/>
        <v>228</v>
      </c>
      <c r="N262" s="6">
        <f t="shared" si="72"/>
        <v>124</v>
      </c>
      <c r="O262" s="6">
        <f t="shared" si="72"/>
        <v>147</v>
      </c>
      <c r="P262" s="6">
        <f t="shared" si="72"/>
        <v>187</v>
      </c>
      <c r="Q262" s="6">
        <f t="shared" si="72"/>
        <v>213</v>
      </c>
      <c r="R262" s="6">
        <f t="shared" si="72"/>
        <v>241</v>
      </c>
      <c r="S262" s="6">
        <f t="shared" si="72"/>
        <v>228</v>
      </c>
      <c r="T262" s="6">
        <f t="shared" si="72"/>
        <v>108</v>
      </c>
      <c r="U262" s="6">
        <f t="shared" si="72"/>
        <v>200</v>
      </c>
      <c r="V262" s="6">
        <f t="shared" si="72"/>
        <v>164</v>
      </c>
      <c r="W262" s="6">
        <f t="shared" si="72"/>
        <v>185</v>
      </c>
      <c r="X262" s="6">
        <f t="shared" si="72"/>
        <v>152</v>
      </c>
      <c r="Y262" s="6">
        <f t="shared" si="72"/>
        <v>209</v>
      </c>
      <c r="Z262" s="6">
        <f t="shared" si="72"/>
        <v>227</v>
      </c>
      <c r="AA262" s="6">
        <f t="shared" si="72"/>
        <v>124</v>
      </c>
      <c r="AB262" s="6">
        <f t="shared" si="72"/>
        <v>121</v>
      </c>
      <c r="AC262" s="6">
        <f t="shared" si="72"/>
        <v>118</v>
      </c>
      <c r="AD262" s="6">
        <f t="shared" si="72"/>
        <v>191</v>
      </c>
      <c r="AE262" s="6">
        <f t="shared" si="72"/>
        <v>175</v>
      </c>
      <c r="AF262" s="6">
        <f t="shared" si="72"/>
        <v>168</v>
      </c>
      <c r="AG262" s="6">
        <f t="shared" si="72"/>
        <v>167</v>
      </c>
      <c r="AH262" s="6">
        <f t="shared" si="72"/>
        <v>127</v>
      </c>
      <c r="AI262" s="6">
        <f t="shared" si="72"/>
        <v>223</v>
      </c>
      <c r="AJ262" s="6">
        <f t="shared" si="72"/>
        <v>208</v>
      </c>
      <c r="AK262" s="6">
        <f t="shared" si="72"/>
        <v>217</v>
      </c>
      <c r="AL262" s="6">
        <f t="shared" si="72"/>
        <v>175</v>
      </c>
      <c r="AM262" s="6">
        <f t="shared" si="72"/>
        <v>168</v>
      </c>
      <c r="AN262" s="6">
        <f t="shared" si="72"/>
        <v>135</v>
      </c>
      <c r="AO262" s="6">
        <f t="shared" si="72"/>
        <v>188</v>
      </c>
      <c r="AP262" s="6">
        <f t="shared" si="72"/>
        <v>128</v>
      </c>
      <c r="AQ262" s="6">
        <f t="shared" si="72"/>
        <v>134</v>
      </c>
      <c r="AR262" s="6">
        <f t="shared" si="72"/>
        <v>235</v>
      </c>
      <c r="AS262" s="6">
        <f t="shared" si="72"/>
        <v>221</v>
      </c>
      <c r="AT262" s="6">
        <f t="shared" si="72"/>
        <v>150</v>
      </c>
      <c r="AU262" s="6">
        <f t="shared" si="72"/>
        <v>119</v>
      </c>
      <c r="AV262" s="6">
        <f t="shared" si="72"/>
        <v>112</v>
      </c>
      <c r="AW262" s="6">
        <f t="shared" si="72"/>
        <v>205</v>
      </c>
      <c r="AX262" s="6">
        <f t="shared" si="72"/>
        <v>181</v>
      </c>
      <c r="AY262" s="6">
        <f t="shared" si="72"/>
        <v>171</v>
      </c>
      <c r="AZ262" s="6">
        <f t="shared" si="72"/>
        <v>182</v>
      </c>
      <c r="BA262" s="6">
        <f t="shared" si="72"/>
        <v>122</v>
      </c>
      <c r="BB262" s="6">
        <f t="shared" si="72"/>
        <v>136</v>
      </c>
      <c r="BC262" s="6">
        <f t="shared" si="72"/>
        <v>191</v>
      </c>
      <c r="BD262" s="6">
        <f t="shared" si="72"/>
        <v>165</v>
      </c>
      <c r="BE262" s="6">
        <f t="shared" si="72"/>
        <v>203</v>
      </c>
      <c r="BF262" s="6">
        <f t="shared" si="72"/>
        <v>182</v>
      </c>
      <c r="BG262" s="6">
        <f t="shared" si="72"/>
        <v>111</v>
      </c>
      <c r="BH262" s="6">
        <f t="shared" si="72"/>
        <v>180</v>
      </c>
      <c r="BI262" s="6">
        <f t="shared" ref="BI262" si="73">BI55+BI67+BI79+BI91+BI103+BI115+BI127+BI139+BI151+BI163+BI175+BI187+BI199+BI211+BI223+BI235+BI247+BI259</f>
        <v>176</v>
      </c>
      <c r="BJ262" s="6">
        <f t="shared" si="72"/>
        <v>128</v>
      </c>
      <c r="BK262" s="6">
        <f t="shared" si="72"/>
        <v>192</v>
      </c>
      <c r="BL262" s="5">
        <f>SUM(E262:BK262)</f>
        <v>10265</v>
      </c>
    </row>
    <row r="263" spans="1:64" x14ac:dyDescent="0.4">
      <c r="A263" s="13"/>
      <c r="B263" s="19" t="s">
        <v>87</v>
      </c>
      <c r="C263" s="100" t="s">
        <v>88</v>
      </c>
      <c r="D263" s="101"/>
      <c r="E263" s="6">
        <v>8</v>
      </c>
      <c r="F263" s="6">
        <v>7</v>
      </c>
      <c r="G263" s="6">
        <v>16</v>
      </c>
      <c r="H263" s="6">
        <v>6</v>
      </c>
      <c r="I263" s="6">
        <v>9</v>
      </c>
      <c r="J263" s="6">
        <v>15</v>
      </c>
      <c r="K263" s="6">
        <v>9</v>
      </c>
      <c r="L263" s="6">
        <v>6</v>
      </c>
      <c r="M263" s="6">
        <v>3</v>
      </c>
      <c r="N263" s="6">
        <v>6</v>
      </c>
      <c r="O263" s="6">
        <v>8</v>
      </c>
      <c r="P263" s="6">
        <v>15</v>
      </c>
      <c r="Q263" s="6">
        <v>8</v>
      </c>
      <c r="R263" s="6">
        <v>4</v>
      </c>
      <c r="S263" s="6">
        <v>2</v>
      </c>
      <c r="T263" s="6">
        <v>13</v>
      </c>
      <c r="U263" s="6">
        <v>13</v>
      </c>
      <c r="V263" s="6">
        <v>13</v>
      </c>
      <c r="W263" s="6">
        <v>12</v>
      </c>
      <c r="X263" s="6">
        <v>9</v>
      </c>
      <c r="Y263" s="6">
        <v>6</v>
      </c>
      <c r="Z263" s="6">
        <v>13</v>
      </c>
      <c r="AA263" s="6">
        <v>9</v>
      </c>
      <c r="AB263" s="6">
        <v>6</v>
      </c>
      <c r="AC263" s="6">
        <v>2</v>
      </c>
      <c r="AD263" s="6">
        <v>6</v>
      </c>
      <c r="AE263" s="6">
        <v>12</v>
      </c>
      <c r="AF263" s="6">
        <v>7</v>
      </c>
      <c r="AG263" s="6">
        <v>8</v>
      </c>
      <c r="AH263" s="6">
        <v>3</v>
      </c>
      <c r="AI263" s="6">
        <v>7</v>
      </c>
      <c r="AJ263" s="6">
        <v>17</v>
      </c>
      <c r="AK263" s="6">
        <v>12</v>
      </c>
      <c r="AL263" s="6">
        <v>6</v>
      </c>
      <c r="AM263" s="6">
        <v>16</v>
      </c>
      <c r="AN263" s="6">
        <v>11</v>
      </c>
      <c r="AO263" s="6">
        <v>6</v>
      </c>
      <c r="AP263" s="6">
        <v>5</v>
      </c>
      <c r="AQ263" s="6">
        <v>3</v>
      </c>
      <c r="AR263" s="6">
        <v>12</v>
      </c>
      <c r="AS263" s="6">
        <v>9</v>
      </c>
      <c r="AT263" s="6">
        <v>5</v>
      </c>
      <c r="AU263" s="6">
        <v>12</v>
      </c>
      <c r="AV263" s="6">
        <v>20</v>
      </c>
      <c r="AW263" s="6"/>
      <c r="AX263" s="6">
        <v>3</v>
      </c>
      <c r="AY263" s="6">
        <v>6</v>
      </c>
      <c r="AZ263" s="6">
        <v>7</v>
      </c>
      <c r="BA263" s="6">
        <v>1</v>
      </c>
      <c r="BB263" s="6">
        <v>7</v>
      </c>
      <c r="BC263" s="6">
        <v>3</v>
      </c>
      <c r="BD263" s="6">
        <v>12</v>
      </c>
      <c r="BE263" s="6">
        <v>7</v>
      </c>
      <c r="BF263" s="6">
        <v>4</v>
      </c>
      <c r="BG263" s="6">
        <v>1</v>
      </c>
      <c r="BH263" s="6">
        <v>3</v>
      </c>
      <c r="BI263" s="6">
        <v>1</v>
      </c>
      <c r="BJ263" s="6">
        <v>6</v>
      </c>
      <c r="BK263" s="6">
        <v>2</v>
      </c>
      <c r="BL263" s="5">
        <f>SUM(E263:BK263)</f>
        <v>458</v>
      </c>
    </row>
    <row r="264" spans="1:64" x14ac:dyDescent="0.4">
      <c r="A264" s="14"/>
      <c r="B264" s="19" t="s">
        <v>89</v>
      </c>
      <c r="C264" s="100" t="s">
        <v>90</v>
      </c>
      <c r="D264" s="101"/>
      <c r="E264" s="5">
        <f>SUM(E262:E263)</f>
        <v>185</v>
      </c>
      <c r="F264" s="5">
        <f t="shared" ref="F264:BK264" si="74">SUM(F262:F263)</f>
        <v>198</v>
      </c>
      <c r="G264" s="5">
        <f t="shared" si="74"/>
        <v>205</v>
      </c>
      <c r="H264" s="5">
        <f t="shared" si="74"/>
        <v>167</v>
      </c>
      <c r="I264" s="5">
        <f t="shared" si="74"/>
        <v>214</v>
      </c>
      <c r="J264" s="5">
        <f t="shared" si="74"/>
        <v>210</v>
      </c>
      <c r="K264" s="5">
        <f t="shared" si="74"/>
        <v>197</v>
      </c>
      <c r="L264" s="5">
        <f t="shared" si="74"/>
        <v>223</v>
      </c>
      <c r="M264" s="5">
        <f t="shared" si="74"/>
        <v>231</v>
      </c>
      <c r="N264" s="5">
        <f t="shared" si="74"/>
        <v>130</v>
      </c>
      <c r="O264" s="5">
        <f t="shared" si="74"/>
        <v>155</v>
      </c>
      <c r="P264" s="5">
        <f t="shared" si="74"/>
        <v>202</v>
      </c>
      <c r="Q264" s="5">
        <f t="shared" si="74"/>
        <v>221</v>
      </c>
      <c r="R264" s="5">
        <f t="shared" si="74"/>
        <v>245</v>
      </c>
      <c r="S264" s="5">
        <f t="shared" si="74"/>
        <v>230</v>
      </c>
      <c r="T264" s="5">
        <f t="shared" si="74"/>
        <v>121</v>
      </c>
      <c r="U264" s="5">
        <f t="shared" si="74"/>
        <v>213</v>
      </c>
      <c r="V264" s="5">
        <f t="shared" si="74"/>
        <v>177</v>
      </c>
      <c r="W264" s="5">
        <f t="shared" si="74"/>
        <v>197</v>
      </c>
      <c r="X264" s="5">
        <f t="shared" si="74"/>
        <v>161</v>
      </c>
      <c r="Y264" s="5">
        <f t="shared" si="74"/>
        <v>215</v>
      </c>
      <c r="Z264" s="5">
        <f t="shared" si="74"/>
        <v>240</v>
      </c>
      <c r="AA264" s="5">
        <f t="shared" si="74"/>
        <v>133</v>
      </c>
      <c r="AB264" s="5">
        <f t="shared" si="74"/>
        <v>127</v>
      </c>
      <c r="AC264" s="5">
        <f t="shared" si="74"/>
        <v>120</v>
      </c>
      <c r="AD264" s="5">
        <f t="shared" si="74"/>
        <v>197</v>
      </c>
      <c r="AE264" s="5">
        <f t="shared" si="74"/>
        <v>187</v>
      </c>
      <c r="AF264" s="5">
        <f t="shared" si="74"/>
        <v>175</v>
      </c>
      <c r="AG264" s="5">
        <f t="shared" si="74"/>
        <v>175</v>
      </c>
      <c r="AH264" s="5">
        <f t="shared" si="74"/>
        <v>130</v>
      </c>
      <c r="AI264" s="5">
        <f t="shared" si="74"/>
        <v>230</v>
      </c>
      <c r="AJ264" s="5">
        <f t="shared" si="74"/>
        <v>225</v>
      </c>
      <c r="AK264" s="5">
        <f t="shared" si="74"/>
        <v>229</v>
      </c>
      <c r="AL264" s="5">
        <f t="shared" si="74"/>
        <v>181</v>
      </c>
      <c r="AM264" s="5">
        <f t="shared" si="74"/>
        <v>184</v>
      </c>
      <c r="AN264" s="5">
        <f t="shared" si="74"/>
        <v>146</v>
      </c>
      <c r="AO264" s="5">
        <f t="shared" si="74"/>
        <v>194</v>
      </c>
      <c r="AP264" s="5">
        <f t="shared" si="74"/>
        <v>133</v>
      </c>
      <c r="AQ264" s="5">
        <f t="shared" si="74"/>
        <v>137</v>
      </c>
      <c r="AR264" s="5">
        <f t="shared" si="74"/>
        <v>247</v>
      </c>
      <c r="AS264" s="5">
        <f t="shared" si="74"/>
        <v>230</v>
      </c>
      <c r="AT264" s="5">
        <f t="shared" si="74"/>
        <v>155</v>
      </c>
      <c r="AU264" s="5">
        <f t="shared" si="74"/>
        <v>131</v>
      </c>
      <c r="AV264" s="5">
        <f t="shared" si="74"/>
        <v>132</v>
      </c>
      <c r="AW264" s="5">
        <f t="shared" si="74"/>
        <v>205</v>
      </c>
      <c r="AX264" s="5">
        <f t="shared" si="74"/>
        <v>184</v>
      </c>
      <c r="AY264" s="5">
        <f t="shared" si="74"/>
        <v>177</v>
      </c>
      <c r="AZ264" s="5">
        <f t="shared" si="74"/>
        <v>189</v>
      </c>
      <c r="BA264" s="5">
        <f t="shared" si="74"/>
        <v>123</v>
      </c>
      <c r="BB264" s="5">
        <f t="shared" si="74"/>
        <v>143</v>
      </c>
      <c r="BC264" s="5">
        <f t="shared" si="74"/>
        <v>194</v>
      </c>
      <c r="BD264" s="5">
        <f t="shared" si="74"/>
        <v>177</v>
      </c>
      <c r="BE264" s="5">
        <f t="shared" si="74"/>
        <v>210</v>
      </c>
      <c r="BF264" s="5">
        <f t="shared" si="74"/>
        <v>186</v>
      </c>
      <c r="BG264" s="5">
        <f t="shared" si="74"/>
        <v>112</v>
      </c>
      <c r="BH264" s="5">
        <f t="shared" si="74"/>
        <v>183</v>
      </c>
      <c r="BI264" s="5">
        <f t="shared" ref="BI264" si="75">SUM(BI262:BI263)</f>
        <v>177</v>
      </c>
      <c r="BJ264" s="5">
        <f t="shared" si="74"/>
        <v>134</v>
      </c>
      <c r="BK264" s="5">
        <f t="shared" si="74"/>
        <v>194</v>
      </c>
      <c r="BL264" s="5">
        <f>SUM(E264:BK264)</f>
        <v>10723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BK37"/>
    <mergeCell ref="B38:D38"/>
    <mergeCell ref="B39:C41"/>
    <mergeCell ref="A42:D42"/>
    <mergeCell ref="E42:BK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BK12"/>
    <mergeCell ref="BL12:BL13"/>
    <mergeCell ref="B13:D13"/>
    <mergeCell ref="B14:C16"/>
  </mergeCells>
  <phoneticPr fontId="9" type="noConversion"/>
  <conditionalFormatting sqref="E14:BK15">
    <cfRule type="containsBlanks" dxfId="29" priority="2">
      <formula>LEN(TRIM(E14))=0</formula>
    </cfRule>
  </conditionalFormatting>
  <conditionalFormatting sqref="E19:BK20">
    <cfRule type="containsBlanks" dxfId="28" priority="1">
      <formula>LEN(TRIM(E19))=0</formula>
    </cfRule>
  </conditionalFormatting>
  <conditionalFormatting sqref="E22:BK23 E25:BK26 E35:BK35 E39:BK40 E33:BK33">
    <cfRule type="containsBlanks" dxfId="27" priority="26">
      <formula>LEN(TRIM(E22))=0</formula>
    </cfRule>
  </conditionalFormatting>
  <conditionalFormatting sqref="E30:BK30">
    <cfRule type="expression" dxfId="26" priority="27">
      <formula>E30&lt;&gt;E47</formula>
    </cfRule>
    <cfRule type="expression" dxfId="25" priority="28">
      <formula>E30&lt;&gt;E34</formula>
    </cfRule>
  </conditionalFormatting>
  <conditionalFormatting sqref="E34:BK34">
    <cfRule type="expression" dxfId="24" priority="23">
      <formula>E30&lt;&gt;E34</formula>
    </cfRule>
    <cfRule type="expression" dxfId="23" priority="24">
      <formula>E30=E34</formula>
    </cfRule>
    <cfRule type="expression" dxfId="22" priority="29">
      <formula>E34&lt;&gt;E30</formula>
    </cfRule>
    <cfRule type="expression" dxfId="21" priority="30">
      <formula>E34&lt;&gt;E64</formula>
    </cfRule>
  </conditionalFormatting>
  <conditionalFormatting sqref="E45:BK54">
    <cfRule type="containsBlanks" dxfId="20" priority="21">
      <formula>LEN(TRIM(E45))=0</formula>
    </cfRule>
  </conditionalFormatting>
  <conditionalFormatting sqref="E57:BK66">
    <cfRule type="containsBlanks" dxfId="19" priority="20">
      <formula>LEN(TRIM(E57))=0</formula>
    </cfRule>
  </conditionalFormatting>
  <conditionalFormatting sqref="E69:BK78">
    <cfRule type="containsBlanks" dxfId="18" priority="19">
      <formula>LEN(TRIM(E69))=0</formula>
    </cfRule>
  </conditionalFormatting>
  <conditionalFormatting sqref="E81:BK90">
    <cfRule type="containsBlanks" dxfId="17" priority="18">
      <formula>LEN(TRIM(E81))=0</formula>
    </cfRule>
  </conditionalFormatting>
  <conditionalFormatting sqref="E93:BK102">
    <cfRule type="containsBlanks" dxfId="16" priority="17">
      <formula>LEN(TRIM(E93))=0</formula>
    </cfRule>
  </conditionalFormatting>
  <conditionalFormatting sqref="E105:BK114">
    <cfRule type="containsBlanks" dxfId="15" priority="16">
      <formula>LEN(TRIM(E105))=0</formula>
    </cfRule>
  </conditionalFormatting>
  <conditionalFormatting sqref="E117:BK126">
    <cfRule type="containsBlanks" dxfId="14" priority="3">
      <formula>LEN(TRIM(E117))=0</formula>
    </cfRule>
  </conditionalFormatting>
  <conditionalFormatting sqref="E129:BK138">
    <cfRule type="containsBlanks" dxfId="13" priority="15">
      <formula>LEN(TRIM(E129))=0</formula>
    </cfRule>
  </conditionalFormatting>
  <conditionalFormatting sqref="E141:BK150">
    <cfRule type="containsBlanks" dxfId="12" priority="14">
      <formula>LEN(TRIM(E141))=0</formula>
    </cfRule>
  </conditionalFormatting>
  <conditionalFormatting sqref="E153:BK162">
    <cfRule type="containsBlanks" dxfId="11" priority="5">
      <formula>LEN(TRIM(E153))=0</formula>
    </cfRule>
  </conditionalFormatting>
  <conditionalFormatting sqref="E165:BK174">
    <cfRule type="containsBlanks" dxfId="10" priority="13">
      <formula>LEN(TRIM(E165))=0</formula>
    </cfRule>
  </conditionalFormatting>
  <conditionalFormatting sqref="E177:BK186">
    <cfRule type="containsBlanks" dxfId="9" priority="12">
      <formula>LEN(TRIM(E177))=0</formula>
    </cfRule>
  </conditionalFormatting>
  <conditionalFormatting sqref="E189:BK198">
    <cfRule type="containsBlanks" dxfId="8" priority="11">
      <formula>LEN(TRIM(E189))=0</formula>
    </cfRule>
  </conditionalFormatting>
  <conditionalFormatting sqref="E201:BK210">
    <cfRule type="containsBlanks" dxfId="7" priority="10">
      <formula>LEN(TRIM(E201))=0</formula>
    </cfRule>
  </conditionalFormatting>
  <conditionalFormatting sqref="E213:BK222">
    <cfRule type="containsBlanks" dxfId="6" priority="9">
      <formula>LEN(TRIM(E213))=0</formula>
    </cfRule>
  </conditionalFormatting>
  <conditionalFormatting sqref="E225:BK234">
    <cfRule type="containsBlanks" dxfId="5" priority="8">
      <formula>LEN(TRIM(E225))=0</formula>
    </cfRule>
  </conditionalFormatting>
  <conditionalFormatting sqref="E237:BK246">
    <cfRule type="containsBlanks" dxfId="4" priority="7">
      <formula>LEN(TRIM(E237))=0</formula>
    </cfRule>
  </conditionalFormatting>
  <conditionalFormatting sqref="E249:BK258">
    <cfRule type="containsBlanks" dxfId="3" priority="6">
      <formula>LEN(TRIM(E249))=0</formula>
    </cfRule>
  </conditionalFormatting>
  <conditionalFormatting sqref="E262:BK263">
    <cfRule type="containsBlanks" dxfId="2" priority="4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DPRD KABUPATEN</vt:lpstr>
      <vt:lpstr>BUMIHARJO</vt:lpstr>
      <vt:lpstr>KARANGHARJO</vt:lpstr>
      <vt:lpstr>MARGOMULYO</vt:lpstr>
      <vt:lpstr>SEPANJANG</vt:lpstr>
      <vt:lpstr>SUMBERGONDO</vt:lpstr>
      <vt:lpstr>TEGALHARJO</vt:lpstr>
      <vt:lpstr>TULUNGREJO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2026-01-21T12:33:28Z</dcterms:modified>
</cp:coreProperties>
</file>