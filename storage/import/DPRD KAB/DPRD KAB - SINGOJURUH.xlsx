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EXCEL PEMILU 2024\SINGOJURUH\"/>
    </mc:Choice>
  </mc:AlternateContent>
  <xr:revisionPtr revIDLastSave="0" documentId="13_ncr:1_{52E00444-2A59-4073-B47E-3DC96039A9D3}" xr6:coauthVersionLast="47" xr6:coauthVersionMax="47" xr10:uidLastSave="{00000000-0000-0000-0000-000000000000}"/>
  <bookViews>
    <workbookView xWindow="0" yWindow="6120" windowWidth="21600" windowHeight="6577" tabRatio="810" firstSheet="3" activeTab="3" xr2:uid="{F263E089-6C93-4E6F-AA5B-BD89F8333161}"/>
  </bookViews>
  <sheets>
    <sheet name="DPRD KABUPATEN" sheetId="1" r:id="rId1"/>
    <sheet name="ALASMALANG" sheetId="9" r:id="rId2"/>
    <sheet name="BENELAN KIDUL" sheetId="10" r:id="rId3"/>
    <sheet name="CANTUK" sheetId="11" r:id="rId4"/>
    <sheet name="GAMBOR" sheetId="15" r:id="rId5"/>
    <sheet name="GUMIRIH" sheetId="16" r:id="rId6"/>
    <sheet name="KEMIRI" sheetId="17" r:id="rId7"/>
    <sheet name="LEMAHBANGKULON" sheetId="3" r:id="rId8"/>
    <sheet name="PADANG" sheetId="18" r:id="rId9"/>
    <sheet name="SINGOJURUH" sheetId="19" r:id="rId10"/>
    <sheet name="SINGOLATREN" sheetId="20" r:id="rId11"/>
    <sheet name="SUMBERBARU" sheetId="2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8" i="17" l="1"/>
  <c r="U117" i="17"/>
  <c r="U116" i="17"/>
  <c r="U115" i="17"/>
  <c r="U114" i="17"/>
  <c r="U113" i="17"/>
  <c r="U112" i="17"/>
  <c r="S118" i="21"/>
  <c r="S117" i="21"/>
  <c r="S116" i="21"/>
  <c r="S115" i="21"/>
  <c r="S114" i="21"/>
  <c r="S113" i="21"/>
  <c r="S112" i="21"/>
  <c r="T118" i="20" l="1"/>
  <c r="T117" i="20"/>
  <c r="T116" i="20"/>
  <c r="T115" i="20"/>
  <c r="T114" i="20"/>
  <c r="T113" i="20"/>
  <c r="T112" i="20"/>
  <c r="Q118" i="18"/>
  <c r="Q117" i="18"/>
  <c r="Q116" i="18"/>
  <c r="Q115" i="18"/>
  <c r="Q114" i="18"/>
  <c r="Q113" i="18"/>
  <c r="Q112" i="18"/>
  <c r="Q39" i="18"/>
  <c r="Q40" i="18"/>
  <c r="T118" i="11"/>
  <c r="T117" i="11"/>
  <c r="T116" i="11"/>
  <c r="T115" i="11"/>
  <c r="T114" i="11"/>
  <c r="T113" i="11"/>
  <c r="T112" i="11"/>
  <c r="S118" i="16"/>
  <c r="S117" i="16"/>
  <c r="S116" i="16"/>
  <c r="S115" i="16"/>
  <c r="S114" i="16"/>
  <c r="S113" i="16"/>
  <c r="S112" i="16"/>
  <c r="AC118" i="19"/>
  <c r="AC117" i="19"/>
  <c r="AC116" i="19"/>
  <c r="AC115" i="19"/>
  <c r="AC114" i="19"/>
  <c r="AC113" i="19"/>
  <c r="AC112" i="19"/>
  <c r="Q118" i="3"/>
  <c r="Q117" i="3"/>
  <c r="Q116" i="3"/>
  <c r="Q115" i="3"/>
  <c r="Q114" i="3"/>
  <c r="Q113" i="3"/>
  <c r="Q112" i="3"/>
  <c r="S118" i="10"/>
  <c r="S117" i="10"/>
  <c r="S116" i="10"/>
  <c r="S115" i="10"/>
  <c r="S114" i="10"/>
  <c r="S113" i="10"/>
  <c r="S112" i="10"/>
  <c r="V118" i="9"/>
  <c r="V117" i="9"/>
  <c r="V116" i="9"/>
  <c r="V115" i="9"/>
  <c r="V114" i="9"/>
  <c r="V113" i="9"/>
  <c r="V112" i="9"/>
  <c r="N118" i="15"/>
  <c r="N117" i="15"/>
  <c r="N116" i="15"/>
  <c r="N115" i="15"/>
  <c r="N114" i="15"/>
  <c r="N113" i="15"/>
  <c r="N112" i="15"/>
  <c r="Z170" i="19"/>
  <c r="Z166" i="19"/>
  <c r="Z157" i="19"/>
  <c r="Z151" i="19"/>
  <c r="Z147" i="19"/>
  <c r="Z138" i="19"/>
  <c r="Z129" i="19"/>
  <c r="Z122" i="19"/>
  <c r="Z119" i="19"/>
  <c r="Z110" i="19"/>
  <c r="Z106" i="19"/>
  <c r="Z97" i="19"/>
  <c r="Z91" i="19"/>
  <c r="Z88" i="19"/>
  <c r="Z79" i="19"/>
  <c r="Z70" i="19"/>
  <c r="Z61" i="19"/>
  <c r="Z52" i="19"/>
  <c r="Z41" i="19"/>
  <c r="Z36" i="19"/>
  <c r="Z29" i="19"/>
  <c r="Z28" i="19"/>
  <c r="Z30" i="19" s="1"/>
  <c r="Z27" i="19"/>
  <c r="Z24" i="19"/>
  <c r="Z21" i="19"/>
  <c r="Z16" i="19"/>
  <c r="L170" i="19"/>
  <c r="K170" i="19"/>
  <c r="J170" i="19"/>
  <c r="I170" i="19"/>
  <c r="H170" i="19"/>
  <c r="G170" i="19"/>
  <c r="F170" i="19"/>
  <c r="L166" i="19"/>
  <c r="K166" i="19"/>
  <c r="J166" i="19"/>
  <c r="I166" i="19"/>
  <c r="H166" i="19"/>
  <c r="G166" i="19"/>
  <c r="F166" i="19"/>
  <c r="L157" i="19"/>
  <c r="K157" i="19"/>
  <c r="J157" i="19"/>
  <c r="I157" i="19"/>
  <c r="H157" i="19"/>
  <c r="G157" i="19"/>
  <c r="F157" i="19"/>
  <c r="L151" i="19"/>
  <c r="K151" i="19"/>
  <c r="J151" i="19"/>
  <c r="I151" i="19"/>
  <c r="H151" i="19"/>
  <c r="G151" i="19"/>
  <c r="F151" i="19"/>
  <c r="L147" i="19"/>
  <c r="K147" i="19"/>
  <c r="J147" i="19"/>
  <c r="I147" i="19"/>
  <c r="H147" i="19"/>
  <c r="G147" i="19"/>
  <c r="F147" i="19"/>
  <c r="L138" i="19"/>
  <c r="K138" i="19"/>
  <c r="J138" i="19"/>
  <c r="I138" i="19"/>
  <c r="H138" i="19"/>
  <c r="G138" i="19"/>
  <c r="F138" i="19"/>
  <c r="L129" i="19"/>
  <c r="K129" i="19"/>
  <c r="J129" i="19"/>
  <c r="I129" i="19"/>
  <c r="H129" i="19"/>
  <c r="G129" i="19"/>
  <c r="F129" i="19"/>
  <c r="L122" i="19"/>
  <c r="K122" i="19"/>
  <c r="J122" i="19"/>
  <c r="I122" i="19"/>
  <c r="H122" i="19"/>
  <c r="G122" i="19"/>
  <c r="F122" i="19"/>
  <c r="L119" i="19"/>
  <c r="K119" i="19"/>
  <c r="J119" i="19"/>
  <c r="I119" i="19"/>
  <c r="H119" i="19"/>
  <c r="G119" i="19"/>
  <c r="F119" i="19"/>
  <c r="L110" i="19"/>
  <c r="K110" i="19"/>
  <c r="J110" i="19"/>
  <c r="I110" i="19"/>
  <c r="H110" i="19"/>
  <c r="G110" i="19"/>
  <c r="F110" i="19"/>
  <c r="L106" i="19"/>
  <c r="K106" i="19"/>
  <c r="J106" i="19"/>
  <c r="I106" i="19"/>
  <c r="H106" i="19"/>
  <c r="G106" i="19"/>
  <c r="F106" i="19"/>
  <c r="L97" i="19"/>
  <c r="K97" i="19"/>
  <c r="J97" i="19"/>
  <c r="I97" i="19"/>
  <c r="H97" i="19"/>
  <c r="G97" i="19"/>
  <c r="F97" i="19"/>
  <c r="L91" i="19"/>
  <c r="K91" i="19"/>
  <c r="J91" i="19"/>
  <c r="I91" i="19"/>
  <c r="H91" i="19"/>
  <c r="G91" i="19"/>
  <c r="F91" i="19"/>
  <c r="L88" i="19"/>
  <c r="K88" i="19"/>
  <c r="J88" i="19"/>
  <c r="I88" i="19"/>
  <c r="H88" i="19"/>
  <c r="G88" i="19"/>
  <c r="F88" i="19"/>
  <c r="L79" i="19"/>
  <c r="K79" i="19"/>
  <c r="J79" i="19"/>
  <c r="I79" i="19"/>
  <c r="H79" i="19"/>
  <c r="G79" i="19"/>
  <c r="F79" i="19"/>
  <c r="L70" i="19"/>
  <c r="K70" i="19"/>
  <c r="J70" i="19"/>
  <c r="I70" i="19"/>
  <c r="H70" i="19"/>
  <c r="G70" i="19"/>
  <c r="F70" i="19"/>
  <c r="L61" i="19"/>
  <c r="K61" i="19"/>
  <c r="J61" i="19"/>
  <c r="I61" i="19"/>
  <c r="H61" i="19"/>
  <c r="G61" i="19"/>
  <c r="F61" i="19"/>
  <c r="L52" i="19"/>
  <c r="K52" i="19"/>
  <c r="J52" i="19"/>
  <c r="I52" i="19"/>
  <c r="H52" i="19"/>
  <c r="G52" i="19"/>
  <c r="F52" i="19"/>
  <c r="L41" i="19"/>
  <c r="K41" i="19"/>
  <c r="J41" i="19"/>
  <c r="I41" i="19"/>
  <c r="H41" i="19"/>
  <c r="G41" i="19"/>
  <c r="F41" i="19"/>
  <c r="L36" i="19"/>
  <c r="K36" i="19"/>
  <c r="J36" i="19"/>
  <c r="I36" i="19"/>
  <c r="H36" i="19"/>
  <c r="G36" i="19"/>
  <c r="F36" i="19"/>
  <c r="L29" i="19"/>
  <c r="K29" i="19"/>
  <c r="J29" i="19"/>
  <c r="I29" i="19"/>
  <c r="H29" i="19"/>
  <c r="G29" i="19"/>
  <c r="F29" i="19"/>
  <c r="L28" i="19"/>
  <c r="K28" i="19"/>
  <c r="J28" i="19"/>
  <c r="I28" i="19"/>
  <c r="H28" i="19"/>
  <c r="G28" i="19"/>
  <c r="F28" i="19"/>
  <c r="L27" i="19"/>
  <c r="K27" i="19"/>
  <c r="J27" i="19"/>
  <c r="I27" i="19"/>
  <c r="H27" i="19"/>
  <c r="G27" i="19"/>
  <c r="F27" i="19"/>
  <c r="L24" i="19"/>
  <c r="K24" i="19"/>
  <c r="J24" i="19"/>
  <c r="I24" i="19"/>
  <c r="H24" i="19"/>
  <c r="G24" i="19"/>
  <c r="F24" i="19"/>
  <c r="L21" i="19"/>
  <c r="K21" i="19"/>
  <c r="J21" i="19"/>
  <c r="I21" i="19"/>
  <c r="H21" i="19"/>
  <c r="G21" i="19"/>
  <c r="F21" i="19"/>
  <c r="L16" i="19"/>
  <c r="K16" i="19"/>
  <c r="J16" i="19"/>
  <c r="I16" i="19"/>
  <c r="H16" i="19"/>
  <c r="G16" i="19"/>
  <c r="F16" i="19"/>
  <c r="S170" i="19"/>
  <c r="R170" i="19"/>
  <c r="Q170" i="19"/>
  <c r="P170" i="19"/>
  <c r="O170" i="19"/>
  <c r="N170" i="19"/>
  <c r="M170" i="19"/>
  <c r="S166" i="19"/>
  <c r="R166" i="19"/>
  <c r="Q166" i="19"/>
  <c r="P166" i="19"/>
  <c r="O166" i="19"/>
  <c r="N166" i="19"/>
  <c r="M166" i="19"/>
  <c r="S157" i="19"/>
  <c r="R157" i="19"/>
  <c r="Q157" i="19"/>
  <c r="P157" i="19"/>
  <c r="O157" i="19"/>
  <c r="N157" i="19"/>
  <c r="M157" i="19"/>
  <c r="S151" i="19"/>
  <c r="R151" i="19"/>
  <c r="Q151" i="19"/>
  <c r="P151" i="19"/>
  <c r="O151" i="19"/>
  <c r="N151" i="19"/>
  <c r="M151" i="19"/>
  <c r="S147" i="19"/>
  <c r="R147" i="19"/>
  <c r="Q147" i="19"/>
  <c r="P147" i="19"/>
  <c r="O147" i="19"/>
  <c r="N147" i="19"/>
  <c r="M147" i="19"/>
  <c r="S138" i="19"/>
  <c r="R138" i="19"/>
  <c r="Q138" i="19"/>
  <c r="P138" i="19"/>
  <c r="O138" i="19"/>
  <c r="N138" i="19"/>
  <c r="M138" i="19"/>
  <c r="S129" i="19"/>
  <c r="R129" i="19"/>
  <c r="Q129" i="19"/>
  <c r="P129" i="19"/>
  <c r="O129" i="19"/>
  <c r="N129" i="19"/>
  <c r="M129" i="19"/>
  <c r="S122" i="19"/>
  <c r="R122" i="19"/>
  <c r="Q122" i="19"/>
  <c r="P122" i="19"/>
  <c r="O122" i="19"/>
  <c r="N122" i="19"/>
  <c r="M122" i="19"/>
  <c r="S119" i="19"/>
  <c r="R119" i="19"/>
  <c r="Q119" i="19"/>
  <c r="P119" i="19"/>
  <c r="O119" i="19"/>
  <c r="N119" i="19"/>
  <c r="M119" i="19"/>
  <c r="S110" i="19"/>
  <c r="R110" i="19"/>
  <c r="Q110" i="19"/>
  <c r="P110" i="19"/>
  <c r="O110" i="19"/>
  <c r="N110" i="19"/>
  <c r="M110" i="19"/>
  <c r="S106" i="19"/>
  <c r="R106" i="19"/>
  <c r="Q106" i="19"/>
  <c r="P106" i="19"/>
  <c r="O106" i="19"/>
  <c r="N106" i="19"/>
  <c r="M106" i="19"/>
  <c r="S97" i="19"/>
  <c r="R97" i="19"/>
  <c r="Q97" i="19"/>
  <c r="P97" i="19"/>
  <c r="O97" i="19"/>
  <c r="N97" i="19"/>
  <c r="M97" i="19"/>
  <c r="S91" i="19"/>
  <c r="R91" i="19"/>
  <c r="Q91" i="19"/>
  <c r="P91" i="19"/>
  <c r="O91" i="19"/>
  <c r="N91" i="19"/>
  <c r="M91" i="19"/>
  <c r="S88" i="19"/>
  <c r="R88" i="19"/>
  <c r="Q88" i="19"/>
  <c r="P88" i="19"/>
  <c r="O88" i="19"/>
  <c r="N88" i="19"/>
  <c r="M88" i="19"/>
  <c r="S79" i="19"/>
  <c r="R79" i="19"/>
  <c r="Q79" i="19"/>
  <c r="P79" i="19"/>
  <c r="O79" i="19"/>
  <c r="N79" i="19"/>
  <c r="M79" i="19"/>
  <c r="S70" i="19"/>
  <c r="R70" i="19"/>
  <c r="Q70" i="19"/>
  <c r="P70" i="19"/>
  <c r="O70" i="19"/>
  <c r="N70" i="19"/>
  <c r="M70" i="19"/>
  <c r="S61" i="19"/>
  <c r="R61" i="19"/>
  <c r="Q61" i="19"/>
  <c r="P61" i="19"/>
  <c r="O61" i="19"/>
  <c r="N61" i="19"/>
  <c r="M61" i="19"/>
  <c r="S52" i="19"/>
  <c r="R52" i="19"/>
  <c r="Q52" i="19"/>
  <c r="P52" i="19"/>
  <c r="O52" i="19"/>
  <c r="N52" i="19"/>
  <c r="M52" i="19"/>
  <c r="S41" i="19"/>
  <c r="R41" i="19"/>
  <c r="Q41" i="19"/>
  <c r="P41" i="19"/>
  <c r="O41" i="19"/>
  <c r="N41" i="19"/>
  <c r="M41" i="19"/>
  <c r="S36" i="19"/>
  <c r="R36" i="19"/>
  <c r="Q36" i="19"/>
  <c r="P36" i="19"/>
  <c r="O36" i="19"/>
  <c r="N36" i="19"/>
  <c r="M36" i="19"/>
  <c r="S29" i="19"/>
  <c r="R29" i="19"/>
  <c r="Q29" i="19"/>
  <c r="P29" i="19"/>
  <c r="O29" i="19"/>
  <c r="N29" i="19"/>
  <c r="M29" i="19"/>
  <c r="S28" i="19"/>
  <c r="R28" i="19"/>
  <c r="Q28" i="19"/>
  <c r="P28" i="19"/>
  <c r="O28" i="19"/>
  <c r="N28" i="19"/>
  <c r="M28" i="19"/>
  <c r="S27" i="19"/>
  <c r="R27" i="19"/>
  <c r="Q27" i="19"/>
  <c r="P27" i="19"/>
  <c r="O27" i="19"/>
  <c r="N27" i="19"/>
  <c r="M27" i="19"/>
  <c r="S24" i="19"/>
  <c r="R24" i="19"/>
  <c r="Q24" i="19"/>
  <c r="P24" i="19"/>
  <c r="O24" i="19"/>
  <c r="N24" i="19"/>
  <c r="M24" i="19"/>
  <c r="S21" i="19"/>
  <c r="R21" i="19"/>
  <c r="Q21" i="19"/>
  <c r="P21" i="19"/>
  <c r="O21" i="19"/>
  <c r="N21" i="19"/>
  <c r="M21" i="19"/>
  <c r="S16" i="19"/>
  <c r="R16" i="19"/>
  <c r="Q16" i="19"/>
  <c r="P16" i="19"/>
  <c r="O16" i="19"/>
  <c r="N16" i="19"/>
  <c r="M16" i="19"/>
  <c r="N170" i="18"/>
  <c r="N166" i="18"/>
  <c r="N157" i="18"/>
  <c r="N151" i="18"/>
  <c r="N147" i="18"/>
  <c r="N138" i="18"/>
  <c r="N129" i="18"/>
  <c r="N122" i="18"/>
  <c r="N119" i="18"/>
  <c r="N110" i="18"/>
  <c r="N106" i="18"/>
  <c r="N97" i="18"/>
  <c r="N91" i="18"/>
  <c r="N88" i="18"/>
  <c r="N79" i="18"/>
  <c r="N70" i="18"/>
  <c r="N61" i="18"/>
  <c r="N52" i="18"/>
  <c r="N41" i="18"/>
  <c r="N36" i="18"/>
  <c r="N29" i="18"/>
  <c r="N28" i="18"/>
  <c r="N30" i="18" s="1"/>
  <c r="N27" i="18"/>
  <c r="N24" i="18"/>
  <c r="N21" i="18"/>
  <c r="N16" i="18"/>
  <c r="P170" i="17"/>
  <c r="O170" i="17"/>
  <c r="N170" i="17"/>
  <c r="P166" i="17"/>
  <c r="O166" i="17"/>
  <c r="N166" i="17"/>
  <c r="P157" i="17"/>
  <c r="O157" i="17"/>
  <c r="N157" i="17"/>
  <c r="P151" i="17"/>
  <c r="O151" i="17"/>
  <c r="N151" i="17"/>
  <c r="P147" i="17"/>
  <c r="O147" i="17"/>
  <c r="N147" i="17"/>
  <c r="P138" i="17"/>
  <c r="O138" i="17"/>
  <c r="N138" i="17"/>
  <c r="P129" i="17"/>
  <c r="O129" i="17"/>
  <c r="N129" i="17"/>
  <c r="P122" i="17"/>
  <c r="O122" i="17"/>
  <c r="N122" i="17"/>
  <c r="P119" i="17"/>
  <c r="O119" i="17"/>
  <c r="N119" i="17"/>
  <c r="P110" i="17"/>
  <c r="O110" i="17"/>
  <c r="N110" i="17"/>
  <c r="P106" i="17"/>
  <c r="O106" i="17"/>
  <c r="N106" i="17"/>
  <c r="P97" i="17"/>
  <c r="O97" i="17"/>
  <c r="N97" i="17"/>
  <c r="P91" i="17"/>
  <c r="O91" i="17"/>
  <c r="N91" i="17"/>
  <c r="P88" i="17"/>
  <c r="O88" i="17"/>
  <c r="N88" i="17"/>
  <c r="P79" i="17"/>
  <c r="O79" i="17"/>
  <c r="N79" i="17"/>
  <c r="P70" i="17"/>
  <c r="O70" i="17"/>
  <c r="N70" i="17"/>
  <c r="P61" i="17"/>
  <c r="O61" i="17"/>
  <c r="N61" i="17"/>
  <c r="P52" i="17"/>
  <c r="O52" i="17"/>
  <c r="N52" i="17"/>
  <c r="P41" i="17"/>
  <c r="O41" i="17"/>
  <c r="N41" i="17"/>
  <c r="P36" i="17"/>
  <c r="O36" i="17"/>
  <c r="N36" i="17"/>
  <c r="P29" i="17"/>
  <c r="O29" i="17"/>
  <c r="N29" i="17"/>
  <c r="P28" i="17"/>
  <c r="P30" i="17" s="1"/>
  <c r="O28" i="17"/>
  <c r="O30" i="17" s="1"/>
  <c r="N28" i="17"/>
  <c r="P27" i="17"/>
  <c r="O27" i="17"/>
  <c r="N27" i="17"/>
  <c r="P24" i="17"/>
  <c r="O24" i="17"/>
  <c r="N24" i="17"/>
  <c r="P21" i="17"/>
  <c r="O21" i="17"/>
  <c r="N21" i="17"/>
  <c r="P16" i="17"/>
  <c r="O16" i="17"/>
  <c r="N16" i="17"/>
  <c r="N30" i="17" l="1"/>
  <c r="Z175" i="19"/>
  <c r="N173" i="18"/>
  <c r="N175" i="18" s="1"/>
  <c r="N173" i="17"/>
  <c r="N175" i="17" s="1"/>
  <c r="O173" i="17"/>
  <c r="O175" i="17" s="1"/>
  <c r="P173" i="17"/>
  <c r="P175" i="17" s="1"/>
  <c r="R30" i="19"/>
  <c r="S30" i="19"/>
  <c r="F30" i="19"/>
  <c r="K175" i="19"/>
  <c r="F175" i="19"/>
  <c r="G30" i="19"/>
  <c r="H175" i="19"/>
  <c r="H30" i="19"/>
  <c r="L175" i="19"/>
  <c r="J30" i="19"/>
  <c r="K30" i="19"/>
  <c r="G175" i="19"/>
  <c r="I175" i="19"/>
  <c r="J175" i="19"/>
  <c r="I30" i="19"/>
  <c r="L30" i="19"/>
  <c r="N175" i="19"/>
  <c r="O175" i="19"/>
  <c r="P175" i="19"/>
  <c r="Q175" i="19"/>
  <c r="O30" i="19"/>
  <c r="R175" i="19"/>
  <c r="M175" i="19"/>
  <c r="M30" i="19"/>
  <c r="P30" i="19"/>
  <c r="S175" i="19"/>
  <c r="N30" i="19"/>
  <c r="Q30" i="1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M170" i="15"/>
  <c r="L170" i="15"/>
  <c r="K170" i="15"/>
  <c r="J170" i="15"/>
  <c r="I170" i="15"/>
  <c r="H170" i="15"/>
  <c r="G170" i="15"/>
  <c r="F170" i="15"/>
  <c r="E170" i="15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T170" i="17"/>
  <c r="S170" i="17"/>
  <c r="R170" i="17"/>
  <c r="Q170" i="17"/>
  <c r="M170" i="17"/>
  <c r="L170" i="17"/>
  <c r="K170" i="17"/>
  <c r="J170" i="17"/>
  <c r="I170" i="17"/>
  <c r="H170" i="17"/>
  <c r="G170" i="17"/>
  <c r="F170" i="17"/>
  <c r="E170" i="17"/>
  <c r="P170" i="3"/>
  <c r="O170" i="3"/>
  <c r="N170" i="3"/>
  <c r="M170" i="3"/>
  <c r="L170" i="3"/>
  <c r="K170" i="3"/>
  <c r="J170" i="3"/>
  <c r="I170" i="3"/>
  <c r="H170" i="3"/>
  <c r="G170" i="3"/>
  <c r="F170" i="3"/>
  <c r="E170" i="3"/>
  <c r="P170" i="18"/>
  <c r="O170" i="18"/>
  <c r="M170" i="18"/>
  <c r="L170" i="18"/>
  <c r="K170" i="18"/>
  <c r="J170" i="18"/>
  <c r="I170" i="18"/>
  <c r="H170" i="18"/>
  <c r="G170" i="18"/>
  <c r="F170" i="18"/>
  <c r="E170" i="18"/>
  <c r="AB170" i="19"/>
  <c r="AA170" i="19"/>
  <c r="Y170" i="19"/>
  <c r="X170" i="19"/>
  <c r="W170" i="19"/>
  <c r="V170" i="19"/>
  <c r="U170" i="19"/>
  <c r="T170" i="19"/>
  <c r="E170" i="19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U166" i="9"/>
  <c r="T166" i="9"/>
  <c r="Q166" i="9"/>
  <c r="M166" i="9"/>
  <c r="J166" i="9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M166" i="15"/>
  <c r="L166" i="15"/>
  <c r="K166" i="15"/>
  <c r="J166" i="15"/>
  <c r="I166" i="15"/>
  <c r="H166" i="15"/>
  <c r="G166" i="15"/>
  <c r="F166" i="15"/>
  <c r="E166" i="15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T166" i="17"/>
  <c r="S166" i="17"/>
  <c r="R166" i="17"/>
  <c r="Q166" i="17"/>
  <c r="M166" i="17"/>
  <c r="L166" i="17"/>
  <c r="K166" i="17"/>
  <c r="J166" i="17"/>
  <c r="I166" i="17"/>
  <c r="H166" i="17"/>
  <c r="G166" i="17"/>
  <c r="F166" i="17"/>
  <c r="E166" i="17"/>
  <c r="P166" i="3"/>
  <c r="O166" i="3"/>
  <c r="N166" i="3"/>
  <c r="M166" i="3"/>
  <c r="L166" i="3"/>
  <c r="K166" i="3"/>
  <c r="J166" i="3"/>
  <c r="I166" i="3"/>
  <c r="H166" i="3"/>
  <c r="G166" i="3"/>
  <c r="F166" i="3"/>
  <c r="E166" i="3"/>
  <c r="P166" i="18"/>
  <c r="O166" i="18"/>
  <c r="M166" i="18"/>
  <c r="L166" i="18"/>
  <c r="K166" i="18"/>
  <c r="J166" i="18"/>
  <c r="I166" i="18"/>
  <c r="H166" i="18"/>
  <c r="G166" i="18"/>
  <c r="F166" i="18"/>
  <c r="E166" i="18"/>
  <c r="AB166" i="19"/>
  <c r="AA166" i="19"/>
  <c r="Y166" i="19"/>
  <c r="X166" i="19"/>
  <c r="W166" i="19"/>
  <c r="V166" i="19"/>
  <c r="U166" i="19"/>
  <c r="T166" i="19"/>
  <c r="E166" i="19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M157" i="15"/>
  <c r="L157" i="15"/>
  <c r="K157" i="15"/>
  <c r="J157" i="15"/>
  <c r="I157" i="15"/>
  <c r="H157" i="15"/>
  <c r="G157" i="15"/>
  <c r="F157" i="15"/>
  <c r="E157" i="15"/>
  <c r="R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T157" i="17"/>
  <c r="S157" i="17"/>
  <c r="R157" i="17"/>
  <c r="Q157" i="17"/>
  <c r="M157" i="17"/>
  <c r="L157" i="17"/>
  <c r="K157" i="17"/>
  <c r="J157" i="17"/>
  <c r="I157" i="17"/>
  <c r="H157" i="17"/>
  <c r="G157" i="17"/>
  <c r="F157" i="17"/>
  <c r="E157" i="17"/>
  <c r="P157" i="3"/>
  <c r="O157" i="3"/>
  <c r="N157" i="3"/>
  <c r="M157" i="3"/>
  <c r="L157" i="3"/>
  <c r="K157" i="3"/>
  <c r="J157" i="3"/>
  <c r="I157" i="3"/>
  <c r="H157" i="3"/>
  <c r="G157" i="3"/>
  <c r="F157" i="3"/>
  <c r="E157" i="3"/>
  <c r="P157" i="18"/>
  <c r="O157" i="18"/>
  <c r="M157" i="18"/>
  <c r="L157" i="18"/>
  <c r="K157" i="18"/>
  <c r="J157" i="18"/>
  <c r="I157" i="18"/>
  <c r="H157" i="18"/>
  <c r="G157" i="18"/>
  <c r="F157" i="18"/>
  <c r="E157" i="18"/>
  <c r="AB157" i="19"/>
  <c r="AA157" i="19"/>
  <c r="Y157" i="19"/>
  <c r="X157" i="19"/>
  <c r="W157" i="19"/>
  <c r="V157" i="19"/>
  <c r="U157" i="19"/>
  <c r="T157" i="19"/>
  <c r="E157" i="19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M151" i="15"/>
  <c r="L151" i="15"/>
  <c r="K151" i="15"/>
  <c r="J151" i="15"/>
  <c r="I151" i="15"/>
  <c r="H151" i="15"/>
  <c r="G151" i="15"/>
  <c r="F151" i="15"/>
  <c r="E151" i="15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T151" i="17"/>
  <c r="S151" i="17"/>
  <c r="R151" i="17"/>
  <c r="Q151" i="17"/>
  <c r="M151" i="17"/>
  <c r="L151" i="17"/>
  <c r="K151" i="17"/>
  <c r="J151" i="17"/>
  <c r="I151" i="17"/>
  <c r="H151" i="17"/>
  <c r="G151" i="17"/>
  <c r="F151" i="17"/>
  <c r="E151" i="17"/>
  <c r="P151" i="3"/>
  <c r="O151" i="3"/>
  <c r="N151" i="3"/>
  <c r="M151" i="3"/>
  <c r="L151" i="3"/>
  <c r="K151" i="3"/>
  <c r="J151" i="3"/>
  <c r="I151" i="3"/>
  <c r="H151" i="3"/>
  <c r="G151" i="3"/>
  <c r="F151" i="3"/>
  <c r="E151" i="3"/>
  <c r="P151" i="18"/>
  <c r="O151" i="18"/>
  <c r="M151" i="18"/>
  <c r="L151" i="18"/>
  <c r="K151" i="18"/>
  <c r="J151" i="18"/>
  <c r="I151" i="18"/>
  <c r="H151" i="18"/>
  <c r="G151" i="18"/>
  <c r="F151" i="18"/>
  <c r="E151" i="18"/>
  <c r="AB151" i="19"/>
  <c r="AA151" i="19"/>
  <c r="Y151" i="19"/>
  <c r="X151" i="19"/>
  <c r="W151" i="19"/>
  <c r="V151" i="19"/>
  <c r="U151" i="19"/>
  <c r="T151" i="19"/>
  <c r="E151" i="19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M147" i="15"/>
  <c r="L147" i="15"/>
  <c r="K147" i="15"/>
  <c r="J147" i="15"/>
  <c r="I147" i="15"/>
  <c r="H147" i="15"/>
  <c r="G147" i="15"/>
  <c r="F147" i="15"/>
  <c r="E147" i="15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T147" i="17"/>
  <c r="S147" i="17"/>
  <c r="R147" i="17"/>
  <c r="Q147" i="17"/>
  <c r="M147" i="17"/>
  <c r="L147" i="17"/>
  <c r="K147" i="17"/>
  <c r="J147" i="17"/>
  <c r="I147" i="17"/>
  <c r="H147" i="17"/>
  <c r="G147" i="17"/>
  <c r="F147" i="17"/>
  <c r="E147" i="17"/>
  <c r="P147" i="3"/>
  <c r="O147" i="3"/>
  <c r="N147" i="3"/>
  <c r="M147" i="3"/>
  <c r="L147" i="3"/>
  <c r="K147" i="3"/>
  <c r="J147" i="3"/>
  <c r="I147" i="3"/>
  <c r="H147" i="3"/>
  <c r="G147" i="3"/>
  <c r="F147" i="3"/>
  <c r="E147" i="3"/>
  <c r="P147" i="18"/>
  <c r="O147" i="18"/>
  <c r="M147" i="18"/>
  <c r="L147" i="18"/>
  <c r="K147" i="18"/>
  <c r="J147" i="18"/>
  <c r="I147" i="18"/>
  <c r="H147" i="18"/>
  <c r="G147" i="18"/>
  <c r="F147" i="18"/>
  <c r="E147" i="18"/>
  <c r="AB147" i="19"/>
  <c r="AA147" i="19"/>
  <c r="Y147" i="19"/>
  <c r="X147" i="19"/>
  <c r="W147" i="19"/>
  <c r="V147" i="19"/>
  <c r="U147" i="19"/>
  <c r="T147" i="19"/>
  <c r="E147" i="19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M138" i="15"/>
  <c r="L138" i="15"/>
  <c r="K138" i="15"/>
  <c r="J138" i="15"/>
  <c r="I138" i="15"/>
  <c r="H138" i="15"/>
  <c r="G138" i="15"/>
  <c r="F138" i="15"/>
  <c r="E138" i="15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T138" i="17"/>
  <c r="S138" i="17"/>
  <c r="R138" i="17"/>
  <c r="Q138" i="17"/>
  <c r="M138" i="17"/>
  <c r="L138" i="17"/>
  <c r="K138" i="17"/>
  <c r="J138" i="17"/>
  <c r="I138" i="17"/>
  <c r="H138" i="17"/>
  <c r="G138" i="17"/>
  <c r="F138" i="17"/>
  <c r="E138" i="17"/>
  <c r="P138" i="3"/>
  <c r="O138" i="3"/>
  <c r="N138" i="3"/>
  <c r="M138" i="3"/>
  <c r="L138" i="3"/>
  <c r="K138" i="3"/>
  <c r="J138" i="3"/>
  <c r="I138" i="3"/>
  <c r="H138" i="3"/>
  <c r="G138" i="3"/>
  <c r="F138" i="3"/>
  <c r="E138" i="3"/>
  <c r="P138" i="18"/>
  <c r="O138" i="18"/>
  <c r="M138" i="18"/>
  <c r="L138" i="18"/>
  <c r="K138" i="18"/>
  <c r="J138" i="18"/>
  <c r="I138" i="18"/>
  <c r="H138" i="18"/>
  <c r="G138" i="18"/>
  <c r="F138" i="18"/>
  <c r="E138" i="18"/>
  <c r="AB138" i="19"/>
  <c r="AA138" i="19"/>
  <c r="Y138" i="19"/>
  <c r="X138" i="19"/>
  <c r="W138" i="19"/>
  <c r="V138" i="19"/>
  <c r="U138" i="19"/>
  <c r="T138" i="19"/>
  <c r="E138" i="19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M129" i="15"/>
  <c r="L129" i="15"/>
  <c r="K129" i="15"/>
  <c r="J129" i="15"/>
  <c r="I129" i="15"/>
  <c r="H129" i="15"/>
  <c r="G129" i="15"/>
  <c r="F129" i="15"/>
  <c r="E129" i="15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T129" i="17"/>
  <c r="S129" i="17"/>
  <c r="R129" i="17"/>
  <c r="Q129" i="17"/>
  <c r="M129" i="17"/>
  <c r="L129" i="17"/>
  <c r="K129" i="17"/>
  <c r="J129" i="17"/>
  <c r="I129" i="17"/>
  <c r="H129" i="17"/>
  <c r="G129" i="17"/>
  <c r="F129" i="17"/>
  <c r="E129" i="17"/>
  <c r="P129" i="3"/>
  <c r="O129" i="3"/>
  <c r="N129" i="3"/>
  <c r="M129" i="3"/>
  <c r="L129" i="3"/>
  <c r="K129" i="3"/>
  <c r="J129" i="3"/>
  <c r="I129" i="3"/>
  <c r="H129" i="3"/>
  <c r="G129" i="3"/>
  <c r="F129" i="3"/>
  <c r="E129" i="3"/>
  <c r="P129" i="18"/>
  <c r="O129" i="18"/>
  <c r="M129" i="18"/>
  <c r="L129" i="18"/>
  <c r="K129" i="18"/>
  <c r="J129" i="18"/>
  <c r="I129" i="18"/>
  <c r="H129" i="18"/>
  <c r="G129" i="18"/>
  <c r="F129" i="18"/>
  <c r="E129" i="18"/>
  <c r="AB129" i="19"/>
  <c r="AA129" i="19"/>
  <c r="Y129" i="19"/>
  <c r="X129" i="19"/>
  <c r="W129" i="19"/>
  <c r="V129" i="19"/>
  <c r="U129" i="19"/>
  <c r="T129" i="19"/>
  <c r="E129" i="19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M122" i="15"/>
  <c r="L122" i="15"/>
  <c r="K122" i="15"/>
  <c r="J122" i="15"/>
  <c r="I122" i="15"/>
  <c r="H122" i="15"/>
  <c r="G122" i="15"/>
  <c r="F122" i="15"/>
  <c r="E122" i="15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T122" i="17"/>
  <c r="S122" i="17"/>
  <c r="R122" i="17"/>
  <c r="Q122" i="17"/>
  <c r="M122" i="17"/>
  <c r="L122" i="17"/>
  <c r="K122" i="17"/>
  <c r="J122" i="17"/>
  <c r="I122" i="17"/>
  <c r="H122" i="17"/>
  <c r="G122" i="17"/>
  <c r="F122" i="17"/>
  <c r="E122" i="17"/>
  <c r="P122" i="3"/>
  <c r="O122" i="3"/>
  <c r="N122" i="3"/>
  <c r="M122" i="3"/>
  <c r="L122" i="3"/>
  <c r="K122" i="3"/>
  <c r="J122" i="3"/>
  <c r="I122" i="3"/>
  <c r="H122" i="3"/>
  <c r="G122" i="3"/>
  <c r="F122" i="3"/>
  <c r="E122" i="3"/>
  <c r="P122" i="18"/>
  <c r="O122" i="18"/>
  <c r="M122" i="18"/>
  <c r="L122" i="18"/>
  <c r="K122" i="18"/>
  <c r="J122" i="18"/>
  <c r="I122" i="18"/>
  <c r="H122" i="18"/>
  <c r="G122" i="18"/>
  <c r="F122" i="18"/>
  <c r="E122" i="18"/>
  <c r="AB122" i="19"/>
  <c r="AA122" i="19"/>
  <c r="Y122" i="19"/>
  <c r="X122" i="19"/>
  <c r="W122" i="19"/>
  <c r="V122" i="19"/>
  <c r="U122" i="19"/>
  <c r="T122" i="19"/>
  <c r="E122" i="19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M119" i="15"/>
  <c r="L119" i="15"/>
  <c r="K119" i="15"/>
  <c r="J119" i="15"/>
  <c r="I119" i="15"/>
  <c r="H119" i="15"/>
  <c r="G119" i="15"/>
  <c r="F119" i="15"/>
  <c r="E119" i="15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T119" i="17"/>
  <c r="S119" i="17"/>
  <c r="R119" i="17"/>
  <c r="Q119" i="17"/>
  <c r="M119" i="17"/>
  <c r="L119" i="17"/>
  <c r="K119" i="17"/>
  <c r="J119" i="17"/>
  <c r="I119" i="17"/>
  <c r="H119" i="17"/>
  <c r="G119" i="17"/>
  <c r="F119" i="17"/>
  <c r="E119" i="17"/>
  <c r="P119" i="3"/>
  <c r="O119" i="3"/>
  <c r="N119" i="3"/>
  <c r="M119" i="3"/>
  <c r="L119" i="3"/>
  <c r="K119" i="3"/>
  <c r="J119" i="3"/>
  <c r="I119" i="3"/>
  <c r="H119" i="3"/>
  <c r="G119" i="3"/>
  <c r="F119" i="3"/>
  <c r="E119" i="3"/>
  <c r="P119" i="18"/>
  <c r="O119" i="18"/>
  <c r="M119" i="18"/>
  <c r="L119" i="18"/>
  <c r="K119" i="18"/>
  <c r="J119" i="18"/>
  <c r="I119" i="18"/>
  <c r="H119" i="18"/>
  <c r="G119" i="18"/>
  <c r="F119" i="18"/>
  <c r="E119" i="18"/>
  <c r="AB119" i="19"/>
  <c r="AA119" i="19"/>
  <c r="Y119" i="19"/>
  <c r="X119" i="19"/>
  <c r="W119" i="19"/>
  <c r="V119" i="19"/>
  <c r="U119" i="19"/>
  <c r="T119" i="19"/>
  <c r="E119" i="19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M110" i="15"/>
  <c r="L110" i="15"/>
  <c r="K110" i="15"/>
  <c r="J110" i="15"/>
  <c r="I110" i="15"/>
  <c r="H110" i="15"/>
  <c r="G110" i="15"/>
  <c r="F110" i="15"/>
  <c r="E110" i="15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T110" i="17"/>
  <c r="S110" i="17"/>
  <c r="R110" i="17"/>
  <c r="Q110" i="17"/>
  <c r="M110" i="17"/>
  <c r="L110" i="17"/>
  <c r="K110" i="17"/>
  <c r="J110" i="17"/>
  <c r="I110" i="17"/>
  <c r="H110" i="17"/>
  <c r="G110" i="17"/>
  <c r="F110" i="17"/>
  <c r="E110" i="17"/>
  <c r="P110" i="3"/>
  <c r="O110" i="3"/>
  <c r="N110" i="3"/>
  <c r="M110" i="3"/>
  <c r="L110" i="3"/>
  <c r="K110" i="3"/>
  <c r="J110" i="3"/>
  <c r="I110" i="3"/>
  <c r="H110" i="3"/>
  <c r="G110" i="3"/>
  <c r="F110" i="3"/>
  <c r="E110" i="3"/>
  <c r="P110" i="18"/>
  <c r="O110" i="18"/>
  <c r="M110" i="18"/>
  <c r="L110" i="18"/>
  <c r="K110" i="18"/>
  <c r="J110" i="18"/>
  <c r="I110" i="18"/>
  <c r="H110" i="18"/>
  <c r="G110" i="18"/>
  <c r="F110" i="18"/>
  <c r="E110" i="18"/>
  <c r="AB110" i="19"/>
  <c r="AA110" i="19"/>
  <c r="Y110" i="19"/>
  <c r="X110" i="19"/>
  <c r="W110" i="19"/>
  <c r="V110" i="19"/>
  <c r="U110" i="19"/>
  <c r="T110" i="19"/>
  <c r="E110" i="19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M106" i="15"/>
  <c r="L106" i="15"/>
  <c r="K106" i="15"/>
  <c r="J106" i="15"/>
  <c r="I106" i="15"/>
  <c r="H106" i="15"/>
  <c r="G106" i="15"/>
  <c r="F106" i="15"/>
  <c r="E106" i="15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T106" i="17"/>
  <c r="S106" i="17"/>
  <c r="R106" i="17"/>
  <c r="Q106" i="17"/>
  <c r="M106" i="17"/>
  <c r="L106" i="17"/>
  <c r="K106" i="17"/>
  <c r="J106" i="17"/>
  <c r="I106" i="17"/>
  <c r="H106" i="17"/>
  <c r="G106" i="17"/>
  <c r="F106" i="17"/>
  <c r="E106" i="17"/>
  <c r="P106" i="3"/>
  <c r="O106" i="3"/>
  <c r="N106" i="3"/>
  <c r="M106" i="3"/>
  <c r="L106" i="3"/>
  <c r="K106" i="3"/>
  <c r="J106" i="3"/>
  <c r="I106" i="3"/>
  <c r="H106" i="3"/>
  <c r="G106" i="3"/>
  <c r="F106" i="3"/>
  <c r="E106" i="3"/>
  <c r="P106" i="18"/>
  <c r="O106" i="18"/>
  <c r="M106" i="18"/>
  <c r="L106" i="18"/>
  <c r="K106" i="18"/>
  <c r="J106" i="18"/>
  <c r="I106" i="18"/>
  <c r="H106" i="18"/>
  <c r="G106" i="18"/>
  <c r="F106" i="18"/>
  <c r="E106" i="18"/>
  <c r="AB106" i="19"/>
  <c r="AA106" i="19"/>
  <c r="Y106" i="19"/>
  <c r="X106" i="19"/>
  <c r="W106" i="19"/>
  <c r="V106" i="19"/>
  <c r="U106" i="19"/>
  <c r="T106" i="19"/>
  <c r="E106" i="19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M97" i="15"/>
  <c r="L97" i="15"/>
  <c r="K97" i="15"/>
  <c r="J97" i="15"/>
  <c r="I97" i="15"/>
  <c r="H97" i="15"/>
  <c r="G97" i="15"/>
  <c r="F97" i="15"/>
  <c r="E97" i="15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T97" i="17"/>
  <c r="S97" i="17"/>
  <c r="R97" i="17"/>
  <c r="Q97" i="17"/>
  <c r="M97" i="17"/>
  <c r="L97" i="17"/>
  <c r="K97" i="17"/>
  <c r="J97" i="17"/>
  <c r="I97" i="17"/>
  <c r="H97" i="17"/>
  <c r="G97" i="17"/>
  <c r="F97" i="17"/>
  <c r="E97" i="17"/>
  <c r="P97" i="3"/>
  <c r="O97" i="3"/>
  <c r="N97" i="3"/>
  <c r="M97" i="3"/>
  <c r="L97" i="3"/>
  <c r="K97" i="3"/>
  <c r="J97" i="3"/>
  <c r="I97" i="3"/>
  <c r="H97" i="3"/>
  <c r="G97" i="3"/>
  <c r="F97" i="3"/>
  <c r="E97" i="3"/>
  <c r="P97" i="18"/>
  <c r="O97" i="18"/>
  <c r="M97" i="18"/>
  <c r="L97" i="18"/>
  <c r="K97" i="18"/>
  <c r="J97" i="18"/>
  <c r="I97" i="18"/>
  <c r="H97" i="18"/>
  <c r="G97" i="18"/>
  <c r="F97" i="18"/>
  <c r="E97" i="18"/>
  <c r="AB97" i="19"/>
  <c r="AA97" i="19"/>
  <c r="Y97" i="19"/>
  <c r="X97" i="19"/>
  <c r="W97" i="19"/>
  <c r="V97" i="19"/>
  <c r="U97" i="19"/>
  <c r="T97" i="19"/>
  <c r="E97" i="19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M91" i="15"/>
  <c r="L91" i="15"/>
  <c r="K91" i="15"/>
  <c r="J91" i="15"/>
  <c r="I91" i="15"/>
  <c r="H91" i="15"/>
  <c r="G91" i="15"/>
  <c r="F91" i="15"/>
  <c r="E91" i="15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T91" i="17"/>
  <c r="S91" i="17"/>
  <c r="R91" i="17"/>
  <c r="Q91" i="17"/>
  <c r="M91" i="17"/>
  <c r="L91" i="17"/>
  <c r="K91" i="17"/>
  <c r="J91" i="17"/>
  <c r="I91" i="17"/>
  <c r="H91" i="17"/>
  <c r="G91" i="17"/>
  <c r="F91" i="17"/>
  <c r="E91" i="17"/>
  <c r="P91" i="3"/>
  <c r="O91" i="3"/>
  <c r="N91" i="3"/>
  <c r="M91" i="3"/>
  <c r="L91" i="3"/>
  <c r="K91" i="3"/>
  <c r="J91" i="3"/>
  <c r="I91" i="3"/>
  <c r="H91" i="3"/>
  <c r="G91" i="3"/>
  <c r="F91" i="3"/>
  <c r="E91" i="3"/>
  <c r="P91" i="18"/>
  <c r="O91" i="18"/>
  <c r="M91" i="18"/>
  <c r="L91" i="18"/>
  <c r="K91" i="18"/>
  <c r="J91" i="18"/>
  <c r="I91" i="18"/>
  <c r="H91" i="18"/>
  <c r="G91" i="18"/>
  <c r="F91" i="18"/>
  <c r="E91" i="18"/>
  <c r="AB91" i="19"/>
  <c r="AA91" i="19"/>
  <c r="Y91" i="19"/>
  <c r="X91" i="19"/>
  <c r="W91" i="19"/>
  <c r="V91" i="19"/>
  <c r="U91" i="19"/>
  <c r="T91" i="19"/>
  <c r="E91" i="19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M88" i="15"/>
  <c r="L88" i="15"/>
  <c r="K88" i="15"/>
  <c r="J88" i="15"/>
  <c r="I88" i="15"/>
  <c r="H88" i="15"/>
  <c r="G88" i="15"/>
  <c r="F88" i="15"/>
  <c r="E88" i="15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T88" i="17"/>
  <c r="S88" i="17"/>
  <c r="R88" i="17"/>
  <c r="Q88" i="17"/>
  <c r="M88" i="17"/>
  <c r="L88" i="17"/>
  <c r="K88" i="17"/>
  <c r="J88" i="17"/>
  <c r="I88" i="17"/>
  <c r="H88" i="17"/>
  <c r="G88" i="17"/>
  <c r="F88" i="17"/>
  <c r="E88" i="17"/>
  <c r="P88" i="3"/>
  <c r="O88" i="3"/>
  <c r="N88" i="3"/>
  <c r="M88" i="3"/>
  <c r="L88" i="3"/>
  <c r="K88" i="3"/>
  <c r="J88" i="3"/>
  <c r="I88" i="3"/>
  <c r="H88" i="3"/>
  <c r="G88" i="3"/>
  <c r="F88" i="3"/>
  <c r="E88" i="3"/>
  <c r="P88" i="18"/>
  <c r="O88" i="18"/>
  <c r="M88" i="18"/>
  <c r="L88" i="18"/>
  <c r="K88" i="18"/>
  <c r="J88" i="18"/>
  <c r="I88" i="18"/>
  <c r="H88" i="18"/>
  <c r="G88" i="18"/>
  <c r="F88" i="18"/>
  <c r="E88" i="18"/>
  <c r="AB88" i="19"/>
  <c r="AA88" i="19"/>
  <c r="Y88" i="19"/>
  <c r="X88" i="19"/>
  <c r="W88" i="19"/>
  <c r="V88" i="19"/>
  <c r="U88" i="19"/>
  <c r="T88" i="19"/>
  <c r="E88" i="19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M79" i="15"/>
  <c r="L79" i="15"/>
  <c r="K79" i="15"/>
  <c r="J79" i="15"/>
  <c r="I79" i="15"/>
  <c r="H79" i="15"/>
  <c r="G79" i="15"/>
  <c r="F79" i="15"/>
  <c r="E79" i="15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T79" i="17"/>
  <c r="S79" i="17"/>
  <c r="R79" i="17"/>
  <c r="Q79" i="17"/>
  <c r="M79" i="17"/>
  <c r="L79" i="17"/>
  <c r="K79" i="17"/>
  <c r="J79" i="17"/>
  <c r="I79" i="17"/>
  <c r="H79" i="17"/>
  <c r="G79" i="17"/>
  <c r="F79" i="17"/>
  <c r="E79" i="17"/>
  <c r="P79" i="3"/>
  <c r="O79" i="3"/>
  <c r="N79" i="3"/>
  <c r="M79" i="3"/>
  <c r="L79" i="3"/>
  <c r="K79" i="3"/>
  <c r="J79" i="3"/>
  <c r="I79" i="3"/>
  <c r="H79" i="3"/>
  <c r="G79" i="3"/>
  <c r="F79" i="3"/>
  <c r="E79" i="3"/>
  <c r="P79" i="18"/>
  <c r="O79" i="18"/>
  <c r="M79" i="18"/>
  <c r="L79" i="18"/>
  <c r="K79" i="18"/>
  <c r="J79" i="18"/>
  <c r="I79" i="18"/>
  <c r="H79" i="18"/>
  <c r="G79" i="18"/>
  <c r="F79" i="18"/>
  <c r="E79" i="18"/>
  <c r="AB79" i="19"/>
  <c r="AA79" i="19"/>
  <c r="Y79" i="19"/>
  <c r="X79" i="19"/>
  <c r="W79" i="19"/>
  <c r="V79" i="19"/>
  <c r="U79" i="19"/>
  <c r="T79" i="19"/>
  <c r="E79" i="19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M70" i="15"/>
  <c r="L70" i="15"/>
  <c r="K70" i="15"/>
  <c r="J70" i="15"/>
  <c r="I70" i="15"/>
  <c r="H70" i="15"/>
  <c r="G70" i="15"/>
  <c r="F70" i="15"/>
  <c r="E70" i="15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T70" i="17"/>
  <c r="S70" i="17"/>
  <c r="R70" i="17"/>
  <c r="Q70" i="17"/>
  <c r="M70" i="17"/>
  <c r="L70" i="17"/>
  <c r="K70" i="17"/>
  <c r="J70" i="17"/>
  <c r="I70" i="17"/>
  <c r="H70" i="17"/>
  <c r="G70" i="17"/>
  <c r="F70" i="17"/>
  <c r="E70" i="17"/>
  <c r="P70" i="3"/>
  <c r="O70" i="3"/>
  <c r="N70" i="3"/>
  <c r="M70" i="3"/>
  <c r="L70" i="3"/>
  <c r="K70" i="3"/>
  <c r="J70" i="3"/>
  <c r="I70" i="3"/>
  <c r="H70" i="3"/>
  <c r="G70" i="3"/>
  <c r="F70" i="3"/>
  <c r="E70" i="3"/>
  <c r="P70" i="18"/>
  <c r="O70" i="18"/>
  <c r="M70" i="18"/>
  <c r="L70" i="18"/>
  <c r="K70" i="18"/>
  <c r="J70" i="18"/>
  <c r="I70" i="18"/>
  <c r="H70" i="18"/>
  <c r="G70" i="18"/>
  <c r="F70" i="18"/>
  <c r="E70" i="18"/>
  <c r="AB70" i="19"/>
  <c r="AA70" i="19"/>
  <c r="Y70" i="19"/>
  <c r="X70" i="19"/>
  <c r="W70" i="19"/>
  <c r="V70" i="19"/>
  <c r="U70" i="19"/>
  <c r="T70" i="19"/>
  <c r="E70" i="19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M61" i="15"/>
  <c r="L61" i="15"/>
  <c r="K61" i="15"/>
  <c r="J61" i="15"/>
  <c r="I61" i="15"/>
  <c r="H61" i="15"/>
  <c r="G61" i="15"/>
  <c r="F61" i="15"/>
  <c r="E61" i="15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T61" i="17"/>
  <c r="S61" i="17"/>
  <c r="R61" i="17"/>
  <c r="Q61" i="17"/>
  <c r="M61" i="17"/>
  <c r="L61" i="17"/>
  <c r="K61" i="17"/>
  <c r="J61" i="17"/>
  <c r="I61" i="17"/>
  <c r="H61" i="17"/>
  <c r="G61" i="17"/>
  <c r="F61" i="17"/>
  <c r="E61" i="17"/>
  <c r="P61" i="3"/>
  <c r="O61" i="3"/>
  <c r="N61" i="3"/>
  <c r="M61" i="3"/>
  <c r="L61" i="3"/>
  <c r="K61" i="3"/>
  <c r="J61" i="3"/>
  <c r="I61" i="3"/>
  <c r="H61" i="3"/>
  <c r="G61" i="3"/>
  <c r="F61" i="3"/>
  <c r="E61" i="3"/>
  <c r="P61" i="18"/>
  <c r="O61" i="18"/>
  <c r="M61" i="18"/>
  <c r="L61" i="18"/>
  <c r="K61" i="18"/>
  <c r="J61" i="18"/>
  <c r="I61" i="18"/>
  <c r="H61" i="18"/>
  <c r="G61" i="18"/>
  <c r="F61" i="18"/>
  <c r="E61" i="18"/>
  <c r="AB61" i="19"/>
  <c r="AA61" i="19"/>
  <c r="Y61" i="19"/>
  <c r="X61" i="19"/>
  <c r="W61" i="19"/>
  <c r="V61" i="19"/>
  <c r="U61" i="19"/>
  <c r="T61" i="19"/>
  <c r="E61" i="19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M52" i="15"/>
  <c r="L52" i="15"/>
  <c r="K52" i="15"/>
  <c r="J52" i="15"/>
  <c r="I52" i="15"/>
  <c r="H52" i="15"/>
  <c r="G52" i="15"/>
  <c r="F52" i="15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T52" i="17"/>
  <c r="S52" i="17"/>
  <c r="R52" i="17"/>
  <c r="Q52" i="17"/>
  <c r="M52" i="17"/>
  <c r="L52" i="17"/>
  <c r="K52" i="17"/>
  <c r="J52" i="17"/>
  <c r="I52" i="17"/>
  <c r="H52" i="17"/>
  <c r="G52" i="17"/>
  <c r="F52" i="17"/>
  <c r="P52" i="3"/>
  <c r="O52" i="3"/>
  <c r="N52" i="3"/>
  <c r="M52" i="3"/>
  <c r="L52" i="3"/>
  <c r="K52" i="3"/>
  <c r="J52" i="3"/>
  <c r="I52" i="3"/>
  <c r="H52" i="3"/>
  <c r="G52" i="3"/>
  <c r="F52" i="3"/>
  <c r="P52" i="18"/>
  <c r="O52" i="18"/>
  <c r="M52" i="18"/>
  <c r="L52" i="18"/>
  <c r="K52" i="18"/>
  <c r="J52" i="18"/>
  <c r="I52" i="18"/>
  <c r="H52" i="18"/>
  <c r="G52" i="18"/>
  <c r="F52" i="18"/>
  <c r="AB52" i="19"/>
  <c r="AA52" i="19"/>
  <c r="Y52" i="19"/>
  <c r="X52" i="19"/>
  <c r="W52" i="19"/>
  <c r="V52" i="19"/>
  <c r="U52" i="19"/>
  <c r="T52" i="19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9"/>
  <c r="E52" i="10"/>
  <c r="E52" i="11"/>
  <c r="E52" i="15"/>
  <c r="E52" i="16"/>
  <c r="E52" i="17"/>
  <c r="E52" i="3"/>
  <c r="E52" i="18"/>
  <c r="E52" i="19"/>
  <c r="E52" i="20"/>
  <c r="E52" i="21"/>
  <c r="S155" i="21" l="1"/>
  <c r="S156" i="21"/>
  <c r="S96" i="21"/>
  <c r="T156" i="20"/>
  <c r="T96" i="20"/>
  <c r="AC156" i="19"/>
  <c r="AC96" i="19"/>
  <c r="Q156" i="3"/>
  <c r="O175" i="16" l="1"/>
  <c r="N175" i="16"/>
  <c r="Q175" i="16"/>
  <c r="P175" i="16"/>
  <c r="M175" i="16"/>
  <c r="L175" i="16"/>
  <c r="Q41" i="16"/>
  <c r="P41" i="16"/>
  <c r="O41" i="16"/>
  <c r="N41" i="16"/>
  <c r="M41" i="16"/>
  <c r="L41" i="16"/>
  <c r="Q36" i="16"/>
  <c r="P36" i="16"/>
  <c r="O36" i="16"/>
  <c r="N36" i="16"/>
  <c r="M36" i="16"/>
  <c r="L36" i="16"/>
  <c r="Q29" i="16"/>
  <c r="P29" i="16"/>
  <c r="O29" i="16"/>
  <c r="N29" i="16"/>
  <c r="M29" i="16"/>
  <c r="L29" i="16"/>
  <c r="Q28" i="16"/>
  <c r="P28" i="16"/>
  <c r="O28" i="16"/>
  <c r="N28" i="16"/>
  <c r="M28" i="16"/>
  <c r="M30" i="16" s="1"/>
  <c r="L28" i="16"/>
  <c r="L30" i="16" s="1"/>
  <c r="Q27" i="16"/>
  <c r="P27" i="16"/>
  <c r="O27" i="16"/>
  <c r="N27" i="16"/>
  <c r="M27" i="16"/>
  <c r="L27" i="16"/>
  <c r="Q24" i="16"/>
  <c r="P24" i="16"/>
  <c r="O24" i="16"/>
  <c r="N24" i="16"/>
  <c r="M24" i="16"/>
  <c r="L24" i="16"/>
  <c r="Q21" i="16"/>
  <c r="P21" i="16"/>
  <c r="O21" i="16"/>
  <c r="N21" i="16"/>
  <c r="M21" i="16"/>
  <c r="L21" i="16"/>
  <c r="Q16" i="16"/>
  <c r="P16" i="16"/>
  <c r="O16" i="16"/>
  <c r="N16" i="16"/>
  <c r="M16" i="16"/>
  <c r="L16" i="16"/>
  <c r="Q173" i="10"/>
  <c r="Q175" i="10" s="1"/>
  <c r="P173" i="10"/>
  <c r="P175" i="10" s="1"/>
  <c r="Q41" i="10"/>
  <c r="P41" i="10"/>
  <c r="Q36" i="10"/>
  <c r="P36" i="10"/>
  <c r="Q29" i="10"/>
  <c r="P29" i="10"/>
  <c r="Q28" i="10"/>
  <c r="P28" i="10"/>
  <c r="Q27" i="10"/>
  <c r="P27" i="10"/>
  <c r="Q24" i="10"/>
  <c r="P24" i="10"/>
  <c r="Q21" i="10"/>
  <c r="P21" i="10"/>
  <c r="Q16" i="10"/>
  <c r="P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I28" i="10"/>
  <c r="H28" i="10"/>
  <c r="G28" i="10"/>
  <c r="F28" i="10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P173" i="9"/>
  <c r="U173" i="9"/>
  <c r="U175" i="9" s="1"/>
  <c r="T173" i="9"/>
  <c r="T175" i="9" s="1"/>
  <c r="U41" i="9"/>
  <c r="T41" i="9"/>
  <c r="S41" i="9"/>
  <c r="R41" i="9"/>
  <c r="Q41" i="9"/>
  <c r="P41" i="9"/>
  <c r="U36" i="9"/>
  <c r="T36" i="9"/>
  <c r="S36" i="9"/>
  <c r="R36" i="9"/>
  <c r="Q36" i="9"/>
  <c r="P36" i="9"/>
  <c r="U29" i="9"/>
  <c r="T29" i="9"/>
  <c r="S29" i="9"/>
  <c r="R29" i="9"/>
  <c r="Q29" i="9"/>
  <c r="P29" i="9"/>
  <c r="U28" i="9"/>
  <c r="T28" i="9"/>
  <c r="S28" i="9"/>
  <c r="R28" i="9"/>
  <c r="Q28" i="9"/>
  <c r="P28" i="9"/>
  <c r="U27" i="9"/>
  <c r="T27" i="9"/>
  <c r="S27" i="9"/>
  <c r="R27" i="9"/>
  <c r="Q27" i="9"/>
  <c r="P27" i="9"/>
  <c r="U24" i="9"/>
  <c r="T24" i="9"/>
  <c r="S24" i="9"/>
  <c r="R24" i="9"/>
  <c r="Q24" i="9"/>
  <c r="P24" i="9"/>
  <c r="U21" i="9"/>
  <c r="T21" i="9"/>
  <c r="S21" i="9"/>
  <c r="R21" i="9"/>
  <c r="Q21" i="9"/>
  <c r="P21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K28" i="9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G30" i="10" l="1"/>
  <c r="F30" i="10"/>
  <c r="P175" i="9"/>
  <c r="H30" i="10"/>
  <c r="N30" i="16"/>
  <c r="I30" i="10"/>
  <c r="O30" i="16"/>
  <c r="K30" i="9"/>
  <c r="J30" i="10"/>
  <c r="P30" i="16"/>
  <c r="L30" i="9"/>
  <c r="K30" i="10"/>
  <c r="Q30" i="16"/>
  <c r="M30" i="9"/>
  <c r="N30" i="9"/>
  <c r="P30" i="10"/>
  <c r="Q30" i="10"/>
  <c r="F173" i="10"/>
  <c r="F175" i="10" s="1"/>
  <c r="G173" i="10"/>
  <c r="G175" i="10" s="1"/>
  <c r="I173" i="10"/>
  <c r="I175" i="10" s="1"/>
  <c r="J173" i="10"/>
  <c r="J175" i="10" s="1"/>
  <c r="H173" i="10"/>
  <c r="H175" i="10" s="1"/>
  <c r="K173" i="10"/>
  <c r="K175" i="10" s="1"/>
  <c r="P30" i="9"/>
  <c r="T30" i="9"/>
  <c r="R30" i="9"/>
  <c r="S30" i="9"/>
  <c r="G30" i="9"/>
  <c r="U30" i="9"/>
  <c r="I30" i="9"/>
  <c r="R173" i="9"/>
  <c r="Q30" i="9"/>
  <c r="F30" i="9"/>
  <c r="H30" i="9"/>
  <c r="S173" i="9"/>
  <c r="Q173" i="9"/>
  <c r="Q175" i="9" s="1"/>
  <c r="F173" i="9"/>
  <c r="G173" i="9"/>
  <c r="H173" i="9"/>
  <c r="J173" i="9"/>
  <c r="J175" i="9" s="1"/>
  <c r="J30" i="9"/>
  <c r="K173" i="9"/>
  <c r="L173" i="9"/>
  <c r="N173" i="9"/>
  <c r="M173" i="9"/>
  <c r="M175" i="9" s="1"/>
  <c r="I173" i="9"/>
  <c r="O173" i="21"/>
  <c r="O175" i="21" s="1"/>
  <c r="R41" i="21"/>
  <c r="Q41" i="21"/>
  <c r="P41" i="21"/>
  <c r="O41" i="21"/>
  <c r="R36" i="21"/>
  <c r="Q36" i="21"/>
  <c r="P36" i="21"/>
  <c r="O36" i="21"/>
  <c r="R29" i="21"/>
  <c r="Q29" i="21"/>
  <c r="P29" i="21"/>
  <c r="O29" i="21"/>
  <c r="R28" i="21"/>
  <c r="Q28" i="21"/>
  <c r="P28" i="21"/>
  <c r="O28" i="21"/>
  <c r="R27" i="21"/>
  <c r="Q27" i="21"/>
  <c r="P27" i="21"/>
  <c r="O27" i="21"/>
  <c r="R24" i="21"/>
  <c r="Q24" i="21"/>
  <c r="P24" i="21"/>
  <c r="O24" i="21"/>
  <c r="R21" i="21"/>
  <c r="Q21" i="21"/>
  <c r="P21" i="21"/>
  <c r="O21" i="21"/>
  <c r="R16" i="21"/>
  <c r="Q16" i="21"/>
  <c r="P16" i="21"/>
  <c r="O16" i="21"/>
  <c r="S174" i="21"/>
  <c r="S169" i="21"/>
  <c r="S168" i="21"/>
  <c r="S165" i="21"/>
  <c r="S164" i="21"/>
  <c r="S163" i="21"/>
  <c r="S162" i="21"/>
  <c r="S161" i="21"/>
  <c r="S160" i="21"/>
  <c r="S159" i="21"/>
  <c r="S154" i="21"/>
  <c r="S153" i="21"/>
  <c r="S150" i="21"/>
  <c r="S149" i="21"/>
  <c r="S146" i="21"/>
  <c r="S145" i="21"/>
  <c r="S144" i="21"/>
  <c r="S143" i="21"/>
  <c r="S142" i="21"/>
  <c r="S141" i="21"/>
  <c r="S140" i="21"/>
  <c r="S137" i="21"/>
  <c r="S136" i="21"/>
  <c r="S135" i="21"/>
  <c r="S134" i="21"/>
  <c r="S133" i="21"/>
  <c r="S132" i="21"/>
  <c r="S131" i="21"/>
  <c r="S128" i="21"/>
  <c r="S127" i="21"/>
  <c r="S126" i="21"/>
  <c r="S125" i="21"/>
  <c r="S124" i="21"/>
  <c r="S121" i="21"/>
  <c r="S109" i="21"/>
  <c r="S108" i="21"/>
  <c r="S105" i="21"/>
  <c r="S104" i="21"/>
  <c r="S103" i="21"/>
  <c r="S102" i="21"/>
  <c r="S101" i="21"/>
  <c r="S100" i="21"/>
  <c r="S99" i="21"/>
  <c r="S95" i="21"/>
  <c r="S94" i="21"/>
  <c r="S93" i="21"/>
  <c r="S90" i="21"/>
  <c r="S87" i="21"/>
  <c r="S86" i="21"/>
  <c r="S85" i="21"/>
  <c r="S84" i="21"/>
  <c r="S83" i="21"/>
  <c r="S82" i="21"/>
  <c r="S81" i="21"/>
  <c r="S78" i="21"/>
  <c r="S77" i="21"/>
  <c r="S76" i="21"/>
  <c r="S75" i="21"/>
  <c r="S74" i="21"/>
  <c r="S73" i="21"/>
  <c r="S72" i="21"/>
  <c r="S69" i="21"/>
  <c r="S68" i="21"/>
  <c r="S67" i="21"/>
  <c r="S66" i="21"/>
  <c r="S65" i="21"/>
  <c r="S64" i="21"/>
  <c r="S63" i="21"/>
  <c r="S60" i="21"/>
  <c r="S59" i="21"/>
  <c r="S58" i="21"/>
  <c r="S57" i="21"/>
  <c r="S56" i="21"/>
  <c r="S55" i="21"/>
  <c r="S54" i="21"/>
  <c r="N173" i="21"/>
  <c r="N175" i="21" s="1"/>
  <c r="S51" i="21"/>
  <c r="S50" i="21"/>
  <c r="S49" i="21"/>
  <c r="S48" i="21"/>
  <c r="S47" i="21"/>
  <c r="S46" i="21"/>
  <c r="S45" i="21"/>
  <c r="N41" i="21"/>
  <c r="M41" i="21"/>
  <c r="L41" i="21"/>
  <c r="K41" i="21"/>
  <c r="J41" i="21"/>
  <c r="I41" i="21"/>
  <c r="H41" i="21"/>
  <c r="G41" i="21"/>
  <c r="F41" i="21"/>
  <c r="E41" i="21"/>
  <c r="S40" i="21"/>
  <c r="S39" i="21"/>
  <c r="N36" i="21"/>
  <c r="M36" i="21"/>
  <c r="L36" i="21"/>
  <c r="K36" i="21"/>
  <c r="J36" i="21"/>
  <c r="I36" i="21"/>
  <c r="H36" i="21"/>
  <c r="G36" i="21"/>
  <c r="F36" i="21"/>
  <c r="E36" i="21"/>
  <c r="S35" i="21"/>
  <c r="S34" i="21"/>
  <c r="S33" i="21"/>
  <c r="N29" i="21"/>
  <c r="M29" i="21"/>
  <c r="L29" i="21"/>
  <c r="K29" i="21"/>
  <c r="J29" i="21"/>
  <c r="I29" i="21"/>
  <c r="H29" i="21"/>
  <c r="G29" i="21"/>
  <c r="F29" i="21"/>
  <c r="E29" i="21"/>
  <c r="N28" i="21"/>
  <c r="M28" i="21"/>
  <c r="L28" i="21"/>
  <c r="K28" i="21"/>
  <c r="J28" i="21"/>
  <c r="I28" i="21"/>
  <c r="H28" i="21"/>
  <c r="G28" i="21"/>
  <c r="F28" i="21"/>
  <c r="E28" i="21"/>
  <c r="N27" i="21"/>
  <c r="M27" i="21"/>
  <c r="L27" i="21"/>
  <c r="K27" i="21"/>
  <c r="J27" i="21"/>
  <c r="I27" i="21"/>
  <c r="H27" i="21"/>
  <c r="G27" i="21"/>
  <c r="F27" i="21"/>
  <c r="E27" i="21"/>
  <c r="S26" i="21"/>
  <c r="S25" i="21"/>
  <c r="N24" i="21"/>
  <c r="M24" i="21"/>
  <c r="L24" i="21"/>
  <c r="K24" i="21"/>
  <c r="J24" i="21"/>
  <c r="I24" i="21"/>
  <c r="H24" i="21"/>
  <c r="G24" i="21"/>
  <c r="F24" i="21"/>
  <c r="E24" i="21"/>
  <c r="S23" i="21"/>
  <c r="S22" i="21"/>
  <c r="N21" i="21"/>
  <c r="M21" i="21"/>
  <c r="L21" i="21"/>
  <c r="K21" i="21"/>
  <c r="J21" i="21"/>
  <c r="I21" i="21"/>
  <c r="H21" i="21"/>
  <c r="G21" i="21"/>
  <c r="F21" i="21"/>
  <c r="E21" i="21"/>
  <c r="S20" i="21"/>
  <c r="S19" i="21"/>
  <c r="N16" i="21"/>
  <c r="M16" i="21"/>
  <c r="L16" i="21"/>
  <c r="K16" i="21"/>
  <c r="J16" i="21"/>
  <c r="I16" i="21"/>
  <c r="H16" i="21"/>
  <c r="G16" i="21"/>
  <c r="F16" i="21"/>
  <c r="E16" i="21"/>
  <c r="S15" i="21"/>
  <c r="S14" i="21"/>
  <c r="P173" i="20"/>
  <c r="P175" i="20" s="1"/>
  <c r="O173" i="20"/>
  <c r="O175" i="20" s="1"/>
  <c r="P41" i="20"/>
  <c r="O41" i="20"/>
  <c r="P36" i="20"/>
  <c r="O36" i="20"/>
  <c r="P29" i="20"/>
  <c r="O29" i="20"/>
  <c r="P28" i="20"/>
  <c r="P30" i="20" s="1"/>
  <c r="O28" i="20"/>
  <c r="O30" i="20" s="1"/>
  <c r="P27" i="20"/>
  <c r="O27" i="20"/>
  <c r="P24" i="20"/>
  <c r="O24" i="20"/>
  <c r="P21" i="20"/>
  <c r="O21" i="20"/>
  <c r="P16" i="20"/>
  <c r="O16" i="20"/>
  <c r="T174" i="20"/>
  <c r="T169" i="20"/>
  <c r="T168" i="20"/>
  <c r="T170" i="20" s="1"/>
  <c r="T165" i="20"/>
  <c r="T164" i="20"/>
  <c r="T163" i="20"/>
  <c r="T162" i="20"/>
  <c r="T161" i="20"/>
  <c r="T160" i="20"/>
  <c r="T159" i="20"/>
  <c r="T155" i="20"/>
  <c r="T154" i="20"/>
  <c r="T153" i="20"/>
  <c r="T157" i="20" s="1"/>
  <c r="T150" i="20"/>
  <c r="T149" i="20"/>
  <c r="T146" i="20"/>
  <c r="T145" i="20"/>
  <c r="T144" i="20"/>
  <c r="T143" i="20"/>
  <c r="T142" i="20"/>
  <c r="T141" i="20"/>
  <c r="T140" i="20"/>
  <c r="T137" i="20"/>
  <c r="T136" i="20"/>
  <c r="T135" i="20"/>
  <c r="T134" i="20"/>
  <c r="T133" i="20"/>
  <c r="T132" i="20"/>
  <c r="T131" i="20"/>
  <c r="T128" i="20"/>
  <c r="T127" i="20"/>
  <c r="T126" i="20"/>
  <c r="T125" i="20"/>
  <c r="T124" i="20"/>
  <c r="T121" i="20"/>
  <c r="T122" i="20" s="1"/>
  <c r="T109" i="20"/>
  <c r="T108" i="20"/>
  <c r="T110" i="20" s="1"/>
  <c r="T105" i="20"/>
  <c r="T104" i="20"/>
  <c r="T103" i="20"/>
  <c r="T102" i="20"/>
  <c r="T101" i="20"/>
  <c r="T100" i="20"/>
  <c r="T99" i="20"/>
  <c r="T95" i="20"/>
  <c r="T94" i="20"/>
  <c r="T93" i="20"/>
  <c r="T90" i="20"/>
  <c r="T91" i="20" s="1"/>
  <c r="T87" i="20"/>
  <c r="T86" i="20"/>
  <c r="T85" i="20"/>
  <c r="T84" i="20"/>
  <c r="T83" i="20"/>
  <c r="T82" i="20"/>
  <c r="T81" i="20"/>
  <c r="T78" i="20"/>
  <c r="T77" i="20"/>
  <c r="T76" i="20"/>
  <c r="T75" i="20"/>
  <c r="T74" i="20"/>
  <c r="T73" i="20"/>
  <c r="T72" i="20"/>
  <c r="T79" i="20" s="1"/>
  <c r="T69" i="20"/>
  <c r="T68" i="20"/>
  <c r="T67" i="20"/>
  <c r="T66" i="20"/>
  <c r="T65" i="20"/>
  <c r="T64" i="20"/>
  <c r="T63" i="20"/>
  <c r="T60" i="20"/>
  <c r="T59" i="20"/>
  <c r="T58" i="20"/>
  <c r="T57" i="20"/>
  <c r="T56" i="20"/>
  <c r="T55" i="20"/>
  <c r="T54" i="20"/>
  <c r="L173" i="20"/>
  <c r="L175" i="20" s="1"/>
  <c r="T51" i="20"/>
  <c r="T50" i="20"/>
  <c r="T49" i="20"/>
  <c r="T48" i="20"/>
  <c r="T47" i="20"/>
  <c r="T46" i="20"/>
  <c r="T45" i="20"/>
  <c r="S41" i="20"/>
  <c r="R41" i="20"/>
  <c r="Q41" i="20"/>
  <c r="N41" i="20"/>
  <c r="M41" i="20"/>
  <c r="L41" i="20"/>
  <c r="K41" i="20"/>
  <c r="J41" i="20"/>
  <c r="I41" i="20"/>
  <c r="H41" i="20"/>
  <c r="G41" i="20"/>
  <c r="F41" i="20"/>
  <c r="E41" i="20"/>
  <c r="T40" i="20"/>
  <c r="T39" i="20"/>
  <c r="S36" i="20"/>
  <c r="R36" i="20"/>
  <c r="Q36" i="20"/>
  <c r="N36" i="20"/>
  <c r="M36" i="20"/>
  <c r="L36" i="20"/>
  <c r="K36" i="20"/>
  <c r="J36" i="20"/>
  <c r="I36" i="20"/>
  <c r="H36" i="20"/>
  <c r="G36" i="20"/>
  <c r="F36" i="20"/>
  <c r="E36" i="20"/>
  <c r="T35" i="20"/>
  <c r="T34" i="20"/>
  <c r="T33" i="20"/>
  <c r="S29" i="20"/>
  <c r="R29" i="20"/>
  <c r="Q29" i="20"/>
  <c r="N29" i="20"/>
  <c r="M29" i="20"/>
  <c r="L29" i="20"/>
  <c r="K29" i="20"/>
  <c r="J29" i="20"/>
  <c r="I29" i="20"/>
  <c r="H29" i="20"/>
  <c r="G29" i="20"/>
  <c r="F29" i="20"/>
  <c r="E29" i="20"/>
  <c r="S28" i="20"/>
  <c r="R28" i="20"/>
  <c r="Q28" i="20"/>
  <c r="N28" i="20"/>
  <c r="M28" i="20"/>
  <c r="L28" i="20"/>
  <c r="K28" i="20"/>
  <c r="J28" i="20"/>
  <c r="I28" i="20"/>
  <c r="H28" i="20"/>
  <c r="G28" i="20"/>
  <c r="F28" i="20"/>
  <c r="E28" i="20"/>
  <c r="S27" i="20"/>
  <c r="R27" i="20"/>
  <c r="Q27" i="20"/>
  <c r="N27" i="20"/>
  <c r="M27" i="20"/>
  <c r="L27" i="20"/>
  <c r="K27" i="20"/>
  <c r="J27" i="20"/>
  <c r="I27" i="20"/>
  <c r="H27" i="20"/>
  <c r="G27" i="20"/>
  <c r="F27" i="20"/>
  <c r="E27" i="20"/>
  <c r="T26" i="20"/>
  <c r="T25" i="20"/>
  <c r="S24" i="20"/>
  <c r="R24" i="20"/>
  <c r="Q24" i="20"/>
  <c r="N24" i="20"/>
  <c r="M24" i="20"/>
  <c r="L24" i="20"/>
  <c r="K24" i="20"/>
  <c r="J24" i="20"/>
  <c r="I24" i="20"/>
  <c r="H24" i="20"/>
  <c r="G24" i="20"/>
  <c r="F24" i="20"/>
  <c r="E24" i="20"/>
  <c r="T23" i="20"/>
  <c r="T22" i="20"/>
  <c r="S21" i="20"/>
  <c r="R21" i="20"/>
  <c r="Q21" i="20"/>
  <c r="N21" i="20"/>
  <c r="M21" i="20"/>
  <c r="L21" i="20"/>
  <c r="K21" i="20"/>
  <c r="J21" i="20"/>
  <c r="I21" i="20"/>
  <c r="H21" i="20"/>
  <c r="G21" i="20"/>
  <c r="F21" i="20"/>
  <c r="E21" i="20"/>
  <c r="T20" i="20"/>
  <c r="T19" i="20"/>
  <c r="S16" i="20"/>
  <c r="R16" i="20"/>
  <c r="Q16" i="20"/>
  <c r="N16" i="20"/>
  <c r="M16" i="20"/>
  <c r="L16" i="20"/>
  <c r="K16" i="20"/>
  <c r="J16" i="20"/>
  <c r="I16" i="20"/>
  <c r="H16" i="20"/>
  <c r="G16" i="20"/>
  <c r="F16" i="20"/>
  <c r="E16" i="20"/>
  <c r="T15" i="20"/>
  <c r="T14" i="20"/>
  <c r="AC174" i="19"/>
  <c r="AC169" i="19"/>
  <c r="AC168" i="19"/>
  <c r="AC165" i="19"/>
  <c r="AC164" i="19"/>
  <c r="AC163" i="19"/>
  <c r="AC162" i="19"/>
  <c r="AC161" i="19"/>
  <c r="AC160" i="19"/>
  <c r="AC159" i="19"/>
  <c r="AC155" i="19"/>
  <c r="AC154" i="19"/>
  <c r="AC153" i="19"/>
  <c r="AC150" i="19"/>
  <c r="AC149" i="19"/>
  <c r="AC146" i="19"/>
  <c r="AC145" i="19"/>
  <c r="AC144" i="19"/>
  <c r="AC143" i="19"/>
  <c r="AC142" i="19"/>
  <c r="AC141" i="19"/>
  <c r="AC140" i="19"/>
  <c r="AC137" i="19"/>
  <c r="AC136" i="19"/>
  <c r="AC135" i="19"/>
  <c r="AC134" i="19"/>
  <c r="AC133" i="19"/>
  <c r="AC132" i="19"/>
  <c r="AC131" i="19"/>
  <c r="AC128" i="19"/>
  <c r="AC127" i="19"/>
  <c r="AC126" i="19"/>
  <c r="AC125" i="19"/>
  <c r="AC124" i="19"/>
  <c r="AC121" i="19"/>
  <c r="AC122" i="19" s="1"/>
  <c r="AC109" i="19"/>
  <c r="AC108" i="19"/>
  <c r="AC105" i="19"/>
  <c r="AC104" i="19"/>
  <c r="AC103" i="19"/>
  <c r="AC102" i="19"/>
  <c r="AC101" i="19"/>
  <c r="AC100" i="19"/>
  <c r="AC99" i="19"/>
  <c r="AC95" i="19"/>
  <c r="AC94" i="19"/>
  <c r="AC93" i="19"/>
  <c r="AC97" i="19" s="1"/>
  <c r="AC90" i="19"/>
  <c r="AC87" i="19"/>
  <c r="AC86" i="19"/>
  <c r="AC85" i="19"/>
  <c r="AC84" i="19"/>
  <c r="AC83" i="19"/>
  <c r="AC82" i="19"/>
  <c r="AC81" i="19"/>
  <c r="AC78" i="19"/>
  <c r="AC77" i="19"/>
  <c r="AC76" i="19"/>
  <c r="AC75" i="19"/>
  <c r="AC74" i="19"/>
  <c r="AC73" i="19"/>
  <c r="AC72" i="19"/>
  <c r="AC69" i="19"/>
  <c r="AC68" i="19"/>
  <c r="AC67" i="19"/>
  <c r="AC66" i="19"/>
  <c r="AC65" i="19"/>
  <c r="AC64" i="19"/>
  <c r="AC63" i="19"/>
  <c r="AC60" i="19"/>
  <c r="AC59" i="19"/>
  <c r="AC58" i="19"/>
  <c r="AC57" i="19"/>
  <c r="AC56" i="19"/>
  <c r="AC55" i="19"/>
  <c r="AC54" i="19"/>
  <c r="AC51" i="19"/>
  <c r="AC50" i="19"/>
  <c r="AC49" i="19"/>
  <c r="AC48" i="19"/>
  <c r="AC47" i="19"/>
  <c r="AC46" i="19"/>
  <c r="AC45" i="19"/>
  <c r="AB41" i="19"/>
  <c r="AA41" i="19"/>
  <c r="Y41" i="19"/>
  <c r="X41" i="19"/>
  <c r="W41" i="19"/>
  <c r="V41" i="19"/>
  <c r="U41" i="19"/>
  <c r="T41" i="19"/>
  <c r="E41" i="19"/>
  <c r="AC40" i="19"/>
  <c r="AC39" i="19"/>
  <c r="AB36" i="19"/>
  <c r="AA36" i="19"/>
  <c r="Y36" i="19"/>
  <c r="X36" i="19"/>
  <c r="W36" i="19"/>
  <c r="V36" i="19"/>
  <c r="U36" i="19"/>
  <c r="T36" i="19"/>
  <c r="E36" i="19"/>
  <c r="AC35" i="19"/>
  <c r="AC34" i="19"/>
  <c r="AC33" i="19"/>
  <c r="AB29" i="19"/>
  <c r="AA29" i="19"/>
  <c r="Y29" i="19"/>
  <c r="X29" i="19"/>
  <c r="W29" i="19"/>
  <c r="V29" i="19"/>
  <c r="U29" i="19"/>
  <c r="T29" i="19"/>
  <c r="E29" i="19"/>
  <c r="AB28" i="19"/>
  <c r="AA28" i="19"/>
  <c r="Y28" i="19"/>
  <c r="Y30" i="19" s="1"/>
  <c r="X28" i="19"/>
  <c r="W28" i="19"/>
  <c r="W30" i="19" s="1"/>
  <c r="V28" i="19"/>
  <c r="U28" i="19"/>
  <c r="T28" i="19"/>
  <c r="E28" i="19"/>
  <c r="AB27" i="19"/>
  <c r="AA27" i="19"/>
  <c r="Y27" i="19"/>
  <c r="X27" i="19"/>
  <c r="W27" i="19"/>
  <c r="V27" i="19"/>
  <c r="U27" i="19"/>
  <c r="T27" i="19"/>
  <c r="E27" i="19"/>
  <c r="AC26" i="19"/>
  <c r="AC25" i="19"/>
  <c r="AB24" i="19"/>
  <c r="AA24" i="19"/>
  <c r="Y24" i="19"/>
  <c r="X24" i="19"/>
  <c r="W24" i="19"/>
  <c r="V24" i="19"/>
  <c r="U24" i="19"/>
  <c r="T24" i="19"/>
  <c r="E24" i="19"/>
  <c r="AC23" i="19"/>
  <c r="AC22" i="19"/>
  <c r="AB21" i="19"/>
  <c r="AA21" i="19"/>
  <c r="Y21" i="19"/>
  <c r="X21" i="19"/>
  <c r="W21" i="19"/>
  <c r="V21" i="19"/>
  <c r="U21" i="19"/>
  <c r="T21" i="19"/>
  <c r="E21" i="19"/>
  <c r="AC20" i="19"/>
  <c r="AC19" i="19"/>
  <c r="AB16" i="19"/>
  <c r="AA16" i="19"/>
  <c r="Y16" i="19"/>
  <c r="X16" i="19"/>
  <c r="W16" i="19"/>
  <c r="V16" i="19"/>
  <c r="U16" i="19"/>
  <c r="T16" i="19"/>
  <c r="E16" i="19"/>
  <c r="AC15" i="19"/>
  <c r="AC14" i="19"/>
  <c r="Q174" i="18"/>
  <c r="Q169" i="18"/>
  <c r="Q168" i="18"/>
  <c r="Q165" i="18"/>
  <c r="Q164" i="18"/>
  <c r="Q163" i="18"/>
  <c r="Q162" i="18"/>
  <c r="Q161" i="18"/>
  <c r="Q160" i="18"/>
  <c r="Q159" i="18"/>
  <c r="Q156" i="18"/>
  <c r="Q155" i="18"/>
  <c r="Q154" i="18"/>
  <c r="Q153" i="18"/>
  <c r="Q150" i="18"/>
  <c r="Q149" i="18"/>
  <c r="Q146" i="18"/>
  <c r="Q145" i="18"/>
  <c r="Q144" i="18"/>
  <c r="Q143" i="18"/>
  <c r="Q142" i="18"/>
  <c r="Q141" i="18"/>
  <c r="Q140" i="18"/>
  <c r="Q137" i="18"/>
  <c r="Q136" i="18"/>
  <c r="Q135" i="18"/>
  <c r="Q134" i="18"/>
  <c r="Q133" i="18"/>
  <c r="Q132" i="18"/>
  <c r="Q131" i="18"/>
  <c r="Q128" i="18"/>
  <c r="Q127" i="18"/>
  <c r="Q126" i="18"/>
  <c r="Q125" i="18"/>
  <c r="Q124" i="18"/>
  <c r="Q121" i="18"/>
  <c r="Q109" i="18"/>
  <c r="Q108" i="18"/>
  <c r="Q110" i="18" s="1"/>
  <c r="Q105" i="18"/>
  <c r="Q104" i="18"/>
  <c r="Q103" i="18"/>
  <c r="Q102" i="18"/>
  <c r="Q101" i="18"/>
  <c r="Q100" i="18"/>
  <c r="Q99" i="18"/>
  <c r="Q96" i="18"/>
  <c r="Q95" i="18"/>
  <c r="Q94" i="18"/>
  <c r="Q93" i="18"/>
  <c r="Q90" i="18"/>
  <c r="Q91" i="18" s="1"/>
  <c r="Q87" i="18"/>
  <c r="Q86" i="18"/>
  <c r="Q85" i="18"/>
  <c r="Q84" i="18"/>
  <c r="Q83" i="18"/>
  <c r="Q82" i="18"/>
  <c r="Q81" i="18"/>
  <c r="Q78" i="18"/>
  <c r="Q77" i="18"/>
  <c r="Q76" i="18"/>
  <c r="Q75" i="18"/>
  <c r="Q74" i="18"/>
  <c r="Q73" i="18"/>
  <c r="Q72" i="18"/>
  <c r="Q69" i="18"/>
  <c r="Q68" i="18"/>
  <c r="Q67" i="18"/>
  <c r="Q66" i="18"/>
  <c r="Q65" i="18"/>
  <c r="Q64" i="18"/>
  <c r="Q63" i="18"/>
  <c r="Q60" i="18"/>
  <c r="Q59" i="18"/>
  <c r="Q58" i="18"/>
  <c r="Q57" i="18"/>
  <c r="Q56" i="18"/>
  <c r="Q55" i="18"/>
  <c r="Q54" i="18"/>
  <c r="Q51" i="18"/>
  <c r="Q50" i="18"/>
  <c r="Q49" i="18"/>
  <c r="Q48" i="18"/>
  <c r="Q47" i="18"/>
  <c r="Q46" i="18"/>
  <c r="Q45" i="18"/>
  <c r="Q52" i="18" s="1"/>
  <c r="P41" i="18"/>
  <c r="O41" i="18"/>
  <c r="M41" i="18"/>
  <c r="L41" i="18"/>
  <c r="K41" i="18"/>
  <c r="J41" i="18"/>
  <c r="I41" i="18"/>
  <c r="H41" i="18"/>
  <c r="G41" i="18"/>
  <c r="F41" i="18"/>
  <c r="E41" i="18"/>
  <c r="P36" i="18"/>
  <c r="O36" i="18"/>
  <c r="M36" i="18"/>
  <c r="L36" i="18"/>
  <c r="K36" i="18"/>
  <c r="J36" i="18"/>
  <c r="I36" i="18"/>
  <c r="H36" i="18"/>
  <c r="G36" i="18"/>
  <c r="F36" i="18"/>
  <c r="E36" i="18"/>
  <c r="Q35" i="18"/>
  <c r="Q34" i="18"/>
  <c r="Q33" i="18"/>
  <c r="P29" i="18"/>
  <c r="O29" i="18"/>
  <c r="M29" i="18"/>
  <c r="L29" i="18"/>
  <c r="K29" i="18"/>
  <c r="J29" i="18"/>
  <c r="I29" i="18"/>
  <c r="H29" i="18"/>
  <c r="G29" i="18"/>
  <c r="F29" i="18"/>
  <c r="E29" i="18"/>
  <c r="P28" i="18"/>
  <c r="O28" i="18"/>
  <c r="M28" i="18"/>
  <c r="L28" i="18"/>
  <c r="K28" i="18"/>
  <c r="J28" i="18"/>
  <c r="J30" i="18" s="1"/>
  <c r="I28" i="18"/>
  <c r="H28" i="18"/>
  <c r="G28" i="18"/>
  <c r="F28" i="18"/>
  <c r="E28" i="18"/>
  <c r="P27" i="18"/>
  <c r="O27" i="18"/>
  <c r="M27" i="18"/>
  <c r="L27" i="18"/>
  <c r="K27" i="18"/>
  <c r="J27" i="18"/>
  <c r="I27" i="18"/>
  <c r="H27" i="18"/>
  <c r="G27" i="18"/>
  <c r="F27" i="18"/>
  <c r="E27" i="18"/>
  <c r="Q26" i="18"/>
  <c r="Q25" i="18"/>
  <c r="P24" i="18"/>
  <c r="O24" i="18"/>
  <c r="M24" i="18"/>
  <c r="L24" i="18"/>
  <c r="K24" i="18"/>
  <c r="J24" i="18"/>
  <c r="I24" i="18"/>
  <c r="H24" i="18"/>
  <c r="G24" i="18"/>
  <c r="F24" i="18"/>
  <c r="E24" i="18"/>
  <c r="Q23" i="18"/>
  <c r="Q22" i="18"/>
  <c r="P21" i="18"/>
  <c r="O21" i="18"/>
  <c r="M21" i="18"/>
  <c r="L21" i="18"/>
  <c r="K21" i="18"/>
  <c r="J21" i="18"/>
  <c r="I21" i="18"/>
  <c r="H21" i="18"/>
  <c r="G21" i="18"/>
  <c r="F21" i="18"/>
  <c r="E21" i="18"/>
  <c r="Q20" i="18"/>
  <c r="Q19" i="18"/>
  <c r="P16" i="18"/>
  <c r="O16" i="18"/>
  <c r="M16" i="18"/>
  <c r="L16" i="18"/>
  <c r="K16" i="18"/>
  <c r="J16" i="18"/>
  <c r="I16" i="18"/>
  <c r="H16" i="18"/>
  <c r="G16" i="18"/>
  <c r="F16" i="18"/>
  <c r="E16" i="18"/>
  <c r="Q15" i="18"/>
  <c r="Q14" i="18"/>
  <c r="S41" i="11"/>
  <c r="R41" i="11"/>
  <c r="Q41" i="11"/>
  <c r="P41" i="11"/>
  <c r="S36" i="11"/>
  <c r="R36" i="11"/>
  <c r="Q36" i="11"/>
  <c r="P36" i="11"/>
  <c r="S29" i="11"/>
  <c r="R29" i="11"/>
  <c r="Q29" i="11"/>
  <c r="P29" i="11"/>
  <c r="S28" i="11"/>
  <c r="R28" i="11"/>
  <c r="Q28" i="11"/>
  <c r="P28" i="11"/>
  <c r="S27" i="11"/>
  <c r="R27" i="11"/>
  <c r="Q27" i="11"/>
  <c r="P27" i="11"/>
  <c r="S24" i="11"/>
  <c r="R24" i="11"/>
  <c r="Q24" i="11"/>
  <c r="P24" i="11"/>
  <c r="S21" i="11"/>
  <c r="R21" i="11"/>
  <c r="Q21" i="11"/>
  <c r="P21" i="11"/>
  <c r="S16" i="11"/>
  <c r="R16" i="11"/>
  <c r="Q16" i="11"/>
  <c r="P16" i="11"/>
  <c r="U174" i="17"/>
  <c r="U169" i="17"/>
  <c r="U168" i="17"/>
  <c r="U165" i="17"/>
  <c r="U164" i="17"/>
  <c r="U163" i="17"/>
  <c r="U162" i="17"/>
  <c r="U161" i="17"/>
  <c r="U160" i="17"/>
  <c r="U159" i="17"/>
  <c r="U156" i="17"/>
  <c r="U155" i="17"/>
  <c r="U154" i="17"/>
  <c r="U153" i="17"/>
  <c r="U157" i="17" s="1"/>
  <c r="U150" i="17"/>
  <c r="U149" i="17"/>
  <c r="U151" i="17" s="1"/>
  <c r="U146" i="17"/>
  <c r="U145" i="17"/>
  <c r="U144" i="17"/>
  <c r="U143" i="17"/>
  <c r="U142" i="17"/>
  <c r="U141" i="17"/>
  <c r="U140" i="17"/>
  <c r="U137" i="17"/>
  <c r="U136" i="17"/>
  <c r="U135" i="17"/>
  <c r="U134" i="17"/>
  <c r="U133" i="17"/>
  <c r="U132" i="17"/>
  <c r="U131" i="17"/>
  <c r="U128" i="17"/>
  <c r="U127" i="17"/>
  <c r="U126" i="17"/>
  <c r="U125" i="17"/>
  <c r="U124" i="17"/>
  <c r="U121" i="17"/>
  <c r="U122" i="17" s="1"/>
  <c r="U109" i="17"/>
  <c r="U108" i="17"/>
  <c r="U110" i="17" s="1"/>
  <c r="U105" i="17"/>
  <c r="U104" i="17"/>
  <c r="U103" i="17"/>
  <c r="U102" i="17"/>
  <c r="U101" i="17"/>
  <c r="U100" i="17"/>
  <c r="U99" i="17"/>
  <c r="U96" i="17"/>
  <c r="U95" i="17"/>
  <c r="U94" i="17"/>
  <c r="U93" i="17"/>
  <c r="U90" i="17"/>
  <c r="U91" i="17" s="1"/>
  <c r="U87" i="17"/>
  <c r="U86" i="17"/>
  <c r="U85" i="17"/>
  <c r="U84" i="17"/>
  <c r="U83" i="17"/>
  <c r="U82" i="17"/>
  <c r="U81" i="17"/>
  <c r="U78" i="17"/>
  <c r="U77" i="17"/>
  <c r="U76" i="17"/>
  <c r="U75" i="17"/>
  <c r="U74" i="17"/>
  <c r="U73" i="17"/>
  <c r="U72" i="17"/>
  <c r="U69" i="17"/>
  <c r="U68" i="17"/>
  <c r="U67" i="17"/>
  <c r="U66" i="17"/>
  <c r="U65" i="17"/>
  <c r="U64" i="17"/>
  <c r="U63" i="17"/>
  <c r="U60" i="17"/>
  <c r="U59" i="17"/>
  <c r="U58" i="17"/>
  <c r="U57" i="17"/>
  <c r="U56" i="17"/>
  <c r="U55" i="17"/>
  <c r="U54" i="17"/>
  <c r="U51" i="17"/>
  <c r="U50" i="17"/>
  <c r="U49" i="17"/>
  <c r="U48" i="17"/>
  <c r="U47" i="17"/>
  <c r="U46" i="17"/>
  <c r="U45" i="17"/>
  <c r="T41" i="17"/>
  <c r="S41" i="17"/>
  <c r="R41" i="17"/>
  <c r="Q41" i="17"/>
  <c r="M41" i="17"/>
  <c r="L41" i="17"/>
  <c r="K41" i="17"/>
  <c r="J41" i="17"/>
  <c r="I41" i="17"/>
  <c r="H41" i="17"/>
  <c r="G41" i="17"/>
  <c r="F41" i="17"/>
  <c r="E41" i="17"/>
  <c r="U40" i="17"/>
  <c r="U39" i="17"/>
  <c r="T36" i="17"/>
  <c r="S36" i="17"/>
  <c r="R36" i="17"/>
  <c r="Q36" i="17"/>
  <c r="M36" i="17"/>
  <c r="L36" i="17"/>
  <c r="K36" i="17"/>
  <c r="J36" i="17"/>
  <c r="I36" i="17"/>
  <c r="H36" i="17"/>
  <c r="G36" i="17"/>
  <c r="F36" i="17"/>
  <c r="E36" i="17"/>
  <c r="U35" i="17"/>
  <c r="U34" i="17"/>
  <c r="U33" i="17"/>
  <c r="T29" i="17"/>
  <c r="S29" i="17"/>
  <c r="R29" i="17"/>
  <c r="Q29" i="17"/>
  <c r="M29" i="17"/>
  <c r="L29" i="17"/>
  <c r="K29" i="17"/>
  <c r="J29" i="17"/>
  <c r="I29" i="17"/>
  <c r="H29" i="17"/>
  <c r="G29" i="17"/>
  <c r="F29" i="17"/>
  <c r="E29" i="17"/>
  <c r="T28" i="17"/>
  <c r="S28" i="17"/>
  <c r="R28" i="17"/>
  <c r="Q28" i="17"/>
  <c r="M28" i="17"/>
  <c r="L28" i="17"/>
  <c r="K28" i="17"/>
  <c r="J28" i="17"/>
  <c r="I28" i="17"/>
  <c r="H28" i="17"/>
  <c r="G28" i="17"/>
  <c r="F28" i="17"/>
  <c r="E28" i="17"/>
  <c r="T27" i="17"/>
  <c r="S27" i="17"/>
  <c r="R27" i="17"/>
  <c r="Q27" i="17"/>
  <c r="M27" i="17"/>
  <c r="L27" i="17"/>
  <c r="K27" i="17"/>
  <c r="J27" i="17"/>
  <c r="I27" i="17"/>
  <c r="H27" i="17"/>
  <c r="G27" i="17"/>
  <c r="F27" i="17"/>
  <c r="E27" i="17"/>
  <c r="U26" i="17"/>
  <c r="U25" i="17"/>
  <c r="T24" i="17"/>
  <c r="S24" i="17"/>
  <c r="R24" i="17"/>
  <c r="Q24" i="17"/>
  <c r="M24" i="17"/>
  <c r="L24" i="17"/>
  <c r="K24" i="17"/>
  <c r="J24" i="17"/>
  <c r="I24" i="17"/>
  <c r="H24" i="17"/>
  <c r="G24" i="17"/>
  <c r="F24" i="17"/>
  <c r="E24" i="17"/>
  <c r="U23" i="17"/>
  <c r="U22" i="17"/>
  <c r="T21" i="17"/>
  <c r="S21" i="17"/>
  <c r="R21" i="17"/>
  <c r="Q21" i="17"/>
  <c r="M21" i="17"/>
  <c r="L21" i="17"/>
  <c r="K21" i="17"/>
  <c r="J21" i="17"/>
  <c r="I21" i="17"/>
  <c r="H21" i="17"/>
  <c r="G21" i="17"/>
  <c r="F21" i="17"/>
  <c r="E21" i="17"/>
  <c r="U20" i="17"/>
  <c r="U19" i="17"/>
  <c r="T16" i="17"/>
  <c r="S16" i="17"/>
  <c r="R16" i="17"/>
  <c r="Q16" i="17"/>
  <c r="M16" i="17"/>
  <c r="L16" i="17"/>
  <c r="K16" i="17"/>
  <c r="J16" i="17"/>
  <c r="I16" i="17"/>
  <c r="H16" i="17"/>
  <c r="G16" i="17"/>
  <c r="F16" i="17"/>
  <c r="E16" i="17"/>
  <c r="U15" i="17"/>
  <c r="U14" i="17"/>
  <c r="S174" i="16"/>
  <c r="S169" i="16"/>
  <c r="S168" i="16"/>
  <c r="S165" i="16"/>
  <c r="S164" i="16"/>
  <c r="S163" i="16"/>
  <c r="S162" i="16"/>
  <c r="S161" i="16"/>
  <c r="S160" i="16"/>
  <c r="S159" i="16"/>
  <c r="S156" i="16"/>
  <c r="S155" i="16"/>
  <c r="S154" i="16"/>
  <c r="S153" i="16"/>
  <c r="S150" i="16"/>
  <c r="S149" i="16"/>
  <c r="S146" i="16"/>
  <c r="S145" i="16"/>
  <c r="S144" i="16"/>
  <c r="S143" i="16"/>
  <c r="S142" i="16"/>
  <c r="S141" i="16"/>
  <c r="S140" i="16"/>
  <c r="S137" i="16"/>
  <c r="S136" i="16"/>
  <c r="S135" i="16"/>
  <c r="S134" i="16"/>
  <c r="S133" i="16"/>
  <c r="S132" i="16"/>
  <c r="S131" i="16"/>
  <c r="S128" i="16"/>
  <c r="S127" i="16"/>
  <c r="S126" i="16"/>
  <c r="S125" i="16"/>
  <c r="S124" i="16"/>
  <c r="S121" i="16"/>
  <c r="S122" i="16" s="1"/>
  <c r="S109" i="16"/>
  <c r="S108" i="16"/>
  <c r="S105" i="16"/>
  <c r="S104" i="16"/>
  <c r="S103" i="16"/>
  <c r="S102" i="16"/>
  <c r="S101" i="16"/>
  <c r="S100" i="16"/>
  <c r="S99" i="16"/>
  <c r="S96" i="16"/>
  <c r="S95" i="16"/>
  <c r="S94" i="16"/>
  <c r="S93" i="16"/>
  <c r="S90" i="16"/>
  <c r="S87" i="16"/>
  <c r="S86" i="16"/>
  <c r="S85" i="16"/>
  <c r="S84" i="16"/>
  <c r="S83" i="16"/>
  <c r="S82" i="16"/>
  <c r="S81" i="16"/>
  <c r="S78" i="16"/>
  <c r="S77" i="16"/>
  <c r="S76" i="16"/>
  <c r="S75" i="16"/>
  <c r="S74" i="16"/>
  <c r="S73" i="16"/>
  <c r="S72" i="16"/>
  <c r="S69" i="16"/>
  <c r="S68" i="16"/>
  <c r="S67" i="16"/>
  <c r="S66" i="16"/>
  <c r="S65" i="16"/>
  <c r="S64" i="16"/>
  <c r="S63" i="16"/>
  <c r="S60" i="16"/>
  <c r="S59" i="16"/>
  <c r="S58" i="16"/>
  <c r="S57" i="16"/>
  <c r="S56" i="16"/>
  <c r="S55" i="16"/>
  <c r="S54" i="16"/>
  <c r="S51" i="16"/>
  <c r="S50" i="16"/>
  <c r="S49" i="16"/>
  <c r="S48" i="16"/>
  <c r="S47" i="16"/>
  <c r="S46" i="16"/>
  <c r="S45" i="16"/>
  <c r="R41" i="16"/>
  <c r="K41" i="16"/>
  <c r="J41" i="16"/>
  <c r="I41" i="16"/>
  <c r="H41" i="16"/>
  <c r="G41" i="16"/>
  <c r="F41" i="16"/>
  <c r="E41" i="16"/>
  <c r="S40" i="16"/>
  <c r="S39" i="16"/>
  <c r="R36" i="16"/>
  <c r="K36" i="16"/>
  <c r="J36" i="16"/>
  <c r="I36" i="16"/>
  <c r="H36" i="16"/>
  <c r="G36" i="16"/>
  <c r="F36" i="16"/>
  <c r="E36" i="16"/>
  <c r="S35" i="16"/>
  <c r="S34" i="16"/>
  <c r="S33" i="16"/>
  <c r="R29" i="16"/>
  <c r="K29" i="16"/>
  <c r="J29" i="16"/>
  <c r="I29" i="16"/>
  <c r="H29" i="16"/>
  <c r="G29" i="16"/>
  <c r="F29" i="16"/>
  <c r="E29" i="16"/>
  <c r="R28" i="16"/>
  <c r="K28" i="16"/>
  <c r="J28" i="16"/>
  <c r="I28" i="16"/>
  <c r="H28" i="16"/>
  <c r="G28" i="16"/>
  <c r="F28" i="16"/>
  <c r="E28" i="16"/>
  <c r="R27" i="16"/>
  <c r="K27" i="16"/>
  <c r="J27" i="16"/>
  <c r="I27" i="16"/>
  <c r="H27" i="16"/>
  <c r="G27" i="16"/>
  <c r="F27" i="16"/>
  <c r="E27" i="16"/>
  <c r="S26" i="16"/>
  <c r="S25" i="16"/>
  <c r="R24" i="16"/>
  <c r="K24" i="16"/>
  <c r="J24" i="16"/>
  <c r="I24" i="16"/>
  <c r="H24" i="16"/>
  <c r="G24" i="16"/>
  <c r="F24" i="16"/>
  <c r="E24" i="16"/>
  <c r="S23" i="16"/>
  <c r="S22" i="16"/>
  <c r="R21" i="16"/>
  <c r="K21" i="16"/>
  <c r="J21" i="16"/>
  <c r="I21" i="16"/>
  <c r="H21" i="16"/>
  <c r="G21" i="16"/>
  <c r="F21" i="16"/>
  <c r="E21" i="16"/>
  <c r="S20" i="16"/>
  <c r="S19" i="16"/>
  <c r="R16" i="16"/>
  <c r="K16" i="16"/>
  <c r="J16" i="16"/>
  <c r="I16" i="16"/>
  <c r="H16" i="16"/>
  <c r="G16" i="16"/>
  <c r="F16" i="16"/>
  <c r="E16" i="16"/>
  <c r="S15" i="16"/>
  <c r="S14" i="16"/>
  <c r="N174" i="15"/>
  <c r="N169" i="15"/>
  <c r="N168" i="15"/>
  <c r="N165" i="15"/>
  <c r="N164" i="15"/>
  <c r="N163" i="15"/>
  <c r="N162" i="15"/>
  <c r="N161" i="15"/>
  <c r="N160" i="15"/>
  <c r="N159" i="15"/>
  <c r="N156" i="15"/>
  <c r="N155" i="15"/>
  <c r="N154" i="15"/>
  <c r="N153" i="15"/>
  <c r="N150" i="15"/>
  <c r="N149" i="15"/>
  <c r="N146" i="15"/>
  <c r="N145" i="15"/>
  <c r="N144" i="15"/>
  <c r="N143" i="15"/>
  <c r="N142" i="15"/>
  <c r="N141" i="15"/>
  <c r="N140" i="15"/>
  <c r="N137" i="15"/>
  <c r="N136" i="15"/>
  <c r="N135" i="15"/>
  <c r="N134" i="15"/>
  <c r="N133" i="15"/>
  <c r="N132" i="15"/>
  <c r="N131" i="15"/>
  <c r="N128" i="15"/>
  <c r="N127" i="15"/>
  <c r="N126" i="15"/>
  <c r="N125" i="15"/>
  <c r="N124" i="15"/>
  <c r="N129" i="15" s="1"/>
  <c r="N121" i="15"/>
  <c r="N122" i="15" s="1"/>
  <c r="N109" i="15"/>
  <c r="N108" i="15"/>
  <c r="N110" i="15" s="1"/>
  <c r="N105" i="15"/>
  <c r="N104" i="15"/>
  <c r="N103" i="15"/>
  <c r="N102" i="15"/>
  <c r="N101" i="15"/>
  <c r="N100" i="15"/>
  <c r="N99" i="15"/>
  <c r="N96" i="15"/>
  <c r="N95" i="15"/>
  <c r="N94" i="15"/>
  <c r="N93" i="15"/>
  <c r="N90" i="15"/>
  <c r="N87" i="15"/>
  <c r="N86" i="15"/>
  <c r="N85" i="15"/>
  <c r="N84" i="15"/>
  <c r="N83" i="15"/>
  <c r="N82" i="15"/>
  <c r="N81" i="15"/>
  <c r="N78" i="15"/>
  <c r="N77" i="15"/>
  <c r="N76" i="15"/>
  <c r="N75" i="15"/>
  <c r="N74" i="15"/>
  <c r="N73" i="15"/>
  <c r="N72" i="15"/>
  <c r="N69" i="15"/>
  <c r="N68" i="15"/>
  <c r="N67" i="15"/>
  <c r="N66" i="15"/>
  <c r="N65" i="15"/>
  <c r="N64" i="15"/>
  <c r="N63" i="15"/>
  <c r="N60" i="15"/>
  <c r="N59" i="15"/>
  <c r="N58" i="15"/>
  <c r="N57" i="15"/>
  <c r="N56" i="15"/>
  <c r="N55" i="15"/>
  <c r="N54" i="15"/>
  <c r="N61" i="15" s="1"/>
  <c r="N51" i="15"/>
  <c r="N50" i="15"/>
  <c r="N49" i="15"/>
  <c r="N48" i="15"/>
  <c r="N47" i="15"/>
  <c r="N46" i="15"/>
  <c r="N45" i="15"/>
  <c r="M41" i="15"/>
  <c r="L41" i="15"/>
  <c r="K41" i="15"/>
  <c r="J41" i="15"/>
  <c r="I41" i="15"/>
  <c r="H41" i="15"/>
  <c r="G41" i="15"/>
  <c r="F41" i="15"/>
  <c r="E41" i="15"/>
  <c r="N40" i="15"/>
  <c r="N39" i="15"/>
  <c r="M36" i="15"/>
  <c r="L36" i="15"/>
  <c r="K36" i="15"/>
  <c r="J36" i="15"/>
  <c r="I36" i="15"/>
  <c r="H36" i="15"/>
  <c r="G36" i="15"/>
  <c r="F36" i="15"/>
  <c r="E36" i="15"/>
  <c r="N35" i="15"/>
  <c r="N34" i="15"/>
  <c r="N33" i="15"/>
  <c r="M29" i="15"/>
  <c r="L29" i="15"/>
  <c r="K29" i="15"/>
  <c r="J29" i="15"/>
  <c r="I29" i="15"/>
  <c r="H29" i="15"/>
  <c r="G29" i="15"/>
  <c r="F29" i="15"/>
  <c r="E29" i="15"/>
  <c r="M28" i="15"/>
  <c r="L28" i="15"/>
  <c r="K28" i="15"/>
  <c r="J28" i="15"/>
  <c r="I28" i="15"/>
  <c r="H28" i="15"/>
  <c r="G28" i="15"/>
  <c r="F28" i="15"/>
  <c r="E28" i="15"/>
  <c r="M27" i="15"/>
  <c r="L27" i="15"/>
  <c r="K27" i="15"/>
  <c r="J27" i="15"/>
  <c r="I27" i="15"/>
  <c r="H27" i="15"/>
  <c r="G27" i="15"/>
  <c r="F27" i="15"/>
  <c r="E27" i="15"/>
  <c r="N26" i="15"/>
  <c r="N25" i="15"/>
  <c r="M24" i="15"/>
  <c r="L24" i="15"/>
  <c r="K24" i="15"/>
  <c r="J24" i="15"/>
  <c r="I24" i="15"/>
  <c r="H24" i="15"/>
  <c r="G24" i="15"/>
  <c r="F24" i="15"/>
  <c r="E24" i="15"/>
  <c r="N23" i="15"/>
  <c r="N22" i="15"/>
  <c r="M21" i="15"/>
  <c r="L21" i="15"/>
  <c r="K21" i="15"/>
  <c r="J21" i="15"/>
  <c r="I21" i="15"/>
  <c r="H21" i="15"/>
  <c r="G21" i="15"/>
  <c r="F21" i="15"/>
  <c r="E21" i="15"/>
  <c r="N20" i="15"/>
  <c r="N19" i="15"/>
  <c r="M16" i="15"/>
  <c r="L16" i="15"/>
  <c r="K16" i="15"/>
  <c r="J16" i="15"/>
  <c r="I16" i="15"/>
  <c r="H16" i="15"/>
  <c r="G16" i="15"/>
  <c r="F16" i="15"/>
  <c r="E16" i="15"/>
  <c r="N15" i="15"/>
  <c r="N14" i="15"/>
  <c r="U52" i="17" l="1"/>
  <c r="T147" i="20"/>
  <c r="T97" i="20"/>
  <c r="H30" i="20"/>
  <c r="J30" i="20"/>
  <c r="R30" i="11"/>
  <c r="S97" i="16"/>
  <c r="G30" i="16"/>
  <c r="AC147" i="19"/>
  <c r="X30" i="19"/>
  <c r="S175" i="9"/>
  <c r="R175" i="9"/>
  <c r="N175" i="9"/>
  <c r="L175" i="9"/>
  <c r="K175" i="9"/>
  <c r="I175" i="9"/>
  <c r="H175" i="9"/>
  <c r="G175" i="9"/>
  <c r="F175" i="9"/>
  <c r="N170" i="15"/>
  <c r="N147" i="15"/>
  <c r="H30" i="16"/>
  <c r="I30" i="16"/>
  <c r="J30" i="16"/>
  <c r="AB30" i="19"/>
  <c r="N106" i="15"/>
  <c r="L30" i="17"/>
  <c r="U138" i="17"/>
  <c r="M30" i="17"/>
  <c r="S88" i="16"/>
  <c r="R30" i="17"/>
  <c r="S30" i="17"/>
  <c r="Q138" i="18"/>
  <c r="T129" i="20"/>
  <c r="S151" i="16"/>
  <c r="T30" i="17"/>
  <c r="G30" i="20"/>
  <c r="N70" i="15"/>
  <c r="O30" i="21"/>
  <c r="P30" i="21"/>
  <c r="Q30" i="21"/>
  <c r="AC110" i="19"/>
  <c r="AC157" i="19"/>
  <c r="AC91" i="19"/>
  <c r="AC79" i="19"/>
  <c r="AC129" i="19"/>
  <c r="AC61" i="19"/>
  <c r="AC106" i="19"/>
  <c r="AC170" i="19"/>
  <c r="AC151" i="19"/>
  <c r="Q157" i="18"/>
  <c r="Q166" i="18"/>
  <c r="Q122" i="18"/>
  <c r="U88" i="17"/>
  <c r="U70" i="17"/>
  <c r="U106" i="17"/>
  <c r="U170" i="17"/>
  <c r="S138" i="16"/>
  <c r="S70" i="16"/>
  <c r="S110" i="16"/>
  <c r="S157" i="16"/>
  <c r="S91" i="16"/>
  <c r="E30" i="16"/>
  <c r="N88" i="15"/>
  <c r="N151" i="15"/>
  <c r="N157" i="15"/>
  <c r="E117" i="1"/>
  <c r="N79" i="15"/>
  <c r="N97" i="15"/>
  <c r="E118" i="1"/>
  <c r="N52" i="15"/>
  <c r="N138" i="15"/>
  <c r="N91" i="15"/>
  <c r="N166" i="15"/>
  <c r="S52" i="16"/>
  <c r="S166" i="16"/>
  <c r="S79" i="16"/>
  <c r="S147" i="16"/>
  <c r="S61" i="16"/>
  <c r="S129" i="16"/>
  <c r="S106" i="16"/>
  <c r="S170" i="16"/>
  <c r="U79" i="17"/>
  <c r="U97" i="17"/>
  <c r="I30" i="17"/>
  <c r="U166" i="17"/>
  <c r="U147" i="17"/>
  <c r="U61" i="17"/>
  <c r="U129" i="17"/>
  <c r="Q97" i="18"/>
  <c r="Q79" i="18"/>
  <c r="Q147" i="18"/>
  <c r="Q61" i="18"/>
  <c r="Q129" i="18"/>
  <c r="Q106" i="18"/>
  <c r="Q170" i="18"/>
  <c r="Q88" i="18"/>
  <c r="Q151" i="18"/>
  <c r="Q36" i="18"/>
  <c r="Q70" i="18"/>
  <c r="AC88" i="19"/>
  <c r="AC138" i="19"/>
  <c r="AC70" i="19"/>
  <c r="AC52" i="19"/>
  <c r="E30" i="19"/>
  <c r="AC166" i="19"/>
  <c r="T30" i="19"/>
  <c r="U30" i="19"/>
  <c r="V30" i="19"/>
  <c r="T61" i="20"/>
  <c r="T106" i="20"/>
  <c r="T41" i="20"/>
  <c r="K30" i="20"/>
  <c r="L30" i="20"/>
  <c r="T151" i="20"/>
  <c r="Q30" i="20"/>
  <c r="T88" i="20"/>
  <c r="T138" i="20"/>
  <c r="R30" i="20"/>
  <c r="S30" i="20"/>
  <c r="T70" i="20"/>
  <c r="T29" i="20"/>
  <c r="T52" i="20"/>
  <c r="T166" i="20"/>
  <c r="T24" i="20"/>
  <c r="I30" i="20"/>
  <c r="S88" i="21"/>
  <c r="S52" i="21"/>
  <c r="S157" i="21"/>
  <c r="S70" i="21"/>
  <c r="S166" i="21"/>
  <c r="S91" i="21"/>
  <c r="S79" i="21"/>
  <c r="S97" i="21"/>
  <c r="S129" i="21"/>
  <c r="S170" i="21"/>
  <c r="S61" i="21"/>
  <c r="R30" i="21"/>
  <c r="I30" i="21"/>
  <c r="J30" i="21"/>
  <c r="S147" i="21"/>
  <c r="S151" i="21"/>
  <c r="S138" i="21"/>
  <c r="S110" i="21"/>
  <c r="S122" i="21"/>
  <c r="S106" i="21"/>
  <c r="R173" i="21"/>
  <c r="R175" i="21" s="1"/>
  <c r="K173" i="21"/>
  <c r="K175" i="21" s="1"/>
  <c r="P173" i="21"/>
  <c r="P175" i="21" s="1"/>
  <c r="K30" i="21"/>
  <c r="Q173" i="21"/>
  <c r="Q175" i="21" s="1"/>
  <c r="L30" i="21"/>
  <c r="M30" i="21"/>
  <c r="F30" i="21"/>
  <c r="N30" i="21"/>
  <c r="AC24" i="19"/>
  <c r="AA30" i="19"/>
  <c r="Q21" i="18"/>
  <c r="Q29" i="18"/>
  <c r="F173" i="18"/>
  <c r="F175" i="18" s="1"/>
  <c r="G173" i="18"/>
  <c r="G175" i="18" s="1"/>
  <c r="O30" i="18"/>
  <c r="J173" i="18"/>
  <c r="J175" i="18" s="1"/>
  <c r="K173" i="18"/>
  <c r="K175" i="18" s="1"/>
  <c r="L173" i="18"/>
  <c r="L175" i="18" s="1"/>
  <c r="M173" i="18"/>
  <c r="M175" i="18" s="1"/>
  <c r="H173" i="17"/>
  <c r="H175" i="17" s="1"/>
  <c r="F30" i="17"/>
  <c r="G30" i="17"/>
  <c r="S24" i="16"/>
  <c r="F30" i="16"/>
  <c r="G30" i="15"/>
  <c r="H30" i="15"/>
  <c r="K30" i="15"/>
  <c r="I30" i="15"/>
  <c r="J30" i="15"/>
  <c r="P175" i="11"/>
  <c r="Q175" i="11"/>
  <c r="R175" i="11"/>
  <c r="S175" i="11"/>
  <c r="S30" i="11"/>
  <c r="P30" i="11"/>
  <c r="Q30" i="11"/>
  <c r="S24" i="21"/>
  <c r="S27" i="21"/>
  <c r="S29" i="21"/>
  <c r="S21" i="21"/>
  <c r="S119" i="21"/>
  <c r="S36" i="21"/>
  <c r="G30" i="21"/>
  <c r="S16" i="21"/>
  <c r="E30" i="21"/>
  <c r="H30" i="21"/>
  <c r="F173" i="21"/>
  <c r="F175" i="21" s="1"/>
  <c r="H173" i="21"/>
  <c r="H175" i="21" s="1"/>
  <c r="L173" i="21"/>
  <c r="L175" i="21" s="1"/>
  <c r="I173" i="21"/>
  <c r="I175" i="21" s="1"/>
  <c r="S41" i="21"/>
  <c r="M173" i="21"/>
  <c r="M175" i="21" s="1"/>
  <c r="J173" i="21"/>
  <c r="J175" i="21" s="1"/>
  <c r="G173" i="21"/>
  <c r="G175" i="21" s="1"/>
  <c r="S28" i="21"/>
  <c r="E173" i="21"/>
  <c r="T21" i="20"/>
  <c r="H173" i="20"/>
  <c r="H175" i="20" s="1"/>
  <c r="T36" i="20"/>
  <c r="Q173" i="20"/>
  <c r="Q175" i="20" s="1"/>
  <c r="G173" i="20"/>
  <c r="G175" i="20" s="1"/>
  <c r="J173" i="20"/>
  <c r="J175" i="20" s="1"/>
  <c r="K173" i="20"/>
  <c r="K175" i="20" s="1"/>
  <c r="M173" i="20"/>
  <c r="M175" i="20" s="1"/>
  <c r="S173" i="20"/>
  <c r="S175" i="20" s="1"/>
  <c r="E30" i="20"/>
  <c r="T16" i="20"/>
  <c r="I173" i="20"/>
  <c r="I175" i="20" s="1"/>
  <c r="F30" i="20"/>
  <c r="T28" i="20"/>
  <c r="E173" i="20"/>
  <c r="E175" i="20" s="1"/>
  <c r="T27" i="20"/>
  <c r="N30" i="20"/>
  <c r="F173" i="20"/>
  <c r="F175" i="20" s="1"/>
  <c r="T119" i="20"/>
  <c r="N173" i="20"/>
  <c r="N175" i="20" s="1"/>
  <c r="R173" i="20"/>
  <c r="R175" i="20" s="1"/>
  <c r="M30" i="20"/>
  <c r="AC21" i="19"/>
  <c r="AC119" i="19"/>
  <c r="AC16" i="19"/>
  <c r="E175" i="19"/>
  <c r="AC29" i="19"/>
  <c r="W175" i="19"/>
  <c r="V175" i="19"/>
  <c r="T175" i="19"/>
  <c r="X175" i="19"/>
  <c r="AC36" i="19"/>
  <c r="AA175" i="19"/>
  <c r="Y175" i="19"/>
  <c r="AC27" i="19"/>
  <c r="AB175" i="19"/>
  <c r="AC28" i="19"/>
  <c r="U175" i="19"/>
  <c r="AC41" i="19"/>
  <c r="O173" i="18"/>
  <c r="O175" i="18" s="1"/>
  <c r="P173" i="18"/>
  <c r="P175" i="18" s="1"/>
  <c r="I173" i="18"/>
  <c r="I175" i="18" s="1"/>
  <c r="H173" i="18"/>
  <c r="H175" i="18" s="1"/>
  <c r="H30" i="18"/>
  <c r="Q24" i="18"/>
  <c r="Q16" i="18"/>
  <c r="F30" i="18"/>
  <c r="I30" i="18"/>
  <c r="K30" i="18"/>
  <c r="G30" i="18"/>
  <c r="Q27" i="18"/>
  <c r="L30" i="18"/>
  <c r="Q119" i="18"/>
  <c r="M30" i="18"/>
  <c r="Q41" i="18"/>
  <c r="E30" i="18"/>
  <c r="P30" i="18"/>
  <c r="Q28" i="18"/>
  <c r="E173" i="18"/>
  <c r="S41" i="16"/>
  <c r="S119" i="16"/>
  <c r="S21" i="16"/>
  <c r="S28" i="16"/>
  <c r="S16" i="16"/>
  <c r="R30" i="16"/>
  <c r="S36" i="16"/>
  <c r="J175" i="16"/>
  <c r="E175" i="16"/>
  <c r="S27" i="16"/>
  <c r="R175" i="16"/>
  <c r="I175" i="16"/>
  <c r="G175" i="16"/>
  <c r="K30" i="16"/>
  <c r="K175" i="16"/>
  <c r="F175" i="16"/>
  <c r="H175" i="16"/>
  <c r="F30" i="15"/>
  <c r="E30" i="15"/>
  <c r="U24" i="17"/>
  <c r="I173" i="17"/>
  <c r="I175" i="17" s="1"/>
  <c r="E173" i="17"/>
  <c r="E175" i="17" s="1"/>
  <c r="H30" i="17"/>
  <c r="F173" i="17"/>
  <c r="F175" i="17" s="1"/>
  <c r="U28" i="17"/>
  <c r="U119" i="17"/>
  <c r="U27" i="17"/>
  <c r="E30" i="17"/>
  <c r="K30" i="17"/>
  <c r="J30" i="17"/>
  <c r="J173" i="17"/>
  <c r="J175" i="17" s="1"/>
  <c r="Q30" i="17"/>
  <c r="K173" i="17"/>
  <c r="K175" i="17" s="1"/>
  <c r="L173" i="17"/>
  <c r="L175" i="17" s="1"/>
  <c r="U36" i="17"/>
  <c r="M173" i="17"/>
  <c r="M175" i="17" s="1"/>
  <c r="Q173" i="17"/>
  <c r="Q175" i="17" s="1"/>
  <c r="R173" i="17"/>
  <c r="R175" i="17" s="1"/>
  <c r="U41" i="17"/>
  <c r="S173" i="17"/>
  <c r="S175" i="17" s="1"/>
  <c r="U21" i="17"/>
  <c r="T173" i="17"/>
  <c r="T175" i="17" s="1"/>
  <c r="U16" i="17"/>
  <c r="G173" i="17"/>
  <c r="G175" i="17" s="1"/>
  <c r="U29" i="17"/>
  <c r="S29" i="16"/>
  <c r="F173" i="15"/>
  <c r="F175" i="15" s="1"/>
  <c r="G173" i="15"/>
  <c r="G175" i="15" s="1"/>
  <c r="L30" i="15"/>
  <c r="H173" i="15"/>
  <c r="H175" i="15" s="1"/>
  <c r="I173" i="15"/>
  <c r="I175" i="15" s="1"/>
  <c r="N36" i="15"/>
  <c r="N119" i="15"/>
  <c r="L173" i="15"/>
  <c r="L175" i="15" s="1"/>
  <c r="K173" i="15"/>
  <c r="K175" i="15" s="1"/>
  <c r="M30" i="15"/>
  <c r="N21" i="15"/>
  <c r="M173" i="15"/>
  <c r="M175" i="15" s="1"/>
  <c r="N41" i="15"/>
  <c r="N24" i="15"/>
  <c r="N29" i="15"/>
  <c r="J173" i="15"/>
  <c r="J175" i="15" s="1"/>
  <c r="N16" i="15"/>
  <c r="N27" i="15"/>
  <c r="E173" i="15"/>
  <c r="N28" i="15"/>
  <c r="AC30" i="19" l="1"/>
  <c r="Q30" i="18"/>
  <c r="S30" i="21"/>
  <c r="U30" i="17"/>
  <c r="U175" i="17"/>
  <c r="S30" i="16"/>
  <c r="S175" i="16"/>
  <c r="N30" i="15"/>
  <c r="E175" i="21"/>
  <c r="S175" i="21" s="1"/>
  <c r="S173" i="21"/>
  <c r="T30" i="20"/>
  <c r="T175" i="20"/>
  <c r="T173" i="20"/>
  <c r="AC173" i="19"/>
  <c r="AC175" i="19"/>
  <c r="Q173" i="18"/>
  <c r="E175" i="18"/>
  <c r="Q175" i="18" s="1"/>
  <c r="S173" i="16"/>
  <c r="U173" i="17"/>
  <c r="N173" i="15"/>
  <c r="E175" i="15"/>
  <c r="N175" i="15" s="1"/>
  <c r="T174" i="11" l="1"/>
  <c r="T169" i="11"/>
  <c r="T168" i="11"/>
  <c r="T170" i="11" s="1"/>
  <c r="T165" i="11"/>
  <c r="T164" i="11"/>
  <c r="T163" i="11"/>
  <c r="T162" i="11"/>
  <c r="T161" i="11"/>
  <c r="T160" i="11"/>
  <c r="T159" i="11"/>
  <c r="T156" i="11"/>
  <c r="T155" i="11"/>
  <c r="T154" i="11"/>
  <c r="T153" i="11"/>
  <c r="T157" i="11" s="1"/>
  <c r="T150" i="11"/>
  <c r="T149" i="11"/>
  <c r="T146" i="11"/>
  <c r="T145" i="11"/>
  <c r="T144" i="11"/>
  <c r="T143" i="11"/>
  <c r="T142" i="11"/>
  <c r="T141" i="11"/>
  <c r="T140" i="11"/>
  <c r="T137" i="11"/>
  <c r="T136" i="11"/>
  <c r="T135" i="11"/>
  <c r="T134" i="11"/>
  <c r="T133" i="11"/>
  <c r="T132" i="11"/>
  <c r="T131" i="11"/>
  <c r="T128" i="11"/>
  <c r="T127" i="11"/>
  <c r="T126" i="11"/>
  <c r="T125" i="11"/>
  <c r="T124" i="11"/>
  <c r="T121" i="11"/>
  <c r="T109" i="11"/>
  <c r="T108" i="11"/>
  <c r="T110" i="11" s="1"/>
  <c r="T105" i="11"/>
  <c r="T104" i="11"/>
  <c r="T103" i="11"/>
  <c r="T102" i="11"/>
  <c r="T101" i="11"/>
  <c r="T100" i="11"/>
  <c r="T99" i="11"/>
  <c r="T96" i="11"/>
  <c r="T95" i="11"/>
  <c r="T94" i="11"/>
  <c r="T93" i="11"/>
  <c r="T90" i="11"/>
  <c r="T87" i="11"/>
  <c r="T86" i="11"/>
  <c r="T85" i="11"/>
  <c r="T84" i="11"/>
  <c r="T83" i="11"/>
  <c r="T82" i="11"/>
  <c r="T81" i="11"/>
  <c r="T88" i="11" s="1"/>
  <c r="T78" i="11"/>
  <c r="T77" i="11"/>
  <c r="T76" i="11"/>
  <c r="T75" i="11"/>
  <c r="T74" i="11"/>
  <c r="T73" i="11"/>
  <c r="T72" i="11"/>
  <c r="T69" i="11"/>
  <c r="T68" i="11"/>
  <c r="T67" i="11"/>
  <c r="T66" i="11"/>
  <c r="T65" i="11"/>
  <c r="T64" i="11"/>
  <c r="T63" i="11"/>
  <c r="T60" i="11"/>
  <c r="T59" i="11"/>
  <c r="T58" i="11"/>
  <c r="T57" i="11"/>
  <c r="T56" i="11"/>
  <c r="T55" i="11"/>
  <c r="T54" i="11"/>
  <c r="T51" i="11"/>
  <c r="T50" i="11"/>
  <c r="T49" i="11"/>
  <c r="T48" i="11"/>
  <c r="T47" i="11"/>
  <c r="T46" i="11"/>
  <c r="T45" i="11"/>
  <c r="O41" i="11"/>
  <c r="N41" i="11"/>
  <c r="M41" i="11"/>
  <c r="L41" i="11"/>
  <c r="K41" i="11"/>
  <c r="J41" i="11"/>
  <c r="I41" i="11"/>
  <c r="H41" i="11"/>
  <c r="G41" i="11"/>
  <c r="F41" i="11"/>
  <c r="E41" i="11"/>
  <c r="T40" i="11"/>
  <c r="T39" i="11"/>
  <c r="O36" i="11"/>
  <c r="N36" i="11"/>
  <c r="M36" i="11"/>
  <c r="L36" i="11"/>
  <c r="K36" i="11"/>
  <c r="J36" i="11"/>
  <c r="I36" i="11"/>
  <c r="H36" i="11"/>
  <c r="G36" i="11"/>
  <c r="F36" i="11"/>
  <c r="E36" i="11"/>
  <c r="T35" i="11"/>
  <c r="T34" i="11"/>
  <c r="T33" i="11"/>
  <c r="O29" i="11"/>
  <c r="N29" i="11"/>
  <c r="M29" i="11"/>
  <c r="L29" i="11"/>
  <c r="K29" i="11"/>
  <c r="J29" i="11"/>
  <c r="I29" i="11"/>
  <c r="H29" i="11"/>
  <c r="G29" i="11"/>
  <c r="F29" i="11"/>
  <c r="E29" i="11"/>
  <c r="O28" i="11"/>
  <c r="N28" i="11"/>
  <c r="M28" i="11"/>
  <c r="L28" i="11"/>
  <c r="K28" i="11"/>
  <c r="J28" i="11"/>
  <c r="I28" i="11"/>
  <c r="H28" i="11"/>
  <c r="G28" i="11"/>
  <c r="F28" i="11"/>
  <c r="E28" i="11"/>
  <c r="O27" i="11"/>
  <c r="N27" i="11"/>
  <c r="M27" i="11"/>
  <c r="L27" i="11"/>
  <c r="K27" i="11"/>
  <c r="J27" i="11"/>
  <c r="I27" i="11"/>
  <c r="H27" i="11"/>
  <c r="G27" i="11"/>
  <c r="F27" i="11"/>
  <c r="E27" i="11"/>
  <c r="T26" i="11"/>
  <c r="T25" i="11"/>
  <c r="O24" i="11"/>
  <c r="N24" i="11"/>
  <c r="M24" i="11"/>
  <c r="L24" i="11"/>
  <c r="K24" i="11"/>
  <c r="J24" i="11"/>
  <c r="I24" i="11"/>
  <c r="H24" i="11"/>
  <c r="G24" i="11"/>
  <c r="F24" i="11"/>
  <c r="E24" i="11"/>
  <c r="T23" i="11"/>
  <c r="T22" i="11"/>
  <c r="O21" i="11"/>
  <c r="N21" i="11"/>
  <c r="M21" i="11"/>
  <c r="L21" i="11"/>
  <c r="K21" i="11"/>
  <c r="J21" i="11"/>
  <c r="I21" i="11"/>
  <c r="H21" i="11"/>
  <c r="G21" i="11"/>
  <c r="F21" i="11"/>
  <c r="E21" i="11"/>
  <c r="T20" i="11"/>
  <c r="T19" i="11"/>
  <c r="O16" i="11"/>
  <c r="N16" i="11"/>
  <c r="M16" i="11"/>
  <c r="L16" i="11"/>
  <c r="K16" i="11"/>
  <c r="J16" i="11"/>
  <c r="I16" i="11"/>
  <c r="H16" i="11"/>
  <c r="G16" i="11"/>
  <c r="F16" i="11"/>
  <c r="E16" i="11"/>
  <c r="T15" i="11"/>
  <c r="T14" i="11"/>
  <c r="S174" i="10"/>
  <c r="S169" i="10"/>
  <c r="S168" i="10"/>
  <c r="S165" i="10"/>
  <c r="S164" i="10"/>
  <c r="S163" i="10"/>
  <c r="S162" i="10"/>
  <c r="S161" i="10"/>
  <c r="S160" i="10"/>
  <c r="S159" i="10"/>
  <c r="S156" i="10"/>
  <c r="S155" i="10"/>
  <c r="S154" i="10"/>
  <c r="S153" i="10"/>
  <c r="S150" i="10"/>
  <c r="S149" i="10"/>
  <c r="S146" i="10"/>
  <c r="S145" i="10"/>
  <c r="S144" i="10"/>
  <c r="S143" i="10"/>
  <c r="S142" i="10"/>
  <c r="S141" i="10"/>
  <c r="S140" i="10"/>
  <c r="S137" i="10"/>
  <c r="S136" i="10"/>
  <c r="S135" i="10"/>
  <c r="S134" i="10"/>
  <c r="S133" i="10"/>
  <c r="S132" i="10"/>
  <c r="S131" i="10"/>
  <c r="S128" i="10"/>
  <c r="S127" i="10"/>
  <c r="S126" i="10"/>
  <c r="S125" i="10"/>
  <c r="S124" i="10"/>
  <c r="S121" i="10"/>
  <c r="S109" i="10"/>
  <c r="S108" i="10"/>
  <c r="S105" i="10"/>
  <c r="S104" i="10"/>
  <c r="S103" i="10"/>
  <c r="S102" i="10"/>
  <c r="S101" i="10"/>
  <c r="S100" i="10"/>
  <c r="S99" i="10"/>
  <c r="S96" i="10"/>
  <c r="S95" i="10"/>
  <c r="S94" i="10"/>
  <c r="S93" i="10"/>
  <c r="S90" i="10"/>
  <c r="S87" i="10"/>
  <c r="S86" i="10"/>
  <c r="S85" i="10"/>
  <c r="S84" i="10"/>
  <c r="S83" i="10"/>
  <c r="S82" i="10"/>
  <c r="S81" i="10"/>
  <c r="S78" i="10"/>
  <c r="S77" i="10"/>
  <c r="S76" i="10"/>
  <c r="S75" i="10"/>
  <c r="S74" i="10"/>
  <c r="S73" i="10"/>
  <c r="S72" i="10"/>
  <c r="S69" i="10"/>
  <c r="S68" i="10"/>
  <c r="S67" i="10"/>
  <c r="S66" i="10"/>
  <c r="S65" i="10"/>
  <c r="S64" i="10"/>
  <c r="S63" i="10"/>
  <c r="S60" i="10"/>
  <c r="S59" i="10"/>
  <c r="S58" i="10"/>
  <c r="S57" i="10"/>
  <c r="S56" i="10"/>
  <c r="S55" i="10"/>
  <c r="S54" i="10"/>
  <c r="S51" i="10"/>
  <c r="S50" i="10"/>
  <c r="S49" i="10"/>
  <c r="S48" i="10"/>
  <c r="S47" i="10"/>
  <c r="S46" i="10"/>
  <c r="S45" i="10"/>
  <c r="R41" i="10"/>
  <c r="O41" i="10"/>
  <c r="N41" i="10"/>
  <c r="M41" i="10"/>
  <c r="L41" i="10"/>
  <c r="E41" i="10"/>
  <c r="S40" i="10"/>
  <c r="S39" i="10"/>
  <c r="R36" i="10"/>
  <c r="O36" i="10"/>
  <c r="N36" i="10"/>
  <c r="M36" i="10"/>
  <c r="L36" i="10"/>
  <c r="E36" i="10"/>
  <c r="S35" i="10"/>
  <c r="S34" i="10"/>
  <c r="S33" i="10"/>
  <c r="R29" i="10"/>
  <c r="O29" i="10"/>
  <c r="N29" i="10"/>
  <c r="M29" i="10"/>
  <c r="L29" i="10"/>
  <c r="E29" i="10"/>
  <c r="R28" i="10"/>
  <c r="O28" i="10"/>
  <c r="N28" i="10"/>
  <c r="M28" i="10"/>
  <c r="L28" i="10"/>
  <c r="E28" i="10"/>
  <c r="R27" i="10"/>
  <c r="O27" i="10"/>
  <c r="N27" i="10"/>
  <c r="M27" i="10"/>
  <c r="L27" i="10"/>
  <c r="E27" i="10"/>
  <c r="S26" i="10"/>
  <c r="S25" i="10"/>
  <c r="R24" i="10"/>
  <c r="O24" i="10"/>
  <c r="N24" i="10"/>
  <c r="M24" i="10"/>
  <c r="L24" i="10"/>
  <c r="E24" i="10"/>
  <c r="S23" i="10"/>
  <c r="S22" i="10"/>
  <c r="R21" i="10"/>
  <c r="O21" i="10"/>
  <c r="N21" i="10"/>
  <c r="M21" i="10"/>
  <c r="L21" i="10"/>
  <c r="E21" i="10"/>
  <c r="S20" i="10"/>
  <c r="S19" i="10"/>
  <c r="R16" i="10"/>
  <c r="O16" i="10"/>
  <c r="N16" i="10"/>
  <c r="M16" i="10"/>
  <c r="L16" i="10"/>
  <c r="E16" i="10"/>
  <c r="S15" i="10"/>
  <c r="S14" i="10"/>
  <c r="V174" i="9"/>
  <c r="V164" i="9"/>
  <c r="V163" i="9"/>
  <c r="V162" i="9"/>
  <c r="V156" i="9"/>
  <c r="V155" i="9"/>
  <c r="V154" i="9"/>
  <c r="V153" i="9"/>
  <c r="V150" i="9"/>
  <c r="V149" i="9"/>
  <c r="V146" i="9"/>
  <c r="V145" i="9"/>
  <c r="V144" i="9"/>
  <c r="V143" i="9"/>
  <c r="V142" i="9"/>
  <c r="V141" i="9"/>
  <c r="V140" i="9"/>
  <c r="V137" i="9"/>
  <c r="V136" i="9"/>
  <c r="V135" i="9"/>
  <c r="V134" i="9"/>
  <c r="V133" i="9"/>
  <c r="V132" i="9"/>
  <c r="V131" i="9"/>
  <c r="V128" i="9"/>
  <c r="V127" i="9"/>
  <c r="V126" i="9"/>
  <c r="V125" i="9"/>
  <c r="V124" i="9"/>
  <c r="V121" i="9"/>
  <c r="V109" i="9"/>
  <c r="V108" i="9"/>
  <c r="V105" i="9"/>
  <c r="V104" i="9"/>
  <c r="V103" i="9"/>
  <c r="V102" i="9"/>
  <c r="V101" i="9"/>
  <c r="V100" i="9"/>
  <c r="V99" i="9"/>
  <c r="V96" i="9"/>
  <c r="V95" i="9"/>
  <c r="V94" i="9"/>
  <c r="V93" i="9"/>
  <c r="V90" i="9"/>
  <c r="V87" i="9"/>
  <c r="V86" i="9"/>
  <c r="V85" i="9"/>
  <c r="V84" i="9"/>
  <c r="V83" i="9"/>
  <c r="V82" i="9"/>
  <c r="V81" i="9"/>
  <c r="V78" i="9"/>
  <c r="V77" i="9"/>
  <c r="V76" i="9"/>
  <c r="V75" i="9"/>
  <c r="V74" i="9"/>
  <c r="V73" i="9"/>
  <c r="V72" i="9"/>
  <c r="V69" i="9"/>
  <c r="V68" i="9"/>
  <c r="V67" i="9"/>
  <c r="V66" i="9"/>
  <c r="V65" i="9"/>
  <c r="V64" i="9"/>
  <c r="V63" i="9"/>
  <c r="V60" i="9"/>
  <c r="V59" i="9"/>
  <c r="V58" i="9"/>
  <c r="V57" i="9"/>
  <c r="V56" i="9"/>
  <c r="V55" i="9"/>
  <c r="V54" i="9"/>
  <c r="V51" i="9"/>
  <c r="V50" i="9"/>
  <c r="V49" i="9"/>
  <c r="V48" i="9"/>
  <c r="V47" i="9"/>
  <c r="V46" i="9"/>
  <c r="V45" i="9"/>
  <c r="O41" i="9"/>
  <c r="E41" i="9"/>
  <c r="V40" i="9"/>
  <c r="V39" i="9"/>
  <c r="O36" i="9"/>
  <c r="E36" i="9"/>
  <c r="V35" i="9"/>
  <c r="V34" i="9"/>
  <c r="V33" i="9"/>
  <c r="O29" i="9"/>
  <c r="E29" i="9"/>
  <c r="O28" i="9"/>
  <c r="E28" i="9"/>
  <c r="O27" i="9"/>
  <c r="E27" i="9"/>
  <c r="V26" i="9"/>
  <c r="V25" i="9"/>
  <c r="O24" i="9"/>
  <c r="E24" i="9"/>
  <c r="V23" i="9"/>
  <c r="V22" i="9"/>
  <c r="O21" i="9"/>
  <c r="E21" i="9"/>
  <c r="V20" i="9"/>
  <c r="V19" i="9"/>
  <c r="O16" i="9"/>
  <c r="E16" i="9"/>
  <c r="V15" i="9"/>
  <c r="V14" i="9"/>
  <c r="H173" i="3"/>
  <c r="H175" i="3" s="1"/>
  <c r="F41" i="3"/>
  <c r="G41" i="3"/>
  <c r="H41" i="3"/>
  <c r="I41" i="3"/>
  <c r="J41" i="3"/>
  <c r="K41" i="3"/>
  <c r="L41" i="3"/>
  <c r="M41" i="3"/>
  <c r="N41" i="3"/>
  <c r="O41" i="3"/>
  <c r="P41" i="3"/>
  <c r="F36" i="3"/>
  <c r="G36" i="3"/>
  <c r="H36" i="3"/>
  <c r="I36" i="3"/>
  <c r="J36" i="3"/>
  <c r="K36" i="3"/>
  <c r="L36" i="3"/>
  <c r="M36" i="3"/>
  <c r="N36" i="3"/>
  <c r="O36" i="3"/>
  <c r="P36" i="3"/>
  <c r="F27" i="3"/>
  <c r="G27" i="3"/>
  <c r="H27" i="3"/>
  <c r="I27" i="3"/>
  <c r="J27" i="3"/>
  <c r="K27" i="3"/>
  <c r="L27" i="3"/>
  <c r="M27" i="3"/>
  <c r="N27" i="3"/>
  <c r="O27" i="3"/>
  <c r="P27" i="3"/>
  <c r="F28" i="3"/>
  <c r="G28" i="3"/>
  <c r="H28" i="3"/>
  <c r="I28" i="3"/>
  <c r="J28" i="3"/>
  <c r="K28" i="3"/>
  <c r="L28" i="3"/>
  <c r="M28" i="3"/>
  <c r="N28" i="3"/>
  <c r="O28" i="3"/>
  <c r="P28" i="3"/>
  <c r="F29" i="3"/>
  <c r="G29" i="3"/>
  <c r="H29" i="3"/>
  <c r="I29" i="3"/>
  <c r="J29" i="3"/>
  <c r="K29" i="3"/>
  <c r="L29" i="3"/>
  <c r="M29" i="3"/>
  <c r="N29" i="3"/>
  <c r="O29" i="3"/>
  <c r="P29" i="3"/>
  <c r="F24" i="3"/>
  <c r="G24" i="3"/>
  <c r="H24" i="3"/>
  <c r="I24" i="3"/>
  <c r="J24" i="3"/>
  <c r="K24" i="3"/>
  <c r="L24" i="3"/>
  <c r="M24" i="3"/>
  <c r="N24" i="3"/>
  <c r="O24" i="3"/>
  <c r="P24" i="3"/>
  <c r="F21" i="3"/>
  <c r="G21" i="3"/>
  <c r="H21" i="3"/>
  <c r="I21" i="3"/>
  <c r="J21" i="3"/>
  <c r="K21" i="3"/>
  <c r="L21" i="3"/>
  <c r="M21" i="3"/>
  <c r="N21" i="3"/>
  <c r="O21" i="3"/>
  <c r="P21" i="3"/>
  <c r="F16" i="3"/>
  <c r="G16" i="3"/>
  <c r="H16" i="3"/>
  <c r="I16" i="3"/>
  <c r="J16" i="3"/>
  <c r="K16" i="3"/>
  <c r="L16" i="3"/>
  <c r="M16" i="3"/>
  <c r="N16" i="3"/>
  <c r="O16" i="3"/>
  <c r="P16" i="3"/>
  <c r="Q174" i="3"/>
  <c r="Q169" i="3"/>
  <c r="Q168" i="3"/>
  <c r="Q165" i="3"/>
  <c r="Q164" i="3"/>
  <c r="Q163" i="3"/>
  <c r="Q162" i="3"/>
  <c r="Q161" i="3"/>
  <c r="Q160" i="3"/>
  <c r="E160" i="1" s="1"/>
  <c r="Q159" i="3"/>
  <c r="Q155" i="3"/>
  <c r="Q154" i="3"/>
  <c r="Q153" i="3"/>
  <c r="Q150" i="3"/>
  <c r="Q149" i="3"/>
  <c r="Q146" i="3"/>
  <c r="Q145" i="3"/>
  <c r="Q144" i="3"/>
  <c r="Q143" i="3"/>
  <c r="Q142" i="3"/>
  <c r="Q141" i="3"/>
  <c r="Q140" i="3"/>
  <c r="Q137" i="3"/>
  <c r="Q136" i="3"/>
  <c r="Q135" i="3"/>
  <c r="Q134" i="3"/>
  <c r="Q133" i="3"/>
  <c r="Q132" i="3"/>
  <c r="Q131" i="3"/>
  <c r="Q128" i="3"/>
  <c r="Q127" i="3"/>
  <c r="Q126" i="3"/>
  <c r="Q125" i="3"/>
  <c r="Q124" i="3"/>
  <c r="Q121" i="3"/>
  <c r="Q109" i="3"/>
  <c r="Q108" i="3"/>
  <c r="Q105" i="3"/>
  <c r="Q104" i="3"/>
  <c r="Q103" i="3"/>
  <c r="Q102" i="3"/>
  <c r="Q101" i="3"/>
  <c r="Q100" i="3"/>
  <c r="Q99" i="3"/>
  <c r="Q96" i="3"/>
  <c r="Q95" i="3"/>
  <c r="Q94" i="3"/>
  <c r="Q93" i="3"/>
  <c r="Q90" i="3"/>
  <c r="Q87" i="3"/>
  <c r="Q86" i="3"/>
  <c r="Q85" i="3"/>
  <c r="Q84" i="3"/>
  <c r="Q83" i="3"/>
  <c r="Q82" i="3"/>
  <c r="Q81" i="3"/>
  <c r="Q78" i="3"/>
  <c r="Q77" i="3"/>
  <c r="Q76" i="3"/>
  <c r="Q75" i="3"/>
  <c r="Q74" i="3"/>
  <c r="Q73" i="3"/>
  <c r="Q72" i="3"/>
  <c r="Q69" i="3"/>
  <c r="Q68" i="3"/>
  <c r="Q67" i="3"/>
  <c r="Q66" i="3"/>
  <c r="Q65" i="3"/>
  <c r="Q64" i="3"/>
  <c r="Q63" i="3"/>
  <c r="Q60" i="3"/>
  <c r="Q59" i="3"/>
  <c r="Q58" i="3"/>
  <c r="Q57" i="3"/>
  <c r="Q56" i="3"/>
  <c r="Q55" i="3"/>
  <c r="Q54" i="3"/>
  <c r="Q51" i="3"/>
  <c r="Q50" i="3"/>
  <c r="Q49" i="3"/>
  <c r="Q48" i="3"/>
  <c r="Q47" i="3"/>
  <c r="Q46" i="3"/>
  <c r="Q45" i="3"/>
  <c r="E41" i="3"/>
  <c r="Q40" i="3"/>
  <c r="Q39" i="3"/>
  <c r="E36" i="3"/>
  <c r="Q35" i="3"/>
  <c r="Q34" i="3"/>
  <c r="Q33" i="3"/>
  <c r="E29" i="3"/>
  <c r="E28" i="3"/>
  <c r="E27" i="3"/>
  <c r="Q26" i="3"/>
  <c r="Q25" i="3"/>
  <c r="E24" i="3"/>
  <c r="Q23" i="3"/>
  <c r="Q22" i="3"/>
  <c r="E21" i="3"/>
  <c r="Q20" i="3"/>
  <c r="Q19" i="3"/>
  <c r="E16" i="3"/>
  <c r="Q15" i="3"/>
  <c r="Q14" i="3"/>
  <c r="E156" i="1" l="1"/>
  <c r="E33" i="1"/>
  <c r="R30" i="10"/>
  <c r="E14" i="1"/>
  <c r="E104" i="1"/>
  <c r="E105" i="1"/>
  <c r="E78" i="1"/>
  <c r="E26" i="1"/>
  <c r="T106" i="11"/>
  <c r="E55" i="1"/>
  <c r="E30" i="9"/>
  <c r="E56" i="1"/>
  <c r="I30" i="11"/>
  <c r="J30" i="11"/>
  <c r="T52" i="11"/>
  <c r="E82" i="1"/>
  <c r="E135" i="1"/>
  <c r="E57" i="1"/>
  <c r="E161" i="1"/>
  <c r="E134" i="1"/>
  <c r="E133" i="1"/>
  <c r="E143" i="1"/>
  <c r="E132" i="1"/>
  <c r="E65" i="1"/>
  <c r="E115" i="1"/>
  <c r="E66" i="1"/>
  <c r="E144" i="1"/>
  <c r="E23" i="1"/>
  <c r="T97" i="11"/>
  <c r="T129" i="11"/>
  <c r="T151" i="11"/>
  <c r="T79" i="11"/>
  <c r="T61" i="11"/>
  <c r="E47" i="1"/>
  <c r="E96" i="1"/>
  <c r="E48" i="1"/>
  <c r="E99" i="1"/>
  <c r="E128" i="1"/>
  <c r="E127" i="1"/>
  <c r="E73" i="1"/>
  <c r="E49" i="1"/>
  <c r="E74" i="1"/>
  <c r="E100" i="1"/>
  <c r="E150" i="1"/>
  <c r="E25" i="1"/>
  <c r="E50" i="1"/>
  <c r="E75" i="1"/>
  <c r="E101" i="1"/>
  <c r="E153" i="1"/>
  <c r="S138" i="10"/>
  <c r="S61" i="10"/>
  <c r="S166" i="10"/>
  <c r="E51" i="1"/>
  <c r="E76" i="1"/>
  <c r="E102" i="1"/>
  <c r="E154" i="1"/>
  <c r="S88" i="10"/>
  <c r="E77" i="1"/>
  <c r="E103" i="1"/>
  <c r="E155" i="1"/>
  <c r="S110" i="10"/>
  <c r="E59" i="1"/>
  <c r="E84" i="1"/>
  <c r="E137" i="1"/>
  <c r="E162" i="1"/>
  <c r="S170" i="10"/>
  <c r="E34" i="1"/>
  <c r="E60" i="1"/>
  <c r="E85" i="1"/>
  <c r="E163" i="1"/>
  <c r="S91" i="10"/>
  <c r="E35" i="1"/>
  <c r="E86" i="1"/>
  <c r="E112" i="1"/>
  <c r="E140" i="1"/>
  <c r="E164" i="1"/>
  <c r="S122" i="10"/>
  <c r="E114" i="1"/>
  <c r="E142" i="1"/>
  <c r="S97" i="10"/>
  <c r="E58" i="1"/>
  <c r="E87" i="1"/>
  <c r="E136" i="1"/>
  <c r="E141" i="1"/>
  <c r="E83" i="1"/>
  <c r="E15" i="1"/>
  <c r="E113" i="1"/>
  <c r="E39" i="1"/>
  <c r="E40" i="1"/>
  <c r="E169" i="1"/>
  <c r="E20" i="1"/>
  <c r="E67" i="1"/>
  <c r="E145" i="1"/>
  <c r="E109" i="1"/>
  <c r="E63" i="1"/>
  <c r="E165" i="1"/>
  <c r="E64" i="1"/>
  <c r="E19" i="1"/>
  <c r="E68" i="1"/>
  <c r="E146" i="1"/>
  <c r="E69" i="1"/>
  <c r="E94" i="1"/>
  <c r="E125" i="1"/>
  <c r="E174" i="1"/>
  <c r="E22" i="1"/>
  <c r="E46" i="1"/>
  <c r="E95" i="1"/>
  <c r="E126" i="1"/>
  <c r="V97" i="9"/>
  <c r="E93" i="1"/>
  <c r="V170" i="9"/>
  <c r="E168" i="1"/>
  <c r="V61" i="9"/>
  <c r="E54" i="1"/>
  <c r="V138" i="9"/>
  <c r="E131" i="1"/>
  <c r="V88" i="9"/>
  <c r="E81" i="1"/>
  <c r="V110" i="9"/>
  <c r="E108" i="1"/>
  <c r="V122" i="9"/>
  <c r="E121" i="1"/>
  <c r="E122" i="1" s="1"/>
  <c r="V151" i="9"/>
  <c r="E149" i="1"/>
  <c r="V166" i="9"/>
  <c r="E159" i="1"/>
  <c r="V91" i="9"/>
  <c r="E90" i="1"/>
  <c r="E91" i="1" s="1"/>
  <c r="V129" i="9"/>
  <c r="E124" i="1"/>
  <c r="V52" i="9"/>
  <c r="E45" i="1"/>
  <c r="V79" i="9"/>
  <c r="E72" i="1"/>
  <c r="V106" i="9"/>
  <c r="V157" i="9"/>
  <c r="V147" i="9"/>
  <c r="V70" i="9"/>
  <c r="S147" i="10"/>
  <c r="S70" i="10"/>
  <c r="S151" i="10"/>
  <c r="S52" i="10"/>
  <c r="S106" i="10"/>
  <c r="S129" i="10"/>
  <c r="S79" i="10"/>
  <c r="S157" i="10"/>
  <c r="T138" i="11"/>
  <c r="T166" i="11"/>
  <c r="T70" i="11"/>
  <c r="T91" i="11"/>
  <c r="T147" i="11"/>
  <c r="E30" i="11"/>
  <c r="T122" i="11"/>
  <c r="Q166" i="3"/>
  <c r="Q106" i="3"/>
  <c r="Q129" i="3"/>
  <c r="Q79" i="3"/>
  <c r="Q138" i="3"/>
  <c r="Q151" i="3"/>
  <c r="Q97" i="3"/>
  <c r="Q157" i="3"/>
  <c r="Q52" i="3"/>
  <c r="Q61" i="3"/>
  <c r="Q170" i="3"/>
  <c r="Q88" i="3"/>
  <c r="Q110" i="3"/>
  <c r="Q147" i="3"/>
  <c r="P30" i="3"/>
  <c r="Q91" i="3"/>
  <c r="M30" i="3"/>
  <c r="L30" i="3"/>
  <c r="Q70" i="3"/>
  <c r="Q122" i="3"/>
  <c r="L173" i="3"/>
  <c r="L175" i="3" s="1"/>
  <c r="K173" i="3"/>
  <c r="K175" i="3" s="1"/>
  <c r="O173" i="3"/>
  <c r="O175" i="3" s="1"/>
  <c r="N30" i="3"/>
  <c r="F173" i="3"/>
  <c r="F175" i="3" s="1"/>
  <c r="P173" i="3"/>
  <c r="P175" i="3" s="1"/>
  <c r="E173" i="3"/>
  <c r="E175" i="3" s="1"/>
  <c r="M173" i="3"/>
  <c r="M175" i="3" s="1"/>
  <c r="J173" i="3"/>
  <c r="J175" i="3" s="1"/>
  <c r="N173" i="3"/>
  <c r="N175" i="3" s="1"/>
  <c r="I30" i="3"/>
  <c r="G173" i="3"/>
  <c r="G175" i="3" s="1"/>
  <c r="K30" i="3"/>
  <c r="J30" i="3"/>
  <c r="I173" i="3"/>
  <c r="I175" i="3" s="1"/>
  <c r="M30" i="11"/>
  <c r="O30" i="11"/>
  <c r="O30" i="9"/>
  <c r="G30" i="3"/>
  <c r="O30" i="3"/>
  <c r="H30" i="3"/>
  <c r="F30" i="3"/>
  <c r="I175" i="11"/>
  <c r="G30" i="11"/>
  <c r="H30" i="11"/>
  <c r="F30" i="11"/>
  <c r="E30" i="10"/>
  <c r="L30" i="10"/>
  <c r="O30" i="10"/>
  <c r="L173" i="10"/>
  <c r="L175" i="10" s="1"/>
  <c r="O173" i="9"/>
  <c r="V21" i="9"/>
  <c r="H175" i="11"/>
  <c r="T21" i="11"/>
  <c r="K175" i="11"/>
  <c r="T24" i="11"/>
  <c r="T28" i="11"/>
  <c r="L175" i="11"/>
  <c r="O175" i="11"/>
  <c r="E175" i="11"/>
  <c r="T16" i="11"/>
  <c r="T29" i="11"/>
  <c r="L30" i="11"/>
  <c r="T36" i="11"/>
  <c r="N30" i="11"/>
  <c r="T41" i="11"/>
  <c r="T27" i="11"/>
  <c r="N175" i="11"/>
  <c r="M175" i="11"/>
  <c r="G175" i="11"/>
  <c r="T119" i="11"/>
  <c r="K30" i="11"/>
  <c r="J175" i="11"/>
  <c r="F175" i="11"/>
  <c r="O173" i="10"/>
  <c r="O175" i="10" s="1"/>
  <c r="N173" i="10"/>
  <c r="N175" i="10" s="1"/>
  <c r="S28" i="10"/>
  <c r="M173" i="10"/>
  <c r="M175" i="10" s="1"/>
  <c r="S27" i="10"/>
  <c r="S29" i="10"/>
  <c r="R173" i="10"/>
  <c r="R175" i="10" s="1"/>
  <c r="S119" i="10"/>
  <c r="S36" i="10"/>
  <c r="S16" i="10"/>
  <c r="M30" i="10"/>
  <c r="S21" i="10"/>
  <c r="S24" i="10"/>
  <c r="S41" i="10"/>
  <c r="N30" i="10"/>
  <c r="E173" i="10"/>
  <c r="V36" i="9"/>
  <c r="V29" i="9"/>
  <c r="V24" i="9"/>
  <c r="V41" i="9"/>
  <c r="V27" i="9"/>
  <c r="V16" i="9"/>
  <c r="E173" i="9"/>
  <c r="V28" i="9"/>
  <c r="E30" i="3"/>
  <c r="Q21" i="3"/>
  <c r="Q27" i="3"/>
  <c r="Q24" i="3"/>
  <c r="Q41" i="3"/>
  <c r="Q16" i="3"/>
  <c r="Q36" i="3"/>
  <c r="Q29" i="3"/>
  <c r="Q119" i="3"/>
  <c r="Q28" i="3"/>
  <c r="O175" i="9" l="1"/>
  <c r="E106" i="1"/>
  <c r="E147" i="1"/>
  <c r="E70" i="1"/>
  <c r="E97" i="1"/>
  <c r="E79" i="1"/>
  <c r="E61" i="1"/>
  <c r="E129" i="1"/>
  <c r="E52" i="1"/>
  <c r="E138" i="1"/>
  <c r="E151" i="1"/>
  <c r="E157" i="1"/>
  <c r="E170" i="1"/>
  <c r="E110" i="1"/>
  <c r="E166" i="1"/>
  <c r="E88" i="1"/>
  <c r="E116" i="1"/>
  <c r="E119" i="1" s="1"/>
  <c r="V119" i="9"/>
  <c r="Q175" i="3"/>
  <c r="Q173" i="3"/>
  <c r="V30" i="9"/>
  <c r="T30" i="11"/>
  <c r="T173" i="11"/>
  <c r="T175" i="11"/>
  <c r="S30" i="10"/>
  <c r="S173" i="10"/>
  <c r="E175" i="10"/>
  <c r="S175" i="10" s="1"/>
  <c r="V173" i="9"/>
  <c r="E175" i="9"/>
  <c r="V175" i="9" s="1"/>
  <c r="Q30" i="3"/>
  <c r="E173" i="1" l="1"/>
  <c r="E175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<sst xmlns="http://schemas.openxmlformats.org/spreadsheetml/2006/main" count="3052" uniqueCount="188">
  <si>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</si>
  <si>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</si>
  <si>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</si>
  <si>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</si>
  <si>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</si>
  <si>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</si>
  <si>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</si>
  <si>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</si>
  <si>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</si>
  <si>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</si>
  <si>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</si>
  <si>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</si>
  <si>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</si>
  <si>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</si>
  <si>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</si>
  <si>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</si>
  <si>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</si>
  <si>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</si>
  <si>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</si>
  <si>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</si>
  <si>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</si>
  <si>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</si>
  <si>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</si>
  <si>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</si>
  <si>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</si>
  <si>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</si>
  <si>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</si>
  <si>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</si>
  <si>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</si>
  <si>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</si>
  <si>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</si>
  <si>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</si>
  <si>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</si>
  <si>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</si>
  <si>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</si>
  <si>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</si>
  <si>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</si>
  <si>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</si>
  <si>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</si>
  <si>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</si>
  <si>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</si>
  <si>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</si>
  <si>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</si>
  <si>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</si>
  <si>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</si>
  <si>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</si>
  <si>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</si>
  <si>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</si>
  <si>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</si>
  <si>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</si>
  <si>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</si>
  <si>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</si>
  <si>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</si>
  <si>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</si>
  <si>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</si>
  <si>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</si>
  <si>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</si>
  <si>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</si>
  <si>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</si>
  <si>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</si>
  <si>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</si>
  <si>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</si>
  <si>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</si>
  <si>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</si>
  <si>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</si>
  <si>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</si>
  <si>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</si>
  <si>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</si>
  <si>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</si>
  <si>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</si>
  <si>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</si>
  <si>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</si>
  <si>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</si>
  <si>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</si>
  <si>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</si>
  <si>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</si>
  <si>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</si>
  <si>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</si>
  <si>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</si>
  <si>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</si>
  <si>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</si>
  <si>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</si>
  <si>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</si>
  <si>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</si>
  <si>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</si>
  <si>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</si>
  <si>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</si>
  <si>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</si>
  <si>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</si>
  <si>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</si>
  <si>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</si>
  <si>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</si>
  <si>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</si>
  <si>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</si>
  <si>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</si>
  <si>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</si>
  <si>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</si>
  <si>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</si>
  <si>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</si>
  <si>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</si>
  <si>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</si>
  <si>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</si>
  <si>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</si>
  <si>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</si>
  <si>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1. H. MUHAMMAD ALI MAHRUS, S.H.I., M.H</t>
  </si>
  <si>
    <t>2. TUPANG SOEDARGO</t>
  </si>
  <si>
    <t>3. Hj. KHOLIFATUL HASANAH</t>
  </si>
  <si>
    <t>4. FUAD HUMAIDI, S.H.I.</t>
  </si>
  <si>
    <t>5. ENI WIJI LESTARI</t>
  </si>
  <si>
    <t>6. SONNY AGUS SETIAWAN</t>
  </si>
  <si>
    <t>1. SUWITO</t>
  </si>
  <si>
    <t>2. LIMPAT PRAWIRO DIKDO</t>
  </si>
  <si>
    <t>3. PUPUT DESI PRATAMA EKA PUTRI</t>
  </si>
  <si>
    <t>4. RUDI HANDOKO</t>
  </si>
  <si>
    <t>5. IWAN SETIAWAN</t>
  </si>
  <si>
    <t>6. JUWITA INDRASARI</t>
  </si>
  <si>
    <t>1. AHMAD MASROHAN</t>
  </si>
  <si>
    <t>2. HARIYANTO</t>
  </si>
  <si>
    <t>3. INDAH MARHENI</t>
  </si>
  <si>
    <t>4. AGUS PRIYONO</t>
  </si>
  <si>
    <t>5. SETYA RAHAYU</t>
  </si>
  <si>
    <t>6. M. HAFI WIJAYA</t>
  </si>
  <si>
    <t>1. SRI YULIANI</t>
  </si>
  <si>
    <t>2. ACHMAD SUMARNO, S.E.</t>
  </si>
  <si>
    <t>3. MUHAMMAD SAHLAN, S.Sos., M.A.</t>
  </si>
  <si>
    <t>4. MAYA YUSEFA, S.Pd.</t>
  </si>
  <si>
    <t>5. SUPARMAN</t>
  </si>
  <si>
    <t>6. NURHIDAYAT</t>
  </si>
  <si>
    <t>1. RATIH NUR HAYATI, S.T.</t>
  </si>
  <si>
    <t>2. ISTILAH MUSTOFA, S.H.</t>
  </si>
  <si>
    <t>3. ACHMAD RIDHO HADISISWOYO, S.Tr.P.</t>
  </si>
  <si>
    <t>4. AKHMAD ROSIDI</t>
  </si>
  <si>
    <t>5. MUHAMAD VAHID FAIQ</t>
  </si>
  <si>
    <t>6. TITIS MEILIKA WIYONO</t>
  </si>
  <si>
    <t>1. RIFKI ALFAN SANI</t>
  </si>
  <si>
    <t>2. RAPI'I</t>
  </si>
  <si>
    <t>3. NUR IKA SETIAWATI</t>
  </si>
  <si>
    <t>1. VITA RIMA YANTI, S.KM.</t>
  </si>
  <si>
    <t>2. EKO WAHYU HIDAYAT, A.Md.</t>
  </si>
  <si>
    <t>3. EDY PURNOMO</t>
  </si>
  <si>
    <t>4. SUNTARIAS PUTRI DAMAYANTI, A.Ma.</t>
  </si>
  <si>
    <t>5. MUHAMMAD AFIF</t>
  </si>
  <si>
    <t>6. SHOHIB QOMAD DILLAH, S.T.P.</t>
  </si>
  <si>
    <t>1. AGUS TARMIDI</t>
  </si>
  <si>
    <t>1. MOHAMAD ROSUL</t>
  </si>
  <si>
    <t>2. H. AHMAD NUR ALCHAFFAF</t>
  </si>
  <si>
    <t>3. ISTIQUMILAILLI</t>
  </si>
  <si>
    <t>4. JOKO NUGROHO</t>
  </si>
  <si>
    <t>5. MEGA PRAMESWARI</t>
  </si>
  <si>
    <t>6. BUDI HARTONO</t>
  </si>
  <si>
    <t>1. AHMAD THOHIR WIJAYA FIRDAUS</t>
  </si>
  <si>
    <t>2. HABIBI ALWI MAULANA</t>
  </si>
  <si>
    <t>3. DEWI SAFITRI</t>
  </si>
  <si>
    <t>4. YETI JUMIANIK</t>
  </si>
  <si>
    <t>1. SEDYO EKANTORO</t>
  </si>
  <si>
    <t>2. YUDI ARISATA</t>
  </si>
  <si>
    <t>3. IDA YAYA ELISA</t>
  </si>
  <si>
    <t>4. SUWARSONO</t>
  </si>
  <si>
    <t>5. DINDA DWI AYU LESTARI</t>
  </si>
  <si>
    <t>6. SULAIMAN AFANDI</t>
  </si>
  <si>
    <t>1. YULIAWAN BAMBANG SUKIYANTO</t>
  </si>
  <si>
    <t>2. MOHAMMAD IQBAL LUTFI AR, S.E.</t>
  </si>
  <si>
    <t>3. SHIRLEY OLIVIA INGRID MAMANGKEY</t>
  </si>
  <si>
    <t>4. RUDY HARTONO</t>
  </si>
  <si>
    <t>5. NURHAYATI</t>
  </si>
  <si>
    <t>6. Drs. BAMBANG SANTOSA, M.A.P.</t>
  </si>
  <si>
    <t>1. KARIMAH, S.H.</t>
  </si>
  <si>
    <t>1. CHOIRUL ANWAR</t>
  </si>
  <si>
    <t>2. WENNY ANDRIANA</t>
  </si>
  <si>
    <t>3. GUNAWAN HARIO WIBOWO</t>
  </si>
  <si>
    <t>1. KUKUH WAHYUDI, S.E.</t>
  </si>
  <si>
    <t>2. H. KARYONO, S.P.</t>
  </si>
  <si>
    <t>3. ENY MASRUROH</t>
  </si>
  <si>
    <t>4. AROFIQ, S.E.</t>
  </si>
  <si>
    <t>5. MISBAHUL MUNIR</t>
  </si>
  <si>
    <t>6. SRI HASANAH</t>
  </si>
  <si>
    <t>1. MOH. ROFII</t>
  </si>
  <si>
    <t>SINGOJURUH</t>
  </si>
  <si>
    <t>ALASMALANG</t>
  </si>
  <si>
    <t>BENELAN KIDUL</t>
  </si>
  <si>
    <t>CANTUK</t>
  </si>
  <si>
    <t>GAMBOR</t>
  </si>
  <si>
    <t>GUMIRIH</t>
  </si>
  <si>
    <t>KEMIRI</t>
  </si>
  <si>
    <t>LEMAHBANGKULON</t>
  </si>
  <si>
    <t>PADANG</t>
  </si>
  <si>
    <t>SINGOLATREN</t>
  </si>
  <si>
    <t>SUMBERBARU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</si>
</sst>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4" xfId="0" applyFont="1" applyBorder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309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93" zoomScale="85" zoomScaleNormal="85" workbookViewId="0">
      <selection activeCell="A251" activeCellId="17" sqref="A52:XFD54 A64:XFD66 A76:XFD78 A88:XFD90 A100:XFD102 A106:XFD114 A121:XFD126 A136:XFD138 A143:XFD150 A160:XFD162 A166:XFD174 A182:XFD186 A196:XFD198 A208:XFD210 A215:XFD222 A229:XFD234 A244:XFD246 A251:XFD258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98</v>
      </c>
      <c r="D8" s="43" t="s">
        <v>177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99</v>
      </c>
      <c r="D9" s="43" t="s">
        <v>100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101</v>
      </c>
      <c r="D10" s="43" t="s">
        <v>102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53" t="s">
        <v>1</v>
      </c>
      <c r="C12" s="51"/>
      <c r="D12" s="52"/>
      <c r="E12" s="92" t="s">
        <v>97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58" t="s">
        <v>3</v>
      </c>
      <c r="C13" s="51"/>
      <c r="D13" s="52"/>
      <c r="E13" s="63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59" t="s">
        <v>22</v>
      </c>
      <c r="C14" s="60"/>
      <c r="D14" s="6" t="s">
        <v>23</v>
      </c>
      <c r="E14" s="9">
        <f>ALASMALANG!V14+'BENELAN KIDUL'!S14+CANTUK!T14+GAMBOR!N14+GUMIRIH!S14+KEMIRI!U14+LEMAHBANGKULON!Q14+PADANG!Q14+SINGOJURUH!AC14+SINGOLATREN!T14+SUMBERBARU!S14</f>
        <v>19838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61"/>
      <c r="C15" s="62"/>
      <c r="D15" s="6" t="s">
        <v>24</v>
      </c>
      <c r="E15" s="9">
        <f>ALASMALANG!V15+'BENELAN KIDUL'!S15+CANTUK!T15+GAMBOR!N15+GUMIRIH!S15+KEMIRI!U15+LEMAHBANGKULON!Q15+PADANG!Q15+SINGOJURUH!AC15+SINGOLATREN!T15+SUMBERBARU!S15</f>
        <v>20150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63"/>
      <c r="C16" s="64"/>
      <c r="D16" s="5" t="s">
        <v>25</v>
      </c>
      <c r="E16" s="25">
        <f t="shared" ref="E16" si="0">SUM(E14:E15)</f>
        <v>39988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50"/>
      <c r="B17" s="51"/>
      <c r="C17" s="51"/>
      <c r="D17" s="52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58" t="s">
        <v>27</v>
      </c>
      <c r="C18" s="51"/>
      <c r="D18" s="52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65" t="s">
        <v>28</v>
      </c>
      <c r="C19" s="66" t="s">
        <v>29</v>
      </c>
      <c r="D19" s="6" t="s">
        <v>23</v>
      </c>
      <c r="E19" s="9">
        <f>ALASMALANG!V19+'BENELAN KIDUL'!S19+CANTUK!T19+GAMBOR!N19+GUMIRIH!S19+KEMIRI!U19+LEMAHBANGKULON!Q19+PADANG!Q19+SINGOJURUH!AC19+SINGOLATREN!T19+SUMBERBARU!S19</f>
        <v>14812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62"/>
      <c r="C20" s="67"/>
      <c r="D20" s="6" t="s">
        <v>24</v>
      </c>
      <c r="E20" s="9">
        <f>ALASMALANG!V20+'BENELAN KIDUL'!S20+CANTUK!T20+GAMBOR!N20+GUMIRIH!S20+KEMIRI!U20+LEMAHBANGKULON!Q20+PADANG!Q20+SINGOJURUH!AC20+SINGOLATREN!T20+SUMBERBARU!S20</f>
        <v>16084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64"/>
      <c r="C21" s="68"/>
      <c r="D21" s="5" t="s">
        <v>25</v>
      </c>
      <c r="E21" s="25">
        <f t="shared" ref="E21" si="1">SUM(E19:E20)</f>
        <v>30896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65" t="s">
        <v>30</v>
      </c>
      <c r="C22" s="66" t="s">
        <v>31</v>
      </c>
      <c r="D22" s="6" t="s">
        <v>23</v>
      </c>
      <c r="E22" s="9">
        <f>ALASMALANG!V22+'BENELAN KIDUL'!S22+CANTUK!T22+GAMBOR!N22+GUMIRIH!S22+KEMIRI!U22+LEMAHBANGKULON!Q22+PADANG!Q22+SINGOJURUH!AC22+SINGOLATREN!T22+SUMBERBARU!S22</f>
        <v>50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62"/>
      <c r="C23" s="67"/>
      <c r="D23" s="6" t="s">
        <v>24</v>
      </c>
      <c r="E23" s="9">
        <f>ALASMALANG!V23+'BENELAN KIDUL'!S23+CANTUK!T23+GAMBOR!N23+GUMIRIH!S23+KEMIRI!U23+LEMAHBANGKULON!Q23+PADANG!Q23+SINGOJURUH!AC23+SINGOLATREN!T23+SUMBERBARU!S23</f>
        <v>46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64"/>
      <c r="C24" s="68"/>
      <c r="D24" s="5" t="s">
        <v>25</v>
      </c>
      <c r="E24" s="25">
        <f t="shared" ref="E24" si="2">SUM(E22:E23)</f>
        <v>96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65" t="s">
        <v>32</v>
      </c>
      <c r="C25" s="66" t="s">
        <v>33</v>
      </c>
      <c r="D25" s="6" t="s">
        <v>23</v>
      </c>
      <c r="E25" s="9">
        <f>ALASMALANG!V25+'BENELAN KIDUL'!S25+CANTUK!T25+GAMBOR!N25+GUMIRIH!S25+KEMIRI!U25+LEMAHBANGKULON!Q25+PADANG!Q25+SINGOJURUH!AC25+SINGOLATREN!T25+SUMBERBARU!S25</f>
        <v>135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62"/>
      <c r="C26" s="67"/>
      <c r="D26" s="6" t="s">
        <v>24</v>
      </c>
      <c r="E26" s="9">
        <f>ALASMALANG!V26+'BENELAN KIDUL'!S26+CANTUK!T26+GAMBOR!N26+GUMIRIH!S26+KEMIRI!U26+LEMAHBANGKULON!Q26+PADANG!Q26+SINGOJURUH!AC26+SINGOLATREN!T26+SUMBERBARU!S26</f>
        <v>163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64"/>
      <c r="C27" s="68"/>
      <c r="D27" s="5" t="s">
        <v>25</v>
      </c>
      <c r="E27" s="25">
        <f t="shared" ref="E27" si="3">SUM(E25:E26)</f>
        <v>298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69" t="s">
        <v>34</v>
      </c>
      <c r="C28" s="70" t="s">
        <v>35</v>
      </c>
      <c r="D28" s="5" t="s">
        <v>23</v>
      </c>
      <c r="E28" s="25">
        <f t="shared" ref="E28:E29" si="4">E19+E22+E25</f>
        <v>14997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62"/>
      <c r="C29" s="67"/>
      <c r="D29" s="5" t="s">
        <v>24</v>
      </c>
      <c r="E29" s="25">
        <f t="shared" si="4"/>
        <v>16293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64"/>
      <c r="C30" s="68"/>
      <c r="D30" s="5" t="s">
        <v>25</v>
      </c>
      <c r="E30" s="25">
        <f t="shared" ref="E30" si="5">SUM(E28:E29)</f>
        <v>31290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50"/>
      <c r="B31" s="51"/>
      <c r="C31" s="51"/>
      <c r="D31" s="52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53" t="s">
        <v>37</v>
      </c>
      <c r="C32" s="51"/>
      <c r="D32" s="52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58" t="s">
        <v>38</v>
      </c>
      <c r="C33" s="51"/>
      <c r="D33" s="52"/>
      <c r="E33" s="9">
        <f>ALASMALANG!V33+'BENELAN KIDUL'!S33+CANTUK!T33+GAMBOR!N33+GUMIRIH!S33+KEMIRI!U33+LEMAHBANGKULON!Q33+PADANG!Q33+SINGOJURUH!AC33+SINGOLATREN!T33+SUMBERBARU!S33</f>
        <v>40760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58" t="s">
        <v>39</v>
      </c>
      <c r="C34" s="51"/>
      <c r="D34" s="52"/>
      <c r="E34" s="9">
        <f>ALASMALANG!V34+'BENELAN KIDUL'!S34+CANTUK!T34+GAMBOR!N34+GUMIRIH!S34+KEMIRI!U34+LEMAHBANGKULON!Q34+PADANG!Q34+SINGOJURUH!AC34+SINGOLATREN!T34+SUMBERBARU!S34</f>
        <v>31290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58" t="s">
        <v>40</v>
      </c>
      <c r="C35" s="51"/>
      <c r="D35" s="52"/>
      <c r="E35" s="9">
        <f>ALASMALANG!V35+'BENELAN KIDUL'!S35+CANTUK!T35+GAMBOR!N35+GUMIRIH!S35+KEMIRI!U35+LEMAHBANGKULON!Q35+PADANG!Q35+SINGOJURUH!AC35+SINGOLATREN!T35+SUMBERBARU!S35</f>
        <v>95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58" t="s">
        <v>41</v>
      </c>
      <c r="C36" s="51"/>
      <c r="D36" s="52"/>
      <c r="E36" s="25">
        <f t="shared" ref="E36" si="6">E33-(E34+E35)</f>
        <v>9375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50"/>
      <c r="B37" s="51"/>
      <c r="C37" s="51"/>
      <c r="D37" s="51"/>
      <c r="E37" s="51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53" t="s">
        <v>43</v>
      </c>
      <c r="C38" s="51"/>
      <c r="D38" s="52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74" t="s">
        <v>44</v>
      </c>
      <c r="C39" s="60"/>
      <c r="D39" s="6" t="s">
        <v>23</v>
      </c>
      <c r="E39" s="9">
        <f>ALASMALANG!V39+'BENELAN KIDUL'!S39+CANTUK!T39+GAMBOR!N39+GUMIRIH!S39+KEMIRI!U39+LEMAHBANGKULON!Q39+PADANG!Q39+SINGOJURUH!AC39+SINGOLATREN!T39+SUMBERBARU!S39</f>
        <v>32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75"/>
      <c r="C40" s="62"/>
      <c r="D40" s="6" t="s">
        <v>24</v>
      </c>
      <c r="E40" s="9">
        <f>ALASMALANG!V40+'BENELAN KIDUL'!S40+CANTUK!T40+GAMBOR!N40+GUMIRIH!S40+KEMIRI!U40+LEMAHBANGKULON!Q40+PADANG!Q40+SINGOJURUH!AC40+SINGOLATREN!T40+SUMBERBARU!S40</f>
        <v>55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76"/>
      <c r="C41" s="64"/>
      <c r="D41" s="5" t="s">
        <v>25</v>
      </c>
      <c r="E41" s="25">
        <f t="shared" ref="E41" si="7">SUM(E39:E40)</f>
        <v>87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77"/>
      <c r="B42" s="76"/>
      <c r="C42" s="76"/>
      <c r="D42" s="64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53" t="s">
        <v>46</v>
      </c>
      <c r="C43" s="51"/>
      <c r="D43" s="52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74" t="s">
        <v>47</v>
      </c>
      <c r="B44" s="78"/>
      <c r="C44" s="78"/>
      <c r="D44" s="60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79" t="s">
        <v>49</v>
      </c>
      <c r="D45" s="52"/>
      <c r="E45" s="9">
        <f>ALASMALANG!V45+'BENELAN KIDUL'!S45+CANTUK!T45+GAMBOR!N45+GUMIRIH!S45+KEMIRI!U45+LEMAHBANGKULON!Q45+PADANG!Q45+SINGOJURUH!AC45+SINGOLATREN!T45+SUMBERBARU!S45</f>
        <v>1065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46"/>
      <c r="C46" s="24" t="s">
        <v>104</v>
      </c>
      <c r="D46" s="47"/>
      <c r="E46" s="9">
        <f>ALASMALANG!V46+'BENELAN KIDUL'!S46+CANTUK!T46+GAMBOR!N46+GUMIRIH!S46+KEMIRI!U46+LEMAHBANGKULON!Q46+PADANG!Q46+SINGOJURUH!AC46+SINGOLATREN!T46+SUMBERBARU!S46</f>
        <v>2901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46"/>
      <c r="C47" s="24" t="s">
        <v>105</v>
      </c>
      <c r="D47" s="47"/>
      <c r="E47" s="9">
        <f>ALASMALANG!V47+'BENELAN KIDUL'!S47+CANTUK!T47+GAMBOR!N47+GUMIRIH!S47+KEMIRI!U47+LEMAHBANGKULON!Q47+PADANG!Q47+SINGOJURUH!AC47+SINGOLATREN!T47+SUMBERBARU!S47</f>
        <v>4472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46"/>
      <c r="C48" s="24" t="s">
        <v>106</v>
      </c>
      <c r="D48" s="47"/>
      <c r="E48" s="9">
        <f>ALASMALANG!V48+'BENELAN KIDUL'!S48+CANTUK!T48+GAMBOR!N48+GUMIRIH!S48+KEMIRI!U48+LEMAHBANGKULON!Q48+PADANG!Q48+SINGOJURUH!AC48+SINGOLATREN!T48+SUMBERBARU!S48</f>
        <v>95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46"/>
      <c r="C49" s="24" t="s">
        <v>107</v>
      </c>
      <c r="D49" s="47"/>
      <c r="E49" s="9">
        <f>ALASMALANG!V49+'BENELAN KIDUL'!S49+CANTUK!T49+GAMBOR!N49+GUMIRIH!S49+KEMIRI!U49+LEMAHBANGKULON!Q49+PADANG!Q49+SINGOJURUH!AC49+SINGOLATREN!T49+SUMBERBARU!S49</f>
        <v>14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46"/>
      <c r="C50" s="24" t="s">
        <v>108</v>
      </c>
      <c r="D50" s="47"/>
      <c r="E50" s="9">
        <f>ALASMALANG!V50+'BENELAN KIDUL'!S50+CANTUK!T50+GAMBOR!N50+GUMIRIH!S50+KEMIRI!U50+LEMAHBANGKULON!Q50+PADANG!Q50+SINGOJURUH!AC50+SINGOLATREN!T50+SUMBERBARU!S50</f>
        <v>15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46"/>
      <c r="C51" s="24" t="s">
        <v>109</v>
      </c>
      <c r="D51" s="47"/>
      <c r="E51" s="9">
        <f>ALASMALANG!V51+'BENELAN KIDUL'!S51+CANTUK!T51+GAMBOR!N51+GUMIRIH!S51+KEMIRI!U51+LEMAHBANGKULON!Q51+PADANG!Q51+SINGOJURUH!AC51+SINGOLATREN!T51+SUMBERBARU!S51</f>
        <v>65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6" t="s">
        <v>26</v>
      </c>
      <c r="B52" s="71" t="s">
        <v>51</v>
      </c>
      <c r="C52" s="51"/>
      <c r="D52" s="52"/>
      <c r="E52" s="5">
        <f>SUM(E45:E51)</f>
        <v>8627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7"/>
      <c r="B53" s="76"/>
      <c r="C53" s="76"/>
      <c r="D53" s="76"/>
      <c r="E53" s="76"/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11" t="s">
        <v>48</v>
      </c>
      <c r="B54" s="17" t="s">
        <v>30</v>
      </c>
      <c r="C54" s="79" t="s">
        <v>52</v>
      </c>
      <c r="D54" s="52"/>
      <c r="E54" s="9">
        <f>ALASMALANG!V54+'BENELAN KIDUL'!S54+CANTUK!T54+GAMBOR!N54+GUMIRIH!S54+KEMIRI!U54+LEMAHBANGKULON!Q54+PADANG!Q54+SINGOJURUH!AC54+SINGOLATREN!T54+SUMBERBARU!S54</f>
        <v>1533</v>
      </c>
      <c r="F54" s="40"/>
      <c r="G54" s="1"/>
      <c r="H54" s="1"/>
      <c r="I54" s="1"/>
      <c r="J54" s="1"/>
      <c r="K54" s="1"/>
      <c r="L54" s="1"/>
      <c r="M54" s="1"/>
      <c r="N54" s="1"/>
      <c r="O54" s="1"/>
      <c r="P54" s="34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</row>
    <row r="55" spans="1:216" ht="15.75" customHeight="1" x14ac:dyDescent="0.4">
      <c r="A55" s="11" t="s">
        <v>50</v>
      </c>
      <c r="B55" s="46"/>
      <c r="C55" s="24" t="s">
        <v>110</v>
      </c>
      <c r="D55" s="47"/>
      <c r="E55" s="9">
        <f>ALASMALANG!V55+'BENELAN KIDUL'!S55+CANTUK!T55+GAMBOR!N55+GUMIRIH!S55+KEMIRI!U55+LEMAHBANGKULON!Q55+PADANG!Q55+SINGOJURUH!AC55+SINGOLATREN!T55+SUMBERBARU!S55</f>
        <v>3884</v>
      </c>
      <c r="F55" s="42"/>
      <c r="G55" s="27"/>
      <c r="H55" s="27"/>
      <c r="I55" s="27"/>
      <c r="J55" s="27"/>
      <c r="K55" s="27"/>
      <c r="L55" s="27"/>
      <c r="M55" s="27"/>
      <c r="N55" s="27"/>
      <c r="O55" s="27"/>
      <c r="P55" s="37"/>
      <c r="Q55" s="30"/>
      <c r="R55" s="30"/>
      <c r="S55" s="30"/>
      <c r="T55" s="30"/>
      <c r="U55" s="30"/>
      <c r="V55" s="30"/>
      <c r="W55" s="38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0"/>
      <c r="BM55" s="30"/>
      <c r="BN55" s="30"/>
      <c r="BO55" s="30"/>
      <c r="BP55" s="30"/>
      <c r="BQ55" s="30"/>
      <c r="BR55" s="38"/>
      <c r="BS55" s="30"/>
      <c r="BT55" s="30"/>
      <c r="BU55" s="30"/>
      <c r="BV55" s="30"/>
      <c r="BW55" s="30"/>
      <c r="BX55" s="30"/>
      <c r="BY55" s="30"/>
      <c r="BZ55" s="30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8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8"/>
      <c r="EZ55" s="38"/>
      <c r="FA55" s="38"/>
      <c r="FB55" s="38"/>
      <c r="FC55" s="38"/>
      <c r="FD55" s="38"/>
      <c r="FE55" s="38"/>
      <c r="FF55" s="30"/>
      <c r="FG55" s="30"/>
      <c r="FH55" s="30"/>
      <c r="FI55" s="30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</row>
    <row r="56" spans="1:216" ht="15.75" customHeight="1" x14ac:dyDescent="0.4">
      <c r="A56" s="7"/>
      <c r="B56" s="46"/>
      <c r="C56" s="24" t="s">
        <v>111</v>
      </c>
      <c r="D56" s="47"/>
      <c r="E56" s="9">
        <f>ALASMALANG!V56+'BENELAN KIDUL'!S56+CANTUK!T56+GAMBOR!N56+GUMIRIH!S56+KEMIRI!U56+LEMAHBANGKULON!Q56+PADANG!Q56+SINGOJURUH!AC56+SINGOLATREN!T56+SUMBERBARU!S56</f>
        <v>3222</v>
      </c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7"/>
      <c r="B57" s="46"/>
      <c r="C57" s="24" t="s">
        <v>112</v>
      </c>
      <c r="D57" s="47"/>
      <c r="E57" s="9">
        <f>ALASMALANG!V57+'BENELAN KIDUL'!S57+CANTUK!T57+GAMBOR!N57+GUMIRIH!S57+KEMIRI!U57+LEMAHBANGKULON!Q57+PADANG!Q57+SINGOJURUH!AC57+SINGOLATREN!T57+SUMBERBARU!S57</f>
        <v>91</v>
      </c>
      <c r="F57" s="39"/>
      <c r="G57" s="20"/>
      <c r="H57" s="20"/>
      <c r="I57" s="20"/>
      <c r="J57" s="20"/>
      <c r="K57" s="20"/>
      <c r="L57" s="20"/>
      <c r="M57" s="20"/>
      <c r="N57" s="20"/>
      <c r="O57" s="20"/>
      <c r="P57" s="32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</row>
    <row r="58" spans="1:216" ht="15.75" customHeight="1" x14ac:dyDescent="0.4">
      <c r="A58" s="7"/>
      <c r="B58" s="46"/>
      <c r="C58" s="24" t="s">
        <v>113</v>
      </c>
      <c r="D58" s="47"/>
      <c r="E58" s="9">
        <f>ALASMALANG!V58+'BENELAN KIDUL'!S58+CANTUK!T58+GAMBOR!N58+GUMIRIH!S58+KEMIRI!U58+LEMAHBANGKULON!Q58+PADANG!Q58+SINGOJURUH!AC58+SINGOLATREN!T58+SUMBERBARU!S58</f>
        <v>177</v>
      </c>
      <c r="F58" s="39"/>
      <c r="G58" s="20"/>
      <c r="H58" s="20"/>
      <c r="I58" s="20"/>
      <c r="J58" s="20"/>
      <c r="K58" s="20"/>
      <c r="L58" s="20"/>
      <c r="M58" s="20"/>
      <c r="N58" s="20"/>
      <c r="O58" s="20"/>
      <c r="P58" s="32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</row>
    <row r="59" spans="1:216" ht="15.75" customHeight="1" x14ac:dyDescent="0.4">
      <c r="A59" s="7"/>
      <c r="B59" s="46"/>
      <c r="C59" s="24" t="s">
        <v>114</v>
      </c>
      <c r="D59" s="47"/>
      <c r="E59" s="9">
        <f>ALASMALANG!V59+'BENELAN KIDUL'!S59+CANTUK!T59+GAMBOR!N59+GUMIRIH!S59+KEMIRI!U59+LEMAHBANGKULON!Q59+PADANG!Q59+SINGOJURUH!AC59+SINGOLATREN!T59+SUMBERBARU!S59</f>
        <v>10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46"/>
      <c r="C60" s="24" t="s">
        <v>115</v>
      </c>
      <c r="D60" s="47"/>
      <c r="E60" s="9">
        <f>ALASMALANG!V60+'BENELAN KIDUL'!S60+CANTUK!T60+GAMBOR!N60+GUMIRIH!S60+KEMIRI!U60+LEMAHBANGKULON!Q60+PADANG!Q60+SINGOJURUH!AC60+SINGOLATREN!T60+SUMBERBARU!S60</f>
        <v>32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6" t="s">
        <v>26</v>
      </c>
      <c r="B61" s="71" t="s">
        <v>51</v>
      </c>
      <c r="C61" s="51"/>
      <c r="D61" s="52"/>
      <c r="E61" s="5">
        <f>SUM(E54:E60)</f>
        <v>8949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7"/>
      <c r="B62" s="76"/>
      <c r="C62" s="76"/>
      <c r="D62" s="76"/>
      <c r="E62" s="76"/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11" t="s">
        <v>48</v>
      </c>
      <c r="B63" s="17" t="s">
        <v>32</v>
      </c>
      <c r="C63" s="79" t="s">
        <v>53</v>
      </c>
      <c r="D63" s="52"/>
      <c r="E63" s="9">
        <f>ALASMALANG!V63+'BENELAN KIDUL'!S63+CANTUK!T63+GAMBOR!N63+GUMIRIH!S63+KEMIRI!U63+LEMAHBANGKULON!Q63+PADANG!Q63+SINGOJURUH!AC63+SINGOLATREN!T63+SUMBERBARU!S63</f>
        <v>742</v>
      </c>
      <c r="F63" s="40"/>
      <c r="G63" s="1"/>
      <c r="H63" s="1"/>
      <c r="I63" s="1"/>
      <c r="J63" s="1"/>
      <c r="K63" s="1"/>
      <c r="L63" s="1"/>
      <c r="M63" s="1"/>
      <c r="N63" s="1"/>
      <c r="O63" s="1"/>
      <c r="P63" s="34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</row>
    <row r="64" spans="1:216" ht="15.75" customHeight="1" x14ac:dyDescent="0.4">
      <c r="A64" s="11" t="s">
        <v>50</v>
      </c>
      <c r="B64" s="46"/>
      <c r="C64" s="24" t="s">
        <v>116</v>
      </c>
      <c r="D64" s="47"/>
      <c r="E64" s="9">
        <f>ALASMALANG!V64+'BENELAN KIDUL'!S64+CANTUK!T64+GAMBOR!N64+GUMIRIH!S64+KEMIRI!U64+LEMAHBANGKULON!Q64+PADANG!Q64+SINGOJURUH!AC64+SINGOLATREN!T64+SUMBERBARU!S64</f>
        <v>360</v>
      </c>
      <c r="F64" s="42"/>
      <c r="G64" s="27"/>
      <c r="H64" s="27"/>
      <c r="I64" s="27"/>
      <c r="J64" s="27"/>
      <c r="K64" s="27"/>
      <c r="L64" s="27"/>
      <c r="M64" s="27"/>
      <c r="N64" s="27"/>
      <c r="O64" s="27"/>
      <c r="P64" s="37"/>
      <c r="Q64" s="30"/>
      <c r="R64" s="30"/>
      <c r="S64" s="30"/>
      <c r="T64" s="30"/>
      <c r="U64" s="30"/>
      <c r="V64" s="30"/>
      <c r="W64" s="38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0"/>
      <c r="BM64" s="30"/>
      <c r="BN64" s="30"/>
      <c r="BO64" s="30"/>
      <c r="BP64" s="30"/>
      <c r="BQ64" s="30"/>
      <c r="BR64" s="38"/>
      <c r="BS64" s="30"/>
      <c r="BT64" s="30"/>
      <c r="BU64" s="30"/>
      <c r="BV64" s="30"/>
      <c r="BW64" s="30"/>
      <c r="BX64" s="30"/>
      <c r="BY64" s="30"/>
      <c r="BZ64" s="30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8"/>
      <c r="EZ64" s="38"/>
      <c r="FA64" s="38"/>
      <c r="FB64" s="38"/>
      <c r="FC64" s="38"/>
      <c r="FD64" s="38"/>
      <c r="FE64" s="38"/>
      <c r="FF64" s="30"/>
      <c r="FG64" s="30"/>
      <c r="FH64" s="30"/>
      <c r="FI64" s="30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</row>
    <row r="65" spans="1:216" ht="15.75" customHeight="1" x14ac:dyDescent="0.4">
      <c r="A65" s="7"/>
      <c r="B65" s="46"/>
      <c r="C65" s="24" t="s">
        <v>117</v>
      </c>
      <c r="D65" s="47"/>
      <c r="E65" s="9">
        <f>ALASMALANG!V65+'BENELAN KIDUL'!S65+CANTUK!T65+GAMBOR!N65+GUMIRIH!S65+KEMIRI!U65+LEMAHBANGKULON!Q65+PADANG!Q65+SINGOJURUH!AC65+SINGOLATREN!T65+SUMBERBARU!S65</f>
        <v>2561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6"/>
      <c r="C66" s="24" t="s">
        <v>118</v>
      </c>
      <c r="D66" s="47"/>
      <c r="E66" s="9">
        <f>ALASMALANG!V66+'BENELAN KIDUL'!S66+CANTUK!T66+GAMBOR!N66+GUMIRIH!S66+KEMIRI!U66+LEMAHBANGKULON!Q66+PADANG!Q66+SINGOJURUH!AC66+SINGOLATREN!T66+SUMBERBARU!S66</f>
        <v>150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7"/>
      <c r="B67" s="46"/>
      <c r="C67" s="24" t="s">
        <v>119</v>
      </c>
      <c r="D67" s="47"/>
      <c r="E67" s="9">
        <f>ALASMALANG!V67+'BENELAN KIDUL'!S67+CANTUK!T67+GAMBOR!N67+GUMIRIH!S67+KEMIRI!U67+LEMAHBANGKULON!Q67+PADANG!Q67+SINGOJURUH!AC67+SINGOLATREN!T67+SUMBERBARU!S67</f>
        <v>361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7"/>
      <c r="B68" s="46"/>
      <c r="C68" s="24" t="s">
        <v>120</v>
      </c>
      <c r="D68" s="47"/>
      <c r="E68" s="9">
        <f>ALASMALANG!V68+'BENELAN KIDUL'!S68+CANTUK!T68+GAMBOR!N68+GUMIRIH!S68+KEMIRI!U68+LEMAHBANGKULON!Q68+PADANG!Q68+SINGOJURUH!AC68+SINGOLATREN!T68+SUMBERBARU!S68</f>
        <v>297</v>
      </c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7"/>
      <c r="B69" s="46"/>
      <c r="C69" s="24" t="s">
        <v>121</v>
      </c>
      <c r="D69" s="47"/>
      <c r="E69" s="9">
        <f>ALASMALANG!V69+'BENELAN KIDUL'!S69+CANTUK!T69+GAMBOR!N69+GUMIRIH!S69+KEMIRI!U69+LEMAHBANGKULON!Q69+PADANG!Q69+SINGOJURUH!AC69+SINGOLATREN!T69+SUMBERBARU!S69</f>
        <v>28</v>
      </c>
      <c r="F69" s="39"/>
      <c r="G69" s="20"/>
      <c r="H69" s="20"/>
      <c r="I69" s="20"/>
      <c r="J69" s="20"/>
      <c r="K69" s="20"/>
      <c r="L69" s="20"/>
      <c r="M69" s="20"/>
      <c r="N69" s="20"/>
      <c r="O69" s="20"/>
      <c r="P69" s="32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  <c r="GV69" s="33"/>
      <c r="GW69" s="33"/>
      <c r="GX69" s="33"/>
      <c r="GY69" s="33"/>
      <c r="GZ69" s="33"/>
      <c r="HA69" s="33"/>
      <c r="HB69" s="33"/>
      <c r="HC69" s="33"/>
      <c r="HD69" s="33"/>
      <c r="HE69" s="33"/>
      <c r="HF69" s="33"/>
      <c r="HG69" s="33"/>
      <c r="HH69" s="33"/>
    </row>
    <row r="70" spans="1:216" ht="15.75" customHeight="1" x14ac:dyDescent="0.4">
      <c r="A70" s="6" t="s">
        <v>26</v>
      </c>
      <c r="B70" s="71" t="s">
        <v>51</v>
      </c>
      <c r="C70" s="51"/>
      <c r="D70" s="52"/>
      <c r="E70" s="5">
        <f>SUM(E63:E69)</f>
        <v>4499</v>
      </c>
      <c r="F70" s="39"/>
      <c r="G70" s="20"/>
      <c r="H70" s="20"/>
      <c r="I70" s="20"/>
      <c r="J70" s="20"/>
      <c r="K70" s="20"/>
      <c r="L70" s="20"/>
      <c r="M70" s="20"/>
      <c r="N70" s="20"/>
      <c r="O70" s="20"/>
      <c r="P70" s="32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  <c r="GS70" s="33"/>
      <c r="GT70" s="33"/>
      <c r="GU70" s="33"/>
      <c r="GV70" s="33"/>
      <c r="GW70" s="33"/>
      <c r="GX70" s="33"/>
      <c r="GY70" s="33"/>
      <c r="GZ70" s="33"/>
      <c r="HA70" s="33"/>
      <c r="HB70" s="33"/>
      <c r="HC70" s="33"/>
      <c r="HD70" s="33"/>
      <c r="HE70" s="33"/>
      <c r="HF70" s="33"/>
      <c r="HG70" s="33"/>
      <c r="HH70" s="33"/>
    </row>
    <row r="71" spans="1:216" ht="15.75" customHeight="1" x14ac:dyDescent="0.4">
      <c r="A71" s="77"/>
      <c r="B71" s="76"/>
      <c r="C71" s="76"/>
      <c r="D71" s="76"/>
      <c r="E71" s="76"/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11" t="s">
        <v>48</v>
      </c>
      <c r="B72" s="17" t="s">
        <v>34</v>
      </c>
      <c r="C72" s="79" t="s">
        <v>54</v>
      </c>
      <c r="D72" s="52"/>
      <c r="E72" s="9">
        <f>ALASMALANG!V72+'BENELAN KIDUL'!S72+CANTUK!T72+GAMBOR!N72+GUMIRIH!S72+KEMIRI!U72+LEMAHBANGKULON!Q72+PADANG!Q72+SINGOJURUH!AC72+SINGOLATREN!T72+SUMBERBARU!S72</f>
        <v>281</v>
      </c>
      <c r="F72" s="40"/>
      <c r="G72" s="1"/>
      <c r="H72" s="1"/>
      <c r="I72" s="1"/>
      <c r="J72" s="1"/>
      <c r="K72" s="1"/>
      <c r="L72" s="1"/>
      <c r="M72" s="1"/>
      <c r="N72" s="1"/>
      <c r="O72" s="1"/>
      <c r="P72" s="34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</row>
    <row r="73" spans="1:216" ht="15.75" customHeight="1" x14ac:dyDescent="0.4">
      <c r="A73" s="11" t="s">
        <v>50</v>
      </c>
      <c r="B73" s="46"/>
      <c r="C73" s="24" t="s">
        <v>122</v>
      </c>
      <c r="D73" s="47"/>
      <c r="E73" s="9">
        <f>ALASMALANG!V73+'BENELAN KIDUL'!S73+CANTUK!T73+GAMBOR!N73+GUMIRIH!S73+KEMIRI!U73+LEMAHBANGKULON!Q73+PADANG!Q73+SINGOJURUH!AC73+SINGOLATREN!T73+SUMBERBARU!S73</f>
        <v>600</v>
      </c>
      <c r="F73" s="42"/>
      <c r="G73" s="27"/>
      <c r="H73" s="27"/>
      <c r="I73" s="27"/>
      <c r="J73" s="27"/>
      <c r="K73" s="27"/>
      <c r="L73" s="27"/>
      <c r="M73" s="27"/>
      <c r="N73" s="27"/>
      <c r="O73" s="27"/>
      <c r="P73" s="37"/>
      <c r="Q73" s="30"/>
      <c r="R73" s="30"/>
      <c r="S73" s="30"/>
      <c r="T73" s="30"/>
      <c r="U73" s="30"/>
      <c r="V73" s="30"/>
      <c r="W73" s="38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0"/>
      <c r="BM73" s="30"/>
      <c r="BN73" s="30"/>
      <c r="BO73" s="30"/>
      <c r="BP73" s="30"/>
      <c r="BQ73" s="30"/>
      <c r="BR73" s="38"/>
      <c r="BS73" s="30"/>
      <c r="BT73" s="30"/>
      <c r="BU73" s="30"/>
      <c r="BV73" s="30"/>
      <c r="BW73" s="30"/>
      <c r="BX73" s="30"/>
      <c r="BY73" s="30"/>
      <c r="BZ73" s="30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8"/>
      <c r="EZ73" s="38"/>
      <c r="FA73" s="38"/>
      <c r="FB73" s="38"/>
      <c r="FC73" s="38"/>
      <c r="FD73" s="38"/>
      <c r="FE73" s="38"/>
      <c r="FF73" s="30"/>
      <c r="FG73" s="30"/>
      <c r="FH73" s="30"/>
      <c r="FI73" s="30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</row>
    <row r="74" spans="1:216" ht="15.75" customHeight="1" x14ac:dyDescent="0.4">
      <c r="A74" s="7"/>
      <c r="B74" s="46"/>
      <c r="C74" s="24" t="s">
        <v>123</v>
      </c>
      <c r="D74" s="47"/>
      <c r="E74" s="9">
        <f>ALASMALANG!V74+'BENELAN KIDUL'!S74+CANTUK!T74+GAMBOR!N74+GUMIRIH!S74+KEMIRI!U74+LEMAHBANGKULON!Q74+PADANG!Q74+SINGOJURUH!AC74+SINGOLATREN!T74+SUMBERBARU!S74</f>
        <v>214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46"/>
      <c r="C75" s="24" t="s">
        <v>124</v>
      </c>
      <c r="D75" s="47"/>
      <c r="E75" s="9">
        <f>ALASMALANG!V75+'BENELAN KIDUL'!S75+CANTUK!T75+GAMBOR!N75+GUMIRIH!S75+KEMIRI!U75+LEMAHBANGKULON!Q75+PADANG!Q75+SINGOJURUH!AC75+SINGOLATREN!T75+SUMBERBARU!S75</f>
        <v>267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46"/>
      <c r="C76" s="24" t="s">
        <v>125</v>
      </c>
      <c r="D76" s="47"/>
      <c r="E76" s="9">
        <f>ALASMALANG!V76+'BENELAN KIDUL'!S76+CANTUK!T76+GAMBOR!N76+GUMIRIH!S76+KEMIRI!U76+LEMAHBANGKULON!Q76+PADANG!Q76+SINGOJURUH!AC76+SINGOLATREN!T76+SUMBERBARU!S76</f>
        <v>12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6"/>
      <c r="C77" s="24" t="s">
        <v>126</v>
      </c>
      <c r="D77" s="47"/>
      <c r="E77" s="9">
        <f>ALASMALANG!V77+'BENELAN KIDUL'!S77+CANTUK!T77+GAMBOR!N77+GUMIRIH!S77+KEMIRI!U77+LEMAHBANGKULON!Q77+PADANG!Q77+SINGOJURUH!AC77+SINGOLATREN!T77+SUMBERBARU!S77</f>
        <v>4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6"/>
      <c r="C78" s="24" t="s">
        <v>127</v>
      </c>
      <c r="D78" s="47"/>
      <c r="E78" s="9">
        <f>ALASMALANG!V78+'BENELAN KIDUL'!S78+CANTUK!T78+GAMBOR!N78+GUMIRIH!S78+KEMIRI!U78+LEMAHBANGKULON!Q78+PADANG!Q78+SINGOJURUH!AC78+SINGOLATREN!T78+SUMBERBARU!S78</f>
        <v>15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71" t="s">
        <v>51</v>
      </c>
      <c r="C79" s="51"/>
      <c r="D79" s="52"/>
      <c r="E79" s="5">
        <f>SUM(E72:E78)</f>
        <v>1393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77"/>
      <c r="B80" s="76"/>
      <c r="C80" s="76"/>
      <c r="D80" s="76"/>
      <c r="E80" s="76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55</v>
      </c>
      <c r="C81" s="79" t="s">
        <v>56</v>
      </c>
      <c r="D81" s="52"/>
      <c r="E81" s="9">
        <f>ALASMALANG!V81+'BENELAN KIDUL'!S81+CANTUK!T81+GAMBOR!N81+GUMIRIH!S81+KEMIRI!U81+LEMAHBANGKULON!Q81+PADANG!Q81+SINGOJURUH!AC81+SINGOLATREN!T81+SUMBERBARU!S81</f>
        <v>160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46"/>
      <c r="C82" s="24" t="s">
        <v>128</v>
      </c>
      <c r="D82" s="47"/>
      <c r="E82" s="9">
        <f>ALASMALANG!V82+'BENELAN KIDUL'!S82+CANTUK!T82+GAMBOR!N82+GUMIRIH!S82+KEMIRI!U82+LEMAHBANGKULON!Q82+PADANG!Q82+SINGOJURUH!AC82+SINGOLATREN!T82+SUMBERBARU!S82</f>
        <v>42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46"/>
      <c r="C83" s="24" t="s">
        <v>129</v>
      </c>
      <c r="D83" s="47"/>
      <c r="E83" s="9">
        <f>ALASMALANG!V83+'BENELAN KIDUL'!S83+CANTUK!T83+GAMBOR!N83+GUMIRIH!S83+KEMIRI!U83+LEMAHBANGKULON!Q83+PADANG!Q83+SINGOJURUH!AC83+SINGOLATREN!T83+SUMBERBARU!S83</f>
        <v>118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46"/>
      <c r="C84" s="24" t="s">
        <v>130</v>
      </c>
      <c r="D84" s="47"/>
      <c r="E84" s="9">
        <f>ALASMALANG!V84+'BENELAN KIDUL'!S84+CANTUK!T84+GAMBOR!N84+GUMIRIH!S84+KEMIRI!U84+LEMAHBANGKULON!Q84+PADANG!Q84+SINGOJURUH!AC84+SINGOLATREN!T84+SUMBERBARU!S84</f>
        <v>22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46"/>
      <c r="C85" s="24" t="s">
        <v>131</v>
      </c>
      <c r="D85" s="47"/>
      <c r="E85" s="9">
        <f>ALASMALANG!V85+'BENELAN KIDUL'!S85+CANTUK!T85+GAMBOR!N85+GUMIRIH!S85+KEMIRI!U85+LEMAHBANGKULON!Q85+PADANG!Q85+SINGOJURUH!AC85+SINGOLATREN!T85+SUMBERBARU!S85</f>
        <v>7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46"/>
      <c r="C86" s="24" t="s">
        <v>132</v>
      </c>
      <c r="D86" s="47"/>
      <c r="E86" s="9">
        <f>ALASMALANG!V86+'BENELAN KIDUL'!S86+CANTUK!T86+GAMBOR!N86+GUMIRIH!S86+KEMIRI!U86+LEMAHBANGKULON!Q86+PADANG!Q86+SINGOJURUH!AC86+SINGOLATREN!T86+SUMBERBARU!S86</f>
        <v>548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46"/>
      <c r="C87" s="24" t="s">
        <v>133</v>
      </c>
      <c r="D87" s="47"/>
      <c r="E87" s="9">
        <f>ALASMALANG!V87+'BENELAN KIDUL'!S87+CANTUK!T87+GAMBOR!N87+GUMIRIH!S87+KEMIRI!U87+LEMAHBANGKULON!Q87+PADANG!Q87+SINGOJURUH!AC87+SINGOLATREN!T87+SUMBERBARU!S87</f>
        <v>44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6" t="s">
        <v>26</v>
      </c>
      <c r="B88" s="71" t="s">
        <v>51</v>
      </c>
      <c r="C88" s="51"/>
      <c r="D88" s="52"/>
      <c r="E88" s="5">
        <f>SUM(E81:E87)</f>
        <v>941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7"/>
      <c r="B89" s="76"/>
      <c r="C89" s="76"/>
      <c r="D89" s="76"/>
      <c r="E89" s="76"/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11" t="s">
        <v>48</v>
      </c>
      <c r="B90" s="17" t="s">
        <v>57</v>
      </c>
      <c r="C90" s="79" t="s">
        <v>58</v>
      </c>
      <c r="D90" s="52"/>
      <c r="E90" s="9">
        <f>ALASMALANG!V90+'BENELAN KIDUL'!S90+CANTUK!T90+GAMBOR!N90+GUMIRIH!S90+KEMIRI!U90+LEMAHBANGKULON!Q90+PADANG!Q90+SINGOJURUH!AC90+SINGOLATREN!T90+SUMBERBARU!S90</f>
        <v>45</v>
      </c>
      <c r="F90" s="40"/>
      <c r="G90" s="1"/>
      <c r="H90" s="1"/>
      <c r="I90" s="1"/>
      <c r="J90" s="1"/>
      <c r="K90" s="1"/>
      <c r="L90" s="1"/>
      <c r="M90" s="1"/>
      <c r="N90" s="1"/>
      <c r="O90" s="1"/>
      <c r="P90" s="34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</row>
    <row r="91" spans="1:216" ht="15.75" customHeight="1" x14ac:dyDescent="0.4">
      <c r="A91" s="6" t="s">
        <v>26</v>
      </c>
      <c r="B91" s="71" t="s">
        <v>51</v>
      </c>
      <c r="C91" s="80"/>
      <c r="D91" s="81"/>
      <c r="E91" s="5">
        <f>SUM(E90:E90)</f>
        <v>45</v>
      </c>
      <c r="F91" s="42"/>
      <c r="G91" s="27"/>
      <c r="H91" s="27"/>
      <c r="I91" s="27"/>
      <c r="J91" s="27"/>
      <c r="K91" s="27"/>
      <c r="L91" s="27"/>
      <c r="M91" s="27"/>
      <c r="N91" s="27"/>
      <c r="O91" s="27"/>
      <c r="P91" s="37"/>
      <c r="Q91" s="30"/>
      <c r="R91" s="30"/>
      <c r="S91" s="30"/>
      <c r="T91" s="30"/>
      <c r="U91" s="30"/>
      <c r="V91" s="30"/>
      <c r="W91" s="38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0"/>
      <c r="BM91" s="30"/>
      <c r="BN91" s="30"/>
      <c r="BO91" s="30"/>
      <c r="BP91" s="30"/>
      <c r="BQ91" s="30"/>
      <c r="BR91" s="38"/>
      <c r="BS91" s="30"/>
      <c r="BT91" s="30"/>
      <c r="BU91" s="30"/>
      <c r="BV91" s="30"/>
      <c r="BW91" s="30"/>
      <c r="BX91" s="30"/>
      <c r="BY91" s="30"/>
      <c r="BZ91" s="30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8"/>
      <c r="EZ91" s="38"/>
      <c r="FA91" s="38"/>
      <c r="FB91" s="38"/>
      <c r="FC91" s="38"/>
      <c r="FD91" s="38"/>
      <c r="FE91" s="38"/>
      <c r="FF91" s="30"/>
      <c r="FG91" s="30"/>
      <c r="FH91" s="30"/>
      <c r="FI91" s="30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</row>
    <row r="92" spans="1:216" ht="15.75" customHeight="1" x14ac:dyDescent="0.4">
      <c r="A92" s="50"/>
      <c r="B92" s="82"/>
      <c r="C92" s="82"/>
      <c r="D92" s="82"/>
      <c r="E92" s="83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59</v>
      </c>
      <c r="C93" s="79" t="s">
        <v>60</v>
      </c>
      <c r="D93" s="52"/>
      <c r="E93" s="9">
        <f>ALASMALANG!V93+'BENELAN KIDUL'!S93+CANTUK!T93+GAMBOR!N93+GUMIRIH!S93+KEMIRI!U93+LEMAHBANGKULON!Q93+PADANG!Q93+SINGOJURUH!AC93+SINGOLATREN!T93+SUMBERBARU!S93</f>
        <v>20</v>
      </c>
      <c r="F93" s="39"/>
      <c r="G93" s="20"/>
      <c r="H93" s="20"/>
      <c r="I93" s="20"/>
      <c r="J93" s="20"/>
      <c r="K93" s="20"/>
      <c r="L93" s="20"/>
      <c r="M93" s="20"/>
      <c r="N93" s="20"/>
      <c r="O93" s="20"/>
      <c r="P93" s="32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</row>
    <row r="94" spans="1:216" ht="15.75" customHeight="1" x14ac:dyDescent="0.4">
      <c r="A94" s="11" t="s">
        <v>50</v>
      </c>
      <c r="B94" s="46"/>
      <c r="C94" s="24" t="s">
        <v>134</v>
      </c>
      <c r="D94" s="47"/>
      <c r="E94" s="9">
        <f>ALASMALANG!V94+'BENELAN KIDUL'!S94+CANTUK!T94+GAMBOR!N94+GUMIRIH!S94+KEMIRI!U94+LEMAHBANGKULON!Q94+PADANG!Q94+SINGOJURUH!AC94+SINGOLATREN!T94+SUMBERBARU!S94</f>
        <v>6</v>
      </c>
      <c r="F94" s="39"/>
      <c r="G94" s="20"/>
      <c r="H94" s="20"/>
      <c r="I94" s="20"/>
      <c r="J94" s="20"/>
      <c r="K94" s="20"/>
      <c r="L94" s="20"/>
      <c r="M94" s="20"/>
      <c r="N94" s="20"/>
      <c r="O94" s="20"/>
      <c r="P94" s="32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</row>
    <row r="95" spans="1:216" ht="15.75" customHeight="1" x14ac:dyDescent="0.4">
      <c r="A95" s="7"/>
      <c r="B95" s="46"/>
      <c r="C95" s="24" t="s">
        <v>135</v>
      </c>
      <c r="D95" s="47"/>
      <c r="E95" s="9">
        <f>ALASMALANG!V95+'BENELAN KIDUL'!S95+CANTUK!T95+GAMBOR!N95+GUMIRIH!S95+KEMIRI!U95+LEMAHBANGKULON!Q95+PADANG!Q95+SINGOJURUH!AC95+SINGOLATREN!T95+SUMBERBARU!S95</f>
        <v>6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46"/>
      <c r="C96" s="24" t="s">
        <v>136</v>
      </c>
      <c r="D96" s="47"/>
      <c r="E96" s="9">
        <f>ALASMALANG!V96+'BENELAN KIDUL'!S96+CANTUK!T96+GAMBOR!N96+GUMIRIH!S96+KEMIRI!U96+LEMAHBANGKULON!Q96+PADANG!Q96+SINGOJURUH!AC96+SINGOLATREN!T96+SUMBERBARU!S96</f>
        <v>0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6" t="s">
        <v>26</v>
      </c>
      <c r="B97" s="71" t="s">
        <v>51</v>
      </c>
      <c r="C97" s="80"/>
      <c r="D97" s="81"/>
      <c r="E97" s="5">
        <f>SUM(E93:E96)</f>
        <v>32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50"/>
      <c r="B98" s="82"/>
      <c r="C98" s="82"/>
      <c r="D98" s="82"/>
      <c r="E98" s="83"/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11" t="s">
        <v>48</v>
      </c>
      <c r="B99" s="17" t="s">
        <v>61</v>
      </c>
      <c r="C99" s="79" t="s">
        <v>62</v>
      </c>
      <c r="D99" s="52"/>
      <c r="E99" s="9">
        <f>ALASMALANG!V99+'BENELAN KIDUL'!S99+CANTUK!T99+GAMBOR!N99+GUMIRIH!S99+KEMIRI!U99+LEMAHBANGKULON!Q99+PADANG!Q99+SINGOJURUH!AC99+SINGOLATREN!T99+SUMBERBARU!S99</f>
        <v>36</v>
      </c>
      <c r="F99" s="40"/>
      <c r="G99" s="1"/>
      <c r="H99" s="1"/>
      <c r="I99" s="1"/>
      <c r="J99" s="1"/>
      <c r="K99" s="1"/>
      <c r="L99" s="1"/>
      <c r="M99" s="1"/>
      <c r="N99" s="1"/>
      <c r="O99" s="1"/>
      <c r="P99" s="34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</row>
    <row r="100" spans="1:216" ht="15.75" customHeight="1" x14ac:dyDescent="0.4">
      <c r="A100" s="11" t="s">
        <v>50</v>
      </c>
      <c r="B100" s="46"/>
      <c r="C100" s="24" t="s">
        <v>137</v>
      </c>
      <c r="D100" s="47"/>
      <c r="E100" s="9">
        <f>ALASMALANG!V100+'BENELAN KIDUL'!S100+CANTUK!T100+GAMBOR!N100+GUMIRIH!S100+KEMIRI!U100+LEMAHBANGKULON!Q100+PADANG!Q100+SINGOJURUH!AC100+SINGOLATREN!T100+SUMBERBARU!S100</f>
        <v>124</v>
      </c>
      <c r="F100" s="42"/>
      <c r="G100" s="27"/>
      <c r="H100" s="27"/>
      <c r="I100" s="27"/>
      <c r="J100" s="27"/>
      <c r="K100" s="27"/>
      <c r="L100" s="27"/>
      <c r="M100" s="27"/>
      <c r="N100" s="27"/>
      <c r="O100" s="27"/>
      <c r="P100" s="37"/>
      <c r="Q100" s="30"/>
      <c r="R100" s="30"/>
      <c r="S100" s="30"/>
      <c r="T100" s="30"/>
      <c r="U100" s="30"/>
      <c r="V100" s="30"/>
      <c r="W100" s="38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0"/>
      <c r="BM100" s="30"/>
      <c r="BN100" s="30"/>
      <c r="BO100" s="30"/>
      <c r="BP100" s="30"/>
      <c r="BQ100" s="30"/>
      <c r="BR100" s="38"/>
      <c r="BS100" s="30"/>
      <c r="BT100" s="30"/>
      <c r="BU100" s="30"/>
      <c r="BV100" s="30"/>
      <c r="BW100" s="30"/>
      <c r="BX100" s="30"/>
      <c r="BY100" s="30"/>
      <c r="BZ100" s="30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8"/>
      <c r="EZ100" s="38"/>
      <c r="FA100" s="38"/>
      <c r="FB100" s="38"/>
      <c r="FC100" s="38"/>
      <c r="FD100" s="38"/>
      <c r="FE100" s="38"/>
      <c r="FF100" s="30"/>
      <c r="FG100" s="30"/>
      <c r="FH100" s="30"/>
      <c r="FI100" s="30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</row>
    <row r="101" spans="1:216" ht="15.75" customHeight="1" x14ac:dyDescent="0.4">
      <c r="A101" s="7"/>
      <c r="B101" s="46"/>
      <c r="C101" s="24" t="s">
        <v>138</v>
      </c>
      <c r="D101" s="47"/>
      <c r="E101" s="9">
        <f>ALASMALANG!V101+'BENELAN KIDUL'!S101+CANTUK!T101+GAMBOR!N101+GUMIRIH!S101+KEMIRI!U101+LEMAHBANGKULON!Q101+PADANG!Q101+SINGOJURUH!AC101+SINGOLATREN!T101+SUMBERBARU!S101</f>
        <v>18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46"/>
      <c r="C102" s="24" t="s">
        <v>139</v>
      </c>
      <c r="D102" s="47"/>
      <c r="E102" s="9">
        <f>ALASMALANG!V102+'BENELAN KIDUL'!S102+CANTUK!T102+GAMBOR!N102+GUMIRIH!S102+KEMIRI!U102+LEMAHBANGKULON!Q102+PADANG!Q102+SINGOJURUH!AC102+SINGOLATREN!T102+SUMBERBARU!S102</f>
        <v>7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7"/>
      <c r="B103" s="46"/>
      <c r="C103" s="24" t="s">
        <v>140</v>
      </c>
      <c r="D103" s="47"/>
      <c r="E103" s="9">
        <f>ALASMALANG!V103+'BENELAN KIDUL'!S103+CANTUK!T103+GAMBOR!N103+GUMIRIH!S103+KEMIRI!U103+LEMAHBANGKULON!Q103+PADANG!Q103+SINGOJURUH!AC103+SINGOLATREN!T103+SUMBERBARU!S103</f>
        <v>7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7"/>
      <c r="B104" s="46"/>
      <c r="C104" s="24" t="s">
        <v>141</v>
      </c>
      <c r="D104" s="47"/>
      <c r="E104" s="9">
        <f>ALASMALANG!V104+'BENELAN KIDUL'!S104+CANTUK!T104+GAMBOR!N104+GUMIRIH!S104+KEMIRI!U104+LEMAHBANGKULON!Q104+PADANG!Q104+SINGOJURUH!AC104+SINGOLATREN!T104+SUMBERBARU!S104</f>
        <v>2</v>
      </c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7"/>
      <c r="B105" s="46"/>
      <c r="C105" s="24" t="s">
        <v>142</v>
      </c>
      <c r="D105" s="47"/>
      <c r="E105" s="9">
        <f>ALASMALANG!V105+'BENELAN KIDUL'!S105+CANTUK!T105+GAMBOR!N105+GUMIRIH!S105+KEMIRI!U105+LEMAHBANGKULON!Q105+PADANG!Q105+SINGOJURUH!AC105+SINGOLATREN!T105+SUMBERBARU!S105</f>
        <v>25</v>
      </c>
      <c r="F105" s="39"/>
      <c r="G105" s="20"/>
      <c r="H105" s="20"/>
      <c r="I105" s="20"/>
      <c r="J105" s="20"/>
      <c r="K105" s="20"/>
      <c r="L105" s="20"/>
      <c r="M105" s="20"/>
      <c r="N105" s="20"/>
      <c r="O105" s="20"/>
      <c r="P105" s="32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  <c r="GS105" s="33"/>
      <c r="GT105" s="33"/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</row>
    <row r="106" spans="1:216" ht="15.75" customHeight="1" x14ac:dyDescent="0.4">
      <c r="A106" s="6" t="s">
        <v>26</v>
      </c>
      <c r="B106" s="71" t="s">
        <v>51</v>
      </c>
      <c r="C106" s="80"/>
      <c r="D106" s="81"/>
      <c r="E106" s="5">
        <f>SUM(E99:E105)</f>
        <v>219</v>
      </c>
      <c r="F106" s="39"/>
      <c r="G106" s="20"/>
      <c r="H106" s="20"/>
      <c r="I106" s="20"/>
      <c r="J106" s="20"/>
      <c r="K106" s="20"/>
      <c r="L106" s="20"/>
      <c r="M106" s="20"/>
      <c r="N106" s="20"/>
      <c r="O106" s="20"/>
      <c r="P106" s="32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</row>
    <row r="107" spans="1:216" ht="15.75" customHeight="1" x14ac:dyDescent="0.4">
      <c r="A107" s="50"/>
      <c r="B107" s="82"/>
      <c r="C107" s="82"/>
      <c r="D107" s="82"/>
      <c r="E107" s="83"/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11" t="s">
        <v>48</v>
      </c>
      <c r="B108" s="17" t="s">
        <v>63</v>
      </c>
      <c r="C108" s="79" t="s">
        <v>64</v>
      </c>
      <c r="D108" s="52"/>
      <c r="E108" s="9">
        <f>ALASMALANG!V108+'BENELAN KIDUL'!S108+CANTUK!T108+GAMBOR!N108+GUMIRIH!S108+KEMIRI!U108+LEMAHBANGKULON!Q108+PADANG!Q108+SINGOJURUH!AC108+SINGOLATREN!T108+SUMBERBARU!S108</f>
        <v>2</v>
      </c>
      <c r="F108" s="40"/>
      <c r="G108" s="1"/>
      <c r="H108" s="1"/>
      <c r="I108" s="1"/>
      <c r="J108" s="1"/>
      <c r="K108" s="1"/>
      <c r="L108" s="1"/>
      <c r="M108" s="1"/>
      <c r="N108" s="1"/>
      <c r="O108" s="1"/>
      <c r="P108" s="34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</row>
    <row r="109" spans="1:216" ht="15.75" customHeight="1" x14ac:dyDescent="0.4">
      <c r="A109" s="11" t="s">
        <v>50</v>
      </c>
      <c r="B109" s="17"/>
      <c r="C109" s="24" t="s">
        <v>143</v>
      </c>
      <c r="D109" s="45"/>
      <c r="E109" s="9">
        <f>ALASMALANG!V109+'BENELAN KIDUL'!S109+CANTUK!T109+GAMBOR!N109+GUMIRIH!S109+KEMIRI!U109+LEMAHBANGKULON!Q109+PADANG!Q109+SINGOJURUH!AC109+SINGOLATREN!T109+SUMBERBARU!S109</f>
        <v>0</v>
      </c>
      <c r="F109" s="42"/>
      <c r="G109" s="27"/>
      <c r="H109" s="27"/>
      <c r="I109" s="27"/>
      <c r="J109" s="27"/>
      <c r="K109" s="27"/>
      <c r="L109" s="27"/>
      <c r="M109" s="27"/>
      <c r="N109" s="27"/>
      <c r="O109" s="27"/>
      <c r="P109" s="37"/>
      <c r="Q109" s="30"/>
      <c r="R109" s="30"/>
      <c r="S109" s="30"/>
      <c r="T109" s="30"/>
      <c r="U109" s="30"/>
      <c r="V109" s="30"/>
      <c r="W109" s="38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0"/>
      <c r="BM109" s="30"/>
      <c r="BN109" s="30"/>
      <c r="BO109" s="30"/>
      <c r="BP109" s="30"/>
      <c r="BQ109" s="30"/>
      <c r="BR109" s="38"/>
      <c r="BS109" s="30"/>
      <c r="BT109" s="30"/>
      <c r="BU109" s="30"/>
      <c r="BV109" s="30"/>
      <c r="BW109" s="30"/>
      <c r="BX109" s="30"/>
      <c r="BY109" s="30"/>
      <c r="BZ109" s="30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8"/>
      <c r="EZ109" s="38"/>
      <c r="FA109" s="38"/>
      <c r="FB109" s="38"/>
      <c r="FC109" s="38"/>
      <c r="FD109" s="38"/>
      <c r="FE109" s="38"/>
      <c r="FF109" s="30"/>
      <c r="FG109" s="30"/>
      <c r="FH109" s="30"/>
      <c r="FI109" s="30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</row>
    <row r="110" spans="1:216" ht="15.7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2</v>
      </c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50"/>
      <c r="B111" s="82"/>
      <c r="C111" s="82"/>
      <c r="D111" s="82"/>
      <c r="E111" s="83"/>
      <c r="F111" s="40"/>
      <c r="G111" s="1"/>
      <c r="H111" s="1"/>
      <c r="I111" s="1"/>
      <c r="J111" s="1"/>
      <c r="K111" s="1"/>
      <c r="L111" s="1"/>
      <c r="M111" s="1"/>
      <c r="N111" s="1"/>
      <c r="O111" s="1"/>
      <c r="P111" s="34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</row>
    <row r="112" spans="1:216" ht="15.75" customHeight="1" x14ac:dyDescent="0.4">
      <c r="A112" s="11" t="s">
        <v>48</v>
      </c>
      <c r="B112" s="44" t="s">
        <v>65</v>
      </c>
      <c r="C112" s="84" t="s">
        <v>66</v>
      </c>
      <c r="D112" s="60"/>
      <c r="E112" s="9">
        <f>ALASMALANG!V112+'BENELAN KIDUL'!S112+CANTUK!T112+GAMBOR!N112+GUMIRIH!S112+KEMIRI!U112+LEMAHBANGKULON!Q112+PADANG!Q112+SINGOJURUH!AC112+SINGOLATREN!T112+SUMBERBARU!S112</f>
        <v>12</v>
      </c>
      <c r="F112" s="42"/>
      <c r="G112" s="27"/>
      <c r="H112" s="27"/>
      <c r="I112" s="27"/>
      <c r="J112" s="27"/>
      <c r="K112" s="27"/>
      <c r="L112" s="27"/>
      <c r="M112" s="27"/>
      <c r="N112" s="27"/>
      <c r="O112" s="27"/>
      <c r="P112" s="37"/>
      <c r="Q112" s="30"/>
      <c r="R112" s="30"/>
      <c r="S112" s="30"/>
      <c r="T112" s="30"/>
      <c r="U112" s="30"/>
      <c r="V112" s="30"/>
      <c r="W112" s="38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0"/>
      <c r="BM112" s="30"/>
      <c r="BN112" s="30"/>
      <c r="BO112" s="30"/>
      <c r="BP112" s="30"/>
      <c r="BQ112" s="30"/>
      <c r="BR112" s="38"/>
      <c r="BS112" s="30"/>
      <c r="BT112" s="30"/>
      <c r="BU112" s="30"/>
      <c r="BV112" s="30"/>
      <c r="BW112" s="30"/>
      <c r="BX112" s="30"/>
      <c r="BY112" s="30"/>
      <c r="BZ112" s="30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8"/>
      <c r="EZ112" s="38"/>
      <c r="FA112" s="38"/>
      <c r="FB112" s="38"/>
      <c r="FC112" s="38"/>
      <c r="FD112" s="38"/>
      <c r="FE112" s="38"/>
      <c r="FF112" s="30"/>
      <c r="FG112" s="30"/>
      <c r="FH112" s="30"/>
      <c r="FI112" s="30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</row>
    <row r="113" spans="1:216" ht="15.75" customHeight="1" x14ac:dyDescent="0.4">
      <c r="A113" s="48" t="s">
        <v>50</v>
      </c>
      <c r="B113" s="46"/>
      <c r="C113" s="24" t="s">
        <v>144</v>
      </c>
      <c r="D113" s="47"/>
      <c r="E113" s="9">
        <f>ALASMALANG!V113+'BENELAN KIDUL'!S113+CANTUK!T113+GAMBOR!N113+GUMIRIH!S113+KEMIRI!U113+LEMAHBANGKULON!Q113+PADANG!Q113+SINGOJURUH!AC113+SINGOLATREN!T113+SUMBERBARU!S113</f>
        <v>15</v>
      </c>
      <c r="F113" s="39"/>
      <c r="G113" s="20"/>
      <c r="H113" s="20"/>
      <c r="I113" s="20"/>
      <c r="J113" s="20"/>
      <c r="K113" s="20"/>
      <c r="L113" s="20"/>
      <c r="M113" s="20"/>
      <c r="N113" s="20"/>
      <c r="O113" s="20"/>
      <c r="P113" s="32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</row>
    <row r="114" spans="1:216" ht="15.75" customHeight="1" x14ac:dyDescent="0.4">
      <c r="A114" s="7"/>
      <c r="B114" s="46"/>
      <c r="C114" s="24" t="s">
        <v>145</v>
      </c>
      <c r="D114" s="47"/>
      <c r="E114" s="9">
        <f>ALASMALANG!V114+'BENELAN KIDUL'!S114+CANTUK!T114+GAMBOR!N114+GUMIRIH!S114+KEMIRI!U114+LEMAHBANGKULON!Q114+PADANG!Q114+SINGOJURUH!AC114+SINGOLATREN!T114+SUMBERBARU!S114</f>
        <v>7</v>
      </c>
      <c r="F114" s="39"/>
      <c r="G114" s="20"/>
      <c r="H114" s="20"/>
      <c r="I114" s="20"/>
      <c r="J114" s="20"/>
      <c r="K114" s="20"/>
      <c r="L114" s="20"/>
      <c r="M114" s="20"/>
      <c r="N114" s="20"/>
      <c r="O114" s="20"/>
      <c r="P114" s="32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</row>
    <row r="115" spans="1:216" ht="15.75" customHeight="1" x14ac:dyDescent="0.4">
      <c r="A115" s="7"/>
      <c r="B115" s="46"/>
      <c r="C115" s="24" t="s">
        <v>146</v>
      </c>
      <c r="D115" s="47"/>
      <c r="E115" s="9">
        <f>ALASMALANG!V115+'BENELAN KIDUL'!S115+CANTUK!T115+GAMBOR!N115+GUMIRIH!S115+KEMIRI!U115+LEMAHBANGKULON!Q115+PADANG!Q115+SINGOJURUH!AC115+SINGOLATREN!T115+SUMBERBARU!S115</f>
        <v>40</v>
      </c>
      <c r="F115" s="39"/>
      <c r="G115" s="20"/>
      <c r="H115" s="20"/>
      <c r="I115" s="20"/>
      <c r="J115" s="20"/>
      <c r="K115" s="20"/>
      <c r="L115" s="20"/>
      <c r="M115" s="20"/>
      <c r="N115" s="20"/>
      <c r="O115" s="20"/>
      <c r="P115" s="32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</row>
    <row r="116" spans="1:216" ht="15.75" customHeight="1" x14ac:dyDescent="0.4">
      <c r="A116" s="7"/>
      <c r="B116" s="46"/>
      <c r="C116" s="24" t="s">
        <v>147</v>
      </c>
      <c r="D116" s="47"/>
      <c r="E116" s="9">
        <f>ALASMALANG!V116+'BENELAN KIDUL'!S116+CANTUK!T116+GAMBOR!N116+GUMIRIH!S116+KEMIRI!U116+LEMAHBANGKULON!Q116+PADANG!Q116+SINGOJURUH!AC116+SINGOLATREN!T116+SUMBERBARU!S116</f>
        <v>52</v>
      </c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7"/>
      <c r="B117" s="46"/>
      <c r="C117" s="24" t="s">
        <v>148</v>
      </c>
      <c r="D117" s="47"/>
      <c r="E117" s="9">
        <f>ALASMALANG!V117+'BENELAN KIDUL'!S117+CANTUK!T117+GAMBOR!N117+GUMIRIH!S117+KEMIRI!U117+LEMAHBANGKULON!Q117+PADANG!Q117+SINGOJURUH!AC117+SINGOLATREN!T117+SUMBERBARU!S117</f>
        <v>3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7"/>
      <c r="B118" s="46"/>
      <c r="C118" s="24" t="s">
        <v>149</v>
      </c>
      <c r="D118" s="47"/>
      <c r="E118" s="9">
        <f>ALASMALANG!V118+'BENELAN KIDUL'!S118+CANTUK!T118+GAMBOR!N118+GUMIRIH!S118+KEMIRI!U118+LEMAHBANGKULON!Q118+PADANG!Q118+SINGOJURUH!AC118+SINGOLATREN!T118+SUMBERBARU!S118</f>
        <v>92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6" t="s">
        <v>26</v>
      </c>
      <c r="B119" s="85" t="s">
        <v>51</v>
      </c>
      <c r="C119" s="86"/>
      <c r="D119" s="87"/>
      <c r="E119" s="5">
        <f>SUM(E112:E118)</f>
        <v>221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50"/>
      <c r="B120" s="82"/>
      <c r="C120" s="82"/>
      <c r="D120" s="82"/>
      <c r="E120" s="83"/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11" t="s">
        <v>48</v>
      </c>
      <c r="B121" s="17" t="s">
        <v>67</v>
      </c>
      <c r="C121" s="79" t="s">
        <v>68</v>
      </c>
      <c r="D121" s="52"/>
      <c r="E121" s="9">
        <f>ALASMALANG!V121+'BENELAN KIDUL'!S121+CANTUK!T121+GAMBOR!N121+GUMIRIH!S121+KEMIRI!U121+LEMAHBANGKULON!Q121+PADANG!Q121+SINGOJURUH!AC121+SINGOLATREN!T121+SUMBERBARU!S121</f>
        <v>17</v>
      </c>
      <c r="F121" s="40"/>
      <c r="G121" s="1"/>
      <c r="H121" s="1"/>
      <c r="I121" s="1"/>
      <c r="J121" s="1"/>
      <c r="K121" s="1"/>
      <c r="L121" s="1"/>
      <c r="M121" s="1"/>
      <c r="N121" s="1"/>
      <c r="O121" s="1"/>
      <c r="P121" s="34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</row>
    <row r="122" spans="1:216" ht="15.75" customHeight="1" x14ac:dyDescent="0.4">
      <c r="A122" s="6" t="s">
        <v>26</v>
      </c>
      <c r="B122" s="71" t="s">
        <v>51</v>
      </c>
      <c r="C122" s="80"/>
      <c r="D122" s="81"/>
      <c r="E122" s="5">
        <f>SUM(E121:E121)</f>
        <v>17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50"/>
      <c r="B123" s="82"/>
      <c r="C123" s="82"/>
      <c r="D123" s="82"/>
      <c r="E123" s="83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11" t="s">
        <v>48</v>
      </c>
      <c r="B124" s="17" t="s">
        <v>69</v>
      </c>
      <c r="C124" s="79" t="s">
        <v>70</v>
      </c>
      <c r="D124" s="52"/>
      <c r="E124" s="9">
        <f>ALASMALANG!V124+'BENELAN KIDUL'!S124+CANTUK!T124+GAMBOR!N124+GUMIRIH!S124+KEMIRI!U124+LEMAHBANGKULON!Q124+PADANG!Q124+SINGOJURUH!AC124+SINGOLATREN!T124+SUMBERBARU!S124</f>
        <v>25</v>
      </c>
      <c r="F124" s="40"/>
      <c r="G124" s="1"/>
      <c r="H124" s="1"/>
      <c r="I124" s="1"/>
      <c r="J124" s="1"/>
      <c r="K124" s="1"/>
      <c r="L124" s="1"/>
      <c r="M124" s="1"/>
      <c r="N124" s="1"/>
      <c r="O124" s="1"/>
      <c r="P124" s="34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</row>
    <row r="125" spans="1:216" ht="15.75" customHeight="1" x14ac:dyDescent="0.4">
      <c r="A125" s="11" t="s">
        <v>50</v>
      </c>
      <c r="B125" s="46"/>
      <c r="C125" s="24" t="s">
        <v>150</v>
      </c>
      <c r="D125" s="47"/>
      <c r="E125" s="9">
        <f>ALASMALANG!V125+'BENELAN KIDUL'!S125+CANTUK!T125+GAMBOR!N125+GUMIRIH!S125+KEMIRI!U125+LEMAHBANGKULON!Q125+PADANG!Q125+SINGOJURUH!AC125+SINGOLATREN!T125+SUMBERBARU!S125</f>
        <v>14</v>
      </c>
      <c r="F125" s="42"/>
      <c r="G125" s="27"/>
      <c r="H125" s="27"/>
      <c r="I125" s="27"/>
      <c r="J125" s="27"/>
      <c r="K125" s="27"/>
      <c r="L125" s="27"/>
      <c r="M125" s="27"/>
      <c r="N125" s="27"/>
      <c r="O125" s="27"/>
      <c r="P125" s="37"/>
      <c r="Q125" s="30"/>
      <c r="R125" s="30"/>
      <c r="S125" s="30"/>
      <c r="T125" s="30"/>
      <c r="U125" s="30"/>
      <c r="V125" s="30"/>
      <c r="W125" s="38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0"/>
      <c r="BM125" s="30"/>
      <c r="BN125" s="30"/>
      <c r="BO125" s="30"/>
      <c r="BP125" s="30"/>
      <c r="BQ125" s="30"/>
      <c r="BR125" s="38"/>
      <c r="BS125" s="30"/>
      <c r="BT125" s="30"/>
      <c r="BU125" s="30"/>
      <c r="BV125" s="30"/>
      <c r="BW125" s="30"/>
      <c r="BX125" s="30"/>
      <c r="BY125" s="30"/>
      <c r="BZ125" s="30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8"/>
      <c r="EZ125" s="38"/>
      <c r="FA125" s="38"/>
      <c r="FB125" s="38"/>
      <c r="FC125" s="38"/>
      <c r="FD125" s="38"/>
      <c r="FE125" s="38"/>
      <c r="FF125" s="30"/>
      <c r="FG125" s="30"/>
      <c r="FH125" s="30"/>
      <c r="FI125" s="30"/>
      <c r="FJ125" s="38"/>
      <c r="FK125" s="38"/>
      <c r="FL125" s="38"/>
      <c r="FM125" s="38"/>
      <c r="FN125" s="38"/>
      <c r="FO125" s="38"/>
      <c r="FP125" s="38"/>
      <c r="FQ125" s="38"/>
      <c r="FR125" s="38"/>
      <c r="FS125" s="38"/>
      <c r="FT125" s="38"/>
      <c r="FU125" s="38"/>
      <c r="FV125" s="38"/>
      <c r="FW125" s="38"/>
      <c r="FX125" s="38"/>
      <c r="FY125" s="38"/>
      <c r="FZ125" s="38"/>
      <c r="GA125" s="38"/>
      <c r="GB125" s="38"/>
      <c r="GC125" s="38"/>
      <c r="GD125" s="38"/>
      <c r="GE125" s="38"/>
      <c r="GF125" s="38"/>
      <c r="GG125" s="38"/>
      <c r="GH125" s="38"/>
      <c r="GI125" s="38"/>
      <c r="GJ125" s="38"/>
      <c r="GK125" s="38"/>
      <c r="GL125" s="38"/>
      <c r="GM125" s="38"/>
      <c r="GN125" s="38"/>
      <c r="GO125" s="38"/>
      <c r="GP125" s="38"/>
      <c r="GQ125" s="38"/>
      <c r="GR125" s="38"/>
      <c r="GS125" s="38"/>
      <c r="GT125" s="38"/>
      <c r="GU125" s="38"/>
      <c r="GV125" s="38"/>
      <c r="GW125" s="38"/>
      <c r="GX125" s="38"/>
      <c r="GY125" s="38"/>
      <c r="GZ125" s="38"/>
      <c r="HA125" s="38"/>
      <c r="HB125" s="38"/>
      <c r="HC125" s="38"/>
      <c r="HD125" s="38"/>
      <c r="HE125" s="38"/>
      <c r="HF125" s="38"/>
      <c r="HG125" s="38"/>
      <c r="HH125" s="38"/>
    </row>
    <row r="126" spans="1:216" ht="15.75" customHeight="1" x14ac:dyDescent="0.4">
      <c r="A126" s="7"/>
      <c r="B126" s="46"/>
      <c r="C126" s="24" t="s">
        <v>151</v>
      </c>
      <c r="D126" s="47"/>
      <c r="E126" s="9">
        <f>ALASMALANG!V126+'BENELAN KIDUL'!S126+CANTUK!T126+GAMBOR!N126+GUMIRIH!S126+KEMIRI!U126+LEMAHBANGKULON!Q126+PADANG!Q126+SINGOJURUH!AC126+SINGOLATREN!T126+SUMBERBARU!S126</f>
        <v>8</v>
      </c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7"/>
      <c r="B127" s="46"/>
      <c r="C127" s="24" t="s">
        <v>152</v>
      </c>
      <c r="D127" s="47"/>
      <c r="E127" s="9">
        <f>ALASMALANG!V127+'BENELAN KIDUL'!S127+CANTUK!T127+GAMBOR!N127+GUMIRIH!S127+KEMIRI!U127+LEMAHBANGKULON!Q127+PADANG!Q127+SINGOJURUH!AC127+SINGOLATREN!T127+SUMBERBARU!S127</f>
        <v>16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7"/>
      <c r="B128" s="46"/>
      <c r="C128" s="24" t="s">
        <v>153</v>
      </c>
      <c r="D128" s="47"/>
      <c r="E128" s="9">
        <f>ALASMALANG!V128+'BENELAN KIDUL'!S128+CANTUK!T128+GAMBOR!N128+GUMIRIH!S128+KEMIRI!U128+LEMAHBANGKULON!Q128+PADANG!Q128+SINGOJURUH!AC128+SINGOLATREN!T128+SUMBERBARU!S128</f>
        <v>0</v>
      </c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63</v>
      </c>
      <c r="F129" s="39"/>
      <c r="G129" s="20"/>
      <c r="H129" s="20"/>
      <c r="I129" s="20"/>
      <c r="J129" s="20"/>
      <c r="K129" s="20"/>
      <c r="L129" s="20"/>
      <c r="M129" s="20"/>
      <c r="N129" s="20"/>
      <c r="O129" s="20"/>
      <c r="P129" s="32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</row>
    <row r="130" spans="1:216" ht="15.75" customHeight="1" x14ac:dyDescent="0.4">
      <c r="A130" s="50"/>
      <c r="B130" s="82"/>
      <c r="C130" s="82"/>
      <c r="D130" s="82"/>
      <c r="E130" s="83"/>
      <c r="F130" s="39"/>
      <c r="G130" s="20"/>
      <c r="H130" s="20"/>
      <c r="I130" s="20"/>
      <c r="J130" s="20"/>
      <c r="K130" s="20"/>
      <c r="L130" s="20"/>
      <c r="M130" s="20"/>
      <c r="N130" s="20"/>
      <c r="O130" s="20"/>
      <c r="P130" s="32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  <c r="GC130" s="33"/>
      <c r="GD130" s="33"/>
      <c r="GE130" s="33"/>
      <c r="GF130" s="33"/>
      <c r="GG130" s="33"/>
      <c r="GH130" s="33"/>
      <c r="GI130" s="33"/>
      <c r="GJ130" s="33"/>
      <c r="GK130" s="33"/>
      <c r="GL130" s="33"/>
      <c r="GM130" s="33"/>
      <c r="GN130" s="33"/>
      <c r="GO130" s="33"/>
      <c r="GP130" s="33"/>
      <c r="GQ130" s="33"/>
      <c r="GR130" s="33"/>
      <c r="GS130" s="33"/>
      <c r="GT130" s="33"/>
      <c r="GU130" s="33"/>
      <c r="GV130" s="33"/>
      <c r="GW130" s="33"/>
      <c r="GX130" s="33"/>
      <c r="GY130" s="33"/>
      <c r="GZ130" s="33"/>
      <c r="HA130" s="33"/>
      <c r="HB130" s="33"/>
      <c r="HC130" s="33"/>
      <c r="HD130" s="33"/>
      <c r="HE130" s="33"/>
      <c r="HF130" s="33"/>
      <c r="HG130" s="33"/>
      <c r="HH130" s="33"/>
    </row>
    <row r="131" spans="1:216" ht="15.75" customHeight="1" x14ac:dyDescent="0.4">
      <c r="A131" s="11" t="s">
        <v>48</v>
      </c>
      <c r="B131" s="17" t="s">
        <v>71</v>
      </c>
      <c r="C131" s="79" t="s">
        <v>72</v>
      </c>
      <c r="D131" s="52"/>
      <c r="E131" s="9">
        <f>ALASMALANG!V131+'BENELAN KIDUL'!S131+CANTUK!T131+GAMBOR!N131+GUMIRIH!S131+KEMIRI!U131+LEMAHBANGKULON!Q131+PADANG!Q131+SINGOJURUH!AC131+SINGOLATREN!T131+SUMBERBARU!S131</f>
        <v>10</v>
      </c>
      <c r="F131" s="40"/>
      <c r="G131" s="1"/>
      <c r="H131" s="1"/>
      <c r="I131" s="1"/>
      <c r="J131" s="1"/>
      <c r="K131" s="1"/>
      <c r="L131" s="1"/>
      <c r="M131" s="1"/>
      <c r="N131" s="1"/>
      <c r="O131" s="1"/>
      <c r="P131" s="34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  <c r="HG131" s="31"/>
      <c r="HH131" s="31"/>
    </row>
    <row r="132" spans="1:216" ht="15.75" customHeight="1" x14ac:dyDescent="0.4">
      <c r="A132" s="11" t="s">
        <v>50</v>
      </c>
      <c r="B132" s="46"/>
      <c r="C132" s="24" t="s">
        <v>154</v>
      </c>
      <c r="D132" s="47"/>
      <c r="E132" s="9">
        <f>ALASMALANG!V132+'BENELAN KIDUL'!S132+CANTUK!T132+GAMBOR!N132+GUMIRIH!S132+KEMIRI!U132+LEMAHBANGKULON!Q132+PADANG!Q132+SINGOJURUH!AC132+SINGOLATREN!T132+SUMBERBARU!S132</f>
        <v>4</v>
      </c>
      <c r="F132" s="42"/>
      <c r="G132" s="27"/>
      <c r="H132" s="27"/>
      <c r="I132" s="27"/>
      <c r="J132" s="27"/>
      <c r="K132" s="27"/>
      <c r="L132" s="27"/>
      <c r="M132" s="27"/>
      <c r="N132" s="27"/>
      <c r="O132" s="27"/>
      <c r="P132" s="37"/>
      <c r="Q132" s="30"/>
      <c r="R132" s="30"/>
      <c r="S132" s="30"/>
      <c r="T132" s="30"/>
      <c r="U132" s="30"/>
      <c r="V132" s="30"/>
      <c r="W132" s="38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0"/>
      <c r="BM132" s="30"/>
      <c r="BN132" s="30"/>
      <c r="BO132" s="30"/>
      <c r="BP132" s="30"/>
      <c r="BQ132" s="30"/>
      <c r="BR132" s="38"/>
      <c r="BS132" s="30"/>
      <c r="BT132" s="30"/>
      <c r="BU132" s="30"/>
      <c r="BV132" s="30"/>
      <c r="BW132" s="30"/>
      <c r="BX132" s="30"/>
      <c r="BY132" s="30"/>
      <c r="BZ132" s="30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8"/>
      <c r="EZ132" s="38"/>
      <c r="FA132" s="38"/>
      <c r="FB132" s="38"/>
      <c r="FC132" s="38"/>
      <c r="FD132" s="38"/>
      <c r="FE132" s="38"/>
      <c r="FF132" s="30"/>
      <c r="FG132" s="30"/>
      <c r="FH132" s="30"/>
      <c r="FI132" s="30"/>
      <c r="FJ132" s="38"/>
      <c r="FK132" s="38"/>
      <c r="FL132" s="38"/>
      <c r="FM132" s="38"/>
      <c r="FN132" s="38"/>
      <c r="FO132" s="38"/>
      <c r="FP132" s="38"/>
      <c r="FQ132" s="38"/>
      <c r="FR132" s="38"/>
      <c r="FS132" s="38"/>
      <c r="FT132" s="38"/>
      <c r="FU132" s="38"/>
      <c r="FV132" s="38"/>
      <c r="FW132" s="38"/>
      <c r="FX132" s="38"/>
      <c r="FY132" s="38"/>
      <c r="FZ132" s="38"/>
      <c r="GA132" s="38"/>
      <c r="GB132" s="38"/>
      <c r="GC132" s="38"/>
      <c r="GD132" s="38"/>
      <c r="GE132" s="38"/>
      <c r="GF132" s="38"/>
      <c r="GG132" s="38"/>
      <c r="GH132" s="38"/>
      <c r="GI132" s="38"/>
      <c r="GJ132" s="38"/>
      <c r="GK132" s="38"/>
      <c r="GL132" s="38"/>
      <c r="GM132" s="38"/>
      <c r="GN132" s="38"/>
      <c r="GO132" s="38"/>
      <c r="GP132" s="38"/>
      <c r="GQ132" s="38"/>
      <c r="GR132" s="38"/>
      <c r="GS132" s="38"/>
      <c r="GT132" s="38"/>
      <c r="GU132" s="38"/>
      <c r="GV132" s="38"/>
      <c r="GW132" s="38"/>
      <c r="GX132" s="38"/>
      <c r="GY132" s="38"/>
      <c r="GZ132" s="38"/>
      <c r="HA132" s="38"/>
      <c r="HB132" s="38"/>
      <c r="HC132" s="38"/>
      <c r="HD132" s="38"/>
      <c r="HE132" s="38"/>
      <c r="HF132" s="38"/>
      <c r="HG132" s="38"/>
      <c r="HH132" s="38"/>
    </row>
    <row r="133" spans="1:216" ht="15.75" customHeight="1" x14ac:dyDescent="0.4">
      <c r="A133" s="7"/>
      <c r="B133" s="46"/>
      <c r="C133" s="24" t="s">
        <v>155</v>
      </c>
      <c r="D133" s="47"/>
      <c r="E133" s="9">
        <f>ALASMALANG!V133+'BENELAN KIDUL'!S133+CANTUK!T133+GAMBOR!N133+GUMIRIH!S133+KEMIRI!U133+LEMAHBANGKULON!Q133+PADANG!Q133+SINGOJURUH!AC133+SINGOLATREN!T133+SUMBERBARU!S133</f>
        <v>0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7"/>
      <c r="B134" s="46"/>
      <c r="C134" s="24" t="s">
        <v>156</v>
      </c>
      <c r="D134" s="47"/>
      <c r="E134" s="9">
        <f>ALASMALANG!V134+'BENELAN KIDUL'!S134+CANTUK!T134+GAMBOR!N134+GUMIRIH!S134+KEMIRI!U134+LEMAHBANGKULON!Q134+PADANG!Q134+SINGOJURUH!AC134+SINGOLATREN!T134+SUMBERBARU!S134</f>
        <v>0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7"/>
      <c r="B135" s="46"/>
      <c r="C135" s="24" t="s">
        <v>157</v>
      </c>
      <c r="D135" s="47"/>
      <c r="E135" s="9">
        <f>ALASMALANG!V135+'BENELAN KIDUL'!S135+CANTUK!T135+GAMBOR!N135+GUMIRIH!S135+KEMIRI!U135+LEMAHBANGKULON!Q135+PADANG!Q135+SINGOJURUH!AC135+SINGOLATREN!T135+SUMBERBARU!S135</f>
        <v>0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7"/>
      <c r="B136" s="46"/>
      <c r="C136" s="24" t="s">
        <v>158</v>
      </c>
      <c r="D136" s="47"/>
      <c r="E136" s="9">
        <f>ALASMALANG!V136+'BENELAN KIDUL'!S136+CANTUK!T136+GAMBOR!N136+GUMIRIH!S136+KEMIRI!U136+LEMAHBANGKULON!Q136+PADANG!Q136+SINGOJURUH!AC136+SINGOLATREN!T136+SUMBERBARU!S136</f>
        <v>0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4">
      <c r="A137" s="7"/>
      <c r="B137" s="46"/>
      <c r="C137" s="24" t="s">
        <v>159</v>
      </c>
      <c r="D137" s="47"/>
      <c r="E137" s="9">
        <f>ALASMALANG!V137+'BENELAN KIDUL'!S137+CANTUK!T137+GAMBOR!N137+GUMIRIH!S137+KEMIRI!U137+LEMAHBANGKULON!Q137+PADANG!Q137+SINGOJURUH!AC137+SINGOLATREN!T137+SUMBERBARU!S137</f>
        <v>0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6" t="s">
        <v>26</v>
      </c>
      <c r="B138" s="71" t="s">
        <v>51</v>
      </c>
      <c r="C138" s="80"/>
      <c r="D138" s="81"/>
      <c r="E138" s="5">
        <f>SUM(E131:E137)</f>
        <v>14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50"/>
      <c r="B139" s="82"/>
      <c r="C139" s="82"/>
      <c r="D139" s="82"/>
      <c r="E139" s="83"/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11" t="s">
        <v>48</v>
      </c>
      <c r="B140" s="17" t="s">
        <v>73</v>
      </c>
      <c r="C140" s="79" t="s">
        <v>74</v>
      </c>
      <c r="D140" s="52"/>
      <c r="E140" s="9">
        <f>ALASMALANG!V140+'BENELAN KIDUL'!S140+CANTUK!T140+GAMBOR!N140+GUMIRIH!S140+KEMIRI!U140+LEMAHBANGKULON!Q140+PADANG!Q140+SINGOJURUH!AC140+SINGOLATREN!T140+SUMBERBARU!S140</f>
        <v>244</v>
      </c>
      <c r="F140" s="40"/>
      <c r="G140" s="1"/>
      <c r="H140" s="1"/>
      <c r="I140" s="1"/>
      <c r="J140" s="1"/>
      <c r="K140" s="1"/>
      <c r="L140" s="1"/>
      <c r="M140" s="1"/>
      <c r="N140" s="1"/>
      <c r="O140" s="1"/>
      <c r="P140" s="34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</row>
    <row r="141" spans="1:216" ht="15.75" customHeight="1" x14ac:dyDescent="0.4">
      <c r="A141" s="11" t="s">
        <v>50</v>
      </c>
      <c r="B141" s="46"/>
      <c r="C141" s="24" t="s">
        <v>160</v>
      </c>
      <c r="D141" s="47"/>
      <c r="E141" s="9">
        <f>ALASMALANG!V141+'BENELAN KIDUL'!S141+CANTUK!T141+GAMBOR!N141+GUMIRIH!S141+KEMIRI!U141+LEMAHBANGKULON!Q141+PADANG!Q141+SINGOJURUH!AC141+SINGOLATREN!T141+SUMBERBARU!S141</f>
        <v>1316</v>
      </c>
      <c r="F141" s="42"/>
      <c r="G141" s="27"/>
      <c r="H141" s="27"/>
      <c r="I141" s="27"/>
      <c r="J141" s="27"/>
      <c r="K141" s="27"/>
      <c r="L141" s="27"/>
      <c r="M141" s="27"/>
      <c r="N141" s="27"/>
      <c r="O141" s="27"/>
      <c r="P141" s="37"/>
      <c r="Q141" s="30"/>
      <c r="R141" s="30"/>
      <c r="S141" s="30"/>
      <c r="T141" s="30"/>
      <c r="U141" s="30"/>
      <c r="V141" s="30"/>
      <c r="W141" s="38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0"/>
      <c r="BM141" s="30"/>
      <c r="BN141" s="30"/>
      <c r="BO141" s="30"/>
      <c r="BP141" s="30"/>
      <c r="BQ141" s="30"/>
      <c r="BR141" s="38"/>
      <c r="BS141" s="30"/>
      <c r="BT141" s="30"/>
      <c r="BU141" s="30"/>
      <c r="BV141" s="30"/>
      <c r="BW141" s="30"/>
      <c r="BX141" s="30"/>
      <c r="BY141" s="30"/>
      <c r="BZ141" s="30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8"/>
      <c r="EZ141" s="38"/>
      <c r="FA141" s="38"/>
      <c r="FB141" s="38"/>
      <c r="FC141" s="38"/>
      <c r="FD141" s="38"/>
      <c r="FE141" s="38"/>
      <c r="FF141" s="30"/>
      <c r="FG141" s="30"/>
      <c r="FH141" s="30"/>
      <c r="FI141" s="30"/>
      <c r="FJ141" s="38"/>
      <c r="FK141" s="38"/>
      <c r="FL141" s="38"/>
      <c r="FM141" s="38"/>
      <c r="FN141" s="38"/>
      <c r="FO141" s="38"/>
      <c r="FP141" s="38"/>
      <c r="FQ141" s="38"/>
      <c r="FR141" s="38"/>
      <c r="FS141" s="38"/>
      <c r="FT141" s="38"/>
      <c r="FU141" s="38"/>
      <c r="FV141" s="38"/>
      <c r="FW141" s="38"/>
      <c r="FX141" s="38"/>
      <c r="FY141" s="38"/>
      <c r="FZ141" s="38"/>
      <c r="GA141" s="38"/>
      <c r="GB141" s="38"/>
      <c r="GC141" s="38"/>
      <c r="GD141" s="38"/>
      <c r="GE141" s="38"/>
      <c r="GF141" s="38"/>
      <c r="GG141" s="38"/>
      <c r="GH141" s="38"/>
      <c r="GI141" s="38"/>
      <c r="GJ141" s="38"/>
      <c r="GK141" s="38"/>
      <c r="GL141" s="38"/>
      <c r="GM141" s="38"/>
      <c r="GN141" s="38"/>
      <c r="GO141" s="38"/>
      <c r="GP141" s="38"/>
      <c r="GQ141" s="38"/>
      <c r="GR141" s="38"/>
      <c r="GS141" s="38"/>
      <c r="GT141" s="38"/>
      <c r="GU141" s="38"/>
      <c r="GV141" s="38"/>
      <c r="GW141" s="38"/>
      <c r="GX141" s="38"/>
      <c r="GY141" s="38"/>
      <c r="GZ141" s="38"/>
      <c r="HA141" s="38"/>
      <c r="HB141" s="38"/>
      <c r="HC141" s="38"/>
      <c r="HD141" s="38"/>
      <c r="HE141" s="38"/>
      <c r="HF141" s="38"/>
      <c r="HG141" s="38"/>
      <c r="HH141" s="38"/>
    </row>
    <row r="142" spans="1:216" ht="15.75" customHeight="1" x14ac:dyDescent="0.4">
      <c r="A142" s="7"/>
      <c r="B142" s="46"/>
      <c r="C142" s="24" t="s">
        <v>161</v>
      </c>
      <c r="D142" s="47"/>
      <c r="E142" s="9">
        <f>ALASMALANG!V142+'BENELAN KIDUL'!S142+CANTUK!T142+GAMBOR!N142+GUMIRIH!S142+KEMIRI!U142+LEMAHBANGKULON!Q142+PADANG!Q142+SINGOJURUH!AC142+SINGOLATREN!T142+SUMBERBARU!S142</f>
        <v>96</v>
      </c>
      <c r="F142" s="39"/>
      <c r="G142" s="20"/>
      <c r="H142" s="20"/>
      <c r="I142" s="20"/>
      <c r="J142" s="20"/>
      <c r="K142" s="20"/>
      <c r="L142" s="20"/>
      <c r="M142" s="20"/>
      <c r="N142" s="20"/>
      <c r="O142" s="20"/>
      <c r="P142" s="32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</row>
    <row r="143" spans="1:216" ht="15.75" customHeight="1" x14ac:dyDescent="0.4">
      <c r="A143" s="7"/>
      <c r="B143" s="46"/>
      <c r="C143" s="24" t="s">
        <v>162</v>
      </c>
      <c r="D143" s="47"/>
      <c r="E143" s="9">
        <f>ALASMALANG!V143+'BENELAN KIDUL'!S143+CANTUK!T143+GAMBOR!N143+GUMIRIH!S143+KEMIRI!U143+LEMAHBANGKULON!Q143+PADANG!Q143+SINGOJURUH!AC143+SINGOLATREN!T143+SUMBERBARU!S143</f>
        <v>17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7"/>
      <c r="B144" s="46"/>
      <c r="C144" s="24" t="s">
        <v>163</v>
      </c>
      <c r="D144" s="47"/>
      <c r="E144" s="9">
        <f>ALASMALANG!V144+'BENELAN KIDUL'!S144+CANTUK!T144+GAMBOR!N144+GUMIRIH!S144+KEMIRI!U144+LEMAHBANGKULON!Q144+PADANG!Q144+SINGOJURUH!AC144+SINGOLATREN!T144+SUMBERBARU!S144</f>
        <v>132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7"/>
      <c r="B145" s="46"/>
      <c r="C145" s="24" t="s">
        <v>164</v>
      </c>
      <c r="D145" s="47"/>
      <c r="E145" s="9">
        <f>ALASMALANG!V145+'BENELAN KIDUL'!S145+CANTUK!T145+GAMBOR!N145+GUMIRIH!S145+KEMIRI!U145+LEMAHBANGKULON!Q145+PADANG!Q145+SINGOJURUH!AC145+SINGOLATREN!T145+SUMBERBARU!S145</f>
        <v>7</v>
      </c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7"/>
      <c r="B146" s="46"/>
      <c r="C146" s="24" t="s">
        <v>165</v>
      </c>
      <c r="D146" s="47"/>
      <c r="E146" s="9">
        <f>ALASMALANG!V146+'BENELAN KIDUL'!S146+CANTUK!T146+GAMBOR!N146+GUMIRIH!S146+KEMIRI!U146+LEMAHBANGKULON!Q146+PADANG!Q146+SINGOJURUH!AC146+SINGOLATREN!T146+SUMBERBARU!S146</f>
        <v>25</v>
      </c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6" t="s">
        <v>26</v>
      </c>
      <c r="B147" s="71" t="s">
        <v>51</v>
      </c>
      <c r="C147" s="80"/>
      <c r="D147" s="81"/>
      <c r="E147" s="5">
        <f>SUM(E140:E146)</f>
        <v>1837</v>
      </c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50"/>
      <c r="B148" s="82"/>
      <c r="C148" s="82"/>
      <c r="D148" s="82"/>
      <c r="E148" s="83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11" t="s">
        <v>48</v>
      </c>
      <c r="B149" s="17" t="s">
        <v>75</v>
      </c>
      <c r="C149" s="79" t="s">
        <v>76</v>
      </c>
      <c r="D149" s="52"/>
      <c r="E149" s="9">
        <f>ALASMALANG!V149+'BENELAN KIDUL'!S149+CANTUK!T149+GAMBOR!N149+GUMIRIH!S149+KEMIRI!U149+LEMAHBANGKULON!Q149+PADANG!Q149+SINGOJURUH!AC149+SINGOLATREN!T149+SUMBERBARU!S149</f>
        <v>50</v>
      </c>
      <c r="F149" s="40"/>
      <c r="G149" s="1"/>
      <c r="H149" s="1"/>
      <c r="I149" s="1"/>
      <c r="J149" s="1"/>
      <c r="K149" s="1"/>
      <c r="L149" s="1"/>
      <c r="M149" s="1"/>
      <c r="N149" s="1"/>
      <c r="O149" s="1"/>
      <c r="P149" s="34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</row>
    <row r="150" spans="1:216" ht="15.75" customHeight="1" x14ac:dyDescent="0.4">
      <c r="A150" s="11" t="s">
        <v>50</v>
      </c>
      <c r="B150" s="46"/>
      <c r="C150" s="24" t="s">
        <v>166</v>
      </c>
      <c r="D150" s="47"/>
      <c r="E150" s="9">
        <f>ALASMALANG!V150+'BENELAN KIDUL'!S150+CANTUK!T150+GAMBOR!N150+GUMIRIH!S150+KEMIRI!U150+LEMAHBANGKULON!Q150+PADANG!Q150+SINGOJURUH!AC150+SINGOLATREN!T150+SUMBERBARU!S150</f>
        <v>39</v>
      </c>
      <c r="F150" s="42"/>
      <c r="G150" s="27"/>
      <c r="H150" s="27"/>
      <c r="I150" s="27"/>
      <c r="J150" s="27"/>
      <c r="K150" s="27"/>
      <c r="L150" s="27"/>
      <c r="M150" s="27"/>
      <c r="N150" s="27"/>
      <c r="O150" s="27"/>
      <c r="P150" s="37"/>
      <c r="Q150" s="30"/>
      <c r="R150" s="30"/>
      <c r="S150" s="30"/>
      <c r="T150" s="30"/>
      <c r="U150" s="30"/>
      <c r="V150" s="30"/>
      <c r="W150" s="38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0"/>
      <c r="BM150" s="30"/>
      <c r="BN150" s="30"/>
      <c r="BO150" s="30"/>
      <c r="BP150" s="30"/>
      <c r="BQ150" s="30"/>
      <c r="BR150" s="38"/>
      <c r="BS150" s="30"/>
      <c r="BT150" s="30"/>
      <c r="BU150" s="30"/>
      <c r="BV150" s="30"/>
      <c r="BW150" s="30"/>
      <c r="BX150" s="30"/>
      <c r="BY150" s="30"/>
      <c r="BZ150" s="30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38"/>
      <c r="CQ150" s="38"/>
      <c r="CR150" s="38"/>
      <c r="CS150" s="38"/>
      <c r="CT150" s="38"/>
      <c r="CU150" s="38"/>
      <c r="CV150" s="38"/>
      <c r="CW150" s="38"/>
      <c r="CX150" s="38"/>
      <c r="CY150" s="38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8"/>
      <c r="EZ150" s="38"/>
      <c r="FA150" s="38"/>
      <c r="FB150" s="38"/>
      <c r="FC150" s="38"/>
      <c r="FD150" s="38"/>
      <c r="FE150" s="38"/>
      <c r="FF150" s="30"/>
      <c r="FG150" s="30"/>
      <c r="FH150" s="30"/>
      <c r="FI150" s="30"/>
      <c r="FJ150" s="38"/>
      <c r="FK150" s="38"/>
      <c r="FL150" s="38"/>
      <c r="FM150" s="38"/>
      <c r="FN150" s="38"/>
      <c r="FO150" s="38"/>
      <c r="FP150" s="38"/>
      <c r="FQ150" s="38"/>
      <c r="FR150" s="38"/>
      <c r="FS150" s="38"/>
      <c r="FT150" s="38"/>
      <c r="FU150" s="38"/>
      <c r="FV150" s="38"/>
      <c r="FW150" s="38"/>
      <c r="FX150" s="38"/>
      <c r="FY150" s="38"/>
      <c r="FZ150" s="38"/>
      <c r="GA150" s="38"/>
      <c r="GB150" s="38"/>
      <c r="GC150" s="38"/>
      <c r="GD150" s="38"/>
      <c r="GE150" s="38"/>
      <c r="GF150" s="38"/>
      <c r="GG150" s="38"/>
      <c r="GH150" s="38"/>
      <c r="GI150" s="38"/>
      <c r="GJ150" s="38"/>
      <c r="GK150" s="38"/>
      <c r="GL150" s="38"/>
      <c r="GM150" s="38"/>
      <c r="GN150" s="38"/>
      <c r="GO150" s="38"/>
      <c r="GP150" s="38"/>
      <c r="GQ150" s="38"/>
      <c r="GR150" s="38"/>
      <c r="GS150" s="38"/>
      <c r="GT150" s="38"/>
      <c r="GU150" s="38"/>
      <c r="GV150" s="38"/>
      <c r="GW150" s="38"/>
      <c r="GX150" s="38"/>
      <c r="GY150" s="38"/>
      <c r="GZ150" s="38"/>
      <c r="HA150" s="38"/>
      <c r="HB150" s="38"/>
      <c r="HC150" s="38"/>
      <c r="HD150" s="38"/>
      <c r="HE150" s="38"/>
      <c r="HF150" s="38"/>
      <c r="HG150" s="38"/>
      <c r="HH150" s="38"/>
    </row>
    <row r="151" spans="1:216" ht="15.75" customHeight="1" x14ac:dyDescent="0.4">
      <c r="A151" s="6" t="s">
        <v>26</v>
      </c>
      <c r="B151" s="71" t="s">
        <v>51</v>
      </c>
      <c r="C151" s="80"/>
      <c r="D151" s="81"/>
      <c r="E151" s="5">
        <f>SUM(E149:E150)</f>
        <v>89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50"/>
      <c r="B152" s="82"/>
      <c r="C152" s="82"/>
      <c r="D152" s="82"/>
      <c r="E152" s="83"/>
      <c r="F152" s="39"/>
      <c r="G152" s="20"/>
      <c r="H152" s="20"/>
      <c r="I152" s="20"/>
      <c r="J152" s="20"/>
      <c r="K152" s="20"/>
      <c r="L152" s="20"/>
      <c r="M152" s="20"/>
      <c r="N152" s="20"/>
      <c r="O152" s="20"/>
      <c r="P152" s="32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</row>
    <row r="153" spans="1:216" ht="15.75" customHeight="1" x14ac:dyDescent="0.4">
      <c r="A153" s="11" t="s">
        <v>48</v>
      </c>
      <c r="B153" s="17" t="s">
        <v>77</v>
      </c>
      <c r="C153" s="79" t="s">
        <v>78</v>
      </c>
      <c r="D153" s="52"/>
      <c r="E153" s="9">
        <f>ALASMALANG!V153+'BENELAN KIDUL'!S153+CANTUK!T153+GAMBOR!N153+GUMIRIH!S153+KEMIRI!U153+LEMAHBANGKULON!Q153+PADANG!Q153+SINGOJURUH!AC153+SINGOLATREN!T153+SUMBERBARU!S153</f>
        <v>5</v>
      </c>
      <c r="F153" s="40"/>
      <c r="G153" s="1"/>
      <c r="H153" s="1"/>
      <c r="I153" s="1"/>
      <c r="J153" s="1"/>
      <c r="K153" s="1"/>
      <c r="L153" s="1"/>
      <c r="M153" s="1"/>
      <c r="N153" s="1"/>
      <c r="O153" s="1"/>
      <c r="P153" s="34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</row>
    <row r="154" spans="1:216" ht="15.75" customHeight="1" x14ac:dyDescent="0.4">
      <c r="A154" s="11" t="s">
        <v>50</v>
      </c>
      <c r="B154" s="17"/>
      <c r="C154" s="24" t="s">
        <v>167</v>
      </c>
      <c r="D154" s="45"/>
      <c r="E154" s="9">
        <f>ALASMALANG!V154+'BENELAN KIDUL'!S154+CANTUK!T154+GAMBOR!N154+GUMIRIH!S154+KEMIRI!U154+LEMAHBANGKULON!Q154+PADANG!Q154+SINGOJURUH!AC154+SINGOLATREN!T154+SUMBERBARU!S154</f>
        <v>11</v>
      </c>
      <c r="F154" s="42"/>
      <c r="G154" s="27"/>
      <c r="H154" s="27"/>
      <c r="I154" s="27"/>
      <c r="J154" s="27"/>
      <c r="K154" s="27"/>
      <c r="L154" s="27"/>
      <c r="M154" s="27"/>
      <c r="N154" s="27"/>
      <c r="O154" s="27"/>
      <c r="P154" s="37"/>
      <c r="Q154" s="30"/>
      <c r="R154" s="30"/>
      <c r="S154" s="30"/>
      <c r="T154" s="30"/>
      <c r="U154" s="30"/>
      <c r="V154" s="30"/>
      <c r="W154" s="38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0"/>
      <c r="BM154" s="30"/>
      <c r="BN154" s="30"/>
      <c r="BO154" s="30"/>
      <c r="BP154" s="30"/>
      <c r="BQ154" s="30"/>
      <c r="BR154" s="38"/>
      <c r="BS154" s="30"/>
      <c r="BT154" s="30"/>
      <c r="BU154" s="30"/>
      <c r="BV154" s="30"/>
      <c r="BW154" s="30"/>
      <c r="BX154" s="30"/>
      <c r="BY154" s="30"/>
      <c r="BZ154" s="30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8"/>
      <c r="EZ154" s="38"/>
      <c r="FA154" s="38"/>
      <c r="FB154" s="38"/>
      <c r="FC154" s="38"/>
      <c r="FD154" s="38"/>
      <c r="FE154" s="38"/>
      <c r="FF154" s="30"/>
      <c r="FG154" s="30"/>
      <c r="FH154" s="30"/>
      <c r="FI154" s="30"/>
      <c r="FJ154" s="38"/>
      <c r="FK154" s="38"/>
      <c r="FL154" s="38"/>
      <c r="FM154" s="38"/>
      <c r="FN154" s="38"/>
      <c r="FO154" s="38"/>
      <c r="FP154" s="38"/>
      <c r="FQ154" s="38"/>
      <c r="FR154" s="38"/>
      <c r="FS154" s="38"/>
      <c r="FT154" s="38"/>
      <c r="FU154" s="38"/>
      <c r="FV154" s="38"/>
      <c r="FW154" s="38"/>
      <c r="FX154" s="38"/>
      <c r="FY154" s="38"/>
      <c r="FZ154" s="38"/>
      <c r="GA154" s="38"/>
      <c r="GB154" s="38"/>
      <c r="GC154" s="38"/>
      <c r="GD154" s="38"/>
      <c r="GE154" s="38"/>
      <c r="GF154" s="38"/>
      <c r="GG154" s="38"/>
      <c r="GH154" s="38"/>
      <c r="GI154" s="38"/>
      <c r="GJ154" s="38"/>
      <c r="GK154" s="38"/>
      <c r="GL154" s="38"/>
      <c r="GM154" s="38"/>
      <c r="GN154" s="38"/>
      <c r="GO154" s="38"/>
      <c r="GP154" s="38"/>
      <c r="GQ154" s="38"/>
      <c r="GR154" s="38"/>
      <c r="GS154" s="38"/>
      <c r="GT154" s="38"/>
      <c r="GU154" s="38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F154" s="38"/>
      <c r="HG154" s="38"/>
      <c r="HH154" s="38"/>
    </row>
    <row r="155" spans="1:216" ht="15.75" customHeight="1" x14ac:dyDescent="0.4">
      <c r="A155" s="7"/>
      <c r="B155" s="17"/>
      <c r="C155" s="24" t="s">
        <v>168</v>
      </c>
      <c r="D155" s="45"/>
      <c r="E155" s="9">
        <f>ALASMALANG!V155+'BENELAN KIDUL'!S155+CANTUK!T155+GAMBOR!N155+GUMIRIH!S155+KEMIRI!U155+LEMAHBANGKULON!Q155+PADANG!Q155+SINGOJURUH!AC155+SINGOLATREN!T155+SUMBERBARU!S155</f>
        <v>38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17"/>
      <c r="C156" s="24" t="s">
        <v>169</v>
      </c>
      <c r="D156" s="45"/>
      <c r="E156" s="9">
        <f>ALASMALANG!V156+'BENELAN KIDUL'!S156+CANTUK!T156+GAMBOR!N156+GUMIRIH!S156+KEMIRI!U156+LEMAHBANGKULON!Q156+PADANG!Q156+SINGOJURUH!AC156+SINGOLATREN!T156+SUMBERBARU!S156</f>
        <v>2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6" t="s">
        <v>26</v>
      </c>
      <c r="B157" s="71" t="s">
        <v>51</v>
      </c>
      <c r="C157" s="80"/>
      <c r="D157" s="81"/>
      <c r="E157" s="5">
        <f>SUM(E153:E156)</f>
        <v>56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50"/>
      <c r="B158" s="82"/>
      <c r="C158" s="82"/>
      <c r="D158" s="82"/>
      <c r="E158" s="83"/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11" t="s">
        <v>48</v>
      </c>
      <c r="B159" s="17" t="s">
        <v>79</v>
      </c>
      <c r="C159" s="79" t="s">
        <v>80</v>
      </c>
      <c r="D159" s="52"/>
      <c r="E159" s="9">
        <f>ALASMALANG!V159+'BENELAN KIDUL'!S159+CANTUK!T159+GAMBOR!N159+GUMIRIH!S159+KEMIRI!U159+LEMAHBANGKULON!Q159+PADANG!Q159+SINGOJURUH!AC159+SINGOLATREN!T159+SUMBERBARU!S159</f>
        <v>206</v>
      </c>
      <c r="F159" s="40"/>
      <c r="G159" s="1"/>
      <c r="H159" s="1"/>
      <c r="I159" s="1"/>
      <c r="J159" s="1"/>
      <c r="K159" s="1"/>
      <c r="L159" s="1"/>
      <c r="M159" s="1"/>
      <c r="N159" s="1"/>
      <c r="O159" s="1"/>
      <c r="P159" s="34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</row>
    <row r="160" spans="1:216" ht="15.75" customHeight="1" x14ac:dyDescent="0.4">
      <c r="A160" s="11" t="s">
        <v>50</v>
      </c>
      <c r="B160" s="46"/>
      <c r="C160" s="24" t="s">
        <v>170</v>
      </c>
      <c r="D160" s="47"/>
      <c r="E160" s="9">
        <f>ALASMALANG!V160+'BENELAN KIDUL'!S160+CANTUK!T160+GAMBOR!N160+GUMIRIH!S160+KEMIRI!U160+LEMAHBANGKULON!Q160+PADANG!Q160+SINGOJURUH!AC160+SINGOLATREN!T160+SUMBERBARU!S160</f>
        <v>1177</v>
      </c>
      <c r="F160" s="42"/>
      <c r="G160" s="27"/>
      <c r="H160" s="27"/>
      <c r="I160" s="27"/>
      <c r="J160" s="27"/>
      <c r="K160" s="27"/>
      <c r="L160" s="27"/>
      <c r="M160" s="27"/>
      <c r="N160" s="27"/>
      <c r="O160" s="27"/>
      <c r="P160" s="37"/>
      <c r="Q160" s="30"/>
      <c r="R160" s="30"/>
      <c r="S160" s="30"/>
      <c r="T160" s="30"/>
      <c r="U160" s="30"/>
      <c r="V160" s="30"/>
      <c r="W160" s="38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0"/>
      <c r="BM160" s="30"/>
      <c r="BN160" s="30"/>
      <c r="BO160" s="30"/>
      <c r="BP160" s="30"/>
      <c r="BQ160" s="30"/>
      <c r="BR160" s="38"/>
      <c r="BS160" s="30"/>
      <c r="BT160" s="30"/>
      <c r="BU160" s="30"/>
      <c r="BV160" s="30"/>
      <c r="BW160" s="30"/>
      <c r="BX160" s="30"/>
      <c r="BY160" s="30"/>
      <c r="BZ160" s="30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38"/>
      <c r="CT160" s="38"/>
      <c r="CU160" s="38"/>
      <c r="CV160" s="38"/>
      <c r="CW160" s="38"/>
      <c r="CX160" s="38"/>
      <c r="CY160" s="38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8"/>
      <c r="DL160" s="38"/>
      <c r="DM160" s="38"/>
      <c r="DN160" s="38"/>
      <c r="DO160" s="38"/>
      <c r="DP160" s="38"/>
      <c r="DQ160" s="38"/>
      <c r="DR160" s="38"/>
      <c r="DS160" s="38"/>
      <c r="DT160" s="38"/>
      <c r="DU160" s="38"/>
      <c r="DV160" s="38"/>
      <c r="DW160" s="38"/>
      <c r="DX160" s="38"/>
      <c r="DY160" s="38"/>
      <c r="DZ160" s="38"/>
      <c r="EA160" s="38"/>
      <c r="EB160" s="38"/>
      <c r="EC160" s="38"/>
      <c r="ED160" s="38"/>
      <c r="EE160" s="38"/>
      <c r="EF160" s="38"/>
      <c r="EG160" s="38"/>
      <c r="EH160" s="38"/>
      <c r="EI160" s="38"/>
      <c r="EJ160" s="38"/>
      <c r="EK160" s="38"/>
      <c r="EL160" s="38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8"/>
      <c r="EZ160" s="38"/>
      <c r="FA160" s="38"/>
      <c r="FB160" s="38"/>
      <c r="FC160" s="38"/>
      <c r="FD160" s="38"/>
      <c r="FE160" s="38"/>
      <c r="FF160" s="30"/>
      <c r="FG160" s="30"/>
      <c r="FH160" s="30"/>
      <c r="FI160" s="30"/>
      <c r="FJ160" s="38"/>
      <c r="FK160" s="38"/>
      <c r="FL160" s="38"/>
      <c r="FM160" s="38"/>
      <c r="FN160" s="38"/>
      <c r="FO160" s="38"/>
      <c r="FP160" s="38"/>
      <c r="FQ160" s="38"/>
      <c r="FR160" s="38"/>
      <c r="FS160" s="38"/>
      <c r="FT160" s="38"/>
      <c r="FU160" s="38"/>
      <c r="FV160" s="38"/>
      <c r="FW160" s="38"/>
      <c r="FX160" s="38"/>
      <c r="FY160" s="38"/>
      <c r="FZ160" s="38"/>
      <c r="GA160" s="38"/>
      <c r="GB160" s="38"/>
      <c r="GC160" s="38"/>
      <c r="GD160" s="38"/>
      <c r="GE160" s="38"/>
      <c r="GF160" s="38"/>
      <c r="GG160" s="38"/>
      <c r="GH160" s="38"/>
      <c r="GI160" s="38"/>
      <c r="GJ160" s="38"/>
      <c r="GK160" s="38"/>
      <c r="GL160" s="38"/>
      <c r="GM160" s="38"/>
      <c r="GN160" s="38"/>
      <c r="GO160" s="38"/>
      <c r="GP160" s="38"/>
      <c r="GQ160" s="38"/>
      <c r="GR160" s="38"/>
      <c r="GS160" s="38"/>
      <c r="GT160" s="38"/>
      <c r="GU160" s="38"/>
      <c r="GV160" s="38"/>
      <c r="GW160" s="38"/>
      <c r="GX160" s="38"/>
      <c r="GY160" s="38"/>
      <c r="GZ160" s="38"/>
      <c r="HA160" s="38"/>
      <c r="HB160" s="38"/>
      <c r="HC160" s="38"/>
      <c r="HD160" s="38"/>
      <c r="HE160" s="38"/>
      <c r="HF160" s="38"/>
      <c r="HG160" s="38"/>
      <c r="HH160" s="38"/>
    </row>
    <row r="161" spans="1:216" ht="15.75" customHeight="1" x14ac:dyDescent="0.4">
      <c r="A161" s="7"/>
      <c r="B161" s="46"/>
      <c r="C161" s="24" t="s">
        <v>171</v>
      </c>
      <c r="D161" s="47"/>
      <c r="E161" s="9">
        <f>ALASMALANG!V161+'BENELAN KIDUL'!S161+CANTUK!T161+GAMBOR!N161+GUMIRIH!S161+KEMIRI!U161+LEMAHBANGKULON!Q161+PADANG!Q161+SINGOJURUH!AC161+SINGOLATREN!T161+SUMBERBARU!S161</f>
        <v>26</v>
      </c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7"/>
      <c r="B162" s="46"/>
      <c r="C162" s="24" t="s">
        <v>172</v>
      </c>
      <c r="D162" s="47"/>
      <c r="E162" s="9">
        <f>ALASMALANG!V162+'BENELAN KIDUL'!S162+CANTUK!T162+GAMBOR!N162+GUMIRIH!S162+KEMIRI!U162+LEMAHBANGKULON!Q162+PADANG!Q162+SINGOJURUH!AC162+SINGOLATREN!T162+SUMBERBARU!S162</f>
        <v>16</v>
      </c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7"/>
      <c r="B163" s="46"/>
      <c r="C163" s="24" t="s">
        <v>173</v>
      </c>
      <c r="D163" s="47"/>
      <c r="E163" s="9">
        <f>ALASMALANG!V163+'BENELAN KIDUL'!S163+CANTUK!T163+GAMBOR!N163+GUMIRIH!S163+KEMIRI!U163+LEMAHBANGKULON!Q163+PADANG!Q163+SINGOJURUH!AC163+SINGOLATREN!T163+SUMBERBARU!S163</f>
        <v>4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7"/>
      <c r="B164" s="46"/>
      <c r="C164" s="24" t="s">
        <v>174</v>
      </c>
      <c r="D164" s="47"/>
      <c r="E164" s="9">
        <f>ALASMALANG!V164+'BENELAN KIDUL'!S164+CANTUK!T164+GAMBOR!N164+GUMIRIH!S164+KEMIRI!U164+LEMAHBANGKULON!Q164+PADANG!Q164+SINGOJURUH!AC164+SINGOLATREN!T164+SUMBERBARU!S164</f>
        <v>2</v>
      </c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7"/>
      <c r="B165" s="46"/>
      <c r="C165" s="24" t="s">
        <v>175</v>
      </c>
      <c r="D165" s="47"/>
      <c r="E165" s="9">
        <f>ALASMALANG!V165+'BENELAN KIDUL'!S165+CANTUK!T165+GAMBOR!N165+GUMIRIH!S165+KEMIRI!U165+LEMAHBANGKULON!Q165+PADANG!Q165+SINGOJURUH!AC165+SINGOLATREN!T165+SUMBERBARU!S165</f>
        <v>6</v>
      </c>
      <c r="F165" s="39"/>
      <c r="G165" s="20"/>
      <c r="H165" s="20"/>
      <c r="I165" s="20"/>
      <c r="J165" s="20"/>
      <c r="K165" s="20"/>
      <c r="L165" s="20"/>
      <c r="M165" s="20"/>
      <c r="N165" s="20"/>
      <c r="O165" s="20"/>
      <c r="P165" s="32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</row>
    <row r="166" spans="1:216" ht="15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1437</v>
      </c>
      <c r="F166" s="39"/>
      <c r="G166" s="20"/>
      <c r="H166" s="20"/>
      <c r="I166" s="20"/>
      <c r="J166" s="20"/>
      <c r="K166" s="20"/>
      <c r="L166" s="20"/>
      <c r="M166" s="20"/>
      <c r="N166" s="20"/>
      <c r="O166" s="20"/>
      <c r="P166" s="32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</row>
    <row r="167" spans="1:216" ht="15.75" customHeight="1" x14ac:dyDescent="0.4">
      <c r="A167" s="50"/>
      <c r="B167" s="82"/>
      <c r="C167" s="82"/>
      <c r="D167" s="82"/>
      <c r="E167" s="83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11" t="s">
        <v>48</v>
      </c>
      <c r="B168" s="17" t="s">
        <v>81</v>
      </c>
      <c r="C168" s="79" t="s">
        <v>82</v>
      </c>
      <c r="D168" s="52"/>
      <c r="E168" s="9">
        <f>ALASMALANG!V168+'BENELAN KIDUL'!S168+CANTUK!T168+GAMBOR!N168+GUMIRIH!S168+KEMIRI!U168+LEMAHBANGKULON!Q168+PADANG!Q168+SINGOJURUH!AC168+SINGOLATREN!T168+SUMBERBARU!S168</f>
        <v>17</v>
      </c>
      <c r="F168" s="40"/>
      <c r="G168" s="1"/>
      <c r="H168" s="1"/>
      <c r="I168" s="1"/>
      <c r="J168" s="1"/>
      <c r="K168" s="1"/>
      <c r="L168" s="1"/>
      <c r="M168" s="1"/>
      <c r="N168" s="1"/>
      <c r="O168" s="1"/>
      <c r="P168" s="34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</row>
    <row r="169" spans="1:216" ht="15.75" customHeight="1" x14ac:dyDescent="0.4">
      <c r="A169" s="11" t="s">
        <v>50</v>
      </c>
      <c r="B169" s="46"/>
      <c r="C169" s="24" t="s">
        <v>176</v>
      </c>
      <c r="D169" s="47"/>
      <c r="E169" s="9">
        <f>ALASMALANG!V169+'BENELAN KIDUL'!S169+CANTUK!T169+GAMBOR!N169+GUMIRIH!S169+KEMIRI!U169+LEMAHBANGKULON!Q169+PADANG!Q169+SINGOJURUH!AC169+SINGOLATREN!T169+SUMBERBARU!S169</f>
        <v>22</v>
      </c>
      <c r="F169" s="39"/>
      <c r="G169" s="20"/>
      <c r="H169" s="20"/>
      <c r="I169" s="20"/>
      <c r="J169" s="20"/>
      <c r="K169" s="20"/>
      <c r="L169" s="20"/>
      <c r="M169" s="20"/>
      <c r="N169" s="20"/>
      <c r="O169" s="23"/>
      <c r="P169" s="35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</row>
    <row r="170" spans="1:216" ht="15.75" customHeight="1" x14ac:dyDescent="0.4">
      <c r="A170" s="6" t="s">
        <v>26</v>
      </c>
      <c r="B170" s="71" t="s">
        <v>51</v>
      </c>
      <c r="C170" s="80"/>
      <c r="D170" s="81"/>
      <c r="E170" s="5">
        <f>SUM(E168:E169)</f>
        <v>39</v>
      </c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</row>
    <row r="171" spans="1:216" ht="15.75" customHeight="1" x14ac:dyDescent="0.4"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</row>
    <row r="172" spans="1:216" ht="15.75" customHeight="1" x14ac:dyDescent="0.4">
      <c r="A172" s="16" t="s">
        <v>83</v>
      </c>
      <c r="B172" s="53" t="s">
        <v>84</v>
      </c>
      <c r="C172" s="90"/>
      <c r="D172" s="91"/>
      <c r="E172" s="5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</row>
    <row r="173" spans="1:216" ht="15.75" customHeight="1" x14ac:dyDescent="0.4">
      <c r="A173" s="16"/>
      <c r="B173" s="19" t="s">
        <v>85</v>
      </c>
      <c r="C173" s="88" t="s">
        <v>86</v>
      </c>
      <c r="D173" s="89"/>
      <c r="E173" s="9">
        <f>ALASMALANG!V173+'BENELAN KIDUL'!S173+CANTUK!T173+GAMBOR!N173+GUMIRIH!S173+KEMIRI!U173+LEMAHBANGKULON!Q173+PADANG!Q173+SINGOJURUH!AC173+SINGOLATREN!T173+SUMBERBARU!S173</f>
        <v>28664</v>
      </c>
      <c r="F173" s="39"/>
      <c r="G173" s="20"/>
      <c r="H173" s="20"/>
      <c r="I173" s="20"/>
      <c r="J173" s="20"/>
      <c r="K173" s="20"/>
      <c r="L173" s="20"/>
      <c r="M173" s="20"/>
      <c r="N173" s="20"/>
      <c r="O173" s="2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</row>
    <row r="174" spans="1:216" ht="15.75" customHeight="1" x14ac:dyDescent="0.4">
      <c r="A174" s="13"/>
      <c r="B174" s="19" t="s">
        <v>87</v>
      </c>
      <c r="C174" s="88" t="s">
        <v>88</v>
      </c>
      <c r="D174" s="89"/>
      <c r="E174" s="9">
        <f>ALASMALANG!V174+'BENELAN KIDUL'!S174+CANTUK!T174+GAMBOR!N174+GUMIRIH!S174+KEMIRI!U174+LEMAHBANGKULON!Q174+PADANG!Q174+SINGOJURUH!AC174+SINGOLATREN!T174+SUMBERBARU!S174</f>
        <v>1910</v>
      </c>
      <c r="F174" s="39"/>
      <c r="G174" s="20"/>
      <c r="H174" s="20"/>
      <c r="I174" s="20"/>
      <c r="J174" s="20"/>
      <c r="K174" s="20"/>
      <c r="L174" s="20"/>
      <c r="M174" s="20"/>
      <c r="N174" s="20"/>
      <c r="O174" s="2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</row>
    <row r="175" spans="1:216" ht="15.75" customHeight="1" x14ac:dyDescent="0.4">
      <c r="A175" s="14"/>
      <c r="B175" s="19" t="s">
        <v>89</v>
      </c>
      <c r="C175" s="88" t="s">
        <v>90</v>
      </c>
      <c r="D175" s="89"/>
      <c r="E175" s="5">
        <f t="shared" ref="E175" si="8">SUM(E173:E174)</f>
        <v>30574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</row>
    <row r="176" spans="1:216" ht="15.75" customHeight="1" x14ac:dyDescent="0.4">
      <c r="A176" s="20"/>
      <c r="B176" s="21"/>
      <c r="C176" s="22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</row>
    <row r="177" spans="1:216" ht="15.75" customHeight="1" x14ac:dyDescent="0.4">
      <c r="A177" s="20"/>
      <c r="B177" s="21"/>
      <c r="C177" s="22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</row>
    <row r="178" spans="1:216" ht="15.75" customHeight="1" x14ac:dyDescent="0.4">
      <c r="A178" s="20"/>
      <c r="B178" s="21"/>
      <c r="C178" s="22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</row>
    <row r="179" spans="1:216" ht="15.75" hidden="1" customHeight="1" x14ac:dyDescent="0.4">
      <c r="A179" s="20"/>
      <c r="B179" s="21"/>
      <c r="C179" s="22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</row>
    <row r="180" spans="1:216" ht="15.75" hidden="1" customHeight="1" x14ac:dyDescent="0.4">
      <c r="A180" s="20"/>
      <c r="B180" s="21"/>
      <c r="C180" s="22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</row>
    <row r="181" spans="1:216" ht="15.75" hidden="1" customHeight="1" x14ac:dyDescent="0.4">
      <c r="A181" s="20"/>
      <c r="B181" s="21"/>
      <c r="C181" s="22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</row>
    <row r="182" spans="1:216" ht="15.75" hidden="1" customHeight="1" x14ac:dyDescent="0.4">
      <c r="A182" s="20"/>
      <c r="B182" s="21"/>
      <c r="C182" s="22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</row>
    <row r="183" spans="1:216" ht="15.75" hidden="1" customHeight="1" x14ac:dyDescent="0.4">
      <c r="A183" s="20"/>
      <c r="B183" s="21"/>
      <c r="C183" s="22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</row>
    <row r="184" spans="1:216" ht="15.75" hidden="1" customHeight="1" x14ac:dyDescent="0.4">
      <c r="A184" s="20"/>
      <c r="B184" s="21"/>
      <c r="C184" s="22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</row>
    <row r="185" spans="1:216" ht="15.75" hidden="1" customHeight="1" x14ac:dyDescent="0.4">
      <c r="A185" s="20"/>
      <c r="B185" s="21"/>
      <c r="C185" s="22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</row>
    <row r="186" spans="1:216" ht="15.75" hidden="1" customHeight="1" x14ac:dyDescent="0.4">
      <c r="A186" s="20"/>
      <c r="B186" s="21"/>
      <c r="C186" s="22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</row>
    <row r="187" spans="1:216" ht="15.75" hidden="1" customHeight="1" x14ac:dyDescent="0.4">
      <c r="A187" s="20"/>
      <c r="B187" s="21"/>
      <c r="C187" s="22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</row>
    <row r="188" spans="1:216" ht="15.75" hidden="1" customHeight="1" x14ac:dyDescent="0.4">
      <c r="A188" s="20"/>
      <c r="B188" s="21"/>
      <c r="C188" s="22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</row>
    <row r="189" spans="1:216" ht="15.75" hidden="1" customHeight="1" x14ac:dyDescent="0.4">
      <c r="A189" s="20"/>
      <c r="B189" s="21"/>
      <c r="C189" s="22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</row>
    <row r="190" spans="1:216" ht="15.75" hidden="1" customHeight="1" x14ac:dyDescent="0.4">
      <c r="A190" s="20"/>
      <c r="B190" s="21"/>
      <c r="C190" s="22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</row>
    <row r="191" spans="1:216" ht="15.75" hidden="1" customHeight="1" x14ac:dyDescent="0.4">
      <c r="A191" s="20"/>
      <c r="B191" s="21"/>
      <c r="C191" s="22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</row>
    <row r="192" spans="1:216" ht="15.75" hidden="1" customHeight="1" x14ac:dyDescent="0.4">
      <c r="A192" s="20"/>
      <c r="B192" s="21"/>
      <c r="C192" s="22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</row>
    <row r="193" spans="1:216" ht="15.75" hidden="1" customHeight="1" x14ac:dyDescent="0.4">
      <c r="A193" s="20"/>
      <c r="B193" s="21"/>
      <c r="C193" s="22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</row>
    <row r="194" spans="1:216" ht="15.75" hidden="1" customHeight="1" x14ac:dyDescent="0.4">
      <c r="A194" s="20"/>
      <c r="B194" s="21"/>
      <c r="C194" s="22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</row>
    <row r="195" spans="1:216" ht="15.75" hidden="1" customHeight="1" x14ac:dyDescent="0.4">
      <c r="A195" s="20"/>
      <c r="B195" s="21"/>
      <c r="C195" s="22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</row>
    <row r="196" spans="1:216" ht="15.75" hidden="1" customHeight="1" x14ac:dyDescent="0.4">
      <c r="A196" s="20"/>
      <c r="B196" s="21"/>
      <c r="C196" s="22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</row>
    <row r="197" spans="1:216" ht="15.75" hidden="1" customHeight="1" x14ac:dyDescent="0.4">
      <c r="A197" s="20"/>
      <c r="B197" s="21"/>
      <c r="C197" s="22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</row>
    <row r="198" spans="1:216" ht="15.75" hidden="1" customHeight="1" x14ac:dyDescent="0.4">
      <c r="A198" s="20"/>
      <c r="B198" s="21"/>
      <c r="C198" s="22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</row>
    <row r="199" spans="1:216" ht="15.75" hidden="1" customHeight="1" x14ac:dyDescent="0.4">
      <c r="A199" s="20"/>
      <c r="B199" s="21"/>
      <c r="C199" s="22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</row>
    <row r="200" spans="1:216" ht="15.75" hidden="1" customHeight="1" x14ac:dyDescent="0.4">
      <c r="A200" s="20"/>
      <c r="B200" s="21"/>
      <c r="C200" s="22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</row>
    <row r="201" spans="1:216" ht="15.75" hidden="1" customHeight="1" x14ac:dyDescent="0.4">
      <c r="A201" s="20"/>
      <c r="B201" s="21"/>
      <c r="C201" s="22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</row>
    <row r="202" spans="1:216" ht="15.75" hidden="1" customHeight="1" x14ac:dyDescent="0.4">
      <c r="A202" s="20"/>
      <c r="B202" s="21"/>
      <c r="C202" s="22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</row>
    <row r="203" spans="1:216" ht="15.75" hidden="1" customHeight="1" x14ac:dyDescent="0.4">
      <c r="A203" s="20"/>
      <c r="B203" s="21"/>
      <c r="C203" s="22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</row>
    <row r="204" spans="1:216" ht="15.75" hidden="1" customHeight="1" x14ac:dyDescent="0.4">
      <c r="A204" s="20"/>
      <c r="B204" s="21"/>
      <c r="C204" s="22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</row>
    <row r="205" spans="1:216" ht="15.75" hidden="1" customHeight="1" x14ac:dyDescent="0.4">
      <c r="A205" s="20"/>
      <c r="B205" s="21"/>
      <c r="C205" s="22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</row>
    <row r="206" spans="1:216" ht="15.75" hidden="1" customHeight="1" x14ac:dyDescent="0.4">
      <c r="A206" s="20"/>
      <c r="B206" s="21"/>
      <c r="C206" s="22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</row>
    <row r="207" spans="1:216" ht="15.75" hidden="1" customHeight="1" x14ac:dyDescent="0.4">
      <c r="A207" s="20"/>
      <c r="B207" s="21"/>
      <c r="C207" s="22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</row>
    <row r="208" spans="1:216" ht="15.75" hidden="1" customHeight="1" x14ac:dyDescent="0.4">
      <c r="A208" s="20"/>
      <c r="B208" s="21"/>
      <c r="C208" s="22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</row>
    <row r="209" spans="1:216" ht="15.75" hidden="1" customHeight="1" x14ac:dyDescent="0.4">
      <c r="A209" s="20"/>
      <c r="B209" s="21"/>
      <c r="C209" s="22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</row>
    <row r="210" spans="1:216" ht="15.75" hidden="1" customHeight="1" x14ac:dyDescent="0.4">
      <c r="A210" s="20"/>
      <c r="B210" s="21"/>
      <c r="C210" s="22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</row>
    <row r="211" spans="1:216" ht="15.75" hidden="1" customHeight="1" x14ac:dyDescent="0.4">
      <c r="A211" s="20"/>
      <c r="B211" s="21"/>
      <c r="C211" s="22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</row>
    <row r="212" spans="1:216" ht="15.75" hidden="1" customHeight="1" x14ac:dyDescent="0.4">
      <c r="A212" s="20"/>
      <c r="B212" s="21"/>
      <c r="C212" s="22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</row>
    <row r="213" spans="1:216" ht="15.75" hidden="1" customHeight="1" x14ac:dyDescent="0.4">
      <c r="A213" s="20"/>
      <c r="B213" s="21"/>
      <c r="C213" s="22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</row>
    <row r="214" spans="1:216" ht="15.75" hidden="1" customHeight="1" x14ac:dyDescent="0.4">
      <c r="A214" s="20"/>
      <c r="B214" s="21"/>
      <c r="C214" s="22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</row>
    <row r="215" spans="1:216" ht="15.75" hidden="1" customHeight="1" x14ac:dyDescent="0.4">
      <c r="A215" s="20"/>
      <c r="B215" s="21"/>
      <c r="C215" s="22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</row>
    <row r="216" spans="1:216" ht="15.75" hidden="1" customHeight="1" x14ac:dyDescent="0.4">
      <c r="A216" s="20"/>
      <c r="B216" s="21"/>
      <c r="C216" s="22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</row>
    <row r="217" spans="1:216" ht="15.75" hidden="1" customHeight="1" x14ac:dyDescent="0.4">
      <c r="A217" s="20"/>
      <c r="B217" s="21"/>
      <c r="C217" s="22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</row>
    <row r="218" spans="1:216" ht="15.75" hidden="1" customHeight="1" x14ac:dyDescent="0.4">
      <c r="A218" s="20"/>
      <c r="B218" s="21"/>
      <c r="C218" s="22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</row>
    <row r="219" spans="1:216" ht="15.75" hidden="1" customHeight="1" x14ac:dyDescent="0.4">
      <c r="A219" s="20"/>
      <c r="B219" s="21"/>
      <c r="C219" s="22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</row>
    <row r="220" spans="1:216" ht="15.75" hidden="1" customHeight="1" x14ac:dyDescent="0.4">
      <c r="A220" s="20"/>
      <c r="B220" s="21"/>
      <c r="C220" s="22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</row>
    <row r="221" spans="1:216" ht="15.75" hidden="1" customHeight="1" x14ac:dyDescent="0.4">
      <c r="A221" s="20"/>
      <c r="B221" s="21"/>
      <c r="C221" s="22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</row>
    <row r="222" spans="1:216" ht="15.75" hidden="1" customHeight="1" x14ac:dyDescent="0.4">
      <c r="A222" s="20"/>
      <c r="B222" s="21"/>
      <c r="C222" s="22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</row>
    <row r="223" spans="1:216" ht="15.75" hidden="1" customHeight="1" x14ac:dyDescent="0.4">
      <c r="A223" s="20"/>
      <c r="B223" s="21"/>
      <c r="C223" s="22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</row>
    <row r="224" spans="1:216" ht="15.75" hidden="1" customHeight="1" x14ac:dyDescent="0.4">
      <c r="A224" s="20"/>
      <c r="B224" s="21"/>
      <c r="C224" s="22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</row>
    <row r="225" spans="1:216" ht="15.75" hidden="1" customHeight="1" x14ac:dyDescent="0.4">
      <c r="A225" s="20"/>
      <c r="B225" s="21"/>
      <c r="C225" s="22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</row>
    <row r="226" spans="1:216" ht="15.75" hidden="1" customHeight="1" x14ac:dyDescent="0.4">
      <c r="A226" s="20"/>
      <c r="B226" s="21"/>
      <c r="C226" s="22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</row>
    <row r="227" spans="1:216" ht="15.75" hidden="1" customHeight="1" x14ac:dyDescent="0.4">
      <c r="A227" s="20"/>
      <c r="B227" s="21"/>
      <c r="C227" s="22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</row>
    <row r="228" spans="1:216" ht="15.75" hidden="1" customHeight="1" x14ac:dyDescent="0.4">
      <c r="A228" s="20"/>
      <c r="B228" s="21"/>
      <c r="C228" s="22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</row>
    <row r="229" spans="1:216" ht="15.75" hidden="1" customHeight="1" x14ac:dyDescent="0.4">
      <c r="A229" s="20"/>
      <c r="B229" s="21"/>
      <c r="C229" s="22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</row>
    <row r="230" spans="1:216" ht="15.75" hidden="1" customHeight="1" x14ac:dyDescent="0.4">
      <c r="A230" s="20"/>
      <c r="B230" s="21"/>
      <c r="C230" s="22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</row>
    <row r="231" spans="1:216" ht="15.75" hidden="1" customHeight="1" x14ac:dyDescent="0.4">
      <c r="A231" s="20"/>
      <c r="B231" s="21"/>
      <c r="C231" s="22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</row>
    <row r="232" spans="1:216" ht="15.75" hidden="1" customHeight="1" x14ac:dyDescent="0.4">
      <c r="A232" s="20"/>
      <c r="B232" s="21"/>
      <c r="C232" s="22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</row>
    <row r="233" spans="1:216" ht="15.75" hidden="1" customHeight="1" x14ac:dyDescent="0.4">
      <c r="A233" s="20"/>
      <c r="B233" s="21"/>
      <c r="C233" s="22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</row>
    <row r="234" spans="1:216" ht="15.75" hidden="1" customHeight="1" x14ac:dyDescent="0.4">
      <c r="A234" s="20"/>
      <c r="B234" s="21"/>
      <c r="C234" s="22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</row>
    <row r="235" spans="1:216" ht="15.75" hidden="1" customHeight="1" x14ac:dyDescent="0.4">
      <c r="A235" s="20"/>
      <c r="B235" s="21"/>
      <c r="C235" s="22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</row>
    <row r="236" spans="1:216" ht="15.75" hidden="1" customHeight="1" x14ac:dyDescent="0.4">
      <c r="A236" s="20"/>
      <c r="B236" s="21"/>
      <c r="C236" s="22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</row>
    <row r="237" spans="1:216" ht="15.75" hidden="1" customHeight="1" x14ac:dyDescent="0.4">
      <c r="A237" s="20"/>
      <c r="B237" s="21"/>
      <c r="C237" s="22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</row>
    <row r="238" spans="1:216" ht="15.75" hidden="1" customHeight="1" x14ac:dyDescent="0.4">
      <c r="A238" s="20"/>
      <c r="B238" s="21"/>
      <c r="C238" s="22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</row>
    <row r="239" spans="1:216" ht="15.75" hidden="1" customHeight="1" x14ac:dyDescent="0.4">
      <c r="A239" s="20"/>
      <c r="B239" s="21"/>
      <c r="C239" s="22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</row>
    <row r="240" spans="1:216" ht="15.75" hidden="1" customHeight="1" x14ac:dyDescent="0.4">
      <c r="A240" s="20"/>
      <c r="B240" s="21"/>
      <c r="C240" s="22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</row>
    <row r="241" spans="1:216" ht="15.75" hidden="1" customHeight="1" x14ac:dyDescent="0.4">
      <c r="A241" s="20"/>
      <c r="B241" s="21"/>
      <c r="C241" s="22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</row>
    <row r="242" spans="1:216" ht="15.75" hidden="1" customHeight="1" x14ac:dyDescent="0.4">
      <c r="A242" s="20"/>
      <c r="B242" s="21"/>
      <c r="C242" s="22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</row>
    <row r="243" spans="1:216" ht="15.75" hidden="1" customHeight="1" x14ac:dyDescent="0.4">
      <c r="A243" s="20"/>
      <c r="B243" s="21"/>
      <c r="C243" s="22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</row>
    <row r="244" spans="1:216" ht="15.75" hidden="1" customHeight="1" x14ac:dyDescent="0.4">
      <c r="A244" s="20"/>
      <c r="B244" s="21"/>
      <c r="C244" s="22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</row>
    <row r="245" spans="1:216" ht="15.75" hidden="1" customHeight="1" x14ac:dyDescent="0.4">
      <c r="A245" s="20"/>
      <c r="B245" s="21"/>
      <c r="C245" s="22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</row>
    <row r="246" spans="1:216" ht="15.75" hidden="1" customHeight="1" x14ac:dyDescent="0.4">
      <c r="A246" s="20"/>
      <c r="B246" s="21"/>
      <c r="C246" s="22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</row>
    <row r="247" spans="1:216" ht="15.75" hidden="1" customHeight="1" x14ac:dyDescent="0.4">
      <c r="A247" s="20"/>
      <c r="B247" s="21"/>
      <c r="C247" s="22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</row>
    <row r="248" spans="1:216" ht="15.75" hidden="1" customHeight="1" x14ac:dyDescent="0.4">
      <c r="A248" s="20"/>
      <c r="B248" s="21"/>
      <c r="C248" s="22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</row>
    <row r="249" spans="1:216" ht="15.75" hidden="1" customHeight="1" x14ac:dyDescent="0.4">
      <c r="A249" s="20"/>
      <c r="B249" s="21"/>
      <c r="C249" s="22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</row>
    <row r="250" spans="1:216" ht="15.75" hidden="1" customHeight="1" x14ac:dyDescent="0.4">
      <c r="A250" s="20"/>
      <c r="B250" s="21"/>
      <c r="C250" s="22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hidden="1" customHeight="1" x14ac:dyDescent="0.4">
      <c r="A251" s="20"/>
      <c r="B251" s="21"/>
      <c r="C251" s="22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hidden="1" customHeight="1" x14ac:dyDescent="0.4">
      <c r="A252" s="20"/>
      <c r="B252" s="21"/>
      <c r="C252" s="22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</row>
    <row r="253" spans="1:216" ht="15.75" hidden="1" customHeight="1" x14ac:dyDescent="0.4">
      <c r="A253" s="20"/>
      <c r="B253" s="21"/>
      <c r="C253" s="22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</row>
    <row r="254" spans="1:216" ht="15.75" hidden="1" customHeight="1" x14ac:dyDescent="0.4">
      <c r="A254" s="20"/>
      <c r="B254" s="21"/>
      <c r="C254" s="22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</row>
    <row r="255" spans="1:216" ht="15.75" hidden="1" customHeight="1" x14ac:dyDescent="0.4">
      <c r="A255" s="20"/>
      <c r="B255" s="21"/>
      <c r="C255" s="22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hidden="1" customHeight="1" x14ac:dyDescent="0.4">
      <c r="A256" s="20"/>
      <c r="B256" s="21"/>
      <c r="C256" s="22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hidden="1" customHeight="1" x14ac:dyDescent="0.4">
      <c r="A257" s="20"/>
      <c r="B257" s="21"/>
      <c r="C257" s="22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hidden="1" customHeight="1" x14ac:dyDescent="0.4">
      <c r="A258" s="20"/>
      <c r="B258" s="21"/>
      <c r="C258" s="22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hidden="1" customHeight="1" x14ac:dyDescent="0.4">
      <c r="A259" s="20"/>
      <c r="B259" s="21"/>
      <c r="C259" s="22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hidden="1" customHeight="1" x14ac:dyDescent="0.4">
      <c r="A260" s="20"/>
      <c r="B260" s="21"/>
      <c r="C260" s="22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hidden="1" customHeight="1" x14ac:dyDescent="0.4">
      <c r="A261" s="20"/>
      <c r="B261" s="21"/>
      <c r="C261" s="22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hidden="1" customHeight="1" x14ac:dyDescent="0.4">
      <c r="A262" s="20"/>
      <c r="B262" s="21"/>
      <c r="C262" s="22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hidden="1" customHeight="1" x14ac:dyDescent="0.4">
      <c r="A263" s="20"/>
      <c r="B263" s="21"/>
      <c r="C263" s="22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hidden="1" customHeight="1" x14ac:dyDescent="0.4">
      <c r="A264" s="20"/>
      <c r="B264" s="21"/>
      <c r="C264" s="22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hidden="1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hidden="1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hidden="1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6:216" ht="15.75" hidden="1" customHeight="1" x14ac:dyDescent="0.4"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6:216" ht="15.75" hidden="1" customHeight="1" x14ac:dyDescent="0.4"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6:216" ht="15.75" hidden="1" customHeight="1" x14ac:dyDescent="0.4"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6:216" ht="15.75" hidden="1" customHeight="1" x14ac:dyDescent="0.4"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6:216" ht="15.75" hidden="1" customHeight="1" x14ac:dyDescent="0.4"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6:216" ht="15.75" hidden="1" customHeight="1" x14ac:dyDescent="0.4"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6:216" ht="15.75" hidden="1" customHeight="1" x14ac:dyDescent="0.4"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6:216" ht="15.75" hidden="1" customHeight="1" x14ac:dyDescent="0.4"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6:216" ht="15.75" hidden="1" customHeight="1" x14ac:dyDescent="0.4"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6:216" ht="15.75" hidden="1" customHeight="1" x14ac:dyDescent="0.4"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6:216" ht="15.75" hidden="1" customHeight="1" x14ac:dyDescent="0.4"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6:216" ht="15.75" hidden="1" customHeight="1" x14ac:dyDescent="0.4"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6:216" ht="15.75" hidden="1" customHeight="1" x14ac:dyDescent="0.4"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6:216" ht="15.75" hidden="1" customHeight="1" x14ac:dyDescent="0.4"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6:216" ht="15.75" hidden="1" customHeight="1" x14ac:dyDescent="0.4"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6:216" ht="15.75" hidden="1" customHeight="1" x14ac:dyDescent="0.4"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6:216" ht="15.75" hidden="1" customHeight="1" x14ac:dyDescent="0.4"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6:216" ht="15.75" hidden="1" customHeight="1" x14ac:dyDescent="0.4"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6:216" ht="15.75" hidden="1" customHeight="1" x14ac:dyDescent="0.4"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6:216" ht="15.75" hidden="1" customHeight="1" x14ac:dyDescent="0.4"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6:216" ht="15.75" hidden="1" customHeight="1" x14ac:dyDescent="0.4"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6:216" ht="15.75" hidden="1" customHeight="1" x14ac:dyDescent="0.4"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6:216" ht="15.75" hidden="1" customHeight="1" x14ac:dyDescent="0.4"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6:216" ht="15.75" hidden="1" customHeight="1" x14ac:dyDescent="0.4"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6:216" ht="15.75" hidden="1" customHeight="1" x14ac:dyDescent="0.4"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6:216" ht="15.75" hidden="1" customHeight="1" x14ac:dyDescent="0.4"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6:216" ht="15.75" hidden="1" customHeight="1" x14ac:dyDescent="0.4"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6:216" ht="15.75" hidden="1" customHeight="1" x14ac:dyDescent="0.4"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6:216" ht="15.75" hidden="1" customHeight="1" x14ac:dyDescent="0.4"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6:216" ht="15.75" hidden="1" customHeight="1" x14ac:dyDescent="0.4"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6:216" ht="15.75" hidden="1" customHeight="1" x14ac:dyDescent="0.4"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6:216" ht="15.75" hidden="1" customHeight="1" x14ac:dyDescent="0.4"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6:216" ht="15.75" hidden="1" customHeight="1" x14ac:dyDescent="0.4"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6:216" ht="15.75" hidden="1" customHeight="1" x14ac:dyDescent="0.4"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6:216" ht="15.75" hidden="1" customHeight="1" x14ac:dyDescent="0.4"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6:216" ht="15.75" hidden="1" customHeight="1" x14ac:dyDescent="0.4"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6:216" ht="15.75" hidden="1" customHeight="1" x14ac:dyDescent="0.4"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6:216" ht="15.75" hidden="1" customHeight="1" x14ac:dyDescent="0.4"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6:216" ht="15.75" hidden="1" customHeight="1" x14ac:dyDescent="0.4"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6:216" ht="15.75" hidden="1" customHeight="1" x14ac:dyDescent="0.4"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6:216" ht="15.75" hidden="1" customHeight="1" x14ac:dyDescent="0.4"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6:216" ht="15.75" hidden="1" customHeight="1" x14ac:dyDescent="0.4"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6:216" ht="15.75" hidden="1" customHeight="1" x14ac:dyDescent="0.4"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6:216" ht="15.75" hidden="1" customHeight="1" x14ac:dyDescent="0.4"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6:216" ht="15.75" hidden="1" customHeight="1" x14ac:dyDescent="0.4"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6:216" ht="15.75" hidden="1" customHeight="1" x14ac:dyDescent="0.4"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6:216" ht="15.75" hidden="1" customHeight="1" x14ac:dyDescent="0.4"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6:216" ht="15.75" hidden="1" customHeight="1" x14ac:dyDescent="0.4"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6:216" ht="15.75" hidden="1" customHeight="1" x14ac:dyDescent="0.4"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6:216" ht="15.75" hidden="1" customHeight="1" x14ac:dyDescent="0.4"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6:216" ht="15.75" hidden="1" customHeight="1" x14ac:dyDescent="0.4"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6:216" ht="15.75" hidden="1" customHeight="1" x14ac:dyDescent="0.4"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6:216" ht="15.75" hidden="1" customHeight="1" x14ac:dyDescent="0.4"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6:216" ht="15.75" hidden="1" customHeight="1" x14ac:dyDescent="0.4"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6:216" ht="15.75" hidden="1" customHeight="1" x14ac:dyDescent="0.4"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6:216" ht="15.75" hidden="1" customHeight="1" x14ac:dyDescent="0.4"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6:216" ht="15.75" hidden="1" customHeight="1" x14ac:dyDescent="0.4"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6:216" ht="15.75" hidden="1" customHeight="1" x14ac:dyDescent="0.4"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6:216" ht="15.75" hidden="1" customHeight="1" x14ac:dyDescent="0.4"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6:216" ht="15.75" hidden="1" customHeight="1" x14ac:dyDescent="0.4"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6:216" ht="15.75" hidden="1" customHeight="1" x14ac:dyDescent="0.4"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6:216" ht="15.75" hidden="1" customHeight="1" x14ac:dyDescent="0.4"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6:216" ht="15.75" hidden="1" customHeight="1" x14ac:dyDescent="0.4"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6:216" ht="15.75" hidden="1" customHeight="1" x14ac:dyDescent="0.4"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6:216" ht="15.75" hidden="1" customHeight="1" x14ac:dyDescent="0.4"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6:216" ht="15.75" hidden="1" customHeight="1" x14ac:dyDescent="0.4"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6:216" ht="15.75" hidden="1" customHeight="1" x14ac:dyDescent="0.4"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6:216" ht="15.75" hidden="1" customHeight="1" x14ac:dyDescent="0.4"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6:216" ht="15.75" hidden="1" customHeight="1" x14ac:dyDescent="0.4"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6:216" ht="15.75" hidden="1" customHeight="1" x14ac:dyDescent="0.4"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6:216" ht="15.75" hidden="1" customHeight="1" x14ac:dyDescent="0.4"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6:216" ht="15.75" hidden="1" customHeight="1" x14ac:dyDescent="0.4"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6:216" ht="15.75" hidden="1" customHeight="1" x14ac:dyDescent="0.4"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6:216" ht="15.75" hidden="1" customHeight="1" x14ac:dyDescent="0.4"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6:216" ht="15.75" hidden="1" customHeight="1" x14ac:dyDescent="0.4"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6:216" ht="15.75" hidden="1" customHeight="1" x14ac:dyDescent="0.4"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6:216" ht="15.75" hidden="1" customHeight="1" x14ac:dyDescent="0.4"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6:216" ht="15.75" hidden="1" customHeight="1" x14ac:dyDescent="0.4"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6:216" ht="15.75" hidden="1" customHeight="1" x14ac:dyDescent="0.4"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6:216" ht="15.75" hidden="1" customHeight="1" x14ac:dyDescent="0.4"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6:216" ht="15.75" hidden="1" customHeight="1" x14ac:dyDescent="0.4"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6:216" ht="15.75" hidden="1" customHeight="1" x14ac:dyDescent="0.4"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6:216" ht="15.75" hidden="1" customHeight="1" x14ac:dyDescent="0.4"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6:216" ht="15.75" hidden="1" customHeight="1" x14ac:dyDescent="0.4"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6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6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6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6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6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6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6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6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6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6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6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6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" customHeight="1" x14ac:dyDescent="0.4"/>
    <row r="1128" spans="16:216" ht="15" customHeight="1" x14ac:dyDescent="0.4"/>
    <row r="1129" spans="16:216" ht="15" customHeight="1" x14ac:dyDescent="0.4"/>
    <row r="1130" spans="16:216" ht="15" customHeight="1" x14ac:dyDescent="0.4"/>
    <row r="1131" spans="16:216" ht="15" customHeight="1" x14ac:dyDescent="0.4"/>
    <row r="1132" spans="16:216" ht="15" customHeight="1" x14ac:dyDescent="0.4"/>
    <row r="1133" spans="16:216" ht="15" customHeight="1" x14ac:dyDescent="0.4"/>
    <row r="1134" spans="16:216" ht="15" customHeight="1" x14ac:dyDescent="0.4"/>
    <row r="1135" spans="16:216" ht="15" customHeight="1" x14ac:dyDescent="0.4"/>
    <row r="1136" spans="16:216" ht="15" customHeight="1" x14ac:dyDescent="0.4"/>
    <row r="1137" ht="15" customHeight="1" x14ac:dyDescent="0.4"/>
    <row r="1138" ht="15" customHeight="1" x14ac:dyDescent="0.4"/>
    <row r="1139" ht="15" customHeight="1" x14ac:dyDescent="0.4"/>
    <row r="1140" ht="15" customHeight="1" x14ac:dyDescent="0.4"/>
    <row r="1141" ht="15" customHeight="1" x14ac:dyDescent="0.4"/>
    <row r="1142" ht="15" customHeight="1" x14ac:dyDescent="0.4"/>
    <row r="1143" ht="15" customHeight="1" x14ac:dyDescent="0.4"/>
    <row r="1144" ht="15" customHeight="1" x14ac:dyDescent="0.4"/>
    <row r="1145" ht="15" customHeight="1" x14ac:dyDescent="0.4"/>
    <row r="1146" ht="15" customHeight="1" x14ac:dyDescent="0.4"/>
    <row r="1147" ht="15" customHeight="1" x14ac:dyDescent="0.4"/>
    <row r="1148" ht="15" customHeight="1" x14ac:dyDescent="0.4"/>
    <row r="1149" ht="15" customHeight="1" x14ac:dyDescent="0.4"/>
    <row r="1150" ht="15" customHeight="1" x14ac:dyDescent="0.4"/>
    <row r="1151" ht="15" customHeight="1" x14ac:dyDescent="0.4"/>
    <row r="1152" ht="15" customHeight="1" x14ac:dyDescent="0.4"/>
    <row r="1153" ht="15" customHeight="1" x14ac:dyDescent="0.4"/>
    <row r="1154" ht="15" customHeight="1" x14ac:dyDescent="0.4"/>
    <row r="1155" ht="15" customHeight="1" x14ac:dyDescent="0.4"/>
    <row r="1156" ht="15" customHeight="1" x14ac:dyDescent="0.4"/>
    <row r="1157" ht="15" customHeight="1" x14ac:dyDescent="0.4"/>
    <row r="1158" ht="15" customHeight="1" x14ac:dyDescent="0.4"/>
    <row r="1159" ht="15" customHeight="1" x14ac:dyDescent="0.4"/>
    <row r="1160" ht="15" customHeight="1" x14ac:dyDescent="0.4"/>
    <row r="1161" ht="15" customHeight="1" x14ac:dyDescent="0.4"/>
    <row r="1162" ht="15" customHeight="1" x14ac:dyDescent="0.4"/>
    <row r="1163" ht="15" customHeight="1" x14ac:dyDescent="0.4"/>
    <row r="1164" ht="15" customHeight="1" x14ac:dyDescent="0.4"/>
    <row r="1165" ht="15" customHeight="1" x14ac:dyDescent="0.4"/>
    <row r="1166" ht="15" customHeight="1" x14ac:dyDescent="0.4"/>
    <row r="1167" ht="15" customHeight="1" x14ac:dyDescent="0.4"/>
    <row r="1168" ht="15" customHeight="1" x14ac:dyDescent="0.4"/>
    <row r="1169" ht="15" customHeight="1" x14ac:dyDescent="0.4"/>
    <row r="1170" ht="15" customHeight="1" x14ac:dyDescent="0.4"/>
    <row r="1171" ht="15" customHeight="1" x14ac:dyDescent="0.4"/>
    <row r="1172" ht="15" customHeight="1" x14ac:dyDescent="0.4"/>
    <row r="1173" ht="15" customHeight="1" x14ac:dyDescent="0.4"/>
    <row r="1174" ht="15" customHeight="1" x14ac:dyDescent="0.4"/>
    <row r="1175" ht="15" customHeight="1" x14ac:dyDescent="0.4"/>
    <row r="1176" ht="15" customHeight="1" x14ac:dyDescent="0.4"/>
    <row r="1177" ht="15" customHeight="1" x14ac:dyDescent="0.4"/>
    <row r="1178" ht="15" customHeight="1" x14ac:dyDescent="0.4"/>
    <row r="1179" ht="15" customHeight="1" x14ac:dyDescent="0.4"/>
    <row r="1180" ht="15" customHeight="1" x14ac:dyDescent="0.4"/>
    <row r="1181" ht="15" customHeight="1" x14ac:dyDescent="0.4"/>
    <row r="1182" ht="15" customHeight="1" x14ac:dyDescent="0.4"/>
    <row r="1183" ht="15" customHeight="1" x14ac:dyDescent="0.4"/>
    <row r="1184" ht="15" customHeight="1" x14ac:dyDescent="0.4"/>
    <row r="1185" ht="15" customHeight="1" x14ac:dyDescent="0.4"/>
    <row r="1186" ht="15" customHeight="1" x14ac:dyDescent="0.4"/>
    <row r="1187" ht="15" customHeight="1" x14ac:dyDescent="0.4"/>
    <row r="1188" ht="15" customHeight="1" x14ac:dyDescent="0.4"/>
    <row r="1189" ht="15" customHeight="1" x14ac:dyDescent="0.4"/>
    <row r="1190" ht="15" customHeight="1" x14ac:dyDescent="0.4"/>
    <row r="1191" ht="15" customHeight="1" x14ac:dyDescent="0.4"/>
    <row r="1192" ht="15" customHeight="1" x14ac:dyDescent="0.4"/>
    <row r="1193" ht="15" customHeight="1" x14ac:dyDescent="0.4"/>
    <row r="1194" ht="15" customHeight="1" x14ac:dyDescent="0.4"/>
    <row r="1195" ht="15" customHeight="1" x14ac:dyDescent="0.4"/>
    <row r="1196" ht="15" customHeight="1" x14ac:dyDescent="0.4"/>
    <row r="1197" ht="15" customHeight="1" x14ac:dyDescent="0.4"/>
    <row r="1198" ht="15" customHeight="1" x14ac:dyDescent="0.4"/>
    <row r="1199" ht="15" customHeight="1" x14ac:dyDescent="0.4"/>
    <row r="1200" ht="15" customHeight="1" x14ac:dyDescent="0.4"/>
    <row r="1201" ht="15" customHeight="1" x14ac:dyDescent="0.4"/>
    <row r="1202" ht="15" customHeight="1" x14ac:dyDescent="0.4"/>
    <row r="1203" ht="15" customHeight="1" x14ac:dyDescent="0.4"/>
    <row r="1204" ht="15" customHeight="1" x14ac:dyDescent="0.4"/>
    <row r="1205" ht="15" customHeight="1" x14ac:dyDescent="0.4"/>
    <row r="1206" ht="15" customHeight="1" x14ac:dyDescent="0.4"/>
    <row r="1207" ht="15" customHeight="1" x14ac:dyDescent="0.4"/>
    <row r="1208" ht="15" customHeight="1" x14ac:dyDescent="0.4"/>
    <row r="1209" ht="15" customHeight="1" x14ac:dyDescent="0.4"/>
    <row r="1210" ht="15" customHeight="1" x14ac:dyDescent="0.4"/>
    <row r="1211" ht="15" customHeight="1" x14ac:dyDescent="0.4"/>
    <row r="1212" ht="15" customHeight="1" x14ac:dyDescent="0.4"/>
    <row r="1213" ht="15" customHeight="1" x14ac:dyDescent="0.4"/>
    <row r="1214" ht="15" customHeight="1" x14ac:dyDescent="0.4"/>
    <row r="1215" ht="15" customHeight="1" x14ac:dyDescent="0.4"/>
    <row r="1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C173:D173"/>
    <mergeCell ref="C174:D174"/>
    <mergeCell ref="C175:D175"/>
    <mergeCell ref="B170:D170"/>
    <mergeCell ref="B172:D172"/>
    <mergeCell ref="C168:D168"/>
    <mergeCell ref="B166:D166"/>
    <mergeCell ref="A167:E167"/>
    <mergeCell ref="B157:D157"/>
    <mergeCell ref="A158:E158"/>
    <mergeCell ref="C159:D159"/>
    <mergeCell ref="B151:D151"/>
    <mergeCell ref="C153:D153"/>
    <mergeCell ref="A152:E152"/>
    <mergeCell ref="C149:D149"/>
    <mergeCell ref="B147:D147"/>
    <mergeCell ref="A148:E148"/>
    <mergeCell ref="B138:D138"/>
    <mergeCell ref="A139:E139"/>
    <mergeCell ref="C140:D140"/>
    <mergeCell ref="B129:D129"/>
    <mergeCell ref="C131:D131"/>
    <mergeCell ref="A130:E130"/>
    <mergeCell ref="C124:D124"/>
    <mergeCell ref="B122:D122"/>
    <mergeCell ref="A123:E123"/>
    <mergeCell ref="B119:D119"/>
    <mergeCell ref="A120:E120"/>
    <mergeCell ref="C121:D121"/>
    <mergeCell ref="C112:D112"/>
    <mergeCell ref="B110:D110"/>
    <mergeCell ref="A111:E111"/>
    <mergeCell ref="B97:D97"/>
    <mergeCell ref="A98:E98"/>
    <mergeCell ref="C99:D99"/>
    <mergeCell ref="C108:D108"/>
    <mergeCell ref="B106:D106"/>
    <mergeCell ref="A107:E107"/>
    <mergeCell ref="B91:D91"/>
    <mergeCell ref="A92:E92"/>
    <mergeCell ref="C93:D93"/>
    <mergeCell ref="B88:D88"/>
    <mergeCell ref="C90:D90"/>
    <mergeCell ref="A89:E89"/>
    <mergeCell ref="C81:D81"/>
    <mergeCell ref="B79:D79"/>
    <mergeCell ref="A80:E80"/>
    <mergeCell ref="B70:D70"/>
    <mergeCell ref="A71:E71"/>
    <mergeCell ref="C72:D72"/>
    <mergeCell ref="B61:D61"/>
    <mergeCell ref="A62:E62"/>
    <mergeCell ref="C54:D54"/>
    <mergeCell ref="A53:E53"/>
    <mergeCell ref="C63:D63"/>
    <mergeCell ref="A37:E37"/>
    <mergeCell ref="B38:D38"/>
    <mergeCell ref="B39:C41"/>
    <mergeCell ref="A42:D42"/>
    <mergeCell ref="B52:D52"/>
    <mergeCell ref="B43:D43"/>
    <mergeCell ref="A44:D44"/>
    <mergeCell ref="C45:D45"/>
    <mergeCell ref="B32:D32"/>
    <mergeCell ref="B33:D33"/>
    <mergeCell ref="B34:D34"/>
    <mergeCell ref="B35:D35"/>
    <mergeCell ref="B36:D36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A31:D31"/>
    <mergeCell ref="B12:D12"/>
    <mergeCell ref="B25:B27"/>
    <mergeCell ref="C25:C27"/>
    <mergeCell ref="B28:B30"/>
    <mergeCell ref="C28:C30"/>
  </mergeCells>
  <conditionalFormatting sqref="E52">
    <cfRule type="containsBlanks" dxfId="308" priority="1">
      <formula>LEN(TRIM(E52))=0</formula>
    </cfRule>
  </conditionalFormatting>
  <conditionalFormatting sqref="E61">
    <cfRule type="containsBlanks" dxfId="307" priority="2">
      <formula>LEN(TRIM(E61))=0</formula>
    </cfRule>
  </conditionalFormatting>
  <conditionalFormatting sqref="E70">
    <cfRule type="containsBlanks" dxfId="306" priority="3">
      <formula>LEN(TRIM(E70))=0</formula>
    </cfRule>
  </conditionalFormatting>
  <conditionalFormatting sqref="E79">
    <cfRule type="containsBlanks" dxfId="305" priority="4">
      <formula>LEN(TRIM(E79))=0</formula>
    </cfRule>
  </conditionalFormatting>
  <conditionalFormatting sqref="E88">
    <cfRule type="containsBlanks" dxfId="304" priority="5">
      <formula>LEN(TRIM(E88))=0</formula>
    </cfRule>
  </conditionalFormatting>
  <conditionalFormatting sqref="E91">
    <cfRule type="containsBlanks" dxfId="303" priority="6">
      <formula>LEN(TRIM(E91))=0</formula>
    </cfRule>
  </conditionalFormatting>
  <conditionalFormatting sqref="E97">
    <cfRule type="containsBlanks" dxfId="302" priority="7">
      <formula>LEN(TRIM(E97))=0</formula>
    </cfRule>
  </conditionalFormatting>
  <conditionalFormatting sqref="E106">
    <cfRule type="containsBlanks" dxfId="301" priority="8">
      <formula>LEN(TRIM(E106))=0</formula>
    </cfRule>
  </conditionalFormatting>
  <conditionalFormatting sqref="E110">
    <cfRule type="containsBlanks" dxfId="300" priority="9">
      <formula>LEN(TRIM(E110))=0</formula>
    </cfRule>
  </conditionalFormatting>
  <conditionalFormatting sqref="E119">
    <cfRule type="containsBlanks" dxfId="299" priority="10">
      <formula>LEN(TRIM(E119))=0</formula>
    </cfRule>
  </conditionalFormatting>
  <conditionalFormatting sqref="E122">
    <cfRule type="containsBlanks" dxfId="298" priority="11">
      <formula>LEN(TRIM(E122))=0</formula>
    </cfRule>
  </conditionalFormatting>
  <conditionalFormatting sqref="E129">
    <cfRule type="containsBlanks" dxfId="297" priority="12">
      <formula>LEN(TRIM(E129))=0</formula>
    </cfRule>
  </conditionalFormatting>
  <conditionalFormatting sqref="E138">
    <cfRule type="containsBlanks" dxfId="296" priority="13">
      <formula>LEN(TRIM(E138))=0</formula>
    </cfRule>
  </conditionalFormatting>
  <conditionalFormatting sqref="E147">
    <cfRule type="containsBlanks" dxfId="295" priority="14">
      <formula>LEN(TRIM(E147))=0</formula>
    </cfRule>
  </conditionalFormatting>
  <conditionalFormatting sqref="E151">
    <cfRule type="containsBlanks" dxfId="294" priority="15">
      <formula>LEN(TRIM(E151))=0</formula>
    </cfRule>
  </conditionalFormatting>
  <conditionalFormatting sqref="E157">
    <cfRule type="containsBlanks" dxfId="293" priority="16">
      <formula>LEN(TRIM(E157))=0</formula>
    </cfRule>
  </conditionalFormatting>
  <conditionalFormatting sqref="E166">
    <cfRule type="containsBlanks" dxfId="292" priority="17">
      <formula>LEN(TRIM(E166))=0</formula>
    </cfRule>
  </conditionalFormatting>
  <conditionalFormatting sqref="E170">
    <cfRule type="containsBlanks" dxfId="291" priority="25">
      <formula>LEN(TRIM(E170))=0</formula>
    </cfRule>
  </conditionalFormatting>
  <conditionalFormatting sqref="F170:O172">
    <cfRule type="cellIs" dxfId="290" priority="49" operator="equal">
      <formula>"FALSE"</formula>
    </cfRule>
  </conditionalFormatting>
  <conditionalFormatting sqref="E30">
    <cfRule type="expression" dxfId="289" priority="103">
      <formula>E30&lt;&gt;E175</formula>
    </cfRule>
    <cfRule type="expression" dxfId="288" priority="104">
      <formula>E30&lt;&gt;E34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92D050"/>
  </sheetPr>
  <dimension ref="A2:V175"/>
  <sheetViews>
    <sheetView topLeftCell="E13" zoomScale="115" zoomScaleNormal="115" workbookViewId="0">
      <pane ySplit="1" topLeftCell="A103" activePane="bottomLeft" state="frozen"/>
      <selection activeCell="A13" sqref="A13"/>
      <selection pane="bottomLeft" activeCell="M103" sqref="M103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98</v>
      </c>
      <c r="D2" s="43" t="s">
        <v>177</v>
      </c>
    </row>
    <row r="3" spans="1:22" x14ac:dyDescent="0.4">
      <c r="C3" s="43" t="s">
        <v>99</v>
      </c>
      <c r="D3" s="43" t="s">
        <v>100</v>
      </c>
    </row>
    <row r="4" spans="1:22" x14ac:dyDescent="0.4">
      <c r="C4" s="43" t="s">
        <v>101</v>
      </c>
      <c r="D4" s="43" t="s">
        <v>102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103</v>
      </c>
      <c r="D9" s="43" t="s">
        <v>178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</row>
    <row r="12" spans="1:22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6" t="s">
        <v>97</v>
      </c>
    </row>
    <row r="13" spans="1:22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7"/>
    </row>
    <row r="14" spans="1:22" x14ac:dyDescent="0.4">
      <c r="A14" s="7"/>
      <c r="B14" s="59" t="s">
        <v>22</v>
      </c>
      <c r="C14" s="60"/>
      <c r="D14" s="6" t="s">
        <v>23</v>
      </c>
      <c r="E14" s="6">
        <v>124</v>
      </c>
      <c r="F14" s="6">
        <v>110</v>
      </c>
      <c r="G14" s="6">
        <v>95</v>
      </c>
      <c r="H14" s="6">
        <v>116</v>
      </c>
      <c r="I14" s="6">
        <v>101</v>
      </c>
      <c r="J14" s="6">
        <v>88</v>
      </c>
      <c r="K14" s="6">
        <v>79</v>
      </c>
      <c r="L14" s="6">
        <v>121</v>
      </c>
      <c r="M14" s="6">
        <v>101</v>
      </c>
      <c r="N14" s="6">
        <v>107</v>
      </c>
      <c r="O14" s="6">
        <v>99</v>
      </c>
      <c r="P14" s="6">
        <v>103</v>
      </c>
      <c r="Q14" s="6">
        <v>128</v>
      </c>
      <c r="R14" s="6">
        <v>83</v>
      </c>
      <c r="S14" s="6">
        <v>104</v>
      </c>
      <c r="T14" s="6">
        <v>93</v>
      </c>
      <c r="U14" s="6">
        <v>127</v>
      </c>
      <c r="V14" s="5">
        <f>SUM(E14:U14)</f>
        <v>1779</v>
      </c>
    </row>
    <row r="15" spans="1:22" x14ac:dyDescent="0.4">
      <c r="A15" s="7"/>
      <c r="B15" s="61"/>
      <c r="C15" s="62"/>
      <c r="D15" s="6" t="s">
        <v>24</v>
      </c>
      <c r="E15" s="6">
        <v>128</v>
      </c>
      <c r="F15" s="6">
        <v>102</v>
      </c>
      <c r="G15" s="6">
        <v>92</v>
      </c>
      <c r="H15" s="6">
        <v>125</v>
      </c>
      <c r="I15" s="6">
        <v>117</v>
      </c>
      <c r="J15" s="6">
        <v>94</v>
      </c>
      <c r="K15" s="6">
        <v>93</v>
      </c>
      <c r="L15" s="6">
        <v>124</v>
      </c>
      <c r="M15" s="6">
        <v>94</v>
      </c>
      <c r="N15" s="6">
        <v>117</v>
      </c>
      <c r="O15" s="6">
        <v>90</v>
      </c>
      <c r="P15" s="6">
        <v>108</v>
      </c>
      <c r="Q15" s="6">
        <v>126</v>
      </c>
      <c r="R15" s="6">
        <v>85</v>
      </c>
      <c r="S15" s="6">
        <v>113</v>
      </c>
      <c r="T15" s="6">
        <v>113</v>
      </c>
      <c r="U15" s="6">
        <v>110</v>
      </c>
      <c r="V15" s="5">
        <f>SUM(E15:U15)</f>
        <v>1831</v>
      </c>
    </row>
    <row r="16" spans="1:22" x14ac:dyDescent="0.4">
      <c r="A16" s="8"/>
      <c r="B16" s="63"/>
      <c r="C16" s="64"/>
      <c r="D16" s="5" t="s">
        <v>25</v>
      </c>
      <c r="E16" s="5">
        <f t="shared" ref="E16:U16" si="0">SUM(E14:E15)</f>
        <v>252</v>
      </c>
      <c r="F16" s="5">
        <f t="shared" ref="F16:N16" si="1">SUM(F14:F15)</f>
        <v>212</v>
      </c>
      <c r="G16" s="5">
        <f t="shared" si="1"/>
        <v>187</v>
      </c>
      <c r="H16" s="5">
        <f t="shared" si="1"/>
        <v>241</v>
      </c>
      <c r="I16" s="5">
        <f t="shared" si="1"/>
        <v>218</v>
      </c>
      <c r="J16" s="5">
        <f t="shared" si="1"/>
        <v>182</v>
      </c>
      <c r="K16" s="5">
        <f t="shared" si="1"/>
        <v>172</v>
      </c>
      <c r="L16" s="5">
        <f t="shared" si="1"/>
        <v>245</v>
      </c>
      <c r="M16" s="5">
        <f t="shared" si="1"/>
        <v>195</v>
      </c>
      <c r="N16" s="5">
        <f t="shared" si="1"/>
        <v>224</v>
      </c>
      <c r="O16" s="5">
        <f t="shared" si="0"/>
        <v>189</v>
      </c>
      <c r="P16" s="5">
        <f t="shared" si="0"/>
        <v>211</v>
      </c>
      <c r="Q16" s="5">
        <f t="shared" si="0"/>
        <v>254</v>
      </c>
      <c r="R16" s="5">
        <f t="shared" si="0"/>
        <v>168</v>
      </c>
      <c r="S16" s="5">
        <f t="shared" si="0"/>
        <v>217</v>
      </c>
      <c r="T16" s="5">
        <f t="shared" si="0"/>
        <v>206</v>
      </c>
      <c r="U16" s="5">
        <f t="shared" si="0"/>
        <v>237</v>
      </c>
      <c r="V16" s="5">
        <f>SUM(E16:U16)</f>
        <v>3610</v>
      </c>
    </row>
    <row r="17" spans="1:22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28"/>
    </row>
    <row r="18" spans="1:22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28"/>
    </row>
    <row r="19" spans="1:22" x14ac:dyDescent="0.4">
      <c r="A19" s="11"/>
      <c r="B19" s="65" t="s">
        <v>28</v>
      </c>
      <c r="C19" s="66" t="s">
        <v>29</v>
      </c>
      <c r="D19" s="6" t="s">
        <v>23</v>
      </c>
      <c r="E19" s="6">
        <v>114</v>
      </c>
      <c r="F19" s="6">
        <v>90</v>
      </c>
      <c r="G19" s="6">
        <v>71</v>
      </c>
      <c r="H19" s="6">
        <v>89</v>
      </c>
      <c r="I19" s="6">
        <v>80</v>
      </c>
      <c r="J19" s="6">
        <v>65</v>
      </c>
      <c r="K19" s="6">
        <v>63</v>
      </c>
      <c r="L19" s="6">
        <v>92</v>
      </c>
      <c r="M19" s="6">
        <v>82</v>
      </c>
      <c r="N19" s="6">
        <v>86</v>
      </c>
      <c r="O19" s="6">
        <v>81</v>
      </c>
      <c r="P19" s="6">
        <v>83</v>
      </c>
      <c r="Q19" s="6">
        <v>81</v>
      </c>
      <c r="R19" s="6">
        <v>66</v>
      </c>
      <c r="S19" s="6">
        <v>81</v>
      </c>
      <c r="T19" s="6">
        <v>82</v>
      </c>
      <c r="U19" s="6">
        <v>107</v>
      </c>
      <c r="V19" s="5">
        <f t="shared" ref="V19:V30" si="2">SUM(E19:U19)</f>
        <v>1413</v>
      </c>
    </row>
    <row r="20" spans="1:22" x14ac:dyDescent="0.4">
      <c r="A20" s="12"/>
      <c r="B20" s="62"/>
      <c r="C20" s="67"/>
      <c r="D20" s="6" t="s">
        <v>24</v>
      </c>
      <c r="E20" s="6">
        <v>94</v>
      </c>
      <c r="F20" s="6">
        <v>90</v>
      </c>
      <c r="G20" s="6">
        <v>81</v>
      </c>
      <c r="H20" s="6">
        <v>95</v>
      </c>
      <c r="I20" s="6">
        <v>102</v>
      </c>
      <c r="J20" s="6">
        <v>77</v>
      </c>
      <c r="K20" s="6">
        <v>74</v>
      </c>
      <c r="L20" s="6">
        <v>100</v>
      </c>
      <c r="M20" s="6">
        <v>79</v>
      </c>
      <c r="N20" s="6">
        <v>95</v>
      </c>
      <c r="O20" s="6">
        <v>74</v>
      </c>
      <c r="P20" s="6">
        <v>86</v>
      </c>
      <c r="Q20" s="6">
        <v>96</v>
      </c>
      <c r="R20" s="6">
        <v>74</v>
      </c>
      <c r="S20" s="6">
        <v>95</v>
      </c>
      <c r="T20" s="6">
        <v>102</v>
      </c>
      <c r="U20" s="6">
        <v>104</v>
      </c>
      <c r="V20" s="5">
        <f t="shared" si="2"/>
        <v>1518</v>
      </c>
    </row>
    <row r="21" spans="1:22" x14ac:dyDescent="0.4">
      <c r="A21" s="13"/>
      <c r="B21" s="64"/>
      <c r="C21" s="68"/>
      <c r="D21" s="5" t="s">
        <v>25</v>
      </c>
      <c r="E21" s="5">
        <f t="shared" ref="E21:U21" si="3">SUM(E19:E20)</f>
        <v>208</v>
      </c>
      <c r="F21" s="5">
        <f t="shared" ref="F21:N21" si="4">SUM(F19:F20)</f>
        <v>180</v>
      </c>
      <c r="G21" s="5">
        <f t="shared" si="4"/>
        <v>152</v>
      </c>
      <c r="H21" s="5">
        <f t="shared" si="4"/>
        <v>184</v>
      </c>
      <c r="I21" s="5">
        <f t="shared" si="4"/>
        <v>182</v>
      </c>
      <c r="J21" s="5">
        <f t="shared" si="4"/>
        <v>142</v>
      </c>
      <c r="K21" s="5">
        <f t="shared" si="4"/>
        <v>137</v>
      </c>
      <c r="L21" s="5">
        <f t="shared" si="4"/>
        <v>192</v>
      </c>
      <c r="M21" s="5">
        <f t="shared" si="4"/>
        <v>161</v>
      </c>
      <c r="N21" s="5">
        <f t="shared" si="4"/>
        <v>181</v>
      </c>
      <c r="O21" s="5">
        <f t="shared" si="3"/>
        <v>155</v>
      </c>
      <c r="P21" s="5">
        <f t="shared" si="3"/>
        <v>169</v>
      </c>
      <c r="Q21" s="5">
        <f t="shared" si="3"/>
        <v>177</v>
      </c>
      <c r="R21" s="5">
        <f t="shared" si="3"/>
        <v>140</v>
      </c>
      <c r="S21" s="5">
        <f t="shared" si="3"/>
        <v>176</v>
      </c>
      <c r="T21" s="5">
        <f t="shared" si="3"/>
        <v>184</v>
      </c>
      <c r="U21" s="5">
        <f t="shared" si="3"/>
        <v>211</v>
      </c>
      <c r="V21" s="5">
        <f t="shared" si="2"/>
        <v>2931</v>
      </c>
    </row>
    <row r="22" spans="1:22" x14ac:dyDescent="0.4">
      <c r="A22" s="12"/>
      <c r="B22" s="65" t="s">
        <v>30</v>
      </c>
      <c r="C22" s="66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5">
        <f t="shared" si="2"/>
        <v>0</v>
      </c>
    </row>
    <row r="23" spans="1:22" x14ac:dyDescent="0.4">
      <c r="A23" s="12"/>
      <c r="B23" s="62"/>
      <c r="C23" s="67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</v>
      </c>
      <c r="V23" s="5">
        <f t="shared" si="2"/>
        <v>1</v>
      </c>
    </row>
    <row r="24" spans="1:22" x14ac:dyDescent="0.4">
      <c r="A24" s="13"/>
      <c r="B24" s="64"/>
      <c r="C24" s="68"/>
      <c r="D24" s="5" t="s">
        <v>25</v>
      </c>
      <c r="E24" s="5">
        <f t="shared" ref="E24:U24" si="5">SUM(E22:E23)</f>
        <v>0</v>
      </c>
      <c r="F24" s="5">
        <f t="shared" ref="F24:N24" si="6">SUM(F22:F23)</f>
        <v>0</v>
      </c>
      <c r="G24" s="5">
        <f t="shared" si="6"/>
        <v>0</v>
      </c>
      <c r="H24" s="5">
        <f t="shared" si="6"/>
        <v>0</v>
      </c>
      <c r="I24" s="5">
        <f t="shared" si="6"/>
        <v>0</v>
      </c>
      <c r="J24" s="5">
        <f t="shared" si="6"/>
        <v>0</v>
      </c>
      <c r="K24" s="5">
        <f t="shared" si="6"/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1</v>
      </c>
      <c r="V24" s="5">
        <f t="shared" si="2"/>
        <v>1</v>
      </c>
    </row>
    <row r="25" spans="1:22" x14ac:dyDescent="0.4">
      <c r="A25" s="12"/>
      <c r="B25" s="65" t="s">
        <v>32</v>
      </c>
      <c r="C25" s="66" t="s">
        <v>33</v>
      </c>
      <c r="D25" s="6" t="s">
        <v>23</v>
      </c>
      <c r="E25" s="6">
        <v>5</v>
      </c>
      <c r="F25" s="6">
        <v>6</v>
      </c>
      <c r="G25" s="6">
        <v>1</v>
      </c>
      <c r="H25" s="6">
        <v>0</v>
      </c>
      <c r="I25" s="6">
        <v>0</v>
      </c>
      <c r="J25" s="6">
        <v>1</v>
      </c>
      <c r="K25" s="6">
        <v>0</v>
      </c>
      <c r="L25" s="6">
        <v>1</v>
      </c>
      <c r="M25" s="6">
        <v>0</v>
      </c>
      <c r="N25" s="6">
        <v>4</v>
      </c>
      <c r="O25" s="6">
        <v>1</v>
      </c>
      <c r="P25" s="6">
        <v>2</v>
      </c>
      <c r="Q25" s="6">
        <v>3</v>
      </c>
      <c r="R25" s="6">
        <v>0</v>
      </c>
      <c r="S25" s="6">
        <v>3</v>
      </c>
      <c r="T25" s="6">
        <v>2</v>
      </c>
      <c r="U25" s="6"/>
      <c r="V25" s="5">
        <f t="shared" si="2"/>
        <v>29</v>
      </c>
    </row>
    <row r="26" spans="1:22" x14ac:dyDescent="0.4">
      <c r="A26" s="12"/>
      <c r="B26" s="62"/>
      <c r="C26" s="67"/>
      <c r="D26" s="6" t="s">
        <v>24</v>
      </c>
      <c r="E26" s="6">
        <v>3</v>
      </c>
      <c r="F26" s="6">
        <v>6</v>
      </c>
      <c r="G26" s="6">
        <v>2</v>
      </c>
      <c r="H26" s="6">
        <v>0</v>
      </c>
      <c r="I26" s="6">
        <v>0</v>
      </c>
      <c r="J26" s="6">
        <v>2</v>
      </c>
      <c r="K26" s="6">
        <v>0</v>
      </c>
      <c r="L26" s="6">
        <v>2</v>
      </c>
      <c r="M26" s="6">
        <v>0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3</v>
      </c>
      <c r="U26" s="6"/>
      <c r="V26" s="5">
        <f t="shared" si="2"/>
        <v>24</v>
      </c>
    </row>
    <row r="27" spans="1:22" x14ac:dyDescent="0.4">
      <c r="A27" s="13"/>
      <c r="B27" s="64"/>
      <c r="C27" s="68"/>
      <c r="D27" s="5" t="s">
        <v>25</v>
      </c>
      <c r="E27" s="5">
        <f t="shared" ref="E27:U27" si="7">SUM(E25:E26)</f>
        <v>8</v>
      </c>
      <c r="F27" s="5">
        <f t="shared" ref="F27:N27" si="8">SUM(F25:F26)</f>
        <v>12</v>
      </c>
      <c r="G27" s="5">
        <f t="shared" si="8"/>
        <v>3</v>
      </c>
      <c r="H27" s="5">
        <f t="shared" si="8"/>
        <v>0</v>
      </c>
      <c r="I27" s="5">
        <f t="shared" si="8"/>
        <v>0</v>
      </c>
      <c r="J27" s="5">
        <f t="shared" si="8"/>
        <v>3</v>
      </c>
      <c r="K27" s="5">
        <f t="shared" si="8"/>
        <v>0</v>
      </c>
      <c r="L27" s="5">
        <f t="shared" si="8"/>
        <v>3</v>
      </c>
      <c r="M27" s="5">
        <f t="shared" si="8"/>
        <v>0</v>
      </c>
      <c r="N27" s="5">
        <f t="shared" si="8"/>
        <v>5</v>
      </c>
      <c r="O27" s="5">
        <f t="shared" si="7"/>
        <v>2</v>
      </c>
      <c r="P27" s="5">
        <f t="shared" si="7"/>
        <v>3</v>
      </c>
      <c r="Q27" s="5">
        <f t="shared" si="7"/>
        <v>4</v>
      </c>
      <c r="R27" s="5">
        <f t="shared" si="7"/>
        <v>1</v>
      </c>
      <c r="S27" s="5">
        <f t="shared" si="7"/>
        <v>4</v>
      </c>
      <c r="T27" s="5">
        <f t="shared" si="7"/>
        <v>5</v>
      </c>
      <c r="U27" s="5">
        <f t="shared" si="7"/>
        <v>0</v>
      </c>
      <c r="V27" s="5">
        <f t="shared" si="2"/>
        <v>53</v>
      </c>
    </row>
    <row r="28" spans="1:22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119</v>
      </c>
      <c r="F28" s="5">
        <f t="shared" ref="F28:N28" si="9">SUM(F19,F22,F25)</f>
        <v>96</v>
      </c>
      <c r="G28" s="5">
        <f t="shared" si="9"/>
        <v>72</v>
      </c>
      <c r="H28" s="5">
        <f t="shared" si="9"/>
        <v>89</v>
      </c>
      <c r="I28" s="5">
        <f t="shared" si="9"/>
        <v>80</v>
      </c>
      <c r="J28" s="5">
        <f t="shared" si="9"/>
        <v>66</v>
      </c>
      <c r="K28" s="5">
        <f t="shared" si="9"/>
        <v>63</v>
      </c>
      <c r="L28" s="5">
        <f t="shared" si="9"/>
        <v>93</v>
      </c>
      <c r="M28" s="5">
        <f t="shared" si="9"/>
        <v>82</v>
      </c>
      <c r="N28" s="5">
        <f t="shared" si="9"/>
        <v>90</v>
      </c>
      <c r="O28" s="5">
        <f t="shared" ref="O28:U29" si="10">SUM(O19,O22,O25)</f>
        <v>82</v>
      </c>
      <c r="P28" s="5">
        <f t="shared" si="10"/>
        <v>85</v>
      </c>
      <c r="Q28" s="5">
        <f t="shared" si="10"/>
        <v>84</v>
      </c>
      <c r="R28" s="5">
        <f t="shared" si="10"/>
        <v>66</v>
      </c>
      <c r="S28" s="5">
        <f t="shared" si="10"/>
        <v>84</v>
      </c>
      <c r="T28" s="5">
        <f t="shared" si="10"/>
        <v>84</v>
      </c>
      <c r="U28" s="5">
        <f t="shared" si="10"/>
        <v>107</v>
      </c>
      <c r="V28" s="5">
        <f t="shared" si="2"/>
        <v>1442</v>
      </c>
    </row>
    <row r="29" spans="1:22" x14ac:dyDescent="0.4">
      <c r="A29" s="13"/>
      <c r="B29" s="62"/>
      <c r="C29" s="67"/>
      <c r="D29" s="5" t="s">
        <v>24</v>
      </c>
      <c r="E29" s="5">
        <f>SUM(E20,E23,E26)</f>
        <v>97</v>
      </c>
      <c r="F29" s="5">
        <f t="shared" ref="F29:N29" si="11">SUM(F20,F23,F26)</f>
        <v>96</v>
      </c>
      <c r="G29" s="5">
        <f t="shared" si="11"/>
        <v>83</v>
      </c>
      <c r="H29" s="5">
        <f t="shared" si="11"/>
        <v>95</v>
      </c>
      <c r="I29" s="5">
        <f t="shared" si="11"/>
        <v>102</v>
      </c>
      <c r="J29" s="5">
        <f t="shared" si="11"/>
        <v>79</v>
      </c>
      <c r="K29" s="5">
        <f t="shared" si="11"/>
        <v>74</v>
      </c>
      <c r="L29" s="5">
        <f t="shared" si="11"/>
        <v>102</v>
      </c>
      <c r="M29" s="5">
        <f t="shared" si="11"/>
        <v>79</v>
      </c>
      <c r="N29" s="5">
        <f t="shared" si="11"/>
        <v>96</v>
      </c>
      <c r="O29" s="5">
        <f t="shared" si="10"/>
        <v>75</v>
      </c>
      <c r="P29" s="5">
        <f t="shared" si="10"/>
        <v>87</v>
      </c>
      <c r="Q29" s="5">
        <f t="shared" si="10"/>
        <v>97</v>
      </c>
      <c r="R29" s="5">
        <f t="shared" si="10"/>
        <v>75</v>
      </c>
      <c r="S29" s="5">
        <f t="shared" si="10"/>
        <v>96</v>
      </c>
      <c r="T29" s="5">
        <f t="shared" si="10"/>
        <v>105</v>
      </c>
      <c r="U29" s="5">
        <f t="shared" si="10"/>
        <v>105</v>
      </c>
      <c r="V29" s="5">
        <f t="shared" si="2"/>
        <v>1543</v>
      </c>
    </row>
    <row r="30" spans="1:22" x14ac:dyDescent="0.4">
      <c r="A30" s="13"/>
      <c r="B30" s="64"/>
      <c r="C30" s="68"/>
      <c r="D30" s="5" t="s">
        <v>25</v>
      </c>
      <c r="E30" s="5">
        <f t="shared" ref="E30:U30" si="12">SUM(E28:E29)</f>
        <v>216</v>
      </c>
      <c r="F30" s="5">
        <f t="shared" ref="F30:N30" si="13">SUM(F28:F29)</f>
        <v>192</v>
      </c>
      <c r="G30" s="5">
        <f t="shared" si="13"/>
        <v>155</v>
      </c>
      <c r="H30" s="5">
        <f t="shared" si="13"/>
        <v>184</v>
      </c>
      <c r="I30" s="5">
        <f t="shared" si="13"/>
        <v>182</v>
      </c>
      <c r="J30" s="5">
        <f t="shared" si="13"/>
        <v>145</v>
      </c>
      <c r="K30" s="5">
        <f t="shared" si="13"/>
        <v>137</v>
      </c>
      <c r="L30" s="5">
        <f t="shared" si="13"/>
        <v>195</v>
      </c>
      <c r="M30" s="5">
        <f t="shared" si="13"/>
        <v>161</v>
      </c>
      <c r="N30" s="5">
        <f t="shared" si="13"/>
        <v>186</v>
      </c>
      <c r="O30" s="5">
        <f t="shared" si="12"/>
        <v>157</v>
      </c>
      <c r="P30" s="5">
        <f t="shared" si="12"/>
        <v>172</v>
      </c>
      <c r="Q30" s="5">
        <f t="shared" si="12"/>
        <v>181</v>
      </c>
      <c r="R30" s="5">
        <f t="shared" si="12"/>
        <v>141</v>
      </c>
      <c r="S30" s="5">
        <f t="shared" si="12"/>
        <v>180</v>
      </c>
      <c r="T30" s="5">
        <f t="shared" si="12"/>
        <v>189</v>
      </c>
      <c r="U30" s="5">
        <f t="shared" si="12"/>
        <v>212</v>
      </c>
      <c r="V30" s="5">
        <f t="shared" si="2"/>
        <v>2985</v>
      </c>
    </row>
    <row r="31" spans="1:22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28"/>
    </row>
    <row r="32" spans="1:22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28"/>
    </row>
    <row r="33" spans="1:22" x14ac:dyDescent="0.4">
      <c r="A33" s="6">
        <v>1</v>
      </c>
      <c r="B33" s="58" t="s">
        <v>38</v>
      </c>
      <c r="C33" s="51"/>
      <c r="D33" s="52"/>
      <c r="E33" s="6">
        <v>258</v>
      </c>
      <c r="F33" s="6">
        <v>207</v>
      </c>
      <c r="G33" s="6">
        <v>192</v>
      </c>
      <c r="H33" s="6">
        <v>246</v>
      </c>
      <c r="I33" s="6">
        <v>223</v>
      </c>
      <c r="J33" s="6">
        <v>186</v>
      </c>
      <c r="K33" s="6">
        <v>176</v>
      </c>
      <c r="L33" s="6">
        <v>250</v>
      </c>
      <c r="M33" s="6">
        <v>199</v>
      </c>
      <c r="N33" s="6">
        <v>229</v>
      </c>
      <c r="O33" s="6">
        <v>193</v>
      </c>
      <c r="P33" s="6">
        <v>216</v>
      </c>
      <c r="Q33" s="6">
        <v>260</v>
      </c>
      <c r="R33" s="6">
        <v>172</v>
      </c>
      <c r="S33" s="6">
        <v>223</v>
      </c>
      <c r="T33" s="6">
        <v>210</v>
      </c>
      <c r="U33" s="6">
        <v>244</v>
      </c>
      <c r="V33" s="5">
        <f>SUM(E33:U33)</f>
        <v>3684</v>
      </c>
    </row>
    <row r="34" spans="1:22" x14ac:dyDescent="0.4">
      <c r="A34" s="6">
        <v>2</v>
      </c>
      <c r="B34" s="58" t="s">
        <v>39</v>
      </c>
      <c r="C34" s="51"/>
      <c r="D34" s="52"/>
      <c r="E34" s="5">
        <v>216</v>
      </c>
      <c r="F34" s="5">
        <v>192</v>
      </c>
      <c r="G34" s="5">
        <v>155</v>
      </c>
      <c r="H34" s="5">
        <v>184</v>
      </c>
      <c r="I34" s="5">
        <v>182</v>
      </c>
      <c r="J34" s="5">
        <v>145</v>
      </c>
      <c r="K34" s="5">
        <v>137</v>
      </c>
      <c r="L34" s="5">
        <v>195</v>
      </c>
      <c r="M34" s="5">
        <v>161</v>
      </c>
      <c r="N34" s="5">
        <v>186</v>
      </c>
      <c r="O34" s="5">
        <v>157</v>
      </c>
      <c r="P34" s="5">
        <v>172</v>
      </c>
      <c r="Q34" s="5">
        <v>181</v>
      </c>
      <c r="R34" s="5">
        <v>141</v>
      </c>
      <c r="S34" s="5">
        <v>180</v>
      </c>
      <c r="T34" s="5">
        <v>189</v>
      </c>
      <c r="U34" s="5">
        <v>212</v>
      </c>
      <c r="V34" s="5">
        <f>SUM(E34:U34)</f>
        <v>2985</v>
      </c>
    </row>
    <row r="35" spans="1:22" x14ac:dyDescent="0.4">
      <c r="A35" s="6">
        <v>3</v>
      </c>
      <c r="B35" s="58" t="s">
        <v>40</v>
      </c>
      <c r="C35" s="51"/>
      <c r="D35" s="52"/>
      <c r="E35" s="6">
        <v>0</v>
      </c>
      <c r="F35" s="6">
        <v>3</v>
      </c>
      <c r="G35" s="6">
        <v>0</v>
      </c>
      <c r="H35" s="6">
        <v>0</v>
      </c>
      <c r="I35" s="6">
        <v>2</v>
      </c>
      <c r="J35" s="6">
        <v>0</v>
      </c>
      <c r="K35" s="6">
        <v>0</v>
      </c>
      <c r="L35" s="6">
        <v>6</v>
      </c>
      <c r="M35" s="6">
        <v>2</v>
      </c>
      <c r="N35" s="6">
        <v>0</v>
      </c>
      <c r="O35" s="6">
        <v>0</v>
      </c>
      <c r="P35" s="6">
        <v>0</v>
      </c>
      <c r="Q35" s="6">
        <v>2</v>
      </c>
      <c r="R35" s="6">
        <v>2</v>
      </c>
      <c r="S35" s="6">
        <v>0</v>
      </c>
      <c r="T35" s="6">
        <v>3</v>
      </c>
      <c r="U35" s="6">
        <v>0</v>
      </c>
      <c r="V35" s="5">
        <f>SUM(E35:U35)</f>
        <v>20</v>
      </c>
    </row>
    <row r="36" spans="1:22" x14ac:dyDescent="0.4">
      <c r="A36" s="6">
        <v>4</v>
      </c>
      <c r="B36" s="58" t="s">
        <v>41</v>
      </c>
      <c r="C36" s="51"/>
      <c r="D36" s="52"/>
      <c r="E36" s="5">
        <f t="shared" ref="E36:U36" si="14">E33-(E34+E35)</f>
        <v>42</v>
      </c>
      <c r="F36" s="5">
        <f t="shared" ref="F36:N36" si="15">F33-(F34+F35)</f>
        <v>12</v>
      </c>
      <c r="G36" s="5">
        <f t="shared" si="15"/>
        <v>37</v>
      </c>
      <c r="H36" s="5">
        <f t="shared" si="15"/>
        <v>62</v>
      </c>
      <c r="I36" s="5">
        <f t="shared" si="15"/>
        <v>39</v>
      </c>
      <c r="J36" s="5">
        <f t="shared" si="15"/>
        <v>41</v>
      </c>
      <c r="K36" s="5">
        <f t="shared" si="15"/>
        <v>39</v>
      </c>
      <c r="L36" s="5">
        <f t="shared" si="15"/>
        <v>49</v>
      </c>
      <c r="M36" s="5">
        <f t="shared" si="15"/>
        <v>36</v>
      </c>
      <c r="N36" s="5">
        <f t="shared" si="15"/>
        <v>43</v>
      </c>
      <c r="O36" s="5">
        <f t="shared" si="14"/>
        <v>36</v>
      </c>
      <c r="P36" s="5">
        <f t="shared" si="14"/>
        <v>44</v>
      </c>
      <c r="Q36" s="5">
        <f t="shared" si="14"/>
        <v>77</v>
      </c>
      <c r="R36" s="5">
        <f t="shared" si="14"/>
        <v>29</v>
      </c>
      <c r="S36" s="5">
        <f t="shared" si="14"/>
        <v>43</v>
      </c>
      <c r="T36" s="5">
        <f t="shared" si="14"/>
        <v>18</v>
      </c>
      <c r="U36" s="5">
        <f t="shared" si="14"/>
        <v>32</v>
      </c>
      <c r="V36" s="5">
        <f>SUM(E36:U36)</f>
        <v>679</v>
      </c>
    </row>
    <row r="37" spans="1:22" x14ac:dyDescent="0.4">
      <c r="A37" s="50"/>
      <c r="B37" s="51"/>
      <c r="C37" s="51"/>
      <c r="D37" s="51"/>
      <c r="E37" s="50"/>
      <c r="F37" s="82"/>
      <c r="G37" s="82"/>
      <c r="H37" s="82"/>
      <c r="I37" s="82"/>
      <c r="J37" s="82"/>
      <c r="K37" s="82"/>
      <c r="L37" s="82"/>
      <c r="M37" s="82"/>
      <c r="N37" s="82"/>
      <c r="O37" s="72"/>
      <c r="P37" s="72"/>
      <c r="Q37" s="72"/>
      <c r="R37" s="72"/>
      <c r="S37" s="72"/>
      <c r="T37" s="72"/>
      <c r="U37" s="72"/>
      <c r="V37" s="28"/>
    </row>
    <row r="38" spans="1:22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28"/>
    </row>
    <row r="39" spans="1:22" x14ac:dyDescent="0.4">
      <c r="A39" s="11"/>
      <c r="B39" s="74" t="s">
        <v>44</v>
      </c>
      <c r="C39" s="60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</v>
      </c>
      <c r="S39" s="6"/>
      <c r="T39" s="6"/>
      <c r="U39" s="6"/>
      <c r="V39" s="5">
        <f>SUM(E39:U39)</f>
        <v>1</v>
      </c>
    </row>
    <row r="40" spans="1:22" x14ac:dyDescent="0.4">
      <c r="A40" s="12"/>
      <c r="B40" s="75"/>
      <c r="C40" s="62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5">
        <f>SUM(E40:U40)</f>
        <v>0</v>
      </c>
    </row>
    <row r="41" spans="1:22" x14ac:dyDescent="0.4">
      <c r="A41" s="14"/>
      <c r="B41" s="76"/>
      <c r="C41" s="64"/>
      <c r="D41" s="5" t="s">
        <v>25</v>
      </c>
      <c r="E41" s="5">
        <f t="shared" ref="E41:U41" si="16">SUM(E39:E40)</f>
        <v>0</v>
      </c>
      <c r="F41" s="5">
        <f t="shared" ref="F41:N41" si="17">SUM(F39:F40)</f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0</v>
      </c>
      <c r="N41" s="5">
        <f t="shared" si="17"/>
        <v>0</v>
      </c>
      <c r="O41" s="5">
        <f t="shared" si="16"/>
        <v>0</v>
      </c>
      <c r="P41" s="5">
        <f t="shared" si="16"/>
        <v>0</v>
      </c>
      <c r="Q41" s="5">
        <f t="shared" si="16"/>
        <v>0</v>
      </c>
      <c r="R41" s="5">
        <f t="shared" si="16"/>
        <v>1</v>
      </c>
      <c r="S41" s="5">
        <f t="shared" si="16"/>
        <v>0</v>
      </c>
      <c r="T41" s="5">
        <f t="shared" si="16"/>
        <v>0</v>
      </c>
      <c r="U41" s="5">
        <f t="shared" si="16"/>
        <v>0</v>
      </c>
      <c r="V41" s="5">
        <f>SUM(E41:U41)</f>
        <v>1</v>
      </c>
    </row>
    <row r="42" spans="1:22" x14ac:dyDescent="0.4">
      <c r="A42" s="77"/>
      <c r="B42" s="76"/>
      <c r="C42" s="76"/>
      <c r="D42" s="64"/>
      <c r="E42" s="50"/>
      <c r="F42" s="82"/>
      <c r="G42" s="82"/>
      <c r="H42" s="82"/>
      <c r="I42" s="82"/>
      <c r="J42" s="82"/>
      <c r="K42" s="82"/>
      <c r="L42" s="82"/>
      <c r="M42" s="82"/>
      <c r="N42" s="82"/>
      <c r="O42" s="51"/>
      <c r="P42" s="51"/>
      <c r="Q42" s="51"/>
      <c r="R42" s="51"/>
      <c r="S42" s="51"/>
      <c r="T42" s="51"/>
      <c r="U42" s="51"/>
      <c r="V42" s="5"/>
    </row>
    <row r="43" spans="1:22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</row>
    <row r="44" spans="1:22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5"/>
    </row>
    <row r="45" spans="1:22" x14ac:dyDescent="0.4">
      <c r="A45" s="11" t="s">
        <v>48</v>
      </c>
      <c r="B45" s="17" t="s">
        <v>28</v>
      </c>
      <c r="C45" s="79" t="s">
        <v>49</v>
      </c>
      <c r="D45" s="52"/>
      <c r="E45" s="6">
        <v>6</v>
      </c>
      <c r="F45" s="6">
        <v>4</v>
      </c>
      <c r="G45" s="6">
        <v>5</v>
      </c>
      <c r="H45" s="6">
        <v>4</v>
      </c>
      <c r="I45" s="6">
        <v>3</v>
      </c>
      <c r="J45" s="6">
        <v>2</v>
      </c>
      <c r="K45" s="6">
        <v>8</v>
      </c>
      <c r="L45" s="6">
        <v>9</v>
      </c>
      <c r="M45" s="6">
        <v>0</v>
      </c>
      <c r="N45" s="6">
        <v>4</v>
      </c>
      <c r="O45" s="6">
        <v>5</v>
      </c>
      <c r="P45" s="6">
        <v>0</v>
      </c>
      <c r="Q45" s="6">
        <v>2</v>
      </c>
      <c r="R45" s="6">
        <v>3</v>
      </c>
      <c r="S45" s="6">
        <v>5</v>
      </c>
      <c r="T45" s="6">
        <v>8</v>
      </c>
      <c r="U45" s="6">
        <v>10</v>
      </c>
      <c r="V45" s="5">
        <f t="shared" ref="V45:V51" si="18">SUM(E45:U45)</f>
        <v>78</v>
      </c>
    </row>
    <row r="46" spans="1:22" x14ac:dyDescent="0.4">
      <c r="A46" s="11" t="s">
        <v>50</v>
      </c>
      <c r="B46" s="46"/>
      <c r="C46" s="24" t="s">
        <v>104</v>
      </c>
      <c r="D46" s="47"/>
      <c r="E46" s="6">
        <v>16</v>
      </c>
      <c r="F46" s="6">
        <v>18</v>
      </c>
      <c r="G46" s="6">
        <v>14</v>
      </c>
      <c r="H46" s="6">
        <v>18</v>
      </c>
      <c r="I46" s="6">
        <v>50</v>
      </c>
      <c r="J46" s="6">
        <v>5</v>
      </c>
      <c r="K46" s="6">
        <v>14</v>
      </c>
      <c r="L46" s="6">
        <v>14</v>
      </c>
      <c r="M46" s="6">
        <v>3</v>
      </c>
      <c r="N46" s="6">
        <v>0</v>
      </c>
      <c r="O46" s="6">
        <v>1</v>
      </c>
      <c r="P46" s="6">
        <v>3</v>
      </c>
      <c r="Q46" s="6">
        <v>6</v>
      </c>
      <c r="R46" s="6">
        <v>6</v>
      </c>
      <c r="S46" s="6">
        <v>13</v>
      </c>
      <c r="T46" s="6">
        <v>15</v>
      </c>
      <c r="U46" s="6">
        <v>18</v>
      </c>
      <c r="V46" s="5">
        <f t="shared" si="18"/>
        <v>214</v>
      </c>
    </row>
    <row r="47" spans="1:22" x14ac:dyDescent="0.4">
      <c r="A47" s="7"/>
      <c r="B47" s="46"/>
      <c r="C47" s="24" t="s">
        <v>105</v>
      </c>
      <c r="D47" s="47"/>
      <c r="E47" s="6">
        <v>20</v>
      </c>
      <c r="F47" s="6">
        <v>25</v>
      </c>
      <c r="G47" s="6">
        <v>37</v>
      </c>
      <c r="H47" s="6">
        <v>31</v>
      </c>
      <c r="I47" s="6">
        <v>43</v>
      </c>
      <c r="J47" s="6">
        <v>10</v>
      </c>
      <c r="K47" s="6">
        <v>12</v>
      </c>
      <c r="L47" s="6">
        <v>71</v>
      </c>
      <c r="M47" s="6">
        <v>95</v>
      </c>
      <c r="N47" s="6">
        <v>65</v>
      </c>
      <c r="O47" s="6">
        <v>38</v>
      </c>
      <c r="P47" s="6">
        <v>75</v>
      </c>
      <c r="Q47" s="6">
        <v>29</v>
      </c>
      <c r="R47" s="6">
        <v>38</v>
      </c>
      <c r="S47" s="6">
        <v>71</v>
      </c>
      <c r="T47" s="6">
        <v>70</v>
      </c>
      <c r="U47" s="6">
        <v>98</v>
      </c>
      <c r="V47" s="5">
        <f t="shared" si="18"/>
        <v>828</v>
      </c>
    </row>
    <row r="48" spans="1:22" x14ac:dyDescent="0.4">
      <c r="A48" s="7"/>
      <c r="B48" s="46"/>
      <c r="C48" s="24" t="s">
        <v>106</v>
      </c>
      <c r="D48" s="47"/>
      <c r="E48" s="6">
        <v>0</v>
      </c>
      <c r="F48" s="6">
        <v>0</v>
      </c>
      <c r="G48" s="6">
        <v>1</v>
      </c>
      <c r="H48" s="6">
        <v>0</v>
      </c>
      <c r="I48" s="6">
        <v>0</v>
      </c>
      <c r="J48" s="6">
        <v>1</v>
      </c>
      <c r="K48" s="6">
        <v>0</v>
      </c>
      <c r="L48" s="6">
        <v>1</v>
      </c>
      <c r="M48" s="6">
        <v>0</v>
      </c>
      <c r="N48" s="6">
        <v>3</v>
      </c>
      <c r="O48" s="6">
        <v>1</v>
      </c>
      <c r="P48" s="6">
        <v>0</v>
      </c>
      <c r="Q48" s="6">
        <v>0</v>
      </c>
      <c r="R48" s="6">
        <v>1</v>
      </c>
      <c r="S48" s="6">
        <v>0</v>
      </c>
      <c r="T48" s="6">
        <v>3</v>
      </c>
      <c r="U48" s="6">
        <v>1</v>
      </c>
      <c r="V48" s="5">
        <f t="shared" si="18"/>
        <v>12</v>
      </c>
    </row>
    <row r="49" spans="1:22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5">
        <f t="shared" si="18"/>
        <v>0</v>
      </c>
    </row>
    <row r="50" spans="1:22" x14ac:dyDescent="0.4">
      <c r="A50" s="7"/>
      <c r="B50" s="46"/>
      <c r="C50" s="24" t="s">
        <v>108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5">
        <f t="shared" si="18"/>
        <v>2</v>
      </c>
    </row>
    <row r="51" spans="1:22" x14ac:dyDescent="0.4">
      <c r="A51" s="7"/>
      <c r="B51" s="46"/>
      <c r="C51" s="24" t="s">
        <v>109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2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1</v>
      </c>
      <c r="V51" s="5">
        <f t="shared" si="18"/>
        <v>4</v>
      </c>
    </row>
    <row r="52" spans="1:22" x14ac:dyDescent="0.4">
      <c r="A52" s="6" t="s">
        <v>26</v>
      </c>
      <c r="B52" s="71" t="s">
        <v>51</v>
      </c>
      <c r="C52" s="51"/>
      <c r="D52" s="52"/>
      <c r="E52" s="5">
        <f>SUM(E45:E51)</f>
        <v>42</v>
      </c>
      <c r="F52" s="5">
        <f>SUM(F45:F51)</f>
        <v>47</v>
      </c>
      <c r="G52" s="5">
        <f>SUM(G45:G51)</f>
        <v>57</v>
      </c>
      <c r="H52" s="5">
        <f>SUM(H45:H51)</f>
        <v>53</v>
      </c>
      <c r="I52" s="5">
        <f>SUM(I45:I51)</f>
        <v>96</v>
      </c>
      <c r="J52" s="5">
        <f>SUM(J45:J51)</f>
        <v>18</v>
      </c>
      <c r="K52" s="5">
        <f>SUM(K45:K51)</f>
        <v>35</v>
      </c>
      <c r="L52" s="5">
        <f>SUM(L45:L51)</f>
        <v>98</v>
      </c>
      <c r="M52" s="5">
        <f>SUM(M45:M51)</f>
        <v>98</v>
      </c>
      <c r="N52" s="5">
        <f>SUM(N45:N51)</f>
        <v>73</v>
      </c>
      <c r="O52" s="5">
        <f>SUM(O45:O51)</f>
        <v>45</v>
      </c>
      <c r="P52" s="5">
        <f>SUM(P45:P51)</f>
        <v>78</v>
      </c>
      <c r="Q52" s="5">
        <f>SUM(Q45:Q51)</f>
        <v>37</v>
      </c>
      <c r="R52" s="5">
        <f>SUM(R45:R51)</f>
        <v>48</v>
      </c>
      <c r="S52" s="5">
        <f>SUM(S45:S51)</f>
        <v>89</v>
      </c>
      <c r="T52" s="5">
        <f>SUM(T45:T51)</f>
        <v>96</v>
      </c>
      <c r="U52" s="5">
        <f>SUM(U45:U51)</f>
        <v>128</v>
      </c>
      <c r="V52" s="5">
        <f>SUM(V45:V51)</f>
        <v>1138</v>
      </c>
    </row>
    <row r="53" spans="1:22" x14ac:dyDescent="0.4">
      <c r="A53" s="77"/>
      <c r="B53" s="76"/>
      <c r="C53" s="76"/>
      <c r="D53" s="76"/>
      <c r="E53" s="76"/>
      <c r="V53" s="5"/>
    </row>
    <row r="54" spans="1:22" x14ac:dyDescent="0.4">
      <c r="A54" s="11" t="s">
        <v>48</v>
      </c>
      <c r="B54" s="17" t="s">
        <v>30</v>
      </c>
      <c r="C54" s="79" t="s">
        <v>52</v>
      </c>
      <c r="D54" s="52"/>
      <c r="E54" s="6">
        <v>7</v>
      </c>
      <c r="F54" s="6">
        <v>13</v>
      </c>
      <c r="G54" s="6">
        <v>15</v>
      </c>
      <c r="H54" s="6">
        <v>6</v>
      </c>
      <c r="I54" s="6">
        <v>2</v>
      </c>
      <c r="J54" s="6">
        <v>5</v>
      </c>
      <c r="K54" s="6">
        <v>9</v>
      </c>
      <c r="L54" s="6">
        <v>2</v>
      </c>
      <c r="M54" s="6">
        <v>4</v>
      </c>
      <c r="N54" s="6">
        <v>9</v>
      </c>
      <c r="O54" s="6">
        <v>7</v>
      </c>
      <c r="P54" s="6">
        <v>5</v>
      </c>
      <c r="Q54" s="6">
        <v>12</v>
      </c>
      <c r="R54" s="6">
        <v>13</v>
      </c>
      <c r="S54" s="6">
        <v>7</v>
      </c>
      <c r="T54" s="6">
        <v>9</v>
      </c>
      <c r="U54" s="6">
        <v>9</v>
      </c>
      <c r="V54" s="5">
        <f t="shared" ref="V54:V60" si="19">SUM(E54:U54)</f>
        <v>134</v>
      </c>
    </row>
    <row r="55" spans="1:22" x14ac:dyDescent="0.4">
      <c r="A55" s="11" t="s">
        <v>50</v>
      </c>
      <c r="B55" s="46"/>
      <c r="C55" s="24" t="s">
        <v>110</v>
      </c>
      <c r="D55" s="47"/>
      <c r="E55" s="6">
        <v>29</v>
      </c>
      <c r="F55" s="6">
        <v>12</v>
      </c>
      <c r="G55" s="6">
        <v>9</v>
      </c>
      <c r="H55" s="6">
        <v>11</v>
      </c>
      <c r="I55" s="6">
        <v>15</v>
      </c>
      <c r="J55" s="6">
        <v>33</v>
      </c>
      <c r="K55" s="6">
        <v>11</v>
      </c>
      <c r="L55" s="6">
        <v>15</v>
      </c>
      <c r="M55" s="6">
        <v>14</v>
      </c>
      <c r="N55" s="6">
        <v>5</v>
      </c>
      <c r="O55" s="6">
        <v>9</v>
      </c>
      <c r="P55" s="6">
        <v>7</v>
      </c>
      <c r="Q55" s="6">
        <v>9</v>
      </c>
      <c r="R55" s="6">
        <v>5</v>
      </c>
      <c r="S55" s="6">
        <v>15</v>
      </c>
      <c r="T55" s="6">
        <v>11</v>
      </c>
      <c r="U55" s="6">
        <v>9</v>
      </c>
      <c r="V55" s="5">
        <f t="shared" si="19"/>
        <v>219</v>
      </c>
    </row>
    <row r="56" spans="1:22" x14ac:dyDescent="0.4">
      <c r="A56" s="7"/>
      <c r="B56" s="46"/>
      <c r="C56" s="24" t="s">
        <v>111</v>
      </c>
      <c r="D56" s="47"/>
      <c r="E56" s="6">
        <v>103</v>
      </c>
      <c r="F56" s="6">
        <v>43</v>
      </c>
      <c r="G56" s="6">
        <v>37</v>
      </c>
      <c r="H56" s="6">
        <v>17</v>
      </c>
      <c r="I56" s="6">
        <v>18</v>
      </c>
      <c r="J56" s="6">
        <v>5</v>
      </c>
      <c r="K56" s="6">
        <v>4</v>
      </c>
      <c r="L56" s="6">
        <v>3</v>
      </c>
      <c r="M56" s="6">
        <v>0</v>
      </c>
      <c r="N56" s="6">
        <v>8</v>
      </c>
      <c r="O56" s="6">
        <v>15</v>
      </c>
      <c r="P56" s="6">
        <v>2</v>
      </c>
      <c r="Q56" s="6">
        <v>38</v>
      </c>
      <c r="R56" s="6">
        <v>16</v>
      </c>
      <c r="S56" s="6">
        <v>6</v>
      </c>
      <c r="T56" s="6">
        <v>9</v>
      </c>
      <c r="U56" s="6">
        <v>10</v>
      </c>
      <c r="V56" s="5">
        <f t="shared" si="19"/>
        <v>334</v>
      </c>
    </row>
    <row r="57" spans="1:22" x14ac:dyDescent="0.4">
      <c r="A57" s="7"/>
      <c r="B57" s="46"/>
      <c r="C57" s="24" t="s">
        <v>112</v>
      </c>
      <c r="D57" s="47"/>
      <c r="E57" s="6">
        <v>0</v>
      </c>
      <c r="F57" s="6">
        <v>2</v>
      </c>
      <c r="G57" s="6">
        <v>0</v>
      </c>
      <c r="H57" s="6">
        <v>0</v>
      </c>
      <c r="I57" s="6">
        <v>0</v>
      </c>
      <c r="J57" s="6">
        <v>1</v>
      </c>
      <c r="K57" s="6">
        <v>0</v>
      </c>
      <c r="L57" s="6">
        <v>1</v>
      </c>
      <c r="M57" s="6">
        <v>1</v>
      </c>
      <c r="N57" s="6">
        <v>2</v>
      </c>
      <c r="O57" s="6">
        <v>3</v>
      </c>
      <c r="P57" s="6">
        <v>1</v>
      </c>
      <c r="Q57" s="6">
        <v>0</v>
      </c>
      <c r="R57" s="6">
        <v>1</v>
      </c>
      <c r="S57" s="6">
        <v>0</v>
      </c>
      <c r="T57" s="6">
        <v>1</v>
      </c>
      <c r="U57" s="6">
        <v>1</v>
      </c>
      <c r="V57" s="5">
        <f t="shared" si="19"/>
        <v>14</v>
      </c>
    </row>
    <row r="58" spans="1:22" x14ac:dyDescent="0.4">
      <c r="A58" s="7"/>
      <c r="B58" s="46"/>
      <c r="C58" s="24" t="s">
        <v>113</v>
      </c>
      <c r="D58" s="47"/>
      <c r="E58" s="6">
        <v>0</v>
      </c>
      <c r="F58" s="6">
        <v>0</v>
      </c>
      <c r="G58" s="6">
        <v>0</v>
      </c>
      <c r="H58" s="6">
        <v>1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2</v>
      </c>
      <c r="P58" s="6">
        <v>0</v>
      </c>
      <c r="Q58" s="6">
        <v>1</v>
      </c>
      <c r="R58" s="6">
        <v>1</v>
      </c>
      <c r="S58" s="6">
        <v>0</v>
      </c>
      <c r="T58" s="6">
        <v>0</v>
      </c>
      <c r="U58" s="6">
        <v>0</v>
      </c>
      <c r="V58" s="5">
        <f t="shared" si="19"/>
        <v>8</v>
      </c>
    </row>
    <row r="59" spans="1:22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5">
        <f t="shared" si="19"/>
        <v>1</v>
      </c>
    </row>
    <row r="60" spans="1:22" ht="13.15" customHeight="1" x14ac:dyDescent="0.4">
      <c r="A60" s="7"/>
      <c r="B60" s="46"/>
      <c r="C60" s="24" t="s">
        <v>115</v>
      </c>
      <c r="D60" s="47"/>
      <c r="E60" s="6">
        <v>1</v>
      </c>
      <c r="F60" s="6">
        <v>0</v>
      </c>
      <c r="G60" s="6">
        <v>0</v>
      </c>
      <c r="H60" s="6">
        <v>1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3</v>
      </c>
      <c r="O60" s="6">
        <v>3</v>
      </c>
      <c r="P60" s="6">
        <v>5</v>
      </c>
      <c r="Q60" s="6">
        <v>3</v>
      </c>
      <c r="R60" s="6">
        <v>0</v>
      </c>
      <c r="S60" s="6">
        <v>0</v>
      </c>
      <c r="T60" s="6">
        <v>0</v>
      </c>
      <c r="U60" s="6">
        <v>0</v>
      </c>
      <c r="V60" s="5">
        <f t="shared" si="19"/>
        <v>16</v>
      </c>
    </row>
    <row r="61" spans="1:22" x14ac:dyDescent="0.4">
      <c r="A61" s="6" t="s">
        <v>26</v>
      </c>
      <c r="B61" s="71" t="s">
        <v>51</v>
      </c>
      <c r="C61" s="51"/>
      <c r="D61" s="52"/>
      <c r="E61" s="5">
        <f>SUM(E54:E60)</f>
        <v>140</v>
      </c>
      <c r="F61" s="5">
        <f>SUM(F54:F60)</f>
        <v>70</v>
      </c>
      <c r="G61" s="5">
        <f>SUM(G54:G60)</f>
        <v>61</v>
      </c>
      <c r="H61" s="5">
        <f>SUM(H54:H60)</f>
        <v>36</v>
      </c>
      <c r="I61" s="5">
        <f>SUM(I54:I60)</f>
        <v>35</v>
      </c>
      <c r="J61" s="5">
        <f>SUM(J54:J60)</f>
        <v>45</v>
      </c>
      <c r="K61" s="5">
        <f>SUM(K54:K60)</f>
        <v>24</v>
      </c>
      <c r="L61" s="5">
        <f>SUM(L54:L60)</f>
        <v>21</v>
      </c>
      <c r="M61" s="5">
        <f>SUM(M54:M60)</f>
        <v>19</v>
      </c>
      <c r="N61" s="5">
        <f>SUM(N54:N60)</f>
        <v>29</v>
      </c>
      <c r="O61" s="5">
        <f>SUM(O54:O60)</f>
        <v>39</v>
      </c>
      <c r="P61" s="5">
        <f>SUM(P54:P60)</f>
        <v>21</v>
      </c>
      <c r="Q61" s="5">
        <f>SUM(Q54:Q60)</f>
        <v>63</v>
      </c>
      <c r="R61" s="5">
        <f>SUM(R54:R60)</f>
        <v>36</v>
      </c>
      <c r="S61" s="5">
        <f>SUM(S54:S60)</f>
        <v>28</v>
      </c>
      <c r="T61" s="5">
        <f>SUM(T54:T60)</f>
        <v>30</v>
      </c>
      <c r="U61" s="5">
        <f>SUM(U54:U60)</f>
        <v>29</v>
      </c>
      <c r="V61" s="5">
        <f>SUM(V54:V60)</f>
        <v>726</v>
      </c>
    </row>
    <row r="62" spans="1:22" x14ac:dyDescent="0.4">
      <c r="A62" s="77"/>
      <c r="B62" s="76"/>
      <c r="C62" s="76"/>
      <c r="D62" s="76"/>
      <c r="E62" s="76"/>
    </row>
    <row r="63" spans="1:22" x14ac:dyDescent="0.4">
      <c r="A63" s="11" t="s">
        <v>48</v>
      </c>
      <c r="B63" s="17" t="s">
        <v>32</v>
      </c>
      <c r="C63" s="79" t="s">
        <v>53</v>
      </c>
      <c r="D63" s="52"/>
      <c r="E63" s="6">
        <v>2</v>
      </c>
      <c r="F63" s="6">
        <v>5</v>
      </c>
      <c r="G63" s="6">
        <v>2</v>
      </c>
      <c r="H63" s="6">
        <v>8</v>
      </c>
      <c r="I63" s="6"/>
      <c r="J63" s="6">
        <v>3</v>
      </c>
      <c r="K63" s="6">
        <v>1</v>
      </c>
      <c r="L63" s="6">
        <v>11</v>
      </c>
      <c r="M63" s="6">
        <v>2</v>
      </c>
      <c r="N63" s="6">
        <v>5</v>
      </c>
      <c r="O63" s="6">
        <v>4</v>
      </c>
      <c r="P63" s="6">
        <v>1</v>
      </c>
      <c r="Q63" s="6">
        <v>5</v>
      </c>
      <c r="R63" s="6">
        <v>6</v>
      </c>
      <c r="S63" s="6">
        <v>4</v>
      </c>
      <c r="T63" s="6">
        <v>4</v>
      </c>
      <c r="U63" s="6">
        <v>1</v>
      </c>
      <c r="V63" s="5">
        <f t="shared" ref="V63:V69" si="20">SUM(E63:U63)</f>
        <v>64</v>
      </c>
    </row>
    <row r="64" spans="1:22" x14ac:dyDescent="0.4">
      <c r="A64" s="11" t="s">
        <v>50</v>
      </c>
      <c r="B64" s="46"/>
      <c r="C64" s="24" t="s">
        <v>116</v>
      </c>
      <c r="D64" s="47"/>
      <c r="E64" s="6">
        <v>1</v>
      </c>
      <c r="F64" s="6">
        <v>2</v>
      </c>
      <c r="G64" s="6"/>
      <c r="H64" s="6">
        <v>3</v>
      </c>
      <c r="I64" s="6">
        <v>1</v>
      </c>
      <c r="J64" s="6"/>
      <c r="K64" s="6"/>
      <c r="L64" s="6"/>
      <c r="M64" s="6"/>
      <c r="N64" s="6">
        <v>5</v>
      </c>
      <c r="O64" s="6">
        <v>2</v>
      </c>
      <c r="P64" s="6"/>
      <c r="Q64" s="6">
        <v>3</v>
      </c>
      <c r="R64" s="6">
        <v>3</v>
      </c>
      <c r="S64" s="6">
        <v>5</v>
      </c>
      <c r="T64" s="6">
        <v>5</v>
      </c>
      <c r="U64" s="6">
        <v>4</v>
      </c>
      <c r="V64" s="5">
        <f t="shared" si="20"/>
        <v>34</v>
      </c>
    </row>
    <row r="65" spans="1:22" x14ac:dyDescent="0.4">
      <c r="A65" s="7"/>
      <c r="B65" s="46"/>
      <c r="C65" s="24" t="s">
        <v>117</v>
      </c>
      <c r="D65" s="47"/>
      <c r="E65" s="6"/>
      <c r="F65" s="6">
        <v>7</v>
      </c>
      <c r="G65" s="6">
        <v>2</v>
      </c>
      <c r="H65" s="6">
        <v>2</v>
      </c>
      <c r="I65" s="6">
        <v>2</v>
      </c>
      <c r="J65" s="6">
        <v>1</v>
      </c>
      <c r="K65" s="6">
        <v>5</v>
      </c>
      <c r="L65" s="6">
        <v>5</v>
      </c>
      <c r="M65" s="6">
        <v>2</v>
      </c>
      <c r="N65" s="6">
        <v>11</v>
      </c>
      <c r="O65" s="6">
        <v>4</v>
      </c>
      <c r="P65" s="6">
        <v>4</v>
      </c>
      <c r="Q65" s="6">
        <v>16</v>
      </c>
      <c r="R65" s="6">
        <v>7</v>
      </c>
      <c r="S65" s="6"/>
      <c r="T65" s="6">
        <v>5</v>
      </c>
      <c r="U65" s="6">
        <v>5</v>
      </c>
      <c r="V65" s="5">
        <f t="shared" si="20"/>
        <v>78</v>
      </c>
    </row>
    <row r="66" spans="1:22" x14ac:dyDescent="0.4">
      <c r="A66" s="7"/>
      <c r="B66" s="46"/>
      <c r="C66" s="24" t="s">
        <v>118</v>
      </c>
      <c r="D66" s="47"/>
      <c r="E66" s="6">
        <v>1</v>
      </c>
      <c r="F66" s="6"/>
      <c r="G66" s="6">
        <v>1</v>
      </c>
      <c r="H66" s="6"/>
      <c r="I66" s="6"/>
      <c r="J66" s="6"/>
      <c r="K66" s="6"/>
      <c r="L66" s="6">
        <v>3</v>
      </c>
      <c r="M66" s="6"/>
      <c r="N66" s="6">
        <v>4</v>
      </c>
      <c r="O66" s="6">
        <v>4</v>
      </c>
      <c r="P66" s="6">
        <v>1</v>
      </c>
      <c r="Q66" s="6">
        <v>1</v>
      </c>
      <c r="R66" s="6">
        <v>1</v>
      </c>
      <c r="S66" s="6">
        <v>3</v>
      </c>
      <c r="T66" s="6"/>
      <c r="U66" s="6"/>
      <c r="V66" s="5">
        <f t="shared" si="20"/>
        <v>19</v>
      </c>
    </row>
    <row r="67" spans="1:22" x14ac:dyDescent="0.4">
      <c r="A67" s="7"/>
      <c r="B67" s="46"/>
      <c r="C67" s="24" t="s">
        <v>119</v>
      </c>
      <c r="D67" s="47"/>
      <c r="E67" s="6"/>
      <c r="F67" s="6"/>
      <c r="G67" s="6"/>
      <c r="H67" s="6"/>
      <c r="I67" s="6"/>
      <c r="J67" s="6"/>
      <c r="K67" s="6"/>
      <c r="L67" s="6"/>
      <c r="M67" s="6"/>
      <c r="N67" s="6">
        <v>9</v>
      </c>
      <c r="O67" s="6"/>
      <c r="P67" s="6">
        <v>2</v>
      </c>
      <c r="Q67" s="6">
        <v>18</v>
      </c>
      <c r="R67" s="6"/>
      <c r="S67" s="6"/>
      <c r="T67" s="6">
        <v>3</v>
      </c>
      <c r="U67" s="6">
        <v>1</v>
      </c>
      <c r="V67" s="5">
        <f t="shared" si="20"/>
        <v>33</v>
      </c>
    </row>
    <row r="68" spans="1:22" ht="13.15" customHeight="1" x14ac:dyDescent="0.4">
      <c r="A68" s="7"/>
      <c r="B68" s="46"/>
      <c r="C68" s="24" t="s">
        <v>120</v>
      </c>
      <c r="D68" s="47"/>
      <c r="E68" s="6">
        <v>2</v>
      </c>
      <c r="F68" s="6">
        <v>4</v>
      </c>
      <c r="G68" s="6"/>
      <c r="H68" s="6">
        <v>2</v>
      </c>
      <c r="I68" s="6">
        <v>4</v>
      </c>
      <c r="J68" s="6">
        <v>1</v>
      </c>
      <c r="K68" s="6"/>
      <c r="L68" s="6">
        <v>2</v>
      </c>
      <c r="M68" s="6">
        <v>5</v>
      </c>
      <c r="N68" s="6"/>
      <c r="O68" s="6"/>
      <c r="P68" s="6">
        <v>1</v>
      </c>
      <c r="Q68" s="6"/>
      <c r="R68" s="6"/>
      <c r="S68" s="6"/>
      <c r="T68" s="6"/>
      <c r="U68" s="6"/>
      <c r="V68" s="5">
        <f t="shared" si="20"/>
        <v>21</v>
      </c>
    </row>
    <row r="69" spans="1:22" x14ac:dyDescent="0.4">
      <c r="A69" s="7"/>
      <c r="B69" s="46"/>
      <c r="C69" s="24" t="s">
        <v>121</v>
      </c>
      <c r="D69" s="47"/>
      <c r="E69" s="6"/>
      <c r="F69" s="6"/>
      <c r="G69" s="6"/>
      <c r="H69" s="6"/>
      <c r="I69" s="6"/>
      <c r="J69" s="6"/>
      <c r="K69" s="6">
        <v>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5">
        <f t="shared" si="20"/>
        <v>1</v>
      </c>
    </row>
    <row r="70" spans="1:22" x14ac:dyDescent="0.4">
      <c r="A70" s="6" t="s">
        <v>26</v>
      </c>
      <c r="B70" s="71" t="s">
        <v>51</v>
      </c>
      <c r="C70" s="51"/>
      <c r="D70" s="52"/>
      <c r="E70" s="5">
        <f>SUM(E63:E69)</f>
        <v>6</v>
      </c>
      <c r="F70" s="5">
        <f>SUM(F63:F69)</f>
        <v>18</v>
      </c>
      <c r="G70" s="5">
        <f>SUM(G63:G69)</f>
        <v>5</v>
      </c>
      <c r="H70" s="5">
        <f>SUM(H63:H69)</f>
        <v>15</v>
      </c>
      <c r="I70" s="5">
        <f>SUM(I63:I69)</f>
        <v>7</v>
      </c>
      <c r="J70" s="5">
        <f>SUM(J63:J69)</f>
        <v>5</v>
      </c>
      <c r="K70" s="5">
        <f>SUM(K63:K69)</f>
        <v>7</v>
      </c>
      <c r="L70" s="5">
        <f>SUM(L63:L69)</f>
        <v>21</v>
      </c>
      <c r="M70" s="5">
        <f>SUM(M63:M69)</f>
        <v>9</v>
      </c>
      <c r="N70" s="5">
        <f>SUM(N63:N69)</f>
        <v>34</v>
      </c>
      <c r="O70" s="5">
        <f>SUM(O63:O69)</f>
        <v>14</v>
      </c>
      <c r="P70" s="5">
        <f>SUM(P63:P69)</f>
        <v>9</v>
      </c>
      <c r="Q70" s="5">
        <f>SUM(Q63:Q69)</f>
        <v>43</v>
      </c>
      <c r="R70" s="5">
        <f>SUM(R63:R69)</f>
        <v>17</v>
      </c>
      <c r="S70" s="5">
        <f>SUM(S63:S69)</f>
        <v>12</v>
      </c>
      <c r="T70" s="5">
        <f>SUM(T63:T69)</f>
        <v>17</v>
      </c>
      <c r="U70" s="5">
        <f>SUM(U63:U69)</f>
        <v>11</v>
      </c>
      <c r="V70" s="5">
        <f>SUM(V63:V69)</f>
        <v>250</v>
      </c>
    </row>
    <row r="71" spans="1:22" x14ac:dyDescent="0.4">
      <c r="A71" s="77"/>
      <c r="B71" s="76"/>
      <c r="C71" s="76"/>
      <c r="D71" s="76"/>
      <c r="E71" s="76"/>
    </row>
    <row r="72" spans="1:22" x14ac:dyDescent="0.4">
      <c r="A72" s="11" t="s">
        <v>48</v>
      </c>
      <c r="B72" s="17" t="s">
        <v>34</v>
      </c>
      <c r="C72" s="79" t="s">
        <v>54</v>
      </c>
      <c r="D72" s="52"/>
      <c r="E72" s="6">
        <v>1</v>
      </c>
      <c r="F72" s="6">
        <v>2</v>
      </c>
      <c r="G72" s="6">
        <v>4</v>
      </c>
      <c r="H72" s="6">
        <v>6</v>
      </c>
      <c r="I72" s="6">
        <v>1</v>
      </c>
      <c r="J72" s="6">
        <v>3</v>
      </c>
      <c r="K72" s="6">
        <v>6</v>
      </c>
      <c r="L72" s="6">
        <v>2</v>
      </c>
      <c r="M72" s="6"/>
      <c r="N72" s="6">
        <v>4</v>
      </c>
      <c r="O72" s="6">
        <v>4</v>
      </c>
      <c r="P72" s="6">
        <v>1</v>
      </c>
      <c r="Q72" s="6">
        <v>3</v>
      </c>
      <c r="R72" s="6">
        <v>4</v>
      </c>
      <c r="S72" s="6">
        <v>1</v>
      </c>
      <c r="T72" s="6">
        <v>4</v>
      </c>
      <c r="U72" s="6">
        <v>4</v>
      </c>
      <c r="V72" s="5">
        <f t="shared" ref="V72:V78" si="21">SUM(E72:U72)</f>
        <v>50</v>
      </c>
    </row>
    <row r="73" spans="1:22" x14ac:dyDescent="0.4">
      <c r="A73" s="11" t="s">
        <v>50</v>
      </c>
      <c r="B73" s="46"/>
      <c r="C73" s="24" t="s">
        <v>122</v>
      </c>
      <c r="D73" s="47"/>
      <c r="E73" s="6">
        <v>1</v>
      </c>
      <c r="F73" s="6">
        <v>3</v>
      </c>
      <c r="G73" s="6">
        <v>1</v>
      </c>
      <c r="H73" s="6">
        <v>1</v>
      </c>
      <c r="I73" s="6">
        <v>2</v>
      </c>
      <c r="J73" s="6">
        <v>6</v>
      </c>
      <c r="K73" s="6">
        <v>1</v>
      </c>
      <c r="L73" s="6">
        <v>14</v>
      </c>
      <c r="M73" s="6">
        <v>5</v>
      </c>
      <c r="N73" s="6">
        <v>2</v>
      </c>
      <c r="O73" s="6">
        <v>1</v>
      </c>
      <c r="P73" s="6">
        <v>5</v>
      </c>
      <c r="Q73" s="6">
        <v>5</v>
      </c>
      <c r="R73" s="6">
        <v>3</v>
      </c>
      <c r="S73" s="6">
        <v>3</v>
      </c>
      <c r="T73" s="6">
        <v>6</v>
      </c>
      <c r="U73" s="6">
        <v>10</v>
      </c>
      <c r="V73" s="5">
        <f t="shared" si="21"/>
        <v>69</v>
      </c>
    </row>
    <row r="74" spans="1:22" x14ac:dyDescent="0.4">
      <c r="A74" s="7"/>
      <c r="B74" s="46"/>
      <c r="C74" s="24" t="s">
        <v>123</v>
      </c>
      <c r="D74" s="47"/>
      <c r="E74" s="6">
        <v>2</v>
      </c>
      <c r="F74" s="6">
        <v>5</v>
      </c>
      <c r="G74" s="6">
        <v>6</v>
      </c>
      <c r="H74" s="6">
        <v>11</v>
      </c>
      <c r="I74" s="6">
        <v>1</v>
      </c>
      <c r="J74" s="6">
        <v>32</v>
      </c>
      <c r="K74" s="6">
        <v>30</v>
      </c>
      <c r="L74" s="6">
        <v>4</v>
      </c>
      <c r="M74" s="6">
        <v>1</v>
      </c>
      <c r="N74" s="6">
        <v>4</v>
      </c>
      <c r="O74" s="6">
        <v>3</v>
      </c>
      <c r="P74" s="6">
        <v>5</v>
      </c>
      <c r="Q74" s="6">
        <v>9</v>
      </c>
      <c r="R74" s="6">
        <v>3</v>
      </c>
      <c r="S74" s="6">
        <v>7</v>
      </c>
      <c r="T74" s="6"/>
      <c r="U74" s="6">
        <v>4</v>
      </c>
      <c r="V74" s="5">
        <f t="shared" si="21"/>
        <v>127</v>
      </c>
    </row>
    <row r="75" spans="1:22" x14ac:dyDescent="0.4">
      <c r="A75" s="7"/>
      <c r="B75" s="46"/>
      <c r="C75" s="24" t="s">
        <v>124</v>
      </c>
      <c r="D75" s="47"/>
      <c r="E75" s="6"/>
      <c r="F75" s="6"/>
      <c r="G75" s="6"/>
      <c r="H75" s="6"/>
      <c r="I75" s="6">
        <v>1</v>
      </c>
      <c r="J75" s="6">
        <v>7</v>
      </c>
      <c r="K75" s="6">
        <v>1</v>
      </c>
      <c r="L75" s="6">
        <v>3</v>
      </c>
      <c r="M75" s="6"/>
      <c r="N75" s="6"/>
      <c r="O75" s="6">
        <v>4</v>
      </c>
      <c r="P75" s="6"/>
      <c r="Q75" s="6"/>
      <c r="R75" s="6">
        <v>1</v>
      </c>
      <c r="S75" s="6">
        <v>3</v>
      </c>
      <c r="T75" s="6">
        <v>2</v>
      </c>
      <c r="U75" s="6">
        <v>3</v>
      </c>
      <c r="V75" s="5">
        <f t="shared" si="21"/>
        <v>25</v>
      </c>
    </row>
    <row r="76" spans="1:22" ht="13.15" customHeight="1" x14ac:dyDescent="0.4">
      <c r="A76" s="7"/>
      <c r="B76" s="46"/>
      <c r="C76" s="24" t="s">
        <v>125</v>
      </c>
      <c r="D76" s="4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5">
        <f t="shared" si="21"/>
        <v>0</v>
      </c>
    </row>
    <row r="77" spans="1:22" x14ac:dyDescent="0.4">
      <c r="A77" s="7"/>
      <c r="B77" s="46"/>
      <c r="C77" s="24" t="s">
        <v>126</v>
      </c>
      <c r="D77" s="4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5">
        <f t="shared" si="21"/>
        <v>0</v>
      </c>
    </row>
    <row r="78" spans="1:22" x14ac:dyDescent="0.4">
      <c r="A78" s="7"/>
      <c r="B78" s="46"/>
      <c r="C78" s="24" t="s">
        <v>127</v>
      </c>
      <c r="D78" s="47"/>
      <c r="E78" s="6"/>
      <c r="F78" s="6"/>
      <c r="G78" s="6"/>
      <c r="H78" s="6"/>
      <c r="I78" s="6"/>
      <c r="J78" s="6"/>
      <c r="K78" s="6"/>
      <c r="L78" s="6"/>
      <c r="M78" s="6"/>
      <c r="N78" s="6">
        <v>1</v>
      </c>
      <c r="O78" s="6"/>
      <c r="P78" s="6"/>
      <c r="Q78" s="6"/>
      <c r="R78" s="6"/>
      <c r="S78" s="6"/>
      <c r="T78" s="6"/>
      <c r="U78" s="6"/>
      <c r="V78" s="5">
        <f t="shared" si="21"/>
        <v>1</v>
      </c>
    </row>
    <row r="79" spans="1:22" x14ac:dyDescent="0.4">
      <c r="A79" s="6" t="s">
        <v>26</v>
      </c>
      <c r="B79" s="71" t="s">
        <v>51</v>
      </c>
      <c r="C79" s="51"/>
      <c r="D79" s="52"/>
      <c r="E79" s="5">
        <f>SUM(E72:E78)</f>
        <v>4</v>
      </c>
      <c r="F79" s="5">
        <f>SUM(F72:F78)</f>
        <v>10</v>
      </c>
      <c r="G79" s="5">
        <f>SUM(G72:G78)</f>
        <v>11</v>
      </c>
      <c r="H79" s="5">
        <f>SUM(H72:H78)</f>
        <v>18</v>
      </c>
      <c r="I79" s="5">
        <f>SUM(I72:I78)</f>
        <v>5</v>
      </c>
      <c r="J79" s="5">
        <f>SUM(J72:J78)</f>
        <v>48</v>
      </c>
      <c r="K79" s="5">
        <f>SUM(K72:K78)</f>
        <v>38</v>
      </c>
      <c r="L79" s="5">
        <f>SUM(L72:L78)</f>
        <v>23</v>
      </c>
      <c r="M79" s="5">
        <f>SUM(M72:M78)</f>
        <v>6</v>
      </c>
      <c r="N79" s="5">
        <f>SUM(N72:N78)</f>
        <v>11</v>
      </c>
      <c r="O79" s="5">
        <f>SUM(O72:O78)</f>
        <v>12</v>
      </c>
      <c r="P79" s="5">
        <f>SUM(P72:P78)</f>
        <v>11</v>
      </c>
      <c r="Q79" s="5">
        <f>SUM(Q72:Q78)</f>
        <v>17</v>
      </c>
      <c r="R79" s="5">
        <f>SUM(R72:R78)</f>
        <v>11</v>
      </c>
      <c r="S79" s="5">
        <f>SUM(S72:S78)</f>
        <v>14</v>
      </c>
      <c r="T79" s="5">
        <f>SUM(T72:T78)</f>
        <v>12</v>
      </c>
      <c r="U79" s="5">
        <f>SUM(U72:U78)</f>
        <v>21</v>
      </c>
      <c r="V79" s="5">
        <f>SUM(V72:V78)</f>
        <v>272</v>
      </c>
    </row>
    <row r="80" spans="1:22" x14ac:dyDescent="0.4">
      <c r="A80" s="77"/>
      <c r="B80" s="76"/>
      <c r="C80" s="76"/>
      <c r="D80" s="76"/>
      <c r="E80" s="76"/>
    </row>
    <row r="81" spans="1:22" x14ac:dyDescent="0.4">
      <c r="A81" s="11" t="s">
        <v>48</v>
      </c>
      <c r="B81" s="17" t="s">
        <v>55</v>
      </c>
      <c r="C81" s="79" t="s">
        <v>56</v>
      </c>
      <c r="D81" s="52"/>
      <c r="E81" s="6"/>
      <c r="F81" s="6"/>
      <c r="G81" s="6">
        <v>1</v>
      </c>
      <c r="H81" s="6">
        <v>3</v>
      </c>
      <c r="I81" s="6">
        <v>1</v>
      </c>
      <c r="J81" s="6"/>
      <c r="K81" s="6"/>
      <c r="L81" s="6"/>
      <c r="M81" s="6">
        <v>1</v>
      </c>
      <c r="N81" s="6"/>
      <c r="O81" s="6"/>
      <c r="P81" s="6">
        <v>1</v>
      </c>
      <c r="Q81" s="6"/>
      <c r="R81" s="6"/>
      <c r="S81" s="6"/>
      <c r="T81" s="6"/>
      <c r="U81" s="6">
        <v>1</v>
      </c>
      <c r="V81" s="5">
        <f t="shared" ref="V81:V87" si="22">SUM(E81:U81)</f>
        <v>8</v>
      </c>
    </row>
    <row r="82" spans="1:22" x14ac:dyDescent="0.4">
      <c r="A82" s="11" t="s">
        <v>50</v>
      </c>
      <c r="B82" s="46"/>
      <c r="C82" s="24" t="s">
        <v>128</v>
      </c>
      <c r="D82" s="47"/>
      <c r="E82" s="6"/>
      <c r="F82" s="6"/>
      <c r="G82" s="6"/>
      <c r="H82" s="6"/>
      <c r="I82" s="6"/>
      <c r="J82" s="6"/>
      <c r="K82" s="6"/>
      <c r="L82" s="6"/>
      <c r="M82" s="6"/>
      <c r="N82" s="6">
        <v>1</v>
      </c>
      <c r="O82" s="6"/>
      <c r="P82" s="6">
        <v>1</v>
      </c>
      <c r="Q82" s="6"/>
      <c r="R82" s="6"/>
      <c r="S82" s="6"/>
      <c r="T82" s="6"/>
      <c r="U82" s="6"/>
      <c r="V82" s="5">
        <f t="shared" si="22"/>
        <v>2</v>
      </c>
    </row>
    <row r="83" spans="1:22" x14ac:dyDescent="0.4">
      <c r="A83" s="7"/>
      <c r="B83" s="46"/>
      <c r="C83" s="24" t="s">
        <v>129</v>
      </c>
      <c r="D83" s="47"/>
      <c r="E83" s="6"/>
      <c r="F83" s="6"/>
      <c r="G83" s="6"/>
      <c r="H83" s="6">
        <v>1</v>
      </c>
      <c r="I83" s="6">
        <v>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5">
        <f t="shared" si="22"/>
        <v>2</v>
      </c>
    </row>
    <row r="84" spans="1:22" ht="13.15" customHeight="1" x14ac:dyDescent="0.4">
      <c r="A84" s="7"/>
      <c r="B84" s="46"/>
      <c r="C84" s="24" t="s">
        <v>130</v>
      </c>
      <c r="D84" s="47"/>
      <c r="E84" s="6"/>
      <c r="F84" s="6"/>
      <c r="G84" s="6"/>
      <c r="H84" s="6">
        <v>1</v>
      </c>
      <c r="I84" s="6"/>
      <c r="J84" s="6"/>
      <c r="K84" s="6">
        <v>1</v>
      </c>
      <c r="L84" s="6"/>
      <c r="M84" s="6"/>
      <c r="N84" s="6">
        <v>1</v>
      </c>
      <c r="O84" s="6"/>
      <c r="P84" s="6"/>
      <c r="Q84" s="6"/>
      <c r="R84" s="6"/>
      <c r="S84" s="6">
        <v>1</v>
      </c>
      <c r="T84" s="6"/>
      <c r="U84" s="6"/>
      <c r="V84" s="5">
        <f t="shared" si="22"/>
        <v>4</v>
      </c>
    </row>
    <row r="85" spans="1:22" x14ac:dyDescent="0.4">
      <c r="A85" s="7"/>
      <c r="B85" s="46"/>
      <c r="C85" s="24" t="s">
        <v>131</v>
      </c>
      <c r="D85" s="4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5">
        <f t="shared" si="22"/>
        <v>0</v>
      </c>
    </row>
    <row r="86" spans="1:22" x14ac:dyDescent="0.4">
      <c r="A86" s="7"/>
      <c r="B86" s="46"/>
      <c r="C86" s="24" t="s">
        <v>132</v>
      </c>
      <c r="D86" s="47"/>
      <c r="E86" s="6">
        <v>1</v>
      </c>
      <c r="F86" s="6"/>
      <c r="G86" s="6"/>
      <c r="H86" s="6">
        <v>1</v>
      </c>
      <c r="I86" s="6"/>
      <c r="J86" s="6"/>
      <c r="K86" s="6">
        <v>2</v>
      </c>
      <c r="L86" s="6"/>
      <c r="M86" s="6"/>
      <c r="N86" s="6">
        <v>3</v>
      </c>
      <c r="O86" s="6">
        <v>1</v>
      </c>
      <c r="P86" s="6">
        <v>1</v>
      </c>
      <c r="Q86" s="6"/>
      <c r="R86" s="6"/>
      <c r="S86" s="6">
        <v>4</v>
      </c>
      <c r="T86" s="6"/>
      <c r="U86" s="6"/>
      <c r="V86" s="5">
        <f t="shared" si="22"/>
        <v>13</v>
      </c>
    </row>
    <row r="87" spans="1:22" x14ac:dyDescent="0.4">
      <c r="A87" s="7"/>
      <c r="B87" s="46"/>
      <c r="C87" s="24" t="s">
        <v>133</v>
      </c>
      <c r="D87" s="4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5">
        <f t="shared" si="22"/>
        <v>0</v>
      </c>
    </row>
    <row r="88" spans="1:22" x14ac:dyDescent="0.4">
      <c r="A88" s="6" t="s">
        <v>26</v>
      </c>
      <c r="B88" s="71" t="s">
        <v>51</v>
      </c>
      <c r="C88" s="51"/>
      <c r="D88" s="52"/>
      <c r="E88" s="5">
        <f>SUM(E81:E87)</f>
        <v>1</v>
      </c>
      <c r="F88" s="5">
        <f>SUM(F81:F87)</f>
        <v>0</v>
      </c>
      <c r="G88" s="5">
        <f>SUM(G81:G87)</f>
        <v>1</v>
      </c>
      <c r="H88" s="5">
        <f>SUM(H81:H87)</f>
        <v>6</v>
      </c>
      <c r="I88" s="5">
        <f>SUM(I81:I87)</f>
        <v>2</v>
      </c>
      <c r="J88" s="5">
        <f>SUM(J81:J87)</f>
        <v>0</v>
      </c>
      <c r="K88" s="5">
        <f>SUM(K81:K87)</f>
        <v>3</v>
      </c>
      <c r="L88" s="5">
        <f>SUM(L81:L87)</f>
        <v>0</v>
      </c>
      <c r="M88" s="5">
        <f>SUM(M81:M87)</f>
        <v>1</v>
      </c>
      <c r="N88" s="5">
        <f>SUM(N81:N87)</f>
        <v>5</v>
      </c>
      <c r="O88" s="5">
        <f>SUM(O81:O87)</f>
        <v>1</v>
      </c>
      <c r="P88" s="5">
        <f>SUM(P81:P87)</f>
        <v>3</v>
      </c>
      <c r="Q88" s="5">
        <f>SUM(Q81:Q87)</f>
        <v>0</v>
      </c>
      <c r="R88" s="5">
        <f>SUM(R81:R87)</f>
        <v>0</v>
      </c>
      <c r="S88" s="5">
        <f>SUM(S81:S87)</f>
        <v>5</v>
      </c>
      <c r="T88" s="5">
        <f>SUM(T81:T87)</f>
        <v>0</v>
      </c>
      <c r="U88" s="5">
        <f>SUM(U81:U87)</f>
        <v>1</v>
      </c>
      <c r="V88" s="5">
        <f>SUM(V81:V87)</f>
        <v>29</v>
      </c>
    </row>
    <row r="89" spans="1:22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x14ac:dyDescent="0.4">
      <c r="A90" s="11" t="s">
        <v>48</v>
      </c>
      <c r="B90" s="17" t="s">
        <v>57</v>
      </c>
      <c r="C90" s="79" t="s">
        <v>58</v>
      </c>
      <c r="D90" s="52"/>
      <c r="E90" s="6"/>
      <c r="F90" s="6">
        <v>1</v>
      </c>
      <c r="G90" s="6"/>
      <c r="H90" s="6"/>
      <c r="I90" s="6"/>
      <c r="J90" s="6"/>
      <c r="K90" s="6"/>
      <c r="L90" s="6"/>
      <c r="M90" s="6"/>
      <c r="N90" s="6">
        <v>1</v>
      </c>
      <c r="O90" s="6"/>
      <c r="P90" s="6"/>
      <c r="Q90" s="6"/>
      <c r="R90" s="6"/>
      <c r="S90" s="6"/>
      <c r="T90" s="6"/>
      <c r="U90" s="6"/>
      <c r="V90" s="5">
        <f t="shared" ref="V90" si="23">SUM(E90:U90)</f>
        <v>2</v>
      </c>
    </row>
    <row r="91" spans="1:22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1</v>
      </c>
      <c r="G91" s="5">
        <f>SUM(G90:G90)</f>
        <v>0</v>
      </c>
      <c r="H91" s="5">
        <f>SUM(H90:H90)</f>
        <v>0</v>
      </c>
      <c r="I91" s="5">
        <f>SUM(I90:I90)</f>
        <v>0</v>
      </c>
      <c r="J91" s="5">
        <f>SUM(J90:J90)</f>
        <v>0</v>
      </c>
      <c r="K91" s="5">
        <f>SUM(K90:K90)</f>
        <v>0</v>
      </c>
      <c r="L91" s="5">
        <f>SUM(L90:L90)</f>
        <v>0</v>
      </c>
      <c r="M91" s="5">
        <f>SUM(M90:M90)</f>
        <v>0</v>
      </c>
      <c r="N91" s="5">
        <f>SUM(N90:N90)</f>
        <v>1</v>
      </c>
      <c r="O91" s="5">
        <f>SUM(O90:O90)</f>
        <v>0</v>
      </c>
      <c r="P91" s="5">
        <f>SUM(P90:P90)</f>
        <v>0</v>
      </c>
      <c r="Q91" s="5">
        <f>SUM(Q90:Q90)</f>
        <v>0</v>
      </c>
      <c r="R91" s="5">
        <f>SUM(R90:R90)</f>
        <v>0</v>
      </c>
      <c r="S91" s="5">
        <f>SUM(S90:S90)</f>
        <v>0</v>
      </c>
      <c r="T91" s="5">
        <f>SUM(T90:T90)</f>
        <v>0</v>
      </c>
      <c r="U91" s="5">
        <f>SUM(U90:U90)</f>
        <v>0</v>
      </c>
      <c r="V91" s="5">
        <f>SUM(V90:V90)</f>
        <v>2</v>
      </c>
    </row>
    <row r="92" spans="1:22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"/>
    </row>
    <row r="93" spans="1:22" x14ac:dyDescent="0.4">
      <c r="A93" s="11" t="s">
        <v>48</v>
      </c>
      <c r="B93" s="17" t="s">
        <v>59</v>
      </c>
      <c r="C93" s="79" t="s">
        <v>60</v>
      </c>
      <c r="D93" s="52"/>
      <c r="E93" s="6"/>
      <c r="F93" s="6">
        <v>1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1</v>
      </c>
      <c r="T93" s="6"/>
      <c r="U93" s="6"/>
      <c r="V93" s="5">
        <f t="shared" ref="V93:V96" si="24">SUM(E93:U93)</f>
        <v>2</v>
      </c>
    </row>
    <row r="94" spans="1:22" x14ac:dyDescent="0.4">
      <c r="A94" s="11" t="s">
        <v>50</v>
      </c>
      <c r="B94" s="46"/>
      <c r="C94" s="24" t="s">
        <v>134</v>
      </c>
      <c r="D94" s="47"/>
      <c r="E94" s="6"/>
      <c r="F94" s="6">
        <v>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5">
        <f t="shared" si="24"/>
        <v>1</v>
      </c>
    </row>
    <row r="95" spans="1:22" x14ac:dyDescent="0.4">
      <c r="A95" s="7"/>
      <c r="B95" s="46"/>
      <c r="C95" s="24" t="s">
        <v>135</v>
      </c>
      <c r="D95" s="47"/>
      <c r="E95" s="6"/>
      <c r="F95" s="6"/>
      <c r="G95" s="6"/>
      <c r="H95" s="6"/>
      <c r="I95" s="6"/>
      <c r="J95" s="6"/>
      <c r="K95" s="6"/>
      <c r="L95" s="6"/>
      <c r="M95" s="6"/>
      <c r="N95" s="6">
        <v>1</v>
      </c>
      <c r="O95" s="6"/>
      <c r="P95" s="6"/>
      <c r="Q95" s="6"/>
      <c r="R95" s="6"/>
      <c r="S95" s="6">
        <v>1</v>
      </c>
      <c r="T95" s="6">
        <v>1</v>
      </c>
      <c r="U95" s="6"/>
      <c r="V95" s="5">
        <f t="shared" si="24"/>
        <v>3</v>
      </c>
    </row>
    <row r="96" spans="1:22" x14ac:dyDescent="0.4">
      <c r="A96" s="7"/>
      <c r="B96" s="46"/>
      <c r="C96" s="24" t="s">
        <v>136</v>
      </c>
      <c r="D96" s="4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5">
        <f t="shared" si="24"/>
        <v>0</v>
      </c>
    </row>
    <row r="97" spans="1:22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2</v>
      </c>
      <c r="G97" s="5">
        <f>SUM(G93:G96)</f>
        <v>0</v>
      </c>
      <c r="H97" s="5">
        <f>SUM(H93:H96)</f>
        <v>0</v>
      </c>
      <c r="I97" s="5">
        <f>SUM(I93:I96)</f>
        <v>0</v>
      </c>
      <c r="J97" s="5">
        <f>SUM(J93:J96)</f>
        <v>0</v>
      </c>
      <c r="K97" s="5">
        <f>SUM(K93:K96)</f>
        <v>0</v>
      </c>
      <c r="L97" s="5">
        <f>SUM(L93:L96)</f>
        <v>0</v>
      </c>
      <c r="M97" s="5">
        <f>SUM(M93:M96)</f>
        <v>0</v>
      </c>
      <c r="N97" s="5">
        <f>SUM(N93:N96)</f>
        <v>1</v>
      </c>
      <c r="O97" s="5">
        <f>SUM(O93:O96)</f>
        <v>0</v>
      </c>
      <c r="P97" s="5">
        <f>SUM(P93:P96)</f>
        <v>0</v>
      </c>
      <c r="Q97" s="5">
        <f>SUM(Q93:Q96)</f>
        <v>0</v>
      </c>
      <c r="R97" s="5">
        <f>SUM(R93:R96)</f>
        <v>0</v>
      </c>
      <c r="S97" s="5">
        <f>SUM(S93:S96)</f>
        <v>2</v>
      </c>
      <c r="T97" s="5">
        <f>SUM(T93:T96)</f>
        <v>1</v>
      </c>
      <c r="U97" s="5">
        <f>SUM(U93:U96)</f>
        <v>0</v>
      </c>
      <c r="V97" s="5">
        <f>SUM(V93:V96)</f>
        <v>6</v>
      </c>
    </row>
    <row r="98" spans="1:22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 x14ac:dyDescent="0.4">
      <c r="A99" s="11" t="s">
        <v>48</v>
      </c>
      <c r="B99" s="17" t="s">
        <v>61</v>
      </c>
      <c r="C99" s="79" t="s">
        <v>62</v>
      </c>
      <c r="D99" s="52"/>
      <c r="E99" s="6"/>
      <c r="F99" s="6"/>
      <c r="G99" s="6"/>
      <c r="H99" s="6"/>
      <c r="I99" s="6">
        <v>1</v>
      </c>
      <c r="J99" s="6">
        <v>2</v>
      </c>
      <c r="K99" s="6"/>
      <c r="L99" s="6"/>
      <c r="M99" s="6"/>
      <c r="N99" s="6">
        <v>1</v>
      </c>
      <c r="O99" s="6">
        <v>1</v>
      </c>
      <c r="P99" s="6"/>
      <c r="Q99" s="6"/>
      <c r="R99" s="6"/>
      <c r="S99" s="6"/>
      <c r="T99" s="6"/>
      <c r="U99" s="6"/>
      <c r="V99" s="5">
        <f t="shared" ref="V99:V105" si="25">SUM(E99:U99)</f>
        <v>5</v>
      </c>
    </row>
    <row r="100" spans="1:22" ht="13.15" customHeight="1" x14ac:dyDescent="0.4">
      <c r="A100" s="11" t="s">
        <v>50</v>
      </c>
      <c r="B100" s="46"/>
      <c r="C100" s="24" t="s">
        <v>137</v>
      </c>
      <c r="D100" s="47"/>
      <c r="E100" s="6">
        <v>2</v>
      </c>
      <c r="F100" s="6">
        <v>3</v>
      </c>
      <c r="G100" s="6">
        <v>1</v>
      </c>
      <c r="H100" s="6">
        <v>1</v>
      </c>
      <c r="I100" s="6">
        <v>1</v>
      </c>
      <c r="J100" s="6">
        <v>1</v>
      </c>
      <c r="K100" s="6"/>
      <c r="L100" s="6">
        <v>1</v>
      </c>
      <c r="M100" s="6">
        <v>1</v>
      </c>
      <c r="N100" s="6"/>
      <c r="O100" s="6">
        <v>1</v>
      </c>
      <c r="P100" s="6">
        <v>8</v>
      </c>
      <c r="Q100" s="6"/>
      <c r="R100" s="6"/>
      <c r="S100" s="6">
        <v>2</v>
      </c>
      <c r="T100" s="6"/>
      <c r="U100" s="6"/>
      <c r="V100" s="5">
        <f t="shared" si="25"/>
        <v>22</v>
      </c>
    </row>
    <row r="101" spans="1:22" x14ac:dyDescent="0.4">
      <c r="A101" s="7"/>
      <c r="B101" s="46"/>
      <c r="C101" s="24" t="s">
        <v>138</v>
      </c>
      <c r="D101" s="47"/>
      <c r="E101" s="6"/>
      <c r="F101" s="6"/>
      <c r="G101" s="6"/>
      <c r="H101" s="6">
        <v>1</v>
      </c>
      <c r="I101" s="6"/>
      <c r="J101" s="6"/>
      <c r="K101" s="6"/>
      <c r="L101" s="6"/>
      <c r="M101" s="6">
        <v>1</v>
      </c>
      <c r="N101" s="6"/>
      <c r="O101" s="6"/>
      <c r="P101" s="6"/>
      <c r="Q101" s="6"/>
      <c r="R101" s="6"/>
      <c r="S101" s="6"/>
      <c r="T101" s="6"/>
      <c r="U101" s="6"/>
      <c r="V101" s="5">
        <f t="shared" si="25"/>
        <v>2</v>
      </c>
    </row>
    <row r="102" spans="1:22" x14ac:dyDescent="0.4">
      <c r="A102" s="7"/>
      <c r="B102" s="46"/>
      <c r="C102" s="24" t="s">
        <v>139</v>
      </c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>
        <v>1</v>
      </c>
      <c r="Q102" s="6"/>
      <c r="R102" s="6"/>
      <c r="S102" s="6"/>
      <c r="T102" s="6"/>
      <c r="U102" s="6"/>
      <c r="V102" s="5">
        <f t="shared" si="25"/>
        <v>1</v>
      </c>
    </row>
    <row r="103" spans="1:22" x14ac:dyDescent="0.4">
      <c r="A103" s="7"/>
      <c r="B103" s="46"/>
      <c r="C103" s="24" t="s">
        <v>140</v>
      </c>
      <c r="D103" s="47"/>
      <c r="E103" s="6"/>
      <c r="F103" s="6"/>
      <c r="G103" s="6"/>
      <c r="H103" s="6"/>
      <c r="I103" s="6"/>
      <c r="J103" s="6"/>
      <c r="K103" s="6"/>
      <c r="L103" s="6"/>
      <c r="M103" s="6">
        <v>1</v>
      </c>
      <c r="N103" s="6"/>
      <c r="O103" s="6"/>
      <c r="P103" s="6"/>
      <c r="Q103" s="6"/>
      <c r="R103" s="6"/>
      <c r="S103" s="6"/>
      <c r="T103" s="6"/>
      <c r="U103" s="6"/>
      <c r="V103" s="5">
        <f t="shared" si="25"/>
        <v>1</v>
      </c>
    </row>
    <row r="104" spans="1:22" x14ac:dyDescent="0.4">
      <c r="A104" s="7"/>
      <c r="B104" s="46"/>
      <c r="C104" s="24" t="s">
        <v>141</v>
      </c>
      <c r="D104" s="4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5">
        <f t="shared" si="25"/>
        <v>0</v>
      </c>
    </row>
    <row r="105" spans="1:22" x14ac:dyDescent="0.4">
      <c r="A105" s="7"/>
      <c r="B105" s="46"/>
      <c r="C105" s="24" t="s">
        <v>142</v>
      </c>
      <c r="D105" s="47"/>
      <c r="E105" s="6"/>
      <c r="F105" s="6"/>
      <c r="G105" s="6"/>
      <c r="H105" s="6"/>
      <c r="I105" s="6"/>
      <c r="J105" s="6"/>
      <c r="K105" s="6"/>
      <c r="L105" s="6"/>
      <c r="M105" s="6">
        <v>1</v>
      </c>
      <c r="N105" s="6">
        <v>8</v>
      </c>
      <c r="O105" s="6"/>
      <c r="P105" s="6"/>
      <c r="Q105" s="6">
        <v>2</v>
      </c>
      <c r="R105" s="6"/>
      <c r="S105" s="6"/>
      <c r="T105" s="6"/>
      <c r="U105" s="6"/>
      <c r="V105" s="5">
        <f t="shared" si="25"/>
        <v>11</v>
      </c>
    </row>
    <row r="106" spans="1:22" x14ac:dyDescent="0.4">
      <c r="A106" s="6" t="s">
        <v>26</v>
      </c>
      <c r="B106" s="71" t="s">
        <v>51</v>
      </c>
      <c r="C106" s="80"/>
      <c r="D106" s="81"/>
      <c r="E106" s="5">
        <f>SUM(E99:E105)</f>
        <v>2</v>
      </c>
      <c r="F106" s="5">
        <f>SUM(F99:F105)</f>
        <v>3</v>
      </c>
      <c r="G106" s="5">
        <f>SUM(G99:G105)</f>
        <v>1</v>
      </c>
      <c r="H106" s="5">
        <f>SUM(H99:H105)</f>
        <v>2</v>
      </c>
      <c r="I106" s="5">
        <f>SUM(I99:I105)</f>
        <v>2</v>
      </c>
      <c r="J106" s="5">
        <f>SUM(J99:J105)</f>
        <v>3</v>
      </c>
      <c r="K106" s="5">
        <f>SUM(K99:K105)</f>
        <v>0</v>
      </c>
      <c r="L106" s="5">
        <f>SUM(L99:L105)</f>
        <v>1</v>
      </c>
      <c r="M106" s="5">
        <f>SUM(M99:M105)</f>
        <v>4</v>
      </c>
      <c r="N106" s="5">
        <f>SUM(N99:N105)</f>
        <v>9</v>
      </c>
      <c r="O106" s="5">
        <f>SUM(O99:O105)</f>
        <v>2</v>
      </c>
      <c r="P106" s="5">
        <f>SUM(P99:P105)</f>
        <v>9</v>
      </c>
      <c r="Q106" s="5">
        <f>SUM(Q99:Q105)</f>
        <v>2</v>
      </c>
      <c r="R106" s="5">
        <f>SUM(R99:R105)</f>
        <v>0</v>
      </c>
      <c r="S106" s="5">
        <f>SUM(S99:S105)</f>
        <v>2</v>
      </c>
      <c r="T106" s="5">
        <f>SUM(T99:T105)</f>
        <v>0</v>
      </c>
      <c r="U106" s="5">
        <f>SUM(U99:U105)</f>
        <v>0</v>
      </c>
      <c r="V106" s="5">
        <f>SUM(V99:V105)</f>
        <v>42</v>
      </c>
    </row>
    <row r="107" spans="1:22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5">
        <f t="shared" ref="V108:V109" si="26">SUM(E108:U108)</f>
        <v>0</v>
      </c>
    </row>
    <row r="109" spans="1:22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5">
        <f t="shared" si="26"/>
        <v>0</v>
      </c>
    </row>
    <row r="110" spans="1:22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  <c r="R110" s="5">
        <f>SUM(R108:R109)</f>
        <v>0</v>
      </c>
      <c r="S110" s="5">
        <f>SUM(S108:S109)</f>
        <v>0</v>
      </c>
      <c r="T110" s="5">
        <f>SUM(T108:T109)</f>
        <v>0</v>
      </c>
      <c r="U110" s="5">
        <f>SUM(U108:U109)</f>
        <v>0</v>
      </c>
      <c r="V110" s="5">
        <f>SUM(V108:V109)</f>
        <v>0</v>
      </c>
    </row>
    <row r="111" spans="1:22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5"/>
    </row>
    <row r="112" spans="1:22" x14ac:dyDescent="0.4">
      <c r="A112" s="11" t="s">
        <v>48</v>
      </c>
      <c r="B112" s="44" t="s">
        <v>65</v>
      </c>
      <c r="C112" s="84" t="s">
        <v>66</v>
      </c>
      <c r="D112" s="6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5">
        <f t="shared" ref="V112:V118" si="27">SUM(E112:U112)</f>
        <v>0</v>
      </c>
    </row>
    <row r="113" spans="1:22" x14ac:dyDescent="0.4">
      <c r="A113" s="48" t="s">
        <v>50</v>
      </c>
      <c r="B113" s="46"/>
      <c r="C113" s="24" t="s">
        <v>144</v>
      </c>
      <c r="D113" s="47"/>
      <c r="E113" s="49"/>
      <c r="F113" s="6"/>
      <c r="G113" s="6"/>
      <c r="H113" s="6"/>
      <c r="I113" s="6"/>
      <c r="J113" s="6"/>
      <c r="K113" s="6">
        <v>1</v>
      </c>
      <c r="L113" s="6">
        <v>2</v>
      </c>
      <c r="M113" s="6"/>
      <c r="N113" s="6"/>
      <c r="O113" s="6"/>
      <c r="P113" s="6"/>
      <c r="Q113" s="6"/>
      <c r="R113" s="6"/>
      <c r="S113" s="6"/>
      <c r="T113" s="6">
        <v>1</v>
      </c>
      <c r="U113" s="6"/>
      <c r="V113" s="5">
        <f t="shared" si="27"/>
        <v>4</v>
      </c>
    </row>
    <row r="114" spans="1:22" x14ac:dyDescent="0.4">
      <c r="A114" s="7"/>
      <c r="B114" s="46"/>
      <c r="C114" s="24" t="s">
        <v>145</v>
      </c>
      <c r="D114" s="47"/>
      <c r="E114" s="4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>
        <v>2</v>
      </c>
      <c r="Q114" s="6"/>
      <c r="R114" s="6"/>
      <c r="S114" s="6">
        <v>1</v>
      </c>
      <c r="T114" s="6"/>
      <c r="U114" s="6"/>
      <c r="V114" s="5">
        <f t="shared" si="27"/>
        <v>3</v>
      </c>
    </row>
    <row r="115" spans="1:22" x14ac:dyDescent="0.4">
      <c r="A115" s="7"/>
      <c r="B115" s="46"/>
      <c r="C115" s="24" t="s">
        <v>146</v>
      </c>
      <c r="D115" s="47"/>
      <c r="E115" s="4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>
        <v>2</v>
      </c>
      <c r="S115" s="6"/>
      <c r="T115" s="6"/>
      <c r="U115" s="6"/>
      <c r="V115" s="5">
        <f t="shared" si="27"/>
        <v>2</v>
      </c>
    </row>
    <row r="116" spans="1:22" x14ac:dyDescent="0.4">
      <c r="A116" s="7"/>
      <c r="B116" s="46"/>
      <c r="C116" s="24" t="s">
        <v>147</v>
      </c>
      <c r="D116" s="47"/>
      <c r="E116" s="49"/>
      <c r="F116" s="6">
        <v>1</v>
      </c>
      <c r="G116" s="6"/>
      <c r="H116" s="6"/>
      <c r="I116" s="6"/>
      <c r="J116" s="6">
        <v>2</v>
      </c>
      <c r="K116" s="6"/>
      <c r="L116" s="6">
        <v>2</v>
      </c>
      <c r="M116" s="6"/>
      <c r="N116" s="6"/>
      <c r="O116" s="6"/>
      <c r="P116" s="6">
        <v>1</v>
      </c>
      <c r="Q116" s="6"/>
      <c r="R116" s="6"/>
      <c r="S116" s="6">
        <v>1</v>
      </c>
      <c r="T116" s="6"/>
      <c r="U116" s="6"/>
      <c r="V116" s="5">
        <f t="shared" si="27"/>
        <v>7</v>
      </c>
    </row>
    <row r="117" spans="1:22" x14ac:dyDescent="0.4">
      <c r="A117" s="7"/>
      <c r="B117" s="46"/>
      <c r="C117" s="24" t="s">
        <v>148</v>
      </c>
      <c r="D117" s="47"/>
      <c r="E117" s="4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>
        <v>2</v>
      </c>
      <c r="R117" s="6"/>
      <c r="S117" s="6"/>
      <c r="T117" s="6"/>
      <c r="U117" s="6"/>
      <c r="V117" s="5">
        <f t="shared" si="27"/>
        <v>2</v>
      </c>
    </row>
    <row r="118" spans="1:22" x14ac:dyDescent="0.4">
      <c r="A118" s="7"/>
      <c r="B118" s="46"/>
      <c r="C118" s="24" t="s">
        <v>149</v>
      </c>
      <c r="D118" s="47"/>
      <c r="E118" s="4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>
        <v>2</v>
      </c>
      <c r="S118" s="6"/>
      <c r="T118" s="6"/>
      <c r="U118" s="6"/>
      <c r="V118" s="5">
        <f t="shared" si="27"/>
        <v>2</v>
      </c>
    </row>
    <row r="119" spans="1:22" x14ac:dyDescent="0.4">
      <c r="A119" s="6" t="s">
        <v>26</v>
      </c>
      <c r="B119" s="85" t="s">
        <v>51</v>
      </c>
      <c r="C119" s="86"/>
      <c r="D119" s="87"/>
      <c r="E119" s="5">
        <f>SUM(E112:E118)</f>
        <v>0</v>
      </c>
      <c r="F119" s="5">
        <f>SUM(F112:F118)</f>
        <v>1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2</v>
      </c>
      <c r="K119" s="5">
        <f>SUM(K112:K118)</f>
        <v>1</v>
      </c>
      <c r="L119" s="5">
        <f>SUM(L112:L118)</f>
        <v>4</v>
      </c>
      <c r="M119" s="5">
        <f>SUM(M112:M118)</f>
        <v>0</v>
      </c>
      <c r="N119" s="5">
        <f>SUM(N112:N118)</f>
        <v>0</v>
      </c>
      <c r="O119" s="5">
        <f>SUM(O112:O118)</f>
        <v>0</v>
      </c>
      <c r="P119" s="5">
        <f>SUM(P112:P118)</f>
        <v>3</v>
      </c>
      <c r="Q119" s="5">
        <f>SUM(Q112:Q118)</f>
        <v>2</v>
      </c>
      <c r="R119" s="5">
        <f>SUM(R112:R118)</f>
        <v>4</v>
      </c>
      <c r="S119" s="5">
        <f>SUM(S112:S118)</f>
        <v>2</v>
      </c>
      <c r="T119" s="5">
        <f>SUM(T112:T118)</f>
        <v>1</v>
      </c>
      <c r="U119" s="5">
        <f>SUM(U112:U118)</f>
        <v>0</v>
      </c>
      <c r="V119" s="5">
        <f>SUM(V112:V118)</f>
        <v>20</v>
      </c>
    </row>
    <row r="120" spans="1:22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>
        <v>1</v>
      </c>
      <c r="S121" s="6">
        <v>1</v>
      </c>
      <c r="T121" s="6"/>
      <c r="U121" s="6"/>
      <c r="V121" s="5">
        <f t="shared" ref="V121" si="28">SUM(E121:U121)</f>
        <v>2</v>
      </c>
    </row>
    <row r="122" spans="1:22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0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0</v>
      </c>
      <c r="R122" s="5">
        <f>SUM(R121:R121)</f>
        <v>1</v>
      </c>
      <c r="S122" s="5">
        <f>SUM(S121:S121)</f>
        <v>1</v>
      </c>
      <c r="T122" s="5">
        <f>SUM(T121:T121)</f>
        <v>0</v>
      </c>
      <c r="U122" s="5">
        <f>SUM(U121:U121)</f>
        <v>0</v>
      </c>
      <c r="V122" s="5">
        <f>SUM(V121:V121)</f>
        <v>2</v>
      </c>
    </row>
    <row r="123" spans="1:22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 x14ac:dyDescent="0.4">
      <c r="A124" s="11" t="s">
        <v>48</v>
      </c>
      <c r="B124" s="17" t="s">
        <v>69</v>
      </c>
      <c r="C124" s="79" t="s">
        <v>70</v>
      </c>
      <c r="D124" s="52"/>
      <c r="E124" s="6"/>
      <c r="F124" s="6">
        <v>1</v>
      </c>
      <c r="G124" s="6"/>
      <c r="H124" s="6"/>
      <c r="I124" s="6"/>
      <c r="J124" s="6"/>
      <c r="K124" s="6"/>
      <c r="L124" s="6"/>
      <c r="M124" s="6"/>
      <c r="N124" s="6"/>
      <c r="O124" s="6"/>
      <c r="P124" s="6">
        <v>1</v>
      </c>
      <c r="Q124" s="6"/>
      <c r="R124" s="6">
        <v>1</v>
      </c>
      <c r="S124" s="6"/>
      <c r="T124" s="6"/>
      <c r="U124" s="6"/>
      <c r="V124" s="5">
        <f t="shared" ref="V124:V128" si="29">SUM(E124:U124)</f>
        <v>3</v>
      </c>
    </row>
    <row r="125" spans="1:22" x14ac:dyDescent="0.4">
      <c r="A125" s="11" t="s">
        <v>50</v>
      </c>
      <c r="B125" s="46"/>
      <c r="C125" s="24" t="s">
        <v>150</v>
      </c>
      <c r="D125" s="4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5">
        <f t="shared" si="29"/>
        <v>0</v>
      </c>
    </row>
    <row r="126" spans="1:22" x14ac:dyDescent="0.4">
      <c r="A126" s="7"/>
      <c r="B126" s="46"/>
      <c r="C126" s="24" t="s">
        <v>151</v>
      </c>
      <c r="D126" s="47"/>
      <c r="E126" s="6"/>
      <c r="F126" s="6"/>
      <c r="G126" s="6"/>
      <c r="H126" s="6"/>
      <c r="I126" s="6"/>
      <c r="J126" s="6"/>
      <c r="K126" s="6">
        <v>1</v>
      </c>
      <c r="L126" s="6"/>
      <c r="M126" s="6"/>
      <c r="N126" s="6"/>
      <c r="O126" s="6"/>
      <c r="P126" s="6"/>
      <c r="Q126" s="6"/>
      <c r="R126" s="6"/>
      <c r="S126" s="6"/>
      <c r="T126" s="6">
        <v>1</v>
      </c>
      <c r="U126" s="6"/>
      <c r="V126" s="5">
        <f t="shared" si="29"/>
        <v>2</v>
      </c>
    </row>
    <row r="127" spans="1:22" x14ac:dyDescent="0.4">
      <c r="A127" s="7"/>
      <c r="B127" s="46"/>
      <c r="C127" s="24" t="s">
        <v>152</v>
      </c>
      <c r="D127" s="47"/>
      <c r="E127" s="6">
        <v>1</v>
      </c>
      <c r="F127" s="6"/>
      <c r="G127" s="6"/>
      <c r="H127" s="6"/>
      <c r="I127" s="6"/>
      <c r="J127" s="6"/>
      <c r="K127" s="6">
        <v>1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5">
        <f t="shared" si="29"/>
        <v>2</v>
      </c>
    </row>
    <row r="128" spans="1:22" x14ac:dyDescent="0.4">
      <c r="A128" s="7"/>
      <c r="B128" s="46"/>
      <c r="C128" s="24" t="s">
        <v>153</v>
      </c>
      <c r="D128" s="4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5">
        <f t="shared" si="29"/>
        <v>0</v>
      </c>
    </row>
    <row r="129" spans="1:22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1</v>
      </c>
      <c r="F129" s="5">
        <f>SUM(F124:F128)</f>
        <v>1</v>
      </c>
      <c r="G129" s="5">
        <f>SUM(G124:G128)</f>
        <v>0</v>
      </c>
      <c r="H129" s="5">
        <f>SUM(H124:H128)</f>
        <v>0</v>
      </c>
      <c r="I129" s="5">
        <f>SUM(I124:I128)</f>
        <v>0</v>
      </c>
      <c r="J129" s="5">
        <f>SUM(J124:J128)</f>
        <v>0</v>
      </c>
      <c r="K129" s="5">
        <f>SUM(K124:K128)</f>
        <v>2</v>
      </c>
      <c r="L129" s="5">
        <f>SUM(L124:L128)</f>
        <v>0</v>
      </c>
      <c r="M129" s="5">
        <f>SUM(M124:M128)</f>
        <v>0</v>
      </c>
      <c r="N129" s="5">
        <f>SUM(N124:N128)</f>
        <v>0</v>
      </c>
      <c r="O129" s="5">
        <f>SUM(O124:O128)</f>
        <v>0</v>
      </c>
      <c r="P129" s="5">
        <f>SUM(P124:P128)</f>
        <v>1</v>
      </c>
      <c r="Q129" s="5">
        <f>SUM(Q124:Q128)</f>
        <v>0</v>
      </c>
      <c r="R129" s="5">
        <f>SUM(R124:R128)</f>
        <v>1</v>
      </c>
      <c r="S129" s="5">
        <f>SUM(S124:S128)</f>
        <v>0</v>
      </c>
      <c r="T129" s="5">
        <f>SUM(T124:T128)</f>
        <v>1</v>
      </c>
      <c r="U129" s="5">
        <f>SUM(U124:U128)</f>
        <v>0</v>
      </c>
      <c r="V129" s="5">
        <f>SUM(V124:V128)</f>
        <v>7</v>
      </c>
    </row>
    <row r="130" spans="1:22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5"/>
    </row>
    <row r="131" spans="1:22" x14ac:dyDescent="0.4">
      <c r="A131" s="11" t="s">
        <v>48</v>
      </c>
      <c r="B131" s="17" t="s">
        <v>71</v>
      </c>
      <c r="C131" s="79" t="s">
        <v>72</v>
      </c>
      <c r="D131" s="5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5">
        <f t="shared" ref="V131:V137" si="30">SUM(E131:U131)</f>
        <v>0</v>
      </c>
    </row>
    <row r="132" spans="1:22" x14ac:dyDescent="0.4">
      <c r="A132" s="11" t="s">
        <v>50</v>
      </c>
      <c r="B132" s="46"/>
      <c r="C132" s="24" t="s">
        <v>154</v>
      </c>
      <c r="D132" s="4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5">
        <f t="shared" si="30"/>
        <v>0</v>
      </c>
    </row>
    <row r="133" spans="1:22" x14ac:dyDescent="0.4">
      <c r="A133" s="7"/>
      <c r="B133" s="46"/>
      <c r="C133" s="24" t="s">
        <v>155</v>
      </c>
      <c r="D133" s="4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5">
        <f t="shared" si="30"/>
        <v>0</v>
      </c>
    </row>
    <row r="134" spans="1:22" x14ac:dyDescent="0.4">
      <c r="A134" s="7"/>
      <c r="B134" s="46"/>
      <c r="C134" s="24" t="s">
        <v>156</v>
      </c>
      <c r="D134" s="4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5">
        <f t="shared" si="30"/>
        <v>0</v>
      </c>
    </row>
    <row r="135" spans="1:22" x14ac:dyDescent="0.4">
      <c r="A135" s="7"/>
      <c r="B135" s="46"/>
      <c r="C135" s="24" t="s">
        <v>157</v>
      </c>
      <c r="D135" s="4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5">
        <f t="shared" si="30"/>
        <v>0</v>
      </c>
    </row>
    <row r="136" spans="1:22" x14ac:dyDescent="0.4">
      <c r="A136" s="7"/>
      <c r="B136" s="46"/>
      <c r="C136" s="24" t="s">
        <v>158</v>
      </c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5">
        <f t="shared" si="30"/>
        <v>0</v>
      </c>
    </row>
    <row r="137" spans="1:22" x14ac:dyDescent="0.4">
      <c r="A137" s="7"/>
      <c r="B137" s="46"/>
      <c r="C137" s="24" t="s">
        <v>159</v>
      </c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5">
        <f t="shared" si="30"/>
        <v>0</v>
      </c>
    </row>
    <row r="138" spans="1:22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0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0</v>
      </c>
      <c r="O138" s="5">
        <f>SUM(O131:O137)</f>
        <v>0</v>
      </c>
      <c r="P138" s="5">
        <f>SUM(P131:P137)</f>
        <v>0</v>
      </c>
      <c r="Q138" s="5">
        <f>SUM(Q131:Q137)</f>
        <v>0</v>
      </c>
      <c r="R138" s="5">
        <f>SUM(R131:R137)</f>
        <v>0</v>
      </c>
      <c r="S138" s="5">
        <f>SUM(S131:S137)</f>
        <v>0</v>
      </c>
      <c r="T138" s="5">
        <f>SUM(T131:T137)</f>
        <v>0</v>
      </c>
      <c r="U138" s="5">
        <f>SUM(U131:U137)</f>
        <v>0</v>
      </c>
      <c r="V138" s="5">
        <f>SUM(V131:V137)</f>
        <v>0</v>
      </c>
    </row>
    <row r="139" spans="1:22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 x14ac:dyDescent="0.4">
      <c r="A140" s="11" t="s">
        <v>48</v>
      </c>
      <c r="B140" s="17" t="s">
        <v>73</v>
      </c>
      <c r="C140" s="79" t="s">
        <v>74</v>
      </c>
      <c r="D140" s="52"/>
      <c r="E140" s="6">
        <v>1</v>
      </c>
      <c r="F140" s="6">
        <v>1</v>
      </c>
      <c r="G140" s="6">
        <v>3</v>
      </c>
      <c r="H140" s="6">
        <v>3</v>
      </c>
      <c r="I140" s="6">
        <v>1</v>
      </c>
      <c r="J140" s="6">
        <v>1</v>
      </c>
      <c r="K140" s="6">
        <v>1</v>
      </c>
      <c r="L140" s="6">
        <v>3</v>
      </c>
      <c r="M140" s="6">
        <v>1</v>
      </c>
      <c r="N140" s="6">
        <v>6</v>
      </c>
      <c r="O140" s="6">
        <v>4</v>
      </c>
      <c r="P140" s="6">
        <v>5</v>
      </c>
      <c r="Q140" s="6"/>
      <c r="R140" s="6">
        <v>1</v>
      </c>
      <c r="S140" s="6">
        <v>1</v>
      </c>
      <c r="T140" s="6">
        <v>2</v>
      </c>
      <c r="U140" s="6"/>
      <c r="V140" s="5">
        <f t="shared" ref="V140:V146" si="31">SUM(E140:U140)</f>
        <v>34</v>
      </c>
    </row>
    <row r="141" spans="1:22" x14ac:dyDescent="0.4">
      <c r="A141" s="11" t="s">
        <v>50</v>
      </c>
      <c r="B141" s="46"/>
      <c r="C141" s="24" t="s">
        <v>160</v>
      </c>
      <c r="D141" s="47"/>
      <c r="E141" s="6">
        <v>3</v>
      </c>
      <c r="F141" s="6">
        <v>20</v>
      </c>
      <c r="G141" s="6">
        <v>6</v>
      </c>
      <c r="H141" s="6">
        <v>9</v>
      </c>
      <c r="I141" s="6">
        <v>17</v>
      </c>
      <c r="J141" s="6">
        <v>8</v>
      </c>
      <c r="K141" s="6">
        <v>5</v>
      </c>
      <c r="L141" s="6">
        <v>12</v>
      </c>
      <c r="M141" s="6">
        <v>18</v>
      </c>
      <c r="N141" s="6">
        <v>5</v>
      </c>
      <c r="O141" s="6">
        <v>26</v>
      </c>
      <c r="P141" s="6">
        <v>12</v>
      </c>
      <c r="Q141" s="6">
        <v>4</v>
      </c>
      <c r="R141" s="6">
        <v>2</v>
      </c>
      <c r="S141" s="6"/>
      <c r="T141" s="6">
        <v>1</v>
      </c>
      <c r="U141" s="6"/>
      <c r="V141" s="5">
        <f t="shared" si="31"/>
        <v>148</v>
      </c>
    </row>
    <row r="142" spans="1:22" x14ac:dyDescent="0.4">
      <c r="A142" s="7"/>
      <c r="B142" s="46"/>
      <c r="C142" s="24" t="s">
        <v>161</v>
      </c>
      <c r="D142" s="47"/>
      <c r="E142" s="6"/>
      <c r="F142" s="6">
        <v>1</v>
      </c>
      <c r="G142" s="6"/>
      <c r="H142" s="6">
        <v>1</v>
      </c>
      <c r="I142" s="6"/>
      <c r="J142" s="6"/>
      <c r="K142" s="6">
        <v>1</v>
      </c>
      <c r="L142" s="6"/>
      <c r="M142" s="6">
        <v>1</v>
      </c>
      <c r="N142" s="6">
        <v>1</v>
      </c>
      <c r="O142" s="6">
        <v>2</v>
      </c>
      <c r="P142" s="6">
        <v>3</v>
      </c>
      <c r="Q142" s="6">
        <v>1</v>
      </c>
      <c r="R142" s="6"/>
      <c r="S142" s="6"/>
      <c r="T142" s="6">
        <v>1</v>
      </c>
      <c r="U142" s="6"/>
      <c r="V142" s="5">
        <f t="shared" si="31"/>
        <v>12</v>
      </c>
    </row>
    <row r="143" spans="1:22" x14ac:dyDescent="0.4">
      <c r="A143" s="7"/>
      <c r="B143" s="46"/>
      <c r="C143" s="24" t="s">
        <v>162</v>
      </c>
      <c r="D143" s="4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>
        <v>1</v>
      </c>
      <c r="Q143" s="6"/>
      <c r="R143" s="6"/>
      <c r="S143" s="6"/>
      <c r="T143" s="6"/>
      <c r="U143" s="6"/>
      <c r="V143" s="5">
        <f t="shared" si="31"/>
        <v>1</v>
      </c>
    </row>
    <row r="144" spans="1:22" x14ac:dyDescent="0.4">
      <c r="A144" s="7"/>
      <c r="B144" s="46"/>
      <c r="C144" s="24" t="s">
        <v>163</v>
      </c>
      <c r="D144" s="4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>
        <v>1</v>
      </c>
      <c r="T144" s="6"/>
      <c r="U144" s="6"/>
      <c r="V144" s="5">
        <f t="shared" si="31"/>
        <v>1</v>
      </c>
    </row>
    <row r="145" spans="1:22" x14ac:dyDescent="0.4">
      <c r="A145" s="7"/>
      <c r="B145" s="46"/>
      <c r="C145" s="24" t="s">
        <v>164</v>
      </c>
      <c r="D145" s="4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5">
        <f t="shared" si="31"/>
        <v>0</v>
      </c>
    </row>
    <row r="146" spans="1:22" ht="13.15" customHeight="1" x14ac:dyDescent="0.4">
      <c r="A146" s="7"/>
      <c r="B146" s="46"/>
      <c r="C146" s="24" t="s">
        <v>165</v>
      </c>
      <c r="D146" s="47"/>
      <c r="E146" s="6"/>
      <c r="F146" s="6"/>
      <c r="G146" s="6"/>
      <c r="H146" s="6"/>
      <c r="I146" s="6"/>
      <c r="J146" s="6">
        <v>4</v>
      </c>
      <c r="K146" s="6">
        <v>1</v>
      </c>
      <c r="L146" s="6"/>
      <c r="M146" s="6"/>
      <c r="N146" s="6">
        <v>1</v>
      </c>
      <c r="O146" s="6"/>
      <c r="P146" s="6"/>
      <c r="Q146" s="6">
        <v>1</v>
      </c>
      <c r="R146" s="6"/>
      <c r="S146" s="6"/>
      <c r="T146" s="6"/>
      <c r="U146" s="6"/>
      <c r="V146" s="5">
        <f t="shared" si="31"/>
        <v>7</v>
      </c>
    </row>
    <row r="147" spans="1:22" x14ac:dyDescent="0.4">
      <c r="A147" s="6" t="s">
        <v>26</v>
      </c>
      <c r="B147" s="71" t="s">
        <v>51</v>
      </c>
      <c r="C147" s="80"/>
      <c r="D147" s="81"/>
      <c r="E147" s="5">
        <f>SUM(E140:E146)</f>
        <v>4</v>
      </c>
      <c r="F147" s="5">
        <f>SUM(F140:F146)</f>
        <v>22</v>
      </c>
      <c r="G147" s="5">
        <f>SUM(G140:G146)</f>
        <v>9</v>
      </c>
      <c r="H147" s="5">
        <f>SUM(H140:H146)</f>
        <v>13</v>
      </c>
      <c r="I147" s="5">
        <f>SUM(I140:I146)</f>
        <v>18</v>
      </c>
      <c r="J147" s="5">
        <f>SUM(J140:J146)</f>
        <v>13</v>
      </c>
      <c r="K147" s="5">
        <f>SUM(K140:K146)</f>
        <v>8</v>
      </c>
      <c r="L147" s="5">
        <f>SUM(L140:L146)</f>
        <v>15</v>
      </c>
      <c r="M147" s="5">
        <f>SUM(M140:M146)</f>
        <v>20</v>
      </c>
      <c r="N147" s="5">
        <f>SUM(N140:N146)</f>
        <v>13</v>
      </c>
      <c r="O147" s="5">
        <f>SUM(O140:O146)</f>
        <v>32</v>
      </c>
      <c r="P147" s="5">
        <f>SUM(P140:P146)</f>
        <v>21</v>
      </c>
      <c r="Q147" s="5">
        <f>SUM(Q140:Q146)</f>
        <v>6</v>
      </c>
      <c r="R147" s="5">
        <f>SUM(R140:R146)</f>
        <v>3</v>
      </c>
      <c r="S147" s="5">
        <f>SUM(S140:S146)</f>
        <v>2</v>
      </c>
      <c r="T147" s="5">
        <f>SUM(T140:T146)</f>
        <v>4</v>
      </c>
      <c r="U147" s="5">
        <f>SUM(U140:U146)</f>
        <v>0</v>
      </c>
      <c r="V147" s="5">
        <f>SUM(V140:V146)</f>
        <v>203</v>
      </c>
    </row>
    <row r="148" spans="1:22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 x14ac:dyDescent="0.4">
      <c r="A149" s="11" t="s">
        <v>48</v>
      </c>
      <c r="B149" s="17" t="s">
        <v>75</v>
      </c>
      <c r="C149" s="79" t="s">
        <v>76</v>
      </c>
      <c r="D149" s="52"/>
      <c r="E149" s="6">
        <v>1</v>
      </c>
      <c r="F149" s="6"/>
      <c r="G149" s="6"/>
      <c r="H149" s="6"/>
      <c r="I149" s="6"/>
      <c r="J149" s="6"/>
      <c r="K149" s="6"/>
      <c r="L149" s="6">
        <v>2</v>
      </c>
      <c r="M149" s="6"/>
      <c r="N149" s="6">
        <v>1</v>
      </c>
      <c r="O149" s="6"/>
      <c r="P149" s="6">
        <v>2</v>
      </c>
      <c r="Q149" s="6"/>
      <c r="R149" s="6">
        <v>2</v>
      </c>
      <c r="S149" s="6"/>
      <c r="T149" s="6"/>
      <c r="U149" s="6">
        <v>2</v>
      </c>
      <c r="V149" s="5">
        <f t="shared" ref="V149:V150" si="32">SUM(E149:U149)</f>
        <v>10</v>
      </c>
    </row>
    <row r="150" spans="1:22" x14ac:dyDescent="0.4">
      <c r="A150" s="11" t="s">
        <v>50</v>
      </c>
      <c r="B150" s="46"/>
      <c r="C150" s="24" t="s">
        <v>166</v>
      </c>
      <c r="D150" s="47"/>
      <c r="E150" s="6">
        <v>1</v>
      </c>
      <c r="F150" s="6"/>
      <c r="G150" s="6"/>
      <c r="H150" s="6"/>
      <c r="I150" s="6"/>
      <c r="J150" s="6"/>
      <c r="K150" s="6"/>
      <c r="L150" s="6">
        <v>2</v>
      </c>
      <c r="M150" s="6"/>
      <c r="N150" s="6"/>
      <c r="O150" s="6">
        <v>1</v>
      </c>
      <c r="P150" s="6"/>
      <c r="Q150" s="6"/>
      <c r="R150" s="6">
        <v>4</v>
      </c>
      <c r="S150" s="6"/>
      <c r="T150" s="6">
        <v>3</v>
      </c>
      <c r="U150" s="6"/>
      <c r="V150" s="5">
        <f t="shared" si="32"/>
        <v>11</v>
      </c>
    </row>
    <row r="151" spans="1:22" x14ac:dyDescent="0.4">
      <c r="A151" s="6" t="s">
        <v>26</v>
      </c>
      <c r="B151" s="71" t="s">
        <v>51</v>
      </c>
      <c r="C151" s="80"/>
      <c r="D151" s="81"/>
      <c r="E151" s="5">
        <f>SUM(E149:E150)</f>
        <v>2</v>
      </c>
      <c r="F151" s="5">
        <f>SUM(F149:F150)</f>
        <v>0</v>
      </c>
      <c r="G151" s="5">
        <f>SUM(G149:G150)</f>
        <v>0</v>
      </c>
      <c r="H151" s="5">
        <f>SUM(H149:H150)</f>
        <v>0</v>
      </c>
      <c r="I151" s="5">
        <f>SUM(I149:I150)</f>
        <v>0</v>
      </c>
      <c r="J151" s="5">
        <f>SUM(J149:J150)</f>
        <v>0</v>
      </c>
      <c r="K151" s="5">
        <f>SUM(K149:K150)</f>
        <v>0</v>
      </c>
      <c r="L151" s="5">
        <f>SUM(L149:L150)</f>
        <v>4</v>
      </c>
      <c r="M151" s="5">
        <f>SUM(M149:M150)</f>
        <v>0</v>
      </c>
      <c r="N151" s="5">
        <f>SUM(N149:N150)</f>
        <v>1</v>
      </c>
      <c r="O151" s="5">
        <f>SUM(O149:O150)</f>
        <v>1</v>
      </c>
      <c r="P151" s="5">
        <f>SUM(P149:P150)</f>
        <v>2</v>
      </c>
      <c r="Q151" s="5">
        <f>SUM(Q149:Q150)</f>
        <v>0</v>
      </c>
      <c r="R151" s="5">
        <f>SUM(R149:R150)</f>
        <v>6</v>
      </c>
      <c r="S151" s="5">
        <f>SUM(S149:S150)</f>
        <v>0</v>
      </c>
      <c r="T151" s="5">
        <f>SUM(T149:T150)</f>
        <v>3</v>
      </c>
      <c r="U151" s="5">
        <f>SUM(U149:U150)</f>
        <v>2</v>
      </c>
      <c r="V151" s="5">
        <f>SUM(V149:V150)</f>
        <v>21</v>
      </c>
    </row>
    <row r="152" spans="1:22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x14ac:dyDescent="0.4">
      <c r="A153" s="11" t="s">
        <v>48</v>
      </c>
      <c r="B153" s="17" t="s">
        <v>77</v>
      </c>
      <c r="C153" s="79" t="s">
        <v>78</v>
      </c>
      <c r="D153" s="5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5">
        <f t="shared" ref="V153:V156" si="33">SUM(E153:U153)</f>
        <v>0</v>
      </c>
    </row>
    <row r="154" spans="1:22" x14ac:dyDescent="0.4">
      <c r="A154" s="11" t="s">
        <v>50</v>
      </c>
      <c r="B154" s="17"/>
      <c r="C154" s="24" t="s">
        <v>167</v>
      </c>
      <c r="D154" s="45"/>
      <c r="E154" s="6"/>
      <c r="F154" s="6"/>
      <c r="G154" s="6"/>
      <c r="H154" s="6"/>
      <c r="I154" s="6"/>
      <c r="J154" s="6"/>
      <c r="K154" s="6"/>
      <c r="L154" s="6"/>
      <c r="M154" s="6"/>
      <c r="N154" s="6">
        <v>1</v>
      </c>
      <c r="O154" s="6"/>
      <c r="P154" s="6"/>
      <c r="Q154" s="6"/>
      <c r="R154" s="6"/>
      <c r="S154" s="6"/>
      <c r="T154" s="6"/>
      <c r="U154" s="6"/>
      <c r="V154" s="5">
        <f t="shared" si="33"/>
        <v>1</v>
      </c>
    </row>
    <row r="155" spans="1:22" x14ac:dyDescent="0.4">
      <c r="A155" s="7"/>
      <c r="B155" s="17"/>
      <c r="C155" s="24" t="s">
        <v>168</v>
      </c>
      <c r="D155" s="45"/>
      <c r="E155" s="6">
        <v>1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5">
        <f t="shared" si="33"/>
        <v>1</v>
      </c>
    </row>
    <row r="156" spans="1:22" x14ac:dyDescent="0.4">
      <c r="A156" s="7"/>
      <c r="B156" s="17"/>
      <c r="C156" s="24" t="s">
        <v>169</v>
      </c>
      <c r="D156" s="4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5">
        <f t="shared" si="33"/>
        <v>0</v>
      </c>
    </row>
    <row r="157" spans="1:22" x14ac:dyDescent="0.4">
      <c r="A157" s="6" t="s">
        <v>26</v>
      </c>
      <c r="B157" s="71" t="s">
        <v>51</v>
      </c>
      <c r="C157" s="80"/>
      <c r="D157" s="81"/>
      <c r="E157" s="5">
        <f>SUM(E153:E156)</f>
        <v>1</v>
      </c>
      <c r="F157" s="5">
        <f>SUM(F153:F156)</f>
        <v>0</v>
      </c>
      <c r="G157" s="5">
        <f>SUM(G153:G156)</f>
        <v>0</v>
      </c>
      <c r="H157" s="5">
        <f>SUM(H153:H156)</f>
        <v>0</v>
      </c>
      <c r="I157" s="5">
        <f>SUM(I153:I156)</f>
        <v>0</v>
      </c>
      <c r="J157" s="5">
        <f>SUM(J153:J156)</f>
        <v>0</v>
      </c>
      <c r="K157" s="5">
        <f>SUM(K153:K156)</f>
        <v>0</v>
      </c>
      <c r="L157" s="5">
        <f>SUM(L153:L156)</f>
        <v>0</v>
      </c>
      <c r="M157" s="5">
        <f>SUM(M153:M156)</f>
        <v>0</v>
      </c>
      <c r="N157" s="5">
        <f>SUM(N153:N156)</f>
        <v>1</v>
      </c>
      <c r="O157" s="5">
        <f>SUM(O153:O156)</f>
        <v>0</v>
      </c>
      <c r="P157" s="5">
        <f>SUM(P153:P156)</f>
        <v>0</v>
      </c>
      <c r="Q157" s="5">
        <f>SUM(Q153:Q156)</f>
        <v>0</v>
      </c>
      <c r="R157" s="5">
        <f>SUM(R153:R156)</f>
        <v>0</v>
      </c>
      <c r="S157" s="5">
        <f>SUM(S153:S156)</f>
        <v>0</v>
      </c>
      <c r="T157" s="5">
        <f>SUM(T153:T156)</f>
        <v>0</v>
      </c>
      <c r="U157" s="5">
        <f>SUM(U153:U156)</f>
        <v>0</v>
      </c>
      <c r="V157" s="5">
        <f>SUM(V153:V156)</f>
        <v>2</v>
      </c>
    </row>
    <row r="158" spans="1:22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 x14ac:dyDescent="0.4">
      <c r="A159" s="11" t="s">
        <v>48</v>
      </c>
      <c r="B159" s="17" t="s">
        <v>79</v>
      </c>
      <c r="C159" s="79" t="s">
        <v>80</v>
      </c>
      <c r="D159" s="5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5">
        <v>11</v>
      </c>
    </row>
    <row r="160" spans="1:22" x14ac:dyDescent="0.4">
      <c r="A160" s="11" t="s">
        <v>50</v>
      </c>
      <c r="B160" s="46"/>
      <c r="C160" s="24" t="s">
        <v>170</v>
      </c>
      <c r="D160" s="4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5">
        <v>36</v>
      </c>
    </row>
    <row r="161" spans="1:22" x14ac:dyDescent="0.4">
      <c r="A161" s="7"/>
      <c r="B161" s="46"/>
      <c r="C161" s="24" t="s">
        <v>171</v>
      </c>
      <c r="D161" s="4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5">
        <v>1</v>
      </c>
    </row>
    <row r="162" spans="1:22" ht="13.15" customHeight="1" x14ac:dyDescent="0.4">
      <c r="A162" s="7"/>
      <c r="B162" s="46"/>
      <c r="C162" s="24" t="s">
        <v>172</v>
      </c>
      <c r="D162" s="4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5">
        <f t="shared" ref="V159:V165" si="34">SUM(E162:U162)</f>
        <v>0</v>
      </c>
    </row>
    <row r="163" spans="1:22" x14ac:dyDescent="0.4">
      <c r="A163" s="7"/>
      <c r="B163" s="46"/>
      <c r="C163" s="24" t="s">
        <v>173</v>
      </c>
      <c r="D163" s="4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5">
        <f t="shared" si="34"/>
        <v>0</v>
      </c>
    </row>
    <row r="164" spans="1:22" ht="12.75" customHeight="1" x14ac:dyDescent="0.4">
      <c r="A164" s="7"/>
      <c r="B164" s="46"/>
      <c r="C164" s="24" t="s">
        <v>174</v>
      </c>
      <c r="D164" s="4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5">
        <f t="shared" si="34"/>
        <v>0</v>
      </c>
    </row>
    <row r="165" spans="1:22" x14ac:dyDescent="0.4">
      <c r="A165" s="7"/>
      <c r="B165" s="46"/>
      <c r="C165" s="24" t="s">
        <v>175</v>
      </c>
      <c r="D165" s="4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5">
        <v>1</v>
      </c>
    </row>
    <row r="166" spans="1:22" ht="12.75" customHeight="1" x14ac:dyDescent="0.4">
      <c r="A166" s="6" t="s">
        <v>26</v>
      </c>
      <c r="B166" s="71" t="s">
        <v>51</v>
      </c>
      <c r="C166" s="80"/>
      <c r="D166" s="81"/>
      <c r="E166" s="5">
        <v>1</v>
      </c>
      <c r="F166" s="5">
        <v>2</v>
      </c>
      <c r="G166" s="5">
        <v>4</v>
      </c>
      <c r="H166" s="5">
        <v>22</v>
      </c>
      <c r="I166" s="5">
        <v>4</v>
      </c>
      <c r="J166" s="5">
        <f>SUM(J159:J165)</f>
        <v>0</v>
      </c>
      <c r="K166" s="5">
        <v>8</v>
      </c>
      <c r="L166" s="5">
        <v>4</v>
      </c>
      <c r="M166" s="5">
        <f>SUM(M159:M165)</f>
        <v>0</v>
      </c>
      <c r="N166" s="5">
        <v>2</v>
      </c>
      <c r="O166" s="5">
        <v>1</v>
      </c>
      <c r="P166" s="5">
        <v>1</v>
      </c>
      <c r="Q166" s="5">
        <f>SUM(Q159:Q165)</f>
        <v>0</v>
      </c>
      <c r="R166" s="5">
        <v>1</v>
      </c>
      <c r="S166" s="5">
        <v>1</v>
      </c>
      <c r="T166" s="5">
        <f>SUM(T159:T165)</f>
        <v>0</v>
      </c>
      <c r="U166" s="5">
        <f>SUM(U159:U165)</f>
        <v>0</v>
      </c>
      <c r="V166" s="5">
        <f>SUM(V159:V165)</f>
        <v>49</v>
      </c>
    </row>
    <row r="167" spans="1:22" x14ac:dyDescent="0.4">
      <c r="A167" s="50"/>
      <c r="B167" s="82"/>
      <c r="C167" s="82"/>
      <c r="D167" s="82"/>
      <c r="E167" s="83"/>
    </row>
    <row r="168" spans="1:22" x14ac:dyDescent="0.4">
      <c r="A168" s="11" t="s">
        <v>48</v>
      </c>
      <c r="B168" s="17" t="s">
        <v>81</v>
      </c>
      <c r="C168" s="79" t="s">
        <v>82</v>
      </c>
      <c r="D168" s="5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5">
        <v>1</v>
      </c>
    </row>
    <row r="169" spans="1:22" x14ac:dyDescent="0.4">
      <c r="A169" s="11" t="s">
        <v>50</v>
      </c>
      <c r="B169" s="46"/>
      <c r="C169" s="24" t="s">
        <v>176</v>
      </c>
      <c r="D169" s="4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5">
        <v>1</v>
      </c>
    </row>
    <row r="170" spans="1:22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0</v>
      </c>
      <c r="H170" s="5">
        <f>SUM(H168:H169)</f>
        <v>0</v>
      </c>
      <c r="I170" s="5">
        <f>SUM(I168:I169)</f>
        <v>0</v>
      </c>
      <c r="J170" s="5">
        <f>SUM(J168:J169)</f>
        <v>0</v>
      </c>
      <c r="K170" s="5">
        <f>SUM(K168:K169)</f>
        <v>0</v>
      </c>
      <c r="L170" s="5">
        <f>SUM(L168:L169)</f>
        <v>0</v>
      </c>
      <c r="M170" s="5">
        <f>SUM(M168:M169)</f>
        <v>0</v>
      </c>
      <c r="N170" s="5">
        <f>SUM(N168:N169)</f>
        <v>0</v>
      </c>
      <c r="O170" s="5">
        <f>SUM(O168:O169)</f>
        <v>0</v>
      </c>
      <c r="P170" s="5">
        <f>SUM(P168:P169)</f>
        <v>0</v>
      </c>
      <c r="Q170" s="5">
        <f>SUM(Q168:Q169)</f>
        <v>0</v>
      </c>
      <c r="R170" s="5">
        <f>SUM(R168:R169)</f>
        <v>0</v>
      </c>
      <c r="S170" s="5">
        <f>SUM(S168:S169)</f>
        <v>0</v>
      </c>
      <c r="T170" s="5">
        <f>SUM(T168:T169)</f>
        <v>0</v>
      </c>
      <c r="U170" s="5">
        <f>SUM(U168:U169)</f>
        <v>0</v>
      </c>
      <c r="V170" s="5">
        <f>SUM(V168:V169)</f>
        <v>2</v>
      </c>
    </row>
    <row r="172" spans="1:22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15"/>
      <c r="O172" s="5"/>
      <c r="P172" s="5"/>
      <c r="Q172" s="5"/>
      <c r="R172" s="5"/>
      <c r="S172" s="5"/>
      <c r="T172" s="5"/>
      <c r="U172" s="5"/>
      <c r="V172" s="5"/>
    </row>
    <row r="173" spans="1:22" x14ac:dyDescent="0.4">
      <c r="A173" s="16"/>
      <c r="B173" s="19" t="s">
        <v>85</v>
      </c>
      <c r="C173" s="88" t="s">
        <v>86</v>
      </c>
      <c r="D173" s="89"/>
      <c r="E173" s="6">
        <f>E52+E61+E70+E79+E88+E91+E97+E106+E110+E119+E122+E129+E138+E147+E151+E157+E166+E170</f>
        <v>204</v>
      </c>
      <c r="F173" s="6">
        <f>F52+F61+F70+F79+F88+F91+F97+F106+F110+F119+F122+F129+F138+F147+F151+F157+F166+F170</f>
        <v>177</v>
      </c>
      <c r="G173" s="6">
        <f>G52+G61+G70+G79+G88+G91+G97+G106+G110+G119+G122+G129+G138+G147+G151+G157+G166+G170</f>
        <v>149</v>
      </c>
      <c r="H173" s="6">
        <f>H52+H61+H70+H79+H88+H91+H97+H106+H110+H119+H122+H129+H138+H147+H151+H157+H166+H170</f>
        <v>165</v>
      </c>
      <c r="I173" s="6">
        <f>I52+I61+I70+I79+I88+I91+I97+I106+I110+I119+I122+I129+I138+I147+I151+I157+I166+I170</f>
        <v>169</v>
      </c>
      <c r="J173" s="6">
        <f>J52+J61+J70+J79+J88+J91+J97+J106+J110+J119+J122+J129+J138+J147+J151+J157+J166+J170</f>
        <v>134</v>
      </c>
      <c r="K173" s="6">
        <f>K52+K61+K70+K79+K88+K91+K97+K106+K110+K119+K122+K129+K138+K147+K151+K157+K166+K170</f>
        <v>126</v>
      </c>
      <c r="L173" s="6">
        <f>L52+L61+L70+L79+L88+L91+L97+L106+L110+L119+L122+L129+L138+L147+L151+L157+L166+L170</f>
        <v>191</v>
      </c>
      <c r="M173" s="6">
        <f>M52+M61+M70+M79+M88+M91+M97+M106+M110+M119+M122+M129+M138+M147+M151+M157+M166+M170</f>
        <v>157</v>
      </c>
      <c r="N173" s="6">
        <f>N52+N61+N70+N79+N88+N91+N97+N106+N110+N119+N122+N129+N138+N147+N151+N157+N166+N170</f>
        <v>180</v>
      </c>
      <c r="O173" s="6">
        <f>O52+O61+O70+O79+O88+O91+O97+O106+O110+O119+O122+O129+O138+O147+O151+O157+O166+O170</f>
        <v>147</v>
      </c>
      <c r="P173" s="6">
        <f>P52+P61+P70+P79+P88+P91+P97+P106+P110+P119+P122+P129+P138+P147+P151+P157+P166+P170</f>
        <v>159</v>
      </c>
      <c r="Q173" s="6">
        <f>Q52+Q61+Q70+Q79+Q88+Q91+Q97+Q106+Q110+Q119+Q122+Q129+Q138+Q147+Q151+Q157+Q166+Q170</f>
        <v>170</v>
      </c>
      <c r="R173" s="6">
        <f>R52+R61+R70+R79+R88+R91+R97+R106+R110+R119+R122+R129+R138+R147+R151+R157+R166+R170</f>
        <v>128</v>
      </c>
      <c r="S173" s="6">
        <f>S52+S61+S70+S79+S88+S91+S97+S106+S110+S119+S122+S129+S138+S147+S151+S157+S166+S170</f>
        <v>158</v>
      </c>
      <c r="T173" s="6">
        <f>T52+T61+T70+T79+T88+T91+T97+T106+T110+T119+T122+T129+T138+T147+T151+T157+T166+T170</f>
        <v>165</v>
      </c>
      <c r="U173" s="6">
        <f>U52+U61+U70+U79+U88+U91+U97+U106+U110+U119+U122+U129+U138+U147+U151+U157+U166+U170</f>
        <v>192</v>
      </c>
      <c r="V173" s="5">
        <f>SUM(E173:U173)</f>
        <v>2771</v>
      </c>
    </row>
    <row r="174" spans="1:22" x14ac:dyDescent="0.4">
      <c r="A174" s="13"/>
      <c r="B174" s="19" t="s">
        <v>87</v>
      </c>
      <c r="C174" s="88" t="s">
        <v>88</v>
      </c>
      <c r="D174" s="89"/>
      <c r="E174" s="6">
        <v>12</v>
      </c>
      <c r="F174" s="6">
        <v>15</v>
      </c>
      <c r="G174" s="6">
        <v>6</v>
      </c>
      <c r="H174" s="6">
        <v>19</v>
      </c>
      <c r="I174" s="6">
        <v>13</v>
      </c>
      <c r="J174" s="6">
        <v>11</v>
      </c>
      <c r="K174" s="6">
        <v>11</v>
      </c>
      <c r="L174" s="6">
        <v>4</v>
      </c>
      <c r="M174" s="6">
        <v>4</v>
      </c>
      <c r="N174" s="6">
        <v>6</v>
      </c>
      <c r="O174" s="6">
        <v>10</v>
      </c>
      <c r="P174" s="6">
        <v>13</v>
      </c>
      <c r="Q174" s="6">
        <v>11</v>
      </c>
      <c r="R174" s="6">
        <v>13</v>
      </c>
      <c r="S174" s="6">
        <v>22</v>
      </c>
      <c r="T174" s="6">
        <v>24</v>
      </c>
      <c r="U174" s="6">
        <v>20</v>
      </c>
      <c r="V174" s="5">
        <f>SUM(E174:U174)</f>
        <v>214</v>
      </c>
    </row>
    <row r="175" spans="1:22" x14ac:dyDescent="0.4">
      <c r="A175" s="14"/>
      <c r="B175" s="19" t="s">
        <v>89</v>
      </c>
      <c r="C175" s="88" t="s">
        <v>90</v>
      </c>
      <c r="D175" s="89"/>
      <c r="E175" s="5">
        <f>SUM(E173:E174)</f>
        <v>216</v>
      </c>
      <c r="F175" s="5">
        <f t="shared" ref="F175:N175" si="35">SUM(F173:F174)</f>
        <v>192</v>
      </c>
      <c r="G175" s="5">
        <f t="shared" si="35"/>
        <v>155</v>
      </c>
      <c r="H175" s="5">
        <f t="shared" si="35"/>
        <v>184</v>
      </c>
      <c r="I175" s="5">
        <f t="shared" si="35"/>
        <v>182</v>
      </c>
      <c r="J175" s="5">
        <f t="shared" si="35"/>
        <v>145</v>
      </c>
      <c r="K175" s="5">
        <f t="shared" si="35"/>
        <v>137</v>
      </c>
      <c r="L175" s="5">
        <f t="shared" si="35"/>
        <v>195</v>
      </c>
      <c r="M175" s="5">
        <f t="shared" si="35"/>
        <v>161</v>
      </c>
      <c r="N175" s="5">
        <f t="shared" si="35"/>
        <v>186</v>
      </c>
      <c r="O175" s="5">
        <f t="shared" ref="O175:U175" si="36">SUM(O173:O174)</f>
        <v>157</v>
      </c>
      <c r="P175" s="5">
        <f t="shared" si="36"/>
        <v>172</v>
      </c>
      <c r="Q175" s="5">
        <f t="shared" si="36"/>
        <v>181</v>
      </c>
      <c r="R175" s="5">
        <f t="shared" si="36"/>
        <v>141</v>
      </c>
      <c r="S175" s="5">
        <f t="shared" si="36"/>
        <v>180</v>
      </c>
      <c r="T175" s="5">
        <f t="shared" si="36"/>
        <v>189</v>
      </c>
      <c r="U175" s="5">
        <f t="shared" si="36"/>
        <v>212</v>
      </c>
      <c r="V175" s="5">
        <f>SUM(E175:U175)</f>
        <v>2985</v>
      </c>
    </row>
  </sheetData>
  <mergeCells count="86">
    <mergeCell ref="C159:D159"/>
    <mergeCell ref="B138:D138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74:D174"/>
    <mergeCell ref="C175:D175"/>
    <mergeCell ref="B166:D166"/>
    <mergeCell ref="A167:E167"/>
    <mergeCell ref="C168:D168"/>
    <mergeCell ref="B170:D170"/>
    <mergeCell ref="B172:D172"/>
    <mergeCell ref="C173:D173"/>
    <mergeCell ref="C131:D131"/>
    <mergeCell ref="B110:D110"/>
    <mergeCell ref="A111:E111"/>
    <mergeCell ref="C112:D112"/>
    <mergeCell ref="B119:D119"/>
    <mergeCell ref="A120:E120"/>
    <mergeCell ref="C121:D121"/>
    <mergeCell ref="B122:D122"/>
    <mergeCell ref="A123:E123"/>
    <mergeCell ref="C124:D124"/>
    <mergeCell ref="B129:D129"/>
    <mergeCell ref="A130:E130"/>
    <mergeCell ref="C108:D108"/>
    <mergeCell ref="B88:D88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E37:U37"/>
    <mergeCell ref="B38:D38"/>
    <mergeCell ref="A42:D42"/>
    <mergeCell ref="E42:U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8" type="noConversion"/>
  <conditionalFormatting sqref="E14:U15 E19:U20 E22:U23 E33:U33 E35:U35 E39:U40 E45:U51 E54:U60 E63:U69 E72:U78 E81:U87 E90:U90 E93:U96 E99:U105 E108:U109 E112:U118 E121:U121 E124:U128 E131:U137 E140:U146 E149:U150 E153:U156 E159:U165 E168:U169 E173:U174 E25:U26">
    <cfRule type="containsBlanks" dxfId="287" priority="21">
      <formula>LEN(TRIM(E14))=0</formula>
    </cfRule>
  </conditionalFormatting>
  <conditionalFormatting sqref="E30:U30">
    <cfRule type="expression" dxfId="286" priority="26">
      <formula>E30&lt;&gt;E47</formula>
    </cfRule>
    <cfRule type="expression" dxfId="285" priority="27">
      <formula>E30&lt;&gt;E34</formula>
    </cfRule>
  </conditionalFormatting>
  <conditionalFormatting sqref="E34:U34">
    <cfRule type="expression" dxfId="284" priority="145">
      <formula>E30&lt;&gt;E34</formula>
    </cfRule>
    <cfRule type="expression" dxfId="283" priority="146">
      <formula>E30=E34</formula>
    </cfRule>
    <cfRule type="expression" dxfId="282" priority="147">
      <formula>E34&lt;&gt;E30</formula>
    </cfRule>
    <cfRule type="expression" dxfId="281" priority="148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92D050"/>
  </sheetPr>
  <dimension ref="A2:S175"/>
  <sheetViews>
    <sheetView topLeftCell="D13" zoomScale="115" zoomScaleNormal="115" workbookViewId="0">
      <pane ySplit="1" topLeftCell="A173" activePane="bottomLeft" state="frozen"/>
      <selection activeCell="A13" sqref="A13"/>
      <selection pane="bottomLeft" activeCell="S174" sqref="S174"/>
    </sheetView>
  </sheetViews>
  <sheetFormatPr defaultRowHeight="13.15" x14ac:dyDescent="0.4"/>
  <cols>
    <col min="3" max="3" width="67.140625" bestFit="1" customWidth="1"/>
    <col min="4" max="4" width="5.85546875" bestFit="1" customWidth="1"/>
    <col min="19" max="19" width="13.28515625" customWidth="1"/>
  </cols>
  <sheetData>
    <row r="2" spans="1:19" x14ac:dyDescent="0.4">
      <c r="C2" s="43" t="s">
        <v>98</v>
      </c>
      <c r="D2" s="43" t="s">
        <v>177</v>
      </c>
    </row>
    <row r="3" spans="1:19" x14ac:dyDescent="0.4">
      <c r="C3" s="43" t="s">
        <v>99</v>
      </c>
      <c r="D3" s="43" t="s">
        <v>100</v>
      </c>
    </row>
    <row r="4" spans="1:19" x14ac:dyDescent="0.4">
      <c r="C4" s="43" t="s">
        <v>101</v>
      </c>
      <c r="D4" s="43" t="s">
        <v>102</v>
      </c>
    </row>
    <row r="5" spans="1:19" x14ac:dyDescent="0.4">
      <c r="C5" s="43"/>
      <c r="D5" s="43"/>
    </row>
    <row r="6" spans="1:19" x14ac:dyDescent="0.4">
      <c r="C6" s="43"/>
      <c r="D6" s="43"/>
    </row>
    <row r="7" spans="1:19" x14ac:dyDescent="0.4">
      <c r="C7" s="43"/>
      <c r="D7" s="43"/>
    </row>
    <row r="8" spans="1:19" x14ac:dyDescent="0.4">
      <c r="C8" s="43"/>
      <c r="D8" s="43"/>
    </row>
    <row r="9" spans="1:19" x14ac:dyDescent="0.4">
      <c r="C9" s="43" t="s">
        <v>103</v>
      </c>
      <c r="D9" s="43" t="s">
        <v>179</v>
      </c>
    </row>
    <row r="11" spans="1:1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9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6" t="s">
        <v>97</v>
      </c>
    </row>
    <row r="13" spans="1:19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7"/>
    </row>
    <row r="14" spans="1:19" x14ac:dyDescent="0.4">
      <c r="A14" s="7"/>
      <c r="B14" s="59" t="s">
        <v>22</v>
      </c>
      <c r="C14" s="60"/>
      <c r="D14" s="6" t="s">
        <v>23</v>
      </c>
      <c r="E14" s="6">
        <v>138</v>
      </c>
      <c r="F14" s="6">
        <v>130</v>
      </c>
      <c r="G14" s="6">
        <v>130</v>
      </c>
      <c r="H14" s="6">
        <v>146</v>
      </c>
      <c r="I14" s="6">
        <v>139</v>
      </c>
      <c r="J14" s="6">
        <v>137</v>
      </c>
      <c r="K14" s="6">
        <v>149</v>
      </c>
      <c r="L14" s="6">
        <v>133</v>
      </c>
      <c r="M14" s="6">
        <v>123</v>
      </c>
      <c r="N14" s="6">
        <v>136</v>
      </c>
      <c r="O14" s="6">
        <v>128</v>
      </c>
      <c r="P14" s="6">
        <v>107</v>
      </c>
      <c r="Q14" s="6">
        <v>127</v>
      </c>
      <c r="R14" s="6">
        <v>117</v>
      </c>
      <c r="S14" s="5">
        <f>SUM(E14:R14)</f>
        <v>1840</v>
      </c>
    </row>
    <row r="15" spans="1:19" x14ac:dyDescent="0.4">
      <c r="A15" s="7"/>
      <c r="B15" s="61"/>
      <c r="C15" s="62"/>
      <c r="D15" s="6" t="s">
        <v>24</v>
      </c>
      <c r="E15" s="6">
        <v>126</v>
      </c>
      <c r="F15" s="6">
        <v>119</v>
      </c>
      <c r="G15" s="6">
        <v>135</v>
      </c>
      <c r="H15" s="6">
        <v>133</v>
      </c>
      <c r="I15" s="6">
        <v>129</v>
      </c>
      <c r="J15" s="6">
        <v>144</v>
      </c>
      <c r="K15" s="6">
        <v>133</v>
      </c>
      <c r="L15" s="6">
        <v>134</v>
      </c>
      <c r="M15" s="6">
        <v>115</v>
      </c>
      <c r="N15" s="6">
        <v>125</v>
      </c>
      <c r="O15" s="6">
        <v>139</v>
      </c>
      <c r="P15" s="6">
        <v>101</v>
      </c>
      <c r="Q15" s="6">
        <v>123</v>
      </c>
      <c r="R15" s="6">
        <v>112</v>
      </c>
      <c r="S15" s="5">
        <f>SUM(E15:R15)</f>
        <v>1768</v>
      </c>
    </row>
    <row r="16" spans="1:19" x14ac:dyDescent="0.4">
      <c r="A16" s="8"/>
      <c r="B16" s="63"/>
      <c r="C16" s="64"/>
      <c r="D16" s="5" t="s">
        <v>25</v>
      </c>
      <c r="E16" s="5">
        <f t="shared" ref="E16:R16" si="0">SUM(E14:E15)</f>
        <v>264</v>
      </c>
      <c r="F16" s="5">
        <f t="shared" ref="F16:K16" si="1">SUM(F14:F15)</f>
        <v>249</v>
      </c>
      <c r="G16" s="5">
        <f t="shared" si="1"/>
        <v>265</v>
      </c>
      <c r="H16" s="5">
        <f t="shared" si="1"/>
        <v>279</v>
      </c>
      <c r="I16" s="5">
        <f t="shared" si="1"/>
        <v>268</v>
      </c>
      <c r="J16" s="5">
        <f t="shared" si="1"/>
        <v>281</v>
      </c>
      <c r="K16" s="5">
        <f t="shared" si="1"/>
        <v>282</v>
      </c>
      <c r="L16" s="5">
        <f t="shared" si="0"/>
        <v>267</v>
      </c>
      <c r="M16" s="5">
        <f t="shared" si="0"/>
        <v>238</v>
      </c>
      <c r="N16" s="5">
        <f t="shared" si="0"/>
        <v>261</v>
      </c>
      <c r="O16" s="5">
        <f t="shared" si="0"/>
        <v>267</v>
      </c>
      <c r="P16" s="5">
        <f t="shared" ref="P16:Q16" si="2">SUM(P14:P15)</f>
        <v>208</v>
      </c>
      <c r="Q16" s="5">
        <f t="shared" si="2"/>
        <v>250</v>
      </c>
      <c r="R16" s="5">
        <f t="shared" si="0"/>
        <v>229</v>
      </c>
      <c r="S16" s="5">
        <f>SUM(E16:R16)</f>
        <v>3608</v>
      </c>
    </row>
    <row r="17" spans="1:19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28"/>
    </row>
    <row r="18" spans="1:19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8"/>
    </row>
    <row r="19" spans="1:19" x14ac:dyDescent="0.4">
      <c r="A19" s="11"/>
      <c r="B19" s="65" t="s">
        <v>28</v>
      </c>
      <c r="C19" s="66" t="s">
        <v>29</v>
      </c>
      <c r="D19" s="6" t="s">
        <v>23</v>
      </c>
      <c r="E19" s="6">
        <v>111</v>
      </c>
      <c r="F19" s="6">
        <v>107</v>
      </c>
      <c r="G19" s="6">
        <v>102</v>
      </c>
      <c r="H19" s="6">
        <v>112</v>
      </c>
      <c r="I19" s="6">
        <v>110</v>
      </c>
      <c r="J19" s="6">
        <v>105</v>
      </c>
      <c r="K19" s="6">
        <v>117</v>
      </c>
      <c r="L19" s="6">
        <v>102</v>
      </c>
      <c r="M19" s="6">
        <v>86</v>
      </c>
      <c r="N19" s="6">
        <v>101</v>
      </c>
      <c r="O19" s="6">
        <v>93</v>
      </c>
      <c r="P19" s="6">
        <v>82</v>
      </c>
      <c r="Q19" s="6">
        <v>97</v>
      </c>
      <c r="R19" s="6">
        <v>96</v>
      </c>
      <c r="S19" s="5">
        <f t="shared" ref="S19:S30" si="3">SUM(E19:R19)</f>
        <v>1421</v>
      </c>
    </row>
    <row r="20" spans="1:19" x14ac:dyDescent="0.4">
      <c r="A20" s="12"/>
      <c r="B20" s="62"/>
      <c r="C20" s="67"/>
      <c r="D20" s="6" t="s">
        <v>24</v>
      </c>
      <c r="E20" s="6">
        <v>108</v>
      </c>
      <c r="F20" s="6">
        <v>99</v>
      </c>
      <c r="G20" s="6">
        <v>113</v>
      </c>
      <c r="H20" s="6">
        <v>114</v>
      </c>
      <c r="I20" s="6">
        <v>106</v>
      </c>
      <c r="J20" s="6">
        <v>117</v>
      </c>
      <c r="K20" s="6">
        <v>115</v>
      </c>
      <c r="L20" s="6">
        <v>108</v>
      </c>
      <c r="M20" s="6">
        <v>93</v>
      </c>
      <c r="N20" s="6">
        <v>83</v>
      </c>
      <c r="O20" s="6">
        <v>108</v>
      </c>
      <c r="P20" s="6">
        <v>78</v>
      </c>
      <c r="Q20" s="6">
        <v>107</v>
      </c>
      <c r="R20" s="6">
        <v>98</v>
      </c>
      <c r="S20" s="5">
        <f t="shared" si="3"/>
        <v>1447</v>
      </c>
    </row>
    <row r="21" spans="1:19" x14ac:dyDescent="0.4">
      <c r="A21" s="13"/>
      <c r="B21" s="64"/>
      <c r="C21" s="68"/>
      <c r="D21" s="5" t="s">
        <v>25</v>
      </c>
      <c r="E21" s="5">
        <f t="shared" ref="E21:R21" si="4">SUM(E19:E20)</f>
        <v>219</v>
      </c>
      <c r="F21" s="5">
        <f t="shared" ref="F21:K21" si="5">SUM(F19:F20)</f>
        <v>206</v>
      </c>
      <c r="G21" s="5">
        <f t="shared" si="5"/>
        <v>215</v>
      </c>
      <c r="H21" s="5">
        <f t="shared" si="5"/>
        <v>226</v>
      </c>
      <c r="I21" s="5">
        <f t="shared" si="5"/>
        <v>216</v>
      </c>
      <c r="J21" s="5">
        <f t="shared" si="5"/>
        <v>222</v>
      </c>
      <c r="K21" s="5">
        <f t="shared" si="5"/>
        <v>232</v>
      </c>
      <c r="L21" s="5">
        <f t="shared" si="4"/>
        <v>210</v>
      </c>
      <c r="M21" s="5">
        <f t="shared" si="4"/>
        <v>179</v>
      </c>
      <c r="N21" s="5">
        <f t="shared" si="4"/>
        <v>184</v>
      </c>
      <c r="O21" s="5">
        <f t="shared" si="4"/>
        <v>201</v>
      </c>
      <c r="P21" s="5">
        <f t="shared" ref="P21:Q21" si="6">SUM(P19:P20)</f>
        <v>160</v>
      </c>
      <c r="Q21" s="5">
        <f t="shared" si="6"/>
        <v>204</v>
      </c>
      <c r="R21" s="5">
        <f t="shared" si="4"/>
        <v>194</v>
      </c>
      <c r="S21" s="5">
        <f t="shared" si="3"/>
        <v>2868</v>
      </c>
    </row>
    <row r="22" spans="1:19" x14ac:dyDescent="0.4">
      <c r="A22" s="12"/>
      <c r="B22" s="65" t="s">
        <v>30</v>
      </c>
      <c r="C22" s="66" t="s">
        <v>31</v>
      </c>
      <c r="D22" s="6" t="s">
        <v>23</v>
      </c>
      <c r="E22" s="6"/>
      <c r="F22" s="6">
        <v>1</v>
      </c>
      <c r="G22" s="6"/>
      <c r="H22" s="6">
        <v>2</v>
      </c>
      <c r="I22" s="6"/>
      <c r="J22" s="6"/>
      <c r="K22" s="6"/>
      <c r="L22" s="6"/>
      <c r="M22" s="6">
        <v>1</v>
      </c>
      <c r="N22" s="6"/>
      <c r="O22" s="6"/>
      <c r="P22" s="6"/>
      <c r="Q22" s="6"/>
      <c r="R22" s="6"/>
      <c r="S22" s="5">
        <f t="shared" si="3"/>
        <v>4</v>
      </c>
    </row>
    <row r="23" spans="1:19" x14ac:dyDescent="0.4">
      <c r="A23" s="12"/>
      <c r="B23" s="62"/>
      <c r="C23" s="67"/>
      <c r="D23" s="6" t="s">
        <v>24</v>
      </c>
      <c r="E23" s="6"/>
      <c r="F23" s="6">
        <v>1</v>
      </c>
      <c r="G23" s="6"/>
      <c r="H23" s="6">
        <v>1</v>
      </c>
      <c r="I23" s="6"/>
      <c r="J23" s="6"/>
      <c r="K23" s="6"/>
      <c r="L23" s="6"/>
      <c r="M23" s="6">
        <v>1</v>
      </c>
      <c r="N23" s="6"/>
      <c r="O23" s="6"/>
      <c r="P23" s="6"/>
      <c r="Q23" s="6"/>
      <c r="R23" s="6"/>
      <c r="S23" s="5">
        <f t="shared" si="3"/>
        <v>3</v>
      </c>
    </row>
    <row r="24" spans="1:19" x14ac:dyDescent="0.4">
      <c r="A24" s="13"/>
      <c r="B24" s="64"/>
      <c r="C24" s="68"/>
      <c r="D24" s="5" t="s">
        <v>25</v>
      </c>
      <c r="E24" s="5">
        <f t="shared" ref="E24:R24" si="7">SUM(E22:E23)</f>
        <v>0</v>
      </c>
      <c r="F24" s="5">
        <f t="shared" ref="F24:K24" si="8">SUM(F22:F23)</f>
        <v>2</v>
      </c>
      <c r="G24" s="5">
        <f t="shared" si="8"/>
        <v>0</v>
      </c>
      <c r="H24" s="5">
        <f t="shared" si="8"/>
        <v>3</v>
      </c>
      <c r="I24" s="5">
        <f t="shared" si="8"/>
        <v>0</v>
      </c>
      <c r="J24" s="5">
        <f t="shared" si="8"/>
        <v>0</v>
      </c>
      <c r="K24" s="5">
        <f t="shared" si="8"/>
        <v>0</v>
      </c>
      <c r="L24" s="5">
        <f t="shared" si="7"/>
        <v>0</v>
      </c>
      <c r="M24" s="5">
        <f t="shared" si="7"/>
        <v>2</v>
      </c>
      <c r="N24" s="5">
        <f t="shared" si="7"/>
        <v>0</v>
      </c>
      <c r="O24" s="5">
        <f t="shared" si="7"/>
        <v>0</v>
      </c>
      <c r="P24" s="5">
        <f t="shared" ref="P24:Q24" si="9">SUM(P22:P23)</f>
        <v>0</v>
      </c>
      <c r="Q24" s="5">
        <f t="shared" si="9"/>
        <v>0</v>
      </c>
      <c r="R24" s="5">
        <f t="shared" si="7"/>
        <v>0</v>
      </c>
      <c r="S24" s="5">
        <f t="shared" si="3"/>
        <v>7</v>
      </c>
    </row>
    <row r="25" spans="1:19" x14ac:dyDescent="0.4">
      <c r="A25" s="12"/>
      <c r="B25" s="65" t="s">
        <v>32</v>
      </c>
      <c r="C25" s="66" t="s">
        <v>33</v>
      </c>
      <c r="D25" s="6" t="s">
        <v>23</v>
      </c>
      <c r="E25" s="6"/>
      <c r="F25" s="6">
        <v>4</v>
      </c>
      <c r="G25" s="6">
        <v>1</v>
      </c>
      <c r="H25" s="6"/>
      <c r="I25" s="6"/>
      <c r="J25" s="6"/>
      <c r="K25" s="6"/>
      <c r="L25" s="6"/>
      <c r="M25" s="6">
        <v>2</v>
      </c>
      <c r="N25" s="6"/>
      <c r="O25" s="6">
        <v>3</v>
      </c>
      <c r="P25" s="6"/>
      <c r="Q25" s="6"/>
      <c r="R25" s="6"/>
      <c r="S25" s="5">
        <f t="shared" si="3"/>
        <v>10</v>
      </c>
    </row>
    <row r="26" spans="1:19" x14ac:dyDescent="0.4">
      <c r="A26" s="12"/>
      <c r="B26" s="62"/>
      <c r="C26" s="67"/>
      <c r="D26" s="6" t="s">
        <v>24</v>
      </c>
      <c r="E26" s="6"/>
      <c r="F26" s="6">
        <v>6</v>
      </c>
      <c r="G26" s="6">
        <v>1</v>
      </c>
      <c r="H26" s="6"/>
      <c r="I26" s="6"/>
      <c r="J26" s="6">
        <v>2</v>
      </c>
      <c r="K26" s="6"/>
      <c r="L26" s="6"/>
      <c r="M26" s="6">
        <v>3</v>
      </c>
      <c r="N26" s="6"/>
      <c r="O26" s="6">
        <v>2</v>
      </c>
      <c r="P26" s="6"/>
      <c r="Q26" s="6"/>
      <c r="R26" s="6"/>
      <c r="S26" s="5">
        <f t="shared" si="3"/>
        <v>14</v>
      </c>
    </row>
    <row r="27" spans="1:19" x14ac:dyDescent="0.4">
      <c r="A27" s="13"/>
      <c r="B27" s="64"/>
      <c r="C27" s="68"/>
      <c r="D27" s="5" t="s">
        <v>25</v>
      </c>
      <c r="E27" s="5">
        <f t="shared" ref="E27:R27" si="10">SUM(E25:E26)</f>
        <v>0</v>
      </c>
      <c r="F27" s="5">
        <f t="shared" ref="F27:K27" si="11">SUM(F25:F26)</f>
        <v>10</v>
      </c>
      <c r="G27" s="5">
        <f t="shared" si="11"/>
        <v>2</v>
      </c>
      <c r="H27" s="5">
        <f t="shared" si="11"/>
        <v>0</v>
      </c>
      <c r="I27" s="5">
        <f t="shared" si="11"/>
        <v>0</v>
      </c>
      <c r="J27" s="5">
        <f t="shared" si="11"/>
        <v>2</v>
      </c>
      <c r="K27" s="5">
        <f t="shared" si="11"/>
        <v>0</v>
      </c>
      <c r="L27" s="5">
        <f t="shared" si="10"/>
        <v>0</v>
      </c>
      <c r="M27" s="5">
        <f t="shared" si="10"/>
        <v>5</v>
      </c>
      <c r="N27" s="5">
        <f t="shared" si="10"/>
        <v>0</v>
      </c>
      <c r="O27" s="5">
        <f t="shared" si="10"/>
        <v>5</v>
      </c>
      <c r="P27" s="5">
        <f t="shared" ref="P27:Q27" si="12">SUM(P25:P26)</f>
        <v>0</v>
      </c>
      <c r="Q27" s="5">
        <f t="shared" si="12"/>
        <v>0</v>
      </c>
      <c r="R27" s="5">
        <f t="shared" si="10"/>
        <v>0</v>
      </c>
      <c r="S27" s="5">
        <f t="shared" si="3"/>
        <v>24</v>
      </c>
    </row>
    <row r="28" spans="1:19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111</v>
      </c>
      <c r="F28" s="5">
        <f t="shared" ref="F28:K28" si="13">SUM(F19,F22,F25)</f>
        <v>112</v>
      </c>
      <c r="G28" s="5">
        <f t="shared" si="13"/>
        <v>103</v>
      </c>
      <c r="H28" s="5">
        <f t="shared" si="13"/>
        <v>114</v>
      </c>
      <c r="I28" s="5">
        <f t="shared" si="13"/>
        <v>110</v>
      </c>
      <c r="J28" s="5">
        <f t="shared" si="13"/>
        <v>105</v>
      </c>
      <c r="K28" s="5">
        <f t="shared" si="13"/>
        <v>117</v>
      </c>
      <c r="L28" s="5">
        <f t="shared" ref="L28:R29" si="14">SUM(L19,L22,L25)</f>
        <v>102</v>
      </c>
      <c r="M28" s="5">
        <f t="shared" si="14"/>
        <v>89</v>
      </c>
      <c r="N28" s="5">
        <f t="shared" si="14"/>
        <v>101</v>
      </c>
      <c r="O28" s="5">
        <f t="shared" si="14"/>
        <v>96</v>
      </c>
      <c r="P28" s="5">
        <f t="shared" ref="P28:Q28" si="15">SUM(P19,P22,P25)</f>
        <v>82</v>
      </c>
      <c r="Q28" s="5">
        <f t="shared" si="15"/>
        <v>97</v>
      </c>
      <c r="R28" s="5">
        <f t="shared" si="14"/>
        <v>96</v>
      </c>
      <c r="S28" s="5">
        <f t="shared" si="3"/>
        <v>1435</v>
      </c>
    </row>
    <row r="29" spans="1:19" x14ac:dyDescent="0.4">
      <c r="A29" s="13"/>
      <c r="B29" s="62"/>
      <c r="C29" s="67"/>
      <c r="D29" s="5" t="s">
        <v>24</v>
      </c>
      <c r="E29" s="5">
        <f>SUM(E20,E23,E26)</f>
        <v>108</v>
      </c>
      <c r="F29" s="5">
        <f t="shared" ref="F29:K29" si="16">SUM(F20,F23,F26)</f>
        <v>106</v>
      </c>
      <c r="G29" s="5">
        <f t="shared" si="16"/>
        <v>114</v>
      </c>
      <c r="H29" s="5">
        <f t="shared" si="16"/>
        <v>115</v>
      </c>
      <c r="I29" s="5">
        <f t="shared" si="16"/>
        <v>106</v>
      </c>
      <c r="J29" s="5">
        <f t="shared" si="16"/>
        <v>119</v>
      </c>
      <c r="K29" s="5">
        <f t="shared" si="16"/>
        <v>115</v>
      </c>
      <c r="L29" s="5">
        <f t="shared" si="14"/>
        <v>108</v>
      </c>
      <c r="M29" s="5">
        <f t="shared" si="14"/>
        <v>97</v>
      </c>
      <c r="N29" s="5">
        <f t="shared" si="14"/>
        <v>83</v>
      </c>
      <c r="O29" s="5">
        <f t="shared" si="14"/>
        <v>110</v>
      </c>
      <c r="P29" s="5">
        <f t="shared" ref="P29:Q29" si="17">SUM(P20,P23,P26)</f>
        <v>78</v>
      </c>
      <c r="Q29" s="5">
        <f t="shared" si="17"/>
        <v>107</v>
      </c>
      <c r="R29" s="5">
        <f t="shared" si="14"/>
        <v>98</v>
      </c>
      <c r="S29" s="5">
        <f t="shared" si="3"/>
        <v>1464</v>
      </c>
    </row>
    <row r="30" spans="1:19" x14ac:dyDescent="0.4">
      <c r="A30" s="13"/>
      <c r="B30" s="64"/>
      <c r="C30" s="68"/>
      <c r="D30" s="5" t="s">
        <v>25</v>
      </c>
      <c r="E30" s="5">
        <f t="shared" ref="E30:R30" si="18">SUM(E28:E29)</f>
        <v>219</v>
      </c>
      <c r="F30" s="5">
        <f t="shared" ref="F30:K30" si="19">SUM(F28:F29)</f>
        <v>218</v>
      </c>
      <c r="G30" s="5">
        <f t="shared" si="19"/>
        <v>217</v>
      </c>
      <c r="H30" s="5">
        <f t="shared" si="19"/>
        <v>229</v>
      </c>
      <c r="I30" s="5">
        <f t="shared" si="19"/>
        <v>216</v>
      </c>
      <c r="J30" s="5">
        <f t="shared" si="19"/>
        <v>224</v>
      </c>
      <c r="K30" s="5">
        <f t="shared" si="19"/>
        <v>232</v>
      </c>
      <c r="L30" s="5">
        <f t="shared" si="18"/>
        <v>210</v>
      </c>
      <c r="M30" s="5">
        <f t="shared" si="18"/>
        <v>186</v>
      </c>
      <c r="N30" s="5">
        <f t="shared" si="18"/>
        <v>184</v>
      </c>
      <c r="O30" s="5">
        <f t="shared" si="18"/>
        <v>206</v>
      </c>
      <c r="P30" s="5">
        <f t="shared" ref="P30:Q30" si="20">SUM(P28:P29)</f>
        <v>160</v>
      </c>
      <c r="Q30" s="5">
        <f t="shared" si="20"/>
        <v>204</v>
      </c>
      <c r="R30" s="5">
        <f t="shared" si="18"/>
        <v>194</v>
      </c>
      <c r="S30" s="5">
        <f t="shared" si="3"/>
        <v>2899</v>
      </c>
    </row>
    <row r="31" spans="1:19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28"/>
    </row>
    <row r="32" spans="1:19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8"/>
    </row>
    <row r="33" spans="1:19" x14ac:dyDescent="0.4">
      <c r="A33" s="6">
        <v>1</v>
      </c>
      <c r="B33" s="58" t="s">
        <v>38</v>
      </c>
      <c r="C33" s="51"/>
      <c r="D33" s="52"/>
      <c r="E33" s="6">
        <v>270</v>
      </c>
      <c r="F33" s="6">
        <v>255</v>
      </c>
      <c r="G33" s="6">
        <v>271</v>
      </c>
      <c r="H33" s="6">
        <v>285</v>
      </c>
      <c r="I33" s="6">
        <v>274</v>
      </c>
      <c r="J33" s="6">
        <v>287</v>
      </c>
      <c r="K33" s="6">
        <v>289</v>
      </c>
      <c r="L33" s="6">
        <v>273</v>
      </c>
      <c r="M33" s="6">
        <v>243</v>
      </c>
      <c r="N33" s="6">
        <v>267</v>
      </c>
      <c r="O33" s="6">
        <v>275</v>
      </c>
      <c r="P33" s="6">
        <v>211</v>
      </c>
      <c r="Q33" s="6">
        <v>255</v>
      </c>
      <c r="R33" s="6">
        <v>234</v>
      </c>
      <c r="S33" s="5">
        <f>SUM(E33:R33)</f>
        <v>3689</v>
      </c>
    </row>
    <row r="34" spans="1:19" x14ac:dyDescent="0.4">
      <c r="A34" s="6">
        <v>2</v>
      </c>
      <c r="B34" s="58" t="s">
        <v>39</v>
      </c>
      <c r="C34" s="51"/>
      <c r="D34" s="52"/>
      <c r="E34" s="5">
        <v>219</v>
      </c>
      <c r="F34" s="5">
        <v>218</v>
      </c>
      <c r="G34" s="5">
        <v>217</v>
      </c>
      <c r="H34" s="5">
        <v>229</v>
      </c>
      <c r="I34" s="5">
        <v>216</v>
      </c>
      <c r="J34" s="5">
        <v>224</v>
      </c>
      <c r="K34" s="5">
        <v>232</v>
      </c>
      <c r="L34" s="5">
        <v>210</v>
      </c>
      <c r="M34" s="5">
        <v>186</v>
      </c>
      <c r="N34" s="5">
        <v>184</v>
      </c>
      <c r="O34" s="5">
        <v>206</v>
      </c>
      <c r="P34" s="5">
        <v>160</v>
      </c>
      <c r="Q34" s="5">
        <v>204</v>
      </c>
      <c r="R34" s="5">
        <v>194</v>
      </c>
      <c r="S34" s="5">
        <f>SUM(E34:R34)</f>
        <v>2899</v>
      </c>
    </row>
    <row r="35" spans="1:19" x14ac:dyDescent="0.4">
      <c r="A35" s="6">
        <v>3</v>
      </c>
      <c r="B35" s="58" t="s">
        <v>40</v>
      </c>
      <c r="C35" s="51"/>
      <c r="D35" s="52"/>
      <c r="E35" s="6"/>
      <c r="F35" s="6">
        <v>2</v>
      </c>
      <c r="G35" s="6">
        <v>4</v>
      </c>
      <c r="H35" s="6"/>
      <c r="I35" s="6">
        <v>2</v>
      </c>
      <c r="J35" s="6">
        <v>1</v>
      </c>
      <c r="K35" s="6">
        <v>1</v>
      </c>
      <c r="L35" s="6"/>
      <c r="M35" s="6"/>
      <c r="N35" s="6"/>
      <c r="O35" s="6">
        <v>1</v>
      </c>
      <c r="P35" s="6"/>
      <c r="Q35" s="6"/>
      <c r="R35" s="6"/>
      <c r="S35" s="5">
        <f>SUM(E35:R35)</f>
        <v>11</v>
      </c>
    </row>
    <row r="36" spans="1:19" x14ac:dyDescent="0.4">
      <c r="A36" s="6">
        <v>4</v>
      </c>
      <c r="B36" s="58" t="s">
        <v>41</v>
      </c>
      <c r="C36" s="51"/>
      <c r="D36" s="52"/>
      <c r="E36" s="5">
        <f t="shared" ref="E36:R36" si="21">E33-(E34+E35)</f>
        <v>51</v>
      </c>
      <c r="F36" s="5">
        <f t="shared" ref="F36:K36" si="22">F33-(F34+F35)</f>
        <v>35</v>
      </c>
      <c r="G36" s="5">
        <f t="shared" si="22"/>
        <v>50</v>
      </c>
      <c r="H36" s="5">
        <f t="shared" si="22"/>
        <v>56</v>
      </c>
      <c r="I36" s="5">
        <f t="shared" si="22"/>
        <v>56</v>
      </c>
      <c r="J36" s="5">
        <f t="shared" si="22"/>
        <v>62</v>
      </c>
      <c r="K36" s="5">
        <f t="shared" si="22"/>
        <v>56</v>
      </c>
      <c r="L36" s="5">
        <f t="shared" si="21"/>
        <v>63</v>
      </c>
      <c r="M36" s="5">
        <f t="shared" si="21"/>
        <v>57</v>
      </c>
      <c r="N36" s="5">
        <f t="shared" si="21"/>
        <v>83</v>
      </c>
      <c r="O36" s="5">
        <f t="shared" si="21"/>
        <v>68</v>
      </c>
      <c r="P36" s="5">
        <f t="shared" ref="P36:Q36" si="23">P33-(P34+P35)</f>
        <v>51</v>
      </c>
      <c r="Q36" s="5">
        <f t="shared" si="23"/>
        <v>51</v>
      </c>
      <c r="R36" s="5">
        <f t="shared" si="21"/>
        <v>40</v>
      </c>
      <c r="S36" s="5">
        <f>SUM(E36:R36)</f>
        <v>779</v>
      </c>
    </row>
    <row r="37" spans="1:19" x14ac:dyDescent="0.4">
      <c r="A37" s="50"/>
      <c r="B37" s="51"/>
      <c r="C37" s="51"/>
      <c r="D37" s="51"/>
      <c r="E37" s="50"/>
      <c r="F37" s="82"/>
      <c r="G37" s="82"/>
      <c r="H37" s="82"/>
      <c r="I37" s="82"/>
      <c r="J37" s="82"/>
      <c r="K37" s="82"/>
      <c r="L37" s="72"/>
      <c r="M37" s="72"/>
      <c r="N37" s="72"/>
      <c r="O37" s="73"/>
      <c r="P37" s="6"/>
      <c r="Q37" s="6"/>
      <c r="R37" s="6"/>
      <c r="S37" s="28"/>
    </row>
    <row r="38" spans="1:19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8"/>
    </row>
    <row r="39" spans="1:19" x14ac:dyDescent="0.4">
      <c r="A39" s="11"/>
      <c r="B39" s="74" t="s">
        <v>44</v>
      </c>
      <c r="C39" s="60"/>
      <c r="D39" s="6" t="s">
        <v>23</v>
      </c>
      <c r="E39" s="6"/>
      <c r="F39" s="6">
        <v>1</v>
      </c>
      <c r="G39" s="6"/>
      <c r="H39" s="6">
        <v>2</v>
      </c>
      <c r="I39" s="6"/>
      <c r="J39" s="6"/>
      <c r="K39" s="6"/>
      <c r="L39" s="6"/>
      <c r="M39" s="6"/>
      <c r="N39" s="6">
        <v>2</v>
      </c>
      <c r="O39" s="6"/>
      <c r="P39" s="6"/>
      <c r="Q39" s="6"/>
      <c r="R39" s="6"/>
      <c r="S39" s="5">
        <f>SUM(E39:R39)</f>
        <v>5</v>
      </c>
    </row>
    <row r="40" spans="1:19" x14ac:dyDescent="0.4">
      <c r="A40" s="12"/>
      <c r="B40" s="75"/>
      <c r="C40" s="62"/>
      <c r="D40" s="6" t="s">
        <v>24</v>
      </c>
      <c r="E40" s="6"/>
      <c r="F40" s="6">
        <v>3</v>
      </c>
      <c r="G40" s="6"/>
      <c r="H40" s="6">
        <v>4</v>
      </c>
      <c r="I40" s="6"/>
      <c r="J40" s="6">
        <v>4</v>
      </c>
      <c r="K40" s="6"/>
      <c r="L40" s="6"/>
      <c r="M40" s="6"/>
      <c r="N40" s="6">
        <v>2</v>
      </c>
      <c r="O40" s="6"/>
      <c r="P40" s="6"/>
      <c r="Q40" s="6"/>
      <c r="R40" s="6"/>
      <c r="S40" s="5">
        <f>SUM(E40:R40)</f>
        <v>13</v>
      </c>
    </row>
    <row r="41" spans="1:19" x14ac:dyDescent="0.4">
      <c r="A41" s="14"/>
      <c r="B41" s="76"/>
      <c r="C41" s="64"/>
      <c r="D41" s="5" t="s">
        <v>25</v>
      </c>
      <c r="E41" s="5">
        <f t="shared" ref="E41:R41" si="24">SUM(E39:E40)</f>
        <v>0</v>
      </c>
      <c r="F41" s="5">
        <f t="shared" ref="F41:K41" si="25">SUM(F39:F40)</f>
        <v>4</v>
      </c>
      <c r="G41" s="5">
        <f t="shared" si="25"/>
        <v>0</v>
      </c>
      <c r="H41" s="5">
        <f t="shared" si="25"/>
        <v>6</v>
      </c>
      <c r="I41" s="5">
        <f t="shared" si="25"/>
        <v>0</v>
      </c>
      <c r="J41" s="5">
        <f t="shared" si="25"/>
        <v>4</v>
      </c>
      <c r="K41" s="5">
        <f t="shared" si="25"/>
        <v>0</v>
      </c>
      <c r="L41" s="5">
        <f t="shared" si="24"/>
        <v>0</v>
      </c>
      <c r="M41" s="5">
        <f t="shared" si="24"/>
        <v>0</v>
      </c>
      <c r="N41" s="5">
        <f t="shared" si="24"/>
        <v>4</v>
      </c>
      <c r="O41" s="5">
        <f t="shared" si="24"/>
        <v>0</v>
      </c>
      <c r="P41" s="5">
        <f t="shared" ref="P41:Q41" si="26">SUM(P39:P40)</f>
        <v>0</v>
      </c>
      <c r="Q41" s="5">
        <f t="shared" si="26"/>
        <v>0</v>
      </c>
      <c r="R41" s="5">
        <f t="shared" si="24"/>
        <v>0</v>
      </c>
      <c r="S41" s="5">
        <f>SUM(E41:R41)</f>
        <v>18</v>
      </c>
    </row>
    <row r="42" spans="1:19" x14ac:dyDescent="0.4">
      <c r="A42" s="77"/>
      <c r="B42" s="76"/>
      <c r="C42" s="76"/>
      <c r="D42" s="64"/>
      <c r="E42" s="50"/>
      <c r="F42" s="82"/>
      <c r="G42" s="82"/>
      <c r="H42" s="82"/>
      <c r="I42" s="82"/>
      <c r="J42" s="82"/>
      <c r="K42" s="82"/>
      <c r="L42" s="51"/>
      <c r="M42" s="51"/>
      <c r="N42" s="51"/>
      <c r="O42" s="52"/>
      <c r="P42" s="6"/>
      <c r="Q42" s="6"/>
      <c r="R42" s="6"/>
      <c r="S42" s="5"/>
    </row>
    <row r="43" spans="1:19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5"/>
    </row>
    <row r="45" spans="1:19" x14ac:dyDescent="0.4">
      <c r="A45" s="11" t="s">
        <v>48</v>
      </c>
      <c r="B45" s="17" t="s">
        <v>28</v>
      </c>
      <c r="C45" s="79" t="s">
        <v>49</v>
      </c>
      <c r="D45" s="52"/>
      <c r="E45" s="6">
        <v>3</v>
      </c>
      <c r="F45" s="6">
        <v>10</v>
      </c>
      <c r="G45" s="6">
        <v>9</v>
      </c>
      <c r="H45" s="6">
        <v>6</v>
      </c>
      <c r="I45" s="6">
        <v>7</v>
      </c>
      <c r="J45" s="6">
        <v>10</v>
      </c>
      <c r="K45" s="6">
        <v>10</v>
      </c>
      <c r="L45" s="6">
        <v>16</v>
      </c>
      <c r="M45" s="6">
        <v>13</v>
      </c>
      <c r="N45" s="6">
        <v>9</v>
      </c>
      <c r="O45" s="6">
        <v>4</v>
      </c>
      <c r="P45" s="6">
        <v>3</v>
      </c>
      <c r="Q45" s="6">
        <v>11</v>
      </c>
      <c r="R45" s="6">
        <v>6</v>
      </c>
      <c r="S45" s="5">
        <f t="shared" ref="S45:S51" si="27">SUM(E45:R45)</f>
        <v>117</v>
      </c>
    </row>
    <row r="46" spans="1:19" x14ac:dyDescent="0.4">
      <c r="A46" s="11" t="s">
        <v>50</v>
      </c>
      <c r="B46" s="46"/>
      <c r="C46" s="24" t="s">
        <v>104</v>
      </c>
      <c r="D46" s="47"/>
      <c r="E46" s="6">
        <v>17</v>
      </c>
      <c r="F46" s="6">
        <v>45</v>
      </c>
      <c r="G46" s="6">
        <v>32</v>
      </c>
      <c r="H46" s="6">
        <v>14</v>
      </c>
      <c r="I46" s="6">
        <v>42</v>
      </c>
      <c r="J46" s="6">
        <v>52</v>
      </c>
      <c r="K46" s="6">
        <v>24</v>
      </c>
      <c r="L46" s="6">
        <v>30</v>
      </c>
      <c r="M46" s="6">
        <v>71</v>
      </c>
      <c r="N46" s="6">
        <v>14</v>
      </c>
      <c r="O46" s="6">
        <v>15</v>
      </c>
      <c r="P46" s="6">
        <v>4</v>
      </c>
      <c r="Q46" s="6">
        <v>18</v>
      </c>
      <c r="R46" s="6">
        <v>8</v>
      </c>
      <c r="S46" s="5">
        <f t="shared" si="27"/>
        <v>386</v>
      </c>
    </row>
    <row r="47" spans="1:19" x14ac:dyDescent="0.4">
      <c r="A47" s="7"/>
      <c r="B47" s="46"/>
      <c r="C47" s="24" t="s">
        <v>105</v>
      </c>
      <c r="D47" s="47"/>
      <c r="E47" s="6">
        <v>3</v>
      </c>
      <c r="F47" s="6">
        <v>3</v>
      </c>
      <c r="G47" s="6">
        <v>2</v>
      </c>
      <c r="H47" s="6">
        <v>20</v>
      </c>
      <c r="I47" s="6">
        <v>14</v>
      </c>
      <c r="J47" s="6">
        <v>25</v>
      </c>
      <c r="K47" s="6">
        <v>87</v>
      </c>
      <c r="L47" s="6">
        <v>67</v>
      </c>
      <c r="M47" s="6">
        <v>30</v>
      </c>
      <c r="N47" s="6">
        <v>58</v>
      </c>
      <c r="O47" s="6">
        <v>38</v>
      </c>
      <c r="P47" s="6">
        <v>39</v>
      </c>
      <c r="Q47" s="6">
        <v>58</v>
      </c>
      <c r="R47" s="6">
        <v>27</v>
      </c>
      <c r="S47" s="5">
        <f t="shared" si="27"/>
        <v>471</v>
      </c>
    </row>
    <row r="48" spans="1:19" x14ac:dyDescent="0.4">
      <c r="A48" s="7"/>
      <c r="B48" s="46"/>
      <c r="C48" s="24" t="s">
        <v>106</v>
      </c>
      <c r="D48" s="47"/>
      <c r="E48" s="6">
        <v>3</v>
      </c>
      <c r="F48" s="6">
        <v>2</v>
      </c>
      <c r="G48" s="6">
        <v>0</v>
      </c>
      <c r="H48" s="6">
        <v>0</v>
      </c>
      <c r="I48" s="6">
        <v>0</v>
      </c>
      <c r="J48" s="6">
        <v>1</v>
      </c>
      <c r="K48" s="6">
        <v>2</v>
      </c>
      <c r="L48" s="6">
        <v>0</v>
      </c>
      <c r="M48" s="6">
        <v>1</v>
      </c>
      <c r="N48" s="6">
        <v>0</v>
      </c>
      <c r="O48" s="6">
        <v>1</v>
      </c>
      <c r="P48" s="6">
        <v>1</v>
      </c>
      <c r="Q48" s="6">
        <v>1</v>
      </c>
      <c r="R48" s="6">
        <v>1</v>
      </c>
      <c r="S48" s="5">
        <f t="shared" si="27"/>
        <v>13</v>
      </c>
    </row>
    <row r="49" spans="1:19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5">
        <f t="shared" si="27"/>
        <v>1</v>
      </c>
    </row>
    <row r="50" spans="1:19" x14ac:dyDescent="0.4">
      <c r="A50" s="7"/>
      <c r="B50" s="46"/>
      <c r="C50" s="24" t="s">
        <v>108</v>
      </c>
      <c r="D50" s="47"/>
      <c r="E50" s="6">
        <v>0</v>
      </c>
      <c r="F50" s="6">
        <v>1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5">
        <f t="shared" si="27"/>
        <v>2</v>
      </c>
    </row>
    <row r="51" spans="1:19" x14ac:dyDescent="0.4">
      <c r="A51" s="7"/>
      <c r="B51" s="46"/>
      <c r="C51" s="24" t="s">
        <v>109</v>
      </c>
      <c r="D51" s="47"/>
      <c r="E51" s="6">
        <v>0</v>
      </c>
      <c r="F51" s="6">
        <v>0</v>
      </c>
      <c r="G51" s="6">
        <v>2</v>
      </c>
      <c r="H51" s="6">
        <v>0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1</v>
      </c>
      <c r="R51" s="6">
        <v>0</v>
      </c>
      <c r="S51" s="5">
        <f t="shared" si="27"/>
        <v>5</v>
      </c>
    </row>
    <row r="52" spans="1:19" x14ac:dyDescent="0.4">
      <c r="A52" s="6" t="s">
        <v>26</v>
      </c>
      <c r="B52" s="71" t="s">
        <v>51</v>
      </c>
      <c r="C52" s="51"/>
      <c r="D52" s="52"/>
      <c r="E52" s="5">
        <f>SUM(E45:E51)</f>
        <v>26</v>
      </c>
      <c r="F52" s="5">
        <f>SUM(F45:F51)</f>
        <v>61</v>
      </c>
      <c r="G52" s="5">
        <f>SUM(G45:G51)</f>
        <v>45</v>
      </c>
      <c r="H52" s="5">
        <f>SUM(H45:H51)</f>
        <v>41</v>
      </c>
      <c r="I52" s="5">
        <f>SUM(I45:I51)</f>
        <v>64</v>
      </c>
      <c r="J52" s="5">
        <f>SUM(J45:J51)</f>
        <v>89</v>
      </c>
      <c r="K52" s="5">
        <f>SUM(K45:K51)</f>
        <v>123</v>
      </c>
      <c r="L52" s="5">
        <f>SUM(L45:L51)</f>
        <v>113</v>
      </c>
      <c r="M52" s="5">
        <f>SUM(M45:M51)</f>
        <v>115</v>
      </c>
      <c r="N52" s="5">
        <f>SUM(N45:N51)</f>
        <v>82</v>
      </c>
      <c r="O52" s="5">
        <f>SUM(O45:O51)</f>
        <v>58</v>
      </c>
      <c r="P52" s="5">
        <f>SUM(P45:P51)</f>
        <v>47</v>
      </c>
      <c r="Q52" s="5">
        <f>SUM(Q45:Q51)</f>
        <v>89</v>
      </c>
      <c r="R52" s="5">
        <f>SUM(R45:R51)</f>
        <v>42</v>
      </c>
      <c r="S52" s="5">
        <f>SUM(S45:S51)</f>
        <v>995</v>
      </c>
    </row>
    <row r="53" spans="1:19" x14ac:dyDescent="0.4">
      <c r="A53" s="77"/>
      <c r="B53" s="76"/>
      <c r="C53" s="76"/>
      <c r="D53" s="76"/>
      <c r="E53" s="76"/>
      <c r="S53" s="5"/>
    </row>
    <row r="54" spans="1:19" x14ac:dyDescent="0.4">
      <c r="A54" s="11" t="s">
        <v>48</v>
      </c>
      <c r="B54" s="17" t="s">
        <v>30</v>
      </c>
      <c r="C54" s="79" t="s">
        <v>52</v>
      </c>
      <c r="D54" s="52"/>
      <c r="E54" s="6">
        <v>2</v>
      </c>
      <c r="F54" s="6">
        <v>7</v>
      </c>
      <c r="G54" s="6">
        <v>3</v>
      </c>
      <c r="H54" s="6">
        <v>7</v>
      </c>
      <c r="I54" s="6">
        <v>9</v>
      </c>
      <c r="J54" s="6">
        <v>7</v>
      </c>
      <c r="K54" s="6">
        <v>17</v>
      </c>
      <c r="L54" s="6">
        <v>2</v>
      </c>
      <c r="M54" s="6">
        <v>5</v>
      </c>
      <c r="N54" s="6">
        <v>21</v>
      </c>
      <c r="O54" s="6">
        <v>7</v>
      </c>
      <c r="P54" s="6">
        <v>6</v>
      </c>
      <c r="Q54" s="6">
        <v>4</v>
      </c>
      <c r="R54" s="6">
        <v>5</v>
      </c>
      <c r="S54" s="5">
        <f t="shared" ref="S54:S60" si="28">SUM(E54:R54)</f>
        <v>102</v>
      </c>
    </row>
    <row r="55" spans="1:19" x14ac:dyDescent="0.4">
      <c r="A55" s="11" t="s">
        <v>50</v>
      </c>
      <c r="B55" s="46"/>
      <c r="C55" s="24" t="s">
        <v>110</v>
      </c>
      <c r="D55" s="47"/>
      <c r="E55" s="6">
        <v>8</v>
      </c>
      <c r="F55" s="6">
        <v>20</v>
      </c>
      <c r="G55" s="6">
        <v>21</v>
      </c>
      <c r="H55" s="6">
        <v>51</v>
      </c>
      <c r="I55" s="6">
        <v>15</v>
      </c>
      <c r="J55" s="6">
        <v>24</v>
      </c>
      <c r="K55" s="6">
        <v>13</v>
      </c>
      <c r="L55" s="6">
        <v>1</v>
      </c>
      <c r="M55" s="6">
        <v>3</v>
      </c>
      <c r="N55" s="6">
        <v>5</v>
      </c>
      <c r="O55" s="6">
        <v>8</v>
      </c>
      <c r="P55" s="6">
        <v>12</v>
      </c>
      <c r="Q55" s="6">
        <v>12</v>
      </c>
      <c r="R55" s="6">
        <v>12</v>
      </c>
      <c r="S55" s="5">
        <f t="shared" si="28"/>
        <v>205</v>
      </c>
    </row>
    <row r="56" spans="1:19" x14ac:dyDescent="0.4">
      <c r="A56" s="7"/>
      <c r="B56" s="46"/>
      <c r="C56" s="24" t="s">
        <v>111</v>
      </c>
      <c r="D56" s="47"/>
      <c r="E56" s="6">
        <v>3</v>
      </c>
      <c r="F56" s="6">
        <v>1</v>
      </c>
      <c r="G56" s="6">
        <v>1</v>
      </c>
      <c r="H56" s="6">
        <v>8</v>
      </c>
      <c r="I56" s="6">
        <v>10</v>
      </c>
      <c r="J56" s="6">
        <v>9</v>
      </c>
      <c r="K56" s="6">
        <v>8</v>
      </c>
      <c r="L56" s="6">
        <v>12</v>
      </c>
      <c r="M56" s="6">
        <v>6</v>
      </c>
      <c r="N56" s="6">
        <v>7</v>
      </c>
      <c r="O56" s="6">
        <v>12</v>
      </c>
      <c r="P56" s="6">
        <v>7</v>
      </c>
      <c r="Q56" s="6">
        <v>4</v>
      </c>
      <c r="R56" s="6">
        <v>7</v>
      </c>
      <c r="S56" s="5">
        <f t="shared" si="28"/>
        <v>95</v>
      </c>
    </row>
    <row r="57" spans="1:19" x14ac:dyDescent="0.4">
      <c r="A57" s="7"/>
      <c r="B57" s="46"/>
      <c r="C57" s="24" t="s">
        <v>112</v>
      </c>
      <c r="D57" s="47"/>
      <c r="E57" s="6">
        <v>3</v>
      </c>
      <c r="F57" s="6">
        <v>2</v>
      </c>
      <c r="G57" s="6">
        <v>0</v>
      </c>
      <c r="H57" s="6">
        <v>3</v>
      </c>
      <c r="I57" s="6">
        <v>0</v>
      </c>
      <c r="J57" s="6">
        <v>0</v>
      </c>
      <c r="K57" s="6">
        <v>2</v>
      </c>
      <c r="L57" s="6">
        <v>2</v>
      </c>
      <c r="M57" s="6">
        <v>1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5">
        <f t="shared" si="28"/>
        <v>14</v>
      </c>
    </row>
    <row r="58" spans="1:19" x14ac:dyDescent="0.4">
      <c r="A58" s="7"/>
      <c r="B58" s="46"/>
      <c r="C58" s="24" t="s">
        <v>113</v>
      </c>
      <c r="D58" s="47"/>
      <c r="E58" s="6">
        <v>0</v>
      </c>
      <c r="F58" s="6">
        <v>0</v>
      </c>
      <c r="G58" s="6">
        <v>0</v>
      </c>
      <c r="H58" s="6">
        <v>2</v>
      </c>
      <c r="I58" s="6">
        <v>0</v>
      </c>
      <c r="J58" s="6">
        <v>1</v>
      </c>
      <c r="K58" s="6">
        <v>1</v>
      </c>
      <c r="L58" s="6">
        <v>2</v>
      </c>
      <c r="M58" s="6">
        <v>1</v>
      </c>
      <c r="N58" s="6">
        <v>0</v>
      </c>
      <c r="O58" s="6">
        <v>8</v>
      </c>
      <c r="P58" s="6">
        <v>4</v>
      </c>
      <c r="Q58" s="6">
        <v>1</v>
      </c>
      <c r="R58" s="6">
        <v>1</v>
      </c>
      <c r="S58" s="5">
        <f t="shared" si="28"/>
        <v>21</v>
      </c>
    </row>
    <row r="59" spans="1:19" x14ac:dyDescent="0.4">
      <c r="A59" s="7"/>
      <c r="B59" s="46"/>
      <c r="C59" s="24" t="s">
        <v>114</v>
      </c>
      <c r="D59" s="47"/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5">
        <f t="shared" si="28"/>
        <v>1</v>
      </c>
    </row>
    <row r="60" spans="1:19" ht="13.15" customHeight="1" x14ac:dyDescent="0.4">
      <c r="A60" s="7"/>
      <c r="B60" s="46"/>
      <c r="C60" s="24" t="s">
        <v>115</v>
      </c>
      <c r="D60" s="47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5">
        <f t="shared" si="28"/>
        <v>0</v>
      </c>
    </row>
    <row r="61" spans="1:19" x14ac:dyDescent="0.4">
      <c r="A61" s="6" t="s">
        <v>26</v>
      </c>
      <c r="B61" s="71" t="s">
        <v>51</v>
      </c>
      <c r="C61" s="51"/>
      <c r="D61" s="52"/>
      <c r="E61" s="5">
        <f>SUM(E54:E60)</f>
        <v>17</v>
      </c>
      <c r="F61" s="5">
        <f>SUM(F54:F60)</f>
        <v>30</v>
      </c>
      <c r="G61" s="5">
        <f>SUM(G54:G60)</f>
        <v>25</v>
      </c>
      <c r="H61" s="5">
        <f>SUM(H54:H60)</f>
        <v>71</v>
      </c>
      <c r="I61" s="5">
        <f>SUM(I54:I60)</f>
        <v>34</v>
      </c>
      <c r="J61" s="5">
        <f>SUM(J54:J60)</f>
        <v>41</v>
      </c>
      <c r="K61" s="5">
        <f>SUM(K54:K60)</f>
        <v>41</v>
      </c>
      <c r="L61" s="5">
        <f>SUM(L54:L60)</f>
        <v>19</v>
      </c>
      <c r="M61" s="5">
        <f>SUM(M54:M60)</f>
        <v>16</v>
      </c>
      <c r="N61" s="5">
        <f>SUM(N54:N60)</f>
        <v>34</v>
      </c>
      <c r="O61" s="5">
        <f>SUM(O54:O60)</f>
        <v>35</v>
      </c>
      <c r="P61" s="5">
        <f>SUM(P54:P60)</f>
        <v>29</v>
      </c>
      <c r="Q61" s="5">
        <f>SUM(Q54:Q60)</f>
        <v>21</v>
      </c>
      <c r="R61" s="5">
        <f>SUM(R54:R60)</f>
        <v>25</v>
      </c>
      <c r="S61" s="5">
        <f>SUM(S54:S60)</f>
        <v>438</v>
      </c>
    </row>
    <row r="62" spans="1:19" x14ac:dyDescent="0.4">
      <c r="A62" s="77"/>
      <c r="B62" s="76"/>
      <c r="C62" s="76"/>
      <c r="D62" s="76"/>
      <c r="E62" s="76"/>
    </row>
    <row r="63" spans="1:19" x14ac:dyDescent="0.4">
      <c r="A63" s="11" t="s">
        <v>48</v>
      </c>
      <c r="B63" s="17" t="s">
        <v>32</v>
      </c>
      <c r="C63" s="79" t="s">
        <v>53</v>
      </c>
      <c r="D63" s="52"/>
      <c r="E63" s="6">
        <v>9</v>
      </c>
      <c r="F63" s="6">
        <v>13</v>
      </c>
      <c r="G63" s="6">
        <v>8</v>
      </c>
      <c r="H63" s="6">
        <v>6</v>
      </c>
      <c r="I63" s="6">
        <v>9</v>
      </c>
      <c r="J63" s="6">
        <v>7</v>
      </c>
      <c r="K63" s="6">
        <v>7</v>
      </c>
      <c r="L63" s="6">
        <v>8</v>
      </c>
      <c r="M63" s="6">
        <v>2</v>
      </c>
      <c r="N63" s="6">
        <v>10</v>
      </c>
      <c r="O63" s="6">
        <v>7</v>
      </c>
      <c r="P63" s="6">
        <v>5</v>
      </c>
      <c r="Q63" s="6">
        <v>7</v>
      </c>
      <c r="R63" s="6">
        <v>9</v>
      </c>
      <c r="S63" s="5">
        <f t="shared" ref="S63:S69" si="29">SUM(E63:R63)</f>
        <v>107</v>
      </c>
    </row>
    <row r="64" spans="1:19" x14ac:dyDescent="0.4">
      <c r="A64" s="11" t="s">
        <v>50</v>
      </c>
      <c r="B64" s="46"/>
      <c r="C64" s="24" t="s">
        <v>116</v>
      </c>
      <c r="D64" s="47"/>
      <c r="E64" s="6">
        <v>2</v>
      </c>
      <c r="F64" s="6">
        <v>1</v>
      </c>
      <c r="G64" s="6">
        <v>1</v>
      </c>
      <c r="H64" s="6">
        <v>0</v>
      </c>
      <c r="I64" s="6">
        <v>2</v>
      </c>
      <c r="J64" s="6">
        <v>0</v>
      </c>
      <c r="K64" s="6">
        <v>2</v>
      </c>
      <c r="L64" s="6">
        <v>1</v>
      </c>
      <c r="M64" s="6">
        <v>2</v>
      </c>
      <c r="N64" s="6">
        <v>8</v>
      </c>
      <c r="O64" s="6">
        <v>11</v>
      </c>
      <c r="P64" s="6">
        <v>9</v>
      </c>
      <c r="Q64" s="6">
        <v>2</v>
      </c>
      <c r="R64" s="6">
        <v>11</v>
      </c>
      <c r="S64" s="5">
        <f t="shared" si="29"/>
        <v>52</v>
      </c>
    </row>
    <row r="65" spans="1:19" x14ac:dyDescent="0.4">
      <c r="A65" s="7"/>
      <c r="B65" s="46"/>
      <c r="C65" s="24" t="s">
        <v>117</v>
      </c>
      <c r="D65" s="47"/>
      <c r="E65" s="6">
        <v>98</v>
      </c>
      <c r="F65" s="6">
        <v>52</v>
      </c>
      <c r="G65" s="6">
        <v>59</v>
      </c>
      <c r="H65" s="6">
        <v>43</v>
      </c>
      <c r="I65" s="6">
        <v>42</v>
      </c>
      <c r="J65" s="6">
        <v>24</v>
      </c>
      <c r="K65" s="6">
        <v>12</v>
      </c>
      <c r="L65" s="6">
        <v>11</v>
      </c>
      <c r="M65" s="6">
        <v>4</v>
      </c>
      <c r="N65" s="6">
        <v>9</v>
      </c>
      <c r="O65" s="6">
        <v>39</v>
      </c>
      <c r="P65" s="6">
        <v>39</v>
      </c>
      <c r="Q65" s="6">
        <v>30</v>
      </c>
      <c r="R65" s="6">
        <v>32</v>
      </c>
      <c r="S65" s="5">
        <f t="shared" si="29"/>
        <v>494</v>
      </c>
    </row>
    <row r="66" spans="1:19" x14ac:dyDescent="0.4">
      <c r="A66" s="7"/>
      <c r="B66" s="46"/>
      <c r="C66" s="24" t="s">
        <v>118</v>
      </c>
      <c r="D66" s="47"/>
      <c r="E66" s="6">
        <v>2</v>
      </c>
      <c r="F66" s="6">
        <v>0</v>
      </c>
      <c r="G66" s="6">
        <v>1</v>
      </c>
      <c r="H66" s="6">
        <v>4</v>
      </c>
      <c r="I66" s="6">
        <v>1</v>
      </c>
      <c r="J66" s="6">
        <v>3</v>
      </c>
      <c r="K66" s="6">
        <v>2</v>
      </c>
      <c r="L66" s="6">
        <v>1</v>
      </c>
      <c r="M66" s="6">
        <v>1</v>
      </c>
      <c r="N66" s="6">
        <v>1</v>
      </c>
      <c r="O66" s="6">
        <v>1</v>
      </c>
      <c r="P66" s="6">
        <v>3</v>
      </c>
      <c r="Q66" s="6">
        <v>2</v>
      </c>
      <c r="R66" s="6">
        <v>1</v>
      </c>
      <c r="S66" s="5">
        <f t="shared" si="29"/>
        <v>23</v>
      </c>
    </row>
    <row r="67" spans="1:19" x14ac:dyDescent="0.4">
      <c r="A67" s="7"/>
      <c r="B67" s="46"/>
      <c r="C67" s="24" t="s">
        <v>119</v>
      </c>
      <c r="D67" s="47"/>
      <c r="E67" s="6">
        <v>0</v>
      </c>
      <c r="F67" s="6">
        <v>0</v>
      </c>
      <c r="G67" s="6">
        <v>0</v>
      </c>
      <c r="H67" s="6">
        <v>1</v>
      </c>
      <c r="I67" s="6">
        <v>2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1</v>
      </c>
      <c r="S67" s="5">
        <f t="shared" si="29"/>
        <v>4</v>
      </c>
    </row>
    <row r="68" spans="1:19" ht="13.15" customHeight="1" x14ac:dyDescent="0.4">
      <c r="A68" s="7"/>
      <c r="B68" s="46"/>
      <c r="C68" s="24" t="s">
        <v>120</v>
      </c>
      <c r="D68" s="47"/>
      <c r="E68" s="6">
        <v>16</v>
      </c>
      <c r="F68" s="6">
        <v>20</v>
      </c>
      <c r="G68" s="6">
        <v>27</v>
      </c>
      <c r="H68" s="6">
        <v>0</v>
      </c>
      <c r="I68" s="6">
        <v>1</v>
      </c>
      <c r="J68" s="6">
        <v>2</v>
      </c>
      <c r="K68" s="6">
        <v>2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1</v>
      </c>
      <c r="S68" s="5">
        <f t="shared" si="29"/>
        <v>70</v>
      </c>
    </row>
    <row r="69" spans="1:19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5">
        <f t="shared" si="29"/>
        <v>0</v>
      </c>
    </row>
    <row r="70" spans="1:19" x14ac:dyDescent="0.4">
      <c r="A70" s="6" t="s">
        <v>26</v>
      </c>
      <c r="B70" s="71" t="s">
        <v>51</v>
      </c>
      <c r="C70" s="51"/>
      <c r="D70" s="52"/>
      <c r="E70" s="5">
        <f>SUM(E63:E69)</f>
        <v>127</v>
      </c>
      <c r="F70" s="5">
        <f>SUM(F63:F69)</f>
        <v>86</v>
      </c>
      <c r="G70" s="5">
        <f>SUM(G63:G69)</f>
        <v>96</v>
      </c>
      <c r="H70" s="5">
        <f>SUM(H63:H69)</f>
        <v>54</v>
      </c>
      <c r="I70" s="5">
        <f>SUM(I63:I69)</f>
        <v>57</v>
      </c>
      <c r="J70" s="5">
        <f>SUM(J63:J69)</f>
        <v>36</v>
      </c>
      <c r="K70" s="5">
        <f>SUM(K63:K69)</f>
        <v>25</v>
      </c>
      <c r="L70" s="5">
        <f>SUM(L63:L69)</f>
        <v>21</v>
      </c>
      <c r="M70" s="5">
        <f>SUM(M63:M69)</f>
        <v>9</v>
      </c>
      <c r="N70" s="5">
        <f>SUM(N63:N69)</f>
        <v>28</v>
      </c>
      <c r="O70" s="5">
        <f>SUM(O63:O69)</f>
        <v>58</v>
      </c>
      <c r="P70" s="5">
        <f>SUM(P63:P69)</f>
        <v>56</v>
      </c>
      <c r="Q70" s="5">
        <f>SUM(Q63:Q69)</f>
        <v>42</v>
      </c>
      <c r="R70" s="5">
        <f>SUM(R63:R69)</f>
        <v>55</v>
      </c>
      <c r="S70" s="5">
        <f>SUM(S63:S69)</f>
        <v>750</v>
      </c>
    </row>
    <row r="71" spans="1:19" x14ac:dyDescent="0.4">
      <c r="A71" s="77"/>
      <c r="B71" s="76"/>
      <c r="C71" s="76"/>
      <c r="D71" s="76"/>
      <c r="E71" s="76"/>
    </row>
    <row r="72" spans="1:19" x14ac:dyDescent="0.4">
      <c r="A72" s="11" t="s">
        <v>48</v>
      </c>
      <c r="B72" s="17" t="s">
        <v>34</v>
      </c>
      <c r="C72" s="79" t="s">
        <v>54</v>
      </c>
      <c r="D72" s="52"/>
      <c r="E72" s="6">
        <v>1</v>
      </c>
      <c r="F72" s="6">
        <v>2</v>
      </c>
      <c r="G72" s="6">
        <v>2</v>
      </c>
      <c r="H72" s="6">
        <v>1</v>
      </c>
      <c r="I72" s="6">
        <v>2</v>
      </c>
      <c r="J72" s="6">
        <v>0</v>
      </c>
      <c r="K72" s="6">
        <v>1</v>
      </c>
      <c r="L72" s="6">
        <v>4</v>
      </c>
      <c r="M72" s="6">
        <v>1</v>
      </c>
      <c r="N72" s="6">
        <v>2</v>
      </c>
      <c r="O72" s="6">
        <v>4</v>
      </c>
      <c r="P72" s="6">
        <v>1</v>
      </c>
      <c r="Q72" s="6">
        <v>1</v>
      </c>
      <c r="R72" s="6">
        <v>5</v>
      </c>
      <c r="S72" s="5">
        <f t="shared" ref="S72:S78" si="30">SUM(E72:R72)</f>
        <v>27</v>
      </c>
    </row>
    <row r="73" spans="1:19" x14ac:dyDescent="0.4">
      <c r="A73" s="11" t="s">
        <v>50</v>
      </c>
      <c r="B73" s="46"/>
      <c r="C73" s="24" t="s">
        <v>122</v>
      </c>
      <c r="D73" s="47"/>
      <c r="E73" s="6">
        <v>14</v>
      </c>
      <c r="F73" s="6">
        <v>5</v>
      </c>
      <c r="G73" s="6">
        <v>9</v>
      </c>
      <c r="H73" s="6">
        <v>3</v>
      </c>
      <c r="I73" s="6">
        <v>1</v>
      </c>
      <c r="J73" s="6">
        <v>1</v>
      </c>
      <c r="K73" s="6">
        <v>1</v>
      </c>
      <c r="L73" s="6">
        <v>7</v>
      </c>
      <c r="M73" s="6">
        <v>5</v>
      </c>
      <c r="N73" s="6">
        <v>5</v>
      </c>
      <c r="O73" s="6">
        <v>5</v>
      </c>
      <c r="P73" s="6">
        <v>4</v>
      </c>
      <c r="Q73" s="6">
        <v>9</v>
      </c>
      <c r="R73" s="6">
        <v>3</v>
      </c>
      <c r="S73" s="5">
        <f t="shared" si="30"/>
        <v>72</v>
      </c>
    </row>
    <row r="74" spans="1:19" x14ac:dyDescent="0.4">
      <c r="A74" s="7"/>
      <c r="B74" s="46"/>
      <c r="C74" s="24" t="s">
        <v>123</v>
      </c>
      <c r="D74" s="47"/>
      <c r="E74" s="6">
        <v>0</v>
      </c>
      <c r="F74" s="6">
        <v>2</v>
      </c>
      <c r="G74" s="6">
        <v>8</v>
      </c>
      <c r="H74" s="6">
        <v>2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4</v>
      </c>
      <c r="Q74" s="6">
        <v>0</v>
      </c>
      <c r="R74" s="6">
        <v>1</v>
      </c>
      <c r="S74" s="5">
        <f t="shared" si="30"/>
        <v>18</v>
      </c>
    </row>
    <row r="75" spans="1:19" x14ac:dyDescent="0.4">
      <c r="A75" s="7"/>
      <c r="B75" s="46"/>
      <c r="C75" s="24" t="s">
        <v>124</v>
      </c>
      <c r="D75" s="47"/>
      <c r="E75" s="6">
        <v>1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2</v>
      </c>
      <c r="R75" s="6">
        <v>3</v>
      </c>
      <c r="S75" s="5">
        <f t="shared" si="30"/>
        <v>8</v>
      </c>
    </row>
    <row r="76" spans="1:19" ht="13.15" customHeight="1" x14ac:dyDescent="0.4">
      <c r="A76" s="7"/>
      <c r="B76" s="46"/>
      <c r="C76" s="24" t="s">
        <v>125</v>
      </c>
      <c r="D76" s="47"/>
      <c r="E76" s="6">
        <v>0</v>
      </c>
      <c r="F76" s="6">
        <v>0</v>
      </c>
      <c r="G76" s="6">
        <v>0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5">
        <f t="shared" si="30"/>
        <v>1</v>
      </c>
    </row>
    <row r="77" spans="1:19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5">
        <f t="shared" si="30"/>
        <v>0</v>
      </c>
    </row>
    <row r="78" spans="1:19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3</v>
      </c>
      <c r="R78" s="6">
        <v>0</v>
      </c>
      <c r="S78" s="5">
        <f t="shared" si="30"/>
        <v>4</v>
      </c>
    </row>
    <row r="79" spans="1:19" x14ac:dyDescent="0.4">
      <c r="A79" s="6" t="s">
        <v>26</v>
      </c>
      <c r="B79" s="71" t="s">
        <v>51</v>
      </c>
      <c r="C79" s="51"/>
      <c r="D79" s="52"/>
      <c r="E79" s="5">
        <f>SUM(E72:E78)</f>
        <v>16</v>
      </c>
      <c r="F79" s="5">
        <f>SUM(F72:F78)</f>
        <v>9</v>
      </c>
      <c r="G79" s="5">
        <f>SUM(G72:G78)</f>
        <v>19</v>
      </c>
      <c r="H79" s="5">
        <f>SUM(H72:H78)</f>
        <v>8</v>
      </c>
      <c r="I79" s="5">
        <f>SUM(I72:I78)</f>
        <v>3</v>
      </c>
      <c r="J79" s="5">
        <f>SUM(J72:J78)</f>
        <v>1</v>
      </c>
      <c r="K79" s="5">
        <f>SUM(K72:K78)</f>
        <v>3</v>
      </c>
      <c r="L79" s="5">
        <f>SUM(L72:L78)</f>
        <v>11</v>
      </c>
      <c r="M79" s="5">
        <f>SUM(M72:M78)</f>
        <v>6</v>
      </c>
      <c r="N79" s="5">
        <f>SUM(N72:N78)</f>
        <v>8</v>
      </c>
      <c r="O79" s="5">
        <f>SUM(O72:O78)</f>
        <v>9</v>
      </c>
      <c r="P79" s="5">
        <f>SUM(P72:P78)</f>
        <v>10</v>
      </c>
      <c r="Q79" s="5">
        <f>SUM(Q72:Q78)</f>
        <v>15</v>
      </c>
      <c r="R79" s="5">
        <f>SUM(R72:R78)</f>
        <v>12</v>
      </c>
      <c r="S79" s="5">
        <f>SUM(S72:S78)</f>
        <v>130</v>
      </c>
    </row>
    <row r="80" spans="1:19" x14ac:dyDescent="0.4">
      <c r="A80" s="77"/>
      <c r="B80" s="76"/>
      <c r="C80" s="76"/>
      <c r="D80" s="76"/>
      <c r="E80" s="76"/>
    </row>
    <row r="81" spans="1:19" x14ac:dyDescent="0.4">
      <c r="A81" s="11" t="s">
        <v>48</v>
      </c>
      <c r="B81" s="17" t="s">
        <v>55</v>
      </c>
      <c r="C81" s="79" t="s">
        <v>56</v>
      </c>
      <c r="D81" s="52"/>
      <c r="E81" s="6">
        <v>0</v>
      </c>
      <c r="F81" s="6">
        <v>2</v>
      </c>
      <c r="G81" s="6">
        <v>2</v>
      </c>
      <c r="H81" s="6">
        <v>1</v>
      </c>
      <c r="I81" s="6">
        <v>3</v>
      </c>
      <c r="J81" s="6">
        <v>2</v>
      </c>
      <c r="K81" s="6">
        <v>1</v>
      </c>
      <c r="L81" s="6">
        <v>0</v>
      </c>
      <c r="M81" s="6">
        <v>0</v>
      </c>
      <c r="N81" s="6">
        <v>2</v>
      </c>
      <c r="O81" s="6">
        <v>0</v>
      </c>
      <c r="P81" s="6">
        <v>0</v>
      </c>
      <c r="Q81" s="6">
        <v>0</v>
      </c>
      <c r="R81" s="6">
        <v>0</v>
      </c>
      <c r="S81" s="5">
        <f t="shared" ref="S81:S87" si="31">SUM(E81:R81)</f>
        <v>13</v>
      </c>
    </row>
    <row r="82" spans="1:19" x14ac:dyDescent="0.4">
      <c r="A82" s="11" t="s">
        <v>50</v>
      </c>
      <c r="B82" s="46"/>
      <c r="C82" s="24" t="s">
        <v>128</v>
      </c>
      <c r="D82" s="47"/>
      <c r="E82" s="6">
        <v>0</v>
      </c>
      <c r="F82" s="6">
        <v>0</v>
      </c>
      <c r="G82" s="6">
        <v>1</v>
      </c>
      <c r="H82" s="6">
        <v>0</v>
      </c>
      <c r="I82" s="6">
        <v>0</v>
      </c>
      <c r="J82" s="6">
        <v>1</v>
      </c>
      <c r="K82" s="6">
        <v>0</v>
      </c>
      <c r="L82" s="6">
        <v>0</v>
      </c>
      <c r="M82" s="6">
        <v>0</v>
      </c>
      <c r="N82" s="6">
        <v>1</v>
      </c>
      <c r="O82" s="6">
        <v>1</v>
      </c>
      <c r="P82" s="6">
        <v>0</v>
      </c>
      <c r="Q82" s="6">
        <v>0</v>
      </c>
      <c r="R82" s="6">
        <v>0</v>
      </c>
      <c r="S82" s="5">
        <f t="shared" si="31"/>
        <v>4</v>
      </c>
    </row>
    <row r="83" spans="1:19" x14ac:dyDescent="0.4">
      <c r="A83" s="7"/>
      <c r="B83" s="46"/>
      <c r="C83" s="24" t="s">
        <v>129</v>
      </c>
      <c r="D83" s="47"/>
      <c r="E83" s="6">
        <v>0</v>
      </c>
      <c r="F83" s="6">
        <v>0</v>
      </c>
      <c r="G83" s="6">
        <v>0</v>
      </c>
      <c r="H83" s="6">
        <v>1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5">
        <f t="shared" si="31"/>
        <v>2</v>
      </c>
    </row>
    <row r="84" spans="1:19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2</v>
      </c>
      <c r="R84" s="6">
        <v>0</v>
      </c>
      <c r="S84" s="5">
        <f t="shared" si="31"/>
        <v>2</v>
      </c>
    </row>
    <row r="85" spans="1:19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5">
        <f t="shared" si="31"/>
        <v>0</v>
      </c>
    </row>
    <row r="86" spans="1:19" x14ac:dyDescent="0.4">
      <c r="A86" s="7"/>
      <c r="B86" s="46"/>
      <c r="C86" s="24" t="s">
        <v>132</v>
      </c>
      <c r="D86" s="47"/>
      <c r="E86" s="6">
        <v>0</v>
      </c>
      <c r="F86" s="6">
        <v>6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1</v>
      </c>
      <c r="M86" s="6">
        <v>0</v>
      </c>
      <c r="N86" s="6">
        <v>7</v>
      </c>
      <c r="O86" s="6">
        <v>6</v>
      </c>
      <c r="P86" s="6">
        <v>2</v>
      </c>
      <c r="Q86" s="6">
        <v>1</v>
      </c>
      <c r="R86" s="6">
        <v>1</v>
      </c>
      <c r="S86" s="5">
        <f t="shared" si="31"/>
        <v>24</v>
      </c>
    </row>
    <row r="87" spans="1:19" x14ac:dyDescent="0.4">
      <c r="A87" s="7"/>
      <c r="B87" s="46"/>
      <c r="C87" s="24" t="s">
        <v>133</v>
      </c>
      <c r="D87" s="47"/>
      <c r="E87" s="6">
        <v>18</v>
      </c>
      <c r="F87" s="6">
        <v>6</v>
      </c>
      <c r="G87" s="6">
        <v>2</v>
      </c>
      <c r="H87" s="6">
        <v>0</v>
      </c>
      <c r="I87" s="6">
        <v>1</v>
      </c>
      <c r="J87" s="6">
        <v>1</v>
      </c>
      <c r="K87" s="6">
        <v>4</v>
      </c>
      <c r="L87" s="6">
        <v>9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5">
        <f t="shared" si="31"/>
        <v>41</v>
      </c>
    </row>
    <row r="88" spans="1:19" x14ac:dyDescent="0.4">
      <c r="A88" s="6" t="s">
        <v>26</v>
      </c>
      <c r="B88" s="71" t="s">
        <v>51</v>
      </c>
      <c r="C88" s="51"/>
      <c r="D88" s="52"/>
      <c r="E88" s="5">
        <f>SUM(E81:E87)</f>
        <v>18</v>
      </c>
      <c r="F88" s="5">
        <f>SUM(F81:F87)</f>
        <v>14</v>
      </c>
      <c r="G88" s="5">
        <f>SUM(G81:G87)</f>
        <v>5</v>
      </c>
      <c r="H88" s="5">
        <f>SUM(H81:H87)</f>
        <v>2</v>
      </c>
      <c r="I88" s="5">
        <f>SUM(I81:I87)</f>
        <v>5</v>
      </c>
      <c r="J88" s="5">
        <f>SUM(J81:J87)</f>
        <v>4</v>
      </c>
      <c r="K88" s="5">
        <f>SUM(K81:K87)</f>
        <v>5</v>
      </c>
      <c r="L88" s="5">
        <f>SUM(L81:L87)</f>
        <v>10</v>
      </c>
      <c r="M88" s="5">
        <f>SUM(M81:M87)</f>
        <v>0</v>
      </c>
      <c r="N88" s="5">
        <f>SUM(N81:N87)</f>
        <v>10</v>
      </c>
      <c r="O88" s="5">
        <f>SUM(O81:O87)</f>
        <v>7</v>
      </c>
      <c r="P88" s="5">
        <f>SUM(P81:P87)</f>
        <v>2</v>
      </c>
      <c r="Q88" s="5">
        <f>SUM(Q81:Q87)</f>
        <v>3</v>
      </c>
      <c r="R88" s="5">
        <f>SUM(R81:R87)</f>
        <v>1</v>
      </c>
      <c r="S88" s="5">
        <f>SUM(S81:S87)</f>
        <v>86</v>
      </c>
    </row>
    <row r="89" spans="1:19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1:19" x14ac:dyDescent="0.4">
      <c r="A90" s="11" t="s">
        <v>48</v>
      </c>
      <c r="B90" s="17" t="s">
        <v>57</v>
      </c>
      <c r="C90" s="79" t="s">
        <v>58</v>
      </c>
      <c r="D90" s="52"/>
      <c r="E90" s="6">
        <v>0</v>
      </c>
      <c r="F90" s="6">
        <v>1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5">
        <f t="shared" ref="S90" si="32">SUM(E90:R90)</f>
        <v>3</v>
      </c>
    </row>
    <row r="91" spans="1:19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1</v>
      </c>
      <c r="G91" s="5">
        <f>SUM(G90:G90)</f>
        <v>0</v>
      </c>
      <c r="H91" s="5">
        <f>SUM(H90:H90)</f>
        <v>0</v>
      </c>
      <c r="I91" s="5">
        <f>SUM(I90:I90)</f>
        <v>1</v>
      </c>
      <c r="J91" s="5">
        <f>SUM(J90:J90)</f>
        <v>0</v>
      </c>
      <c r="K91" s="5">
        <f>SUM(K90:K90)</f>
        <v>0</v>
      </c>
      <c r="L91" s="5">
        <f>SUM(L90:L90)</f>
        <v>1</v>
      </c>
      <c r="M91" s="5">
        <f>SUM(M90:M90)</f>
        <v>0</v>
      </c>
      <c r="N91" s="5">
        <f>SUM(N90:N90)</f>
        <v>0</v>
      </c>
      <c r="O91" s="5">
        <f>SUM(O90:O90)</f>
        <v>0</v>
      </c>
      <c r="P91" s="5">
        <f>SUM(P90:P90)</f>
        <v>0</v>
      </c>
      <c r="Q91" s="5">
        <f>SUM(Q90:Q90)</f>
        <v>0</v>
      </c>
      <c r="R91" s="5">
        <f>SUM(R90:R90)</f>
        <v>0</v>
      </c>
      <c r="S91" s="5">
        <f>SUM(S90:S90)</f>
        <v>3</v>
      </c>
    </row>
    <row r="92" spans="1:19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5"/>
    </row>
    <row r="93" spans="1:19" x14ac:dyDescent="0.4">
      <c r="A93" s="11" t="s">
        <v>48</v>
      </c>
      <c r="B93" s="17" t="s">
        <v>59</v>
      </c>
      <c r="C93" s="79" t="s">
        <v>60</v>
      </c>
      <c r="D93" s="5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5">
        <f t="shared" ref="S93:S96" si="33">SUM(E93:R93)</f>
        <v>1</v>
      </c>
    </row>
    <row r="94" spans="1:19" x14ac:dyDescent="0.4">
      <c r="A94" s="11" t="s">
        <v>50</v>
      </c>
      <c r="B94" s="46"/>
      <c r="C94" s="24" t="s">
        <v>134</v>
      </c>
      <c r="D94" s="47"/>
      <c r="E94" s="6">
        <v>0</v>
      </c>
      <c r="F94" s="6">
        <v>0</v>
      </c>
      <c r="G94" s="6">
        <v>0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5">
        <f t="shared" si="33"/>
        <v>1</v>
      </c>
    </row>
    <row r="95" spans="1:19" x14ac:dyDescent="0.4">
      <c r="A95" s="7"/>
      <c r="B95" s="46"/>
      <c r="C95" s="24" t="s">
        <v>135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5">
        <f t="shared" si="33"/>
        <v>0</v>
      </c>
    </row>
    <row r="96" spans="1:19" x14ac:dyDescent="0.4">
      <c r="A96" s="7"/>
      <c r="B96" s="46"/>
      <c r="C96" s="24" t="s">
        <v>136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5">
        <f t="shared" si="33"/>
        <v>0</v>
      </c>
    </row>
    <row r="97" spans="1:19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0</v>
      </c>
      <c r="G97" s="5">
        <f>SUM(G93:G96)</f>
        <v>0</v>
      </c>
      <c r="H97" s="5">
        <f>SUM(H93:H96)</f>
        <v>1</v>
      </c>
      <c r="I97" s="5">
        <f>SUM(I93:I96)</f>
        <v>0</v>
      </c>
      <c r="J97" s="5">
        <f>SUM(J93:J96)</f>
        <v>0</v>
      </c>
      <c r="K97" s="5">
        <f>SUM(K93:K96)</f>
        <v>0</v>
      </c>
      <c r="L97" s="5">
        <f>SUM(L93:L96)</f>
        <v>1</v>
      </c>
      <c r="M97" s="5">
        <f>SUM(M93:M96)</f>
        <v>0</v>
      </c>
      <c r="N97" s="5">
        <f>SUM(N93:N96)</f>
        <v>0</v>
      </c>
      <c r="O97" s="5">
        <f>SUM(O93:O96)</f>
        <v>0</v>
      </c>
      <c r="P97" s="5">
        <f>SUM(P93:P96)</f>
        <v>0</v>
      </c>
      <c r="Q97" s="5">
        <f>SUM(Q93:Q96)</f>
        <v>0</v>
      </c>
      <c r="R97" s="5">
        <f>SUM(R93:R96)</f>
        <v>0</v>
      </c>
      <c r="S97" s="5">
        <f>SUM(S93:S96)</f>
        <v>2</v>
      </c>
    </row>
    <row r="98" spans="1:19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1:19" x14ac:dyDescent="0.4">
      <c r="A99" s="11" t="s">
        <v>48</v>
      </c>
      <c r="B99" s="17" t="s">
        <v>61</v>
      </c>
      <c r="C99" s="79" t="s">
        <v>62</v>
      </c>
      <c r="D99" s="52"/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5">
        <f t="shared" ref="S99:S105" si="34">SUM(E99:R99)</f>
        <v>1</v>
      </c>
    </row>
    <row r="100" spans="1:19" ht="13.15" customHeight="1" x14ac:dyDescent="0.4">
      <c r="A100" s="11" t="s">
        <v>50</v>
      </c>
      <c r="B100" s="46"/>
      <c r="C100" s="24" t="s">
        <v>137</v>
      </c>
      <c r="D100" s="47"/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5">
        <f t="shared" si="34"/>
        <v>2</v>
      </c>
    </row>
    <row r="101" spans="1:19" x14ac:dyDescent="0.4">
      <c r="A101" s="7"/>
      <c r="B101" s="46"/>
      <c r="C101" s="24" t="s">
        <v>138</v>
      </c>
      <c r="D101" s="47"/>
      <c r="E101" s="6">
        <v>0</v>
      </c>
      <c r="F101" s="6">
        <v>1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1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5">
        <f t="shared" si="34"/>
        <v>2</v>
      </c>
    </row>
    <row r="102" spans="1:19" x14ac:dyDescent="0.4">
      <c r="A102" s="7"/>
      <c r="B102" s="46"/>
      <c r="C102" s="24" t="s">
        <v>139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5">
        <f t="shared" si="34"/>
        <v>0</v>
      </c>
    </row>
    <row r="103" spans="1:19" x14ac:dyDescent="0.4">
      <c r="A103" s="7"/>
      <c r="B103" s="46"/>
      <c r="C103" s="24" t="s">
        <v>140</v>
      </c>
      <c r="D103" s="47"/>
      <c r="E103" s="6">
        <v>0</v>
      </c>
      <c r="F103" s="6">
        <v>0</v>
      </c>
      <c r="G103" s="6">
        <v>0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5">
        <f t="shared" si="34"/>
        <v>1</v>
      </c>
    </row>
    <row r="104" spans="1:19" x14ac:dyDescent="0.4">
      <c r="A104" s="7"/>
      <c r="B104" s="46"/>
      <c r="C104" s="24" t="s">
        <v>141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5">
        <f t="shared" si="34"/>
        <v>0</v>
      </c>
    </row>
    <row r="105" spans="1:19" x14ac:dyDescent="0.4">
      <c r="A105" s="7"/>
      <c r="B105" s="46"/>
      <c r="C105" s="24" t="s">
        <v>142</v>
      </c>
      <c r="D105" s="47"/>
      <c r="E105" s="6">
        <v>0</v>
      </c>
      <c r="F105" s="6">
        <v>1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5">
        <f t="shared" si="34"/>
        <v>1</v>
      </c>
    </row>
    <row r="106" spans="1:19" x14ac:dyDescent="0.4">
      <c r="A106" s="6" t="s">
        <v>26</v>
      </c>
      <c r="B106" s="71" t="s">
        <v>51</v>
      </c>
      <c r="C106" s="80"/>
      <c r="D106" s="81"/>
      <c r="E106" s="5">
        <f>SUM(E99:E105)</f>
        <v>0</v>
      </c>
      <c r="F106" s="5">
        <f>SUM(F99:F105)</f>
        <v>2</v>
      </c>
      <c r="G106" s="5">
        <f>SUM(G99:G105)</f>
        <v>0</v>
      </c>
      <c r="H106" s="5">
        <f>SUM(H99:H105)</f>
        <v>2</v>
      </c>
      <c r="I106" s="5">
        <f>SUM(I99:I105)</f>
        <v>1</v>
      </c>
      <c r="J106" s="5">
        <f>SUM(J99:J105)</f>
        <v>0</v>
      </c>
      <c r="K106" s="5">
        <f>SUM(K99:K105)</f>
        <v>0</v>
      </c>
      <c r="L106" s="5">
        <f>SUM(L99:L105)</f>
        <v>0</v>
      </c>
      <c r="M106" s="5">
        <f>SUM(M99:M105)</f>
        <v>2</v>
      </c>
      <c r="N106" s="5">
        <f>SUM(N99:N105)</f>
        <v>0</v>
      </c>
      <c r="O106" s="5">
        <f>SUM(O99:O105)</f>
        <v>0</v>
      </c>
      <c r="P106" s="5">
        <f>SUM(P99:P105)</f>
        <v>0</v>
      </c>
      <c r="Q106" s="5">
        <f>SUM(Q99:Q105)</f>
        <v>0</v>
      </c>
      <c r="R106" s="5">
        <f>SUM(R99:R105)</f>
        <v>0</v>
      </c>
      <c r="S106" s="5">
        <f>SUM(S99:S105)</f>
        <v>7</v>
      </c>
    </row>
    <row r="107" spans="1:19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1:19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ref="S108:S109" si="35">SUM(E108:R108)</f>
        <v>0</v>
      </c>
    </row>
    <row r="109" spans="1:19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35"/>
        <v>0</v>
      </c>
    </row>
    <row r="110" spans="1:19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  <c r="R110" s="5">
        <f>SUM(R108:R109)</f>
        <v>0</v>
      </c>
      <c r="S110" s="5">
        <f>SUM(S108:S109)</f>
        <v>0</v>
      </c>
    </row>
    <row r="111" spans="1:19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5"/>
    </row>
    <row r="112" spans="1:19" x14ac:dyDescent="0.4">
      <c r="A112" s="11" t="s">
        <v>48</v>
      </c>
      <c r="B112" s="44" t="s">
        <v>65</v>
      </c>
      <c r="C112" s="84" t="s">
        <v>66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5">
        <f t="shared" ref="S112:S118" si="36">SUM(E112:R112)</f>
        <v>0</v>
      </c>
    </row>
    <row r="113" spans="1:19" x14ac:dyDescent="0.4">
      <c r="A113" s="48" t="s">
        <v>50</v>
      </c>
      <c r="B113" s="46"/>
      <c r="C113" s="24" t="s">
        <v>144</v>
      </c>
      <c r="D113" s="47"/>
      <c r="E113" s="49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5">
        <f t="shared" si="36"/>
        <v>0</v>
      </c>
    </row>
    <row r="114" spans="1:19" x14ac:dyDescent="0.4">
      <c r="A114" s="7"/>
      <c r="B114" s="46"/>
      <c r="C114" s="24" t="s">
        <v>145</v>
      </c>
      <c r="D114" s="47"/>
      <c r="E114" s="49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1</v>
      </c>
      <c r="O114" s="6">
        <v>0</v>
      </c>
      <c r="P114" s="6">
        <v>0</v>
      </c>
      <c r="Q114" s="6">
        <v>0</v>
      </c>
      <c r="R114" s="6">
        <v>0</v>
      </c>
      <c r="S114" s="5">
        <f t="shared" si="36"/>
        <v>1</v>
      </c>
    </row>
    <row r="115" spans="1:19" x14ac:dyDescent="0.4">
      <c r="A115" s="7"/>
      <c r="B115" s="46"/>
      <c r="C115" s="24" t="s">
        <v>146</v>
      </c>
      <c r="D115" s="47"/>
      <c r="E115" s="49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5">
        <f t="shared" si="36"/>
        <v>0</v>
      </c>
    </row>
    <row r="116" spans="1:19" x14ac:dyDescent="0.4">
      <c r="A116" s="7"/>
      <c r="B116" s="46"/>
      <c r="C116" s="24" t="s">
        <v>147</v>
      </c>
      <c r="D116" s="47"/>
      <c r="E116" s="49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3</v>
      </c>
      <c r="P116" s="6">
        <v>0</v>
      </c>
      <c r="Q116" s="6">
        <v>0</v>
      </c>
      <c r="R116" s="6">
        <v>2</v>
      </c>
      <c r="S116" s="5">
        <f t="shared" si="36"/>
        <v>5</v>
      </c>
    </row>
    <row r="117" spans="1:19" x14ac:dyDescent="0.4">
      <c r="A117" s="7"/>
      <c r="B117" s="46"/>
      <c r="C117" s="24" t="s">
        <v>148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</v>
      </c>
      <c r="P117" s="6">
        <v>0</v>
      </c>
      <c r="Q117" s="6">
        <v>0</v>
      </c>
      <c r="R117" s="6">
        <v>0</v>
      </c>
      <c r="S117" s="5">
        <f t="shared" si="36"/>
        <v>1</v>
      </c>
    </row>
    <row r="118" spans="1:19" x14ac:dyDescent="0.4">
      <c r="A118" s="7"/>
      <c r="B118" s="46"/>
      <c r="C118" s="24" t="s">
        <v>149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2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5">
        <f t="shared" si="36"/>
        <v>2</v>
      </c>
    </row>
    <row r="119" spans="1:19" x14ac:dyDescent="0.4">
      <c r="A119" s="6" t="s">
        <v>26</v>
      </c>
      <c r="B119" s="85" t="s">
        <v>51</v>
      </c>
      <c r="C119" s="86"/>
      <c r="D119" s="87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2</v>
      </c>
      <c r="J119" s="5">
        <f>SUM(J112:J118)</f>
        <v>0</v>
      </c>
      <c r="K119" s="5">
        <f>SUM(K112:K118)</f>
        <v>0</v>
      </c>
      <c r="L119" s="5">
        <f>SUM(L112:L118)</f>
        <v>0</v>
      </c>
      <c r="M119" s="5">
        <f>SUM(M112:M118)</f>
        <v>0</v>
      </c>
      <c r="N119" s="5">
        <f>SUM(N112:N118)</f>
        <v>1</v>
      </c>
      <c r="O119" s="5">
        <f>SUM(O112:O118)</f>
        <v>4</v>
      </c>
      <c r="P119" s="5">
        <f>SUM(P112:P118)</f>
        <v>0</v>
      </c>
      <c r="Q119" s="5">
        <f>SUM(Q112:Q118)</f>
        <v>0</v>
      </c>
      <c r="R119" s="5">
        <f>SUM(R112:R118)</f>
        <v>2</v>
      </c>
      <c r="S119" s="5">
        <f>SUM(S112:S118)</f>
        <v>9</v>
      </c>
    </row>
    <row r="120" spans="1:19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1:19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>
        <v>2</v>
      </c>
      <c r="S121" s="5">
        <f t="shared" ref="S121" si="37">SUM(E121:R121)</f>
        <v>2</v>
      </c>
    </row>
    <row r="122" spans="1:19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0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0</v>
      </c>
      <c r="R122" s="5">
        <f>SUM(R121:R121)</f>
        <v>2</v>
      </c>
      <c r="S122" s="5">
        <f>SUM(S121:S121)</f>
        <v>2</v>
      </c>
    </row>
    <row r="123" spans="1:19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1:19" x14ac:dyDescent="0.4">
      <c r="A124" s="11" t="s">
        <v>48</v>
      </c>
      <c r="B124" s="17" t="s">
        <v>69</v>
      </c>
      <c r="C124" s="79" t="s">
        <v>70</v>
      </c>
      <c r="D124" s="5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1</v>
      </c>
      <c r="P124" s="6">
        <v>0</v>
      </c>
      <c r="Q124" s="6">
        <v>0</v>
      </c>
      <c r="R124" s="6">
        <v>0</v>
      </c>
      <c r="S124" s="5">
        <f t="shared" ref="S124:S128" si="38">SUM(E124:R124)</f>
        <v>2</v>
      </c>
    </row>
    <row r="125" spans="1:19" x14ac:dyDescent="0.4">
      <c r="A125" s="11" t="s">
        <v>50</v>
      </c>
      <c r="B125" s="46"/>
      <c r="C125" s="24" t="s">
        <v>150</v>
      </c>
      <c r="D125" s="47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1</v>
      </c>
      <c r="O125" s="6">
        <v>1</v>
      </c>
      <c r="P125" s="6">
        <v>0</v>
      </c>
      <c r="Q125" s="6">
        <v>0</v>
      </c>
      <c r="R125" s="6">
        <v>0</v>
      </c>
      <c r="S125" s="5">
        <f t="shared" si="38"/>
        <v>2</v>
      </c>
    </row>
    <row r="126" spans="1:19" x14ac:dyDescent="0.4">
      <c r="A126" s="7"/>
      <c r="B126" s="46"/>
      <c r="C126" s="24" t="s">
        <v>151</v>
      </c>
      <c r="D126" s="47"/>
      <c r="E126" s="6">
        <v>0</v>
      </c>
      <c r="F126" s="6">
        <v>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5">
        <f t="shared" si="38"/>
        <v>1</v>
      </c>
    </row>
    <row r="127" spans="1:19" x14ac:dyDescent="0.4">
      <c r="A127" s="7"/>
      <c r="B127" s="46"/>
      <c r="C127" s="24" t="s">
        <v>152</v>
      </c>
      <c r="D127" s="47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>
        <v>0</v>
      </c>
      <c r="Q127" s="6">
        <v>0</v>
      </c>
      <c r="R127" s="6">
        <v>0</v>
      </c>
      <c r="S127" s="5">
        <f t="shared" si="38"/>
        <v>2</v>
      </c>
    </row>
    <row r="128" spans="1:19" x14ac:dyDescent="0.4">
      <c r="A128" s="7"/>
      <c r="B128" s="46"/>
      <c r="C128" s="24" t="s">
        <v>153</v>
      </c>
      <c r="D128" s="47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5">
        <f t="shared" si="38"/>
        <v>0</v>
      </c>
    </row>
    <row r="129" spans="1:19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0</v>
      </c>
      <c r="F129" s="5">
        <f>SUM(F124:F128)</f>
        <v>1</v>
      </c>
      <c r="G129" s="5">
        <f>SUM(G124:G128)</f>
        <v>0</v>
      </c>
      <c r="H129" s="5">
        <f>SUM(H124:H128)</f>
        <v>0</v>
      </c>
      <c r="I129" s="5">
        <f>SUM(I124:I128)</f>
        <v>0</v>
      </c>
      <c r="J129" s="5">
        <f>SUM(J124:J128)</f>
        <v>1</v>
      </c>
      <c r="K129" s="5">
        <f>SUM(K124:K128)</f>
        <v>0</v>
      </c>
      <c r="L129" s="5">
        <f>SUM(L124:L128)</f>
        <v>0</v>
      </c>
      <c r="M129" s="5">
        <f>SUM(M124:M128)</f>
        <v>0</v>
      </c>
      <c r="N129" s="5">
        <f>SUM(N124:N128)</f>
        <v>3</v>
      </c>
      <c r="O129" s="5">
        <f>SUM(O124:O128)</f>
        <v>2</v>
      </c>
      <c r="P129" s="5">
        <f>SUM(P124:P128)</f>
        <v>0</v>
      </c>
      <c r="Q129" s="5">
        <f>SUM(Q124:Q128)</f>
        <v>0</v>
      </c>
      <c r="R129" s="5">
        <f>SUM(R124:R128)</f>
        <v>0</v>
      </c>
      <c r="S129" s="5">
        <f>SUM(S124:S128)</f>
        <v>7</v>
      </c>
    </row>
    <row r="130" spans="1:19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5"/>
    </row>
    <row r="131" spans="1:19" x14ac:dyDescent="0.4">
      <c r="A131" s="11" t="s">
        <v>48</v>
      </c>
      <c r="B131" s="17" t="s">
        <v>71</v>
      </c>
      <c r="C131" s="79" t="s">
        <v>72</v>
      </c>
      <c r="D131" s="5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5">
        <f t="shared" ref="S131:S137" si="39">SUM(E131:R131)</f>
        <v>0</v>
      </c>
    </row>
    <row r="132" spans="1:19" x14ac:dyDescent="0.4">
      <c r="A132" s="11" t="s">
        <v>50</v>
      </c>
      <c r="B132" s="46"/>
      <c r="C132" s="24" t="s">
        <v>154</v>
      </c>
      <c r="D132" s="4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5">
        <f t="shared" si="39"/>
        <v>0</v>
      </c>
    </row>
    <row r="133" spans="1:19" x14ac:dyDescent="0.4">
      <c r="A133" s="7"/>
      <c r="B133" s="46"/>
      <c r="C133" s="24" t="s">
        <v>155</v>
      </c>
      <c r="D133" s="4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5">
        <f t="shared" si="39"/>
        <v>0</v>
      </c>
    </row>
    <row r="134" spans="1:19" x14ac:dyDescent="0.4">
      <c r="A134" s="7"/>
      <c r="B134" s="46"/>
      <c r="C134" s="24" t="s">
        <v>156</v>
      </c>
      <c r="D134" s="4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5">
        <f t="shared" si="39"/>
        <v>0</v>
      </c>
    </row>
    <row r="135" spans="1:19" x14ac:dyDescent="0.4">
      <c r="A135" s="7"/>
      <c r="B135" s="46"/>
      <c r="C135" s="24" t="s">
        <v>157</v>
      </c>
      <c r="D135" s="4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5">
        <f t="shared" si="39"/>
        <v>0</v>
      </c>
    </row>
    <row r="136" spans="1:19" x14ac:dyDescent="0.4">
      <c r="A136" s="7"/>
      <c r="B136" s="46"/>
      <c r="C136" s="24" t="s">
        <v>158</v>
      </c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>
        <f t="shared" si="39"/>
        <v>0</v>
      </c>
    </row>
    <row r="137" spans="1:19" x14ac:dyDescent="0.4">
      <c r="A137" s="7"/>
      <c r="B137" s="46"/>
      <c r="C137" s="24" t="s">
        <v>159</v>
      </c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>
        <f t="shared" si="39"/>
        <v>0</v>
      </c>
    </row>
    <row r="138" spans="1:19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0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0</v>
      </c>
      <c r="O138" s="5">
        <f>SUM(O131:O137)</f>
        <v>0</v>
      </c>
      <c r="P138" s="5">
        <f>SUM(P131:P137)</f>
        <v>0</v>
      </c>
      <c r="Q138" s="5">
        <f>SUM(Q131:Q137)</f>
        <v>0</v>
      </c>
      <c r="R138" s="5">
        <f>SUM(R131:R137)</f>
        <v>0</v>
      </c>
      <c r="S138" s="5">
        <f>SUM(S131:S137)</f>
        <v>0</v>
      </c>
    </row>
    <row r="139" spans="1:19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1:19" x14ac:dyDescent="0.4">
      <c r="A140" s="11" t="s">
        <v>48</v>
      </c>
      <c r="B140" s="17" t="s">
        <v>73</v>
      </c>
      <c r="C140" s="79" t="s">
        <v>74</v>
      </c>
      <c r="D140" s="52"/>
      <c r="E140" s="6">
        <v>0</v>
      </c>
      <c r="F140" s="6">
        <v>0</v>
      </c>
      <c r="G140" s="6">
        <v>2</v>
      </c>
      <c r="H140" s="6">
        <v>4</v>
      </c>
      <c r="I140" s="6">
        <v>0</v>
      </c>
      <c r="J140" s="6">
        <v>1</v>
      </c>
      <c r="K140" s="6">
        <v>2</v>
      </c>
      <c r="L140" s="6">
        <v>3</v>
      </c>
      <c r="M140" s="6">
        <v>0</v>
      </c>
      <c r="N140" s="6">
        <v>0</v>
      </c>
      <c r="O140" s="6">
        <v>0</v>
      </c>
      <c r="P140" s="6">
        <v>0</v>
      </c>
      <c r="Q140" s="6">
        <v>1</v>
      </c>
      <c r="R140" s="6">
        <v>3</v>
      </c>
      <c r="S140" s="5">
        <f t="shared" ref="S140:S146" si="40">SUM(E140:R140)</f>
        <v>16</v>
      </c>
    </row>
    <row r="141" spans="1:19" x14ac:dyDescent="0.4">
      <c r="A141" s="11" t="s">
        <v>50</v>
      </c>
      <c r="B141" s="46"/>
      <c r="C141" s="24" t="s">
        <v>160</v>
      </c>
      <c r="D141" s="47"/>
      <c r="E141" s="6">
        <v>8</v>
      </c>
      <c r="F141" s="6">
        <v>3</v>
      </c>
      <c r="G141" s="6">
        <v>7</v>
      </c>
      <c r="H141" s="6">
        <v>18</v>
      </c>
      <c r="I141" s="6">
        <v>2</v>
      </c>
      <c r="J141" s="6">
        <v>14</v>
      </c>
      <c r="K141" s="6">
        <v>14</v>
      </c>
      <c r="L141" s="6">
        <v>15</v>
      </c>
      <c r="M141" s="6">
        <v>15</v>
      </c>
      <c r="N141" s="6">
        <v>2</v>
      </c>
      <c r="O141" s="6">
        <v>4</v>
      </c>
      <c r="P141" s="6">
        <v>2</v>
      </c>
      <c r="Q141" s="6">
        <v>8</v>
      </c>
      <c r="R141" s="6">
        <v>30</v>
      </c>
      <c r="S141" s="5">
        <f t="shared" si="40"/>
        <v>142</v>
      </c>
    </row>
    <row r="142" spans="1:19" x14ac:dyDescent="0.4">
      <c r="A142" s="7"/>
      <c r="B142" s="46"/>
      <c r="C142" s="24" t="s">
        <v>161</v>
      </c>
      <c r="D142" s="47"/>
      <c r="E142" s="6">
        <v>0</v>
      </c>
      <c r="F142" s="6">
        <v>0</v>
      </c>
      <c r="G142" s="6">
        <v>1</v>
      </c>
      <c r="H142" s="6">
        <v>0</v>
      </c>
      <c r="I142" s="6">
        <v>0</v>
      </c>
      <c r="J142" s="6">
        <v>1</v>
      </c>
      <c r="K142" s="6">
        <v>1</v>
      </c>
      <c r="L142" s="6">
        <v>2</v>
      </c>
      <c r="M142" s="6">
        <v>0</v>
      </c>
      <c r="N142" s="6">
        <v>1</v>
      </c>
      <c r="O142" s="6">
        <v>0</v>
      </c>
      <c r="P142" s="6">
        <v>1</v>
      </c>
      <c r="Q142" s="6">
        <v>0</v>
      </c>
      <c r="R142" s="6">
        <v>1</v>
      </c>
      <c r="S142" s="5">
        <f t="shared" si="40"/>
        <v>8</v>
      </c>
    </row>
    <row r="143" spans="1:19" x14ac:dyDescent="0.4">
      <c r="A143" s="7"/>
      <c r="B143" s="46"/>
      <c r="C143" s="24" t="s">
        <v>162</v>
      </c>
      <c r="D143" s="47"/>
      <c r="E143" s="6">
        <v>0</v>
      </c>
      <c r="F143" s="6">
        <v>0</v>
      </c>
      <c r="G143" s="6">
        <v>0</v>
      </c>
      <c r="H143" s="6">
        <v>1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1</v>
      </c>
      <c r="S143" s="5">
        <f t="shared" si="40"/>
        <v>3</v>
      </c>
    </row>
    <row r="144" spans="1:19" x14ac:dyDescent="0.4">
      <c r="A144" s="7"/>
      <c r="B144" s="46"/>
      <c r="C144" s="24" t="s">
        <v>163</v>
      </c>
      <c r="D144" s="47"/>
      <c r="E144" s="6">
        <v>0</v>
      </c>
      <c r="F144" s="6">
        <v>1</v>
      </c>
      <c r="G144" s="6">
        <v>1</v>
      </c>
      <c r="H144" s="6">
        <v>0</v>
      </c>
      <c r="I144" s="6">
        <v>0</v>
      </c>
      <c r="J144" s="6">
        <v>0</v>
      </c>
      <c r="K144" s="6">
        <v>1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5">
        <f t="shared" si="40"/>
        <v>4</v>
      </c>
    </row>
    <row r="145" spans="1:19" x14ac:dyDescent="0.4">
      <c r="A145" s="7"/>
      <c r="B145" s="46"/>
      <c r="C145" s="24" t="s">
        <v>164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5">
        <f t="shared" si="40"/>
        <v>0</v>
      </c>
    </row>
    <row r="146" spans="1:19" ht="13.15" customHeight="1" x14ac:dyDescent="0.4">
      <c r="A146" s="7"/>
      <c r="B146" s="46"/>
      <c r="C146" s="24" t="s">
        <v>165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1</v>
      </c>
      <c r="P146" s="6">
        <v>0</v>
      </c>
      <c r="Q146" s="6">
        <v>0</v>
      </c>
      <c r="R146" s="6">
        <v>1</v>
      </c>
      <c r="S146" s="5">
        <f t="shared" si="40"/>
        <v>2</v>
      </c>
    </row>
    <row r="147" spans="1:19" x14ac:dyDescent="0.4">
      <c r="A147" s="6" t="s">
        <v>26</v>
      </c>
      <c r="B147" s="71" t="s">
        <v>51</v>
      </c>
      <c r="C147" s="80"/>
      <c r="D147" s="81"/>
      <c r="E147" s="5">
        <f>SUM(E140:E146)</f>
        <v>8</v>
      </c>
      <c r="F147" s="5">
        <f>SUM(F140:F146)</f>
        <v>4</v>
      </c>
      <c r="G147" s="5">
        <f>SUM(G140:G146)</f>
        <v>11</v>
      </c>
      <c r="H147" s="5">
        <f>SUM(H140:H146)</f>
        <v>23</v>
      </c>
      <c r="I147" s="5">
        <f>SUM(I140:I146)</f>
        <v>2</v>
      </c>
      <c r="J147" s="5">
        <f>SUM(J140:J146)</f>
        <v>16</v>
      </c>
      <c r="K147" s="5">
        <f>SUM(K140:K146)</f>
        <v>18</v>
      </c>
      <c r="L147" s="5">
        <f>SUM(L140:L146)</f>
        <v>21</v>
      </c>
      <c r="M147" s="5">
        <f>SUM(M140:M146)</f>
        <v>16</v>
      </c>
      <c r="N147" s="5">
        <f>SUM(N140:N146)</f>
        <v>3</v>
      </c>
      <c r="O147" s="5">
        <f>SUM(O140:O146)</f>
        <v>5</v>
      </c>
      <c r="P147" s="5">
        <f>SUM(P140:P146)</f>
        <v>3</v>
      </c>
      <c r="Q147" s="5">
        <f>SUM(Q140:Q146)</f>
        <v>9</v>
      </c>
      <c r="R147" s="5">
        <f>SUM(R140:R146)</f>
        <v>36</v>
      </c>
      <c r="S147" s="5">
        <f>SUM(S140:S146)</f>
        <v>175</v>
      </c>
    </row>
    <row r="148" spans="1:19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1:19" x14ac:dyDescent="0.4">
      <c r="A149" s="11" t="s">
        <v>48</v>
      </c>
      <c r="B149" s="17" t="s">
        <v>75</v>
      </c>
      <c r="C149" s="79" t="s">
        <v>76</v>
      </c>
      <c r="D149" s="52"/>
      <c r="E149" s="6">
        <v>0</v>
      </c>
      <c r="F149" s="6">
        <v>3</v>
      </c>
      <c r="G149" s="6">
        <v>0</v>
      </c>
      <c r="H149" s="6">
        <v>1</v>
      </c>
      <c r="I149" s="6">
        <v>0</v>
      </c>
      <c r="J149" s="6">
        <v>0</v>
      </c>
      <c r="K149" s="6">
        <v>1</v>
      </c>
      <c r="L149" s="6">
        <v>0</v>
      </c>
      <c r="M149" s="6">
        <v>1</v>
      </c>
      <c r="N149" s="6">
        <v>0</v>
      </c>
      <c r="O149" s="6">
        <v>1</v>
      </c>
      <c r="P149" s="6">
        <v>1</v>
      </c>
      <c r="Q149" s="6">
        <v>0</v>
      </c>
      <c r="R149" s="6">
        <v>0</v>
      </c>
      <c r="S149" s="5">
        <f t="shared" ref="S149:S150" si="41">SUM(E149:R149)</f>
        <v>8</v>
      </c>
    </row>
    <row r="150" spans="1:19" x14ac:dyDescent="0.4">
      <c r="A150" s="11" t="s">
        <v>50</v>
      </c>
      <c r="B150" s="46"/>
      <c r="C150" s="24" t="s">
        <v>166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5">
        <f t="shared" si="41"/>
        <v>1</v>
      </c>
    </row>
    <row r="151" spans="1:19" x14ac:dyDescent="0.4">
      <c r="A151" s="6" t="s">
        <v>26</v>
      </c>
      <c r="B151" s="71" t="s">
        <v>51</v>
      </c>
      <c r="C151" s="80"/>
      <c r="D151" s="81"/>
      <c r="E151" s="5">
        <f>SUM(E149:E150)</f>
        <v>0</v>
      </c>
      <c r="F151" s="5">
        <f>SUM(F149:F150)</f>
        <v>3</v>
      </c>
      <c r="G151" s="5">
        <f>SUM(G149:G150)</f>
        <v>0</v>
      </c>
      <c r="H151" s="5">
        <f>SUM(H149:H150)</f>
        <v>1</v>
      </c>
      <c r="I151" s="5">
        <f>SUM(I149:I150)</f>
        <v>1</v>
      </c>
      <c r="J151" s="5">
        <f>SUM(J149:J150)</f>
        <v>0</v>
      </c>
      <c r="K151" s="5">
        <f>SUM(K149:K150)</f>
        <v>1</v>
      </c>
      <c r="L151" s="5">
        <f>SUM(L149:L150)</f>
        <v>0</v>
      </c>
      <c r="M151" s="5">
        <f>SUM(M149:M150)</f>
        <v>1</v>
      </c>
      <c r="N151" s="5">
        <f>SUM(N149:N150)</f>
        <v>0</v>
      </c>
      <c r="O151" s="5">
        <f>SUM(O149:O150)</f>
        <v>1</v>
      </c>
      <c r="P151" s="5">
        <f>SUM(P149:P150)</f>
        <v>1</v>
      </c>
      <c r="Q151" s="5">
        <f>SUM(Q149:Q150)</f>
        <v>0</v>
      </c>
      <c r="R151" s="5">
        <f>SUM(R149:R150)</f>
        <v>0</v>
      </c>
      <c r="S151" s="5">
        <f>SUM(S149:S150)</f>
        <v>9</v>
      </c>
    </row>
    <row r="152" spans="1:19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1:19" x14ac:dyDescent="0.4">
      <c r="A153" s="11" t="s">
        <v>48</v>
      </c>
      <c r="B153" s="17" t="s">
        <v>77</v>
      </c>
      <c r="C153" s="79" t="s">
        <v>78</v>
      </c>
      <c r="D153" s="5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5">
        <f t="shared" ref="S153:S156" si="42">SUM(E153:R153)</f>
        <v>0</v>
      </c>
    </row>
    <row r="154" spans="1:19" x14ac:dyDescent="0.4">
      <c r="A154" s="11" t="s">
        <v>50</v>
      </c>
      <c r="B154" s="17"/>
      <c r="C154" s="24" t="s">
        <v>167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5">
        <f t="shared" si="42"/>
        <v>0</v>
      </c>
    </row>
    <row r="155" spans="1:19" x14ac:dyDescent="0.4">
      <c r="A155" s="7"/>
      <c r="B155" s="17"/>
      <c r="C155" s="24" t="s">
        <v>168</v>
      </c>
      <c r="D155" s="45"/>
      <c r="E155" s="6">
        <v>0</v>
      </c>
      <c r="F155" s="6">
        <v>0</v>
      </c>
      <c r="G155" s="6">
        <v>0</v>
      </c>
      <c r="H155" s="6">
        <v>3</v>
      </c>
      <c r="I155" s="6">
        <v>2</v>
      </c>
      <c r="J155" s="6">
        <v>0</v>
      </c>
      <c r="K155" s="6">
        <v>0</v>
      </c>
      <c r="L155" s="6">
        <v>1</v>
      </c>
      <c r="M155" s="6">
        <v>0</v>
      </c>
      <c r="N155" s="6">
        <v>0</v>
      </c>
      <c r="O155" s="6">
        <v>0</v>
      </c>
      <c r="P155" s="6">
        <v>0</v>
      </c>
      <c r="Q155" s="6">
        <v>1</v>
      </c>
      <c r="R155" s="6">
        <v>0</v>
      </c>
      <c r="S155" s="5">
        <f t="shared" si="42"/>
        <v>7</v>
      </c>
    </row>
    <row r="156" spans="1:19" x14ac:dyDescent="0.4">
      <c r="A156" s="7"/>
      <c r="B156" s="17"/>
      <c r="C156" s="24" t="s">
        <v>169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5">
        <f t="shared" si="42"/>
        <v>1</v>
      </c>
    </row>
    <row r="157" spans="1:19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0</v>
      </c>
      <c r="G157" s="5">
        <f>SUM(G153:G156)</f>
        <v>0</v>
      </c>
      <c r="H157" s="5">
        <f>SUM(H153:H156)</f>
        <v>3</v>
      </c>
      <c r="I157" s="5">
        <f>SUM(I153:I156)</f>
        <v>3</v>
      </c>
      <c r="J157" s="5">
        <f>SUM(J153:J156)</f>
        <v>0</v>
      </c>
      <c r="K157" s="5">
        <f>SUM(K153:K156)</f>
        <v>0</v>
      </c>
      <c r="L157" s="5">
        <f>SUM(L153:L156)</f>
        <v>1</v>
      </c>
      <c r="M157" s="5">
        <f>SUM(M153:M156)</f>
        <v>0</v>
      </c>
      <c r="N157" s="5">
        <f>SUM(N153:N156)</f>
        <v>0</v>
      </c>
      <c r="O157" s="5">
        <f>SUM(O153:O156)</f>
        <v>0</v>
      </c>
      <c r="P157" s="5">
        <f>SUM(P153:P156)</f>
        <v>0</v>
      </c>
      <c r="Q157" s="5">
        <f>SUM(Q153:Q156)</f>
        <v>1</v>
      </c>
      <c r="R157" s="5">
        <f>SUM(R153:R156)</f>
        <v>0</v>
      </c>
      <c r="S157" s="5">
        <f>SUM(S153:S156)</f>
        <v>8</v>
      </c>
    </row>
    <row r="158" spans="1:19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1:19" x14ac:dyDescent="0.4">
      <c r="A159" s="11" t="s">
        <v>48</v>
      </c>
      <c r="B159" s="17" t="s">
        <v>79</v>
      </c>
      <c r="C159" s="79" t="s">
        <v>80</v>
      </c>
      <c r="D159" s="52"/>
      <c r="E159" s="6"/>
      <c r="F159" s="6"/>
      <c r="G159" s="6"/>
      <c r="H159" s="6">
        <v>1</v>
      </c>
      <c r="I159" s="6">
        <v>3</v>
      </c>
      <c r="J159" s="6">
        <v>3</v>
      </c>
      <c r="K159" s="6"/>
      <c r="L159" s="6">
        <v>3</v>
      </c>
      <c r="M159" s="6"/>
      <c r="N159" s="6"/>
      <c r="O159" s="6">
        <v>1</v>
      </c>
      <c r="P159" s="6"/>
      <c r="Q159" s="6"/>
      <c r="R159" s="6"/>
      <c r="S159" s="5">
        <f t="shared" ref="S159:S165" si="43">SUM(E159:R159)</f>
        <v>11</v>
      </c>
    </row>
    <row r="160" spans="1:19" x14ac:dyDescent="0.4">
      <c r="A160" s="11" t="s">
        <v>50</v>
      </c>
      <c r="B160" s="46"/>
      <c r="C160" s="24" t="s">
        <v>170</v>
      </c>
      <c r="D160" s="47"/>
      <c r="E160" s="6"/>
      <c r="F160" s="6"/>
      <c r="G160" s="6"/>
      <c r="H160" s="6">
        <v>7</v>
      </c>
      <c r="I160" s="6">
        <v>29</v>
      </c>
      <c r="J160" s="6">
        <v>19</v>
      </c>
      <c r="K160" s="6"/>
      <c r="L160" s="6">
        <v>4</v>
      </c>
      <c r="M160" s="6">
        <v>9</v>
      </c>
      <c r="N160" s="6"/>
      <c r="O160" s="6">
        <v>8</v>
      </c>
      <c r="P160" s="6">
        <v>7</v>
      </c>
      <c r="Q160" s="6">
        <v>12</v>
      </c>
      <c r="R160" s="6">
        <v>4</v>
      </c>
      <c r="S160" s="5">
        <f t="shared" si="43"/>
        <v>99</v>
      </c>
    </row>
    <row r="161" spans="1:19" x14ac:dyDescent="0.4">
      <c r="A161" s="7"/>
      <c r="B161" s="46"/>
      <c r="C161" s="24" t="s">
        <v>171</v>
      </c>
      <c r="D161" s="47"/>
      <c r="E161" s="6"/>
      <c r="F161" s="6">
        <v>1</v>
      </c>
      <c r="G161" s="6"/>
      <c r="H161" s="6"/>
      <c r="I161" s="6"/>
      <c r="J161" s="6">
        <v>1</v>
      </c>
      <c r="K161" s="6"/>
      <c r="L161" s="6"/>
      <c r="M161" s="6"/>
      <c r="N161" s="6"/>
      <c r="O161" s="6">
        <v>1</v>
      </c>
      <c r="P161" s="6"/>
      <c r="Q161" s="6"/>
      <c r="R161" s="6"/>
      <c r="S161" s="5">
        <f t="shared" si="43"/>
        <v>3</v>
      </c>
    </row>
    <row r="162" spans="1:19" ht="13.15" customHeight="1" x14ac:dyDescent="0.4">
      <c r="A162" s="7"/>
      <c r="B162" s="46"/>
      <c r="C162" s="24" t="s">
        <v>172</v>
      </c>
      <c r="D162" s="47"/>
      <c r="E162" s="6"/>
      <c r="F162" s="6"/>
      <c r="G162" s="6"/>
      <c r="H162" s="6"/>
      <c r="I162" s="6"/>
      <c r="J162" s="6"/>
      <c r="K162" s="6"/>
      <c r="L162" s="6"/>
      <c r="M162" s="6"/>
      <c r="N162" s="6">
        <v>1</v>
      </c>
      <c r="O162" s="6"/>
      <c r="P162" s="6"/>
      <c r="Q162" s="6"/>
      <c r="R162" s="6"/>
      <c r="S162" s="5">
        <f t="shared" si="43"/>
        <v>1</v>
      </c>
    </row>
    <row r="163" spans="1:19" x14ac:dyDescent="0.4">
      <c r="A163" s="7"/>
      <c r="B163" s="46"/>
      <c r="C163" s="24" t="s">
        <v>173</v>
      </c>
      <c r="D163" s="4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5">
        <f t="shared" si="43"/>
        <v>0</v>
      </c>
    </row>
    <row r="164" spans="1:19" ht="12.75" customHeight="1" x14ac:dyDescent="0.4">
      <c r="A164" s="7"/>
      <c r="B164" s="46"/>
      <c r="C164" s="24" t="s">
        <v>174</v>
      </c>
      <c r="D164" s="4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5">
        <f t="shared" si="43"/>
        <v>0</v>
      </c>
    </row>
    <row r="165" spans="1:19" x14ac:dyDescent="0.4">
      <c r="A165" s="7"/>
      <c r="B165" s="46"/>
      <c r="C165" s="24" t="s">
        <v>175</v>
      </c>
      <c r="D165" s="47"/>
      <c r="E165" s="6"/>
      <c r="F165" s="6"/>
      <c r="G165" s="6"/>
      <c r="H165" s="6"/>
      <c r="I165" s="6"/>
      <c r="J165" s="6"/>
      <c r="K165" s="6"/>
      <c r="L165" s="6"/>
      <c r="M165" s="6">
        <v>1</v>
      </c>
      <c r="N165" s="6"/>
      <c r="O165" s="6"/>
      <c r="P165" s="6"/>
      <c r="Q165" s="6"/>
      <c r="R165" s="6"/>
      <c r="S165" s="5">
        <f t="shared" si="43"/>
        <v>1</v>
      </c>
    </row>
    <row r="166" spans="1:19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0</v>
      </c>
      <c r="F166" s="5">
        <f>SUM(F159:F165)</f>
        <v>1</v>
      </c>
      <c r="G166" s="5">
        <f>SUM(G159:G165)</f>
        <v>0</v>
      </c>
      <c r="H166" s="5">
        <f>SUM(H159:H165)</f>
        <v>8</v>
      </c>
      <c r="I166" s="5">
        <f>SUM(I159:I165)</f>
        <v>32</v>
      </c>
      <c r="J166" s="5">
        <f>SUM(J159:J165)</f>
        <v>23</v>
      </c>
      <c r="K166" s="5">
        <f>SUM(K159:K165)</f>
        <v>0</v>
      </c>
      <c r="L166" s="5">
        <f>SUM(L159:L165)</f>
        <v>7</v>
      </c>
      <c r="M166" s="5">
        <f>SUM(M159:M165)</f>
        <v>10</v>
      </c>
      <c r="N166" s="5">
        <f>SUM(N159:N165)</f>
        <v>1</v>
      </c>
      <c r="O166" s="5">
        <f>SUM(O159:O165)</f>
        <v>10</v>
      </c>
      <c r="P166" s="5">
        <f>SUM(P159:P165)</f>
        <v>7</v>
      </c>
      <c r="Q166" s="5">
        <f>SUM(Q159:Q165)</f>
        <v>12</v>
      </c>
      <c r="R166" s="5">
        <f>SUM(R159:R165)</f>
        <v>4</v>
      </c>
      <c r="S166" s="5">
        <f>SUM(S159:S165)</f>
        <v>115</v>
      </c>
    </row>
    <row r="167" spans="1:19" x14ac:dyDescent="0.4">
      <c r="A167" s="50"/>
      <c r="B167" s="82"/>
      <c r="C167" s="82"/>
      <c r="D167" s="82"/>
      <c r="E167" s="83"/>
    </row>
    <row r="168" spans="1:19" x14ac:dyDescent="0.4">
      <c r="A168" s="11" t="s">
        <v>48</v>
      </c>
      <c r="B168" s="17" t="s">
        <v>81</v>
      </c>
      <c r="C168" s="79" t="s">
        <v>82</v>
      </c>
      <c r="D168" s="52"/>
      <c r="E168" s="6"/>
      <c r="F168" s="6"/>
      <c r="G168" s="6"/>
      <c r="H168" s="6"/>
      <c r="I168" s="6"/>
      <c r="J168" s="6"/>
      <c r="K168" s="6"/>
      <c r="L168" s="6"/>
      <c r="M168" s="6"/>
      <c r="N168" s="6">
        <v>1</v>
      </c>
      <c r="O168" s="6"/>
      <c r="P168" s="6"/>
      <c r="Q168" s="6">
        <v>1</v>
      </c>
      <c r="R168" s="6"/>
      <c r="S168" s="5">
        <f t="shared" ref="S168:S169" si="44">SUM(E168:R168)</f>
        <v>2</v>
      </c>
    </row>
    <row r="169" spans="1:19" x14ac:dyDescent="0.4">
      <c r="A169" s="11" t="s">
        <v>50</v>
      </c>
      <c r="B169" s="46"/>
      <c r="C169" s="24" t="s">
        <v>176</v>
      </c>
      <c r="D169" s="47"/>
      <c r="E169" s="6"/>
      <c r="F169" s="6"/>
      <c r="G169" s="6"/>
      <c r="H169" s="6"/>
      <c r="I169" s="6"/>
      <c r="J169" s="6"/>
      <c r="K169" s="6">
        <v>6</v>
      </c>
      <c r="L169" s="6"/>
      <c r="M169" s="6"/>
      <c r="N169" s="6"/>
      <c r="O169" s="6"/>
      <c r="P169" s="6"/>
      <c r="Q169" s="6"/>
      <c r="R169" s="6"/>
      <c r="S169" s="5">
        <f t="shared" si="44"/>
        <v>6</v>
      </c>
    </row>
    <row r="170" spans="1:19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0</v>
      </c>
      <c r="H170" s="5">
        <f>SUM(H168:H169)</f>
        <v>0</v>
      </c>
      <c r="I170" s="5">
        <f>SUM(I168:I169)</f>
        <v>0</v>
      </c>
      <c r="J170" s="5">
        <f>SUM(J168:J169)</f>
        <v>0</v>
      </c>
      <c r="K170" s="5">
        <f>SUM(K168:K169)</f>
        <v>6</v>
      </c>
      <c r="L170" s="5">
        <f>SUM(L168:L169)</f>
        <v>0</v>
      </c>
      <c r="M170" s="5">
        <f>SUM(M168:M169)</f>
        <v>0</v>
      </c>
      <c r="N170" s="5">
        <f>SUM(N168:N169)</f>
        <v>1</v>
      </c>
      <c r="O170" s="5">
        <f>SUM(O168:O169)</f>
        <v>0</v>
      </c>
      <c r="P170" s="5">
        <f>SUM(P168:P169)</f>
        <v>0</v>
      </c>
      <c r="Q170" s="5">
        <f>SUM(Q168:Q169)</f>
        <v>1</v>
      </c>
      <c r="R170" s="5">
        <f>SUM(R168:R169)</f>
        <v>0</v>
      </c>
      <c r="S170" s="5">
        <f>SUM(S168:S169)</f>
        <v>8</v>
      </c>
    </row>
    <row r="172" spans="1:19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x14ac:dyDescent="0.4">
      <c r="A173" s="16"/>
      <c r="B173" s="19" t="s">
        <v>85</v>
      </c>
      <c r="C173" s="88" t="s">
        <v>86</v>
      </c>
      <c r="D173" s="89"/>
      <c r="E173" s="6">
        <f>E52+E61+E70+E79+E88+E91+E97+E106+E110+E119+E122+E129+E138+E147+E151+E157+E166+E170</f>
        <v>212</v>
      </c>
      <c r="F173" s="6">
        <f>F52+F61+F70+F79+F88+F91+F97+F106+F110+F119+F122+F129+F138+F147+F151+F157+F166+F170</f>
        <v>212</v>
      </c>
      <c r="G173" s="6">
        <f>G52+G61+G70+G79+G88+G91+G97+G106+G110+G119+G122+G129+G138+G147+G151+G157+G166+G170</f>
        <v>201</v>
      </c>
      <c r="H173" s="6">
        <f>H52+H61+H70+H79+H88+H91+H97+H106+H110+H119+H122+H129+H138+H147+H151+H157+H166+H170</f>
        <v>214</v>
      </c>
      <c r="I173" s="6">
        <f>I52+I61+I70+I79+I88+I91+I97+I106+I110+I119+I122+I129+I138+I147+I151+I157+I166+I170</f>
        <v>205</v>
      </c>
      <c r="J173" s="6">
        <f>J52+J61+J70+J79+J88+J91+J97+J106+J110+J119+J122+J129+J138+J147+J151+J157+J166+J170</f>
        <v>211</v>
      </c>
      <c r="K173" s="6">
        <f>K52+K61+K70+K79+K88+K91+K97+K106+K110+K119+K122+K129+K138+K147+K151+K157+K166+K170</f>
        <v>222</v>
      </c>
      <c r="L173" s="6">
        <f>L52+L61+L70+L79+L88+L91+L97+L106+L110+L119+L122+L129+L138+L147+L151+L157+L166+L170</f>
        <v>205</v>
      </c>
      <c r="M173" s="6">
        <f>M52+M61+M70+M79+M88+M91+M97+M106+M110+M119+M122+M129+M138+M147+M151+M157+M166+M170</f>
        <v>175</v>
      </c>
      <c r="N173" s="6">
        <f>N52+N61+N70+N79+N88+N91+N97+N106+N110+N119+N122+N129+N138+N147+N151+N157+N166+N170</f>
        <v>171</v>
      </c>
      <c r="O173" s="6">
        <f>O52+O61+O70+O79+O88+O91+O97+O106+O110+O119+O122+O129+O138+O147+O151+O157+O166+O170</f>
        <v>189</v>
      </c>
      <c r="P173" s="6">
        <f>P52+P61+P70+P79+P88+P91+P97+P106+P110+P119+P122+P129+P138+P147+P151+P157+P166+P170</f>
        <v>155</v>
      </c>
      <c r="Q173" s="6">
        <f>Q52+Q61+Q70+Q79+Q88+Q91+Q97+Q106+Q110+Q119+Q122+Q129+Q138+Q147+Q151+Q157+Q166+Q170</f>
        <v>193</v>
      </c>
      <c r="R173" s="6">
        <f>R52+R61+R70+R79+R88+R91+R97+R106+R110+R119+R122+R129+R138+R147+R151+R157+R166+R170</f>
        <v>179</v>
      </c>
      <c r="S173" s="5">
        <f>SUM(E173:R173)</f>
        <v>2744</v>
      </c>
    </row>
    <row r="174" spans="1:19" x14ac:dyDescent="0.4">
      <c r="A174" s="13"/>
      <c r="B174" s="19" t="s">
        <v>87</v>
      </c>
      <c r="C174" s="88" t="s">
        <v>88</v>
      </c>
      <c r="D174" s="89"/>
      <c r="E174" s="6">
        <v>7</v>
      </c>
      <c r="F174" s="6">
        <v>6</v>
      </c>
      <c r="G174" s="6">
        <v>16</v>
      </c>
      <c r="H174" s="6">
        <v>15</v>
      </c>
      <c r="I174" s="6">
        <v>11</v>
      </c>
      <c r="J174" s="6">
        <v>13</v>
      </c>
      <c r="K174" s="6">
        <v>10</v>
      </c>
      <c r="L174" s="6">
        <v>5</v>
      </c>
      <c r="M174" s="6">
        <v>11</v>
      </c>
      <c r="N174" s="6">
        <v>13</v>
      </c>
      <c r="O174" s="6">
        <v>17</v>
      </c>
      <c r="P174" s="6">
        <v>5</v>
      </c>
      <c r="Q174" s="6">
        <v>11</v>
      </c>
      <c r="R174" s="6">
        <v>15</v>
      </c>
      <c r="S174" s="5">
        <f>SUM(E174:R174)</f>
        <v>155</v>
      </c>
    </row>
    <row r="175" spans="1:19" x14ac:dyDescent="0.4">
      <c r="A175" s="14"/>
      <c r="B175" s="19" t="s">
        <v>89</v>
      </c>
      <c r="C175" s="88" t="s">
        <v>90</v>
      </c>
      <c r="D175" s="89"/>
      <c r="E175" s="5">
        <f>SUM(E173:E174)</f>
        <v>219</v>
      </c>
      <c r="F175" s="5">
        <f t="shared" ref="F175:K175" si="45">SUM(F173:F174)</f>
        <v>218</v>
      </c>
      <c r="G175" s="5">
        <f t="shared" si="45"/>
        <v>217</v>
      </c>
      <c r="H175" s="5">
        <f t="shared" si="45"/>
        <v>229</v>
      </c>
      <c r="I175" s="5">
        <f t="shared" si="45"/>
        <v>216</v>
      </c>
      <c r="J175" s="5">
        <f t="shared" si="45"/>
        <v>224</v>
      </c>
      <c r="K175" s="5">
        <f t="shared" si="45"/>
        <v>232</v>
      </c>
      <c r="L175" s="5">
        <f t="shared" ref="L175:R175" si="46">SUM(L173:L174)</f>
        <v>210</v>
      </c>
      <c r="M175" s="5">
        <f t="shared" si="46"/>
        <v>186</v>
      </c>
      <c r="N175" s="5">
        <f t="shared" si="46"/>
        <v>184</v>
      </c>
      <c r="O175" s="5">
        <f t="shared" si="46"/>
        <v>206</v>
      </c>
      <c r="P175" s="5">
        <f t="shared" ref="P175:Q175" si="47">SUM(P173:P174)</f>
        <v>160</v>
      </c>
      <c r="Q175" s="5">
        <f t="shared" si="47"/>
        <v>204</v>
      </c>
      <c r="R175" s="5">
        <f t="shared" si="46"/>
        <v>194</v>
      </c>
      <c r="S175" s="5">
        <f>SUM(E175:R175)</f>
        <v>2899</v>
      </c>
    </row>
  </sheetData>
  <mergeCells count="86">
    <mergeCell ref="C159:D159"/>
    <mergeCell ref="B138:D138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74:D174"/>
    <mergeCell ref="C175:D175"/>
    <mergeCell ref="B166:D166"/>
    <mergeCell ref="A167:E167"/>
    <mergeCell ref="C168:D168"/>
    <mergeCell ref="B170:D170"/>
    <mergeCell ref="B172:D172"/>
    <mergeCell ref="C173:D173"/>
    <mergeCell ref="C131:D131"/>
    <mergeCell ref="B110:D110"/>
    <mergeCell ref="A111:E111"/>
    <mergeCell ref="C112:D112"/>
    <mergeCell ref="B119:D119"/>
    <mergeCell ref="A120:E120"/>
    <mergeCell ref="C121:D121"/>
    <mergeCell ref="B122:D122"/>
    <mergeCell ref="A123:E123"/>
    <mergeCell ref="C124:D124"/>
    <mergeCell ref="B129:D129"/>
    <mergeCell ref="A130:E130"/>
    <mergeCell ref="C108:D108"/>
    <mergeCell ref="B88:D88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E37:O37"/>
    <mergeCell ref="B38:D38"/>
    <mergeCell ref="A42:D42"/>
    <mergeCell ref="E42:O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8" type="noConversion"/>
  <conditionalFormatting sqref="E14:R15">
    <cfRule type="containsBlanks" dxfId="280" priority="21">
      <formula>LEN(TRIM(E14))=0</formula>
    </cfRule>
  </conditionalFormatting>
  <conditionalFormatting sqref="E19:R20">
    <cfRule type="containsBlanks" dxfId="279" priority="24">
      <formula>LEN(TRIM(E19))=0</formula>
    </cfRule>
  </conditionalFormatting>
  <conditionalFormatting sqref="E22:R23 E25:R26 E33:R33 E35:R35 E39:R40">
    <cfRule type="containsBlanks" dxfId="278" priority="25">
      <formula>LEN(TRIM(E22))=0</formula>
    </cfRule>
  </conditionalFormatting>
  <conditionalFormatting sqref="E30:R30">
    <cfRule type="expression" dxfId="277" priority="26">
      <formula>E30&lt;&gt;E47</formula>
    </cfRule>
    <cfRule type="expression" dxfId="276" priority="27">
      <formula>E30&lt;&gt;E34</formula>
    </cfRule>
  </conditionalFormatting>
  <conditionalFormatting sqref="E45:R51">
    <cfRule type="containsBlanks" dxfId="275" priority="20">
      <formula>LEN(TRIM(E45))=0</formula>
    </cfRule>
  </conditionalFormatting>
  <conditionalFormatting sqref="E54:R60">
    <cfRule type="containsBlanks" dxfId="274" priority="19">
      <formula>LEN(TRIM(E54))=0</formula>
    </cfRule>
  </conditionalFormatting>
  <conditionalFormatting sqref="E63:R69">
    <cfRule type="containsBlanks" dxfId="273" priority="18">
      <formula>LEN(TRIM(E63))=0</formula>
    </cfRule>
  </conditionalFormatting>
  <conditionalFormatting sqref="E72:R78">
    <cfRule type="containsBlanks" dxfId="272" priority="17">
      <formula>LEN(TRIM(E72))=0</formula>
    </cfRule>
  </conditionalFormatting>
  <conditionalFormatting sqref="E81:R87">
    <cfRule type="containsBlanks" dxfId="271" priority="16">
      <formula>LEN(TRIM(E81))=0</formula>
    </cfRule>
  </conditionalFormatting>
  <conditionalFormatting sqref="E90:R90">
    <cfRule type="containsBlanks" dxfId="270" priority="15">
      <formula>LEN(TRIM(E90))=0</formula>
    </cfRule>
  </conditionalFormatting>
  <conditionalFormatting sqref="E93:R96">
    <cfRule type="containsBlanks" dxfId="269" priority="1">
      <formula>LEN(TRIM(E93))=0</formula>
    </cfRule>
  </conditionalFormatting>
  <conditionalFormatting sqref="E99:R105">
    <cfRule type="containsBlanks" dxfId="268" priority="14">
      <formula>LEN(TRIM(E99))=0</formula>
    </cfRule>
  </conditionalFormatting>
  <conditionalFormatting sqref="E108:R109">
    <cfRule type="containsBlanks" dxfId="267" priority="13">
      <formula>LEN(TRIM(E108))=0</formula>
    </cfRule>
  </conditionalFormatting>
  <conditionalFormatting sqref="E112:R118">
    <cfRule type="containsBlanks" dxfId="266" priority="3">
      <formula>LEN(TRIM(E112))=0</formula>
    </cfRule>
  </conditionalFormatting>
  <conditionalFormatting sqref="E121:R121">
    <cfRule type="containsBlanks" dxfId="265" priority="12">
      <formula>LEN(TRIM(E121))=0</formula>
    </cfRule>
  </conditionalFormatting>
  <conditionalFormatting sqref="E124:R128">
    <cfRule type="containsBlanks" dxfId="264" priority="11">
      <formula>LEN(TRIM(E124))=0</formula>
    </cfRule>
  </conditionalFormatting>
  <conditionalFormatting sqref="E131:R137">
    <cfRule type="containsBlanks" dxfId="263" priority="10">
      <formula>LEN(TRIM(E131))=0</formula>
    </cfRule>
  </conditionalFormatting>
  <conditionalFormatting sqref="E140:R146">
    <cfRule type="containsBlanks" dxfId="262" priority="9">
      <formula>LEN(TRIM(E140))=0</formula>
    </cfRule>
  </conditionalFormatting>
  <conditionalFormatting sqref="E149:R150">
    <cfRule type="containsBlanks" dxfId="261" priority="8">
      <formula>LEN(TRIM(E149))=0</formula>
    </cfRule>
  </conditionalFormatting>
  <conditionalFormatting sqref="E153:R156">
    <cfRule type="containsBlanks" dxfId="260" priority="7">
      <formula>LEN(TRIM(E153))=0</formula>
    </cfRule>
  </conditionalFormatting>
  <conditionalFormatting sqref="E159:R165">
    <cfRule type="containsBlanks" dxfId="259" priority="6">
      <formula>LEN(TRIM(E159))=0</formula>
    </cfRule>
  </conditionalFormatting>
  <conditionalFormatting sqref="E168:R169">
    <cfRule type="containsBlanks" dxfId="258" priority="4">
      <formula>LEN(TRIM(E168))=0</formula>
    </cfRule>
  </conditionalFormatting>
  <conditionalFormatting sqref="E173:R174">
    <cfRule type="containsBlanks" dxfId="257" priority="2">
      <formula>LEN(TRIM(E173))=0</formula>
    </cfRule>
  </conditionalFormatting>
  <conditionalFormatting sqref="E34:R34">
    <cfRule type="expression" dxfId="256" priority="141">
      <formula>E30&lt;&gt;E34</formula>
    </cfRule>
    <cfRule type="expression" dxfId="255" priority="142">
      <formula>E30=E34</formula>
    </cfRule>
    <cfRule type="expression" dxfId="254" priority="143">
      <formula>E34&lt;&gt;E30</formula>
    </cfRule>
    <cfRule type="expression" dxfId="253" priority="144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92D050"/>
  </sheetPr>
  <dimension ref="A2:T175"/>
  <sheetViews>
    <sheetView tabSelected="1" topLeftCell="B13" zoomScale="85" zoomScaleNormal="85" workbookViewId="0">
      <pane ySplit="1" topLeftCell="A167" activePane="bottomLeft" state="frozen"/>
      <selection activeCell="A13" sqref="A13"/>
      <selection pane="bottomLeft" activeCell="O175" sqref="O175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98</v>
      </c>
      <c r="D2" s="43" t="s">
        <v>177</v>
      </c>
    </row>
    <row r="3" spans="1:20" x14ac:dyDescent="0.4">
      <c r="C3" s="43" t="s">
        <v>99</v>
      </c>
      <c r="D3" s="43" t="s">
        <v>100</v>
      </c>
    </row>
    <row r="4" spans="1:20" x14ac:dyDescent="0.4">
      <c r="C4" s="43" t="s">
        <v>101</v>
      </c>
      <c r="D4" s="43" t="s">
        <v>102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103</v>
      </c>
      <c r="D9" s="43" t="s">
        <v>180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0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6" t="s">
        <v>97</v>
      </c>
    </row>
    <row r="13" spans="1:20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7"/>
    </row>
    <row r="14" spans="1:20" x14ac:dyDescent="0.4">
      <c r="A14" s="7"/>
      <c r="B14" s="59" t="s">
        <v>22</v>
      </c>
      <c r="C14" s="60"/>
      <c r="D14" s="6" t="s">
        <v>23</v>
      </c>
      <c r="E14" s="6">
        <v>135</v>
      </c>
      <c r="F14" s="6">
        <v>130</v>
      </c>
      <c r="G14" s="6">
        <v>131</v>
      </c>
      <c r="H14" s="6">
        <v>142</v>
      </c>
      <c r="I14" s="6">
        <v>130</v>
      </c>
      <c r="J14" s="6">
        <v>128</v>
      </c>
      <c r="K14" s="6">
        <v>127</v>
      </c>
      <c r="L14" s="6">
        <v>118</v>
      </c>
      <c r="M14" s="6">
        <v>126</v>
      </c>
      <c r="N14" s="6">
        <v>132</v>
      </c>
      <c r="O14" s="6">
        <v>97</v>
      </c>
      <c r="P14" s="6">
        <v>102</v>
      </c>
      <c r="Q14" s="6">
        <v>121</v>
      </c>
      <c r="R14" s="6">
        <v>118</v>
      </c>
      <c r="S14" s="6">
        <v>124</v>
      </c>
      <c r="T14" s="5">
        <f>SUM(E14:S14)</f>
        <v>1861</v>
      </c>
    </row>
    <row r="15" spans="1:20" x14ac:dyDescent="0.4">
      <c r="A15" s="7"/>
      <c r="B15" s="61"/>
      <c r="C15" s="62"/>
      <c r="D15" s="6" t="s">
        <v>24</v>
      </c>
      <c r="E15" s="6">
        <v>136</v>
      </c>
      <c r="F15" s="6">
        <v>128</v>
      </c>
      <c r="G15" s="6">
        <v>126</v>
      </c>
      <c r="H15" s="6">
        <v>128</v>
      </c>
      <c r="I15" s="6">
        <v>129</v>
      </c>
      <c r="J15" s="6">
        <v>134</v>
      </c>
      <c r="K15" s="6">
        <v>121</v>
      </c>
      <c r="L15" s="6">
        <v>131</v>
      </c>
      <c r="M15" s="6">
        <v>129</v>
      </c>
      <c r="N15" s="6">
        <v>152</v>
      </c>
      <c r="O15" s="6">
        <v>107</v>
      </c>
      <c r="P15" s="6">
        <v>111</v>
      </c>
      <c r="Q15" s="6">
        <v>124</v>
      </c>
      <c r="R15" s="6">
        <v>125</v>
      </c>
      <c r="S15" s="6">
        <v>117</v>
      </c>
      <c r="T15" s="5">
        <f>SUM(E15:S15)</f>
        <v>1898</v>
      </c>
    </row>
    <row r="16" spans="1:20" x14ac:dyDescent="0.4">
      <c r="A16" s="8"/>
      <c r="B16" s="63"/>
      <c r="C16" s="64"/>
      <c r="D16" s="5" t="s">
        <v>25</v>
      </c>
      <c r="E16" s="5">
        <f t="shared" ref="E16:O16" si="0">SUM(E14:E15)</f>
        <v>271</v>
      </c>
      <c r="F16" s="5">
        <f t="shared" si="0"/>
        <v>258</v>
      </c>
      <c r="G16" s="5">
        <f t="shared" si="0"/>
        <v>257</v>
      </c>
      <c r="H16" s="5">
        <f t="shared" si="0"/>
        <v>270</v>
      </c>
      <c r="I16" s="5">
        <f t="shared" si="0"/>
        <v>259</v>
      </c>
      <c r="J16" s="5">
        <f t="shared" si="0"/>
        <v>262</v>
      </c>
      <c r="K16" s="5">
        <f t="shared" si="0"/>
        <v>248</v>
      </c>
      <c r="L16" s="5">
        <f t="shared" si="0"/>
        <v>249</v>
      </c>
      <c r="M16" s="5">
        <f t="shared" si="0"/>
        <v>255</v>
      </c>
      <c r="N16" s="5">
        <f t="shared" si="0"/>
        <v>284</v>
      </c>
      <c r="O16" s="5">
        <f t="shared" si="0"/>
        <v>204</v>
      </c>
      <c r="P16" s="5">
        <f t="shared" ref="P16:S16" si="1">SUM(P14:P15)</f>
        <v>213</v>
      </c>
      <c r="Q16" s="5">
        <f t="shared" si="1"/>
        <v>245</v>
      </c>
      <c r="R16" s="5">
        <f t="shared" si="1"/>
        <v>243</v>
      </c>
      <c r="S16" s="5">
        <f t="shared" si="1"/>
        <v>241</v>
      </c>
      <c r="T16" s="5">
        <f>SUM(E16:S16)</f>
        <v>3759</v>
      </c>
    </row>
    <row r="17" spans="1:20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28"/>
    </row>
    <row r="18" spans="1:20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28"/>
    </row>
    <row r="19" spans="1:20" x14ac:dyDescent="0.4">
      <c r="A19" s="11"/>
      <c r="B19" s="65" t="s">
        <v>28</v>
      </c>
      <c r="C19" s="66" t="s">
        <v>29</v>
      </c>
      <c r="D19" s="6" t="s">
        <v>23</v>
      </c>
      <c r="E19" s="6">
        <v>92</v>
      </c>
      <c r="F19" s="6">
        <v>99</v>
      </c>
      <c r="G19" s="6">
        <v>93</v>
      </c>
      <c r="H19" s="6">
        <v>104</v>
      </c>
      <c r="I19" s="6">
        <v>99</v>
      </c>
      <c r="J19" s="6">
        <v>101</v>
      </c>
      <c r="K19" s="6">
        <v>98</v>
      </c>
      <c r="L19" s="6">
        <v>92</v>
      </c>
      <c r="M19" s="6">
        <v>82</v>
      </c>
      <c r="N19" s="6">
        <v>87</v>
      </c>
      <c r="O19" s="6">
        <v>64</v>
      </c>
      <c r="P19" s="6">
        <v>71</v>
      </c>
      <c r="Q19" s="6">
        <v>91</v>
      </c>
      <c r="R19" s="6">
        <v>90</v>
      </c>
      <c r="S19" s="6">
        <v>104</v>
      </c>
      <c r="T19" s="5">
        <f t="shared" ref="T19:T30" si="2">SUM(E19:S19)</f>
        <v>1367</v>
      </c>
    </row>
    <row r="20" spans="1:20" x14ac:dyDescent="0.4">
      <c r="A20" s="12"/>
      <c r="B20" s="62"/>
      <c r="C20" s="67"/>
      <c r="D20" s="6" t="s">
        <v>24</v>
      </c>
      <c r="E20" s="6">
        <v>110</v>
      </c>
      <c r="F20" s="6">
        <v>102</v>
      </c>
      <c r="G20" s="6">
        <v>97</v>
      </c>
      <c r="H20" s="6">
        <v>104</v>
      </c>
      <c r="I20" s="6">
        <v>108</v>
      </c>
      <c r="J20" s="6">
        <v>111</v>
      </c>
      <c r="K20" s="6">
        <v>96</v>
      </c>
      <c r="L20" s="6">
        <v>108</v>
      </c>
      <c r="M20" s="6">
        <v>89</v>
      </c>
      <c r="N20" s="6">
        <v>109</v>
      </c>
      <c r="O20" s="6">
        <v>89</v>
      </c>
      <c r="P20" s="6">
        <v>84</v>
      </c>
      <c r="Q20" s="6">
        <v>108</v>
      </c>
      <c r="R20" s="6">
        <v>104</v>
      </c>
      <c r="S20" s="6">
        <v>98</v>
      </c>
      <c r="T20" s="5">
        <f t="shared" si="2"/>
        <v>1517</v>
      </c>
    </row>
    <row r="21" spans="1:20" x14ac:dyDescent="0.4">
      <c r="A21" s="13"/>
      <c r="B21" s="64"/>
      <c r="C21" s="68"/>
      <c r="D21" s="5" t="s">
        <v>25</v>
      </c>
      <c r="E21" s="5">
        <f t="shared" ref="E21:O21" si="3">SUM(E19:E20)</f>
        <v>202</v>
      </c>
      <c r="F21" s="5">
        <f t="shared" si="3"/>
        <v>201</v>
      </c>
      <c r="G21" s="5">
        <f t="shared" si="3"/>
        <v>190</v>
      </c>
      <c r="H21" s="5">
        <f t="shared" si="3"/>
        <v>208</v>
      </c>
      <c r="I21" s="5">
        <f t="shared" si="3"/>
        <v>207</v>
      </c>
      <c r="J21" s="5">
        <f t="shared" si="3"/>
        <v>212</v>
      </c>
      <c r="K21" s="5">
        <f t="shared" si="3"/>
        <v>194</v>
      </c>
      <c r="L21" s="5">
        <f t="shared" si="3"/>
        <v>200</v>
      </c>
      <c r="M21" s="5">
        <f t="shared" si="3"/>
        <v>171</v>
      </c>
      <c r="N21" s="5">
        <f t="shared" si="3"/>
        <v>196</v>
      </c>
      <c r="O21" s="5">
        <f t="shared" si="3"/>
        <v>153</v>
      </c>
      <c r="P21" s="5">
        <f t="shared" ref="P21:S21" si="4">SUM(P19:P20)</f>
        <v>155</v>
      </c>
      <c r="Q21" s="5">
        <f t="shared" si="4"/>
        <v>199</v>
      </c>
      <c r="R21" s="5">
        <f t="shared" si="4"/>
        <v>194</v>
      </c>
      <c r="S21" s="5">
        <f t="shared" si="4"/>
        <v>202</v>
      </c>
      <c r="T21" s="5">
        <f t="shared" si="2"/>
        <v>2884</v>
      </c>
    </row>
    <row r="22" spans="1:20" x14ac:dyDescent="0.4">
      <c r="A22" s="12"/>
      <c r="B22" s="65" t="s">
        <v>30</v>
      </c>
      <c r="C22" s="66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2</v>
      </c>
      <c r="P22" s="6">
        <v>0</v>
      </c>
      <c r="Q22" s="6">
        <v>1</v>
      </c>
      <c r="R22" s="6">
        <v>1</v>
      </c>
      <c r="S22" s="6">
        <v>2</v>
      </c>
      <c r="T22" s="5">
        <f t="shared" si="2"/>
        <v>7</v>
      </c>
    </row>
    <row r="23" spans="1:20" x14ac:dyDescent="0.4">
      <c r="A23" s="12"/>
      <c r="B23" s="62"/>
      <c r="C23" s="67"/>
      <c r="D23" s="6" t="s">
        <v>24</v>
      </c>
      <c r="E23" s="6">
        <v>1</v>
      </c>
      <c r="F23" s="6">
        <v>0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2</v>
      </c>
      <c r="M23" s="6">
        <v>1</v>
      </c>
      <c r="N23" s="6">
        <v>0</v>
      </c>
      <c r="O23" s="6">
        <v>0</v>
      </c>
      <c r="P23" s="6">
        <v>1</v>
      </c>
      <c r="Q23" s="6">
        <v>1</v>
      </c>
      <c r="R23" s="6">
        <v>1</v>
      </c>
      <c r="S23" s="6">
        <v>2</v>
      </c>
      <c r="T23" s="5">
        <f t="shared" si="2"/>
        <v>10</v>
      </c>
    </row>
    <row r="24" spans="1:20" x14ac:dyDescent="0.4">
      <c r="A24" s="13"/>
      <c r="B24" s="64"/>
      <c r="C24" s="68"/>
      <c r="D24" s="5" t="s">
        <v>25</v>
      </c>
      <c r="E24" s="5">
        <f t="shared" ref="E24:O24" si="5">SUM(E22:E23)</f>
        <v>1</v>
      </c>
      <c r="F24" s="5">
        <f t="shared" si="5"/>
        <v>0</v>
      </c>
      <c r="G24" s="5">
        <f t="shared" si="5"/>
        <v>1</v>
      </c>
      <c r="H24" s="5">
        <f t="shared" si="5"/>
        <v>1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2</v>
      </c>
      <c r="M24" s="5">
        <f t="shared" si="5"/>
        <v>1</v>
      </c>
      <c r="N24" s="5">
        <f t="shared" si="5"/>
        <v>0</v>
      </c>
      <c r="O24" s="5">
        <f t="shared" si="5"/>
        <v>2</v>
      </c>
      <c r="P24" s="5">
        <f t="shared" ref="P24:S24" si="6">SUM(P22:P23)</f>
        <v>1</v>
      </c>
      <c r="Q24" s="5">
        <f t="shared" si="6"/>
        <v>2</v>
      </c>
      <c r="R24" s="5">
        <f t="shared" si="6"/>
        <v>2</v>
      </c>
      <c r="S24" s="5">
        <f t="shared" si="6"/>
        <v>4</v>
      </c>
      <c r="T24" s="5">
        <f t="shared" si="2"/>
        <v>17</v>
      </c>
    </row>
    <row r="25" spans="1:20" x14ac:dyDescent="0.4">
      <c r="A25" s="12"/>
      <c r="B25" s="65" t="s">
        <v>32</v>
      </c>
      <c r="C25" s="66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1</v>
      </c>
      <c r="N25" s="6">
        <v>2</v>
      </c>
      <c r="O25" s="6">
        <v>2</v>
      </c>
      <c r="P25" s="6">
        <v>0</v>
      </c>
      <c r="Q25" s="6">
        <v>1</v>
      </c>
      <c r="R25" s="6">
        <v>1</v>
      </c>
      <c r="S25" s="6">
        <v>0</v>
      </c>
      <c r="T25" s="5">
        <f t="shared" si="2"/>
        <v>9</v>
      </c>
    </row>
    <row r="26" spans="1:20" x14ac:dyDescent="0.4">
      <c r="A26" s="12"/>
      <c r="B26" s="62"/>
      <c r="C26" s="67"/>
      <c r="D26" s="6" t="s">
        <v>24</v>
      </c>
      <c r="E26" s="6">
        <v>2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2</v>
      </c>
      <c r="L26" s="6">
        <v>1</v>
      </c>
      <c r="M26" s="6">
        <v>0</v>
      </c>
      <c r="N26" s="6">
        <v>1</v>
      </c>
      <c r="O26" s="6">
        <v>1</v>
      </c>
      <c r="P26" s="6">
        <v>1</v>
      </c>
      <c r="Q26" s="6">
        <v>0</v>
      </c>
      <c r="R26" s="6">
        <v>0</v>
      </c>
      <c r="S26" s="6">
        <v>0</v>
      </c>
      <c r="T26" s="5">
        <f t="shared" si="2"/>
        <v>9</v>
      </c>
    </row>
    <row r="27" spans="1:20" x14ac:dyDescent="0.4">
      <c r="A27" s="13"/>
      <c r="B27" s="64"/>
      <c r="C27" s="68"/>
      <c r="D27" s="5" t="s">
        <v>25</v>
      </c>
      <c r="E27" s="5">
        <f t="shared" ref="E27:O27" si="7">SUM(E25:E26)</f>
        <v>3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2</v>
      </c>
      <c r="J27" s="5">
        <f t="shared" si="7"/>
        <v>0</v>
      </c>
      <c r="K27" s="5">
        <f t="shared" si="7"/>
        <v>2</v>
      </c>
      <c r="L27" s="5">
        <f t="shared" si="7"/>
        <v>1</v>
      </c>
      <c r="M27" s="5">
        <f t="shared" si="7"/>
        <v>1</v>
      </c>
      <c r="N27" s="5">
        <f t="shared" si="7"/>
        <v>3</v>
      </c>
      <c r="O27" s="5">
        <f t="shared" si="7"/>
        <v>3</v>
      </c>
      <c r="P27" s="5">
        <f t="shared" ref="P27:S27" si="8">SUM(P25:P26)</f>
        <v>1</v>
      </c>
      <c r="Q27" s="5">
        <f t="shared" si="8"/>
        <v>1</v>
      </c>
      <c r="R27" s="5">
        <f t="shared" si="8"/>
        <v>1</v>
      </c>
      <c r="S27" s="5">
        <f t="shared" si="8"/>
        <v>0</v>
      </c>
      <c r="T27" s="5">
        <f t="shared" si="2"/>
        <v>18</v>
      </c>
    </row>
    <row r="28" spans="1:20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93</v>
      </c>
      <c r="F28" s="5">
        <f t="shared" ref="F28:O29" si="9">SUM(F19,F22,F25)</f>
        <v>99</v>
      </c>
      <c r="G28" s="5">
        <f t="shared" si="9"/>
        <v>94</v>
      </c>
      <c r="H28" s="5">
        <f t="shared" si="9"/>
        <v>104</v>
      </c>
      <c r="I28" s="5">
        <f t="shared" si="9"/>
        <v>100</v>
      </c>
      <c r="J28" s="5">
        <f t="shared" si="9"/>
        <v>101</v>
      </c>
      <c r="K28" s="5">
        <f t="shared" si="9"/>
        <v>98</v>
      </c>
      <c r="L28" s="5">
        <f t="shared" si="9"/>
        <v>92</v>
      </c>
      <c r="M28" s="5">
        <f t="shared" si="9"/>
        <v>83</v>
      </c>
      <c r="N28" s="5">
        <f t="shared" si="9"/>
        <v>89</v>
      </c>
      <c r="O28" s="5">
        <f t="shared" si="9"/>
        <v>68</v>
      </c>
      <c r="P28" s="5">
        <f t="shared" ref="P28:S28" si="10">SUM(P19,P22,P25)</f>
        <v>71</v>
      </c>
      <c r="Q28" s="5">
        <f t="shared" si="10"/>
        <v>93</v>
      </c>
      <c r="R28" s="5">
        <f t="shared" si="10"/>
        <v>92</v>
      </c>
      <c r="S28" s="5">
        <f t="shared" si="10"/>
        <v>106</v>
      </c>
      <c r="T28" s="5">
        <f t="shared" si="2"/>
        <v>1383</v>
      </c>
    </row>
    <row r="29" spans="1:20" x14ac:dyDescent="0.4">
      <c r="A29" s="13"/>
      <c r="B29" s="62"/>
      <c r="C29" s="67"/>
      <c r="D29" s="5" t="s">
        <v>24</v>
      </c>
      <c r="E29" s="5">
        <f>SUM(E20,E23,E26)</f>
        <v>113</v>
      </c>
      <c r="F29" s="5">
        <f t="shared" si="9"/>
        <v>102</v>
      </c>
      <c r="G29" s="5">
        <f t="shared" si="9"/>
        <v>97</v>
      </c>
      <c r="H29" s="5">
        <f t="shared" si="9"/>
        <v>105</v>
      </c>
      <c r="I29" s="5">
        <f t="shared" si="9"/>
        <v>109</v>
      </c>
      <c r="J29" s="5">
        <f t="shared" si="9"/>
        <v>111</v>
      </c>
      <c r="K29" s="5">
        <f t="shared" si="9"/>
        <v>98</v>
      </c>
      <c r="L29" s="5">
        <f t="shared" si="9"/>
        <v>111</v>
      </c>
      <c r="M29" s="5">
        <f t="shared" si="9"/>
        <v>90</v>
      </c>
      <c r="N29" s="5">
        <f t="shared" si="9"/>
        <v>110</v>
      </c>
      <c r="O29" s="5">
        <f t="shared" si="9"/>
        <v>90</v>
      </c>
      <c r="P29" s="5">
        <f t="shared" ref="P29:S29" si="11">SUM(P20,P23,P26)</f>
        <v>86</v>
      </c>
      <c r="Q29" s="5">
        <f t="shared" si="11"/>
        <v>109</v>
      </c>
      <c r="R29" s="5">
        <f t="shared" si="11"/>
        <v>105</v>
      </c>
      <c r="S29" s="5">
        <f t="shared" si="11"/>
        <v>100</v>
      </c>
      <c r="T29" s="5">
        <f t="shared" si="2"/>
        <v>1536</v>
      </c>
    </row>
    <row r="30" spans="1:20" x14ac:dyDescent="0.4">
      <c r="A30" s="13"/>
      <c r="B30" s="64"/>
      <c r="C30" s="68"/>
      <c r="D30" s="5" t="s">
        <v>25</v>
      </c>
      <c r="E30" s="5">
        <f t="shared" ref="E30:O30" si="12">SUM(E28:E29)</f>
        <v>206</v>
      </c>
      <c r="F30" s="5">
        <f t="shared" si="12"/>
        <v>201</v>
      </c>
      <c r="G30" s="5">
        <f t="shared" si="12"/>
        <v>191</v>
      </c>
      <c r="H30" s="5">
        <f t="shared" si="12"/>
        <v>209</v>
      </c>
      <c r="I30" s="5">
        <f t="shared" si="12"/>
        <v>209</v>
      </c>
      <c r="J30" s="5">
        <f t="shared" si="12"/>
        <v>212</v>
      </c>
      <c r="K30" s="5">
        <f t="shared" si="12"/>
        <v>196</v>
      </c>
      <c r="L30" s="5">
        <f t="shared" si="12"/>
        <v>203</v>
      </c>
      <c r="M30" s="5">
        <f t="shared" si="12"/>
        <v>173</v>
      </c>
      <c r="N30" s="5">
        <f t="shared" si="12"/>
        <v>199</v>
      </c>
      <c r="O30" s="5">
        <f t="shared" si="12"/>
        <v>158</v>
      </c>
      <c r="P30" s="5">
        <f t="shared" ref="P30:S30" si="13">SUM(P28:P29)</f>
        <v>157</v>
      </c>
      <c r="Q30" s="5">
        <f t="shared" si="13"/>
        <v>202</v>
      </c>
      <c r="R30" s="5">
        <f t="shared" si="13"/>
        <v>197</v>
      </c>
      <c r="S30" s="5">
        <f t="shared" si="13"/>
        <v>206</v>
      </c>
      <c r="T30" s="5">
        <f t="shared" si="2"/>
        <v>2919</v>
      </c>
    </row>
    <row r="31" spans="1:20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28"/>
    </row>
    <row r="32" spans="1:20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28"/>
    </row>
    <row r="33" spans="1:20" x14ac:dyDescent="0.4">
      <c r="A33" s="6">
        <v>1</v>
      </c>
      <c r="B33" s="58" t="s">
        <v>38</v>
      </c>
      <c r="C33" s="51"/>
      <c r="D33" s="52"/>
      <c r="E33" s="6">
        <v>277</v>
      </c>
      <c r="F33" s="6">
        <v>264</v>
      </c>
      <c r="G33" s="6">
        <v>263</v>
      </c>
      <c r="H33" s="6">
        <v>277</v>
      </c>
      <c r="I33" s="6">
        <v>265</v>
      </c>
      <c r="J33" s="6">
        <v>258</v>
      </c>
      <c r="K33" s="6">
        <v>253</v>
      </c>
      <c r="L33" s="6">
        <v>254</v>
      </c>
      <c r="M33" s="6">
        <v>261</v>
      </c>
      <c r="N33" s="6">
        <v>290</v>
      </c>
      <c r="O33" s="6">
        <v>209</v>
      </c>
      <c r="P33" s="6">
        <v>218</v>
      </c>
      <c r="Q33" s="6">
        <v>250</v>
      </c>
      <c r="R33" s="6">
        <v>248</v>
      </c>
      <c r="S33" s="6">
        <v>246</v>
      </c>
      <c r="T33" s="5">
        <f>SUM(E33:S33)</f>
        <v>3833</v>
      </c>
    </row>
    <row r="34" spans="1:20" x14ac:dyDescent="0.4">
      <c r="A34" s="6">
        <v>2</v>
      </c>
      <c r="B34" s="58" t="s">
        <v>39</v>
      </c>
      <c r="C34" s="51"/>
      <c r="D34" s="52"/>
      <c r="E34" s="5">
        <v>206</v>
      </c>
      <c r="F34" s="5">
        <v>201</v>
      </c>
      <c r="G34" s="5">
        <v>191</v>
      </c>
      <c r="H34" s="5">
        <v>209</v>
      </c>
      <c r="I34" s="5">
        <v>209</v>
      </c>
      <c r="J34" s="5">
        <v>212</v>
      </c>
      <c r="K34" s="5">
        <v>196</v>
      </c>
      <c r="L34" s="5">
        <v>203</v>
      </c>
      <c r="M34" s="5">
        <v>173</v>
      </c>
      <c r="N34" s="5">
        <v>199</v>
      </c>
      <c r="O34" s="5">
        <v>158</v>
      </c>
      <c r="P34" s="5">
        <v>157</v>
      </c>
      <c r="Q34" s="5">
        <v>202</v>
      </c>
      <c r="R34" s="5">
        <v>197</v>
      </c>
      <c r="S34" s="5">
        <v>206</v>
      </c>
      <c r="T34" s="5">
        <f>SUM(E34:S34)</f>
        <v>2919</v>
      </c>
    </row>
    <row r="35" spans="1:20" x14ac:dyDescent="0.4">
      <c r="A35" s="6">
        <v>3</v>
      </c>
      <c r="B35" s="58" t="s">
        <v>40</v>
      </c>
      <c r="C35" s="51"/>
      <c r="D35" s="52"/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1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1</v>
      </c>
      <c r="Q35" s="6">
        <v>1</v>
      </c>
      <c r="R35" s="6">
        <v>1</v>
      </c>
      <c r="S35" s="6">
        <v>0</v>
      </c>
      <c r="T35" s="5">
        <f>SUM(E35:S35)</f>
        <v>8</v>
      </c>
    </row>
    <row r="36" spans="1:20" x14ac:dyDescent="0.4">
      <c r="A36" s="6">
        <v>4</v>
      </c>
      <c r="B36" s="58" t="s">
        <v>41</v>
      </c>
      <c r="C36" s="51"/>
      <c r="D36" s="52"/>
      <c r="E36" s="5">
        <f t="shared" ref="E36:O36" si="14">E33-(E34+E35)</f>
        <v>68</v>
      </c>
      <c r="F36" s="5">
        <f t="shared" si="14"/>
        <v>63</v>
      </c>
      <c r="G36" s="5">
        <f t="shared" si="14"/>
        <v>72</v>
      </c>
      <c r="H36" s="5">
        <f t="shared" si="14"/>
        <v>68</v>
      </c>
      <c r="I36" s="5">
        <f t="shared" si="14"/>
        <v>56</v>
      </c>
      <c r="J36" s="5">
        <f t="shared" si="14"/>
        <v>45</v>
      </c>
      <c r="K36" s="5">
        <f t="shared" si="14"/>
        <v>57</v>
      </c>
      <c r="L36" s="5">
        <f t="shared" si="14"/>
        <v>51</v>
      </c>
      <c r="M36" s="5">
        <f t="shared" si="14"/>
        <v>88</v>
      </c>
      <c r="N36" s="5">
        <f t="shared" si="14"/>
        <v>90</v>
      </c>
      <c r="O36" s="5">
        <f t="shared" si="14"/>
        <v>51</v>
      </c>
      <c r="P36" s="5">
        <f t="shared" ref="P36:S36" si="15">P33-(P34+P35)</f>
        <v>60</v>
      </c>
      <c r="Q36" s="5">
        <f t="shared" si="15"/>
        <v>47</v>
      </c>
      <c r="R36" s="5">
        <f t="shared" si="15"/>
        <v>50</v>
      </c>
      <c r="S36" s="5">
        <f t="shared" si="15"/>
        <v>40</v>
      </c>
      <c r="T36" s="5">
        <f>SUM(E36:S36)</f>
        <v>906</v>
      </c>
    </row>
    <row r="37" spans="1:20" x14ac:dyDescent="0.4">
      <c r="A37" s="50"/>
      <c r="B37" s="51"/>
      <c r="C37" s="51"/>
      <c r="D37" s="51"/>
      <c r="E37" s="50"/>
      <c r="F37" s="72"/>
      <c r="G37" s="72"/>
      <c r="H37" s="72"/>
      <c r="I37" s="73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8"/>
    </row>
    <row r="38" spans="1:20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28"/>
    </row>
    <row r="39" spans="1:20" x14ac:dyDescent="0.4">
      <c r="A39" s="11"/>
      <c r="B39" s="74" t="s">
        <v>44</v>
      </c>
      <c r="C39" s="60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2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0</v>
      </c>
      <c r="S39" s="6">
        <v>1</v>
      </c>
      <c r="T39" s="5">
        <f>SUM(E39:S39)</f>
        <v>4</v>
      </c>
    </row>
    <row r="40" spans="1:20" x14ac:dyDescent="0.4">
      <c r="A40" s="12"/>
      <c r="B40" s="75"/>
      <c r="C40" s="62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6">
        <v>0</v>
      </c>
      <c r="O40" s="6">
        <v>0</v>
      </c>
      <c r="P40" s="6">
        <v>1</v>
      </c>
      <c r="Q40" s="6">
        <v>1</v>
      </c>
      <c r="R40" s="6">
        <v>0</v>
      </c>
      <c r="S40" s="6">
        <v>0</v>
      </c>
      <c r="T40" s="5">
        <f>SUM(E40:S40)</f>
        <v>3</v>
      </c>
    </row>
    <row r="41" spans="1:20" x14ac:dyDescent="0.4">
      <c r="A41" s="14"/>
      <c r="B41" s="76"/>
      <c r="C41" s="64"/>
      <c r="D41" s="5" t="s">
        <v>25</v>
      </c>
      <c r="E41" s="5">
        <f t="shared" ref="E41:O41" si="16">SUM(E39:E40)</f>
        <v>0</v>
      </c>
      <c r="F41" s="5">
        <f t="shared" si="16"/>
        <v>0</v>
      </c>
      <c r="G41" s="5">
        <f t="shared" si="16"/>
        <v>0</v>
      </c>
      <c r="H41" s="5">
        <f t="shared" si="16"/>
        <v>0</v>
      </c>
      <c r="I41" s="5">
        <f t="shared" si="16"/>
        <v>0</v>
      </c>
      <c r="J41" s="5">
        <f t="shared" si="16"/>
        <v>0</v>
      </c>
      <c r="K41" s="5">
        <f t="shared" si="16"/>
        <v>3</v>
      </c>
      <c r="L41" s="5">
        <f t="shared" si="16"/>
        <v>0</v>
      </c>
      <c r="M41" s="5">
        <f t="shared" si="16"/>
        <v>0</v>
      </c>
      <c r="N41" s="5">
        <f t="shared" si="16"/>
        <v>0</v>
      </c>
      <c r="O41" s="5">
        <f t="shared" si="16"/>
        <v>0</v>
      </c>
      <c r="P41" s="5">
        <f t="shared" ref="P41:S41" si="17">SUM(P39:P40)</f>
        <v>2</v>
      </c>
      <c r="Q41" s="5">
        <f t="shared" si="17"/>
        <v>1</v>
      </c>
      <c r="R41" s="5">
        <f t="shared" si="17"/>
        <v>0</v>
      </c>
      <c r="S41" s="5">
        <f t="shared" si="17"/>
        <v>1</v>
      </c>
      <c r="T41" s="5">
        <f>SUM(E41:S41)</f>
        <v>7</v>
      </c>
    </row>
    <row r="42" spans="1:20" x14ac:dyDescent="0.4">
      <c r="A42" s="77"/>
      <c r="B42" s="76"/>
      <c r="C42" s="76"/>
      <c r="D42" s="64"/>
      <c r="E42" s="50"/>
      <c r="F42" s="51"/>
      <c r="G42" s="51"/>
      <c r="H42" s="51"/>
      <c r="I42" s="52"/>
      <c r="J42" s="6"/>
      <c r="K42" s="6"/>
      <c r="L42" s="6"/>
      <c r="M42" s="6"/>
      <c r="N42" s="10"/>
      <c r="O42" s="6"/>
      <c r="P42" s="10"/>
      <c r="Q42" s="6"/>
      <c r="R42" s="10"/>
      <c r="S42" s="6"/>
      <c r="T42" s="5"/>
    </row>
    <row r="43" spans="1:20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</row>
    <row r="44" spans="1:20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5"/>
    </row>
    <row r="45" spans="1:20" x14ac:dyDescent="0.4">
      <c r="A45" s="11" t="s">
        <v>48</v>
      </c>
      <c r="B45" s="17" t="s">
        <v>28</v>
      </c>
      <c r="C45" s="79" t="s">
        <v>49</v>
      </c>
      <c r="D45" s="52"/>
      <c r="E45" s="6">
        <v>14</v>
      </c>
      <c r="F45" s="6">
        <v>4</v>
      </c>
      <c r="G45" s="6">
        <v>9</v>
      </c>
      <c r="H45" s="6">
        <v>3</v>
      </c>
      <c r="I45" s="6">
        <v>6</v>
      </c>
      <c r="J45" s="6">
        <v>11</v>
      </c>
      <c r="K45" s="6">
        <v>10</v>
      </c>
      <c r="L45" s="6">
        <v>7</v>
      </c>
      <c r="M45" s="6">
        <v>7</v>
      </c>
      <c r="N45" s="6">
        <v>1</v>
      </c>
      <c r="O45" s="6">
        <v>11</v>
      </c>
      <c r="P45" s="6">
        <v>11</v>
      </c>
      <c r="Q45" s="6">
        <v>3</v>
      </c>
      <c r="R45" s="6">
        <v>5</v>
      </c>
      <c r="S45" s="6">
        <v>4</v>
      </c>
      <c r="T45" s="5">
        <f t="shared" ref="T45:T51" si="18">SUM(E45:S45)</f>
        <v>106</v>
      </c>
    </row>
    <row r="46" spans="1:20" x14ac:dyDescent="0.4">
      <c r="A46" s="11" t="s">
        <v>50</v>
      </c>
      <c r="B46" s="46"/>
      <c r="C46" s="24" t="s">
        <v>104</v>
      </c>
      <c r="D46" s="47"/>
      <c r="E46" s="6">
        <v>19</v>
      </c>
      <c r="F46" s="6">
        <v>8</v>
      </c>
      <c r="G46" s="6">
        <v>4</v>
      </c>
      <c r="H46" s="6">
        <v>21</v>
      </c>
      <c r="I46" s="6">
        <v>41</v>
      </c>
      <c r="J46" s="6">
        <v>37</v>
      </c>
      <c r="K46" s="6">
        <v>22</v>
      </c>
      <c r="L46" s="6">
        <v>27</v>
      </c>
      <c r="M46" s="6">
        <v>20</v>
      </c>
      <c r="N46" s="6">
        <v>30</v>
      </c>
      <c r="O46" s="6">
        <v>10</v>
      </c>
      <c r="P46" s="6">
        <v>25</v>
      </c>
      <c r="Q46" s="6">
        <v>10</v>
      </c>
      <c r="R46" s="6">
        <v>29</v>
      </c>
      <c r="S46" s="6">
        <v>15</v>
      </c>
      <c r="T46" s="5">
        <f t="shared" si="18"/>
        <v>318</v>
      </c>
    </row>
    <row r="47" spans="1:20" x14ac:dyDescent="0.4">
      <c r="A47" s="7"/>
      <c r="B47" s="46"/>
      <c r="C47" s="24" t="s">
        <v>105</v>
      </c>
      <c r="D47" s="47"/>
      <c r="E47" s="6">
        <v>33</v>
      </c>
      <c r="F47" s="6">
        <v>6</v>
      </c>
      <c r="G47" s="6">
        <v>11</v>
      </c>
      <c r="H47" s="6">
        <v>6</v>
      </c>
      <c r="I47" s="6">
        <v>26</v>
      </c>
      <c r="J47" s="6">
        <v>60</v>
      </c>
      <c r="K47" s="6">
        <v>14</v>
      </c>
      <c r="L47" s="6">
        <v>46</v>
      </c>
      <c r="M47" s="6">
        <v>8</v>
      </c>
      <c r="N47" s="6">
        <v>12</v>
      </c>
      <c r="O47" s="6">
        <v>35</v>
      </c>
      <c r="P47" s="6">
        <v>27</v>
      </c>
      <c r="Q47" s="6">
        <v>54</v>
      </c>
      <c r="R47" s="6">
        <v>41</v>
      </c>
      <c r="S47" s="6">
        <v>40</v>
      </c>
      <c r="T47" s="5">
        <f t="shared" si="18"/>
        <v>419</v>
      </c>
    </row>
    <row r="48" spans="1:20" x14ac:dyDescent="0.4">
      <c r="A48" s="7"/>
      <c r="B48" s="46"/>
      <c r="C48" s="24" t="s">
        <v>106</v>
      </c>
      <c r="D48" s="47"/>
      <c r="E48" s="6">
        <v>0</v>
      </c>
      <c r="F48" s="6">
        <v>1</v>
      </c>
      <c r="G48" s="6">
        <v>0</v>
      </c>
      <c r="H48" s="6">
        <v>0</v>
      </c>
      <c r="I48" s="6">
        <v>1</v>
      </c>
      <c r="J48" s="6">
        <v>2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5">
        <f t="shared" si="18"/>
        <v>5</v>
      </c>
    </row>
    <row r="49" spans="1:20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5">
        <f t="shared" si="18"/>
        <v>0</v>
      </c>
    </row>
    <row r="50" spans="1:20" x14ac:dyDescent="0.4">
      <c r="A50" s="7"/>
      <c r="B50" s="46"/>
      <c r="C50" s="24" t="s">
        <v>108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2</v>
      </c>
      <c r="P50" s="6">
        <v>0</v>
      </c>
      <c r="Q50" s="6">
        <v>0</v>
      </c>
      <c r="R50" s="6">
        <v>0</v>
      </c>
      <c r="S50" s="6">
        <v>0</v>
      </c>
      <c r="T50" s="5">
        <f t="shared" si="18"/>
        <v>3</v>
      </c>
    </row>
    <row r="51" spans="1:20" x14ac:dyDescent="0.4">
      <c r="A51" s="7"/>
      <c r="B51" s="46"/>
      <c r="C51" s="24" t="s">
        <v>109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2</v>
      </c>
      <c r="R51" s="6">
        <v>4</v>
      </c>
      <c r="S51" s="6">
        <v>9</v>
      </c>
      <c r="T51" s="5">
        <f t="shared" si="18"/>
        <v>15</v>
      </c>
    </row>
    <row r="52" spans="1:20" x14ac:dyDescent="0.4">
      <c r="A52" s="6" t="s">
        <v>26</v>
      </c>
      <c r="B52" s="71" t="s">
        <v>51</v>
      </c>
      <c r="C52" s="51"/>
      <c r="D52" s="52"/>
      <c r="E52" s="5">
        <f>SUM(E45:E51)</f>
        <v>66</v>
      </c>
      <c r="F52" s="5">
        <f>SUM(F45:F51)</f>
        <v>19</v>
      </c>
      <c r="G52" s="5">
        <f>SUM(G45:G51)</f>
        <v>24</v>
      </c>
      <c r="H52" s="5">
        <f>SUM(H45:H51)</f>
        <v>30</v>
      </c>
      <c r="I52" s="5">
        <f>SUM(I45:I51)</f>
        <v>75</v>
      </c>
      <c r="J52" s="5">
        <f>SUM(J45:J51)</f>
        <v>110</v>
      </c>
      <c r="K52" s="5">
        <f>SUM(K45:K51)</f>
        <v>47</v>
      </c>
      <c r="L52" s="5">
        <f>SUM(L45:L51)</f>
        <v>80</v>
      </c>
      <c r="M52" s="5">
        <f>SUM(M45:M51)</f>
        <v>35</v>
      </c>
      <c r="N52" s="5">
        <f>SUM(N45:N51)</f>
        <v>43</v>
      </c>
      <c r="O52" s="5">
        <f>SUM(O45:O51)</f>
        <v>58</v>
      </c>
      <c r="P52" s="5">
        <f>SUM(P45:P51)</f>
        <v>63</v>
      </c>
      <c r="Q52" s="5">
        <f>SUM(Q45:Q51)</f>
        <v>69</v>
      </c>
      <c r="R52" s="5">
        <f>SUM(R45:R51)</f>
        <v>79</v>
      </c>
      <c r="S52" s="5">
        <f>SUM(S45:S51)</f>
        <v>68</v>
      </c>
      <c r="T52" s="5">
        <f>SUM(T45:T51)</f>
        <v>866</v>
      </c>
    </row>
    <row r="53" spans="1:20" x14ac:dyDescent="0.4">
      <c r="A53" s="77"/>
      <c r="B53" s="76"/>
      <c r="C53" s="76"/>
      <c r="D53" s="76"/>
      <c r="E53" s="76"/>
      <c r="T53" s="5"/>
    </row>
    <row r="54" spans="1:20" x14ac:dyDescent="0.4">
      <c r="A54" s="11" t="s">
        <v>48</v>
      </c>
      <c r="B54" s="17" t="s">
        <v>30</v>
      </c>
      <c r="C54" s="79" t="s">
        <v>52</v>
      </c>
      <c r="D54" s="52"/>
      <c r="E54" s="6">
        <v>9</v>
      </c>
      <c r="F54" s="6">
        <v>11</v>
      </c>
      <c r="G54" s="6">
        <v>11</v>
      </c>
      <c r="H54" s="6">
        <v>13</v>
      </c>
      <c r="I54" s="6">
        <v>15</v>
      </c>
      <c r="J54" s="6">
        <v>4</v>
      </c>
      <c r="K54" s="6">
        <v>4</v>
      </c>
      <c r="L54" s="6">
        <v>5</v>
      </c>
      <c r="M54" s="6">
        <v>8</v>
      </c>
      <c r="N54" s="6">
        <v>2</v>
      </c>
      <c r="O54" s="6">
        <v>4</v>
      </c>
      <c r="P54" s="6">
        <v>5</v>
      </c>
      <c r="Q54" s="6">
        <v>4</v>
      </c>
      <c r="R54" s="6">
        <v>5</v>
      </c>
      <c r="S54" s="6">
        <v>7</v>
      </c>
      <c r="T54" s="5">
        <f t="shared" ref="T54:T60" si="19">SUM(E54:S54)</f>
        <v>107</v>
      </c>
    </row>
    <row r="55" spans="1:20" x14ac:dyDescent="0.4">
      <c r="A55" s="11" t="s">
        <v>50</v>
      </c>
      <c r="B55" s="46"/>
      <c r="C55" s="24" t="s">
        <v>110</v>
      </c>
      <c r="D55" s="47"/>
      <c r="E55" s="6">
        <v>11</v>
      </c>
      <c r="F55" s="6">
        <v>31</v>
      </c>
      <c r="G55" s="6">
        <v>38</v>
      </c>
      <c r="H55" s="6">
        <v>45</v>
      </c>
      <c r="I55" s="6">
        <v>25</v>
      </c>
      <c r="J55" s="6">
        <v>7</v>
      </c>
      <c r="K55" s="6">
        <v>11</v>
      </c>
      <c r="L55" s="6">
        <v>31</v>
      </c>
      <c r="M55" s="6">
        <v>15</v>
      </c>
      <c r="N55" s="6">
        <v>34</v>
      </c>
      <c r="O55" s="6">
        <v>13</v>
      </c>
      <c r="P55" s="6">
        <v>6</v>
      </c>
      <c r="Q55" s="6">
        <v>35</v>
      </c>
      <c r="R55" s="6">
        <v>17</v>
      </c>
      <c r="S55" s="6">
        <v>13</v>
      </c>
      <c r="T55" s="5">
        <f t="shared" si="19"/>
        <v>332</v>
      </c>
    </row>
    <row r="56" spans="1:20" x14ac:dyDescent="0.4">
      <c r="A56" s="7"/>
      <c r="B56" s="46"/>
      <c r="C56" s="24" t="s">
        <v>111</v>
      </c>
      <c r="D56" s="47"/>
      <c r="E56" s="6">
        <v>11</v>
      </c>
      <c r="F56" s="6">
        <v>42</v>
      </c>
      <c r="G56" s="6">
        <v>35</v>
      </c>
      <c r="H56" s="6">
        <v>39</v>
      </c>
      <c r="I56" s="6">
        <v>39</v>
      </c>
      <c r="J56" s="6">
        <v>42</v>
      </c>
      <c r="K56" s="6">
        <v>40</v>
      </c>
      <c r="L56" s="6">
        <v>16</v>
      </c>
      <c r="M56" s="6">
        <v>25</v>
      </c>
      <c r="N56" s="6">
        <v>18</v>
      </c>
      <c r="O56" s="6">
        <v>0</v>
      </c>
      <c r="P56" s="6">
        <v>0</v>
      </c>
      <c r="Q56" s="6">
        <v>12</v>
      </c>
      <c r="R56" s="6">
        <v>3</v>
      </c>
      <c r="S56" s="6">
        <v>3</v>
      </c>
      <c r="T56" s="5">
        <f t="shared" si="19"/>
        <v>325</v>
      </c>
    </row>
    <row r="57" spans="1:20" x14ac:dyDescent="0.4">
      <c r="A57" s="7"/>
      <c r="B57" s="46"/>
      <c r="C57" s="24" t="s">
        <v>112</v>
      </c>
      <c r="D57" s="47"/>
      <c r="E57" s="6">
        <v>0</v>
      </c>
      <c r="F57" s="6">
        <v>0</v>
      </c>
      <c r="G57" s="6">
        <v>0</v>
      </c>
      <c r="H57" s="6">
        <v>1</v>
      </c>
      <c r="I57" s="6">
        <v>0</v>
      </c>
      <c r="J57" s="6">
        <v>2</v>
      </c>
      <c r="K57" s="6">
        <v>0</v>
      </c>
      <c r="L57" s="6">
        <v>0</v>
      </c>
      <c r="M57" s="6">
        <v>1</v>
      </c>
      <c r="N57" s="6">
        <v>1</v>
      </c>
      <c r="O57" s="6">
        <v>1</v>
      </c>
      <c r="P57" s="6">
        <v>0</v>
      </c>
      <c r="Q57" s="6">
        <v>1</v>
      </c>
      <c r="R57" s="6">
        <v>0</v>
      </c>
      <c r="S57" s="6">
        <v>0</v>
      </c>
      <c r="T57" s="5">
        <f t="shared" si="19"/>
        <v>7</v>
      </c>
    </row>
    <row r="58" spans="1:20" x14ac:dyDescent="0.4">
      <c r="A58" s="7"/>
      <c r="B58" s="46"/>
      <c r="C58" s="24" t="s">
        <v>113</v>
      </c>
      <c r="D58" s="47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1</v>
      </c>
      <c r="S58" s="6">
        <v>1</v>
      </c>
      <c r="T58" s="5">
        <f t="shared" si="19"/>
        <v>2</v>
      </c>
    </row>
    <row r="59" spans="1:20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5">
        <f t="shared" si="19"/>
        <v>1</v>
      </c>
    </row>
    <row r="60" spans="1:20" ht="13.15" customHeight="1" x14ac:dyDescent="0.4">
      <c r="A60" s="7"/>
      <c r="B60" s="46"/>
      <c r="C60" s="24" t="s">
        <v>115</v>
      </c>
      <c r="D60" s="47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5">
        <f t="shared" si="19"/>
        <v>0</v>
      </c>
    </row>
    <row r="61" spans="1:20" x14ac:dyDescent="0.4">
      <c r="A61" s="6" t="s">
        <v>26</v>
      </c>
      <c r="B61" s="71" t="s">
        <v>51</v>
      </c>
      <c r="C61" s="51"/>
      <c r="D61" s="52"/>
      <c r="E61" s="5">
        <f>SUM(E54:E60)</f>
        <v>31</v>
      </c>
      <c r="F61" s="5">
        <f>SUM(F54:F60)</f>
        <v>84</v>
      </c>
      <c r="G61" s="5">
        <f>SUM(G54:G60)</f>
        <v>84</v>
      </c>
      <c r="H61" s="5">
        <f>SUM(H54:H60)</f>
        <v>98</v>
      </c>
      <c r="I61" s="5">
        <f>SUM(I54:I60)</f>
        <v>79</v>
      </c>
      <c r="J61" s="5">
        <f>SUM(J54:J60)</f>
        <v>55</v>
      </c>
      <c r="K61" s="5">
        <f>SUM(K54:K60)</f>
        <v>56</v>
      </c>
      <c r="L61" s="5">
        <f>SUM(L54:L60)</f>
        <v>52</v>
      </c>
      <c r="M61" s="5">
        <f>SUM(M54:M60)</f>
        <v>49</v>
      </c>
      <c r="N61" s="5">
        <f>SUM(N54:N60)</f>
        <v>55</v>
      </c>
      <c r="O61" s="5">
        <f>SUM(O54:O60)</f>
        <v>18</v>
      </c>
      <c r="P61" s="5">
        <f>SUM(P54:P60)</f>
        <v>11</v>
      </c>
      <c r="Q61" s="5">
        <f>SUM(Q54:Q60)</f>
        <v>52</v>
      </c>
      <c r="R61" s="5">
        <f>SUM(R54:R60)</f>
        <v>26</v>
      </c>
      <c r="S61" s="5">
        <f>SUM(S54:S60)</f>
        <v>24</v>
      </c>
      <c r="T61" s="5">
        <f>SUM(T54:T60)</f>
        <v>774</v>
      </c>
    </row>
    <row r="62" spans="1:20" x14ac:dyDescent="0.4">
      <c r="A62" s="77"/>
      <c r="B62" s="76"/>
      <c r="C62" s="76"/>
      <c r="D62" s="76"/>
      <c r="E62" s="76"/>
    </row>
    <row r="63" spans="1:20" x14ac:dyDescent="0.4">
      <c r="A63" s="11" t="s">
        <v>48</v>
      </c>
      <c r="B63" s="17" t="s">
        <v>32</v>
      </c>
      <c r="C63" s="79" t="s">
        <v>53</v>
      </c>
      <c r="D63" s="52"/>
      <c r="E63" s="6">
        <v>6</v>
      </c>
      <c r="F63" s="6">
        <v>4</v>
      </c>
      <c r="G63" s="6">
        <v>4</v>
      </c>
      <c r="H63" s="6">
        <v>1</v>
      </c>
      <c r="I63" s="6">
        <v>2</v>
      </c>
      <c r="J63" s="6">
        <v>1</v>
      </c>
      <c r="K63" s="6">
        <v>3</v>
      </c>
      <c r="L63" s="6">
        <v>0</v>
      </c>
      <c r="M63" s="6">
        <v>1</v>
      </c>
      <c r="N63" s="6">
        <v>1</v>
      </c>
      <c r="O63" s="6">
        <v>3</v>
      </c>
      <c r="P63" s="6">
        <v>2</v>
      </c>
      <c r="Q63" s="6">
        <v>2</v>
      </c>
      <c r="R63" s="6">
        <v>5</v>
      </c>
      <c r="S63" s="6">
        <v>6</v>
      </c>
      <c r="T63" s="5">
        <f t="shared" ref="T63:T69" si="20">SUM(E63:S63)</f>
        <v>41</v>
      </c>
    </row>
    <row r="64" spans="1:20" x14ac:dyDescent="0.4">
      <c r="A64" s="11" t="s">
        <v>50</v>
      </c>
      <c r="B64" s="46"/>
      <c r="C64" s="24" t="s">
        <v>116</v>
      </c>
      <c r="D64" s="47"/>
      <c r="E64" s="6">
        <v>0</v>
      </c>
      <c r="F64" s="6">
        <v>0</v>
      </c>
      <c r="G64" s="6">
        <v>2</v>
      </c>
      <c r="H64" s="6">
        <v>1</v>
      </c>
      <c r="I64" s="6">
        <v>7</v>
      </c>
      <c r="J64" s="6">
        <v>0</v>
      </c>
      <c r="K64" s="6">
        <v>1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5">
        <f t="shared" si="20"/>
        <v>12</v>
      </c>
    </row>
    <row r="65" spans="1:20" x14ac:dyDescent="0.4">
      <c r="A65" s="7"/>
      <c r="B65" s="46"/>
      <c r="C65" s="24" t="s">
        <v>117</v>
      </c>
      <c r="D65" s="47"/>
      <c r="E65" s="6">
        <v>18</v>
      </c>
      <c r="F65" s="6">
        <v>17</v>
      </c>
      <c r="G65" s="6">
        <v>25</v>
      </c>
      <c r="H65" s="6">
        <v>11</v>
      </c>
      <c r="I65" s="6">
        <v>11</v>
      </c>
      <c r="J65" s="6">
        <v>2</v>
      </c>
      <c r="K65" s="6">
        <v>20</v>
      </c>
      <c r="L65" s="6">
        <v>17</v>
      </c>
      <c r="M65" s="6">
        <v>15</v>
      </c>
      <c r="N65" s="6">
        <v>14</v>
      </c>
      <c r="O65" s="6">
        <v>2</v>
      </c>
      <c r="P65" s="6">
        <v>3</v>
      </c>
      <c r="Q65" s="6">
        <v>12</v>
      </c>
      <c r="R65" s="6">
        <v>30</v>
      </c>
      <c r="S65" s="6">
        <v>26</v>
      </c>
      <c r="T65" s="5">
        <f t="shared" si="20"/>
        <v>223</v>
      </c>
    </row>
    <row r="66" spans="1:20" x14ac:dyDescent="0.4">
      <c r="A66" s="7"/>
      <c r="B66" s="46"/>
      <c r="C66" s="24" t="s">
        <v>118</v>
      </c>
      <c r="D66" s="47"/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2</v>
      </c>
      <c r="T66" s="5">
        <f t="shared" si="20"/>
        <v>8</v>
      </c>
    </row>
    <row r="67" spans="1:20" x14ac:dyDescent="0.4">
      <c r="A67" s="7"/>
      <c r="B67" s="46"/>
      <c r="C67" s="24" t="s">
        <v>119</v>
      </c>
      <c r="D67" s="47"/>
      <c r="E67" s="6">
        <v>2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3</v>
      </c>
      <c r="R67" s="6">
        <v>1</v>
      </c>
      <c r="S67" s="6">
        <v>1</v>
      </c>
      <c r="T67" s="5">
        <f t="shared" si="20"/>
        <v>7</v>
      </c>
    </row>
    <row r="68" spans="1:20" ht="13.15" customHeight="1" x14ac:dyDescent="0.4">
      <c r="A68" s="7"/>
      <c r="B68" s="46"/>
      <c r="C68" s="24" t="s">
        <v>120</v>
      </c>
      <c r="D68" s="47"/>
      <c r="E68" s="6">
        <v>0</v>
      </c>
      <c r="F68" s="6">
        <v>1</v>
      </c>
      <c r="G68" s="6">
        <v>7</v>
      </c>
      <c r="H68" s="6">
        <v>0</v>
      </c>
      <c r="I68" s="6">
        <v>0</v>
      </c>
      <c r="J68" s="6">
        <v>0</v>
      </c>
      <c r="K68" s="6">
        <v>0</v>
      </c>
      <c r="L68" s="6">
        <v>1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2</v>
      </c>
      <c r="S68" s="6">
        <v>0</v>
      </c>
      <c r="T68" s="5">
        <f t="shared" si="20"/>
        <v>12</v>
      </c>
    </row>
    <row r="69" spans="1:20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5">
        <f t="shared" si="20"/>
        <v>0</v>
      </c>
    </row>
    <row r="70" spans="1:20" x14ac:dyDescent="0.4">
      <c r="A70" s="6" t="s">
        <v>26</v>
      </c>
      <c r="B70" s="71" t="s">
        <v>51</v>
      </c>
      <c r="C70" s="51"/>
      <c r="D70" s="52"/>
      <c r="E70" s="5">
        <f>SUM(E63:E69)</f>
        <v>27</v>
      </c>
      <c r="F70" s="5">
        <f>SUM(F63:F69)</f>
        <v>23</v>
      </c>
      <c r="G70" s="5">
        <f>SUM(G63:G69)</f>
        <v>39</v>
      </c>
      <c r="H70" s="5">
        <f>SUM(H63:H69)</f>
        <v>14</v>
      </c>
      <c r="I70" s="5">
        <f>SUM(I63:I69)</f>
        <v>21</v>
      </c>
      <c r="J70" s="5">
        <f>SUM(J63:J69)</f>
        <v>3</v>
      </c>
      <c r="K70" s="5">
        <f>SUM(K63:K69)</f>
        <v>25</v>
      </c>
      <c r="L70" s="5">
        <f>SUM(L63:L69)</f>
        <v>18</v>
      </c>
      <c r="M70" s="5">
        <f>SUM(M63:M69)</f>
        <v>16</v>
      </c>
      <c r="N70" s="5">
        <f>SUM(N63:N69)</f>
        <v>16</v>
      </c>
      <c r="O70" s="5">
        <f>SUM(O63:O69)</f>
        <v>5</v>
      </c>
      <c r="P70" s="5">
        <f>SUM(P63:P69)</f>
        <v>5</v>
      </c>
      <c r="Q70" s="5">
        <f>SUM(Q63:Q69)</f>
        <v>17</v>
      </c>
      <c r="R70" s="5">
        <f>SUM(R63:R69)</f>
        <v>38</v>
      </c>
      <c r="S70" s="5">
        <f>SUM(S63:S69)</f>
        <v>36</v>
      </c>
      <c r="T70" s="5">
        <f>SUM(T63:T69)</f>
        <v>303</v>
      </c>
    </row>
    <row r="71" spans="1:20" x14ac:dyDescent="0.4">
      <c r="A71" s="77"/>
      <c r="B71" s="76"/>
      <c r="C71" s="76"/>
      <c r="D71" s="76"/>
      <c r="E71" s="76"/>
    </row>
    <row r="72" spans="1:20" x14ac:dyDescent="0.4">
      <c r="A72" s="11" t="s">
        <v>48</v>
      </c>
      <c r="B72" s="17" t="s">
        <v>34</v>
      </c>
      <c r="C72" s="79" t="s">
        <v>54</v>
      </c>
      <c r="D72" s="52"/>
      <c r="E72" s="6">
        <v>0</v>
      </c>
      <c r="F72" s="6">
        <v>2</v>
      </c>
      <c r="G72" s="6">
        <v>0</v>
      </c>
      <c r="H72" s="6">
        <v>1</v>
      </c>
      <c r="I72" s="6">
        <v>1</v>
      </c>
      <c r="J72" s="6">
        <v>1</v>
      </c>
      <c r="K72" s="6">
        <v>2</v>
      </c>
      <c r="L72" s="6">
        <v>1</v>
      </c>
      <c r="M72" s="6">
        <v>0</v>
      </c>
      <c r="N72" s="6">
        <v>4</v>
      </c>
      <c r="O72" s="6">
        <v>1</v>
      </c>
      <c r="P72" s="6">
        <v>1</v>
      </c>
      <c r="Q72" s="6">
        <v>0</v>
      </c>
      <c r="R72" s="6">
        <v>0</v>
      </c>
      <c r="S72" s="6">
        <v>0</v>
      </c>
      <c r="T72" s="5">
        <f t="shared" ref="T72:T78" si="21">SUM(E72:S72)</f>
        <v>14</v>
      </c>
    </row>
    <row r="73" spans="1:20" x14ac:dyDescent="0.4">
      <c r="A73" s="11" t="s">
        <v>50</v>
      </c>
      <c r="B73" s="46"/>
      <c r="C73" s="24" t="s">
        <v>122</v>
      </c>
      <c r="D73" s="47"/>
      <c r="E73" s="6">
        <v>11</v>
      </c>
      <c r="F73" s="6">
        <v>1</v>
      </c>
      <c r="G73" s="6">
        <v>1</v>
      </c>
      <c r="H73" s="6">
        <v>5</v>
      </c>
      <c r="I73" s="6">
        <v>0</v>
      </c>
      <c r="J73" s="6">
        <v>2</v>
      </c>
      <c r="K73" s="6">
        <v>3</v>
      </c>
      <c r="L73" s="6">
        <v>4</v>
      </c>
      <c r="M73" s="6">
        <v>4</v>
      </c>
      <c r="N73" s="6">
        <v>5</v>
      </c>
      <c r="O73" s="6">
        <v>0</v>
      </c>
      <c r="P73" s="6">
        <v>0</v>
      </c>
      <c r="Q73" s="6">
        <v>3</v>
      </c>
      <c r="R73" s="6">
        <v>0</v>
      </c>
      <c r="S73" s="6">
        <v>1</v>
      </c>
      <c r="T73" s="5">
        <f t="shared" si="21"/>
        <v>40</v>
      </c>
    </row>
    <row r="74" spans="1:20" x14ac:dyDescent="0.4">
      <c r="A74" s="7"/>
      <c r="B74" s="46"/>
      <c r="C74" s="24" t="s">
        <v>123</v>
      </c>
      <c r="D74" s="47"/>
      <c r="E74" s="6">
        <v>1</v>
      </c>
      <c r="F74" s="6">
        <v>0</v>
      </c>
      <c r="G74" s="6">
        <v>0</v>
      </c>
      <c r="H74" s="6">
        <v>1</v>
      </c>
      <c r="I74" s="6">
        <v>1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5">
        <f t="shared" si="21"/>
        <v>3</v>
      </c>
    </row>
    <row r="75" spans="1:20" x14ac:dyDescent="0.4">
      <c r="A75" s="7"/>
      <c r="B75" s="46"/>
      <c r="C75" s="24" t="s">
        <v>124</v>
      </c>
      <c r="D75" s="47"/>
      <c r="E75" s="6">
        <v>0</v>
      </c>
      <c r="F75" s="6">
        <v>2</v>
      </c>
      <c r="G75" s="6">
        <v>0</v>
      </c>
      <c r="H75" s="6">
        <v>0</v>
      </c>
      <c r="I75" s="6">
        <v>0</v>
      </c>
      <c r="J75" s="6">
        <v>1</v>
      </c>
      <c r="K75" s="6">
        <v>0</v>
      </c>
      <c r="L75" s="6">
        <v>3</v>
      </c>
      <c r="M75" s="6">
        <v>11</v>
      </c>
      <c r="N75" s="6">
        <v>6</v>
      </c>
      <c r="O75" s="6">
        <v>6</v>
      </c>
      <c r="P75" s="6">
        <v>3</v>
      </c>
      <c r="Q75" s="6">
        <v>3</v>
      </c>
      <c r="R75" s="6">
        <v>8</v>
      </c>
      <c r="S75" s="6">
        <v>0</v>
      </c>
      <c r="T75" s="5">
        <f t="shared" si="21"/>
        <v>43</v>
      </c>
    </row>
    <row r="76" spans="1:20" ht="13.15" customHeight="1" x14ac:dyDescent="0.4">
      <c r="A76" s="7"/>
      <c r="B76" s="46"/>
      <c r="C76" s="24" t="s">
        <v>125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5">
        <f t="shared" si="21"/>
        <v>1</v>
      </c>
    </row>
    <row r="77" spans="1:20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f t="shared" si="21"/>
        <v>0</v>
      </c>
    </row>
    <row r="78" spans="1:20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1</v>
      </c>
      <c r="H78" s="6">
        <v>0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f t="shared" si="21"/>
        <v>2</v>
      </c>
    </row>
    <row r="79" spans="1:20" x14ac:dyDescent="0.4">
      <c r="A79" s="6" t="s">
        <v>26</v>
      </c>
      <c r="B79" s="71" t="s">
        <v>51</v>
      </c>
      <c r="C79" s="51"/>
      <c r="D79" s="52"/>
      <c r="E79" s="5">
        <f>SUM(E72:E78)</f>
        <v>12</v>
      </c>
      <c r="F79" s="5">
        <f>SUM(F72:F78)</f>
        <v>5</v>
      </c>
      <c r="G79" s="5">
        <f>SUM(G72:G78)</f>
        <v>2</v>
      </c>
      <c r="H79" s="5">
        <f>SUM(H72:H78)</f>
        <v>7</v>
      </c>
      <c r="I79" s="5">
        <f>SUM(I72:I78)</f>
        <v>3</v>
      </c>
      <c r="J79" s="5">
        <f>SUM(J72:J78)</f>
        <v>4</v>
      </c>
      <c r="K79" s="5">
        <f>SUM(K72:K78)</f>
        <v>5</v>
      </c>
      <c r="L79" s="5">
        <f>SUM(L72:L78)</f>
        <v>8</v>
      </c>
      <c r="M79" s="5">
        <f>SUM(M72:M78)</f>
        <v>15</v>
      </c>
      <c r="N79" s="5">
        <f>SUM(N72:N78)</f>
        <v>15</v>
      </c>
      <c r="O79" s="5">
        <f>SUM(O72:O78)</f>
        <v>8</v>
      </c>
      <c r="P79" s="5">
        <f>SUM(P72:P78)</f>
        <v>4</v>
      </c>
      <c r="Q79" s="5">
        <f>SUM(Q72:Q78)</f>
        <v>6</v>
      </c>
      <c r="R79" s="5">
        <f>SUM(R72:R78)</f>
        <v>8</v>
      </c>
      <c r="S79" s="5">
        <f>SUM(S72:S78)</f>
        <v>1</v>
      </c>
      <c r="T79" s="5">
        <f>SUM(T72:T78)</f>
        <v>103</v>
      </c>
    </row>
    <row r="80" spans="1:20" x14ac:dyDescent="0.4">
      <c r="A80" s="77"/>
      <c r="B80" s="76"/>
      <c r="C80" s="76"/>
      <c r="D80" s="76"/>
      <c r="E80" s="76"/>
    </row>
    <row r="81" spans="1:20" x14ac:dyDescent="0.4">
      <c r="A81" s="11" t="s">
        <v>48</v>
      </c>
      <c r="B81" s="17" t="s">
        <v>55</v>
      </c>
      <c r="C81" s="79" t="s">
        <v>56</v>
      </c>
      <c r="D81" s="52"/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0</v>
      </c>
      <c r="L81" s="6">
        <v>1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5">
        <f t="shared" ref="T81:T87" si="22">SUM(E81:S81)</f>
        <v>4</v>
      </c>
    </row>
    <row r="82" spans="1:20" x14ac:dyDescent="0.4">
      <c r="A82" s="11" t="s">
        <v>50</v>
      </c>
      <c r="B82" s="46"/>
      <c r="C82" s="24" t="s">
        <v>128</v>
      </c>
      <c r="D82" s="47"/>
      <c r="E82" s="6">
        <v>1</v>
      </c>
      <c r="F82" s="6">
        <v>1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5">
        <f t="shared" si="22"/>
        <v>3</v>
      </c>
    </row>
    <row r="83" spans="1:20" x14ac:dyDescent="0.4">
      <c r="A83" s="7"/>
      <c r="B83" s="46"/>
      <c r="C83" s="24" t="s">
        <v>129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5">
        <f t="shared" si="22"/>
        <v>0</v>
      </c>
    </row>
    <row r="84" spans="1:20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4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5">
        <f t="shared" si="22"/>
        <v>4</v>
      </c>
    </row>
    <row r="85" spans="1:20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5">
        <f t="shared" si="22"/>
        <v>1</v>
      </c>
    </row>
    <row r="86" spans="1:20" x14ac:dyDescent="0.4">
      <c r="A86" s="7"/>
      <c r="B86" s="46"/>
      <c r="C86" s="24" t="s">
        <v>132</v>
      </c>
      <c r="D86" s="47"/>
      <c r="E86" s="6">
        <v>0</v>
      </c>
      <c r="F86" s="6">
        <v>1</v>
      </c>
      <c r="G86" s="6">
        <v>0</v>
      </c>
      <c r="H86" s="6">
        <v>0</v>
      </c>
      <c r="I86" s="6">
        <v>0</v>
      </c>
      <c r="J86" s="6">
        <v>3</v>
      </c>
      <c r="K86" s="6">
        <v>2</v>
      </c>
      <c r="L86" s="6">
        <v>3</v>
      </c>
      <c r="M86" s="6">
        <v>7</v>
      </c>
      <c r="N86" s="6">
        <v>19</v>
      </c>
      <c r="O86" s="6">
        <v>3</v>
      </c>
      <c r="P86" s="6">
        <v>0</v>
      </c>
      <c r="Q86" s="6">
        <v>0</v>
      </c>
      <c r="R86" s="6">
        <v>0</v>
      </c>
      <c r="S86" s="6">
        <v>0</v>
      </c>
      <c r="T86" s="5">
        <f t="shared" si="22"/>
        <v>38</v>
      </c>
    </row>
    <row r="87" spans="1:20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5">
        <f t="shared" si="22"/>
        <v>0</v>
      </c>
    </row>
    <row r="88" spans="1:20" x14ac:dyDescent="0.4">
      <c r="A88" s="6" t="s">
        <v>26</v>
      </c>
      <c r="B88" s="71" t="s">
        <v>51</v>
      </c>
      <c r="C88" s="51"/>
      <c r="D88" s="52"/>
      <c r="E88" s="5">
        <f>SUM(E81:E87)</f>
        <v>2</v>
      </c>
      <c r="F88" s="5">
        <f>SUM(F81:F87)</f>
        <v>2</v>
      </c>
      <c r="G88" s="5">
        <f>SUM(G81:G87)</f>
        <v>0</v>
      </c>
      <c r="H88" s="5">
        <f>SUM(H81:H87)</f>
        <v>0</v>
      </c>
      <c r="I88" s="5">
        <f>SUM(I81:I87)</f>
        <v>0</v>
      </c>
      <c r="J88" s="5">
        <f>SUM(J81:J87)</f>
        <v>4</v>
      </c>
      <c r="K88" s="5">
        <f>SUM(K81:K87)</f>
        <v>7</v>
      </c>
      <c r="L88" s="5">
        <f>SUM(L81:L87)</f>
        <v>4</v>
      </c>
      <c r="M88" s="5">
        <f>SUM(M81:M87)</f>
        <v>8</v>
      </c>
      <c r="N88" s="5">
        <f>SUM(N81:N87)</f>
        <v>20</v>
      </c>
      <c r="O88" s="5">
        <f>SUM(O81:O87)</f>
        <v>3</v>
      </c>
      <c r="P88" s="5">
        <f>SUM(P81:P87)</f>
        <v>0</v>
      </c>
      <c r="Q88" s="5">
        <f>SUM(Q81:Q87)</f>
        <v>0</v>
      </c>
      <c r="R88" s="5">
        <f>SUM(R81:R87)</f>
        <v>0</v>
      </c>
      <c r="S88" s="5">
        <f>SUM(S81:S87)</f>
        <v>0</v>
      </c>
      <c r="T88" s="5">
        <f>SUM(T81:T87)</f>
        <v>50</v>
      </c>
    </row>
    <row r="89" spans="1:20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1:20" x14ac:dyDescent="0.4">
      <c r="A90" s="11" t="s">
        <v>48</v>
      </c>
      <c r="B90" s="17" t="s">
        <v>57</v>
      </c>
      <c r="C90" s="79" t="s">
        <v>58</v>
      </c>
      <c r="D90" s="52"/>
      <c r="E90" s="6">
        <v>0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5">
        <f t="shared" ref="T90" si="23">SUM(E90:S90)</f>
        <v>1</v>
      </c>
    </row>
    <row r="91" spans="1:20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1</v>
      </c>
      <c r="G91" s="5">
        <f>SUM(G90:G90)</f>
        <v>0</v>
      </c>
      <c r="H91" s="5">
        <f>SUM(H90:H90)</f>
        <v>0</v>
      </c>
      <c r="I91" s="5">
        <f>SUM(I90:I90)</f>
        <v>0</v>
      </c>
      <c r="J91" s="5">
        <f>SUM(J90:J90)</f>
        <v>0</v>
      </c>
      <c r="K91" s="5">
        <f>SUM(K90:K90)</f>
        <v>0</v>
      </c>
      <c r="L91" s="5">
        <f>SUM(L90:L90)</f>
        <v>0</v>
      </c>
      <c r="M91" s="5">
        <f>SUM(M90:M90)</f>
        <v>0</v>
      </c>
      <c r="N91" s="5">
        <f>SUM(N90:N90)</f>
        <v>0</v>
      </c>
      <c r="O91" s="5">
        <f>SUM(O90:O90)</f>
        <v>0</v>
      </c>
      <c r="P91" s="5">
        <f>SUM(P90:P90)</f>
        <v>0</v>
      </c>
      <c r="Q91" s="5">
        <f>SUM(Q90:Q90)</f>
        <v>0</v>
      </c>
      <c r="R91" s="5">
        <f>SUM(R90:R90)</f>
        <v>0</v>
      </c>
      <c r="S91" s="5">
        <f>SUM(S90:S90)</f>
        <v>0</v>
      </c>
      <c r="T91" s="5">
        <f>SUM(T90:T90)</f>
        <v>1</v>
      </c>
    </row>
    <row r="92" spans="1:20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5"/>
    </row>
    <row r="93" spans="1:20" x14ac:dyDescent="0.4">
      <c r="A93" s="11" t="s">
        <v>48</v>
      </c>
      <c r="B93" s="17" t="s">
        <v>59</v>
      </c>
      <c r="C93" s="79" t="s">
        <v>60</v>
      </c>
      <c r="D93" s="5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5">
        <f t="shared" ref="T93:T96" si="24">SUM(E93:S93)</f>
        <v>0</v>
      </c>
    </row>
    <row r="94" spans="1:20" x14ac:dyDescent="0.4">
      <c r="A94" s="11" t="s">
        <v>50</v>
      </c>
      <c r="B94" s="46"/>
      <c r="C94" s="24" t="s">
        <v>134</v>
      </c>
      <c r="D94" s="4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5">
        <f t="shared" si="24"/>
        <v>0</v>
      </c>
    </row>
    <row r="95" spans="1:20" x14ac:dyDescent="0.4">
      <c r="A95" s="7"/>
      <c r="B95" s="46"/>
      <c r="C95" s="24" t="s">
        <v>135</v>
      </c>
      <c r="D95" s="4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5">
        <f t="shared" si="24"/>
        <v>0</v>
      </c>
    </row>
    <row r="96" spans="1:20" x14ac:dyDescent="0.4">
      <c r="A96" s="7"/>
      <c r="B96" s="46"/>
      <c r="C96" s="24" t="s">
        <v>136</v>
      </c>
      <c r="D96" s="4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5">
        <f t="shared" si="24"/>
        <v>0</v>
      </c>
    </row>
    <row r="97" spans="1:20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0</v>
      </c>
      <c r="G97" s="5">
        <f>SUM(G93:G96)</f>
        <v>0</v>
      </c>
      <c r="H97" s="5">
        <f>SUM(H93:H96)</f>
        <v>0</v>
      </c>
      <c r="I97" s="5">
        <f>SUM(I93:I96)</f>
        <v>0</v>
      </c>
      <c r="J97" s="5">
        <f>SUM(J93:J96)</f>
        <v>0</v>
      </c>
      <c r="K97" s="5">
        <f>SUM(K93:K96)</f>
        <v>0</v>
      </c>
      <c r="L97" s="5">
        <f>SUM(L93:L96)</f>
        <v>0</v>
      </c>
      <c r="M97" s="5">
        <f>SUM(M93:M96)</f>
        <v>0</v>
      </c>
      <c r="N97" s="5">
        <f>SUM(N93:N96)</f>
        <v>0</v>
      </c>
      <c r="O97" s="5">
        <f>SUM(O93:O96)</f>
        <v>0</v>
      </c>
      <c r="P97" s="5">
        <f>SUM(P93:P96)</f>
        <v>0</v>
      </c>
      <c r="Q97" s="5">
        <f>SUM(Q93:Q96)</f>
        <v>0</v>
      </c>
      <c r="R97" s="5">
        <f>SUM(R93:R96)</f>
        <v>0</v>
      </c>
      <c r="S97" s="5">
        <f>SUM(S93:S96)</f>
        <v>0</v>
      </c>
      <c r="T97" s="5">
        <f>SUM(T93:T96)</f>
        <v>0</v>
      </c>
    </row>
    <row r="98" spans="1:20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1:20" x14ac:dyDescent="0.4">
      <c r="A99" s="11" t="s">
        <v>48</v>
      </c>
      <c r="B99" s="17" t="s">
        <v>61</v>
      </c>
      <c r="C99" s="79" t="s">
        <v>62</v>
      </c>
      <c r="D99" s="5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5">
        <f t="shared" ref="T99:T105" si="25">SUM(E99:S99)</f>
        <v>0</v>
      </c>
    </row>
    <row r="100" spans="1:20" ht="13.15" customHeight="1" x14ac:dyDescent="0.4">
      <c r="A100" s="11" t="s">
        <v>50</v>
      </c>
      <c r="B100" s="46"/>
      <c r="C100" s="24" t="s">
        <v>137</v>
      </c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5">
        <f t="shared" si="25"/>
        <v>0</v>
      </c>
    </row>
    <row r="101" spans="1:20" x14ac:dyDescent="0.4">
      <c r="A101" s="7"/>
      <c r="B101" s="46"/>
      <c r="C101" s="24" t="s">
        <v>138</v>
      </c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5">
        <f t="shared" si="25"/>
        <v>0</v>
      </c>
    </row>
    <row r="102" spans="1:20" x14ac:dyDescent="0.4">
      <c r="A102" s="7"/>
      <c r="B102" s="46"/>
      <c r="C102" s="24" t="s">
        <v>139</v>
      </c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5">
        <f t="shared" si="25"/>
        <v>0</v>
      </c>
    </row>
    <row r="103" spans="1:20" x14ac:dyDescent="0.4">
      <c r="A103" s="7"/>
      <c r="B103" s="46"/>
      <c r="C103" s="24" t="s">
        <v>140</v>
      </c>
      <c r="D103" s="4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5">
        <f t="shared" si="25"/>
        <v>0</v>
      </c>
    </row>
    <row r="104" spans="1:20" x14ac:dyDescent="0.4">
      <c r="A104" s="7"/>
      <c r="B104" s="46"/>
      <c r="C104" s="24" t="s">
        <v>141</v>
      </c>
      <c r="D104" s="4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5">
        <f t="shared" si="25"/>
        <v>0</v>
      </c>
    </row>
    <row r="105" spans="1:20" x14ac:dyDescent="0.4">
      <c r="A105" s="7"/>
      <c r="B105" s="46"/>
      <c r="C105" s="24" t="s">
        <v>142</v>
      </c>
      <c r="D105" s="4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5">
        <f t="shared" si="25"/>
        <v>0</v>
      </c>
    </row>
    <row r="106" spans="1:20" x14ac:dyDescent="0.4">
      <c r="A106" s="6" t="s">
        <v>26</v>
      </c>
      <c r="B106" s="71" t="s">
        <v>51</v>
      </c>
      <c r="C106" s="80"/>
      <c r="D106" s="81"/>
      <c r="E106" s="5">
        <f>SUM(E99:E105)</f>
        <v>0</v>
      </c>
      <c r="F106" s="5">
        <f>SUM(F99:F105)</f>
        <v>0</v>
      </c>
      <c r="G106" s="5">
        <f>SUM(G99:G105)</f>
        <v>0</v>
      </c>
      <c r="H106" s="5">
        <f>SUM(H99:H105)</f>
        <v>0</v>
      </c>
      <c r="I106" s="5">
        <f>SUM(I99:I105)</f>
        <v>0</v>
      </c>
      <c r="J106" s="5">
        <f>SUM(J99:J105)</f>
        <v>0</v>
      </c>
      <c r="K106" s="5">
        <f>SUM(K99:K105)</f>
        <v>0</v>
      </c>
      <c r="L106" s="5">
        <f>SUM(L99:L105)</f>
        <v>0</v>
      </c>
      <c r="M106" s="5">
        <f>SUM(M99:M105)</f>
        <v>0</v>
      </c>
      <c r="N106" s="5">
        <f>SUM(N99:N105)</f>
        <v>0</v>
      </c>
      <c r="O106" s="5">
        <f>SUM(O99:O105)</f>
        <v>0</v>
      </c>
      <c r="P106" s="5">
        <f>SUM(P99:P105)</f>
        <v>0</v>
      </c>
      <c r="Q106" s="5">
        <f>SUM(Q99:Q105)</f>
        <v>0</v>
      </c>
      <c r="R106" s="5">
        <f>SUM(R99:R105)</f>
        <v>0</v>
      </c>
      <c r="S106" s="5">
        <f>SUM(S99:S105)</f>
        <v>0</v>
      </c>
      <c r="T106" s="5">
        <f>SUM(T99:T105)</f>
        <v>0</v>
      </c>
    </row>
    <row r="107" spans="1:20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1:20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f t="shared" ref="T108:T109" si="26">SUM(E108:S108)</f>
        <v>0</v>
      </c>
    </row>
    <row r="109" spans="1:20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5">
        <f t="shared" si="26"/>
        <v>0</v>
      </c>
    </row>
    <row r="110" spans="1:20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  <c r="R110" s="5">
        <f>SUM(R108:R109)</f>
        <v>0</v>
      </c>
      <c r="S110" s="5">
        <f>SUM(S108:S109)</f>
        <v>0</v>
      </c>
      <c r="T110" s="5">
        <f>SUM(T108:T109)</f>
        <v>0</v>
      </c>
    </row>
    <row r="111" spans="1:20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5"/>
    </row>
    <row r="112" spans="1:20" x14ac:dyDescent="0.4">
      <c r="A112" s="11" t="s">
        <v>48</v>
      </c>
      <c r="B112" s="44" t="s">
        <v>65</v>
      </c>
      <c r="C112" s="84" t="s">
        <v>66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5">
        <f t="shared" ref="T112:T118" si="27">SUM(E112:S112)</f>
        <v>0</v>
      </c>
    </row>
    <row r="113" spans="1:20" x14ac:dyDescent="0.4">
      <c r="A113" s="48" t="s">
        <v>50</v>
      </c>
      <c r="B113" s="46"/>
      <c r="C113" s="24" t="s">
        <v>144</v>
      </c>
      <c r="D113" s="47"/>
      <c r="E113" s="49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1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1</v>
      </c>
      <c r="R113" s="6">
        <v>0</v>
      </c>
      <c r="S113" s="6">
        <v>0</v>
      </c>
      <c r="T113" s="5">
        <f t="shared" si="27"/>
        <v>2</v>
      </c>
    </row>
    <row r="114" spans="1:20" x14ac:dyDescent="0.4">
      <c r="A114" s="7"/>
      <c r="B114" s="46"/>
      <c r="C114" s="24" t="s">
        <v>145</v>
      </c>
      <c r="D114" s="47"/>
      <c r="E114" s="49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5">
        <f t="shared" si="27"/>
        <v>0</v>
      </c>
    </row>
    <row r="115" spans="1:20" x14ac:dyDescent="0.4">
      <c r="A115" s="7"/>
      <c r="B115" s="46"/>
      <c r="C115" s="24" t="s">
        <v>146</v>
      </c>
      <c r="D115" s="47"/>
      <c r="E115" s="49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1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5">
        <f t="shared" si="27"/>
        <v>1</v>
      </c>
    </row>
    <row r="116" spans="1:20" x14ac:dyDescent="0.4">
      <c r="A116" s="7"/>
      <c r="B116" s="46"/>
      <c r="C116" s="24" t="s">
        <v>147</v>
      </c>
      <c r="D116" s="47"/>
      <c r="E116" s="49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1</v>
      </c>
      <c r="N116" s="6">
        <v>0</v>
      </c>
      <c r="O116" s="6">
        <v>1</v>
      </c>
      <c r="P116" s="6">
        <v>0</v>
      </c>
      <c r="Q116" s="6">
        <v>0</v>
      </c>
      <c r="R116" s="6">
        <v>0</v>
      </c>
      <c r="S116" s="6">
        <v>0</v>
      </c>
      <c r="T116" s="5">
        <f t="shared" si="27"/>
        <v>3</v>
      </c>
    </row>
    <row r="117" spans="1:20" x14ac:dyDescent="0.4">
      <c r="A117" s="7"/>
      <c r="B117" s="46"/>
      <c r="C117" s="24" t="s">
        <v>148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f t="shared" si="27"/>
        <v>0</v>
      </c>
    </row>
    <row r="118" spans="1:20" x14ac:dyDescent="0.4">
      <c r="A118" s="7"/>
      <c r="B118" s="46"/>
      <c r="C118" s="24" t="s">
        <v>149</v>
      </c>
      <c r="D118" s="47"/>
      <c r="E118" s="49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12</v>
      </c>
      <c r="O118" s="6">
        <v>0</v>
      </c>
      <c r="P118" s="6">
        <v>0</v>
      </c>
      <c r="Q118" s="6">
        <v>1</v>
      </c>
      <c r="R118" s="6">
        <v>0</v>
      </c>
      <c r="S118" s="6">
        <v>0</v>
      </c>
      <c r="T118" s="5">
        <f t="shared" si="27"/>
        <v>15</v>
      </c>
    </row>
    <row r="119" spans="1:20" x14ac:dyDescent="0.4">
      <c r="A119" s="6" t="s">
        <v>26</v>
      </c>
      <c r="B119" s="85" t="s">
        <v>51</v>
      </c>
      <c r="C119" s="86"/>
      <c r="D119" s="87"/>
      <c r="E119" s="5">
        <f>SUM(E112:E118)</f>
        <v>0</v>
      </c>
      <c r="F119" s="5">
        <f>SUM(F112:F118)</f>
        <v>0</v>
      </c>
      <c r="G119" s="5">
        <f>SUM(G112:G118)</f>
        <v>1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2</v>
      </c>
      <c r="L119" s="5">
        <f>SUM(L112:L118)</f>
        <v>0</v>
      </c>
      <c r="M119" s="5">
        <f>SUM(M112:M118)</f>
        <v>2</v>
      </c>
      <c r="N119" s="5">
        <f>SUM(N112:N118)</f>
        <v>13</v>
      </c>
      <c r="O119" s="5">
        <f>SUM(O112:O118)</f>
        <v>1</v>
      </c>
      <c r="P119" s="5">
        <f>SUM(P112:P118)</f>
        <v>0</v>
      </c>
      <c r="Q119" s="5">
        <f>SUM(Q112:Q118)</f>
        <v>2</v>
      </c>
      <c r="R119" s="5">
        <f>SUM(R112:R118)</f>
        <v>0</v>
      </c>
      <c r="S119" s="5">
        <f>SUM(S112:S118)</f>
        <v>0</v>
      </c>
      <c r="T119" s="5">
        <f>SUM(T112:T118)</f>
        <v>21</v>
      </c>
    </row>
    <row r="120" spans="1:20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1:20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/>
      <c r="F121" s="6"/>
      <c r="G121" s="6">
        <v>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5">
        <f t="shared" ref="T121" si="28">SUM(E121:S121)</f>
        <v>1</v>
      </c>
    </row>
    <row r="122" spans="1:20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0</v>
      </c>
      <c r="G122" s="5">
        <f>SUM(G121:G121)</f>
        <v>1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0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0</v>
      </c>
      <c r="R122" s="5">
        <f>SUM(R121:R121)</f>
        <v>0</v>
      </c>
      <c r="S122" s="5">
        <f>SUM(S121:S121)</f>
        <v>0</v>
      </c>
      <c r="T122" s="5">
        <f>SUM(T121:T121)</f>
        <v>1</v>
      </c>
    </row>
    <row r="123" spans="1:20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1:20" x14ac:dyDescent="0.4">
      <c r="A124" s="11" t="s">
        <v>48</v>
      </c>
      <c r="B124" s="17" t="s">
        <v>69</v>
      </c>
      <c r="C124" s="79" t="s">
        <v>70</v>
      </c>
      <c r="D124" s="52"/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5">
        <f t="shared" ref="T124:T128" si="29">SUM(E124:S124)</f>
        <v>1</v>
      </c>
    </row>
    <row r="125" spans="1:20" x14ac:dyDescent="0.4">
      <c r="A125" s="11" t="s">
        <v>50</v>
      </c>
      <c r="B125" s="46"/>
      <c r="C125" s="24" t="s">
        <v>150</v>
      </c>
      <c r="D125" s="47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1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5">
        <f t="shared" si="29"/>
        <v>1</v>
      </c>
    </row>
    <row r="126" spans="1:20" x14ac:dyDescent="0.4">
      <c r="A126" s="7"/>
      <c r="B126" s="46"/>
      <c r="C126" s="24" t="s">
        <v>151</v>
      </c>
      <c r="D126" s="47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5">
        <f t="shared" si="29"/>
        <v>0</v>
      </c>
    </row>
    <row r="127" spans="1:20" x14ac:dyDescent="0.4">
      <c r="A127" s="7"/>
      <c r="B127" s="46"/>
      <c r="C127" s="24" t="s">
        <v>152</v>
      </c>
      <c r="D127" s="47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5">
        <f t="shared" si="29"/>
        <v>0</v>
      </c>
    </row>
    <row r="128" spans="1:20" x14ac:dyDescent="0.4">
      <c r="A128" s="7"/>
      <c r="B128" s="46"/>
      <c r="C128" s="24" t="s">
        <v>153</v>
      </c>
      <c r="D128" s="47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5">
        <f t="shared" si="29"/>
        <v>0</v>
      </c>
    </row>
    <row r="129" spans="1:20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1</v>
      </c>
      <c r="F129" s="5">
        <f>SUM(F124:F128)</f>
        <v>0</v>
      </c>
      <c r="G129" s="5">
        <f>SUM(G124:G128)</f>
        <v>0</v>
      </c>
      <c r="H129" s="5">
        <f>SUM(H124:H128)</f>
        <v>0</v>
      </c>
      <c r="I129" s="5">
        <f>SUM(I124:I128)</f>
        <v>0</v>
      </c>
      <c r="J129" s="5">
        <f>SUM(J124:J128)</f>
        <v>0</v>
      </c>
      <c r="K129" s="5">
        <f>SUM(K124:K128)</f>
        <v>0</v>
      </c>
      <c r="L129" s="5">
        <f>SUM(L124:L128)</f>
        <v>1</v>
      </c>
      <c r="M129" s="5">
        <f>SUM(M124:M128)</f>
        <v>0</v>
      </c>
      <c r="N129" s="5">
        <f>SUM(N124:N128)</f>
        <v>0</v>
      </c>
      <c r="O129" s="5">
        <f>SUM(O124:O128)</f>
        <v>0</v>
      </c>
      <c r="P129" s="5">
        <f>SUM(P124:P128)</f>
        <v>0</v>
      </c>
      <c r="Q129" s="5">
        <f>SUM(Q124:Q128)</f>
        <v>0</v>
      </c>
      <c r="R129" s="5">
        <f>SUM(R124:R128)</f>
        <v>0</v>
      </c>
      <c r="S129" s="5">
        <f>SUM(S124:S128)</f>
        <v>0</v>
      </c>
      <c r="T129" s="5">
        <f>SUM(T124:T128)</f>
        <v>2</v>
      </c>
    </row>
    <row r="130" spans="1:20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T130" s="5"/>
    </row>
    <row r="131" spans="1:20" x14ac:dyDescent="0.4">
      <c r="A131" s="11" t="s">
        <v>48</v>
      </c>
      <c r="B131" s="17" t="s">
        <v>71</v>
      </c>
      <c r="C131" s="79" t="s">
        <v>72</v>
      </c>
      <c r="D131" s="52"/>
      <c r="E131" s="6">
        <v>0</v>
      </c>
      <c r="F131" s="6">
        <v>2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5">
        <f t="shared" ref="T131:T137" si="30">SUM(E131:S131)</f>
        <v>2</v>
      </c>
    </row>
    <row r="132" spans="1:20" x14ac:dyDescent="0.4">
      <c r="A132" s="11" t="s">
        <v>50</v>
      </c>
      <c r="B132" s="46"/>
      <c r="C132" s="24" t="s">
        <v>154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 t="shared" si="30"/>
        <v>0</v>
      </c>
    </row>
    <row r="133" spans="1:20" x14ac:dyDescent="0.4">
      <c r="A133" s="7"/>
      <c r="B133" s="46"/>
      <c r="C133" s="24" t="s">
        <v>155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f t="shared" si="30"/>
        <v>0</v>
      </c>
    </row>
    <row r="134" spans="1:20" x14ac:dyDescent="0.4">
      <c r="A134" s="7"/>
      <c r="B134" s="46"/>
      <c r="C134" s="24" t="s">
        <v>156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5">
        <f t="shared" si="30"/>
        <v>0</v>
      </c>
    </row>
    <row r="135" spans="1:20" x14ac:dyDescent="0.4">
      <c r="A135" s="7"/>
      <c r="B135" s="46"/>
      <c r="C135" s="24" t="s">
        <v>157</v>
      </c>
      <c r="D135" s="47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5">
        <f t="shared" si="30"/>
        <v>0</v>
      </c>
    </row>
    <row r="136" spans="1:20" x14ac:dyDescent="0.4">
      <c r="A136" s="7"/>
      <c r="B136" s="46"/>
      <c r="C136" s="24" t="s">
        <v>158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f t="shared" si="30"/>
        <v>0</v>
      </c>
    </row>
    <row r="137" spans="1:20" x14ac:dyDescent="0.4">
      <c r="A137" s="7"/>
      <c r="B137" s="46"/>
      <c r="C137" s="24" t="s">
        <v>159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5">
        <f t="shared" si="30"/>
        <v>0</v>
      </c>
    </row>
    <row r="138" spans="1:20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2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0</v>
      </c>
      <c r="O138" s="5">
        <f>SUM(O131:O137)</f>
        <v>0</v>
      </c>
      <c r="P138" s="5">
        <f>SUM(P131:P137)</f>
        <v>0</v>
      </c>
      <c r="Q138" s="5">
        <f>SUM(Q131:Q137)</f>
        <v>0</v>
      </c>
      <c r="R138" s="5">
        <f>SUM(R131:R137)</f>
        <v>0</v>
      </c>
      <c r="S138" s="5">
        <f>SUM(S131:S137)</f>
        <v>0</v>
      </c>
      <c r="T138" s="5">
        <f>SUM(T131:T137)</f>
        <v>2</v>
      </c>
    </row>
    <row r="139" spans="1:20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spans="1:20" x14ac:dyDescent="0.4">
      <c r="A140" s="11" t="s">
        <v>48</v>
      </c>
      <c r="B140" s="17" t="s">
        <v>73</v>
      </c>
      <c r="C140" s="79" t="s">
        <v>74</v>
      </c>
      <c r="D140" s="52"/>
      <c r="E140" s="6">
        <v>1</v>
      </c>
      <c r="F140" s="6">
        <v>1</v>
      </c>
      <c r="G140" s="6">
        <v>1</v>
      </c>
      <c r="H140" s="6">
        <v>4</v>
      </c>
      <c r="I140" s="6">
        <v>0</v>
      </c>
      <c r="J140" s="6">
        <v>0</v>
      </c>
      <c r="K140" s="6">
        <v>5</v>
      </c>
      <c r="L140" s="6">
        <v>1</v>
      </c>
      <c r="M140" s="6">
        <v>1</v>
      </c>
      <c r="N140" s="6">
        <v>0</v>
      </c>
      <c r="O140" s="6">
        <v>4</v>
      </c>
      <c r="P140" s="6">
        <v>8</v>
      </c>
      <c r="Q140" s="6">
        <v>4</v>
      </c>
      <c r="R140" s="6">
        <v>2</v>
      </c>
      <c r="S140" s="6">
        <v>3</v>
      </c>
      <c r="T140" s="5">
        <f t="shared" ref="T140:T146" si="31">SUM(E140:S140)</f>
        <v>35</v>
      </c>
    </row>
    <row r="141" spans="1:20" x14ac:dyDescent="0.4">
      <c r="A141" s="11" t="s">
        <v>50</v>
      </c>
      <c r="B141" s="46"/>
      <c r="C141" s="24" t="s">
        <v>160</v>
      </c>
      <c r="D141" s="47"/>
      <c r="E141" s="6">
        <v>6</v>
      </c>
      <c r="F141" s="6">
        <v>20</v>
      </c>
      <c r="G141" s="6">
        <v>12</v>
      </c>
      <c r="H141" s="6">
        <v>31</v>
      </c>
      <c r="I141" s="6">
        <v>3</v>
      </c>
      <c r="J141" s="6">
        <v>11</v>
      </c>
      <c r="K141" s="6">
        <v>14</v>
      </c>
      <c r="L141" s="6">
        <v>7</v>
      </c>
      <c r="M141" s="6">
        <v>8</v>
      </c>
      <c r="N141" s="6">
        <v>12</v>
      </c>
      <c r="O141" s="6">
        <v>14</v>
      </c>
      <c r="P141" s="6">
        <v>33</v>
      </c>
      <c r="Q141" s="6">
        <v>30</v>
      </c>
      <c r="R141" s="6">
        <v>27</v>
      </c>
      <c r="S141" s="6">
        <v>28</v>
      </c>
      <c r="T141" s="5">
        <f t="shared" si="31"/>
        <v>256</v>
      </c>
    </row>
    <row r="142" spans="1:20" x14ac:dyDescent="0.4">
      <c r="A142" s="7"/>
      <c r="B142" s="46"/>
      <c r="C142" s="24" t="s">
        <v>161</v>
      </c>
      <c r="D142" s="47"/>
      <c r="E142" s="6">
        <v>0</v>
      </c>
      <c r="F142" s="6">
        <v>2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1</v>
      </c>
      <c r="M142" s="6">
        <v>1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3</v>
      </c>
      <c r="T142" s="5">
        <f t="shared" si="31"/>
        <v>8</v>
      </c>
    </row>
    <row r="143" spans="1:20" x14ac:dyDescent="0.4">
      <c r="A143" s="7"/>
      <c r="B143" s="46"/>
      <c r="C143" s="24" t="s">
        <v>162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5">
        <f t="shared" si="31"/>
        <v>1</v>
      </c>
    </row>
    <row r="144" spans="1:20" x14ac:dyDescent="0.4">
      <c r="A144" s="7"/>
      <c r="B144" s="46"/>
      <c r="C144" s="24" t="s">
        <v>163</v>
      </c>
      <c r="D144" s="47"/>
      <c r="E144" s="6">
        <v>0</v>
      </c>
      <c r="F144" s="6">
        <v>0</v>
      </c>
      <c r="G144" s="6">
        <v>0</v>
      </c>
      <c r="H144" s="6">
        <v>2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1</v>
      </c>
      <c r="Q144" s="6">
        <v>0</v>
      </c>
      <c r="R144" s="6">
        <v>0</v>
      </c>
      <c r="S144" s="6">
        <v>5</v>
      </c>
      <c r="T144" s="5">
        <f t="shared" si="31"/>
        <v>8</v>
      </c>
    </row>
    <row r="145" spans="1:20" x14ac:dyDescent="0.4">
      <c r="A145" s="7"/>
      <c r="B145" s="46"/>
      <c r="C145" s="24" t="s">
        <v>164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5">
        <f t="shared" si="31"/>
        <v>0</v>
      </c>
    </row>
    <row r="146" spans="1:20" ht="13.15" customHeight="1" x14ac:dyDescent="0.4">
      <c r="A146" s="7"/>
      <c r="B146" s="46"/>
      <c r="C146" s="24" t="s">
        <v>165</v>
      </c>
      <c r="D146" s="47"/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5">
        <f t="shared" si="31"/>
        <v>1</v>
      </c>
    </row>
    <row r="147" spans="1:20" x14ac:dyDescent="0.4">
      <c r="A147" s="6" t="s">
        <v>26</v>
      </c>
      <c r="B147" s="71" t="s">
        <v>51</v>
      </c>
      <c r="C147" s="80"/>
      <c r="D147" s="81"/>
      <c r="E147" s="5">
        <f>SUM(E140:E146)</f>
        <v>8</v>
      </c>
      <c r="F147" s="5">
        <f>SUM(F140:F146)</f>
        <v>23</v>
      </c>
      <c r="G147" s="5">
        <f>SUM(G140:G146)</f>
        <v>13</v>
      </c>
      <c r="H147" s="5">
        <f>SUM(H140:H146)</f>
        <v>37</v>
      </c>
      <c r="I147" s="5">
        <f>SUM(I140:I146)</f>
        <v>4</v>
      </c>
      <c r="J147" s="5">
        <f>SUM(J140:J146)</f>
        <v>11</v>
      </c>
      <c r="K147" s="5">
        <f>SUM(K140:K146)</f>
        <v>19</v>
      </c>
      <c r="L147" s="5">
        <f>SUM(L140:L146)</f>
        <v>9</v>
      </c>
      <c r="M147" s="5">
        <f>SUM(M140:M146)</f>
        <v>11</v>
      </c>
      <c r="N147" s="5">
        <f>SUM(N140:N146)</f>
        <v>12</v>
      </c>
      <c r="O147" s="5">
        <f>SUM(O140:O146)</f>
        <v>18</v>
      </c>
      <c r="P147" s="5">
        <f>SUM(P140:P146)</f>
        <v>42</v>
      </c>
      <c r="Q147" s="5">
        <f>SUM(Q140:Q146)</f>
        <v>34</v>
      </c>
      <c r="R147" s="5">
        <f>SUM(R140:R146)</f>
        <v>29</v>
      </c>
      <c r="S147" s="5">
        <f>SUM(S140:S146)</f>
        <v>39</v>
      </c>
      <c r="T147" s="5">
        <f>SUM(T140:T146)</f>
        <v>309</v>
      </c>
    </row>
    <row r="148" spans="1:20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spans="1:20" x14ac:dyDescent="0.4">
      <c r="A149" s="11" t="s">
        <v>48</v>
      </c>
      <c r="B149" s="17" t="s">
        <v>75</v>
      </c>
      <c r="C149" s="79" t="s">
        <v>76</v>
      </c>
      <c r="D149" s="52"/>
      <c r="E149" s="6">
        <v>0</v>
      </c>
      <c r="F149" s="6">
        <v>0</v>
      </c>
      <c r="G149" s="6">
        <v>1</v>
      </c>
      <c r="H149" s="6">
        <v>2</v>
      </c>
      <c r="I149" s="6">
        <v>0</v>
      </c>
      <c r="J149" s="6">
        <v>0</v>
      </c>
      <c r="K149" s="6">
        <v>1</v>
      </c>
      <c r="L149" s="6">
        <v>0</v>
      </c>
      <c r="M149" s="6">
        <v>0</v>
      </c>
      <c r="N149" s="6">
        <v>1</v>
      </c>
      <c r="O149" s="6">
        <v>0</v>
      </c>
      <c r="P149" s="6">
        <v>0</v>
      </c>
      <c r="Q149" s="6">
        <v>2</v>
      </c>
      <c r="R149" s="6">
        <v>0</v>
      </c>
      <c r="S149" s="6">
        <v>0</v>
      </c>
      <c r="T149" s="5">
        <f t="shared" ref="T149:T150" si="32">SUM(E149:S149)</f>
        <v>7</v>
      </c>
    </row>
    <row r="150" spans="1:20" x14ac:dyDescent="0.4">
      <c r="A150" s="11" t="s">
        <v>50</v>
      </c>
      <c r="B150" s="46"/>
      <c r="C150" s="24" t="s">
        <v>166</v>
      </c>
      <c r="D150" s="47"/>
      <c r="E150" s="6">
        <v>1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5">
        <f t="shared" si="32"/>
        <v>1</v>
      </c>
    </row>
    <row r="151" spans="1:20" x14ac:dyDescent="0.4">
      <c r="A151" s="6" t="s">
        <v>26</v>
      </c>
      <c r="B151" s="71" t="s">
        <v>51</v>
      </c>
      <c r="C151" s="80"/>
      <c r="D151" s="81"/>
      <c r="E151" s="5">
        <f>SUM(E149:E150)</f>
        <v>1</v>
      </c>
      <c r="F151" s="5">
        <f>SUM(F149:F150)</f>
        <v>0</v>
      </c>
      <c r="G151" s="5">
        <f>SUM(G149:G150)</f>
        <v>1</v>
      </c>
      <c r="H151" s="5">
        <f>SUM(H149:H150)</f>
        <v>2</v>
      </c>
      <c r="I151" s="5">
        <f>SUM(I149:I150)</f>
        <v>0</v>
      </c>
      <c r="J151" s="5">
        <f>SUM(J149:J150)</f>
        <v>0</v>
      </c>
      <c r="K151" s="5">
        <f>SUM(K149:K150)</f>
        <v>1</v>
      </c>
      <c r="L151" s="5">
        <f>SUM(L149:L150)</f>
        <v>0</v>
      </c>
      <c r="M151" s="5">
        <f>SUM(M149:M150)</f>
        <v>0</v>
      </c>
      <c r="N151" s="5">
        <f>SUM(N149:N150)</f>
        <v>1</v>
      </c>
      <c r="O151" s="5">
        <f>SUM(O149:O150)</f>
        <v>0</v>
      </c>
      <c r="P151" s="5">
        <f>SUM(P149:P150)</f>
        <v>0</v>
      </c>
      <c r="Q151" s="5">
        <f>SUM(Q149:Q150)</f>
        <v>2</v>
      </c>
      <c r="R151" s="5">
        <f>SUM(R149:R150)</f>
        <v>0</v>
      </c>
      <c r="S151" s="5">
        <f>SUM(S149:S150)</f>
        <v>0</v>
      </c>
      <c r="T151" s="5">
        <f>SUM(T149:T150)</f>
        <v>8</v>
      </c>
    </row>
    <row r="152" spans="1:20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1:20" x14ac:dyDescent="0.4">
      <c r="A153" s="11" t="s">
        <v>48</v>
      </c>
      <c r="B153" s="17" t="s">
        <v>77</v>
      </c>
      <c r="C153" s="79" t="s">
        <v>78</v>
      </c>
      <c r="D153" s="5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5">
        <f t="shared" ref="T153:T156" si="33">SUM(E153:S153)</f>
        <v>1</v>
      </c>
    </row>
    <row r="154" spans="1:20" x14ac:dyDescent="0.4">
      <c r="A154" s="11" t="s">
        <v>50</v>
      </c>
      <c r="B154" s="17"/>
      <c r="C154" s="24" t="s">
        <v>167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5">
        <f t="shared" si="33"/>
        <v>0</v>
      </c>
    </row>
    <row r="155" spans="1:20" x14ac:dyDescent="0.4">
      <c r="A155" s="7"/>
      <c r="B155" s="17"/>
      <c r="C155" s="24" t="s">
        <v>168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4</v>
      </c>
      <c r="P155" s="6">
        <v>0</v>
      </c>
      <c r="Q155" s="6">
        <v>0</v>
      </c>
      <c r="R155" s="6">
        <v>0</v>
      </c>
      <c r="S155" s="6">
        <v>0</v>
      </c>
      <c r="T155" s="5">
        <f t="shared" si="33"/>
        <v>5</v>
      </c>
    </row>
    <row r="156" spans="1:20" x14ac:dyDescent="0.4">
      <c r="A156" s="7"/>
      <c r="B156" s="17"/>
      <c r="C156" s="24" t="s">
        <v>169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5">
        <f t="shared" si="33"/>
        <v>0</v>
      </c>
    </row>
    <row r="157" spans="1:20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0</v>
      </c>
      <c r="G157" s="5">
        <f>SUM(G153:G156)</f>
        <v>0</v>
      </c>
      <c r="H157" s="5">
        <f>SUM(H153:H156)</f>
        <v>0</v>
      </c>
      <c r="I157" s="5">
        <f>SUM(I153:I156)</f>
        <v>1</v>
      </c>
      <c r="J157" s="5">
        <f>SUM(J153:J156)</f>
        <v>0</v>
      </c>
      <c r="K157" s="5">
        <f>SUM(K153:K156)</f>
        <v>0</v>
      </c>
      <c r="L157" s="5">
        <f>SUM(L153:L156)</f>
        <v>0</v>
      </c>
      <c r="M157" s="5">
        <f>SUM(M153:M156)</f>
        <v>0</v>
      </c>
      <c r="N157" s="5">
        <f>SUM(N153:N156)</f>
        <v>0</v>
      </c>
      <c r="O157" s="5">
        <f>SUM(O153:O156)</f>
        <v>5</v>
      </c>
      <c r="P157" s="5">
        <f>SUM(P153:P156)</f>
        <v>0</v>
      </c>
      <c r="Q157" s="5">
        <f>SUM(Q153:Q156)</f>
        <v>0</v>
      </c>
      <c r="R157" s="5">
        <f>SUM(R153:R156)</f>
        <v>0</v>
      </c>
      <c r="S157" s="5">
        <f>SUM(S153:S156)</f>
        <v>0</v>
      </c>
      <c r="T157" s="5">
        <f>SUM(T153:T156)</f>
        <v>6</v>
      </c>
    </row>
    <row r="158" spans="1:20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1:20" x14ac:dyDescent="0.4">
      <c r="A159" s="11" t="s">
        <v>48</v>
      </c>
      <c r="B159" s="17" t="s">
        <v>79</v>
      </c>
      <c r="C159" s="79" t="s">
        <v>80</v>
      </c>
      <c r="D159" s="52"/>
      <c r="E159" s="6">
        <v>3</v>
      </c>
      <c r="F159" s="6">
        <v>3</v>
      </c>
      <c r="G159" s="6">
        <v>0</v>
      </c>
      <c r="H159" s="6">
        <v>1</v>
      </c>
      <c r="I159" s="6">
        <v>2</v>
      </c>
      <c r="J159" s="6">
        <v>1</v>
      </c>
      <c r="K159" s="6">
        <v>1</v>
      </c>
      <c r="L159" s="6">
        <v>2</v>
      </c>
      <c r="M159" s="6">
        <v>1</v>
      </c>
      <c r="N159" s="6">
        <v>3</v>
      </c>
      <c r="O159" s="6">
        <v>6</v>
      </c>
      <c r="P159" s="6">
        <v>6</v>
      </c>
      <c r="Q159" s="6">
        <v>1</v>
      </c>
      <c r="R159" s="6">
        <v>1</v>
      </c>
      <c r="S159" s="6">
        <v>2</v>
      </c>
      <c r="T159" s="5">
        <f t="shared" ref="T159:T165" si="34">SUM(E159:S159)</f>
        <v>33</v>
      </c>
    </row>
    <row r="160" spans="1:20" x14ac:dyDescent="0.4">
      <c r="A160" s="11" t="s">
        <v>50</v>
      </c>
      <c r="B160" s="46"/>
      <c r="C160" s="24" t="s">
        <v>170</v>
      </c>
      <c r="D160" s="47"/>
      <c r="E160" s="6">
        <v>31</v>
      </c>
      <c r="F160" s="6">
        <v>13</v>
      </c>
      <c r="G160" s="6">
        <v>6</v>
      </c>
      <c r="H160" s="6">
        <v>6</v>
      </c>
      <c r="I160" s="6">
        <v>5</v>
      </c>
      <c r="J160" s="6">
        <v>7</v>
      </c>
      <c r="K160" s="6">
        <v>8</v>
      </c>
      <c r="L160" s="6">
        <v>11</v>
      </c>
      <c r="M160" s="6">
        <v>25</v>
      </c>
      <c r="N160" s="6">
        <v>9</v>
      </c>
      <c r="O160" s="6">
        <v>18</v>
      </c>
      <c r="P160" s="6">
        <v>11</v>
      </c>
      <c r="Q160" s="6">
        <v>5</v>
      </c>
      <c r="R160" s="6">
        <v>6</v>
      </c>
      <c r="S160" s="6">
        <v>21</v>
      </c>
      <c r="T160" s="5">
        <f t="shared" si="34"/>
        <v>182</v>
      </c>
    </row>
    <row r="161" spans="1:20" x14ac:dyDescent="0.4">
      <c r="A161" s="7"/>
      <c r="B161" s="46"/>
      <c r="C161" s="24" t="s">
        <v>171</v>
      </c>
      <c r="D161" s="47"/>
      <c r="E161" s="6">
        <v>0</v>
      </c>
      <c r="F161" s="6">
        <v>0</v>
      </c>
      <c r="G161" s="6">
        <v>0</v>
      </c>
      <c r="H161" s="6">
        <v>1</v>
      </c>
      <c r="I161" s="6">
        <v>0</v>
      </c>
      <c r="J161" s="6">
        <v>0</v>
      </c>
      <c r="K161" s="6">
        <v>1</v>
      </c>
      <c r="L161" s="6">
        <v>0</v>
      </c>
      <c r="M161" s="6">
        <v>1</v>
      </c>
      <c r="N161" s="6">
        <v>1</v>
      </c>
      <c r="O161" s="6">
        <v>1</v>
      </c>
      <c r="P161" s="6">
        <v>0</v>
      </c>
      <c r="Q161" s="6">
        <v>0</v>
      </c>
      <c r="R161" s="6">
        <v>0</v>
      </c>
      <c r="S161" s="6">
        <v>0</v>
      </c>
      <c r="T161" s="5">
        <f t="shared" si="34"/>
        <v>5</v>
      </c>
    </row>
    <row r="162" spans="1:20" ht="13.15" customHeight="1" x14ac:dyDescent="0.4">
      <c r="A162" s="7"/>
      <c r="B162" s="46"/>
      <c r="C162" s="24" t="s">
        <v>172</v>
      </c>
      <c r="D162" s="47"/>
      <c r="E162" s="6">
        <v>1</v>
      </c>
      <c r="F162" s="6">
        <v>0</v>
      </c>
      <c r="G162" s="6">
        <v>0</v>
      </c>
      <c r="H162" s="6">
        <v>3</v>
      </c>
      <c r="I162" s="6">
        <v>0</v>
      </c>
      <c r="J162" s="6">
        <v>2</v>
      </c>
      <c r="K162" s="6">
        <v>0</v>
      </c>
      <c r="L162" s="6">
        <v>1</v>
      </c>
      <c r="M162" s="6">
        <v>0</v>
      </c>
      <c r="N162" s="6">
        <v>0</v>
      </c>
      <c r="O162" s="6">
        <v>0</v>
      </c>
      <c r="P162" s="6">
        <v>2</v>
      </c>
      <c r="Q162" s="6">
        <v>0</v>
      </c>
      <c r="R162" s="6">
        <v>0</v>
      </c>
      <c r="S162" s="6">
        <v>0</v>
      </c>
      <c r="T162" s="5">
        <f t="shared" si="34"/>
        <v>9</v>
      </c>
    </row>
    <row r="163" spans="1:20" x14ac:dyDescent="0.4">
      <c r="A163" s="7"/>
      <c r="B163" s="46"/>
      <c r="C163" s="24" t="s">
        <v>173</v>
      </c>
      <c r="D163" s="47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1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5">
        <f t="shared" si="34"/>
        <v>1</v>
      </c>
    </row>
    <row r="164" spans="1:20" ht="12.75" customHeight="1" x14ac:dyDescent="0.4">
      <c r="A164" s="7"/>
      <c r="B164" s="46"/>
      <c r="C164" s="24" t="s">
        <v>174</v>
      </c>
      <c r="D164" s="47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5">
        <f t="shared" si="34"/>
        <v>0</v>
      </c>
    </row>
    <row r="165" spans="1:20" x14ac:dyDescent="0.4">
      <c r="A165" s="7"/>
      <c r="B165" s="46"/>
      <c r="C165" s="24" t="s">
        <v>175</v>
      </c>
      <c r="D165" s="47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5">
        <f t="shared" si="34"/>
        <v>0</v>
      </c>
    </row>
    <row r="166" spans="1:20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35</v>
      </c>
      <c r="F166" s="5">
        <f>SUM(F159:F165)</f>
        <v>16</v>
      </c>
      <c r="G166" s="5">
        <f>SUM(G159:G165)</f>
        <v>6</v>
      </c>
      <c r="H166" s="5">
        <f>SUM(H159:H165)</f>
        <v>11</v>
      </c>
      <c r="I166" s="5">
        <f>SUM(I159:I165)</f>
        <v>7</v>
      </c>
      <c r="J166" s="5">
        <f>SUM(J159:J165)</f>
        <v>11</v>
      </c>
      <c r="K166" s="5">
        <f>SUM(K159:K165)</f>
        <v>10</v>
      </c>
      <c r="L166" s="5">
        <f>SUM(L159:L165)</f>
        <v>14</v>
      </c>
      <c r="M166" s="5">
        <f>SUM(M159:M165)</f>
        <v>27</v>
      </c>
      <c r="N166" s="5">
        <f>SUM(N159:N165)</f>
        <v>13</v>
      </c>
      <c r="O166" s="5">
        <f>SUM(O159:O165)</f>
        <v>25</v>
      </c>
      <c r="P166" s="5">
        <f>SUM(P159:P165)</f>
        <v>19</v>
      </c>
      <c r="Q166" s="5">
        <f>SUM(Q159:Q165)</f>
        <v>6</v>
      </c>
      <c r="R166" s="5">
        <f>SUM(R159:R165)</f>
        <v>7</v>
      </c>
      <c r="S166" s="5">
        <f>SUM(S159:S165)</f>
        <v>23</v>
      </c>
      <c r="T166" s="5">
        <f>SUM(T159:T165)</f>
        <v>230</v>
      </c>
    </row>
    <row r="167" spans="1:20" x14ac:dyDescent="0.4">
      <c r="A167" s="50"/>
      <c r="B167" s="82"/>
      <c r="C167" s="82"/>
      <c r="D167" s="82"/>
      <c r="E167" s="83"/>
    </row>
    <row r="168" spans="1:20" x14ac:dyDescent="0.4">
      <c r="A168" s="11" t="s">
        <v>48</v>
      </c>
      <c r="B168" s="17" t="s">
        <v>81</v>
      </c>
      <c r="C168" s="79" t="s">
        <v>82</v>
      </c>
      <c r="D168" s="52"/>
      <c r="E168" s="6">
        <v>0</v>
      </c>
      <c r="F168" s="6">
        <v>0</v>
      </c>
      <c r="G168" s="6">
        <v>2</v>
      </c>
      <c r="H168" s="6">
        <v>0</v>
      </c>
      <c r="I168" s="6">
        <v>0</v>
      </c>
      <c r="J168" s="6">
        <v>0</v>
      </c>
      <c r="K168" s="6">
        <v>1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5">
        <f t="shared" ref="T168:T169" si="35">SUM(E168:S168)</f>
        <v>3</v>
      </c>
    </row>
    <row r="169" spans="1:20" x14ac:dyDescent="0.4">
      <c r="A169" s="11" t="s">
        <v>50</v>
      </c>
      <c r="B169" s="46"/>
      <c r="C169" s="24" t="s">
        <v>176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2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1</v>
      </c>
      <c r="T169" s="5">
        <f t="shared" si="35"/>
        <v>3</v>
      </c>
    </row>
    <row r="170" spans="1:20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2</v>
      </c>
      <c r="H170" s="5">
        <f>SUM(H168:H169)</f>
        <v>0</v>
      </c>
      <c r="I170" s="5">
        <f>SUM(I168:I169)</f>
        <v>0</v>
      </c>
      <c r="J170" s="5">
        <f>SUM(J168:J169)</f>
        <v>0</v>
      </c>
      <c r="K170" s="5">
        <f>SUM(K168:K169)</f>
        <v>1</v>
      </c>
      <c r="L170" s="5">
        <f>SUM(L168:L169)</f>
        <v>0</v>
      </c>
      <c r="M170" s="5">
        <f>SUM(M168:M169)</f>
        <v>2</v>
      </c>
      <c r="N170" s="5">
        <f>SUM(N168:N169)</f>
        <v>0</v>
      </c>
      <c r="O170" s="5">
        <f>SUM(O168:O169)</f>
        <v>0</v>
      </c>
      <c r="P170" s="5">
        <f>SUM(P168:P169)</f>
        <v>0</v>
      </c>
      <c r="Q170" s="5">
        <f>SUM(Q168:Q169)</f>
        <v>0</v>
      </c>
      <c r="R170" s="5">
        <f>SUM(R168:R169)</f>
        <v>0</v>
      </c>
      <c r="S170" s="5">
        <f>SUM(S168:S169)</f>
        <v>1</v>
      </c>
      <c r="T170" s="5">
        <f>SUM(T168:T169)</f>
        <v>6</v>
      </c>
    </row>
    <row r="172" spans="1:20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15"/>
      <c r="O172" s="15"/>
      <c r="P172" s="15"/>
      <c r="Q172" s="15"/>
      <c r="R172" s="15"/>
      <c r="S172" s="15"/>
      <c r="T172" s="5"/>
    </row>
    <row r="173" spans="1:20" x14ac:dyDescent="0.4">
      <c r="A173" s="16"/>
      <c r="B173" s="19" t="s">
        <v>85</v>
      </c>
      <c r="C173" s="88" t="s">
        <v>86</v>
      </c>
      <c r="D173" s="89"/>
      <c r="E173" s="6">
        <v>191</v>
      </c>
      <c r="F173" s="6">
        <v>183</v>
      </c>
      <c r="G173" s="6">
        <v>179</v>
      </c>
      <c r="H173" s="6">
        <v>206</v>
      </c>
      <c r="I173" s="6">
        <v>194</v>
      </c>
      <c r="J173" s="6">
        <v>205</v>
      </c>
      <c r="K173" s="6">
        <v>176</v>
      </c>
      <c r="L173" s="6">
        <v>186</v>
      </c>
      <c r="M173" s="6">
        <v>163</v>
      </c>
      <c r="N173" s="6">
        <v>193</v>
      </c>
      <c r="O173" s="6">
        <v>142</v>
      </c>
      <c r="P173" s="6">
        <v>146</v>
      </c>
      <c r="Q173" s="6">
        <v>188</v>
      </c>
      <c r="R173" s="6">
        <v>187</v>
      </c>
      <c r="S173" s="6">
        <v>193</v>
      </c>
      <c r="T173" s="5">
        <f>SUM(E173:S173)</f>
        <v>2732</v>
      </c>
    </row>
    <row r="174" spans="1:20" x14ac:dyDescent="0.4">
      <c r="A174" s="13"/>
      <c r="B174" s="19" t="s">
        <v>87</v>
      </c>
      <c r="C174" s="88" t="s">
        <v>88</v>
      </c>
      <c r="D174" s="89"/>
      <c r="E174" s="6">
        <v>15</v>
      </c>
      <c r="F174" s="6">
        <v>18</v>
      </c>
      <c r="G174" s="6">
        <v>12</v>
      </c>
      <c r="H174" s="6">
        <v>3</v>
      </c>
      <c r="I174" s="6">
        <v>15</v>
      </c>
      <c r="J174" s="6">
        <v>7</v>
      </c>
      <c r="K174" s="6">
        <v>20</v>
      </c>
      <c r="L174" s="6">
        <v>17</v>
      </c>
      <c r="M174" s="6">
        <v>10</v>
      </c>
      <c r="N174" s="6">
        <v>6</v>
      </c>
      <c r="O174" s="6">
        <v>16</v>
      </c>
      <c r="P174" s="6">
        <v>11</v>
      </c>
      <c r="Q174" s="6">
        <v>14</v>
      </c>
      <c r="R174" s="6">
        <v>10</v>
      </c>
      <c r="S174" s="6">
        <v>13</v>
      </c>
      <c r="T174" s="5">
        <f>SUM(E174:S174)</f>
        <v>187</v>
      </c>
    </row>
    <row r="175" spans="1:20" x14ac:dyDescent="0.4">
      <c r="A175" s="14"/>
      <c r="B175" s="19" t="s">
        <v>89</v>
      </c>
      <c r="C175" s="88" t="s">
        <v>90</v>
      </c>
      <c r="D175" s="89"/>
      <c r="E175" s="5">
        <f>SUM(E173:E174)</f>
        <v>206</v>
      </c>
      <c r="F175" s="5">
        <f t="shared" ref="F175:O175" si="36">SUM(F173:F174)</f>
        <v>201</v>
      </c>
      <c r="G175" s="5">
        <f t="shared" si="36"/>
        <v>191</v>
      </c>
      <c r="H175" s="5">
        <f t="shared" si="36"/>
        <v>209</v>
      </c>
      <c r="I175" s="5">
        <f t="shared" si="36"/>
        <v>209</v>
      </c>
      <c r="J175" s="5">
        <f t="shared" si="36"/>
        <v>212</v>
      </c>
      <c r="K175" s="5">
        <f t="shared" si="36"/>
        <v>196</v>
      </c>
      <c r="L175" s="5">
        <f t="shared" si="36"/>
        <v>203</v>
      </c>
      <c r="M175" s="5">
        <f t="shared" si="36"/>
        <v>173</v>
      </c>
      <c r="N175" s="5">
        <f t="shared" si="36"/>
        <v>199</v>
      </c>
      <c r="O175" s="5">
        <f t="shared" si="36"/>
        <v>158</v>
      </c>
      <c r="P175" s="5">
        <f t="shared" ref="P175:S175" si="37">SUM(P173:P174)</f>
        <v>157</v>
      </c>
      <c r="Q175" s="5">
        <f t="shared" si="37"/>
        <v>202</v>
      </c>
      <c r="R175" s="5">
        <f t="shared" si="37"/>
        <v>197</v>
      </c>
      <c r="S175" s="5">
        <f t="shared" si="37"/>
        <v>206</v>
      </c>
      <c r="T175" s="5">
        <f>SUM(E175:S175)</f>
        <v>2919</v>
      </c>
    </row>
  </sheetData>
  <mergeCells count="86">
    <mergeCell ref="C159:D159"/>
    <mergeCell ref="B138:D138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74:D174"/>
    <mergeCell ref="C175:D175"/>
    <mergeCell ref="B166:D166"/>
    <mergeCell ref="A167:E167"/>
    <mergeCell ref="C168:D168"/>
    <mergeCell ref="B170:D170"/>
    <mergeCell ref="B172:D172"/>
    <mergeCell ref="C173:D173"/>
    <mergeCell ref="C131:D131"/>
    <mergeCell ref="B110:D110"/>
    <mergeCell ref="A111:E111"/>
    <mergeCell ref="C112:D112"/>
    <mergeCell ref="B119:D119"/>
    <mergeCell ref="A120:E120"/>
    <mergeCell ref="C121:D121"/>
    <mergeCell ref="B122:D122"/>
    <mergeCell ref="A123:E123"/>
    <mergeCell ref="C124:D124"/>
    <mergeCell ref="B129:D129"/>
    <mergeCell ref="A130:E130"/>
    <mergeCell ref="C108:D108"/>
    <mergeCell ref="B88:D88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E37:I37"/>
    <mergeCell ref="B38:D38"/>
    <mergeCell ref="A42:D42"/>
    <mergeCell ref="E42:I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8" type="noConversion"/>
  <conditionalFormatting sqref="E14:S15">
    <cfRule type="containsBlanks" dxfId="252" priority="22">
      <formula>LEN(TRIM(E14))=0</formula>
    </cfRule>
  </conditionalFormatting>
  <conditionalFormatting sqref="E19:S20">
    <cfRule type="containsBlanks" dxfId="251" priority="25">
      <formula>LEN(TRIM(E19))=0</formula>
    </cfRule>
  </conditionalFormatting>
  <conditionalFormatting sqref="E22:S23 E25:S26 E33:S33 E35:S35 E39:S40">
    <cfRule type="containsBlanks" dxfId="250" priority="26">
      <formula>LEN(TRIM(E22))=0</formula>
    </cfRule>
  </conditionalFormatting>
  <conditionalFormatting sqref="E30:S30">
    <cfRule type="expression" dxfId="249" priority="27">
      <formula>E30&lt;&gt;E47</formula>
    </cfRule>
    <cfRule type="expression" dxfId="248" priority="28">
      <formula>E30&lt;&gt;E34</formula>
    </cfRule>
  </conditionalFormatting>
  <conditionalFormatting sqref="E45:S51">
    <cfRule type="containsBlanks" dxfId="247" priority="21">
      <formula>LEN(TRIM(E45))=0</formula>
    </cfRule>
  </conditionalFormatting>
  <conditionalFormatting sqref="E54:S60">
    <cfRule type="containsBlanks" dxfId="246" priority="20">
      <formula>LEN(TRIM(E54))=0</formula>
    </cfRule>
  </conditionalFormatting>
  <conditionalFormatting sqref="E63:S69">
    <cfRule type="containsBlanks" dxfId="245" priority="19">
      <formula>LEN(TRIM(E63))=0</formula>
    </cfRule>
  </conditionalFormatting>
  <conditionalFormatting sqref="E72:S78">
    <cfRule type="containsBlanks" dxfId="244" priority="18">
      <formula>LEN(TRIM(E72))=0</formula>
    </cfRule>
  </conditionalFormatting>
  <conditionalFormatting sqref="E81:S87">
    <cfRule type="containsBlanks" dxfId="243" priority="17">
      <formula>LEN(TRIM(E81))=0</formula>
    </cfRule>
  </conditionalFormatting>
  <conditionalFormatting sqref="E90:S90">
    <cfRule type="containsBlanks" dxfId="242" priority="16">
      <formula>LEN(TRIM(E90))=0</formula>
    </cfRule>
  </conditionalFormatting>
  <conditionalFormatting sqref="E93:S96">
    <cfRule type="containsBlanks" dxfId="241" priority="2">
      <formula>LEN(TRIM(E93))=0</formula>
    </cfRule>
  </conditionalFormatting>
  <conditionalFormatting sqref="E99:S105">
    <cfRule type="containsBlanks" dxfId="240" priority="15">
      <formula>LEN(TRIM(E99))=0</formula>
    </cfRule>
  </conditionalFormatting>
  <conditionalFormatting sqref="E108:S109">
    <cfRule type="containsBlanks" dxfId="239" priority="14">
      <formula>LEN(TRIM(E108))=0</formula>
    </cfRule>
  </conditionalFormatting>
  <conditionalFormatting sqref="E112:S118">
    <cfRule type="containsBlanks" dxfId="238" priority="4">
      <formula>LEN(TRIM(E112))=0</formula>
    </cfRule>
  </conditionalFormatting>
  <conditionalFormatting sqref="E121:S121">
    <cfRule type="containsBlanks" dxfId="237" priority="13">
      <formula>LEN(TRIM(E121))=0</formula>
    </cfRule>
  </conditionalFormatting>
  <conditionalFormatting sqref="E124:S128">
    <cfRule type="containsBlanks" dxfId="236" priority="12">
      <formula>LEN(TRIM(E124))=0</formula>
    </cfRule>
  </conditionalFormatting>
  <conditionalFormatting sqref="E131:S137">
    <cfRule type="containsBlanks" dxfId="235" priority="11">
      <formula>LEN(TRIM(E131))=0</formula>
    </cfRule>
  </conditionalFormatting>
  <conditionalFormatting sqref="E140:S146">
    <cfRule type="containsBlanks" dxfId="234" priority="10">
      <formula>LEN(TRIM(E140))=0</formula>
    </cfRule>
  </conditionalFormatting>
  <conditionalFormatting sqref="E149:S150">
    <cfRule type="containsBlanks" dxfId="233" priority="9">
      <formula>LEN(TRIM(E149))=0</formula>
    </cfRule>
  </conditionalFormatting>
  <conditionalFormatting sqref="E153:S156">
    <cfRule type="containsBlanks" dxfId="232" priority="8">
      <formula>LEN(TRIM(E153))=0</formula>
    </cfRule>
  </conditionalFormatting>
  <conditionalFormatting sqref="E159:S165">
    <cfRule type="containsBlanks" dxfId="231" priority="7">
      <formula>LEN(TRIM(E159))=0</formula>
    </cfRule>
  </conditionalFormatting>
  <conditionalFormatting sqref="E168:S169">
    <cfRule type="containsBlanks" dxfId="230" priority="5">
      <formula>LEN(TRIM(E168))=0</formula>
    </cfRule>
  </conditionalFormatting>
  <conditionalFormatting sqref="E173:S174">
    <cfRule type="containsBlanks" dxfId="229" priority="3">
      <formula>LEN(TRIM(E173))=0</formula>
    </cfRule>
  </conditionalFormatting>
  <conditionalFormatting sqref="E34:S34">
    <cfRule type="expression" dxfId="228" priority="137">
      <formula>E30&lt;&gt;E34</formula>
    </cfRule>
    <cfRule type="expression" dxfId="227" priority="138">
      <formula>E30=E34</formula>
    </cfRule>
    <cfRule type="expression" dxfId="226" priority="139">
      <formula>E34&lt;&gt;E30</formula>
    </cfRule>
    <cfRule type="expression" dxfId="225" priority="140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92D050"/>
  </sheetPr>
  <dimension ref="A2:N175"/>
  <sheetViews>
    <sheetView topLeftCell="A13" zoomScale="85" zoomScaleNormal="85" workbookViewId="0">
      <pane ySplit="1" topLeftCell="A158" activePane="bottomLeft" state="frozen"/>
      <selection activeCell="A251" activeCellId="17" sqref="A52:XFD54 A64:XFD66 A76:XFD78 A88:XFD90 A100:XFD102 A106:XFD114 A121:XFD126 A136:XFD138 A143:XFD150 A160:XFD162 A166:XFD174 A182:XFD186 A196:XFD198 A208:XFD210 A215:XFD222 A229:XFD234 A244:XFD246 A251:XFD258"/>
      <selection pane="bottomLeft" activeCell="F174" sqref="F174"/>
    </sheetView>
  </sheetViews>
  <sheetFormatPr defaultRowHeight="13.15" x14ac:dyDescent="0.4"/>
  <cols>
    <col min="3" max="3" width="67.140625" bestFit="1" customWidth="1"/>
    <col min="4" max="4" width="5.85546875" bestFit="1" customWidth="1"/>
    <col min="14" max="14" width="13.28515625" customWidth="1"/>
  </cols>
  <sheetData>
    <row r="2" spans="1:14" x14ac:dyDescent="0.4">
      <c r="C2" s="43" t="s">
        <v>98</v>
      </c>
      <c r="D2" s="43" t="s">
        <v>177</v>
      </c>
    </row>
    <row r="3" spans="1:14" x14ac:dyDescent="0.4">
      <c r="C3" s="43" t="s">
        <v>99</v>
      </c>
      <c r="D3" s="43" t="s">
        <v>100</v>
      </c>
    </row>
    <row r="4" spans="1:14" x14ac:dyDescent="0.4">
      <c r="C4" s="43" t="s">
        <v>101</v>
      </c>
      <c r="D4" s="43" t="s">
        <v>102</v>
      </c>
    </row>
    <row r="5" spans="1:14" x14ac:dyDescent="0.4">
      <c r="C5" s="43"/>
      <c r="D5" s="43"/>
    </row>
    <row r="6" spans="1:14" x14ac:dyDescent="0.4">
      <c r="C6" s="43"/>
      <c r="D6" s="43"/>
    </row>
    <row r="7" spans="1:14" x14ac:dyDescent="0.4">
      <c r="C7" s="43"/>
      <c r="D7" s="43"/>
    </row>
    <row r="8" spans="1:14" x14ac:dyDescent="0.4">
      <c r="C8" s="43"/>
      <c r="D8" s="43"/>
    </row>
    <row r="9" spans="1:14" x14ac:dyDescent="0.4">
      <c r="C9" s="43" t="s">
        <v>103</v>
      </c>
      <c r="D9" s="43" t="s">
        <v>181</v>
      </c>
    </row>
    <row r="11" spans="1:1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</row>
    <row r="12" spans="1:14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6" t="s">
        <v>97</v>
      </c>
    </row>
    <row r="13" spans="1:14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7"/>
    </row>
    <row r="14" spans="1:14" x14ac:dyDescent="0.4">
      <c r="A14" s="7"/>
      <c r="B14" s="59" t="s">
        <v>22</v>
      </c>
      <c r="C14" s="60"/>
      <c r="D14" s="6" t="s">
        <v>23</v>
      </c>
      <c r="E14" s="6">
        <v>125</v>
      </c>
      <c r="F14" s="6">
        <v>146</v>
      </c>
      <c r="G14" s="6">
        <v>125</v>
      </c>
      <c r="H14" s="6">
        <v>119</v>
      </c>
      <c r="I14" s="6">
        <v>115</v>
      </c>
      <c r="J14" s="6">
        <v>132</v>
      </c>
      <c r="K14" s="6">
        <v>150</v>
      </c>
      <c r="L14" s="6">
        <v>127</v>
      </c>
      <c r="M14" s="6">
        <v>112</v>
      </c>
      <c r="N14" s="5">
        <f>SUM(E14:M14)</f>
        <v>1151</v>
      </c>
    </row>
    <row r="15" spans="1:14" x14ac:dyDescent="0.4">
      <c r="A15" s="7"/>
      <c r="B15" s="61"/>
      <c r="C15" s="62"/>
      <c r="D15" s="6" t="s">
        <v>24</v>
      </c>
      <c r="E15" s="6">
        <v>125</v>
      </c>
      <c r="F15" s="6">
        <v>131</v>
      </c>
      <c r="G15" s="6">
        <v>134</v>
      </c>
      <c r="H15" s="6">
        <v>117</v>
      </c>
      <c r="I15" s="6">
        <v>120</v>
      </c>
      <c r="J15" s="6">
        <v>120</v>
      </c>
      <c r="K15" s="6">
        <v>132</v>
      </c>
      <c r="L15" s="6">
        <v>128</v>
      </c>
      <c r="M15" s="6">
        <v>122</v>
      </c>
      <c r="N15" s="5">
        <f>SUM(E15:M15)</f>
        <v>1129</v>
      </c>
    </row>
    <row r="16" spans="1:14" x14ac:dyDescent="0.4">
      <c r="A16" s="8"/>
      <c r="B16" s="63"/>
      <c r="C16" s="64"/>
      <c r="D16" s="5" t="s">
        <v>25</v>
      </c>
      <c r="E16" s="5">
        <f t="shared" ref="E16:M16" si="0">SUM(E14:E15)</f>
        <v>250</v>
      </c>
      <c r="F16" s="5">
        <f t="shared" si="0"/>
        <v>277</v>
      </c>
      <c r="G16" s="5">
        <f t="shared" si="0"/>
        <v>259</v>
      </c>
      <c r="H16" s="5">
        <f t="shared" si="0"/>
        <v>236</v>
      </c>
      <c r="I16" s="5">
        <f t="shared" si="0"/>
        <v>235</v>
      </c>
      <c r="J16" s="5">
        <f t="shared" si="0"/>
        <v>252</v>
      </c>
      <c r="K16" s="5">
        <f t="shared" si="0"/>
        <v>282</v>
      </c>
      <c r="L16" s="5">
        <f t="shared" si="0"/>
        <v>255</v>
      </c>
      <c r="M16" s="5">
        <f t="shared" si="0"/>
        <v>234</v>
      </c>
      <c r="N16" s="5">
        <f>SUM(E16:M16)</f>
        <v>2280</v>
      </c>
    </row>
    <row r="17" spans="1:14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28"/>
    </row>
    <row r="18" spans="1:14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28"/>
    </row>
    <row r="19" spans="1:14" x14ac:dyDescent="0.4">
      <c r="A19" s="11"/>
      <c r="B19" s="65" t="s">
        <v>28</v>
      </c>
      <c r="C19" s="66" t="s">
        <v>29</v>
      </c>
      <c r="D19" s="6" t="s">
        <v>23</v>
      </c>
      <c r="E19" s="6">
        <v>91</v>
      </c>
      <c r="F19" s="6">
        <v>124</v>
      </c>
      <c r="G19" s="6">
        <v>88</v>
      </c>
      <c r="H19" s="6">
        <v>88</v>
      </c>
      <c r="I19" s="6">
        <v>94</v>
      </c>
      <c r="J19" s="6">
        <v>106</v>
      </c>
      <c r="K19" s="6">
        <v>115</v>
      </c>
      <c r="L19" s="6">
        <v>83</v>
      </c>
      <c r="M19" s="6">
        <v>96</v>
      </c>
      <c r="N19" s="5">
        <f t="shared" ref="N19:N30" si="1">SUM(E19:M19)</f>
        <v>885</v>
      </c>
    </row>
    <row r="20" spans="1:14" x14ac:dyDescent="0.4">
      <c r="A20" s="12"/>
      <c r="B20" s="62"/>
      <c r="C20" s="67"/>
      <c r="D20" s="6" t="s">
        <v>24</v>
      </c>
      <c r="E20" s="6">
        <v>97</v>
      </c>
      <c r="F20" s="6">
        <v>115</v>
      </c>
      <c r="G20" s="6">
        <v>95</v>
      </c>
      <c r="H20" s="6">
        <v>91</v>
      </c>
      <c r="I20" s="6">
        <v>102</v>
      </c>
      <c r="J20" s="6">
        <v>92</v>
      </c>
      <c r="K20" s="6">
        <v>105</v>
      </c>
      <c r="L20" s="6">
        <v>101</v>
      </c>
      <c r="M20" s="6">
        <v>100</v>
      </c>
      <c r="N20" s="5">
        <f t="shared" si="1"/>
        <v>898</v>
      </c>
    </row>
    <row r="21" spans="1:14" x14ac:dyDescent="0.4">
      <c r="A21" s="13"/>
      <c r="B21" s="64"/>
      <c r="C21" s="68"/>
      <c r="D21" s="5" t="s">
        <v>25</v>
      </c>
      <c r="E21" s="5">
        <f t="shared" ref="E21:M21" si="2">SUM(E19:E20)</f>
        <v>188</v>
      </c>
      <c r="F21" s="5">
        <f t="shared" si="2"/>
        <v>239</v>
      </c>
      <c r="G21" s="5">
        <f t="shared" si="2"/>
        <v>183</v>
      </c>
      <c r="H21" s="5">
        <f t="shared" si="2"/>
        <v>179</v>
      </c>
      <c r="I21" s="5">
        <f t="shared" si="2"/>
        <v>196</v>
      </c>
      <c r="J21" s="5">
        <f t="shared" si="2"/>
        <v>198</v>
      </c>
      <c r="K21" s="5">
        <f t="shared" si="2"/>
        <v>220</v>
      </c>
      <c r="L21" s="5">
        <f t="shared" si="2"/>
        <v>184</v>
      </c>
      <c r="M21" s="5">
        <f t="shared" si="2"/>
        <v>196</v>
      </c>
      <c r="N21" s="5">
        <f t="shared" si="1"/>
        <v>1783</v>
      </c>
    </row>
    <row r="22" spans="1:14" x14ac:dyDescent="0.4">
      <c r="A22" s="12"/>
      <c r="B22" s="65" t="s">
        <v>30</v>
      </c>
      <c r="C22" s="66" t="s">
        <v>31</v>
      </c>
      <c r="D22" s="6" t="s">
        <v>23</v>
      </c>
      <c r="E22" s="6"/>
      <c r="F22" s="6"/>
      <c r="G22" s="6"/>
      <c r="H22" s="6"/>
      <c r="I22" s="6"/>
      <c r="J22" s="6"/>
      <c r="K22" s="6">
        <v>1</v>
      </c>
      <c r="L22" s="6"/>
      <c r="M22" s="6"/>
      <c r="N22" s="5">
        <f t="shared" si="1"/>
        <v>1</v>
      </c>
    </row>
    <row r="23" spans="1:14" x14ac:dyDescent="0.4">
      <c r="A23" s="12"/>
      <c r="B23" s="62"/>
      <c r="C23" s="67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5">
        <f t="shared" si="1"/>
        <v>0</v>
      </c>
    </row>
    <row r="24" spans="1:14" x14ac:dyDescent="0.4">
      <c r="A24" s="13"/>
      <c r="B24" s="64"/>
      <c r="C24" s="68"/>
      <c r="D24" s="5" t="s">
        <v>25</v>
      </c>
      <c r="E24" s="5">
        <f t="shared" ref="E24:M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1</v>
      </c>
      <c r="L24" s="5">
        <f t="shared" si="3"/>
        <v>0</v>
      </c>
      <c r="M24" s="5">
        <f t="shared" si="3"/>
        <v>0</v>
      </c>
      <c r="N24" s="5">
        <f t="shared" si="1"/>
        <v>1</v>
      </c>
    </row>
    <row r="25" spans="1:14" x14ac:dyDescent="0.4">
      <c r="A25" s="12"/>
      <c r="B25" s="65" t="s">
        <v>32</v>
      </c>
      <c r="C25" s="66" t="s">
        <v>33</v>
      </c>
      <c r="D25" s="6" t="s">
        <v>23</v>
      </c>
      <c r="E25" s="6"/>
      <c r="F25" s="6"/>
      <c r="G25" s="6">
        <v>4</v>
      </c>
      <c r="H25" s="6">
        <v>1</v>
      </c>
      <c r="I25" s="6">
        <v>1</v>
      </c>
      <c r="J25" s="6"/>
      <c r="K25" s="6">
        <v>1</v>
      </c>
      <c r="L25" s="6">
        <v>1</v>
      </c>
      <c r="M25" s="6">
        <v>1</v>
      </c>
      <c r="N25" s="5">
        <f t="shared" si="1"/>
        <v>9</v>
      </c>
    </row>
    <row r="26" spans="1:14" x14ac:dyDescent="0.4">
      <c r="A26" s="12"/>
      <c r="B26" s="62"/>
      <c r="C26" s="67"/>
      <c r="D26" s="6" t="s">
        <v>24</v>
      </c>
      <c r="E26" s="6">
        <v>3</v>
      </c>
      <c r="F26" s="6">
        <v>1</v>
      </c>
      <c r="G26" s="6">
        <v>1</v>
      </c>
      <c r="H26" s="6">
        <v>3</v>
      </c>
      <c r="I26" s="6">
        <v>2</v>
      </c>
      <c r="J26" s="6"/>
      <c r="K26" s="6">
        <v>1</v>
      </c>
      <c r="L26" s="6">
        <v>3</v>
      </c>
      <c r="M26" s="6">
        <v>1</v>
      </c>
      <c r="N26" s="5">
        <f t="shared" si="1"/>
        <v>15</v>
      </c>
    </row>
    <row r="27" spans="1:14" x14ac:dyDescent="0.4">
      <c r="A27" s="13"/>
      <c r="B27" s="64"/>
      <c r="C27" s="68"/>
      <c r="D27" s="5" t="s">
        <v>25</v>
      </c>
      <c r="E27" s="5">
        <f t="shared" ref="E27:M27" si="4">SUM(E25:E26)</f>
        <v>3</v>
      </c>
      <c r="F27" s="5">
        <f t="shared" si="4"/>
        <v>1</v>
      </c>
      <c r="G27" s="5">
        <f t="shared" si="4"/>
        <v>5</v>
      </c>
      <c r="H27" s="5">
        <f t="shared" si="4"/>
        <v>4</v>
      </c>
      <c r="I27" s="5">
        <f t="shared" si="4"/>
        <v>3</v>
      </c>
      <c r="J27" s="5">
        <f t="shared" si="4"/>
        <v>0</v>
      </c>
      <c r="K27" s="5">
        <f t="shared" si="4"/>
        <v>2</v>
      </c>
      <c r="L27" s="5">
        <f t="shared" si="4"/>
        <v>4</v>
      </c>
      <c r="M27" s="5">
        <f t="shared" si="4"/>
        <v>2</v>
      </c>
      <c r="N27" s="5">
        <f t="shared" si="1"/>
        <v>24</v>
      </c>
    </row>
    <row r="28" spans="1:14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91</v>
      </c>
      <c r="F28" s="5">
        <f t="shared" ref="F28:M29" si="5">SUM(F19,F22,F25)</f>
        <v>124</v>
      </c>
      <c r="G28" s="5">
        <f t="shared" si="5"/>
        <v>92</v>
      </c>
      <c r="H28" s="5">
        <f t="shared" si="5"/>
        <v>89</v>
      </c>
      <c r="I28" s="5">
        <f t="shared" si="5"/>
        <v>95</v>
      </c>
      <c r="J28" s="5">
        <f t="shared" si="5"/>
        <v>106</v>
      </c>
      <c r="K28" s="5">
        <f t="shared" si="5"/>
        <v>117</v>
      </c>
      <c r="L28" s="5">
        <f t="shared" si="5"/>
        <v>84</v>
      </c>
      <c r="M28" s="5">
        <f t="shared" si="5"/>
        <v>97</v>
      </c>
      <c r="N28" s="5">
        <f t="shared" si="1"/>
        <v>895</v>
      </c>
    </row>
    <row r="29" spans="1:14" x14ac:dyDescent="0.4">
      <c r="A29" s="13"/>
      <c r="B29" s="62"/>
      <c r="C29" s="67"/>
      <c r="D29" s="5" t="s">
        <v>24</v>
      </c>
      <c r="E29" s="5">
        <f>SUM(E20,E23,E26)</f>
        <v>100</v>
      </c>
      <c r="F29" s="5">
        <f t="shared" si="5"/>
        <v>116</v>
      </c>
      <c r="G29" s="5">
        <f t="shared" si="5"/>
        <v>96</v>
      </c>
      <c r="H29" s="5">
        <f t="shared" si="5"/>
        <v>94</v>
      </c>
      <c r="I29" s="5">
        <f t="shared" si="5"/>
        <v>104</v>
      </c>
      <c r="J29" s="5">
        <f t="shared" si="5"/>
        <v>92</v>
      </c>
      <c r="K29" s="5">
        <f t="shared" si="5"/>
        <v>106</v>
      </c>
      <c r="L29" s="5">
        <f t="shared" si="5"/>
        <v>104</v>
      </c>
      <c r="M29" s="5">
        <f t="shared" si="5"/>
        <v>101</v>
      </c>
      <c r="N29" s="5">
        <f t="shared" si="1"/>
        <v>913</v>
      </c>
    </row>
    <row r="30" spans="1:14" x14ac:dyDescent="0.4">
      <c r="A30" s="13"/>
      <c r="B30" s="64"/>
      <c r="C30" s="68"/>
      <c r="D30" s="5" t="s">
        <v>25</v>
      </c>
      <c r="E30" s="5">
        <f t="shared" ref="E30" si="6">SUM(E28:E29)</f>
        <v>191</v>
      </c>
      <c r="F30" s="5">
        <f t="shared" ref="F30:M30" si="7">SUM(F28:F29)</f>
        <v>240</v>
      </c>
      <c r="G30" s="5">
        <f t="shared" si="7"/>
        <v>188</v>
      </c>
      <c r="H30" s="5">
        <f t="shared" si="7"/>
        <v>183</v>
      </c>
      <c r="I30" s="5">
        <f t="shared" si="7"/>
        <v>199</v>
      </c>
      <c r="J30" s="5">
        <f t="shared" si="7"/>
        <v>198</v>
      </c>
      <c r="K30" s="5">
        <f t="shared" si="7"/>
        <v>223</v>
      </c>
      <c r="L30" s="5">
        <f t="shared" si="7"/>
        <v>188</v>
      </c>
      <c r="M30" s="5">
        <f t="shared" si="7"/>
        <v>198</v>
      </c>
      <c r="N30" s="5">
        <f t="shared" si="1"/>
        <v>1808</v>
      </c>
    </row>
    <row r="31" spans="1:14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28"/>
    </row>
    <row r="32" spans="1:14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28"/>
    </row>
    <row r="33" spans="1:14" x14ac:dyDescent="0.4">
      <c r="A33" s="6">
        <v>1</v>
      </c>
      <c r="B33" s="58" t="s">
        <v>38</v>
      </c>
      <c r="C33" s="51"/>
      <c r="D33" s="52"/>
      <c r="E33" s="6">
        <v>255</v>
      </c>
      <c r="F33" s="6">
        <v>283</v>
      </c>
      <c r="G33" s="6">
        <v>255</v>
      </c>
      <c r="H33" s="6">
        <v>241</v>
      </c>
      <c r="I33" s="6">
        <v>239</v>
      </c>
      <c r="J33" s="6">
        <v>245</v>
      </c>
      <c r="K33" s="6">
        <v>280</v>
      </c>
      <c r="L33" s="6">
        <v>261</v>
      </c>
      <c r="M33" s="6">
        <v>239</v>
      </c>
      <c r="N33" s="5">
        <f>SUM(E33:M33)</f>
        <v>2298</v>
      </c>
    </row>
    <row r="34" spans="1:14" x14ac:dyDescent="0.4">
      <c r="A34" s="6">
        <v>2</v>
      </c>
      <c r="B34" s="58" t="s">
        <v>39</v>
      </c>
      <c r="C34" s="51"/>
      <c r="D34" s="52"/>
      <c r="E34" s="5">
        <v>191</v>
      </c>
      <c r="F34" s="5">
        <v>240</v>
      </c>
      <c r="G34" s="5">
        <v>188</v>
      </c>
      <c r="H34" s="5">
        <v>183</v>
      </c>
      <c r="I34" s="5">
        <v>199</v>
      </c>
      <c r="J34" s="5">
        <v>198</v>
      </c>
      <c r="K34" s="5">
        <v>223</v>
      </c>
      <c r="L34" s="5">
        <v>188</v>
      </c>
      <c r="M34" s="5">
        <v>198</v>
      </c>
      <c r="N34" s="5">
        <f>SUM(E34:M34)</f>
        <v>1808</v>
      </c>
    </row>
    <row r="35" spans="1:14" x14ac:dyDescent="0.4">
      <c r="A35" s="6">
        <v>3</v>
      </c>
      <c r="B35" s="58" t="s">
        <v>40</v>
      </c>
      <c r="C35" s="51"/>
      <c r="D35" s="52"/>
      <c r="E35" s="6"/>
      <c r="F35" s="6">
        <v>1</v>
      </c>
      <c r="G35" s="6"/>
      <c r="H35" s="6"/>
      <c r="I35" s="6"/>
      <c r="J35" s="6"/>
      <c r="K35" s="6"/>
      <c r="L35" s="6"/>
      <c r="M35" s="6"/>
      <c r="N35" s="5">
        <f>SUM(E35:M35)</f>
        <v>1</v>
      </c>
    </row>
    <row r="36" spans="1:14" x14ac:dyDescent="0.4">
      <c r="A36" s="6">
        <v>4</v>
      </c>
      <c r="B36" s="58" t="s">
        <v>41</v>
      </c>
      <c r="C36" s="51"/>
      <c r="D36" s="52"/>
      <c r="E36" s="5">
        <f t="shared" ref="E36:M36" si="8">E33-(E34+E35)</f>
        <v>64</v>
      </c>
      <c r="F36" s="5">
        <f t="shared" si="8"/>
        <v>42</v>
      </c>
      <c r="G36" s="5">
        <f t="shared" si="8"/>
        <v>67</v>
      </c>
      <c r="H36" s="5">
        <f t="shared" si="8"/>
        <v>58</v>
      </c>
      <c r="I36" s="5">
        <f t="shared" si="8"/>
        <v>40</v>
      </c>
      <c r="J36" s="5">
        <f t="shared" si="8"/>
        <v>47</v>
      </c>
      <c r="K36" s="5">
        <f t="shared" si="8"/>
        <v>57</v>
      </c>
      <c r="L36" s="5">
        <f t="shared" si="8"/>
        <v>73</v>
      </c>
      <c r="M36" s="5">
        <f t="shared" si="8"/>
        <v>41</v>
      </c>
      <c r="N36" s="5">
        <f>SUM(E36:M36)</f>
        <v>489</v>
      </c>
    </row>
    <row r="37" spans="1:14" x14ac:dyDescent="0.4">
      <c r="A37" s="50"/>
      <c r="B37" s="51"/>
      <c r="C37" s="51"/>
      <c r="D37" s="51"/>
      <c r="E37" s="50"/>
      <c r="F37" s="72"/>
      <c r="G37" s="72"/>
      <c r="H37" s="72"/>
      <c r="I37" s="73"/>
      <c r="J37" s="6"/>
      <c r="K37" s="6"/>
      <c r="L37" s="6"/>
      <c r="M37" s="6"/>
      <c r="N37" s="28"/>
    </row>
    <row r="38" spans="1:14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28"/>
    </row>
    <row r="39" spans="1:14" x14ac:dyDescent="0.4">
      <c r="A39" s="11"/>
      <c r="B39" s="74" t="s">
        <v>44</v>
      </c>
      <c r="C39" s="60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5">
        <f>SUM(E39:M39)</f>
        <v>0</v>
      </c>
    </row>
    <row r="40" spans="1:14" x14ac:dyDescent="0.4">
      <c r="A40" s="12"/>
      <c r="B40" s="75"/>
      <c r="C40" s="62"/>
      <c r="D40" s="6" t="s">
        <v>24</v>
      </c>
      <c r="E40" s="6"/>
      <c r="F40" s="6"/>
      <c r="G40" s="6"/>
      <c r="H40" s="6">
        <v>1</v>
      </c>
      <c r="I40" s="6"/>
      <c r="J40" s="6">
        <v>1</v>
      </c>
      <c r="K40" s="6"/>
      <c r="L40" s="6"/>
      <c r="M40" s="6"/>
      <c r="N40" s="5">
        <f>SUM(E40:M40)</f>
        <v>2</v>
      </c>
    </row>
    <row r="41" spans="1:14" x14ac:dyDescent="0.4">
      <c r="A41" s="14"/>
      <c r="B41" s="76"/>
      <c r="C41" s="64"/>
      <c r="D41" s="5" t="s">
        <v>25</v>
      </c>
      <c r="E41" s="5">
        <f t="shared" ref="E41:M41" si="9">SUM(E39:E40)</f>
        <v>0</v>
      </c>
      <c r="F41" s="5">
        <f t="shared" si="9"/>
        <v>0</v>
      </c>
      <c r="G41" s="5">
        <f t="shared" si="9"/>
        <v>0</v>
      </c>
      <c r="H41" s="5">
        <f t="shared" si="9"/>
        <v>1</v>
      </c>
      <c r="I41" s="5">
        <f t="shared" si="9"/>
        <v>0</v>
      </c>
      <c r="J41" s="5">
        <f t="shared" si="9"/>
        <v>1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>SUM(E41:M41)</f>
        <v>2</v>
      </c>
    </row>
    <row r="42" spans="1:14" x14ac:dyDescent="0.4">
      <c r="A42" s="77"/>
      <c r="B42" s="76"/>
      <c r="C42" s="76"/>
      <c r="D42" s="64"/>
      <c r="E42" s="50"/>
      <c r="F42" s="51"/>
      <c r="G42" s="51"/>
      <c r="H42" s="51"/>
      <c r="I42" s="52"/>
      <c r="J42" s="6"/>
      <c r="K42" s="6"/>
      <c r="L42" s="6"/>
      <c r="M42" s="6"/>
      <c r="N42" s="5"/>
    </row>
    <row r="43" spans="1:14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5"/>
    </row>
    <row r="44" spans="1:14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5"/>
    </row>
    <row r="45" spans="1:14" x14ac:dyDescent="0.4">
      <c r="A45" s="11" t="s">
        <v>48</v>
      </c>
      <c r="B45" s="17" t="s">
        <v>28</v>
      </c>
      <c r="C45" s="79" t="s">
        <v>49</v>
      </c>
      <c r="D45" s="52"/>
      <c r="E45" s="6">
        <v>10</v>
      </c>
      <c r="F45" s="6">
        <v>9</v>
      </c>
      <c r="G45" s="6">
        <v>7</v>
      </c>
      <c r="H45" s="6">
        <v>20</v>
      </c>
      <c r="I45" s="6">
        <v>15</v>
      </c>
      <c r="J45" s="6">
        <v>5</v>
      </c>
      <c r="K45" s="6">
        <v>12</v>
      </c>
      <c r="L45" s="6">
        <v>9</v>
      </c>
      <c r="M45" s="6">
        <v>16</v>
      </c>
      <c r="N45" s="5">
        <f t="shared" ref="N45:N51" si="10">SUM(E45:M45)</f>
        <v>103</v>
      </c>
    </row>
    <row r="46" spans="1:14" x14ac:dyDescent="0.4">
      <c r="A46" s="11" t="s">
        <v>50</v>
      </c>
      <c r="B46" s="46"/>
      <c r="C46" s="24" t="s">
        <v>104</v>
      </c>
      <c r="D46" s="47"/>
      <c r="E46" s="6">
        <v>14</v>
      </c>
      <c r="F46" s="6">
        <v>27</v>
      </c>
      <c r="G46" s="6">
        <v>26</v>
      </c>
      <c r="H46" s="6">
        <v>14</v>
      </c>
      <c r="I46" s="6">
        <v>32</v>
      </c>
      <c r="J46" s="6">
        <v>26</v>
      </c>
      <c r="K46" s="6">
        <v>16</v>
      </c>
      <c r="L46" s="6">
        <v>10</v>
      </c>
      <c r="M46" s="6">
        <v>55</v>
      </c>
      <c r="N46" s="5">
        <f t="shared" si="10"/>
        <v>220</v>
      </c>
    </row>
    <row r="47" spans="1:14" x14ac:dyDescent="0.4">
      <c r="A47" s="7"/>
      <c r="B47" s="46"/>
      <c r="C47" s="24" t="s">
        <v>105</v>
      </c>
      <c r="D47" s="47"/>
      <c r="E47" s="6">
        <v>47</v>
      </c>
      <c r="F47" s="6">
        <v>65</v>
      </c>
      <c r="G47" s="6">
        <v>21</v>
      </c>
      <c r="H47" s="6">
        <v>13</v>
      </c>
      <c r="I47" s="6">
        <v>10</v>
      </c>
      <c r="J47" s="6">
        <v>21</v>
      </c>
      <c r="K47" s="6">
        <v>22</v>
      </c>
      <c r="L47" s="6">
        <v>9</v>
      </c>
      <c r="M47" s="6">
        <v>45</v>
      </c>
      <c r="N47" s="5">
        <f t="shared" si="10"/>
        <v>253</v>
      </c>
    </row>
    <row r="48" spans="1:14" x14ac:dyDescent="0.4">
      <c r="A48" s="7"/>
      <c r="B48" s="46"/>
      <c r="C48" s="24" t="s">
        <v>106</v>
      </c>
      <c r="D48" s="47"/>
      <c r="E48" s="6">
        <v>1</v>
      </c>
      <c r="F48" s="6">
        <v>3</v>
      </c>
      <c r="G48" s="6">
        <v>1</v>
      </c>
      <c r="H48" s="6">
        <v>0</v>
      </c>
      <c r="I48" s="6">
        <v>0</v>
      </c>
      <c r="J48" s="6">
        <v>3</v>
      </c>
      <c r="K48" s="6">
        <v>3</v>
      </c>
      <c r="L48" s="6">
        <v>0</v>
      </c>
      <c r="M48" s="6">
        <v>0</v>
      </c>
      <c r="N48" s="5">
        <f t="shared" si="10"/>
        <v>11</v>
      </c>
    </row>
    <row r="49" spans="1:14" x14ac:dyDescent="0.4">
      <c r="A49" s="7"/>
      <c r="B49" s="46"/>
      <c r="C49" s="24" t="s">
        <v>107</v>
      </c>
      <c r="D49" s="47"/>
      <c r="E49" s="6">
        <v>0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5">
        <f t="shared" si="10"/>
        <v>2</v>
      </c>
    </row>
    <row r="50" spans="1:14" x14ac:dyDescent="0.4">
      <c r="A50" s="7"/>
      <c r="B50" s="46"/>
      <c r="C50" s="24" t="s">
        <v>108</v>
      </c>
      <c r="D50" s="47"/>
      <c r="E50" s="6">
        <v>0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5">
        <f t="shared" si="10"/>
        <v>1</v>
      </c>
    </row>
    <row r="51" spans="1:14" x14ac:dyDescent="0.4">
      <c r="A51" s="7"/>
      <c r="B51" s="46"/>
      <c r="C51" s="24" t="s">
        <v>109</v>
      </c>
      <c r="D51" s="47"/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5">
        <f t="shared" si="10"/>
        <v>2</v>
      </c>
    </row>
    <row r="52" spans="1:14" x14ac:dyDescent="0.4">
      <c r="A52" s="6" t="s">
        <v>26</v>
      </c>
      <c r="B52" s="71" t="s">
        <v>51</v>
      </c>
      <c r="C52" s="51"/>
      <c r="D52" s="52"/>
      <c r="E52" s="5">
        <f>SUM(E45:E51)</f>
        <v>72</v>
      </c>
      <c r="F52" s="5">
        <f>SUM(F45:F51)</f>
        <v>106</v>
      </c>
      <c r="G52" s="5">
        <f>SUM(G45:G51)</f>
        <v>56</v>
      </c>
      <c r="H52" s="5">
        <f>SUM(H45:H51)</f>
        <v>47</v>
      </c>
      <c r="I52" s="5">
        <f>SUM(I45:I51)</f>
        <v>57</v>
      </c>
      <c r="J52" s="5">
        <f>SUM(J45:J51)</f>
        <v>55</v>
      </c>
      <c r="K52" s="5">
        <f>SUM(K45:K51)</f>
        <v>55</v>
      </c>
      <c r="L52" s="5">
        <f>SUM(L45:L51)</f>
        <v>28</v>
      </c>
      <c r="M52" s="5">
        <f>SUM(M45:M51)</f>
        <v>116</v>
      </c>
      <c r="N52" s="5">
        <f>SUM(N45:N51)</f>
        <v>592</v>
      </c>
    </row>
    <row r="53" spans="1:14" x14ac:dyDescent="0.4">
      <c r="A53" s="77"/>
      <c r="B53" s="76"/>
      <c r="C53" s="76"/>
      <c r="D53" s="76"/>
      <c r="E53" s="76"/>
      <c r="N53" s="5"/>
    </row>
    <row r="54" spans="1:14" x14ac:dyDescent="0.4">
      <c r="A54" s="11" t="s">
        <v>48</v>
      </c>
      <c r="B54" s="17" t="s">
        <v>30</v>
      </c>
      <c r="C54" s="79" t="s">
        <v>52</v>
      </c>
      <c r="D54" s="52"/>
      <c r="E54" s="6">
        <v>16</v>
      </c>
      <c r="F54" s="6">
        <v>20</v>
      </c>
      <c r="G54" s="6">
        <v>10</v>
      </c>
      <c r="H54" s="6">
        <v>14</v>
      </c>
      <c r="I54" s="6">
        <v>18</v>
      </c>
      <c r="J54" s="6">
        <v>8</v>
      </c>
      <c r="K54" s="6">
        <v>14</v>
      </c>
      <c r="L54" s="6">
        <v>16</v>
      </c>
      <c r="M54" s="6">
        <v>13</v>
      </c>
      <c r="N54" s="5">
        <f t="shared" ref="N54:N60" si="11">SUM(E54:M54)</f>
        <v>129</v>
      </c>
    </row>
    <row r="55" spans="1:14" x14ac:dyDescent="0.4">
      <c r="A55" s="11" t="s">
        <v>50</v>
      </c>
      <c r="B55" s="46"/>
      <c r="C55" s="24" t="s">
        <v>110</v>
      </c>
      <c r="D55" s="47"/>
      <c r="E55" s="6">
        <v>28</v>
      </c>
      <c r="F55" s="6">
        <v>20</v>
      </c>
      <c r="G55" s="6">
        <v>26</v>
      </c>
      <c r="H55" s="6">
        <v>33</v>
      </c>
      <c r="I55" s="6">
        <v>34</v>
      </c>
      <c r="J55" s="6">
        <v>27</v>
      </c>
      <c r="K55" s="6">
        <v>18</v>
      </c>
      <c r="L55" s="6">
        <v>29</v>
      </c>
      <c r="M55" s="6">
        <v>19</v>
      </c>
      <c r="N55" s="5">
        <f t="shared" si="11"/>
        <v>234</v>
      </c>
    </row>
    <row r="56" spans="1:14" x14ac:dyDescent="0.4">
      <c r="A56" s="7"/>
      <c r="B56" s="46"/>
      <c r="C56" s="24" t="s">
        <v>111</v>
      </c>
      <c r="D56" s="47"/>
      <c r="E56" s="6">
        <v>21</v>
      </c>
      <c r="F56" s="6">
        <v>11</v>
      </c>
      <c r="G56" s="6">
        <v>9</v>
      </c>
      <c r="H56" s="6">
        <v>9</v>
      </c>
      <c r="I56" s="6">
        <v>4</v>
      </c>
      <c r="J56" s="6">
        <v>16</v>
      </c>
      <c r="K56" s="6">
        <v>9</v>
      </c>
      <c r="L56" s="6">
        <v>10</v>
      </c>
      <c r="M56" s="6">
        <v>3</v>
      </c>
      <c r="N56" s="5">
        <f t="shared" si="11"/>
        <v>92</v>
      </c>
    </row>
    <row r="57" spans="1:14" x14ac:dyDescent="0.4">
      <c r="A57" s="7"/>
      <c r="B57" s="46"/>
      <c r="C57" s="24" t="s">
        <v>112</v>
      </c>
      <c r="D57" s="47"/>
      <c r="E57" s="6">
        <v>0</v>
      </c>
      <c r="F57" s="6">
        <v>1</v>
      </c>
      <c r="G57" s="6">
        <v>0</v>
      </c>
      <c r="H57" s="6">
        <v>0</v>
      </c>
      <c r="I57" s="6">
        <v>0</v>
      </c>
      <c r="J57" s="6">
        <v>1</v>
      </c>
      <c r="K57" s="6">
        <v>0</v>
      </c>
      <c r="L57" s="6">
        <v>1</v>
      </c>
      <c r="M57" s="6">
        <v>1</v>
      </c>
      <c r="N57" s="5">
        <f t="shared" si="11"/>
        <v>4</v>
      </c>
    </row>
    <row r="58" spans="1:14" x14ac:dyDescent="0.4">
      <c r="A58" s="7"/>
      <c r="B58" s="46"/>
      <c r="C58" s="24" t="s">
        <v>113</v>
      </c>
      <c r="D58" s="47"/>
      <c r="E58" s="6">
        <v>0</v>
      </c>
      <c r="F58" s="6">
        <v>1</v>
      </c>
      <c r="G58" s="6">
        <v>0</v>
      </c>
      <c r="H58" s="6">
        <v>1</v>
      </c>
      <c r="I58" s="6">
        <v>1</v>
      </c>
      <c r="J58" s="6">
        <v>0</v>
      </c>
      <c r="K58" s="6">
        <v>2</v>
      </c>
      <c r="L58" s="6">
        <v>1</v>
      </c>
      <c r="M58" s="6">
        <v>0</v>
      </c>
      <c r="N58" s="5">
        <f t="shared" si="11"/>
        <v>6</v>
      </c>
    </row>
    <row r="59" spans="1:14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5">
        <f t="shared" si="11"/>
        <v>0</v>
      </c>
    </row>
    <row r="60" spans="1:14" ht="13.15" customHeight="1" x14ac:dyDescent="0.4">
      <c r="A60" s="7"/>
      <c r="B60" s="46"/>
      <c r="C60" s="24" t="s">
        <v>115</v>
      </c>
      <c r="D60" s="47"/>
      <c r="E60" s="6">
        <v>0</v>
      </c>
      <c r="F60" s="6">
        <v>1</v>
      </c>
      <c r="G60" s="6">
        <v>0</v>
      </c>
      <c r="H60" s="6">
        <v>0</v>
      </c>
      <c r="I60" s="6">
        <v>0</v>
      </c>
      <c r="J60" s="6">
        <v>0</v>
      </c>
      <c r="K60" s="6">
        <v>1</v>
      </c>
      <c r="L60" s="6">
        <v>0</v>
      </c>
      <c r="M60" s="6">
        <v>1</v>
      </c>
      <c r="N60" s="5">
        <f t="shared" si="11"/>
        <v>3</v>
      </c>
    </row>
    <row r="61" spans="1:14" x14ac:dyDescent="0.4">
      <c r="A61" s="6" t="s">
        <v>26</v>
      </c>
      <c r="B61" s="71" t="s">
        <v>51</v>
      </c>
      <c r="C61" s="51"/>
      <c r="D61" s="52"/>
      <c r="E61" s="5">
        <f>SUM(E54:E60)</f>
        <v>65</v>
      </c>
      <c r="F61" s="5">
        <f>SUM(F54:F60)</f>
        <v>54</v>
      </c>
      <c r="G61" s="5">
        <f>SUM(G54:G60)</f>
        <v>45</v>
      </c>
      <c r="H61" s="5">
        <f>SUM(H54:H60)</f>
        <v>57</v>
      </c>
      <c r="I61" s="5">
        <f>SUM(I54:I60)</f>
        <v>57</v>
      </c>
      <c r="J61" s="5">
        <f>SUM(J54:J60)</f>
        <v>52</v>
      </c>
      <c r="K61" s="5">
        <f>SUM(K54:K60)</f>
        <v>44</v>
      </c>
      <c r="L61" s="5">
        <f>SUM(L54:L60)</f>
        <v>57</v>
      </c>
      <c r="M61" s="5">
        <f>SUM(M54:M60)</f>
        <v>37</v>
      </c>
      <c r="N61" s="5">
        <f>SUM(N54:N60)</f>
        <v>468</v>
      </c>
    </row>
    <row r="62" spans="1:14" x14ac:dyDescent="0.4">
      <c r="A62" s="77"/>
      <c r="B62" s="76"/>
      <c r="C62" s="76"/>
      <c r="D62" s="76"/>
      <c r="E62" s="76"/>
    </row>
    <row r="63" spans="1:14" x14ac:dyDescent="0.4">
      <c r="A63" s="11" t="s">
        <v>48</v>
      </c>
      <c r="B63" s="17" t="s">
        <v>32</v>
      </c>
      <c r="C63" s="79" t="s">
        <v>53</v>
      </c>
      <c r="D63" s="52"/>
      <c r="E63" s="6">
        <v>0</v>
      </c>
      <c r="F63" s="6">
        <v>7</v>
      </c>
      <c r="G63" s="6">
        <v>1</v>
      </c>
      <c r="H63" s="6">
        <v>4</v>
      </c>
      <c r="I63" s="6">
        <v>4</v>
      </c>
      <c r="J63" s="6">
        <v>0</v>
      </c>
      <c r="K63" s="6">
        <v>9</v>
      </c>
      <c r="L63" s="6">
        <v>4</v>
      </c>
      <c r="M63" s="6">
        <v>3</v>
      </c>
      <c r="N63" s="5">
        <f t="shared" ref="N63:N69" si="12">SUM(E63:M63)</f>
        <v>32</v>
      </c>
    </row>
    <row r="64" spans="1:14" x14ac:dyDescent="0.4">
      <c r="A64" s="11" t="s">
        <v>50</v>
      </c>
      <c r="B64" s="46"/>
      <c r="C64" s="24" t="s">
        <v>116</v>
      </c>
      <c r="D64" s="47"/>
      <c r="E64" s="6">
        <v>1</v>
      </c>
      <c r="F64" s="6">
        <v>0</v>
      </c>
      <c r="G64" s="6">
        <v>0</v>
      </c>
      <c r="H64" s="6">
        <v>0</v>
      </c>
      <c r="I64" s="6">
        <v>1</v>
      </c>
      <c r="J64" s="6">
        <v>3</v>
      </c>
      <c r="K64" s="6">
        <v>0</v>
      </c>
      <c r="L64" s="6">
        <v>2</v>
      </c>
      <c r="M64" s="6">
        <v>2</v>
      </c>
      <c r="N64" s="5">
        <f t="shared" si="12"/>
        <v>9</v>
      </c>
    </row>
    <row r="65" spans="1:14" x14ac:dyDescent="0.4">
      <c r="A65" s="7"/>
      <c r="B65" s="46"/>
      <c r="C65" s="24" t="s">
        <v>117</v>
      </c>
      <c r="D65" s="47"/>
      <c r="E65" s="6">
        <v>5</v>
      </c>
      <c r="F65" s="6">
        <v>8</v>
      </c>
      <c r="G65" s="6">
        <v>2</v>
      </c>
      <c r="H65" s="6">
        <v>6</v>
      </c>
      <c r="I65" s="6">
        <v>5</v>
      </c>
      <c r="J65" s="6">
        <v>7</v>
      </c>
      <c r="K65" s="6">
        <v>8</v>
      </c>
      <c r="L65" s="6">
        <v>1</v>
      </c>
      <c r="M65" s="6">
        <v>2</v>
      </c>
      <c r="N65" s="5">
        <f t="shared" si="12"/>
        <v>44</v>
      </c>
    </row>
    <row r="66" spans="1:14" x14ac:dyDescent="0.4">
      <c r="A66" s="7"/>
      <c r="B66" s="46"/>
      <c r="C66" s="24" t="s">
        <v>118</v>
      </c>
      <c r="D66" s="47"/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1</v>
      </c>
      <c r="K66" s="6">
        <v>1</v>
      </c>
      <c r="L66" s="6">
        <v>1</v>
      </c>
      <c r="M66" s="6">
        <v>0</v>
      </c>
      <c r="N66" s="5">
        <f t="shared" si="12"/>
        <v>4</v>
      </c>
    </row>
    <row r="67" spans="1:14" x14ac:dyDescent="0.4">
      <c r="A67" s="7"/>
      <c r="B67" s="46"/>
      <c r="C67" s="24" t="s">
        <v>119</v>
      </c>
      <c r="D67" s="47"/>
      <c r="E67" s="6">
        <v>0</v>
      </c>
      <c r="F67" s="6">
        <v>1</v>
      </c>
      <c r="G67" s="6">
        <v>0</v>
      </c>
      <c r="H67" s="6">
        <v>1</v>
      </c>
      <c r="I67" s="6">
        <v>1</v>
      </c>
      <c r="J67" s="6">
        <v>0</v>
      </c>
      <c r="K67" s="6">
        <v>1</v>
      </c>
      <c r="L67" s="6">
        <v>2</v>
      </c>
      <c r="M67" s="6">
        <v>2</v>
      </c>
      <c r="N67" s="5">
        <f t="shared" si="12"/>
        <v>8</v>
      </c>
    </row>
    <row r="68" spans="1:14" ht="13.15" customHeight="1" x14ac:dyDescent="0.4">
      <c r="A68" s="7"/>
      <c r="B68" s="46"/>
      <c r="C68" s="24" t="s">
        <v>120</v>
      </c>
      <c r="D68" s="47"/>
      <c r="E68" s="6">
        <v>3</v>
      </c>
      <c r="F68" s="6">
        <v>3</v>
      </c>
      <c r="G68" s="6">
        <v>0</v>
      </c>
      <c r="H68" s="6">
        <v>0</v>
      </c>
      <c r="I68" s="6">
        <v>1</v>
      </c>
      <c r="J68" s="6">
        <v>0</v>
      </c>
      <c r="K68" s="6">
        <v>8</v>
      </c>
      <c r="L68" s="6">
        <v>1</v>
      </c>
      <c r="M68" s="6">
        <v>5</v>
      </c>
      <c r="N68" s="5">
        <f t="shared" si="12"/>
        <v>21</v>
      </c>
    </row>
    <row r="69" spans="1:14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5">
        <f t="shared" si="12"/>
        <v>0</v>
      </c>
    </row>
    <row r="70" spans="1:14" x14ac:dyDescent="0.4">
      <c r="A70" s="6" t="s">
        <v>26</v>
      </c>
      <c r="B70" s="71" t="s">
        <v>51</v>
      </c>
      <c r="C70" s="51"/>
      <c r="D70" s="52"/>
      <c r="E70" s="5">
        <f>SUM(E63:E69)</f>
        <v>9</v>
      </c>
      <c r="F70" s="5">
        <f>SUM(F63:F69)</f>
        <v>19</v>
      </c>
      <c r="G70" s="5">
        <f>SUM(G63:G69)</f>
        <v>3</v>
      </c>
      <c r="H70" s="5">
        <f>SUM(H63:H69)</f>
        <v>11</v>
      </c>
      <c r="I70" s="5">
        <f>SUM(I63:I69)</f>
        <v>13</v>
      </c>
      <c r="J70" s="5">
        <f>SUM(J63:J69)</f>
        <v>11</v>
      </c>
      <c r="K70" s="5">
        <f>SUM(K63:K69)</f>
        <v>27</v>
      </c>
      <c r="L70" s="5">
        <f>SUM(L63:L69)</f>
        <v>11</v>
      </c>
      <c r="M70" s="5">
        <f>SUM(M63:M69)</f>
        <v>14</v>
      </c>
      <c r="N70" s="5">
        <f>SUM(N63:N69)</f>
        <v>118</v>
      </c>
    </row>
    <row r="71" spans="1:14" x14ac:dyDescent="0.4">
      <c r="A71" s="77"/>
      <c r="B71" s="76"/>
      <c r="C71" s="76"/>
      <c r="D71" s="76"/>
      <c r="E71" s="76"/>
    </row>
    <row r="72" spans="1:14" x14ac:dyDescent="0.4">
      <c r="A72" s="11" t="s">
        <v>48</v>
      </c>
      <c r="B72" s="17" t="s">
        <v>34</v>
      </c>
      <c r="C72" s="79" t="s">
        <v>54</v>
      </c>
      <c r="D72" s="52"/>
      <c r="E72" s="6">
        <v>0</v>
      </c>
      <c r="F72" s="6">
        <v>0</v>
      </c>
      <c r="G72" s="6">
        <v>3</v>
      </c>
      <c r="H72" s="6">
        <v>1</v>
      </c>
      <c r="I72" s="6">
        <v>0</v>
      </c>
      <c r="J72" s="6">
        <v>3</v>
      </c>
      <c r="K72" s="6">
        <v>2</v>
      </c>
      <c r="L72" s="6">
        <v>0</v>
      </c>
      <c r="M72" s="6">
        <v>1</v>
      </c>
      <c r="N72" s="5">
        <f t="shared" ref="N72:N78" si="13">SUM(E72:M72)</f>
        <v>10</v>
      </c>
    </row>
    <row r="73" spans="1:14" x14ac:dyDescent="0.4">
      <c r="A73" s="11" t="s">
        <v>50</v>
      </c>
      <c r="B73" s="46"/>
      <c r="C73" s="24" t="s">
        <v>122</v>
      </c>
      <c r="D73" s="47"/>
      <c r="E73" s="6">
        <v>4</v>
      </c>
      <c r="F73" s="6">
        <v>1</v>
      </c>
      <c r="G73" s="6">
        <v>1</v>
      </c>
      <c r="H73" s="6">
        <v>2</v>
      </c>
      <c r="I73" s="6">
        <v>6</v>
      </c>
      <c r="J73" s="6">
        <v>5</v>
      </c>
      <c r="K73" s="6">
        <v>7</v>
      </c>
      <c r="L73" s="6">
        <v>6</v>
      </c>
      <c r="M73" s="6">
        <v>2</v>
      </c>
      <c r="N73" s="5">
        <f t="shared" si="13"/>
        <v>34</v>
      </c>
    </row>
    <row r="74" spans="1:14" x14ac:dyDescent="0.4">
      <c r="A74" s="7"/>
      <c r="B74" s="46"/>
      <c r="C74" s="24" t="s">
        <v>123</v>
      </c>
      <c r="D74" s="47"/>
      <c r="E74" s="6">
        <v>1</v>
      </c>
      <c r="F74" s="6">
        <v>2</v>
      </c>
      <c r="G74" s="6">
        <v>2</v>
      </c>
      <c r="H74" s="6">
        <v>1</v>
      </c>
      <c r="I74" s="6">
        <v>0</v>
      </c>
      <c r="J74" s="6">
        <v>0</v>
      </c>
      <c r="K74" s="6">
        <v>0</v>
      </c>
      <c r="L74" s="6">
        <v>4</v>
      </c>
      <c r="M74" s="6">
        <v>0</v>
      </c>
      <c r="N74" s="5">
        <f t="shared" si="13"/>
        <v>10</v>
      </c>
    </row>
    <row r="75" spans="1:14" x14ac:dyDescent="0.4">
      <c r="A75" s="7"/>
      <c r="B75" s="46"/>
      <c r="C75" s="24" t="s">
        <v>124</v>
      </c>
      <c r="D75" s="47"/>
      <c r="E75" s="6">
        <v>3</v>
      </c>
      <c r="F75" s="6">
        <v>1</v>
      </c>
      <c r="G75" s="6">
        <v>0</v>
      </c>
      <c r="H75" s="6">
        <v>0</v>
      </c>
      <c r="I75" s="6">
        <v>0</v>
      </c>
      <c r="J75" s="6">
        <v>7</v>
      </c>
      <c r="K75" s="6">
        <v>0</v>
      </c>
      <c r="L75" s="6">
        <v>0</v>
      </c>
      <c r="M75" s="6">
        <v>0</v>
      </c>
      <c r="N75" s="5">
        <f t="shared" si="13"/>
        <v>11</v>
      </c>
    </row>
    <row r="76" spans="1:14" ht="13.15" customHeight="1" x14ac:dyDescent="0.4">
      <c r="A76" s="7"/>
      <c r="B76" s="46"/>
      <c r="C76" s="24" t="s">
        <v>125</v>
      </c>
      <c r="D76" s="47"/>
      <c r="E76" s="6">
        <v>0</v>
      </c>
      <c r="F76" s="6">
        <v>0</v>
      </c>
      <c r="G76" s="6">
        <v>1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5">
        <f t="shared" si="13"/>
        <v>2</v>
      </c>
    </row>
    <row r="77" spans="1:14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5">
        <f t="shared" si="13"/>
        <v>0</v>
      </c>
    </row>
    <row r="78" spans="1:14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5">
        <f t="shared" si="13"/>
        <v>0</v>
      </c>
    </row>
    <row r="79" spans="1:14" x14ac:dyDescent="0.4">
      <c r="A79" s="6" t="s">
        <v>26</v>
      </c>
      <c r="B79" s="71" t="s">
        <v>51</v>
      </c>
      <c r="C79" s="51"/>
      <c r="D79" s="52"/>
      <c r="E79" s="5">
        <f>SUM(E72:E78)</f>
        <v>8</v>
      </c>
      <c r="F79" s="5">
        <f>SUM(F72:F78)</f>
        <v>4</v>
      </c>
      <c r="G79" s="5">
        <f>SUM(G72:G78)</f>
        <v>7</v>
      </c>
      <c r="H79" s="5">
        <f>SUM(H72:H78)</f>
        <v>4</v>
      </c>
      <c r="I79" s="5">
        <f>SUM(I72:I78)</f>
        <v>6</v>
      </c>
      <c r="J79" s="5">
        <f>SUM(J72:J78)</f>
        <v>15</v>
      </c>
      <c r="K79" s="5">
        <f>SUM(K72:K78)</f>
        <v>10</v>
      </c>
      <c r="L79" s="5">
        <f>SUM(L72:L78)</f>
        <v>10</v>
      </c>
      <c r="M79" s="5">
        <f>SUM(M72:M78)</f>
        <v>3</v>
      </c>
      <c r="N79" s="5">
        <f>SUM(N72:N78)</f>
        <v>67</v>
      </c>
    </row>
    <row r="80" spans="1:14" x14ac:dyDescent="0.4">
      <c r="A80" s="77"/>
      <c r="B80" s="76"/>
      <c r="C80" s="76"/>
      <c r="D80" s="76"/>
      <c r="E80" s="76"/>
    </row>
    <row r="81" spans="1:14" x14ac:dyDescent="0.4">
      <c r="A81" s="11" t="s">
        <v>48</v>
      </c>
      <c r="B81" s="17" t="s">
        <v>55</v>
      </c>
      <c r="C81" s="79" t="s">
        <v>56</v>
      </c>
      <c r="D81" s="52"/>
      <c r="E81" s="6">
        <v>2</v>
      </c>
      <c r="F81" s="6">
        <v>0</v>
      </c>
      <c r="G81" s="6">
        <v>0</v>
      </c>
      <c r="H81" s="6">
        <v>0</v>
      </c>
      <c r="I81" s="6">
        <v>1</v>
      </c>
      <c r="J81" s="6">
        <v>0</v>
      </c>
      <c r="K81" s="6">
        <v>0</v>
      </c>
      <c r="L81" s="6">
        <v>1</v>
      </c>
      <c r="M81" s="6">
        <v>1</v>
      </c>
      <c r="N81" s="5">
        <f t="shared" ref="N81:N87" si="14">SUM(E81:M81)</f>
        <v>5</v>
      </c>
    </row>
    <row r="82" spans="1:14" x14ac:dyDescent="0.4">
      <c r="A82" s="11" t="s">
        <v>50</v>
      </c>
      <c r="B82" s="46"/>
      <c r="C82" s="24" t="s">
        <v>128</v>
      </c>
      <c r="D82" s="47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5">
        <f t="shared" si="14"/>
        <v>0</v>
      </c>
    </row>
    <row r="83" spans="1:14" x14ac:dyDescent="0.4">
      <c r="A83" s="7"/>
      <c r="B83" s="46"/>
      <c r="C83" s="24" t="s">
        <v>129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5">
        <f t="shared" si="14"/>
        <v>0</v>
      </c>
    </row>
    <row r="84" spans="1:14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5">
        <f t="shared" si="14"/>
        <v>0</v>
      </c>
    </row>
    <row r="85" spans="1:14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5">
        <f t="shared" si="14"/>
        <v>1</v>
      </c>
    </row>
    <row r="86" spans="1:14" x14ac:dyDescent="0.4">
      <c r="A86" s="7"/>
      <c r="B86" s="46"/>
      <c r="C86" s="24" t="s">
        <v>132</v>
      </c>
      <c r="D86" s="47"/>
      <c r="E86" s="6">
        <v>1</v>
      </c>
      <c r="F86" s="6">
        <v>0</v>
      </c>
      <c r="G86" s="6">
        <v>0</v>
      </c>
      <c r="H86" s="6">
        <v>2</v>
      </c>
      <c r="I86" s="6">
        <v>1</v>
      </c>
      <c r="J86" s="6">
        <v>2</v>
      </c>
      <c r="K86" s="6">
        <v>2</v>
      </c>
      <c r="L86" s="6">
        <v>4</v>
      </c>
      <c r="M86" s="6">
        <v>1</v>
      </c>
      <c r="N86" s="5">
        <f t="shared" si="14"/>
        <v>13</v>
      </c>
    </row>
    <row r="87" spans="1:14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5">
        <f t="shared" si="14"/>
        <v>0</v>
      </c>
    </row>
    <row r="88" spans="1:14" x14ac:dyDescent="0.4">
      <c r="A88" s="6" t="s">
        <v>26</v>
      </c>
      <c r="B88" s="71" t="s">
        <v>51</v>
      </c>
      <c r="C88" s="51"/>
      <c r="D88" s="52"/>
      <c r="E88" s="5">
        <f>SUM(E81:E87)</f>
        <v>3</v>
      </c>
      <c r="F88" s="5">
        <f>SUM(F81:F87)</f>
        <v>0</v>
      </c>
      <c r="G88" s="5">
        <f>SUM(G81:G87)</f>
        <v>0</v>
      </c>
      <c r="H88" s="5">
        <f>SUM(H81:H87)</f>
        <v>2</v>
      </c>
      <c r="I88" s="5">
        <f>SUM(I81:I87)</f>
        <v>2</v>
      </c>
      <c r="J88" s="5">
        <f>SUM(J81:J87)</f>
        <v>2</v>
      </c>
      <c r="K88" s="5">
        <f>SUM(K81:K87)</f>
        <v>2</v>
      </c>
      <c r="L88" s="5">
        <f>SUM(L81:L87)</f>
        <v>6</v>
      </c>
      <c r="M88" s="5">
        <f>SUM(M81:M87)</f>
        <v>2</v>
      </c>
      <c r="N88" s="5">
        <f>SUM(N81:N87)</f>
        <v>19</v>
      </c>
    </row>
    <row r="89" spans="1:14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</row>
    <row r="90" spans="1:14" x14ac:dyDescent="0.4">
      <c r="A90" s="11" t="s">
        <v>48</v>
      </c>
      <c r="B90" s="17" t="s">
        <v>57</v>
      </c>
      <c r="C90" s="79" t="s">
        <v>58</v>
      </c>
      <c r="D90" s="52"/>
      <c r="E90" s="6">
        <v>0</v>
      </c>
      <c r="F90" s="6">
        <v>1</v>
      </c>
      <c r="G90" s="6">
        <v>3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5">
        <f t="shared" ref="N90" si="15">SUM(E90:M90)</f>
        <v>5</v>
      </c>
    </row>
    <row r="91" spans="1:14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1</v>
      </c>
      <c r="G91" s="5">
        <f>SUM(G90:G90)</f>
        <v>3</v>
      </c>
      <c r="H91" s="5">
        <f>SUM(H90:H90)</f>
        <v>1</v>
      </c>
      <c r="I91" s="5">
        <f>SUM(I90:I90)</f>
        <v>0</v>
      </c>
      <c r="J91" s="5">
        <f>SUM(J90:J90)</f>
        <v>0</v>
      </c>
      <c r="K91" s="5">
        <f>SUM(K90:K90)</f>
        <v>0</v>
      </c>
      <c r="L91" s="5">
        <f>SUM(L90:L90)</f>
        <v>0</v>
      </c>
      <c r="M91" s="5">
        <f>SUM(M90:M90)</f>
        <v>0</v>
      </c>
      <c r="N91" s="5">
        <f>SUM(N90:N90)</f>
        <v>5</v>
      </c>
    </row>
    <row r="92" spans="1:14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5"/>
    </row>
    <row r="93" spans="1:14" x14ac:dyDescent="0.4">
      <c r="A93" s="11" t="s">
        <v>48</v>
      </c>
      <c r="B93" s="17" t="s">
        <v>59</v>
      </c>
      <c r="C93" s="79" t="s">
        <v>60</v>
      </c>
      <c r="D93" s="5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5">
        <f t="shared" ref="N93:N96" si="16">SUM(E93:M93)</f>
        <v>0</v>
      </c>
    </row>
    <row r="94" spans="1:14" x14ac:dyDescent="0.4">
      <c r="A94" s="11" t="s">
        <v>50</v>
      </c>
      <c r="B94" s="46"/>
      <c r="C94" s="24" t="s">
        <v>134</v>
      </c>
      <c r="D94" s="47"/>
      <c r="E94" s="6">
        <v>0</v>
      </c>
      <c r="F94" s="6">
        <v>1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5">
        <f t="shared" si="16"/>
        <v>2</v>
      </c>
    </row>
    <row r="95" spans="1:14" x14ac:dyDescent="0.4">
      <c r="A95" s="7"/>
      <c r="B95" s="46"/>
      <c r="C95" s="24" t="s">
        <v>135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5">
        <f t="shared" si="16"/>
        <v>0</v>
      </c>
    </row>
    <row r="96" spans="1:14" x14ac:dyDescent="0.4">
      <c r="A96" s="7"/>
      <c r="B96" s="46"/>
      <c r="C96" s="24" t="s">
        <v>136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5">
        <f t="shared" si="16"/>
        <v>0</v>
      </c>
    </row>
    <row r="97" spans="1:14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1</v>
      </c>
      <c r="G97" s="5">
        <f>SUM(G93:G96)</f>
        <v>0</v>
      </c>
      <c r="H97" s="5">
        <f>SUM(H93:H96)</f>
        <v>0</v>
      </c>
      <c r="I97" s="5">
        <f>SUM(I93:I96)</f>
        <v>0</v>
      </c>
      <c r="J97" s="5">
        <f>SUM(J93:J96)</f>
        <v>0</v>
      </c>
      <c r="K97" s="5">
        <f>SUM(K93:K96)</f>
        <v>1</v>
      </c>
      <c r="L97" s="5">
        <f>SUM(L93:L96)</f>
        <v>0</v>
      </c>
      <c r="M97" s="5">
        <f>SUM(M93:M96)</f>
        <v>0</v>
      </c>
      <c r="N97" s="5">
        <f>SUM(N93:N96)</f>
        <v>2</v>
      </c>
    </row>
    <row r="98" spans="1:14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</row>
    <row r="99" spans="1:14" x14ac:dyDescent="0.4">
      <c r="A99" s="11" t="s">
        <v>48</v>
      </c>
      <c r="B99" s="17" t="s">
        <v>61</v>
      </c>
      <c r="C99" s="79" t="s">
        <v>62</v>
      </c>
      <c r="D99" s="52"/>
      <c r="E99" s="6">
        <v>1</v>
      </c>
      <c r="F99" s="6">
        <v>1</v>
      </c>
      <c r="G99" s="6">
        <v>1</v>
      </c>
      <c r="H99" s="6">
        <v>2</v>
      </c>
      <c r="I99" s="6">
        <v>0</v>
      </c>
      <c r="J99" s="6">
        <v>2</v>
      </c>
      <c r="K99" s="6">
        <v>1</v>
      </c>
      <c r="L99" s="6">
        <v>1</v>
      </c>
      <c r="M99" s="6">
        <v>1</v>
      </c>
      <c r="N99" s="5">
        <f t="shared" ref="N99:N105" si="17">SUM(E99:M99)</f>
        <v>10</v>
      </c>
    </row>
    <row r="100" spans="1:14" ht="13.15" customHeight="1" x14ac:dyDescent="0.4">
      <c r="A100" s="11" t="s">
        <v>50</v>
      </c>
      <c r="B100" s="46"/>
      <c r="C100" s="24" t="s">
        <v>137</v>
      </c>
      <c r="D100" s="47"/>
      <c r="E100" s="6">
        <v>4</v>
      </c>
      <c r="F100" s="6">
        <v>6</v>
      </c>
      <c r="G100" s="6">
        <v>9</v>
      </c>
      <c r="H100" s="6">
        <v>19</v>
      </c>
      <c r="I100" s="6">
        <v>19</v>
      </c>
      <c r="J100" s="6">
        <v>5</v>
      </c>
      <c r="K100" s="6">
        <v>12</v>
      </c>
      <c r="L100" s="6">
        <v>5</v>
      </c>
      <c r="M100" s="6">
        <v>0</v>
      </c>
      <c r="N100" s="5">
        <f t="shared" si="17"/>
        <v>79</v>
      </c>
    </row>
    <row r="101" spans="1:14" x14ac:dyDescent="0.4">
      <c r="A101" s="7"/>
      <c r="B101" s="46"/>
      <c r="C101" s="24" t="s">
        <v>138</v>
      </c>
      <c r="D101" s="47"/>
      <c r="E101" s="6">
        <v>0</v>
      </c>
      <c r="F101" s="6">
        <v>0</v>
      </c>
      <c r="G101" s="6">
        <v>0</v>
      </c>
      <c r="H101" s="6">
        <v>1</v>
      </c>
      <c r="I101" s="6">
        <v>0</v>
      </c>
      <c r="J101" s="6">
        <v>2</v>
      </c>
      <c r="K101" s="6">
        <v>0</v>
      </c>
      <c r="L101" s="6">
        <v>0</v>
      </c>
      <c r="M101" s="6">
        <v>0</v>
      </c>
      <c r="N101" s="5">
        <f t="shared" si="17"/>
        <v>3</v>
      </c>
    </row>
    <row r="102" spans="1:14" x14ac:dyDescent="0.4">
      <c r="A102" s="7"/>
      <c r="B102" s="46"/>
      <c r="C102" s="24" t="s">
        <v>139</v>
      </c>
      <c r="D102" s="47"/>
      <c r="E102" s="6">
        <v>0</v>
      </c>
      <c r="F102" s="6">
        <v>0</v>
      </c>
      <c r="G102" s="6">
        <v>0</v>
      </c>
      <c r="H102" s="6">
        <v>1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5">
        <f t="shared" si="17"/>
        <v>1</v>
      </c>
    </row>
    <row r="103" spans="1:14" x14ac:dyDescent="0.4">
      <c r="A103" s="7"/>
      <c r="B103" s="46"/>
      <c r="C103" s="24" t="s">
        <v>140</v>
      </c>
      <c r="D103" s="47"/>
      <c r="E103" s="6">
        <v>1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5">
        <f t="shared" si="17"/>
        <v>1</v>
      </c>
    </row>
    <row r="104" spans="1:14" x14ac:dyDescent="0.4">
      <c r="A104" s="7"/>
      <c r="B104" s="46"/>
      <c r="C104" s="24" t="s">
        <v>141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5">
        <f t="shared" si="17"/>
        <v>0</v>
      </c>
    </row>
    <row r="105" spans="1:14" x14ac:dyDescent="0.4">
      <c r="A105" s="7"/>
      <c r="B105" s="46"/>
      <c r="C105" s="24" t="s">
        <v>142</v>
      </c>
      <c r="D105" s="47"/>
      <c r="E105" s="6">
        <v>1</v>
      </c>
      <c r="F105" s="6">
        <v>0</v>
      </c>
      <c r="G105" s="6">
        <v>0</v>
      </c>
      <c r="H105" s="6">
        <v>1</v>
      </c>
      <c r="I105" s="6">
        <v>2</v>
      </c>
      <c r="J105" s="6">
        <v>0</v>
      </c>
      <c r="K105" s="6">
        <v>3</v>
      </c>
      <c r="L105" s="6">
        <v>0</v>
      </c>
      <c r="M105" s="6">
        <v>2</v>
      </c>
      <c r="N105" s="5">
        <f t="shared" si="17"/>
        <v>9</v>
      </c>
    </row>
    <row r="106" spans="1:14" x14ac:dyDescent="0.4">
      <c r="A106" s="6" t="s">
        <v>26</v>
      </c>
      <c r="B106" s="71" t="s">
        <v>51</v>
      </c>
      <c r="C106" s="80"/>
      <c r="D106" s="81"/>
      <c r="E106" s="5">
        <f>SUM(E99:E105)</f>
        <v>7</v>
      </c>
      <c r="F106" s="5">
        <f>SUM(F99:F105)</f>
        <v>7</v>
      </c>
      <c r="G106" s="5">
        <f>SUM(G99:G105)</f>
        <v>10</v>
      </c>
      <c r="H106" s="5">
        <f>SUM(H99:H105)</f>
        <v>24</v>
      </c>
      <c r="I106" s="5">
        <f>SUM(I99:I105)</f>
        <v>21</v>
      </c>
      <c r="J106" s="5">
        <f>SUM(J99:J105)</f>
        <v>9</v>
      </c>
      <c r="K106" s="5">
        <f>SUM(K99:K105)</f>
        <v>16</v>
      </c>
      <c r="L106" s="5">
        <f>SUM(L99:L105)</f>
        <v>6</v>
      </c>
      <c r="M106" s="5">
        <f>SUM(M99:M105)</f>
        <v>3</v>
      </c>
      <c r="N106" s="5">
        <f>SUM(N99:N105)</f>
        <v>103</v>
      </c>
    </row>
    <row r="107" spans="1:14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</row>
    <row r="108" spans="1:14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5">
        <f t="shared" ref="N108:N109" si="18">SUM(E108:M108)</f>
        <v>0</v>
      </c>
    </row>
    <row r="109" spans="1:14" x14ac:dyDescent="0.4">
      <c r="A109" s="11" t="s">
        <v>50</v>
      </c>
      <c r="B109" s="17"/>
      <c r="C109" s="24" t="s">
        <v>143</v>
      </c>
      <c r="D109" s="45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5">
        <f t="shared" si="18"/>
        <v>0</v>
      </c>
    </row>
    <row r="110" spans="1:14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</row>
    <row r="111" spans="1:14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5"/>
    </row>
    <row r="112" spans="1:14" x14ac:dyDescent="0.4">
      <c r="A112" s="11" t="s">
        <v>48</v>
      </c>
      <c r="B112" s="44" t="s">
        <v>65</v>
      </c>
      <c r="C112" s="84" t="s">
        <v>66</v>
      </c>
      <c r="D112" s="60"/>
      <c r="E112" s="6">
        <v>0</v>
      </c>
      <c r="F112" s="6">
        <v>0</v>
      </c>
      <c r="G112" s="6">
        <v>0</v>
      </c>
      <c r="H112" s="6"/>
      <c r="I112" s="6"/>
      <c r="J112" s="6"/>
      <c r="K112" s="6"/>
      <c r="L112" s="6">
        <v>4</v>
      </c>
      <c r="M112" s="6"/>
      <c r="N112" s="5">
        <f t="shared" ref="N112:N118" si="19">SUM(E112:M112)</f>
        <v>4</v>
      </c>
    </row>
    <row r="113" spans="1:14" x14ac:dyDescent="0.4">
      <c r="A113" s="48" t="s">
        <v>50</v>
      </c>
      <c r="B113" s="46"/>
      <c r="C113" s="24" t="s">
        <v>144</v>
      </c>
      <c r="D113" s="47"/>
      <c r="E113" s="6">
        <v>0</v>
      </c>
      <c r="F113" s="6">
        <v>0</v>
      </c>
      <c r="G113" s="6">
        <v>0</v>
      </c>
      <c r="H113" s="6">
        <v>1</v>
      </c>
      <c r="I113" s="6"/>
      <c r="J113" s="6"/>
      <c r="K113" s="6">
        <v>1</v>
      </c>
      <c r="L113" s="6">
        <v>2</v>
      </c>
      <c r="M113" s="6"/>
      <c r="N113" s="5">
        <f t="shared" si="19"/>
        <v>4</v>
      </c>
    </row>
    <row r="114" spans="1:14" x14ac:dyDescent="0.4">
      <c r="A114" s="7"/>
      <c r="B114" s="46"/>
      <c r="C114" s="24" t="s">
        <v>145</v>
      </c>
      <c r="D114" s="47"/>
      <c r="E114" s="6">
        <v>0</v>
      </c>
      <c r="F114" s="6">
        <v>0</v>
      </c>
      <c r="G114" s="6">
        <v>0</v>
      </c>
      <c r="H114" s="6"/>
      <c r="I114" s="6"/>
      <c r="J114" s="6"/>
      <c r="K114" s="6"/>
      <c r="L114" s="6"/>
      <c r="M114" s="6"/>
      <c r="N114" s="5">
        <f t="shared" si="19"/>
        <v>0</v>
      </c>
    </row>
    <row r="115" spans="1:14" x14ac:dyDescent="0.4">
      <c r="A115" s="7"/>
      <c r="B115" s="46"/>
      <c r="C115" s="24" t="s">
        <v>146</v>
      </c>
      <c r="D115" s="47"/>
      <c r="E115" s="6">
        <v>0</v>
      </c>
      <c r="F115" s="6">
        <v>0</v>
      </c>
      <c r="G115" s="6">
        <v>0</v>
      </c>
      <c r="H115" s="6"/>
      <c r="I115" s="6"/>
      <c r="J115" s="6"/>
      <c r="K115" s="6"/>
      <c r="L115" s="6"/>
      <c r="M115" s="6"/>
      <c r="N115" s="5">
        <f t="shared" si="19"/>
        <v>0</v>
      </c>
    </row>
    <row r="116" spans="1:14" x14ac:dyDescent="0.4">
      <c r="A116" s="7"/>
      <c r="B116" s="46"/>
      <c r="C116" s="24" t="s">
        <v>147</v>
      </c>
      <c r="D116" s="47"/>
      <c r="E116" s="6">
        <v>0</v>
      </c>
      <c r="F116" s="6">
        <v>0</v>
      </c>
      <c r="G116" s="6">
        <v>0</v>
      </c>
      <c r="H116" s="6"/>
      <c r="I116" s="6">
        <v>5</v>
      </c>
      <c r="J116" s="6"/>
      <c r="K116" s="6">
        <v>1</v>
      </c>
      <c r="L116" s="6">
        <v>5</v>
      </c>
      <c r="M116" s="6">
        <v>1</v>
      </c>
      <c r="N116" s="5">
        <f t="shared" si="19"/>
        <v>12</v>
      </c>
    </row>
    <row r="117" spans="1:14" x14ac:dyDescent="0.4">
      <c r="A117" s="7"/>
      <c r="B117" s="46"/>
      <c r="C117" s="24" t="s">
        <v>148</v>
      </c>
      <c r="D117" s="47"/>
      <c r="E117" s="6">
        <v>0</v>
      </c>
      <c r="F117" s="6">
        <v>0</v>
      </c>
      <c r="G117" s="6">
        <v>0</v>
      </c>
      <c r="H117" s="6"/>
      <c r="I117" s="6"/>
      <c r="J117" s="6"/>
      <c r="K117" s="6"/>
      <c r="L117" s="6"/>
      <c r="M117" s="6"/>
      <c r="N117" s="5">
        <f t="shared" si="19"/>
        <v>0</v>
      </c>
    </row>
    <row r="118" spans="1:14" x14ac:dyDescent="0.4">
      <c r="A118" s="7"/>
      <c r="B118" s="46"/>
      <c r="C118" s="24" t="s">
        <v>149</v>
      </c>
      <c r="D118" s="47"/>
      <c r="E118" s="6">
        <v>0</v>
      </c>
      <c r="F118" s="6">
        <v>0</v>
      </c>
      <c r="G118" s="6">
        <v>0</v>
      </c>
      <c r="H118" s="6"/>
      <c r="I118" s="6">
        <v>1</v>
      </c>
      <c r="J118" s="6"/>
      <c r="K118" s="6">
        <v>1</v>
      </c>
      <c r="L118" s="6">
        <v>3</v>
      </c>
      <c r="M118" s="6"/>
      <c r="N118" s="5">
        <f t="shared" si="19"/>
        <v>5</v>
      </c>
    </row>
    <row r="119" spans="1:14" x14ac:dyDescent="0.4">
      <c r="A119" s="6" t="s">
        <v>26</v>
      </c>
      <c r="B119" s="85" t="s">
        <v>51</v>
      </c>
      <c r="C119" s="86"/>
      <c r="D119" s="87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1</v>
      </c>
      <c r="I119" s="5">
        <f>SUM(I112:I118)</f>
        <v>6</v>
      </c>
      <c r="J119" s="5">
        <f>SUM(J112:J118)</f>
        <v>0</v>
      </c>
      <c r="K119" s="5">
        <f>SUM(K112:K118)</f>
        <v>3</v>
      </c>
      <c r="L119" s="5">
        <f>SUM(L112:L118)</f>
        <v>14</v>
      </c>
      <c r="M119" s="5">
        <f>SUM(M112:M118)</f>
        <v>1</v>
      </c>
      <c r="N119" s="5">
        <f>SUM(N112:N118)</f>
        <v>25</v>
      </c>
    </row>
    <row r="120" spans="1:14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</row>
    <row r="121" spans="1:14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/>
      <c r="F121" s="6"/>
      <c r="G121" s="6"/>
      <c r="H121" s="6"/>
      <c r="I121" s="6">
        <v>1</v>
      </c>
      <c r="J121" s="6"/>
      <c r="K121" s="6"/>
      <c r="L121" s="6"/>
      <c r="M121" s="6"/>
      <c r="N121" s="5">
        <f t="shared" ref="N121" si="20">SUM(E121:M121)</f>
        <v>1</v>
      </c>
    </row>
    <row r="122" spans="1:14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1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0</v>
      </c>
      <c r="N122" s="5">
        <f>SUM(N121:N121)</f>
        <v>1</v>
      </c>
    </row>
    <row r="123" spans="1:14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</row>
    <row r="124" spans="1:14" x14ac:dyDescent="0.4">
      <c r="A124" s="11" t="s">
        <v>48</v>
      </c>
      <c r="B124" s="17" t="s">
        <v>69</v>
      </c>
      <c r="C124" s="79" t="s">
        <v>70</v>
      </c>
      <c r="D124" s="52"/>
      <c r="E124" s="6"/>
      <c r="F124" s="6"/>
      <c r="G124" s="6"/>
      <c r="H124" s="6"/>
      <c r="I124" s="6">
        <v>2</v>
      </c>
      <c r="J124" s="6">
        <v>2</v>
      </c>
      <c r="K124" s="6">
        <v>1</v>
      </c>
      <c r="L124" s="6">
        <v>1</v>
      </c>
      <c r="M124" s="6">
        <v>1</v>
      </c>
      <c r="N124" s="5">
        <f t="shared" ref="N124:N128" si="21">SUM(E124:M124)</f>
        <v>7</v>
      </c>
    </row>
    <row r="125" spans="1:14" x14ac:dyDescent="0.4">
      <c r="A125" s="11" t="s">
        <v>50</v>
      </c>
      <c r="B125" s="46"/>
      <c r="C125" s="24" t="s">
        <v>150</v>
      </c>
      <c r="D125" s="47"/>
      <c r="E125" s="6"/>
      <c r="F125" s="6"/>
      <c r="G125" s="6"/>
      <c r="H125" s="6"/>
      <c r="I125" s="6"/>
      <c r="J125" s="6">
        <v>1</v>
      </c>
      <c r="K125" s="6"/>
      <c r="L125" s="6"/>
      <c r="M125" s="6"/>
      <c r="N125" s="5">
        <f t="shared" si="21"/>
        <v>1</v>
      </c>
    </row>
    <row r="126" spans="1:14" x14ac:dyDescent="0.4">
      <c r="A126" s="7"/>
      <c r="B126" s="46"/>
      <c r="C126" s="24" t="s">
        <v>151</v>
      </c>
      <c r="D126" s="47"/>
      <c r="E126" s="6"/>
      <c r="F126" s="6"/>
      <c r="G126" s="6"/>
      <c r="H126" s="6"/>
      <c r="I126" s="6"/>
      <c r="J126" s="6">
        <v>1</v>
      </c>
      <c r="K126" s="6"/>
      <c r="L126" s="6"/>
      <c r="M126" s="6"/>
      <c r="N126" s="5">
        <f t="shared" si="21"/>
        <v>1</v>
      </c>
    </row>
    <row r="127" spans="1:14" x14ac:dyDescent="0.4">
      <c r="A127" s="7"/>
      <c r="B127" s="46"/>
      <c r="C127" s="24" t="s">
        <v>152</v>
      </c>
      <c r="D127" s="47"/>
      <c r="E127" s="6"/>
      <c r="F127" s="6"/>
      <c r="G127" s="6"/>
      <c r="H127" s="6"/>
      <c r="I127" s="6"/>
      <c r="J127" s="6"/>
      <c r="K127" s="6"/>
      <c r="L127" s="6"/>
      <c r="M127" s="6"/>
      <c r="N127" s="5">
        <f t="shared" si="21"/>
        <v>0</v>
      </c>
    </row>
    <row r="128" spans="1:14" x14ac:dyDescent="0.4">
      <c r="A128" s="7"/>
      <c r="B128" s="46"/>
      <c r="C128" s="24" t="s">
        <v>153</v>
      </c>
      <c r="D128" s="47"/>
      <c r="E128" s="6"/>
      <c r="F128" s="6"/>
      <c r="G128" s="6"/>
      <c r="H128" s="6"/>
      <c r="I128" s="6"/>
      <c r="J128" s="6"/>
      <c r="K128" s="6"/>
      <c r="L128" s="6"/>
      <c r="M128" s="6"/>
      <c r="N128" s="5">
        <f t="shared" si="21"/>
        <v>0</v>
      </c>
    </row>
    <row r="129" spans="1:14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0</v>
      </c>
      <c r="F129" s="5">
        <f>SUM(F124:F128)</f>
        <v>0</v>
      </c>
      <c r="G129" s="5">
        <f>SUM(G124:G128)</f>
        <v>0</v>
      </c>
      <c r="H129" s="5">
        <f>SUM(H124:H128)</f>
        <v>0</v>
      </c>
      <c r="I129" s="5">
        <f>SUM(I124:I128)</f>
        <v>2</v>
      </c>
      <c r="J129" s="5">
        <f>SUM(J124:J128)</f>
        <v>4</v>
      </c>
      <c r="K129" s="5">
        <f>SUM(K124:K128)</f>
        <v>1</v>
      </c>
      <c r="L129" s="5">
        <f>SUM(L124:L128)</f>
        <v>1</v>
      </c>
      <c r="M129" s="5">
        <f>SUM(M124:M128)</f>
        <v>1</v>
      </c>
      <c r="N129" s="5">
        <f>SUM(N124:N128)</f>
        <v>9</v>
      </c>
    </row>
    <row r="130" spans="1:14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5"/>
    </row>
    <row r="131" spans="1:14" x14ac:dyDescent="0.4">
      <c r="A131" s="11" t="s">
        <v>48</v>
      </c>
      <c r="B131" s="17" t="s">
        <v>71</v>
      </c>
      <c r="C131" s="79" t="s">
        <v>72</v>
      </c>
      <c r="D131" s="52"/>
      <c r="E131" s="6"/>
      <c r="F131" s="6"/>
      <c r="G131" s="6"/>
      <c r="H131" s="6"/>
      <c r="I131" s="6"/>
      <c r="J131" s="6">
        <v>1</v>
      </c>
      <c r="K131" s="6"/>
      <c r="L131" s="6"/>
      <c r="M131" s="6"/>
      <c r="N131" s="5">
        <f t="shared" ref="N131:N137" si="22">SUM(E131:M131)</f>
        <v>1</v>
      </c>
    </row>
    <row r="132" spans="1:14" x14ac:dyDescent="0.4">
      <c r="A132" s="11" t="s">
        <v>50</v>
      </c>
      <c r="B132" s="46"/>
      <c r="C132" s="24" t="s">
        <v>154</v>
      </c>
      <c r="D132" s="47"/>
      <c r="E132" s="6"/>
      <c r="F132" s="6"/>
      <c r="G132" s="6"/>
      <c r="H132" s="6"/>
      <c r="I132" s="6"/>
      <c r="J132" s="6"/>
      <c r="K132" s="6"/>
      <c r="L132" s="6"/>
      <c r="M132" s="6"/>
      <c r="N132" s="5">
        <f t="shared" si="22"/>
        <v>0</v>
      </c>
    </row>
    <row r="133" spans="1:14" x14ac:dyDescent="0.4">
      <c r="A133" s="7"/>
      <c r="B133" s="46"/>
      <c r="C133" s="24" t="s">
        <v>155</v>
      </c>
      <c r="D133" s="47"/>
      <c r="E133" s="6"/>
      <c r="F133" s="6"/>
      <c r="G133" s="6"/>
      <c r="H133" s="6"/>
      <c r="I133" s="6"/>
      <c r="J133" s="6"/>
      <c r="K133" s="6"/>
      <c r="L133" s="6"/>
      <c r="M133" s="6"/>
      <c r="N133" s="5">
        <f t="shared" si="22"/>
        <v>0</v>
      </c>
    </row>
    <row r="134" spans="1:14" x14ac:dyDescent="0.4">
      <c r="A134" s="7"/>
      <c r="B134" s="46"/>
      <c r="C134" s="24" t="s">
        <v>156</v>
      </c>
      <c r="D134" s="47"/>
      <c r="E134" s="6"/>
      <c r="F134" s="6"/>
      <c r="G134" s="6"/>
      <c r="H134" s="6"/>
      <c r="I134" s="6"/>
      <c r="J134" s="6"/>
      <c r="K134" s="6"/>
      <c r="L134" s="6"/>
      <c r="M134" s="6"/>
      <c r="N134" s="5">
        <f t="shared" si="22"/>
        <v>0</v>
      </c>
    </row>
    <row r="135" spans="1:14" x14ac:dyDescent="0.4">
      <c r="A135" s="7"/>
      <c r="B135" s="46"/>
      <c r="C135" s="24" t="s">
        <v>157</v>
      </c>
      <c r="D135" s="47"/>
      <c r="E135" s="6"/>
      <c r="F135" s="6"/>
      <c r="G135" s="6"/>
      <c r="H135" s="6"/>
      <c r="I135" s="6"/>
      <c r="J135" s="6"/>
      <c r="K135" s="6"/>
      <c r="L135" s="6"/>
      <c r="M135" s="6"/>
      <c r="N135" s="5">
        <f t="shared" si="22"/>
        <v>0</v>
      </c>
    </row>
    <row r="136" spans="1:14" x14ac:dyDescent="0.4">
      <c r="A136" s="7"/>
      <c r="B136" s="46"/>
      <c r="C136" s="24" t="s">
        <v>158</v>
      </c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5">
        <f t="shared" si="22"/>
        <v>0</v>
      </c>
    </row>
    <row r="137" spans="1:14" x14ac:dyDescent="0.4">
      <c r="A137" s="7"/>
      <c r="B137" s="46"/>
      <c r="C137" s="24" t="s">
        <v>159</v>
      </c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5">
        <f t="shared" si="22"/>
        <v>0</v>
      </c>
    </row>
    <row r="138" spans="1:14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0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1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1</v>
      </c>
    </row>
    <row r="139" spans="1:14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</row>
    <row r="140" spans="1:14" x14ac:dyDescent="0.4">
      <c r="A140" s="11" t="s">
        <v>48</v>
      </c>
      <c r="B140" s="17" t="s">
        <v>73</v>
      </c>
      <c r="C140" s="79" t="s">
        <v>74</v>
      </c>
      <c r="D140" s="52"/>
      <c r="E140" s="6"/>
      <c r="F140" s="6">
        <v>5</v>
      </c>
      <c r="G140" s="6">
        <v>5</v>
      </c>
      <c r="H140" s="6">
        <v>2</v>
      </c>
      <c r="I140" s="6">
        <v>3</v>
      </c>
      <c r="J140" s="6"/>
      <c r="K140" s="6">
        <v>2</v>
      </c>
      <c r="L140" s="6">
        <v>2</v>
      </c>
      <c r="M140" s="6">
        <v>1</v>
      </c>
      <c r="N140" s="5">
        <f t="shared" ref="N140:N146" si="23">SUM(E140:M140)</f>
        <v>20</v>
      </c>
    </row>
    <row r="141" spans="1:14" x14ac:dyDescent="0.4">
      <c r="A141" s="11" t="s">
        <v>50</v>
      </c>
      <c r="B141" s="46"/>
      <c r="C141" s="24" t="s">
        <v>160</v>
      </c>
      <c r="D141" s="47"/>
      <c r="E141" s="6">
        <v>11</v>
      </c>
      <c r="F141" s="6">
        <v>15</v>
      </c>
      <c r="G141" s="6">
        <v>17</v>
      </c>
      <c r="H141" s="6">
        <v>4</v>
      </c>
      <c r="I141" s="6">
        <v>3</v>
      </c>
      <c r="J141" s="6">
        <v>8</v>
      </c>
      <c r="K141" s="6">
        <v>13</v>
      </c>
      <c r="L141" s="6">
        <v>9</v>
      </c>
      <c r="M141" s="6">
        <v>3</v>
      </c>
      <c r="N141" s="5">
        <f t="shared" si="23"/>
        <v>83</v>
      </c>
    </row>
    <row r="142" spans="1:14" x14ac:dyDescent="0.4">
      <c r="A142" s="7"/>
      <c r="B142" s="46"/>
      <c r="C142" s="24" t="s">
        <v>161</v>
      </c>
      <c r="D142" s="47"/>
      <c r="E142" s="6">
        <v>1</v>
      </c>
      <c r="F142" s="6">
        <v>3</v>
      </c>
      <c r="G142" s="6">
        <v>1</v>
      </c>
      <c r="H142" s="6">
        <v>2</v>
      </c>
      <c r="I142" s="6"/>
      <c r="J142" s="6">
        <v>1</v>
      </c>
      <c r="K142" s="6">
        <v>1</v>
      </c>
      <c r="L142" s="6">
        <v>3</v>
      </c>
      <c r="M142" s="6">
        <v>2</v>
      </c>
      <c r="N142" s="5">
        <f t="shared" si="23"/>
        <v>14</v>
      </c>
    </row>
    <row r="143" spans="1:14" x14ac:dyDescent="0.4">
      <c r="A143" s="7"/>
      <c r="B143" s="46"/>
      <c r="C143" s="24" t="s">
        <v>162</v>
      </c>
      <c r="D143" s="47"/>
      <c r="E143" s="6"/>
      <c r="F143" s="6"/>
      <c r="G143" s="6"/>
      <c r="H143" s="6"/>
      <c r="I143" s="6"/>
      <c r="J143" s="6"/>
      <c r="K143" s="6"/>
      <c r="L143" s="6"/>
      <c r="M143" s="6"/>
      <c r="N143" s="5">
        <f t="shared" si="23"/>
        <v>0</v>
      </c>
    </row>
    <row r="144" spans="1:14" x14ac:dyDescent="0.4">
      <c r="A144" s="7"/>
      <c r="B144" s="46"/>
      <c r="C144" s="24" t="s">
        <v>163</v>
      </c>
      <c r="D144" s="47"/>
      <c r="E144" s="6"/>
      <c r="F144" s="6"/>
      <c r="G144" s="6">
        <v>1</v>
      </c>
      <c r="H144" s="6"/>
      <c r="I144" s="6"/>
      <c r="J144" s="6"/>
      <c r="K144" s="6"/>
      <c r="L144" s="6"/>
      <c r="M144" s="6">
        <v>1</v>
      </c>
      <c r="N144" s="5">
        <f t="shared" si="23"/>
        <v>2</v>
      </c>
    </row>
    <row r="145" spans="1:14" x14ac:dyDescent="0.4">
      <c r="A145" s="7"/>
      <c r="B145" s="46"/>
      <c r="C145" s="24" t="s">
        <v>164</v>
      </c>
      <c r="D145" s="47"/>
      <c r="E145" s="6"/>
      <c r="F145" s="6">
        <v>1</v>
      </c>
      <c r="G145" s="6"/>
      <c r="H145" s="6"/>
      <c r="I145" s="6"/>
      <c r="J145" s="6"/>
      <c r="K145" s="6"/>
      <c r="L145" s="6">
        <v>1</v>
      </c>
      <c r="M145" s="6">
        <v>1</v>
      </c>
      <c r="N145" s="5">
        <f t="shared" si="23"/>
        <v>3</v>
      </c>
    </row>
    <row r="146" spans="1:14" ht="13.15" customHeight="1" x14ac:dyDescent="0.4">
      <c r="A146" s="7"/>
      <c r="B146" s="46"/>
      <c r="C146" s="24" t="s">
        <v>165</v>
      </c>
      <c r="D146" s="47"/>
      <c r="E146" s="6"/>
      <c r="F146" s="6"/>
      <c r="G146" s="6"/>
      <c r="H146" s="6"/>
      <c r="I146" s="6"/>
      <c r="J146" s="6"/>
      <c r="K146" s="6"/>
      <c r="L146" s="6"/>
      <c r="M146" s="6"/>
      <c r="N146" s="5">
        <f t="shared" si="23"/>
        <v>0</v>
      </c>
    </row>
    <row r="147" spans="1:14" x14ac:dyDescent="0.4">
      <c r="A147" s="6" t="s">
        <v>26</v>
      </c>
      <c r="B147" s="71" t="s">
        <v>51</v>
      </c>
      <c r="C147" s="80"/>
      <c r="D147" s="81"/>
      <c r="E147" s="5">
        <f>SUM(E140:E146)</f>
        <v>12</v>
      </c>
      <c r="F147" s="5">
        <f>SUM(F140:F146)</f>
        <v>24</v>
      </c>
      <c r="G147" s="5">
        <f>SUM(G140:G146)</f>
        <v>24</v>
      </c>
      <c r="H147" s="5">
        <f>SUM(H140:H146)</f>
        <v>8</v>
      </c>
      <c r="I147" s="5">
        <f>SUM(I140:I146)</f>
        <v>6</v>
      </c>
      <c r="J147" s="5">
        <f>SUM(J140:J146)</f>
        <v>9</v>
      </c>
      <c r="K147" s="5">
        <f>SUM(K140:K146)</f>
        <v>16</v>
      </c>
      <c r="L147" s="5">
        <f>SUM(L140:L146)</f>
        <v>15</v>
      </c>
      <c r="M147" s="5">
        <f>SUM(M140:M146)</f>
        <v>8</v>
      </c>
      <c r="N147" s="5">
        <f>SUM(N140:N146)</f>
        <v>122</v>
      </c>
    </row>
    <row r="148" spans="1:14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</row>
    <row r="149" spans="1:14" x14ac:dyDescent="0.4">
      <c r="A149" s="11" t="s">
        <v>48</v>
      </c>
      <c r="B149" s="17" t="s">
        <v>75</v>
      </c>
      <c r="C149" s="79" t="s">
        <v>76</v>
      </c>
      <c r="D149" s="52"/>
      <c r="E149" s="6"/>
      <c r="F149" s="6"/>
      <c r="G149" s="6"/>
      <c r="H149" s="6"/>
      <c r="I149" s="6"/>
      <c r="J149" s="6"/>
      <c r="K149" s="6"/>
      <c r="L149" s="6"/>
      <c r="M149" s="6"/>
      <c r="N149" s="5">
        <f t="shared" ref="N149:N150" si="24">SUM(E149:M149)</f>
        <v>0</v>
      </c>
    </row>
    <row r="150" spans="1:14" x14ac:dyDescent="0.4">
      <c r="A150" s="11" t="s">
        <v>50</v>
      </c>
      <c r="B150" s="46"/>
      <c r="C150" s="24" t="s">
        <v>166</v>
      </c>
      <c r="D150" s="47"/>
      <c r="E150" s="6"/>
      <c r="F150" s="6"/>
      <c r="G150" s="6"/>
      <c r="H150" s="6"/>
      <c r="I150" s="6"/>
      <c r="J150" s="6"/>
      <c r="K150" s="6">
        <v>1</v>
      </c>
      <c r="L150" s="6">
        <v>1</v>
      </c>
      <c r="M150" s="6"/>
      <c r="N150" s="5">
        <f t="shared" si="24"/>
        <v>2</v>
      </c>
    </row>
    <row r="151" spans="1:14" x14ac:dyDescent="0.4">
      <c r="A151" s="6" t="s">
        <v>26</v>
      </c>
      <c r="B151" s="71" t="s">
        <v>51</v>
      </c>
      <c r="C151" s="80"/>
      <c r="D151" s="81"/>
      <c r="E151" s="5">
        <f>SUM(E149:E150)</f>
        <v>0</v>
      </c>
      <c r="F151" s="5">
        <f>SUM(F149:F150)</f>
        <v>0</v>
      </c>
      <c r="G151" s="5">
        <f>SUM(G149:G150)</f>
        <v>0</v>
      </c>
      <c r="H151" s="5">
        <f>SUM(H149:H150)</f>
        <v>0</v>
      </c>
      <c r="I151" s="5">
        <f>SUM(I149:I150)</f>
        <v>0</v>
      </c>
      <c r="J151" s="5">
        <f>SUM(J149:J150)</f>
        <v>0</v>
      </c>
      <c r="K151" s="5">
        <f>SUM(K149:K150)</f>
        <v>1</v>
      </c>
      <c r="L151" s="5">
        <f>SUM(L149:L150)</f>
        <v>1</v>
      </c>
      <c r="M151" s="5">
        <f>SUM(M149:M150)</f>
        <v>0</v>
      </c>
      <c r="N151" s="5">
        <f>SUM(N149:N150)</f>
        <v>2</v>
      </c>
    </row>
    <row r="152" spans="1:14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</row>
    <row r="153" spans="1:14" x14ac:dyDescent="0.4">
      <c r="A153" s="11" t="s">
        <v>48</v>
      </c>
      <c r="B153" s="17" t="s">
        <v>77</v>
      </c>
      <c r="C153" s="79" t="s">
        <v>78</v>
      </c>
      <c r="D153" s="52"/>
      <c r="E153" s="6"/>
      <c r="F153" s="6"/>
      <c r="G153" s="6"/>
      <c r="H153" s="6"/>
      <c r="I153" s="6">
        <v>1</v>
      </c>
      <c r="J153" s="6"/>
      <c r="K153" s="6"/>
      <c r="L153" s="6"/>
      <c r="M153" s="6"/>
      <c r="N153" s="5">
        <f t="shared" ref="N153:N156" si="25">SUM(E153:M153)</f>
        <v>1</v>
      </c>
    </row>
    <row r="154" spans="1:14" x14ac:dyDescent="0.4">
      <c r="A154" s="11" t="s">
        <v>50</v>
      </c>
      <c r="B154" s="17"/>
      <c r="C154" s="24" t="s">
        <v>167</v>
      </c>
      <c r="D154" s="45"/>
      <c r="E154" s="6"/>
      <c r="F154" s="6"/>
      <c r="G154" s="6"/>
      <c r="H154" s="6"/>
      <c r="I154" s="6"/>
      <c r="J154" s="6"/>
      <c r="K154" s="6"/>
      <c r="L154" s="6"/>
      <c r="M154" s="6"/>
      <c r="N154" s="5">
        <f t="shared" si="25"/>
        <v>0</v>
      </c>
    </row>
    <row r="155" spans="1:14" x14ac:dyDescent="0.4">
      <c r="A155" s="7"/>
      <c r="B155" s="17"/>
      <c r="C155" s="24" t="s">
        <v>168</v>
      </c>
      <c r="D155" s="45"/>
      <c r="E155" s="6"/>
      <c r="F155" s="6"/>
      <c r="G155" s="6">
        <v>1</v>
      </c>
      <c r="H155" s="6"/>
      <c r="I155" s="6"/>
      <c r="J155" s="6">
        <v>1</v>
      </c>
      <c r="K155" s="6">
        <v>2</v>
      </c>
      <c r="L155" s="6">
        <v>1</v>
      </c>
      <c r="M155" s="6"/>
      <c r="N155" s="5">
        <f t="shared" si="25"/>
        <v>5</v>
      </c>
    </row>
    <row r="156" spans="1:14" x14ac:dyDescent="0.4">
      <c r="A156" s="7"/>
      <c r="B156" s="17"/>
      <c r="C156" s="24" t="s">
        <v>169</v>
      </c>
      <c r="D156" s="45"/>
      <c r="E156" s="6"/>
      <c r="F156" s="6"/>
      <c r="G156" s="6"/>
      <c r="H156" s="6"/>
      <c r="I156" s="6"/>
      <c r="J156" s="6"/>
      <c r="K156" s="6"/>
      <c r="L156" s="6"/>
      <c r="M156" s="6"/>
      <c r="N156" s="5">
        <f t="shared" si="25"/>
        <v>0</v>
      </c>
    </row>
    <row r="157" spans="1:14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0</v>
      </c>
      <c r="G157" s="5">
        <f>SUM(G153:G156)</f>
        <v>1</v>
      </c>
      <c r="H157" s="5">
        <f>SUM(H153:H156)</f>
        <v>0</v>
      </c>
      <c r="I157" s="5">
        <f>SUM(I153:I156)</f>
        <v>1</v>
      </c>
      <c r="J157" s="5">
        <f>SUM(J153:J156)</f>
        <v>1</v>
      </c>
      <c r="K157" s="5">
        <f>SUM(K153:K156)</f>
        <v>2</v>
      </c>
      <c r="L157" s="5">
        <f>SUM(L153:L156)</f>
        <v>1</v>
      </c>
      <c r="M157" s="5">
        <f>SUM(M153:M156)</f>
        <v>0</v>
      </c>
      <c r="N157" s="5">
        <f>SUM(N153:N156)</f>
        <v>6</v>
      </c>
    </row>
    <row r="158" spans="1:14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</row>
    <row r="159" spans="1:14" x14ac:dyDescent="0.4">
      <c r="A159" s="11" t="s">
        <v>48</v>
      </c>
      <c r="B159" s="17" t="s">
        <v>79</v>
      </c>
      <c r="C159" s="79" t="s">
        <v>80</v>
      </c>
      <c r="D159" s="52"/>
      <c r="E159" s="6">
        <v>1</v>
      </c>
      <c r="F159" s="6">
        <v>2</v>
      </c>
      <c r="G159" s="6">
        <v>3</v>
      </c>
      <c r="H159" s="6">
        <v>2</v>
      </c>
      <c r="I159" s="6">
        <v>4</v>
      </c>
      <c r="J159" s="6">
        <v>5</v>
      </c>
      <c r="K159" s="6">
        <v>8</v>
      </c>
      <c r="L159" s="6">
        <v>5</v>
      </c>
      <c r="M159" s="6"/>
      <c r="N159" s="5">
        <f t="shared" ref="N159:N165" si="26">SUM(E159:M159)</f>
        <v>30</v>
      </c>
    </row>
    <row r="160" spans="1:14" x14ac:dyDescent="0.4">
      <c r="A160" s="11" t="s">
        <v>50</v>
      </c>
      <c r="B160" s="46"/>
      <c r="C160" s="24" t="s">
        <v>170</v>
      </c>
      <c r="D160" s="47"/>
      <c r="E160" s="6">
        <v>2</v>
      </c>
      <c r="F160" s="6">
        <v>2</v>
      </c>
      <c r="G160" s="6">
        <v>14</v>
      </c>
      <c r="H160" s="6">
        <v>4</v>
      </c>
      <c r="I160" s="6">
        <v>13</v>
      </c>
      <c r="J160" s="6">
        <v>20</v>
      </c>
      <c r="K160" s="6">
        <v>19</v>
      </c>
      <c r="L160" s="6">
        <v>15</v>
      </c>
      <c r="M160" s="6">
        <v>1</v>
      </c>
      <c r="N160" s="5">
        <f t="shared" si="26"/>
        <v>90</v>
      </c>
    </row>
    <row r="161" spans="1:14" x14ac:dyDescent="0.4">
      <c r="A161" s="7"/>
      <c r="B161" s="46"/>
      <c r="C161" s="24" t="s">
        <v>171</v>
      </c>
      <c r="D161" s="47"/>
      <c r="E161" s="6"/>
      <c r="F161" s="6"/>
      <c r="G161" s="6">
        <v>1</v>
      </c>
      <c r="H161" s="6">
        <v>1</v>
      </c>
      <c r="I161" s="6"/>
      <c r="J161" s="6"/>
      <c r="K161" s="6">
        <v>2</v>
      </c>
      <c r="L161" s="6"/>
      <c r="M161" s="6">
        <v>1</v>
      </c>
      <c r="N161" s="5">
        <f t="shared" si="26"/>
        <v>5</v>
      </c>
    </row>
    <row r="162" spans="1:14" ht="13.15" customHeight="1" x14ac:dyDescent="0.4">
      <c r="A162" s="7"/>
      <c r="B162" s="46"/>
      <c r="C162" s="24" t="s">
        <v>172</v>
      </c>
      <c r="D162" s="47"/>
      <c r="E162" s="6"/>
      <c r="F162" s="6"/>
      <c r="G162" s="6"/>
      <c r="H162" s="6"/>
      <c r="I162" s="6"/>
      <c r="J162" s="6"/>
      <c r="K162" s="6"/>
      <c r="L162" s="6"/>
      <c r="M162" s="6">
        <v>1</v>
      </c>
      <c r="N162" s="5">
        <f t="shared" si="26"/>
        <v>1</v>
      </c>
    </row>
    <row r="163" spans="1:14" x14ac:dyDescent="0.4">
      <c r="A163" s="7"/>
      <c r="B163" s="46"/>
      <c r="C163" s="24" t="s">
        <v>173</v>
      </c>
      <c r="D163" s="47"/>
      <c r="E163" s="6"/>
      <c r="F163" s="6"/>
      <c r="G163" s="6"/>
      <c r="H163" s="6"/>
      <c r="I163" s="6"/>
      <c r="J163" s="6"/>
      <c r="K163" s="6">
        <v>1</v>
      </c>
      <c r="L163" s="6"/>
      <c r="M163" s="6"/>
      <c r="N163" s="5">
        <f t="shared" si="26"/>
        <v>1</v>
      </c>
    </row>
    <row r="164" spans="1:14" ht="12.75" customHeight="1" x14ac:dyDescent="0.4">
      <c r="A164" s="7"/>
      <c r="B164" s="46"/>
      <c r="C164" s="24" t="s">
        <v>174</v>
      </c>
      <c r="D164" s="47"/>
      <c r="E164" s="6"/>
      <c r="F164" s="6"/>
      <c r="G164" s="6"/>
      <c r="H164" s="6"/>
      <c r="I164" s="6"/>
      <c r="J164" s="6"/>
      <c r="K164" s="6"/>
      <c r="L164" s="6"/>
      <c r="M164" s="6"/>
      <c r="N164" s="5">
        <f t="shared" si="26"/>
        <v>0</v>
      </c>
    </row>
    <row r="165" spans="1:14" x14ac:dyDescent="0.4">
      <c r="A165" s="7"/>
      <c r="B165" s="46"/>
      <c r="C165" s="24" t="s">
        <v>175</v>
      </c>
      <c r="D165" s="47"/>
      <c r="E165" s="6"/>
      <c r="F165" s="6"/>
      <c r="G165" s="6"/>
      <c r="H165" s="6"/>
      <c r="I165" s="6"/>
      <c r="J165" s="6"/>
      <c r="K165" s="6"/>
      <c r="L165" s="6"/>
      <c r="M165" s="6"/>
      <c r="N165" s="5">
        <f t="shared" si="26"/>
        <v>0</v>
      </c>
    </row>
    <row r="166" spans="1:14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3</v>
      </c>
      <c r="F166" s="5">
        <f>SUM(F159:F165)</f>
        <v>4</v>
      </c>
      <c r="G166" s="5">
        <f>SUM(G159:G165)</f>
        <v>18</v>
      </c>
      <c r="H166" s="5">
        <f>SUM(H159:H165)</f>
        <v>7</v>
      </c>
      <c r="I166" s="5">
        <f>SUM(I159:I165)</f>
        <v>17</v>
      </c>
      <c r="J166" s="5">
        <f>SUM(J159:J165)</f>
        <v>25</v>
      </c>
      <c r="K166" s="5">
        <f>SUM(K159:K165)</f>
        <v>30</v>
      </c>
      <c r="L166" s="5">
        <f>SUM(L159:L165)</f>
        <v>20</v>
      </c>
      <c r="M166" s="5">
        <f>SUM(M159:M165)</f>
        <v>3</v>
      </c>
      <c r="N166" s="5">
        <f>SUM(N159:N165)</f>
        <v>127</v>
      </c>
    </row>
    <row r="167" spans="1:14" x14ac:dyDescent="0.4">
      <c r="A167" s="50"/>
      <c r="B167" s="82"/>
      <c r="C167" s="82"/>
      <c r="D167" s="82"/>
      <c r="E167" s="83"/>
    </row>
    <row r="168" spans="1:14" x14ac:dyDescent="0.4">
      <c r="A168" s="11" t="s">
        <v>48</v>
      </c>
      <c r="B168" s="17" t="s">
        <v>81</v>
      </c>
      <c r="C168" s="79" t="s">
        <v>82</v>
      </c>
      <c r="D168" s="52"/>
      <c r="E168" s="6"/>
      <c r="F168" s="6"/>
      <c r="G168" s="6"/>
      <c r="H168" s="6"/>
      <c r="I168" s="6"/>
      <c r="J168" s="6"/>
      <c r="K168" s="6"/>
      <c r="L168" s="6"/>
      <c r="M168" s="6">
        <v>1</v>
      </c>
      <c r="N168" s="5">
        <f t="shared" ref="N168:N169" si="27">SUM(E168:M168)</f>
        <v>1</v>
      </c>
    </row>
    <row r="169" spans="1:14" x14ac:dyDescent="0.4">
      <c r="A169" s="11" t="s">
        <v>50</v>
      </c>
      <c r="B169" s="46"/>
      <c r="C169" s="24" t="s">
        <v>176</v>
      </c>
      <c r="D169" s="47"/>
      <c r="E169" s="6"/>
      <c r="F169" s="6"/>
      <c r="G169" s="6"/>
      <c r="H169" s="6"/>
      <c r="I169" s="6"/>
      <c r="J169" s="6"/>
      <c r="K169" s="6">
        <v>1</v>
      </c>
      <c r="L169" s="6"/>
      <c r="M169" s="6"/>
      <c r="N169" s="5">
        <f t="shared" si="27"/>
        <v>1</v>
      </c>
    </row>
    <row r="170" spans="1:14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0</v>
      </c>
      <c r="H170" s="5">
        <f>SUM(H168:H169)</f>
        <v>0</v>
      </c>
      <c r="I170" s="5">
        <f>SUM(I168:I169)</f>
        <v>0</v>
      </c>
      <c r="J170" s="5">
        <f>SUM(J168:J169)</f>
        <v>0</v>
      </c>
      <c r="K170" s="5">
        <f>SUM(K168:K169)</f>
        <v>1</v>
      </c>
      <c r="L170" s="5">
        <f>SUM(L168:L169)</f>
        <v>0</v>
      </c>
      <c r="M170" s="5">
        <f>SUM(M168:M169)</f>
        <v>1</v>
      </c>
      <c r="N170" s="5">
        <f>SUM(N168:N169)</f>
        <v>2</v>
      </c>
    </row>
    <row r="172" spans="1:14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x14ac:dyDescent="0.4">
      <c r="A173" s="16"/>
      <c r="B173" s="19" t="s">
        <v>85</v>
      </c>
      <c r="C173" s="88" t="s">
        <v>86</v>
      </c>
      <c r="D173" s="89"/>
      <c r="E173" s="6">
        <f>E52+E61+E70+E79+E88+E91+E97+E106+E110+E119+E122+E129+E138+E147+E151+E157+E166+E170</f>
        <v>179</v>
      </c>
      <c r="F173" s="6">
        <f>F52+F61+F70+F79+F88+F91+F97+F106+F110+F119+F122+F129+F138+F147+F151+F157+F166+F170</f>
        <v>220</v>
      </c>
      <c r="G173" s="6">
        <f>G52+G61+G70+G79+G88+G91+G97+G106+G110+G119+G122+G129+G138+G147+G151+G157+G166+G170</f>
        <v>167</v>
      </c>
      <c r="H173" s="6">
        <f>H52+H61+H70+H79+H88+H91+H97+H106+H110+H119+H122+H129+H138+H147+H151+H157+H166+H170</f>
        <v>162</v>
      </c>
      <c r="I173" s="6">
        <f>I52+I61+I70+I79+I88+I91+I97+I106+I110+I119+I122+I129+I138+I147+I151+I157+I166+I170</f>
        <v>189</v>
      </c>
      <c r="J173" s="6">
        <f>J52+J61+J70+J79+J88+J91+J97+J106+J110+J119+J122+J129+J138+J147+J151+J157+J166+J170</f>
        <v>184</v>
      </c>
      <c r="K173" s="6">
        <f>K52+K61+K70+K79+K88+K91+K97+K106+K110+K119+K122+K129+K138+K147+K151+K157+K166+K170</f>
        <v>209</v>
      </c>
      <c r="L173" s="6">
        <f>L52+L61+L70+L79+L88+L91+L97+L106+L110+L119+L122+L129+L138+L147+L151+L157+L166+L170</f>
        <v>170</v>
      </c>
      <c r="M173" s="6">
        <f>M52+M61+M70+M79+M88+M91+M97+M106+M110+M119+M122+M129+M138+M147+M151+M157+M166+M170</f>
        <v>189</v>
      </c>
      <c r="N173" s="5">
        <f>SUM(E173:M173)</f>
        <v>1669</v>
      </c>
    </row>
    <row r="174" spans="1:14" x14ac:dyDescent="0.4">
      <c r="A174" s="13"/>
      <c r="B174" s="19" t="s">
        <v>87</v>
      </c>
      <c r="C174" s="88" t="s">
        <v>88</v>
      </c>
      <c r="D174" s="89"/>
      <c r="E174" s="6">
        <v>12</v>
      </c>
      <c r="F174" s="6">
        <v>20</v>
      </c>
      <c r="G174" s="6">
        <v>21</v>
      </c>
      <c r="H174" s="6">
        <v>21</v>
      </c>
      <c r="I174" s="6">
        <v>10</v>
      </c>
      <c r="J174" s="6">
        <v>14</v>
      </c>
      <c r="K174" s="6">
        <v>14</v>
      </c>
      <c r="L174" s="6">
        <v>18</v>
      </c>
      <c r="M174" s="6">
        <v>9</v>
      </c>
      <c r="N174" s="5">
        <f>SUM(E174:M174)</f>
        <v>139</v>
      </c>
    </row>
    <row r="175" spans="1:14" x14ac:dyDescent="0.4">
      <c r="A175" s="14"/>
      <c r="B175" s="19" t="s">
        <v>89</v>
      </c>
      <c r="C175" s="88" t="s">
        <v>90</v>
      </c>
      <c r="D175" s="89"/>
      <c r="E175" s="5">
        <f>SUM(E173:E174)</f>
        <v>191</v>
      </c>
      <c r="F175" s="5">
        <f t="shared" ref="F175:M175" si="28">SUM(F173:F174)</f>
        <v>240</v>
      </c>
      <c r="G175" s="5">
        <f t="shared" si="28"/>
        <v>188</v>
      </c>
      <c r="H175" s="5">
        <f t="shared" si="28"/>
        <v>183</v>
      </c>
      <c r="I175" s="5">
        <f t="shared" si="28"/>
        <v>199</v>
      </c>
      <c r="J175" s="5">
        <f t="shared" si="28"/>
        <v>198</v>
      </c>
      <c r="K175" s="5">
        <f t="shared" si="28"/>
        <v>223</v>
      </c>
      <c r="L175" s="5">
        <f t="shared" si="28"/>
        <v>188</v>
      </c>
      <c r="M175" s="5">
        <f t="shared" si="28"/>
        <v>198</v>
      </c>
      <c r="N175" s="5">
        <f>SUM(E175:M175)</f>
        <v>1808</v>
      </c>
    </row>
  </sheetData>
  <mergeCells count="86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M12"/>
    <mergeCell ref="N12:N13"/>
    <mergeCell ref="B13:D13"/>
    <mergeCell ref="B14:C16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E37:I37"/>
    <mergeCell ref="B38:D38"/>
    <mergeCell ref="B39:C41"/>
    <mergeCell ref="A42:D42"/>
    <mergeCell ref="E42:I42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110:D110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C108:D108"/>
    <mergeCell ref="B138:D138"/>
    <mergeCell ref="A111:E111"/>
    <mergeCell ref="C112:D112"/>
    <mergeCell ref="B119:D119"/>
    <mergeCell ref="A120:E120"/>
    <mergeCell ref="C121:D121"/>
    <mergeCell ref="B122:D122"/>
    <mergeCell ref="A123:E123"/>
    <mergeCell ref="C124:D124"/>
    <mergeCell ref="B129:D129"/>
    <mergeCell ref="A130:E130"/>
    <mergeCell ref="C131:D131"/>
    <mergeCell ref="B166:D166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59:D159"/>
    <mergeCell ref="C175:D175"/>
    <mergeCell ref="A167:E167"/>
    <mergeCell ref="C168:D168"/>
    <mergeCell ref="B170:D170"/>
    <mergeCell ref="B172:D172"/>
    <mergeCell ref="C173:D173"/>
    <mergeCell ref="C174:D174"/>
  </mergeCells>
  <phoneticPr fontId="8" type="noConversion"/>
  <conditionalFormatting sqref="E14:M15">
    <cfRule type="containsBlanks" dxfId="224" priority="21">
      <formula>LEN(TRIM(E14))=0</formula>
    </cfRule>
  </conditionalFormatting>
  <conditionalFormatting sqref="E19:M20">
    <cfRule type="containsBlanks" dxfId="223" priority="24">
      <formula>LEN(TRIM(E19))=0</formula>
    </cfRule>
  </conditionalFormatting>
  <conditionalFormatting sqref="E22:M23 E25:M26 E33:M33 E35:M35 E39:M40">
    <cfRule type="containsBlanks" dxfId="222" priority="25">
      <formula>LEN(TRIM(E22))=0</formula>
    </cfRule>
  </conditionalFormatting>
  <conditionalFormatting sqref="E30:M30">
    <cfRule type="expression" dxfId="221" priority="26">
      <formula>E30&lt;&gt;E47</formula>
    </cfRule>
    <cfRule type="expression" dxfId="220" priority="27">
      <formula>E30&lt;&gt;E34</formula>
    </cfRule>
  </conditionalFormatting>
  <conditionalFormatting sqref="E45:M51">
    <cfRule type="containsBlanks" dxfId="219" priority="20">
      <formula>LEN(TRIM(E45))=0</formula>
    </cfRule>
  </conditionalFormatting>
  <conditionalFormatting sqref="E54:M60">
    <cfRule type="containsBlanks" dxfId="218" priority="19">
      <formula>LEN(TRIM(E54))=0</formula>
    </cfRule>
  </conditionalFormatting>
  <conditionalFormatting sqref="E63:M69">
    <cfRule type="containsBlanks" dxfId="217" priority="18">
      <formula>LEN(TRIM(E63))=0</formula>
    </cfRule>
  </conditionalFormatting>
  <conditionalFormatting sqref="E72:M78">
    <cfRule type="containsBlanks" dxfId="216" priority="17">
      <formula>LEN(TRIM(E72))=0</formula>
    </cfRule>
  </conditionalFormatting>
  <conditionalFormatting sqref="E81:M87">
    <cfRule type="containsBlanks" dxfId="215" priority="16">
      <formula>LEN(TRIM(E81))=0</formula>
    </cfRule>
  </conditionalFormatting>
  <conditionalFormatting sqref="E90:M90">
    <cfRule type="containsBlanks" dxfId="214" priority="15">
      <formula>LEN(TRIM(E90))=0</formula>
    </cfRule>
  </conditionalFormatting>
  <conditionalFormatting sqref="E93:M96">
    <cfRule type="containsBlanks" dxfId="213" priority="2">
      <formula>LEN(TRIM(E93))=0</formula>
    </cfRule>
  </conditionalFormatting>
  <conditionalFormatting sqref="E99:M105">
    <cfRule type="containsBlanks" dxfId="212" priority="14">
      <formula>LEN(TRIM(E99))=0</formula>
    </cfRule>
  </conditionalFormatting>
  <conditionalFormatting sqref="E108:M109">
    <cfRule type="containsBlanks" dxfId="211" priority="13">
      <formula>LEN(TRIM(E108))=0</formula>
    </cfRule>
  </conditionalFormatting>
  <conditionalFormatting sqref="H112:M118">
    <cfRule type="containsBlanks" dxfId="210" priority="4">
      <formula>LEN(TRIM(H112))=0</formula>
    </cfRule>
  </conditionalFormatting>
  <conditionalFormatting sqref="E121:M121">
    <cfRule type="containsBlanks" dxfId="209" priority="12">
      <formula>LEN(TRIM(E121))=0</formula>
    </cfRule>
  </conditionalFormatting>
  <conditionalFormatting sqref="E124:M128">
    <cfRule type="containsBlanks" dxfId="208" priority="11">
      <formula>LEN(TRIM(E124))=0</formula>
    </cfRule>
  </conditionalFormatting>
  <conditionalFormatting sqref="E131:M137">
    <cfRule type="containsBlanks" dxfId="207" priority="10">
      <formula>LEN(TRIM(E131))=0</formula>
    </cfRule>
  </conditionalFormatting>
  <conditionalFormatting sqref="E140:M146">
    <cfRule type="containsBlanks" dxfId="206" priority="9">
      <formula>LEN(TRIM(E140))=0</formula>
    </cfRule>
  </conditionalFormatting>
  <conditionalFormatting sqref="E149:M150">
    <cfRule type="containsBlanks" dxfId="205" priority="8">
      <formula>LEN(TRIM(E149))=0</formula>
    </cfRule>
  </conditionalFormatting>
  <conditionalFormatting sqref="E153:M156">
    <cfRule type="containsBlanks" dxfId="204" priority="7">
      <formula>LEN(TRIM(E153))=0</formula>
    </cfRule>
  </conditionalFormatting>
  <conditionalFormatting sqref="E159:M165">
    <cfRule type="containsBlanks" dxfId="203" priority="6">
      <formula>LEN(TRIM(E159))=0</formula>
    </cfRule>
  </conditionalFormatting>
  <conditionalFormatting sqref="E168:M169">
    <cfRule type="containsBlanks" dxfId="202" priority="5">
      <formula>LEN(TRIM(E168))=0</formula>
    </cfRule>
  </conditionalFormatting>
  <conditionalFormatting sqref="E173:M174">
    <cfRule type="containsBlanks" dxfId="201" priority="3">
      <formula>LEN(TRIM(E173))=0</formula>
    </cfRule>
  </conditionalFormatting>
  <conditionalFormatting sqref="E34:M34">
    <cfRule type="expression" dxfId="200" priority="134">
      <formula>E30&lt;&gt;E34</formula>
    </cfRule>
    <cfRule type="expression" dxfId="199" priority="135">
      <formula>E30=E34</formula>
    </cfRule>
    <cfRule type="expression" dxfId="198" priority="136">
      <formula>E34&lt;&gt;E30</formula>
    </cfRule>
    <cfRule type="expression" dxfId="197" priority="137">
      <formula>E34&lt;&gt;#REF!</formula>
    </cfRule>
  </conditionalFormatting>
  <conditionalFormatting sqref="E112:G118">
    <cfRule type="containsBlanks" dxfId="0" priority="1">
      <formula>LEN(TRIM(E112))=0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92D050"/>
  </sheetPr>
  <dimension ref="A2:S175"/>
  <sheetViews>
    <sheetView topLeftCell="A13" zoomScale="85" zoomScaleNormal="85" workbookViewId="0">
      <pane ySplit="1" topLeftCell="A164" activePane="bottomLeft" state="frozen"/>
      <selection activeCell="A13" sqref="A13"/>
      <selection pane="bottomLeft" activeCell="S174" sqref="S174"/>
    </sheetView>
  </sheetViews>
  <sheetFormatPr defaultRowHeight="13.15" x14ac:dyDescent="0.4"/>
  <cols>
    <col min="3" max="3" width="67.140625" bestFit="1" customWidth="1"/>
    <col min="4" max="4" width="5.85546875" bestFit="1" customWidth="1"/>
    <col min="19" max="19" width="13.28515625" customWidth="1"/>
  </cols>
  <sheetData>
    <row r="2" spans="1:19" x14ac:dyDescent="0.4">
      <c r="C2" s="43" t="s">
        <v>98</v>
      </c>
      <c r="D2" s="43" t="s">
        <v>177</v>
      </c>
    </row>
    <row r="3" spans="1:19" x14ac:dyDescent="0.4">
      <c r="C3" s="43" t="s">
        <v>99</v>
      </c>
      <c r="D3" s="43" t="s">
        <v>100</v>
      </c>
    </row>
    <row r="4" spans="1:19" x14ac:dyDescent="0.4">
      <c r="C4" s="43" t="s">
        <v>101</v>
      </c>
      <c r="D4" s="43" t="s">
        <v>102</v>
      </c>
    </row>
    <row r="5" spans="1:19" x14ac:dyDescent="0.4">
      <c r="C5" s="43"/>
      <c r="D5" s="43"/>
    </row>
    <row r="6" spans="1:19" x14ac:dyDescent="0.4">
      <c r="C6" s="43"/>
      <c r="D6" s="43"/>
    </row>
    <row r="7" spans="1:19" x14ac:dyDescent="0.4">
      <c r="C7" s="43"/>
      <c r="D7" s="43"/>
    </row>
    <row r="8" spans="1:19" x14ac:dyDescent="0.4">
      <c r="C8" s="43"/>
      <c r="D8" s="43"/>
    </row>
    <row r="9" spans="1:19" x14ac:dyDescent="0.4">
      <c r="C9" s="43" t="s">
        <v>103</v>
      </c>
      <c r="D9" s="43" t="s">
        <v>182</v>
      </c>
    </row>
    <row r="11" spans="1:1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</row>
    <row r="12" spans="1:19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6" t="s">
        <v>97</v>
      </c>
    </row>
    <row r="13" spans="1:19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7"/>
    </row>
    <row r="14" spans="1:19" x14ac:dyDescent="0.4">
      <c r="A14" s="7"/>
      <c r="B14" s="59" t="s">
        <v>22</v>
      </c>
      <c r="C14" s="60"/>
      <c r="D14" s="6" t="s">
        <v>23</v>
      </c>
      <c r="E14" s="6">
        <v>118</v>
      </c>
      <c r="F14" s="6">
        <v>97</v>
      </c>
      <c r="G14" s="6">
        <v>102</v>
      </c>
      <c r="H14" s="6">
        <v>133</v>
      </c>
      <c r="I14" s="6">
        <v>136</v>
      </c>
      <c r="J14" s="6">
        <v>127</v>
      </c>
      <c r="K14" s="6">
        <v>134</v>
      </c>
      <c r="L14" s="6">
        <v>118</v>
      </c>
      <c r="M14" s="6">
        <v>141</v>
      </c>
      <c r="N14" s="6">
        <v>140</v>
      </c>
      <c r="O14" s="6">
        <v>132</v>
      </c>
      <c r="P14" s="6">
        <v>134</v>
      </c>
      <c r="Q14" s="6">
        <v>143</v>
      </c>
      <c r="R14" s="6">
        <v>94</v>
      </c>
      <c r="S14" s="5">
        <f>SUM(E14:R14)</f>
        <v>1749</v>
      </c>
    </row>
    <row r="15" spans="1:19" x14ac:dyDescent="0.4">
      <c r="A15" s="7"/>
      <c r="B15" s="61"/>
      <c r="C15" s="62"/>
      <c r="D15" s="6" t="s">
        <v>24</v>
      </c>
      <c r="E15" s="6">
        <v>116</v>
      </c>
      <c r="F15" s="6">
        <v>103</v>
      </c>
      <c r="G15" s="6">
        <v>110</v>
      </c>
      <c r="H15" s="6">
        <v>126</v>
      </c>
      <c r="I15" s="6">
        <v>128</v>
      </c>
      <c r="J15" s="6">
        <v>130</v>
      </c>
      <c r="K15" s="6">
        <v>141</v>
      </c>
      <c r="L15" s="6">
        <v>131</v>
      </c>
      <c r="M15" s="6">
        <v>133</v>
      </c>
      <c r="N15" s="6">
        <v>124</v>
      </c>
      <c r="O15" s="6">
        <v>144</v>
      </c>
      <c r="P15" s="6">
        <v>143</v>
      </c>
      <c r="Q15" s="6">
        <v>129</v>
      </c>
      <c r="R15" s="6">
        <v>86</v>
      </c>
      <c r="S15" s="5">
        <f>SUM(E15:R15)</f>
        <v>1744</v>
      </c>
    </row>
    <row r="16" spans="1:19" x14ac:dyDescent="0.4">
      <c r="A16" s="8"/>
      <c r="B16" s="63"/>
      <c r="C16" s="64"/>
      <c r="D16" s="5" t="s">
        <v>25</v>
      </c>
      <c r="E16" s="5">
        <f t="shared" ref="E16:R16" si="0">SUM(E14:E15)</f>
        <v>234</v>
      </c>
      <c r="F16" s="5">
        <f t="shared" si="0"/>
        <v>200</v>
      </c>
      <c r="G16" s="5">
        <f t="shared" si="0"/>
        <v>212</v>
      </c>
      <c r="H16" s="5">
        <f t="shared" si="0"/>
        <v>259</v>
      </c>
      <c r="I16" s="5">
        <f t="shared" si="0"/>
        <v>264</v>
      </c>
      <c r="J16" s="5">
        <f t="shared" si="0"/>
        <v>257</v>
      </c>
      <c r="K16" s="5">
        <f t="shared" si="0"/>
        <v>275</v>
      </c>
      <c r="L16" s="5">
        <f t="shared" ref="L16:Q16" si="1">SUM(L14:L15)</f>
        <v>249</v>
      </c>
      <c r="M16" s="5">
        <f t="shared" si="1"/>
        <v>274</v>
      </c>
      <c r="N16" s="5">
        <f t="shared" si="1"/>
        <v>264</v>
      </c>
      <c r="O16" s="5">
        <f t="shared" si="1"/>
        <v>276</v>
      </c>
      <c r="P16" s="5">
        <f t="shared" si="1"/>
        <v>277</v>
      </c>
      <c r="Q16" s="5">
        <f t="shared" si="1"/>
        <v>272</v>
      </c>
      <c r="R16" s="5">
        <f t="shared" si="0"/>
        <v>180</v>
      </c>
      <c r="S16" s="5">
        <f>SUM(E16:R16)</f>
        <v>3493</v>
      </c>
    </row>
    <row r="17" spans="1:19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28"/>
    </row>
    <row r="18" spans="1:19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28"/>
    </row>
    <row r="19" spans="1:19" x14ac:dyDescent="0.4">
      <c r="A19" s="11"/>
      <c r="B19" s="65" t="s">
        <v>28</v>
      </c>
      <c r="C19" s="66" t="s">
        <v>29</v>
      </c>
      <c r="D19" s="6" t="s">
        <v>23</v>
      </c>
      <c r="E19" s="6">
        <v>85</v>
      </c>
      <c r="F19" s="6">
        <v>60</v>
      </c>
      <c r="G19" s="6">
        <v>73</v>
      </c>
      <c r="H19" s="6">
        <v>92</v>
      </c>
      <c r="I19" s="6">
        <v>96</v>
      </c>
      <c r="J19" s="6">
        <v>94</v>
      </c>
      <c r="K19" s="6">
        <v>100</v>
      </c>
      <c r="L19" s="6">
        <v>77</v>
      </c>
      <c r="M19" s="6">
        <v>96</v>
      </c>
      <c r="N19" s="6">
        <v>106</v>
      </c>
      <c r="O19" s="6">
        <v>109</v>
      </c>
      <c r="P19" s="6">
        <v>96</v>
      </c>
      <c r="Q19" s="6">
        <v>95</v>
      </c>
      <c r="R19" s="6">
        <v>74</v>
      </c>
      <c r="S19" s="5">
        <f t="shared" ref="S19:S30" si="2">SUM(E19:R19)</f>
        <v>1253</v>
      </c>
    </row>
    <row r="20" spans="1:19" x14ac:dyDescent="0.4">
      <c r="A20" s="12"/>
      <c r="B20" s="62"/>
      <c r="C20" s="67"/>
      <c r="D20" s="6" t="s">
        <v>24</v>
      </c>
      <c r="E20" s="6">
        <v>88</v>
      </c>
      <c r="F20" s="6">
        <v>72</v>
      </c>
      <c r="G20" s="6">
        <v>85</v>
      </c>
      <c r="H20" s="6">
        <v>100</v>
      </c>
      <c r="I20" s="6">
        <v>108</v>
      </c>
      <c r="J20" s="6">
        <v>89</v>
      </c>
      <c r="K20" s="6">
        <v>113</v>
      </c>
      <c r="L20" s="6">
        <v>96</v>
      </c>
      <c r="M20" s="6">
        <v>101</v>
      </c>
      <c r="N20" s="6">
        <v>111</v>
      </c>
      <c r="O20" s="6">
        <v>99</v>
      </c>
      <c r="P20" s="6">
        <v>102</v>
      </c>
      <c r="Q20" s="6">
        <v>103</v>
      </c>
      <c r="R20" s="6">
        <v>65</v>
      </c>
      <c r="S20" s="5">
        <f t="shared" si="2"/>
        <v>1332</v>
      </c>
    </row>
    <row r="21" spans="1:19" x14ac:dyDescent="0.4">
      <c r="A21" s="13"/>
      <c r="B21" s="64"/>
      <c r="C21" s="68"/>
      <c r="D21" s="5" t="s">
        <v>25</v>
      </c>
      <c r="E21" s="5">
        <f t="shared" ref="E21:R21" si="3">SUM(E19:E20)</f>
        <v>173</v>
      </c>
      <c r="F21" s="5">
        <f t="shared" si="3"/>
        <v>132</v>
      </c>
      <c r="G21" s="5">
        <f t="shared" si="3"/>
        <v>158</v>
      </c>
      <c r="H21" s="5">
        <f t="shared" si="3"/>
        <v>192</v>
      </c>
      <c r="I21" s="5">
        <f t="shared" si="3"/>
        <v>204</v>
      </c>
      <c r="J21" s="5">
        <f t="shared" si="3"/>
        <v>183</v>
      </c>
      <c r="K21" s="5">
        <f t="shared" si="3"/>
        <v>213</v>
      </c>
      <c r="L21" s="5">
        <f t="shared" ref="L21:Q21" si="4">SUM(L19:L20)</f>
        <v>173</v>
      </c>
      <c r="M21" s="5">
        <f t="shared" si="4"/>
        <v>197</v>
      </c>
      <c r="N21" s="5">
        <f t="shared" si="4"/>
        <v>217</v>
      </c>
      <c r="O21" s="5">
        <f t="shared" si="4"/>
        <v>208</v>
      </c>
      <c r="P21" s="5">
        <f t="shared" si="4"/>
        <v>198</v>
      </c>
      <c r="Q21" s="5">
        <f t="shared" si="4"/>
        <v>198</v>
      </c>
      <c r="R21" s="5">
        <f t="shared" si="3"/>
        <v>139</v>
      </c>
      <c r="S21" s="5">
        <f t="shared" si="2"/>
        <v>2585</v>
      </c>
    </row>
    <row r="22" spans="1:19" x14ac:dyDescent="0.4">
      <c r="A22" s="12"/>
      <c r="B22" s="65" t="s">
        <v>30</v>
      </c>
      <c r="C22" s="66" t="s">
        <v>31</v>
      </c>
      <c r="D22" s="6" t="s">
        <v>23</v>
      </c>
      <c r="E22" s="6">
        <v>1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2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5">
        <f t="shared" si="2"/>
        <v>5</v>
      </c>
    </row>
    <row r="23" spans="1:19" x14ac:dyDescent="0.4">
      <c r="A23" s="12"/>
      <c r="B23" s="62"/>
      <c r="C23" s="67"/>
      <c r="D23" s="6" t="s">
        <v>24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1</v>
      </c>
      <c r="N23" s="6">
        <v>0</v>
      </c>
      <c r="O23" s="6">
        <v>0</v>
      </c>
      <c r="P23" s="6">
        <v>1</v>
      </c>
      <c r="Q23" s="6">
        <v>1</v>
      </c>
      <c r="R23" s="6">
        <v>0</v>
      </c>
      <c r="S23" s="5">
        <f t="shared" si="2"/>
        <v>5</v>
      </c>
    </row>
    <row r="24" spans="1:19" x14ac:dyDescent="0.4">
      <c r="A24" s="13"/>
      <c r="B24" s="64"/>
      <c r="C24" s="68"/>
      <c r="D24" s="5" t="s">
        <v>25</v>
      </c>
      <c r="E24" s="5">
        <f t="shared" ref="E24:R24" si="5">SUM(E22:E23)</f>
        <v>2</v>
      </c>
      <c r="F24" s="5">
        <f t="shared" si="5"/>
        <v>0</v>
      </c>
      <c r="G24" s="5">
        <f t="shared" si="5"/>
        <v>1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2</v>
      </c>
      <c r="L24" s="5">
        <f t="shared" ref="L24:Q24" si="6">SUM(L22:L23)</f>
        <v>2</v>
      </c>
      <c r="M24" s="5">
        <f t="shared" si="6"/>
        <v>1</v>
      </c>
      <c r="N24" s="5">
        <f t="shared" si="6"/>
        <v>0</v>
      </c>
      <c r="O24" s="5">
        <f t="shared" si="6"/>
        <v>0</v>
      </c>
      <c r="P24" s="5">
        <f t="shared" si="6"/>
        <v>1</v>
      </c>
      <c r="Q24" s="5">
        <f t="shared" si="6"/>
        <v>1</v>
      </c>
      <c r="R24" s="5">
        <f t="shared" si="5"/>
        <v>0</v>
      </c>
      <c r="S24" s="5">
        <f t="shared" si="2"/>
        <v>10</v>
      </c>
    </row>
    <row r="25" spans="1:19" x14ac:dyDescent="0.4">
      <c r="A25" s="12"/>
      <c r="B25" s="65" t="s">
        <v>32</v>
      </c>
      <c r="C25" s="66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3</v>
      </c>
      <c r="M25" s="6">
        <v>0</v>
      </c>
      <c r="N25" s="6">
        <v>0</v>
      </c>
      <c r="O25" s="6">
        <v>3</v>
      </c>
      <c r="P25" s="6">
        <v>0</v>
      </c>
      <c r="Q25" s="6">
        <v>0</v>
      </c>
      <c r="R25" s="6">
        <v>0</v>
      </c>
      <c r="S25" s="5">
        <f t="shared" si="2"/>
        <v>6</v>
      </c>
    </row>
    <row r="26" spans="1:19" x14ac:dyDescent="0.4">
      <c r="A26" s="12"/>
      <c r="B26" s="62"/>
      <c r="C26" s="67"/>
      <c r="D26" s="6" t="s">
        <v>24</v>
      </c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1</v>
      </c>
      <c r="L26" s="6">
        <v>1</v>
      </c>
      <c r="M26" s="6">
        <v>3</v>
      </c>
      <c r="N26" s="6">
        <v>0</v>
      </c>
      <c r="O26" s="6">
        <v>3</v>
      </c>
      <c r="P26" s="6">
        <v>3</v>
      </c>
      <c r="Q26" s="6">
        <v>0</v>
      </c>
      <c r="R26" s="6">
        <v>0</v>
      </c>
      <c r="S26" s="5">
        <f t="shared" si="2"/>
        <v>12</v>
      </c>
    </row>
    <row r="27" spans="1:19" x14ac:dyDescent="0.4">
      <c r="A27" s="13"/>
      <c r="B27" s="64"/>
      <c r="C27" s="68"/>
      <c r="D27" s="5" t="s">
        <v>25</v>
      </c>
      <c r="E27" s="5">
        <f t="shared" ref="E27:R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1</v>
      </c>
      <c r="I27" s="5">
        <f t="shared" si="7"/>
        <v>0</v>
      </c>
      <c r="J27" s="5">
        <f t="shared" si="7"/>
        <v>0</v>
      </c>
      <c r="K27" s="5">
        <f t="shared" si="7"/>
        <v>1</v>
      </c>
      <c r="L27" s="5">
        <f t="shared" ref="L27:Q27" si="8">SUM(L25:L26)</f>
        <v>4</v>
      </c>
      <c r="M27" s="5">
        <f t="shared" si="8"/>
        <v>3</v>
      </c>
      <c r="N27" s="5">
        <f t="shared" si="8"/>
        <v>0</v>
      </c>
      <c r="O27" s="5">
        <f t="shared" si="8"/>
        <v>6</v>
      </c>
      <c r="P27" s="5">
        <f t="shared" si="8"/>
        <v>3</v>
      </c>
      <c r="Q27" s="5">
        <f t="shared" si="8"/>
        <v>0</v>
      </c>
      <c r="R27" s="5">
        <f t="shared" si="7"/>
        <v>0</v>
      </c>
      <c r="S27" s="5">
        <f t="shared" si="2"/>
        <v>18</v>
      </c>
    </row>
    <row r="28" spans="1:19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86</v>
      </c>
      <c r="F28" s="5">
        <f t="shared" ref="F28:R29" si="9">SUM(F19,F22,F25)</f>
        <v>60</v>
      </c>
      <c r="G28" s="5">
        <f t="shared" si="9"/>
        <v>74</v>
      </c>
      <c r="H28" s="5">
        <f t="shared" si="9"/>
        <v>92</v>
      </c>
      <c r="I28" s="5">
        <f t="shared" si="9"/>
        <v>96</v>
      </c>
      <c r="J28" s="5">
        <f t="shared" si="9"/>
        <v>94</v>
      </c>
      <c r="K28" s="5">
        <f t="shared" si="9"/>
        <v>102</v>
      </c>
      <c r="L28" s="5">
        <f t="shared" ref="L28:Q28" si="10">SUM(L19,L22,L25)</f>
        <v>81</v>
      </c>
      <c r="M28" s="5">
        <f t="shared" si="10"/>
        <v>96</v>
      </c>
      <c r="N28" s="5">
        <f t="shared" si="10"/>
        <v>106</v>
      </c>
      <c r="O28" s="5">
        <f t="shared" si="10"/>
        <v>112</v>
      </c>
      <c r="P28" s="5">
        <f t="shared" si="10"/>
        <v>96</v>
      </c>
      <c r="Q28" s="5">
        <f t="shared" si="10"/>
        <v>95</v>
      </c>
      <c r="R28" s="5">
        <f t="shared" si="9"/>
        <v>74</v>
      </c>
      <c r="S28" s="5">
        <f t="shared" si="2"/>
        <v>1264</v>
      </c>
    </row>
    <row r="29" spans="1:19" x14ac:dyDescent="0.4">
      <c r="A29" s="13"/>
      <c r="B29" s="62"/>
      <c r="C29" s="67"/>
      <c r="D29" s="5" t="s">
        <v>24</v>
      </c>
      <c r="E29" s="5">
        <f>SUM(E20,E23,E26)</f>
        <v>89</v>
      </c>
      <c r="F29" s="5">
        <f t="shared" si="9"/>
        <v>72</v>
      </c>
      <c r="G29" s="5">
        <f t="shared" si="9"/>
        <v>85</v>
      </c>
      <c r="H29" s="5">
        <f t="shared" si="9"/>
        <v>101</v>
      </c>
      <c r="I29" s="5">
        <f t="shared" si="9"/>
        <v>108</v>
      </c>
      <c r="J29" s="5">
        <f t="shared" si="9"/>
        <v>89</v>
      </c>
      <c r="K29" s="5">
        <f t="shared" si="9"/>
        <v>114</v>
      </c>
      <c r="L29" s="5">
        <f t="shared" ref="L29:Q29" si="11">SUM(L20,L23,L26)</f>
        <v>98</v>
      </c>
      <c r="M29" s="5">
        <f t="shared" si="11"/>
        <v>105</v>
      </c>
      <c r="N29" s="5">
        <f t="shared" si="11"/>
        <v>111</v>
      </c>
      <c r="O29" s="5">
        <f t="shared" si="11"/>
        <v>102</v>
      </c>
      <c r="P29" s="5">
        <f t="shared" si="11"/>
        <v>106</v>
      </c>
      <c r="Q29" s="5">
        <f t="shared" si="11"/>
        <v>104</v>
      </c>
      <c r="R29" s="5">
        <f t="shared" si="9"/>
        <v>65</v>
      </c>
      <c r="S29" s="5">
        <f t="shared" si="2"/>
        <v>1349</v>
      </c>
    </row>
    <row r="30" spans="1:19" x14ac:dyDescent="0.4">
      <c r="A30" s="13"/>
      <c r="B30" s="64"/>
      <c r="C30" s="68"/>
      <c r="D30" s="5" t="s">
        <v>25</v>
      </c>
      <c r="E30" s="5">
        <f t="shared" ref="E30" si="12">SUM(E28:E29)</f>
        <v>175</v>
      </c>
      <c r="F30" s="5">
        <f t="shared" ref="F30:R30" si="13">SUM(F28:F29)</f>
        <v>132</v>
      </c>
      <c r="G30" s="5">
        <f t="shared" si="13"/>
        <v>159</v>
      </c>
      <c r="H30" s="5">
        <f t="shared" si="13"/>
        <v>193</v>
      </c>
      <c r="I30" s="5">
        <f t="shared" si="13"/>
        <v>204</v>
      </c>
      <c r="J30" s="5">
        <f t="shared" si="13"/>
        <v>183</v>
      </c>
      <c r="K30" s="5">
        <f t="shared" si="13"/>
        <v>216</v>
      </c>
      <c r="L30" s="5">
        <f t="shared" ref="L30:Q30" si="14">SUM(L28:L29)</f>
        <v>179</v>
      </c>
      <c r="M30" s="5">
        <f t="shared" si="14"/>
        <v>201</v>
      </c>
      <c r="N30" s="5">
        <f t="shared" si="14"/>
        <v>217</v>
      </c>
      <c r="O30" s="5">
        <f t="shared" si="14"/>
        <v>214</v>
      </c>
      <c r="P30" s="5">
        <f t="shared" si="14"/>
        <v>202</v>
      </c>
      <c r="Q30" s="5">
        <f t="shared" si="14"/>
        <v>199</v>
      </c>
      <c r="R30" s="5">
        <f t="shared" si="13"/>
        <v>139</v>
      </c>
      <c r="S30" s="5">
        <f t="shared" si="2"/>
        <v>2613</v>
      </c>
    </row>
    <row r="31" spans="1:19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28"/>
    </row>
    <row r="32" spans="1:19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28"/>
    </row>
    <row r="33" spans="1:19" x14ac:dyDescent="0.4">
      <c r="A33" s="6">
        <v>1</v>
      </c>
      <c r="B33" s="58" t="s">
        <v>38</v>
      </c>
      <c r="C33" s="51"/>
      <c r="D33" s="52"/>
      <c r="E33" s="6">
        <v>239</v>
      </c>
      <c r="F33" s="6">
        <v>204</v>
      </c>
      <c r="G33" s="6">
        <v>216</v>
      </c>
      <c r="H33" s="6">
        <v>264</v>
      </c>
      <c r="I33" s="6">
        <v>269</v>
      </c>
      <c r="J33" s="6">
        <v>262</v>
      </c>
      <c r="K33" s="6">
        <v>281</v>
      </c>
      <c r="L33" s="6">
        <v>254</v>
      </c>
      <c r="M33" s="6">
        <v>279</v>
      </c>
      <c r="N33" s="6">
        <v>269</v>
      </c>
      <c r="O33" s="6">
        <v>282</v>
      </c>
      <c r="P33" s="6">
        <v>283</v>
      </c>
      <c r="Q33" s="6">
        <v>278</v>
      </c>
      <c r="R33" s="6">
        <v>169</v>
      </c>
      <c r="S33" s="5">
        <f>SUM(E33:R33)</f>
        <v>3549</v>
      </c>
    </row>
    <row r="34" spans="1:19" x14ac:dyDescent="0.4">
      <c r="A34" s="6">
        <v>2</v>
      </c>
      <c r="B34" s="58" t="s">
        <v>39</v>
      </c>
      <c r="C34" s="51"/>
      <c r="D34" s="52"/>
      <c r="E34" s="5">
        <v>175</v>
      </c>
      <c r="F34" s="5">
        <v>132</v>
      </c>
      <c r="G34" s="5">
        <v>159</v>
      </c>
      <c r="H34" s="5">
        <v>193</v>
      </c>
      <c r="I34" s="5">
        <v>204</v>
      </c>
      <c r="J34" s="5">
        <v>183</v>
      </c>
      <c r="K34" s="5">
        <v>216</v>
      </c>
      <c r="L34" s="5">
        <v>179</v>
      </c>
      <c r="M34" s="5">
        <v>201</v>
      </c>
      <c r="N34" s="5">
        <v>217</v>
      </c>
      <c r="O34" s="5">
        <v>214</v>
      </c>
      <c r="P34" s="5">
        <v>202</v>
      </c>
      <c r="Q34" s="5">
        <v>199</v>
      </c>
      <c r="R34" s="5">
        <v>139</v>
      </c>
      <c r="S34" s="5">
        <f>SUM(E34:R34)</f>
        <v>2613</v>
      </c>
    </row>
    <row r="35" spans="1:19" x14ac:dyDescent="0.4">
      <c r="A35" s="6">
        <v>3</v>
      </c>
      <c r="B35" s="58" t="s">
        <v>40</v>
      </c>
      <c r="C35" s="51"/>
      <c r="D35" s="52"/>
      <c r="E35" s="6">
        <v>0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3</v>
      </c>
      <c r="L35" s="6">
        <v>0</v>
      </c>
      <c r="M35" s="6">
        <v>0</v>
      </c>
      <c r="N35" s="6">
        <v>0</v>
      </c>
      <c r="O35" s="6">
        <v>1</v>
      </c>
      <c r="P35" s="6">
        <v>1</v>
      </c>
      <c r="Q35" s="6">
        <v>0</v>
      </c>
      <c r="R35" s="6">
        <v>0</v>
      </c>
      <c r="S35" s="5">
        <f>SUM(E35:R35)</f>
        <v>7</v>
      </c>
    </row>
    <row r="36" spans="1:19" x14ac:dyDescent="0.4">
      <c r="A36" s="6">
        <v>4</v>
      </c>
      <c r="B36" s="58" t="s">
        <v>41</v>
      </c>
      <c r="C36" s="51"/>
      <c r="D36" s="52"/>
      <c r="E36" s="5">
        <f t="shared" ref="E36:R36" si="15">E33-(E34+E35)</f>
        <v>64</v>
      </c>
      <c r="F36" s="5">
        <f t="shared" si="15"/>
        <v>72</v>
      </c>
      <c r="G36" s="5">
        <f t="shared" si="15"/>
        <v>55</v>
      </c>
      <c r="H36" s="5">
        <f t="shared" si="15"/>
        <v>71</v>
      </c>
      <c r="I36" s="5">
        <f t="shared" si="15"/>
        <v>65</v>
      </c>
      <c r="J36" s="5">
        <f t="shared" si="15"/>
        <v>79</v>
      </c>
      <c r="K36" s="5">
        <f t="shared" si="15"/>
        <v>62</v>
      </c>
      <c r="L36" s="5">
        <f t="shared" ref="L36:Q36" si="16">L33-(L34+L35)</f>
        <v>75</v>
      </c>
      <c r="M36" s="5">
        <f t="shared" si="16"/>
        <v>78</v>
      </c>
      <c r="N36" s="5">
        <f t="shared" si="16"/>
        <v>52</v>
      </c>
      <c r="O36" s="5">
        <f t="shared" si="16"/>
        <v>67</v>
      </c>
      <c r="P36" s="5">
        <f t="shared" si="16"/>
        <v>80</v>
      </c>
      <c r="Q36" s="5">
        <f t="shared" si="16"/>
        <v>79</v>
      </c>
      <c r="R36" s="5">
        <f t="shared" si="15"/>
        <v>30</v>
      </c>
      <c r="S36" s="5">
        <f>SUM(E36:R36)</f>
        <v>929</v>
      </c>
    </row>
    <row r="37" spans="1:19" x14ac:dyDescent="0.4">
      <c r="A37" s="50"/>
      <c r="B37" s="51"/>
      <c r="C37" s="51"/>
      <c r="D37" s="51"/>
      <c r="E37" s="50"/>
      <c r="F37" s="72"/>
      <c r="G37" s="72"/>
      <c r="H37" s="72"/>
      <c r="I37" s="73"/>
      <c r="J37" s="6"/>
      <c r="K37" s="6"/>
      <c r="L37" s="6"/>
      <c r="M37" s="6"/>
      <c r="N37" s="10"/>
      <c r="O37" s="26"/>
      <c r="P37" s="26"/>
      <c r="Q37" s="26"/>
      <c r="R37" s="6"/>
      <c r="S37" s="28"/>
    </row>
    <row r="38" spans="1:19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28"/>
    </row>
    <row r="39" spans="1:19" x14ac:dyDescent="0.4">
      <c r="A39" s="11"/>
      <c r="B39" s="74" t="s">
        <v>44</v>
      </c>
      <c r="C39" s="60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0</v>
      </c>
      <c r="S39" s="5">
        <f>SUM(E39:R39)</f>
        <v>1</v>
      </c>
    </row>
    <row r="40" spans="1:19" x14ac:dyDescent="0.4">
      <c r="A40" s="12"/>
      <c r="B40" s="75"/>
      <c r="C40" s="62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5">
        <f>SUM(E40:R40)</f>
        <v>0</v>
      </c>
    </row>
    <row r="41" spans="1:19" x14ac:dyDescent="0.4">
      <c r="A41" s="14"/>
      <c r="B41" s="76"/>
      <c r="C41" s="64"/>
      <c r="D41" s="5" t="s">
        <v>25</v>
      </c>
      <c r="E41" s="5">
        <f t="shared" ref="E41:R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ref="L41:Q41" si="18">SUM(L39:L40)</f>
        <v>0</v>
      </c>
      <c r="M41" s="5">
        <f t="shared" si="18"/>
        <v>0</v>
      </c>
      <c r="N41" s="5">
        <f t="shared" si="18"/>
        <v>0</v>
      </c>
      <c r="O41" s="5">
        <f t="shared" si="18"/>
        <v>0</v>
      </c>
      <c r="P41" s="5">
        <f t="shared" si="18"/>
        <v>1</v>
      </c>
      <c r="Q41" s="5">
        <f t="shared" si="18"/>
        <v>0</v>
      </c>
      <c r="R41" s="5">
        <f t="shared" si="17"/>
        <v>0</v>
      </c>
      <c r="S41" s="5">
        <f>SUM(E41:R41)</f>
        <v>1</v>
      </c>
    </row>
    <row r="42" spans="1:19" x14ac:dyDescent="0.4">
      <c r="A42" s="77"/>
      <c r="B42" s="76"/>
      <c r="C42" s="76"/>
      <c r="D42" s="64"/>
      <c r="E42" s="50"/>
      <c r="F42" s="51"/>
      <c r="G42" s="51"/>
      <c r="H42" s="51"/>
      <c r="I42" s="52"/>
      <c r="J42" s="6"/>
      <c r="K42" s="6"/>
      <c r="L42" s="6"/>
      <c r="M42" s="6"/>
      <c r="N42" s="10"/>
      <c r="O42" s="6"/>
      <c r="P42" s="10"/>
      <c r="Q42" s="6"/>
      <c r="R42" s="6"/>
      <c r="S42" s="5"/>
    </row>
    <row r="43" spans="1:19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</row>
    <row r="44" spans="1:19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5"/>
    </row>
    <row r="45" spans="1:19" x14ac:dyDescent="0.4">
      <c r="A45" s="11" t="s">
        <v>48</v>
      </c>
      <c r="B45" s="17" t="s">
        <v>28</v>
      </c>
      <c r="C45" s="79" t="s">
        <v>49</v>
      </c>
      <c r="D45" s="52"/>
      <c r="E45" s="6">
        <v>9</v>
      </c>
      <c r="F45" s="6">
        <v>8</v>
      </c>
      <c r="G45" s="6">
        <v>3</v>
      </c>
      <c r="H45" s="6">
        <v>3</v>
      </c>
      <c r="I45" s="6">
        <v>1</v>
      </c>
      <c r="J45" s="6">
        <v>3</v>
      </c>
      <c r="K45" s="6">
        <v>6</v>
      </c>
      <c r="L45" s="6">
        <v>5</v>
      </c>
      <c r="M45" s="6">
        <v>3</v>
      </c>
      <c r="N45" s="6">
        <v>5</v>
      </c>
      <c r="O45" s="6">
        <v>9</v>
      </c>
      <c r="P45" s="6">
        <v>2</v>
      </c>
      <c r="Q45" s="6">
        <v>3</v>
      </c>
      <c r="R45" s="6">
        <v>14</v>
      </c>
      <c r="S45" s="5">
        <f t="shared" ref="S45:S51" si="19">SUM(E45:R45)</f>
        <v>74</v>
      </c>
    </row>
    <row r="46" spans="1:19" x14ac:dyDescent="0.4">
      <c r="A46" s="11" t="s">
        <v>50</v>
      </c>
      <c r="B46" s="46"/>
      <c r="C46" s="24" t="s">
        <v>104</v>
      </c>
      <c r="D46" s="47"/>
      <c r="E46" s="6">
        <v>23</v>
      </c>
      <c r="F46" s="6">
        <v>13</v>
      </c>
      <c r="G46" s="6">
        <v>7</v>
      </c>
      <c r="H46" s="6">
        <v>27</v>
      </c>
      <c r="I46" s="6">
        <v>3</v>
      </c>
      <c r="J46" s="6">
        <v>0</v>
      </c>
      <c r="K46" s="6">
        <v>24</v>
      </c>
      <c r="L46" s="6">
        <v>16</v>
      </c>
      <c r="M46" s="6">
        <v>4</v>
      </c>
      <c r="N46" s="6">
        <v>1</v>
      </c>
      <c r="O46" s="6">
        <v>1</v>
      </c>
      <c r="P46" s="6">
        <v>3</v>
      </c>
      <c r="Q46" s="6">
        <v>3</v>
      </c>
      <c r="R46" s="6">
        <v>43</v>
      </c>
      <c r="S46" s="5">
        <f t="shared" si="19"/>
        <v>168</v>
      </c>
    </row>
    <row r="47" spans="1:19" x14ac:dyDescent="0.4">
      <c r="A47" s="7"/>
      <c r="B47" s="46"/>
      <c r="C47" s="24" t="s">
        <v>105</v>
      </c>
      <c r="D47" s="47"/>
      <c r="E47" s="6">
        <v>10</v>
      </c>
      <c r="F47" s="6">
        <v>2</v>
      </c>
      <c r="G47" s="6">
        <v>5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10</v>
      </c>
      <c r="N47" s="6">
        <v>32</v>
      </c>
      <c r="O47" s="6">
        <v>4</v>
      </c>
      <c r="P47" s="6">
        <v>5</v>
      </c>
      <c r="Q47" s="6">
        <v>12</v>
      </c>
      <c r="R47" s="6">
        <v>3</v>
      </c>
      <c r="S47" s="5">
        <f t="shared" si="19"/>
        <v>84</v>
      </c>
    </row>
    <row r="48" spans="1:19" x14ac:dyDescent="0.4">
      <c r="A48" s="7"/>
      <c r="B48" s="46"/>
      <c r="C48" s="24" t="s">
        <v>106</v>
      </c>
      <c r="D48" s="47"/>
      <c r="E48" s="6">
        <v>0</v>
      </c>
      <c r="F48" s="6">
        <v>0</v>
      </c>
      <c r="G48" s="6">
        <v>0</v>
      </c>
      <c r="H48" s="6">
        <v>2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>
        <v>1</v>
      </c>
      <c r="Q48" s="6">
        <v>0</v>
      </c>
      <c r="R48" s="6">
        <v>0</v>
      </c>
      <c r="S48" s="5">
        <f t="shared" si="19"/>
        <v>5</v>
      </c>
    </row>
    <row r="49" spans="1:19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5">
        <f t="shared" si="19"/>
        <v>1</v>
      </c>
    </row>
    <row r="50" spans="1:19" x14ac:dyDescent="0.4">
      <c r="A50" s="7"/>
      <c r="B50" s="46"/>
      <c r="C50" s="24" t="s">
        <v>108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5">
        <f t="shared" si="19"/>
        <v>0</v>
      </c>
    </row>
    <row r="51" spans="1:19" x14ac:dyDescent="0.4">
      <c r="A51" s="7"/>
      <c r="B51" s="46"/>
      <c r="C51" s="24" t="s">
        <v>109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2</v>
      </c>
      <c r="R51" s="6">
        <v>0</v>
      </c>
      <c r="S51" s="5">
        <f t="shared" si="19"/>
        <v>2</v>
      </c>
    </row>
    <row r="52" spans="1:19" x14ac:dyDescent="0.4">
      <c r="A52" s="6" t="s">
        <v>26</v>
      </c>
      <c r="B52" s="71" t="s">
        <v>51</v>
      </c>
      <c r="C52" s="51"/>
      <c r="D52" s="52"/>
      <c r="E52" s="5">
        <f>SUM(E45:E51)</f>
        <v>42</v>
      </c>
      <c r="F52" s="5">
        <f>SUM(F45:F51)</f>
        <v>23</v>
      </c>
      <c r="G52" s="5">
        <f>SUM(G45:G51)</f>
        <v>15</v>
      </c>
      <c r="H52" s="5">
        <f>SUM(H45:H51)</f>
        <v>33</v>
      </c>
      <c r="I52" s="5">
        <f>SUM(I45:I51)</f>
        <v>4</v>
      </c>
      <c r="J52" s="5">
        <f>SUM(J45:J51)</f>
        <v>3</v>
      </c>
      <c r="K52" s="5">
        <f>SUM(K45:K51)</f>
        <v>30</v>
      </c>
      <c r="L52" s="5">
        <f>SUM(L45:L51)</f>
        <v>22</v>
      </c>
      <c r="M52" s="5">
        <f>SUM(M45:M51)</f>
        <v>17</v>
      </c>
      <c r="N52" s="5">
        <f>SUM(N45:N51)</f>
        <v>40</v>
      </c>
      <c r="O52" s="5">
        <f>SUM(O45:O51)</f>
        <v>14</v>
      </c>
      <c r="P52" s="5">
        <f>SUM(P45:P51)</f>
        <v>11</v>
      </c>
      <c r="Q52" s="5">
        <f>SUM(Q45:Q51)</f>
        <v>20</v>
      </c>
      <c r="R52" s="5">
        <f>SUM(R45:R51)</f>
        <v>60</v>
      </c>
      <c r="S52" s="5">
        <f>SUM(S45:S51)</f>
        <v>334</v>
      </c>
    </row>
    <row r="53" spans="1:19" x14ac:dyDescent="0.4">
      <c r="A53" s="77"/>
      <c r="B53" s="76"/>
      <c r="C53" s="76"/>
      <c r="D53" s="76"/>
      <c r="E53" s="76"/>
      <c r="S53" s="5"/>
    </row>
    <row r="54" spans="1:19" x14ac:dyDescent="0.4">
      <c r="A54" s="11" t="s">
        <v>48</v>
      </c>
      <c r="B54" s="17" t="s">
        <v>30</v>
      </c>
      <c r="C54" s="79" t="s">
        <v>52</v>
      </c>
      <c r="D54" s="52"/>
      <c r="E54" s="6">
        <v>10</v>
      </c>
      <c r="F54" s="6">
        <v>18</v>
      </c>
      <c r="G54" s="6">
        <v>7</v>
      </c>
      <c r="H54" s="6">
        <v>17</v>
      </c>
      <c r="I54" s="6">
        <v>15</v>
      </c>
      <c r="J54" s="6">
        <v>28</v>
      </c>
      <c r="K54" s="6">
        <v>13</v>
      </c>
      <c r="L54" s="6">
        <v>13</v>
      </c>
      <c r="M54" s="6">
        <v>17</v>
      </c>
      <c r="N54" s="6">
        <v>25</v>
      </c>
      <c r="O54" s="6">
        <v>23</v>
      </c>
      <c r="P54" s="6">
        <v>21</v>
      </c>
      <c r="Q54" s="6">
        <v>17</v>
      </c>
      <c r="R54" s="6">
        <v>18</v>
      </c>
      <c r="S54" s="5">
        <f t="shared" ref="S54:S60" si="20">SUM(E54:R54)</f>
        <v>242</v>
      </c>
    </row>
    <row r="55" spans="1:19" x14ac:dyDescent="0.4">
      <c r="A55" s="11" t="s">
        <v>50</v>
      </c>
      <c r="B55" s="46"/>
      <c r="C55" s="24" t="s">
        <v>110</v>
      </c>
      <c r="D55" s="47"/>
      <c r="E55" s="6">
        <v>41</v>
      </c>
      <c r="F55" s="6">
        <v>38</v>
      </c>
      <c r="G55" s="6">
        <v>38</v>
      </c>
      <c r="H55" s="6">
        <v>42</v>
      </c>
      <c r="I55" s="6">
        <v>152</v>
      </c>
      <c r="J55" s="6">
        <v>124</v>
      </c>
      <c r="K55" s="6">
        <v>114</v>
      </c>
      <c r="L55" s="6">
        <v>40</v>
      </c>
      <c r="M55" s="6">
        <v>111</v>
      </c>
      <c r="N55" s="6">
        <v>80</v>
      </c>
      <c r="O55" s="6">
        <v>110</v>
      </c>
      <c r="P55" s="6">
        <v>88</v>
      </c>
      <c r="Q55" s="6">
        <v>85</v>
      </c>
      <c r="R55" s="6">
        <v>20</v>
      </c>
      <c r="S55" s="5">
        <f t="shared" si="20"/>
        <v>1083</v>
      </c>
    </row>
    <row r="56" spans="1:19" x14ac:dyDescent="0.4">
      <c r="A56" s="7"/>
      <c r="B56" s="46"/>
      <c r="C56" s="24" t="s">
        <v>111</v>
      </c>
      <c r="D56" s="47"/>
      <c r="E56" s="6">
        <v>20</v>
      </c>
      <c r="F56" s="6">
        <v>23</v>
      </c>
      <c r="G56" s="6">
        <v>12</v>
      </c>
      <c r="H56" s="6">
        <v>39</v>
      </c>
      <c r="I56" s="6">
        <v>12</v>
      </c>
      <c r="J56" s="6">
        <v>16</v>
      </c>
      <c r="K56" s="6">
        <v>31</v>
      </c>
      <c r="L56" s="6">
        <v>54</v>
      </c>
      <c r="M56" s="6">
        <v>13</v>
      </c>
      <c r="N56" s="6">
        <v>21</v>
      </c>
      <c r="O56" s="6">
        <v>11</v>
      </c>
      <c r="P56" s="6">
        <v>22</v>
      </c>
      <c r="Q56" s="6">
        <v>5</v>
      </c>
      <c r="R56" s="6">
        <v>12</v>
      </c>
      <c r="S56" s="5">
        <f t="shared" si="20"/>
        <v>291</v>
      </c>
    </row>
    <row r="57" spans="1:19" x14ac:dyDescent="0.4">
      <c r="A57" s="7"/>
      <c r="B57" s="46"/>
      <c r="C57" s="24" t="s">
        <v>112</v>
      </c>
      <c r="D57" s="47"/>
      <c r="E57" s="6">
        <v>1</v>
      </c>
      <c r="F57" s="6">
        <v>1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5">
        <f t="shared" si="20"/>
        <v>4</v>
      </c>
    </row>
    <row r="58" spans="1:19" x14ac:dyDescent="0.4">
      <c r="A58" s="7"/>
      <c r="B58" s="46"/>
      <c r="C58" s="24" t="s">
        <v>113</v>
      </c>
      <c r="D58" s="47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3</v>
      </c>
      <c r="L58" s="6">
        <v>0</v>
      </c>
      <c r="M58" s="6">
        <v>0</v>
      </c>
      <c r="N58" s="6">
        <v>1</v>
      </c>
      <c r="O58" s="6">
        <v>0</v>
      </c>
      <c r="P58" s="6">
        <v>1</v>
      </c>
      <c r="Q58" s="6">
        <v>0</v>
      </c>
      <c r="R58" s="6">
        <v>0</v>
      </c>
      <c r="S58" s="5">
        <f t="shared" si="20"/>
        <v>5</v>
      </c>
    </row>
    <row r="59" spans="1:19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5">
        <f t="shared" si="20"/>
        <v>1</v>
      </c>
    </row>
    <row r="60" spans="1:19" ht="13.15" customHeight="1" x14ac:dyDescent="0.4">
      <c r="A60" s="7"/>
      <c r="B60" s="46"/>
      <c r="C60" s="24" t="s">
        <v>115</v>
      </c>
      <c r="D60" s="47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5">
        <f t="shared" si="20"/>
        <v>0</v>
      </c>
    </row>
    <row r="61" spans="1:19" x14ac:dyDescent="0.4">
      <c r="A61" s="6" t="s">
        <v>26</v>
      </c>
      <c r="B61" s="71" t="s">
        <v>51</v>
      </c>
      <c r="C61" s="51"/>
      <c r="D61" s="52"/>
      <c r="E61" s="5">
        <f>SUM(E54:E60)</f>
        <v>72</v>
      </c>
      <c r="F61" s="5">
        <f>SUM(F54:F60)</f>
        <v>80</v>
      </c>
      <c r="G61" s="5">
        <f>SUM(G54:G60)</f>
        <v>58</v>
      </c>
      <c r="H61" s="5">
        <f>SUM(H54:H60)</f>
        <v>98</v>
      </c>
      <c r="I61" s="5">
        <f>SUM(I54:I60)</f>
        <v>179</v>
      </c>
      <c r="J61" s="5">
        <f>SUM(J54:J60)</f>
        <v>168</v>
      </c>
      <c r="K61" s="5">
        <f>SUM(K54:K60)</f>
        <v>161</v>
      </c>
      <c r="L61" s="5">
        <f>SUM(L54:L60)</f>
        <v>108</v>
      </c>
      <c r="M61" s="5">
        <f>SUM(M54:M60)</f>
        <v>142</v>
      </c>
      <c r="N61" s="5">
        <f>SUM(N54:N60)</f>
        <v>127</v>
      </c>
      <c r="O61" s="5">
        <f>SUM(O54:O60)</f>
        <v>144</v>
      </c>
      <c r="P61" s="5">
        <f>SUM(P54:P60)</f>
        <v>132</v>
      </c>
      <c r="Q61" s="5">
        <f>SUM(Q54:Q60)</f>
        <v>107</v>
      </c>
      <c r="R61" s="5">
        <f>SUM(R54:R60)</f>
        <v>50</v>
      </c>
      <c r="S61" s="5">
        <f>SUM(S54:S60)</f>
        <v>1626</v>
      </c>
    </row>
    <row r="62" spans="1:19" x14ac:dyDescent="0.4">
      <c r="A62" s="77"/>
      <c r="B62" s="76"/>
      <c r="C62" s="76"/>
      <c r="D62" s="76"/>
      <c r="E62" s="76"/>
    </row>
    <row r="63" spans="1:19" x14ac:dyDescent="0.4">
      <c r="A63" s="11" t="s">
        <v>48</v>
      </c>
      <c r="B63" s="17" t="s">
        <v>32</v>
      </c>
      <c r="C63" s="79" t="s">
        <v>53</v>
      </c>
      <c r="D63" s="52"/>
      <c r="E63" s="6">
        <v>1</v>
      </c>
      <c r="F63" s="6">
        <v>1</v>
      </c>
      <c r="G63" s="6">
        <v>0</v>
      </c>
      <c r="H63" s="6">
        <v>3</v>
      </c>
      <c r="I63" s="6">
        <v>3</v>
      </c>
      <c r="J63" s="6">
        <v>2</v>
      </c>
      <c r="K63" s="6">
        <v>1</v>
      </c>
      <c r="L63" s="6">
        <v>4</v>
      </c>
      <c r="M63" s="6">
        <v>4</v>
      </c>
      <c r="N63" s="6">
        <v>7</v>
      </c>
      <c r="O63" s="6">
        <v>13</v>
      </c>
      <c r="P63" s="6">
        <v>4</v>
      </c>
      <c r="Q63" s="6">
        <v>10</v>
      </c>
      <c r="R63" s="6">
        <v>3</v>
      </c>
      <c r="S63" s="5">
        <f t="shared" ref="S63:S69" si="21">SUM(E63:R63)</f>
        <v>56</v>
      </c>
    </row>
    <row r="64" spans="1:19" x14ac:dyDescent="0.4">
      <c r="A64" s="11" t="s">
        <v>50</v>
      </c>
      <c r="B64" s="46"/>
      <c r="C64" s="24" t="s">
        <v>116</v>
      </c>
      <c r="D64" s="47"/>
      <c r="E64" s="6">
        <v>1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1</v>
      </c>
      <c r="N64" s="6">
        <v>1</v>
      </c>
      <c r="O64" s="6">
        <v>0</v>
      </c>
      <c r="P64" s="6">
        <v>1</v>
      </c>
      <c r="Q64" s="6">
        <v>1</v>
      </c>
      <c r="R64" s="6"/>
      <c r="S64" s="5">
        <f t="shared" si="21"/>
        <v>7</v>
      </c>
    </row>
    <row r="65" spans="1:19" x14ac:dyDescent="0.4">
      <c r="A65" s="7"/>
      <c r="B65" s="46"/>
      <c r="C65" s="24" t="s">
        <v>117</v>
      </c>
      <c r="D65" s="47"/>
      <c r="E65" s="6">
        <v>2</v>
      </c>
      <c r="F65" s="6">
        <v>1</v>
      </c>
      <c r="G65" s="6">
        <v>5</v>
      </c>
      <c r="H65" s="6">
        <v>1</v>
      </c>
      <c r="I65" s="6">
        <v>0</v>
      </c>
      <c r="J65" s="6">
        <v>0</v>
      </c>
      <c r="K65" s="6">
        <v>1</v>
      </c>
      <c r="L65" s="6">
        <v>7</v>
      </c>
      <c r="M65" s="6">
        <v>6</v>
      </c>
      <c r="N65" s="6">
        <v>0</v>
      </c>
      <c r="O65" s="6">
        <v>12</v>
      </c>
      <c r="P65" s="6">
        <v>17</v>
      </c>
      <c r="Q65" s="6">
        <v>23</v>
      </c>
      <c r="R65" s="6">
        <v>2</v>
      </c>
      <c r="S65" s="5">
        <f t="shared" si="21"/>
        <v>77</v>
      </c>
    </row>
    <row r="66" spans="1:19" x14ac:dyDescent="0.4">
      <c r="A66" s="7"/>
      <c r="B66" s="46"/>
      <c r="C66" s="24" t="s">
        <v>118</v>
      </c>
      <c r="D66" s="47"/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>
        <v>0</v>
      </c>
      <c r="Q66" s="6">
        <v>0</v>
      </c>
      <c r="R66" s="6"/>
      <c r="S66" s="5">
        <f t="shared" si="21"/>
        <v>3</v>
      </c>
    </row>
    <row r="67" spans="1:19" x14ac:dyDescent="0.4">
      <c r="A67" s="7"/>
      <c r="B67" s="46"/>
      <c r="C67" s="24" t="s">
        <v>119</v>
      </c>
      <c r="D67" s="47"/>
      <c r="E67" s="6">
        <v>0</v>
      </c>
      <c r="F67" s="6">
        <v>1</v>
      </c>
      <c r="G67" s="6">
        <v>0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/>
      <c r="S67" s="5">
        <f t="shared" si="21"/>
        <v>2</v>
      </c>
    </row>
    <row r="68" spans="1:19" ht="13.15" customHeight="1" x14ac:dyDescent="0.4">
      <c r="A68" s="7"/>
      <c r="B68" s="46"/>
      <c r="C68" s="24" t="s">
        <v>120</v>
      </c>
      <c r="D68" s="47"/>
      <c r="E68" s="6">
        <v>5</v>
      </c>
      <c r="F68" s="6">
        <v>0</v>
      </c>
      <c r="G68" s="6">
        <v>0</v>
      </c>
      <c r="H68" s="6">
        <v>1</v>
      </c>
      <c r="I68" s="6">
        <v>1</v>
      </c>
      <c r="J68" s="6">
        <v>0</v>
      </c>
      <c r="K68" s="6">
        <v>1</v>
      </c>
      <c r="L68" s="6">
        <v>0</v>
      </c>
      <c r="M68" s="6">
        <v>0</v>
      </c>
      <c r="N68" s="6">
        <v>2</v>
      </c>
      <c r="O68" s="6">
        <v>0</v>
      </c>
      <c r="P68" s="6">
        <v>0</v>
      </c>
      <c r="Q68" s="6">
        <v>2</v>
      </c>
      <c r="R68" s="6">
        <v>2</v>
      </c>
      <c r="S68" s="5">
        <f t="shared" si="21"/>
        <v>14</v>
      </c>
    </row>
    <row r="69" spans="1:19" x14ac:dyDescent="0.4">
      <c r="A69" s="7"/>
      <c r="B69" s="46"/>
      <c r="C69" s="24" t="s">
        <v>121</v>
      </c>
      <c r="D69" s="47"/>
      <c r="E69" s="6">
        <v>0</v>
      </c>
      <c r="F69" s="6">
        <v>1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/>
      <c r="S69" s="5">
        <f t="shared" si="21"/>
        <v>1</v>
      </c>
    </row>
    <row r="70" spans="1:19" x14ac:dyDescent="0.4">
      <c r="A70" s="6" t="s">
        <v>26</v>
      </c>
      <c r="B70" s="71" t="s">
        <v>51</v>
      </c>
      <c r="C70" s="51"/>
      <c r="D70" s="52"/>
      <c r="E70" s="5">
        <f>SUM(E63:E69)</f>
        <v>10</v>
      </c>
      <c r="F70" s="5">
        <f>SUM(F63:F69)</f>
        <v>4</v>
      </c>
      <c r="G70" s="5">
        <f>SUM(G63:G69)</f>
        <v>6</v>
      </c>
      <c r="H70" s="5">
        <f>SUM(H63:H69)</f>
        <v>6</v>
      </c>
      <c r="I70" s="5">
        <f>SUM(I63:I69)</f>
        <v>4</v>
      </c>
      <c r="J70" s="5">
        <f>SUM(J63:J69)</f>
        <v>2</v>
      </c>
      <c r="K70" s="5">
        <f>SUM(K63:K69)</f>
        <v>4</v>
      </c>
      <c r="L70" s="5">
        <f>SUM(L63:L69)</f>
        <v>11</v>
      </c>
      <c r="M70" s="5">
        <f>SUM(M63:M69)</f>
        <v>11</v>
      </c>
      <c r="N70" s="5">
        <f>SUM(N63:N69)</f>
        <v>12</v>
      </c>
      <c r="O70" s="5">
        <f>SUM(O63:O69)</f>
        <v>25</v>
      </c>
      <c r="P70" s="5">
        <f>SUM(P63:P69)</f>
        <v>22</v>
      </c>
      <c r="Q70" s="5">
        <f>SUM(Q63:Q69)</f>
        <v>36</v>
      </c>
      <c r="R70" s="5">
        <f>SUM(R63:R69)</f>
        <v>7</v>
      </c>
      <c r="S70" s="5">
        <f>SUM(S63:S69)</f>
        <v>160</v>
      </c>
    </row>
    <row r="71" spans="1:19" x14ac:dyDescent="0.4">
      <c r="A71" s="77"/>
      <c r="B71" s="76"/>
      <c r="C71" s="76"/>
      <c r="D71" s="76"/>
      <c r="E71" s="76"/>
    </row>
    <row r="72" spans="1:19" x14ac:dyDescent="0.4">
      <c r="A72" s="11" t="s">
        <v>48</v>
      </c>
      <c r="B72" s="17" t="s">
        <v>34</v>
      </c>
      <c r="C72" s="79" t="s">
        <v>54</v>
      </c>
      <c r="D72" s="52"/>
      <c r="E72" s="6">
        <v>0</v>
      </c>
      <c r="F72" s="6">
        <v>1</v>
      </c>
      <c r="G72" s="6">
        <v>4</v>
      </c>
      <c r="H72" s="6">
        <v>3</v>
      </c>
      <c r="I72" s="6">
        <v>1</v>
      </c>
      <c r="J72" s="6">
        <v>0</v>
      </c>
      <c r="K72" s="6">
        <v>0</v>
      </c>
      <c r="L72" s="6">
        <v>1</v>
      </c>
      <c r="M72" s="6">
        <v>1</v>
      </c>
      <c r="N72" s="6">
        <v>6</v>
      </c>
      <c r="O72" s="6">
        <v>0</v>
      </c>
      <c r="P72" s="6">
        <v>2</v>
      </c>
      <c r="Q72" s="6">
        <v>0</v>
      </c>
      <c r="R72" s="6">
        <v>0</v>
      </c>
      <c r="S72" s="5">
        <f t="shared" ref="S72:S78" si="22">SUM(E72:R72)</f>
        <v>19</v>
      </c>
    </row>
    <row r="73" spans="1:19" x14ac:dyDescent="0.4">
      <c r="A73" s="11" t="s">
        <v>50</v>
      </c>
      <c r="B73" s="46"/>
      <c r="C73" s="24" t="s">
        <v>122</v>
      </c>
      <c r="D73" s="47"/>
      <c r="E73" s="6">
        <v>4</v>
      </c>
      <c r="F73" s="6">
        <v>0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6">
        <v>2</v>
      </c>
      <c r="M73" s="6">
        <v>3</v>
      </c>
      <c r="N73" s="6">
        <v>9</v>
      </c>
      <c r="O73" s="6">
        <v>1</v>
      </c>
      <c r="P73" s="6">
        <v>1</v>
      </c>
      <c r="Q73" s="6">
        <v>1</v>
      </c>
      <c r="R73" s="6">
        <v>0</v>
      </c>
      <c r="S73" s="5">
        <f t="shared" si="22"/>
        <v>22</v>
      </c>
    </row>
    <row r="74" spans="1:19" x14ac:dyDescent="0.4">
      <c r="A74" s="7"/>
      <c r="B74" s="46"/>
      <c r="C74" s="24" t="s">
        <v>123</v>
      </c>
      <c r="D74" s="47"/>
      <c r="E74" s="6">
        <v>0</v>
      </c>
      <c r="F74" s="6">
        <v>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1</v>
      </c>
      <c r="N74" s="6">
        <v>1</v>
      </c>
      <c r="O74" s="6">
        <v>0</v>
      </c>
      <c r="P74" s="6">
        <v>0</v>
      </c>
      <c r="Q74" s="6">
        <v>0</v>
      </c>
      <c r="R74" s="6">
        <v>1</v>
      </c>
      <c r="S74" s="5">
        <f t="shared" si="22"/>
        <v>4</v>
      </c>
    </row>
    <row r="75" spans="1:19" x14ac:dyDescent="0.4">
      <c r="A75" s="7"/>
      <c r="B75" s="46"/>
      <c r="C75" s="24" t="s">
        <v>124</v>
      </c>
      <c r="D75" s="47"/>
      <c r="E75" s="6">
        <v>4</v>
      </c>
      <c r="F75" s="6">
        <v>3</v>
      </c>
      <c r="G75" s="6">
        <v>40</v>
      </c>
      <c r="H75" s="6">
        <v>4</v>
      </c>
      <c r="I75" s="6">
        <v>0</v>
      </c>
      <c r="J75" s="6">
        <v>0</v>
      </c>
      <c r="K75" s="6">
        <v>3</v>
      </c>
      <c r="L75" s="6">
        <v>5</v>
      </c>
      <c r="M75" s="6">
        <v>0</v>
      </c>
      <c r="N75" s="6">
        <v>2</v>
      </c>
      <c r="O75" s="6">
        <v>0</v>
      </c>
      <c r="P75" s="6">
        <v>0</v>
      </c>
      <c r="Q75" s="6">
        <v>0</v>
      </c>
      <c r="R75" s="6">
        <v>1</v>
      </c>
      <c r="S75" s="5">
        <f t="shared" si="22"/>
        <v>62</v>
      </c>
    </row>
    <row r="76" spans="1:19" ht="13.15" customHeight="1" x14ac:dyDescent="0.4">
      <c r="A76" s="7"/>
      <c r="B76" s="46"/>
      <c r="C76" s="24" t="s">
        <v>125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5">
        <f t="shared" si="22"/>
        <v>0</v>
      </c>
    </row>
    <row r="77" spans="1:19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5">
        <f t="shared" si="22"/>
        <v>0</v>
      </c>
    </row>
    <row r="78" spans="1:19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5">
        <f t="shared" si="22"/>
        <v>1</v>
      </c>
    </row>
    <row r="79" spans="1:19" x14ac:dyDescent="0.4">
      <c r="A79" s="6" t="s">
        <v>26</v>
      </c>
      <c r="B79" s="71" t="s">
        <v>51</v>
      </c>
      <c r="C79" s="51"/>
      <c r="D79" s="52"/>
      <c r="E79" s="5">
        <f>SUM(E72:E78)</f>
        <v>8</v>
      </c>
      <c r="F79" s="5">
        <f>SUM(F72:F78)</f>
        <v>5</v>
      </c>
      <c r="G79" s="5">
        <f>SUM(G72:G78)</f>
        <v>46</v>
      </c>
      <c r="H79" s="5">
        <f>SUM(H72:H78)</f>
        <v>7</v>
      </c>
      <c r="I79" s="5">
        <f>SUM(I72:I78)</f>
        <v>1</v>
      </c>
      <c r="J79" s="5">
        <f>SUM(J72:J78)</f>
        <v>0</v>
      </c>
      <c r="K79" s="5">
        <f>SUM(K72:K78)</f>
        <v>3</v>
      </c>
      <c r="L79" s="5">
        <f>SUM(L72:L78)</f>
        <v>8</v>
      </c>
      <c r="M79" s="5">
        <f>SUM(M72:M78)</f>
        <v>5</v>
      </c>
      <c r="N79" s="5">
        <f>SUM(N72:N78)</f>
        <v>18</v>
      </c>
      <c r="O79" s="5">
        <f>SUM(O72:O78)</f>
        <v>1</v>
      </c>
      <c r="P79" s="5">
        <f>SUM(P72:P78)</f>
        <v>3</v>
      </c>
      <c r="Q79" s="5">
        <f>SUM(Q72:Q78)</f>
        <v>1</v>
      </c>
      <c r="R79" s="5">
        <f>SUM(R72:R78)</f>
        <v>2</v>
      </c>
      <c r="S79" s="5">
        <f>SUM(S72:S78)</f>
        <v>108</v>
      </c>
    </row>
    <row r="80" spans="1:19" x14ac:dyDescent="0.4">
      <c r="A80" s="77"/>
      <c r="B80" s="76"/>
      <c r="C80" s="76"/>
      <c r="D80" s="76"/>
      <c r="E80" s="76"/>
    </row>
    <row r="81" spans="1:19" x14ac:dyDescent="0.4">
      <c r="A81" s="11" t="s">
        <v>48</v>
      </c>
      <c r="B81" s="17" t="s">
        <v>55</v>
      </c>
      <c r="C81" s="79" t="s">
        <v>56</v>
      </c>
      <c r="D81" s="52"/>
      <c r="E81" s="6">
        <v>0</v>
      </c>
      <c r="F81" s="6">
        <v>1</v>
      </c>
      <c r="G81" s="6">
        <v>4</v>
      </c>
      <c r="H81" s="6">
        <v>1</v>
      </c>
      <c r="I81" s="6">
        <v>0</v>
      </c>
      <c r="J81" s="6">
        <v>0</v>
      </c>
      <c r="K81" s="6">
        <v>0</v>
      </c>
      <c r="L81" s="6">
        <v>1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5">
        <f t="shared" ref="S81:S87" si="23">SUM(E81:R81)</f>
        <v>7</v>
      </c>
    </row>
    <row r="82" spans="1:19" x14ac:dyDescent="0.4">
      <c r="A82" s="11" t="s">
        <v>50</v>
      </c>
      <c r="B82" s="46"/>
      <c r="C82" s="24" t="s">
        <v>128</v>
      </c>
      <c r="D82" s="47"/>
      <c r="E82" s="6">
        <v>0</v>
      </c>
      <c r="F82" s="6">
        <v>0</v>
      </c>
      <c r="G82" s="6">
        <v>0</v>
      </c>
      <c r="H82" s="6">
        <v>1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5">
        <f t="shared" si="23"/>
        <v>1</v>
      </c>
    </row>
    <row r="83" spans="1:19" x14ac:dyDescent="0.4">
      <c r="A83" s="7"/>
      <c r="B83" s="46"/>
      <c r="C83" s="24" t="s">
        <v>129</v>
      </c>
      <c r="D83" s="47"/>
      <c r="E83" s="6">
        <v>0</v>
      </c>
      <c r="F83" s="6">
        <v>0</v>
      </c>
      <c r="G83" s="6">
        <v>0</v>
      </c>
      <c r="H83" s="6">
        <v>3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5">
        <f t="shared" si="23"/>
        <v>3</v>
      </c>
    </row>
    <row r="84" spans="1:19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1</v>
      </c>
      <c r="H84" s="6">
        <v>1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5">
        <f t="shared" si="23"/>
        <v>3</v>
      </c>
    </row>
    <row r="85" spans="1:19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5">
        <f t="shared" si="23"/>
        <v>0</v>
      </c>
    </row>
    <row r="86" spans="1:19" x14ac:dyDescent="0.4">
      <c r="A86" s="7"/>
      <c r="B86" s="46"/>
      <c r="C86" s="24" t="s">
        <v>132</v>
      </c>
      <c r="D86" s="47"/>
      <c r="E86" s="6">
        <v>1</v>
      </c>
      <c r="F86" s="6">
        <v>0</v>
      </c>
      <c r="G86" s="6">
        <v>10</v>
      </c>
      <c r="H86" s="6">
        <v>3</v>
      </c>
      <c r="I86" s="6">
        <v>0</v>
      </c>
      <c r="J86" s="6">
        <v>0</v>
      </c>
      <c r="K86" s="6">
        <v>0</v>
      </c>
      <c r="L86" s="6">
        <v>0</v>
      </c>
      <c r="M86" s="6">
        <v>1</v>
      </c>
      <c r="N86" s="6">
        <v>0</v>
      </c>
      <c r="O86" s="6">
        <v>1</v>
      </c>
      <c r="P86" s="6">
        <v>4</v>
      </c>
      <c r="Q86" s="6">
        <v>1</v>
      </c>
      <c r="R86" s="6">
        <v>0</v>
      </c>
      <c r="S86" s="5">
        <f t="shared" si="23"/>
        <v>21</v>
      </c>
    </row>
    <row r="87" spans="1:19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5">
        <f t="shared" si="23"/>
        <v>0</v>
      </c>
    </row>
    <row r="88" spans="1:19" x14ac:dyDescent="0.4">
      <c r="A88" s="6" t="s">
        <v>26</v>
      </c>
      <c r="B88" s="71" t="s">
        <v>51</v>
      </c>
      <c r="C88" s="51"/>
      <c r="D88" s="52"/>
      <c r="E88" s="5">
        <f>SUM(E81:E87)</f>
        <v>1</v>
      </c>
      <c r="F88" s="5">
        <f>SUM(F81:F87)</f>
        <v>1</v>
      </c>
      <c r="G88" s="5">
        <f>SUM(G81:G87)</f>
        <v>15</v>
      </c>
      <c r="H88" s="5">
        <f>SUM(H81:H87)</f>
        <v>9</v>
      </c>
      <c r="I88" s="5">
        <f>SUM(I81:I87)</f>
        <v>1</v>
      </c>
      <c r="J88" s="5">
        <f>SUM(J81:J87)</f>
        <v>0</v>
      </c>
      <c r="K88" s="5">
        <f>SUM(K81:K87)</f>
        <v>0</v>
      </c>
      <c r="L88" s="5">
        <f>SUM(L81:L87)</f>
        <v>1</v>
      </c>
      <c r="M88" s="5">
        <f>SUM(M81:M87)</f>
        <v>1</v>
      </c>
      <c r="N88" s="5">
        <f>SUM(N81:N87)</f>
        <v>0</v>
      </c>
      <c r="O88" s="5">
        <f>SUM(O81:O87)</f>
        <v>1</v>
      </c>
      <c r="P88" s="5">
        <f>SUM(P81:P87)</f>
        <v>4</v>
      </c>
      <c r="Q88" s="5">
        <f>SUM(Q81:Q87)</f>
        <v>1</v>
      </c>
      <c r="R88" s="5">
        <f>SUM(R81:R87)</f>
        <v>0</v>
      </c>
      <c r="S88" s="5">
        <f>SUM(S81:S87)</f>
        <v>35</v>
      </c>
    </row>
    <row r="89" spans="1:19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1:19" x14ac:dyDescent="0.4">
      <c r="A90" s="11" t="s">
        <v>48</v>
      </c>
      <c r="B90" s="17" t="s">
        <v>57</v>
      </c>
      <c r="C90" s="79" t="s">
        <v>58</v>
      </c>
      <c r="D90" s="5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2</v>
      </c>
      <c r="P90" s="6">
        <v>0</v>
      </c>
      <c r="Q90" s="6">
        <v>0</v>
      </c>
      <c r="R90" s="6">
        <v>0</v>
      </c>
      <c r="S90" s="5">
        <f t="shared" ref="S90" si="24">SUM(E90:R90)</f>
        <v>3</v>
      </c>
    </row>
    <row r="91" spans="1:19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0</v>
      </c>
      <c r="G91" s="5">
        <f>SUM(G90:G90)</f>
        <v>0</v>
      </c>
      <c r="H91" s="5">
        <f>SUM(H90:H90)</f>
        <v>0</v>
      </c>
      <c r="I91" s="5">
        <f>SUM(I90:I90)</f>
        <v>0</v>
      </c>
      <c r="J91" s="5">
        <f>SUM(J90:J90)</f>
        <v>0</v>
      </c>
      <c r="K91" s="5">
        <f>SUM(K90:K90)</f>
        <v>0</v>
      </c>
      <c r="L91" s="5">
        <f>SUM(L90:L90)</f>
        <v>0</v>
      </c>
      <c r="M91" s="5">
        <f>SUM(M90:M90)</f>
        <v>1</v>
      </c>
      <c r="N91" s="5">
        <f>SUM(N90:N90)</f>
        <v>0</v>
      </c>
      <c r="O91" s="5">
        <f>SUM(O90:O90)</f>
        <v>2</v>
      </c>
      <c r="P91" s="5">
        <f>SUM(P90:P90)</f>
        <v>0</v>
      </c>
      <c r="Q91" s="5">
        <f>SUM(Q90:Q90)</f>
        <v>0</v>
      </c>
      <c r="R91" s="5">
        <f>SUM(R90:R90)</f>
        <v>0</v>
      </c>
      <c r="S91" s="5">
        <f>SUM(S90:S90)</f>
        <v>3</v>
      </c>
    </row>
    <row r="92" spans="1:19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5"/>
    </row>
    <row r="93" spans="1:19" x14ac:dyDescent="0.4">
      <c r="A93" s="11" t="s">
        <v>48</v>
      </c>
      <c r="B93" s="17" t="s">
        <v>59</v>
      </c>
      <c r="C93" s="79" t="s">
        <v>60</v>
      </c>
      <c r="D93" s="5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5">
        <f t="shared" ref="S93:S96" si="25">SUM(E93:R93)</f>
        <v>1</v>
      </c>
    </row>
    <row r="94" spans="1:19" x14ac:dyDescent="0.4">
      <c r="A94" s="11" t="s">
        <v>50</v>
      </c>
      <c r="B94" s="46"/>
      <c r="C94" s="24" t="s">
        <v>134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5">
        <f t="shared" si="25"/>
        <v>0</v>
      </c>
    </row>
    <row r="95" spans="1:19" x14ac:dyDescent="0.4">
      <c r="A95" s="7"/>
      <c r="B95" s="46"/>
      <c r="C95" s="24" t="s">
        <v>135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5">
        <f t="shared" si="25"/>
        <v>0</v>
      </c>
    </row>
    <row r="96" spans="1:19" x14ac:dyDescent="0.4">
      <c r="A96" s="7"/>
      <c r="B96" s="46"/>
      <c r="C96" s="24" t="s">
        <v>136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5">
        <f t="shared" si="25"/>
        <v>0</v>
      </c>
    </row>
    <row r="97" spans="1:19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0</v>
      </c>
      <c r="G97" s="5">
        <f>SUM(G93:G96)</f>
        <v>0</v>
      </c>
      <c r="H97" s="5">
        <f>SUM(H93:H96)</f>
        <v>0</v>
      </c>
      <c r="I97" s="5">
        <f>SUM(I93:I96)</f>
        <v>0</v>
      </c>
      <c r="J97" s="5">
        <f>SUM(J93:J96)</f>
        <v>0</v>
      </c>
      <c r="K97" s="5">
        <f>SUM(K93:K96)</f>
        <v>1</v>
      </c>
      <c r="L97" s="5">
        <f>SUM(L93:L96)</f>
        <v>0</v>
      </c>
      <c r="M97" s="5">
        <f>SUM(M93:M96)</f>
        <v>0</v>
      </c>
      <c r="N97" s="5">
        <f>SUM(N93:N96)</f>
        <v>0</v>
      </c>
      <c r="O97" s="5">
        <f>SUM(O93:O96)</f>
        <v>0</v>
      </c>
      <c r="P97" s="5">
        <f>SUM(P93:P96)</f>
        <v>0</v>
      </c>
      <c r="Q97" s="5">
        <f>SUM(Q93:Q96)</f>
        <v>0</v>
      </c>
      <c r="R97" s="5">
        <f>SUM(R93:R96)</f>
        <v>0</v>
      </c>
      <c r="S97" s="5">
        <f>SUM(S93:S96)</f>
        <v>1</v>
      </c>
    </row>
    <row r="98" spans="1:19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1:19" x14ac:dyDescent="0.4">
      <c r="A99" s="11" t="s">
        <v>48</v>
      </c>
      <c r="B99" s="17" t="s">
        <v>61</v>
      </c>
      <c r="C99" s="79" t="s">
        <v>62</v>
      </c>
      <c r="D99" s="5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2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0</v>
      </c>
      <c r="S99" s="5">
        <f t="shared" ref="S99:S105" si="26">SUM(E99:R99)</f>
        <v>3</v>
      </c>
    </row>
    <row r="100" spans="1:19" ht="13.15" customHeight="1" x14ac:dyDescent="0.4">
      <c r="A100" s="11" t="s">
        <v>50</v>
      </c>
      <c r="B100" s="46"/>
      <c r="C100" s="24" t="s">
        <v>137</v>
      </c>
      <c r="D100" s="47"/>
      <c r="E100" s="6">
        <v>2</v>
      </c>
      <c r="F100" s="6">
        <v>0</v>
      </c>
      <c r="G100" s="6">
        <v>0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5">
        <f t="shared" si="26"/>
        <v>3</v>
      </c>
    </row>
    <row r="101" spans="1:19" x14ac:dyDescent="0.4">
      <c r="A101" s="7"/>
      <c r="B101" s="46"/>
      <c r="C101" s="24" t="s">
        <v>138</v>
      </c>
      <c r="D101" s="47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5">
        <f t="shared" si="26"/>
        <v>1</v>
      </c>
    </row>
    <row r="102" spans="1:19" x14ac:dyDescent="0.4">
      <c r="A102" s="7"/>
      <c r="B102" s="46"/>
      <c r="C102" s="24" t="s">
        <v>139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5">
        <f t="shared" si="26"/>
        <v>0</v>
      </c>
    </row>
    <row r="103" spans="1:19" x14ac:dyDescent="0.4">
      <c r="A103" s="7"/>
      <c r="B103" s="46"/>
      <c r="C103" s="24" t="s">
        <v>140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5">
        <f t="shared" si="26"/>
        <v>1</v>
      </c>
    </row>
    <row r="104" spans="1:19" x14ac:dyDescent="0.4">
      <c r="A104" s="7"/>
      <c r="B104" s="46"/>
      <c r="C104" s="24" t="s">
        <v>141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5">
        <f t="shared" si="26"/>
        <v>0</v>
      </c>
    </row>
    <row r="105" spans="1:19" x14ac:dyDescent="0.4">
      <c r="A105" s="7"/>
      <c r="B105" s="46"/>
      <c r="C105" s="24" t="s">
        <v>142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5">
        <f t="shared" si="26"/>
        <v>0</v>
      </c>
    </row>
    <row r="106" spans="1:19" x14ac:dyDescent="0.4">
      <c r="A106" s="6" t="s">
        <v>26</v>
      </c>
      <c r="B106" s="71" t="s">
        <v>51</v>
      </c>
      <c r="C106" s="80"/>
      <c r="D106" s="81"/>
      <c r="E106" s="5">
        <f>SUM(E99:E105)</f>
        <v>2</v>
      </c>
      <c r="F106" s="5">
        <f>SUM(F99:F105)</f>
        <v>0</v>
      </c>
      <c r="G106" s="5">
        <f>SUM(G99:G105)</f>
        <v>0</v>
      </c>
      <c r="H106" s="5">
        <f>SUM(H99:H105)</f>
        <v>1</v>
      </c>
      <c r="I106" s="5">
        <f>SUM(I99:I105)</f>
        <v>0</v>
      </c>
      <c r="J106" s="5">
        <f>SUM(J99:J105)</f>
        <v>0</v>
      </c>
      <c r="K106" s="5">
        <f>SUM(K99:K105)</f>
        <v>0</v>
      </c>
      <c r="L106" s="5">
        <f>SUM(L99:L105)</f>
        <v>3</v>
      </c>
      <c r="M106" s="5">
        <f>SUM(M99:M105)</f>
        <v>0</v>
      </c>
      <c r="N106" s="5">
        <f>SUM(N99:N105)</f>
        <v>0</v>
      </c>
      <c r="O106" s="5">
        <f>SUM(O99:O105)</f>
        <v>0</v>
      </c>
      <c r="P106" s="5">
        <f>SUM(P99:P105)</f>
        <v>1</v>
      </c>
      <c r="Q106" s="5">
        <f>SUM(Q99:Q105)</f>
        <v>1</v>
      </c>
      <c r="R106" s="5">
        <f>SUM(R99:R105)</f>
        <v>0</v>
      </c>
      <c r="S106" s="5">
        <f>SUM(S99:S105)</f>
        <v>8</v>
      </c>
    </row>
    <row r="107" spans="1:19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1:19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ref="S108:S109" si="27">SUM(E108:R108)</f>
        <v>0</v>
      </c>
    </row>
    <row r="109" spans="1:19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27"/>
        <v>0</v>
      </c>
    </row>
    <row r="110" spans="1:19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  <c r="R110" s="5">
        <f>SUM(R108:R109)</f>
        <v>0</v>
      </c>
      <c r="S110" s="5">
        <f>SUM(S108:S109)</f>
        <v>0</v>
      </c>
    </row>
    <row r="111" spans="1:19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5"/>
    </row>
    <row r="112" spans="1:19" x14ac:dyDescent="0.4">
      <c r="A112" s="11" t="s">
        <v>48</v>
      </c>
      <c r="B112" s="44" t="s">
        <v>65</v>
      </c>
      <c r="C112" s="84" t="s">
        <v>66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5">
        <f t="shared" ref="S112:S118" si="28">SUM(E112:R112)</f>
        <v>0</v>
      </c>
    </row>
    <row r="113" spans="1:19" x14ac:dyDescent="0.4">
      <c r="A113" s="48" t="s">
        <v>50</v>
      </c>
      <c r="B113" s="46"/>
      <c r="C113" s="24" t="s">
        <v>144</v>
      </c>
      <c r="D113" s="47"/>
      <c r="E113" s="49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5">
        <f t="shared" si="28"/>
        <v>0</v>
      </c>
    </row>
    <row r="114" spans="1:19" x14ac:dyDescent="0.4">
      <c r="A114" s="7"/>
      <c r="B114" s="46"/>
      <c r="C114" s="24" t="s">
        <v>145</v>
      </c>
      <c r="D114" s="47"/>
      <c r="E114" s="49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5">
        <f t="shared" si="28"/>
        <v>0</v>
      </c>
    </row>
    <row r="115" spans="1:19" x14ac:dyDescent="0.4">
      <c r="A115" s="7"/>
      <c r="B115" s="46"/>
      <c r="C115" s="24" t="s">
        <v>146</v>
      </c>
      <c r="D115" s="47"/>
      <c r="E115" s="49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5">
        <f t="shared" si="28"/>
        <v>0</v>
      </c>
    </row>
    <row r="116" spans="1:19" x14ac:dyDescent="0.4">
      <c r="A116" s="7"/>
      <c r="B116" s="46"/>
      <c r="C116" s="24" t="s">
        <v>147</v>
      </c>
      <c r="D116" s="47"/>
      <c r="E116" s="49">
        <v>1</v>
      </c>
      <c r="F116" s="6">
        <v>2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3</v>
      </c>
      <c r="R116" s="6">
        <v>0</v>
      </c>
      <c r="S116" s="5">
        <f t="shared" si="28"/>
        <v>6</v>
      </c>
    </row>
    <row r="117" spans="1:19" x14ac:dyDescent="0.4">
      <c r="A117" s="7"/>
      <c r="B117" s="46"/>
      <c r="C117" s="24" t="s">
        <v>148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5">
        <f t="shared" si="28"/>
        <v>0</v>
      </c>
    </row>
    <row r="118" spans="1:19" x14ac:dyDescent="0.4">
      <c r="A118" s="7"/>
      <c r="B118" s="46"/>
      <c r="C118" s="24" t="s">
        <v>149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5">
        <f t="shared" si="28"/>
        <v>0</v>
      </c>
    </row>
    <row r="119" spans="1:19" x14ac:dyDescent="0.4">
      <c r="A119" s="6" t="s">
        <v>26</v>
      </c>
      <c r="B119" s="85" t="s">
        <v>51</v>
      </c>
      <c r="C119" s="86"/>
      <c r="D119" s="87"/>
      <c r="E119" s="5">
        <f>SUM(E112:E118)</f>
        <v>1</v>
      </c>
      <c r="F119" s="5">
        <f>SUM(F112:F118)</f>
        <v>2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0</v>
      </c>
      <c r="L119" s="5">
        <f>SUM(L112:L118)</f>
        <v>0</v>
      </c>
      <c r="M119" s="5">
        <f>SUM(M112:M118)</f>
        <v>0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3</v>
      </c>
      <c r="R119" s="5">
        <f>SUM(R112:R118)</f>
        <v>0</v>
      </c>
      <c r="S119" s="5">
        <f>SUM(S112:S118)</f>
        <v>6</v>
      </c>
    </row>
    <row r="120" spans="1:19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1:19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>
        <f t="shared" ref="S121" si="29">SUM(E121:R121)</f>
        <v>0</v>
      </c>
    </row>
    <row r="122" spans="1:19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0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0</v>
      </c>
      <c r="R122" s="5">
        <f>SUM(R121:R121)</f>
        <v>0</v>
      </c>
      <c r="S122" s="5">
        <f>SUM(S121:S121)</f>
        <v>0</v>
      </c>
    </row>
    <row r="123" spans="1:19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1:19" x14ac:dyDescent="0.4">
      <c r="A124" s="11" t="s">
        <v>48</v>
      </c>
      <c r="B124" s="17" t="s">
        <v>69</v>
      </c>
      <c r="C124" s="79" t="s">
        <v>70</v>
      </c>
      <c r="D124" s="5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5">
        <f t="shared" ref="S124:S128" si="30">SUM(E124:R124)</f>
        <v>0</v>
      </c>
    </row>
    <row r="125" spans="1:19" x14ac:dyDescent="0.4">
      <c r="A125" s="11" t="s">
        <v>50</v>
      </c>
      <c r="B125" s="46"/>
      <c r="C125" s="24" t="s">
        <v>150</v>
      </c>
      <c r="D125" s="4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5">
        <f t="shared" si="30"/>
        <v>0</v>
      </c>
    </row>
    <row r="126" spans="1:19" x14ac:dyDescent="0.4">
      <c r="A126" s="7"/>
      <c r="B126" s="46"/>
      <c r="C126" s="24" t="s">
        <v>151</v>
      </c>
      <c r="D126" s="4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5">
        <f t="shared" si="30"/>
        <v>0</v>
      </c>
    </row>
    <row r="127" spans="1:19" x14ac:dyDescent="0.4">
      <c r="A127" s="7"/>
      <c r="B127" s="46"/>
      <c r="C127" s="24" t="s">
        <v>152</v>
      </c>
      <c r="D127" s="4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5">
        <f t="shared" si="30"/>
        <v>0</v>
      </c>
    </row>
    <row r="128" spans="1:19" x14ac:dyDescent="0.4">
      <c r="A128" s="7"/>
      <c r="B128" s="46"/>
      <c r="C128" s="24" t="s">
        <v>153</v>
      </c>
      <c r="D128" s="4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5">
        <f t="shared" si="30"/>
        <v>0</v>
      </c>
    </row>
    <row r="129" spans="1:19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0</v>
      </c>
      <c r="F129" s="5">
        <f>SUM(F124:F128)</f>
        <v>0</v>
      </c>
      <c r="G129" s="5">
        <f>SUM(G124:G128)</f>
        <v>0</v>
      </c>
      <c r="H129" s="5">
        <f>SUM(H124:H128)</f>
        <v>0</v>
      </c>
      <c r="I129" s="5">
        <f>SUM(I124:I128)</f>
        <v>0</v>
      </c>
      <c r="J129" s="5">
        <f>SUM(J124:J128)</f>
        <v>0</v>
      </c>
      <c r="K129" s="5">
        <f>SUM(K124:K128)</f>
        <v>0</v>
      </c>
      <c r="L129" s="5">
        <f>SUM(L124:L128)</f>
        <v>0</v>
      </c>
      <c r="M129" s="5">
        <f>SUM(M124:M128)</f>
        <v>0</v>
      </c>
      <c r="N129" s="5">
        <f>SUM(N124:N128)</f>
        <v>0</v>
      </c>
      <c r="O129" s="5">
        <f>SUM(O124:O128)</f>
        <v>0</v>
      </c>
      <c r="P129" s="5">
        <f>SUM(P124:P128)</f>
        <v>0</v>
      </c>
      <c r="Q129" s="5">
        <f>SUM(Q124:Q128)</f>
        <v>0</v>
      </c>
      <c r="R129" s="5">
        <f>SUM(R124:R128)</f>
        <v>0</v>
      </c>
      <c r="S129" s="5">
        <f>SUM(S124:S128)</f>
        <v>0</v>
      </c>
    </row>
    <row r="130" spans="1:19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R130" s="18"/>
      <c r="S130" s="5"/>
    </row>
    <row r="131" spans="1:19" x14ac:dyDescent="0.4">
      <c r="A131" s="11" t="s">
        <v>48</v>
      </c>
      <c r="B131" s="17" t="s">
        <v>71</v>
      </c>
      <c r="C131" s="79" t="s">
        <v>72</v>
      </c>
      <c r="D131" s="5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5">
        <f t="shared" ref="S131:S137" si="31">SUM(E131:R131)</f>
        <v>1</v>
      </c>
    </row>
    <row r="132" spans="1:19" x14ac:dyDescent="0.4">
      <c r="A132" s="11" t="s">
        <v>50</v>
      </c>
      <c r="B132" s="46"/>
      <c r="C132" s="24" t="s">
        <v>154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5">
        <f t="shared" si="31"/>
        <v>0</v>
      </c>
    </row>
    <row r="133" spans="1:19" x14ac:dyDescent="0.4">
      <c r="A133" s="7"/>
      <c r="B133" s="46"/>
      <c r="C133" s="24" t="s">
        <v>155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5">
        <f t="shared" si="31"/>
        <v>0</v>
      </c>
    </row>
    <row r="134" spans="1:19" x14ac:dyDescent="0.4">
      <c r="A134" s="7"/>
      <c r="B134" s="46"/>
      <c r="C134" s="24" t="s">
        <v>156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5">
        <f t="shared" si="31"/>
        <v>0</v>
      </c>
    </row>
    <row r="135" spans="1:19" x14ac:dyDescent="0.4">
      <c r="A135" s="7"/>
      <c r="B135" s="46"/>
      <c r="C135" s="24" t="s">
        <v>157</v>
      </c>
      <c r="D135" s="47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5">
        <f t="shared" si="31"/>
        <v>0</v>
      </c>
    </row>
    <row r="136" spans="1:19" x14ac:dyDescent="0.4">
      <c r="A136" s="7"/>
      <c r="B136" s="46"/>
      <c r="C136" s="24" t="s">
        <v>158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5">
        <f t="shared" si="31"/>
        <v>0</v>
      </c>
    </row>
    <row r="137" spans="1:19" x14ac:dyDescent="0.4">
      <c r="A137" s="7"/>
      <c r="B137" s="46"/>
      <c r="C137" s="24" t="s">
        <v>159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5">
        <f t="shared" si="31"/>
        <v>0</v>
      </c>
    </row>
    <row r="138" spans="1:19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0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1</v>
      </c>
      <c r="O138" s="5">
        <f>SUM(O131:O137)</f>
        <v>0</v>
      </c>
      <c r="P138" s="5">
        <f>SUM(P131:P137)</f>
        <v>0</v>
      </c>
      <c r="Q138" s="5">
        <f>SUM(Q131:Q137)</f>
        <v>0</v>
      </c>
      <c r="R138" s="5">
        <f>SUM(R131:R137)</f>
        <v>0</v>
      </c>
      <c r="S138" s="5">
        <f>SUM(S131:S137)</f>
        <v>1</v>
      </c>
    </row>
    <row r="139" spans="1:19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1:19" x14ac:dyDescent="0.4">
      <c r="A140" s="11" t="s">
        <v>48</v>
      </c>
      <c r="B140" s="17" t="s">
        <v>73</v>
      </c>
      <c r="C140" s="79" t="s">
        <v>74</v>
      </c>
      <c r="D140" s="52"/>
      <c r="E140" s="6">
        <v>1</v>
      </c>
      <c r="F140" s="6">
        <v>2</v>
      </c>
      <c r="G140" s="6">
        <v>3</v>
      </c>
      <c r="H140" s="6">
        <v>3</v>
      </c>
      <c r="I140" s="6">
        <v>0</v>
      </c>
      <c r="J140" s="6">
        <v>0</v>
      </c>
      <c r="K140" s="6">
        <v>1</v>
      </c>
      <c r="L140" s="6">
        <v>1</v>
      </c>
      <c r="M140" s="6">
        <v>0</v>
      </c>
      <c r="N140" s="6">
        <v>2</v>
      </c>
      <c r="O140" s="6">
        <v>1</v>
      </c>
      <c r="P140" s="6">
        <v>1</v>
      </c>
      <c r="Q140" s="6">
        <v>1</v>
      </c>
      <c r="R140" s="6">
        <v>0</v>
      </c>
      <c r="S140" s="5">
        <f t="shared" ref="S140:S146" si="32">SUM(E140:R140)</f>
        <v>16</v>
      </c>
    </row>
    <row r="141" spans="1:19" x14ac:dyDescent="0.4">
      <c r="A141" s="11" t="s">
        <v>50</v>
      </c>
      <c r="B141" s="46"/>
      <c r="C141" s="24" t="s">
        <v>160</v>
      </c>
      <c r="D141" s="47"/>
      <c r="E141" s="6">
        <v>9</v>
      </c>
      <c r="F141" s="6">
        <v>2</v>
      </c>
      <c r="G141" s="6">
        <v>7</v>
      </c>
      <c r="H141" s="6">
        <v>11</v>
      </c>
      <c r="I141" s="6">
        <v>5</v>
      </c>
      <c r="J141" s="6">
        <v>1</v>
      </c>
      <c r="K141" s="6">
        <v>4</v>
      </c>
      <c r="L141" s="6">
        <v>7</v>
      </c>
      <c r="M141" s="6">
        <v>5</v>
      </c>
      <c r="N141" s="6">
        <v>0</v>
      </c>
      <c r="O141" s="6">
        <v>0</v>
      </c>
      <c r="P141" s="6">
        <v>5</v>
      </c>
      <c r="Q141" s="6">
        <v>7</v>
      </c>
      <c r="R141" s="6">
        <v>0</v>
      </c>
      <c r="S141" s="5">
        <f t="shared" si="32"/>
        <v>63</v>
      </c>
    </row>
    <row r="142" spans="1:19" x14ac:dyDescent="0.4">
      <c r="A142" s="7"/>
      <c r="B142" s="46"/>
      <c r="C142" s="24" t="s">
        <v>161</v>
      </c>
      <c r="D142" s="47"/>
      <c r="E142" s="6">
        <v>0</v>
      </c>
      <c r="F142" s="6">
        <v>0</v>
      </c>
      <c r="G142" s="6">
        <v>1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1</v>
      </c>
      <c r="S142" s="5">
        <f t="shared" si="32"/>
        <v>4</v>
      </c>
    </row>
    <row r="143" spans="1:19" x14ac:dyDescent="0.4">
      <c r="A143" s="7"/>
      <c r="B143" s="46"/>
      <c r="C143" s="24" t="s">
        <v>162</v>
      </c>
      <c r="D143" s="47"/>
      <c r="E143" s="6">
        <v>0</v>
      </c>
      <c r="F143" s="6">
        <v>0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L143" s="6">
        <v>1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5">
        <f t="shared" si="32"/>
        <v>2</v>
      </c>
    </row>
    <row r="144" spans="1:19" x14ac:dyDescent="0.4">
      <c r="A144" s="7"/>
      <c r="B144" s="46"/>
      <c r="C144" s="24" t="s">
        <v>163</v>
      </c>
      <c r="D144" s="47"/>
      <c r="E144" s="6">
        <v>1</v>
      </c>
      <c r="F144" s="6">
        <v>1</v>
      </c>
      <c r="G144" s="6">
        <v>0</v>
      </c>
      <c r="H144" s="6">
        <v>1</v>
      </c>
      <c r="I144" s="6">
        <v>0</v>
      </c>
      <c r="J144" s="6">
        <v>0</v>
      </c>
      <c r="K144" s="6">
        <v>0</v>
      </c>
      <c r="L144" s="6">
        <v>3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5">
        <f t="shared" si="32"/>
        <v>6</v>
      </c>
    </row>
    <row r="145" spans="1:19" x14ac:dyDescent="0.4">
      <c r="A145" s="7"/>
      <c r="B145" s="46"/>
      <c r="C145" s="24" t="s">
        <v>164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5">
        <f t="shared" si="32"/>
        <v>0</v>
      </c>
    </row>
    <row r="146" spans="1:19" ht="13.15" customHeight="1" x14ac:dyDescent="0.4">
      <c r="A146" s="7"/>
      <c r="B146" s="46"/>
      <c r="C146" s="24" t="s">
        <v>165</v>
      </c>
      <c r="D146" s="47"/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5">
        <f t="shared" si="32"/>
        <v>1</v>
      </c>
    </row>
    <row r="147" spans="1:19" x14ac:dyDescent="0.4">
      <c r="A147" s="6" t="s">
        <v>26</v>
      </c>
      <c r="B147" s="71" t="s">
        <v>51</v>
      </c>
      <c r="C147" s="80"/>
      <c r="D147" s="81"/>
      <c r="E147" s="5">
        <f>SUM(E140:E146)</f>
        <v>12</v>
      </c>
      <c r="F147" s="5">
        <f>SUM(F140:F146)</f>
        <v>5</v>
      </c>
      <c r="G147" s="5">
        <f>SUM(G140:G146)</f>
        <v>12</v>
      </c>
      <c r="H147" s="5">
        <f>SUM(H140:H146)</f>
        <v>16</v>
      </c>
      <c r="I147" s="5">
        <f>SUM(I140:I146)</f>
        <v>5</v>
      </c>
      <c r="J147" s="5">
        <f>SUM(J140:J146)</f>
        <v>1</v>
      </c>
      <c r="K147" s="5">
        <f>SUM(K140:K146)</f>
        <v>5</v>
      </c>
      <c r="L147" s="5">
        <f>SUM(L140:L146)</f>
        <v>12</v>
      </c>
      <c r="M147" s="5">
        <f>SUM(M140:M146)</f>
        <v>5</v>
      </c>
      <c r="N147" s="5">
        <f>SUM(N140:N146)</f>
        <v>2</v>
      </c>
      <c r="O147" s="5">
        <f>SUM(O140:O146)</f>
        <v>1</v>
      </c>
      <c r="P147" s="5">
        <f>SUM(P140:P146)</f>
        <v>7</v>
      </c>
      <c r="Q147" s="5">
        <f>SUM(Q140:Q146)</f>
        <v>8</v>
      </c>
      <c r="R147" s="5">
        <f>SUM(R140:R146)</f>
        <v>1</v>
      </c>
      <c r="S147" s="5">
        <f>SUM(S140:S146)</f>
        <v>92</v>
      </c>
    </row>
    <row r="148" spans="1:19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1:19" x14ac:dyDescent="0.4">
      <c r="A149" s="11" t="s">
        <v>48</v>
      </c>
      <c r="B149" s="17" t="s">
        <v>75</v>
      </c>
      <c r="C149" s="79" t="s">
        <v>76</v>
      </c>
      <c r="D149" s="5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1</v>
      </c>
      <c r="R149" s="6">
        <v>1</v>
      </c>
      <c r="S149" s="5">
        <f t="shared" ref="S149:S150" si="33">SUM(E149:R149)</f>
        <v>2</v>
      </c>
    </row>
    <row r="150" spans="1:19" x14ac:dyDescent="0.4">
      <c r="A150" s="11" t="s">
        <v>50</v>
      </c>
      <c r="B150" s="46"/>
      <c r="C150" s="24" t="s">
        <v>166</v>
      </c>
      <c r="D150" s="47"/>
      <c r="E150" s="6">
        <v>1</v>
      </c>
      <c r="F150" s="6">
        <v>0</v>
      </c>
      <c r="G150" s="6">
        <v>0</v>
      </c>
      <c r="H150" s="6">
        <v>1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1</v>
      </c>
      <c r="Q150" s="6">
        <v>0</v>
      </c>
      <c r="R150" s="6">
        <v>0</v>
      </c>
      <c r="S150" s="5">
        <f t="shared" si="33"/>
        <v>3</v>
      </c>
    </row>
    <row r="151" spans="1:19" x14ac:dyDescent="0.4">
      <c r="A151" s="6" t="s">
        <v>26</v>
      </c>
      <c r="B151" s="71" t="s">
        <v>51</v>
      </c>
      <c r="C151" s="80"/>
      <c r="D151" s="81"/>
      <c r="E151" s="5">
        <f>SUM(E149:E150)</f>
        <v>1</v>
      </c>
      <c r="F151" s="5">
        <f>SUM(F149:F150)</f>
        <v>0</v>
      </c>
      <c r="G151" s="5">
        <f>SUM(G149:G150)</f>
        <v>0</v>
      </c>
      <c r="H151" s="5">
        <f>SUM(H149:H150)</f>
        <v>1</v>
      </c>
      <c r="I151" s="5">
        <f>SUM(I149:I150)</f>
        <v>0</v>
      </c>
      <c r="J151" s="5">
        <f>SUM(J149:J150)</f>
        <v>0</v>
      </c>
      <c r="K151" s="5">
        <f>SUM(K149:K150)</f>
        <v>0</v>
      </c>
      <c r="L151" s="5">
        <f>SUM(L149:L150)</f>
        <v>0</v>
      </c>
      <c r="M151" s="5">
        <f>SUM(M149:M150)</f>
        <v>0</v>
      </c>
      <c r="N151" s="5">
        <f>SUM(N149:N150)</f>
        <v>0</v>
      </c>
      <c r="O151" s="5">
        <f>SUM(O149:O150)</f>
        <v>0</v>
      </c>
      <c r="P151" s="5">
        <f>SUM(P149:P150)</f>
        <v>1</v>
      </c>
      <c r="Q151" s="5">
        <f>SUM(Q149:Q150)</f>
        <v>1</v>
      </c>
      <c r="R151" s="5">
        <f>SUM(R149:R150)</f>
        <v>1</v>
      </c>
      <c r="S151" s="5">
        <f>SUM(S149:S150)</f>
        <v>5</v>
      </c>
    </row>
    <row r="152" spans="1:19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1:19" x14ac:dyDescent="0.4">
      <c r="A153" s="11" t="s">
        <v>48</v>
      </c>
      <c r="B153" s="17" t="s">
        <v>77</v>
      </c>
      <c r="C153" s="79" t="s">
        <v>78</v>
      </c>
      <c r="D153" s="52"/>
      <c r="E153" s="6">
        <v>0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0</v>
      </c>
      <c r="S153" s="5">
        <f t="shared" ref="S153:S156" si="34">SUM(E153:R153)</f>
        <v>2</v>
      </c>
    </row>
    <row r="154" spans="1:19" x14ac:dyDescent="0.4">
      <c r="A154" s="11" t="s">
        <v>50</v>
      </c>
      <c r="B154" s="17"/>
      <c r="C154" s="24" t="s">
        <v>167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5">
        <f t="shared" si="34"/>
        <v>0</v>
      </c>
    </row>
    <row r="155" spans="1:19" x14ac:dyDescent="0.4">
      <c r="A155" s="7"/>
      <c r="B155" s="17"/>
      <c r="C155" s="24" t="s">
        <v>168</v>
      </c>
      <c r="D155" s="45"/>
      <c r="E155" s="6">
        <v>3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1</v>
      </c>
      <c r="M155" s="6">
        <v>1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5">
        <f t="shared" si="34"/>
        <v>7</v>
      </c>
    </row>
    <row r="156" spans="1:19" x14ac:dyDescent="0.4">
      <c r="A156" s="7"/>
      <c r="B156" s="17"/>
      <c r="C156" s="24" t="s">
        <v>169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5">
        <f t="shared" si="34"/>
        <v>0</v>
      </c>
    </row>
    <row r="157" spans="1:19" x14ac:dyDescent="0.4">
      <c r="A157" s="6" t="s">
        <v>26</v>
      </c>
      <c r="B157" s="71" t="s">
        <v>51</v>
      </c>
      <c r="C157" s="80"/>
      <c r="D157" s="81"/>
      <c r="E157" s="5">
        <f>SUM(E153:E156)</f>
        <v>3</v>
      </c>
      <c r="F157" s="5">
        <f>SUM(F153:F156)</f>
        <v>0</v>
      </c>
      <c r="G157" s="5">
        <f>SUM(G153:G156)</f>
        <v>0</v>
      </c>
      <c r="H157" s="5">
        <f>SUM(H153:H156)</f>
        <v>2</v>
      </c>
      <c r="I157" s="5">
        <f>SUM(I153:I156)</f>
        <v>0</v>
      </c>
      <c r="J157" s="5">
        <f>SUM(J153:J156)</f>
        <v>0</v>
      </c>
      <c r="K157" s="5">
        <f>SUM(K153:K156)</f>
        <v>0</v>
      </c>
      <c r="L157" s="5">
        <f>SUM(L153:L156)</f>
        <v>1</v>
      </c>
      <c r="M157" s="5">
        <f>SUM(M153:M156)</f>
        <v>1</v>
      </c>
      <c r="N157" s="5">
        <f>SUM(N153:N156)</f>
        <v>0</v>
      </c>
      <c r="O157" s="5">
        <f>SUM(O153:O156)</f>
        <v>2</v>
      </c>
      <c r="P157" s="5">
        <f>SUM(P153:P156)</f>
        <v>0</v>
      </c>
      <c r="Q157" s="5">
        <f>SUM(Q153:Q156)</f>
        <v>0</v>
      </c>
      <c r="R157" s="5">
        <f>SUM(R153:R156)</f>
        <v>0</v>
      </c>
      <c r="S157" s="5">
        <f>SUM(S153:S156)</f>
        <v>9</v>
      </c>
    </row>
    <row r="158" spans="1:19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1:19" x14ac:dyDescent="0.4">
      <c r="A159" s="11" t="s">
        <v>48</v>
      </c>
      <c r="B159" s="17" t="s">
        <v>79</v>
      </c>
      <c r="C159" s="79" t="s">
        <v>80</v>
      </c>
      <c r="D159" s="52"/>
      <c r="E159" s="6">
        <v>1</v>
      </c>
      <c r="F159" s="6">
        <v>0</v>
      </c>
      <c r="G159" s="6">
        <v>0</v>
      </c>
      <c r="H159" s="6">
        <v>1</v>
      </c>
      <c r="I159" s="6">
        <v>0</v>
      </c>
      <c r="J159" s="6">
        <v>0</v>
      </c>
      <c r="K159" s="6">
        <v>1</v>
      </c>
      <c r="L159" s="6">
        <v>1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5">
        <f t="shared" ref="S159:S165" si="35">SUM(E159:R159)</f>
        <v>4</v>
      </c>
    </row>
    <row r="160" spans="1:19" x14ac:dyDescent="0.4">
      <c r="A160" s="11" t="s">
        <v>50</v>
      </c>
      <c r="B160" s="46"/>
      <c r="C160" s="24" t="s">
        <v>170</v>
      </c>
      <c r="D160" s="47"/>
      <c r="E160" s="6">
        <v>1</v>
      </c>
      <c r="F160" s="6">
        <v>0</v>
      </c>
      <c r="G160" s="6">
        <v>0</v>
      </c>
      <c r="H160" s="6">
        <v>1</v>
      </c>
      <c r="I160" s="6">
        <v>4</v>
      </c>
      <c r="J160" s="6">
        <v>0</v>
      </c>
      <c r="K160" s="6">
        <v>1</v>
      </c>
      <c r="L160" s="6">
        <v>0</v>
      </c>
      <c r="M160" s="6">
        <v>0</v>
      </c>
      <c r="N160" s="6">
        <v>4</v>
      </c>
      <c r="O160" s="6">
        <v>2</v>
      </c>
      <c r="P160" s="6">
        <v>0</v>
      </c>
      <c r="Q160" s="6">
        <v>1</v>
      </c>
      <c r="R160" s="6">
        <v>0</v>
      </c>
      <c r="S160" s="5">
        <f t="shared" si="35"/>
        <v>14</v>
      </c>
    </row>
    <row r="161" spans="1:19" x14ac:dyDescent="0.4">
      <c r="A161" s="7"/>
      <c r="B161" s="46"/>
      <c r="C161" s="24" t="s">
        <v>171</v>
      </c>
      <c r="D161" s="47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1</v>
      </c>
      <c r="P161" s="6">
        <v>0</v>
      </c>
      <c r="Q161" s="6">
        <v>0</v>
      </c>
      <c r="R161" s="6">
        <v>0</v>
      </c>
      <c r="S161" s="5">
        <f t="shared" si="35"/>
        <v>1</v>
      </c>
    </row>
    <row r="162" spans="1:19" ht="13.15" customHeight="1" x14ac:dyDescent="0.4">
      <c r="A162" s="7"/>
      <c r="B162" s="46"/>
      <c r="C162" s="24" t="s">
        <v>172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5">
        <f t="shared" si="35"/>
        <v>0</v>
      </c>
    </row>
    <row r="163" spans="1:19" x14ac:dyDescent="0.4">
      <c r="A163" s="7"/>
      <c r="B163" s="46"/>
      <c r="C163" s="24" t="s">
        <v>173</v>
      </c>
      <c r="D163" s="47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5">
        <f t="shared" si="35"/>
        <v>0</v>
      </c>
    </row>
    <row r="164" spans="1:19" ht="12.75" customHeight="1" x14ac:dyDescent="0.4">
      <c r="A164" s="7"/>
      <c r="B164" s="46"/>
      <c r="C164" s="24" t="s">
        <v>174</v>
      </c>
      <c r="D164" s="47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5">
        <f t="shared" si="35"/>
        <v>0</v>
      </c>
    </row>
    <row r="165" spans="1:19" x14ac:dyDescent="0.4">
      <c r="A165" s="7"/>
      <c r="B165" s="46"/>
      <c r="C165" s="24" t="s">
        <v>175</v>
      </c>
      <c r="D165" s="47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5">
        <f t="shared" si="35"/>
        <v>0</v>
      </c>
    </row>
    <row r="166" spans="1:19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2</v>
      </c>
      <c r="F166" s="5">
        <f>SUM(F159:F165)</f>
        <v>0</v>
      </c>
      <c r="G166" s="5">
        <f>SUM(G159:G165)</f>
        <v>0</v>
      </c>
      <c r="H166" s="5">
        <f>SUM(H159:H165)</f>
        <v>2</v>
      </c>
      <c r="I166" s="5">
        <f>SUM(I159:I165)</f>
        <v>4</v>
      </c>
      <c r="J166" s="5">
        <f>SUM(J159:J165)</f>
        <v>0</v>
      </c>
      <c r="K166" s="5">
        <f>SUM(K159:K165)</f>
        <v>2</v>
      </c>
      <c r="L166" s="5">
        <f>SUM(L159:L165)</f>
        <v>1</v>
      </c>
      <c r="M166" s="5">
        <f>SUM(M159:M165)</f>
        <v>0</v>
      </c>
      <c r="N166" s="5">
        <f>SUM(N159:N165)</f>
        <v>4</v>
      </c>
      <c r="O166" s="5">
        <f>SUM(O159:O165)</f>
        <v>3</v>
      </c>
      <c r="P166" s="5">
        <f>SUM(P159:P165)</f>
        <v>0</v>
      </c>
      <c r="Q166" s="5">
        <f>SUM(Q159:Q165)</f>
        <v>1</v>
      </c>
      <c r="R166" s="5">
        <f>SUM(R159:R165)</f>
        <v>0</v>
      </c>
      <c r="S166" s="5">
        <f>SUM(S159:S165)</f>
        <v>19</v>
      </c>
    </row>
    <row r="167" spans="1:19" x14ac:dyDescent="0.4">
      <c r="A167" s="50"/>
      <c r="B167" s="82"/>
      <c r="C167" s="82"/>
      <c r="D167" s="82"/>
      <c r="E167" s="83"/>
    </row>
    <row r="168" spans="1:19" x14ac:dyDescent="0.4">
      <c r="A168" s="11" t="s">
        <v>48</v>
      </c>
      <c r="B168" s="17" t="s">
        <v>81</v>
      </c>
      <c r="C168" s="79" t="s">
        <v>82</v>
      </c>
      <c r="D168" s="52"/>
      <c r="E168" s="6">
        <v>0</v>
      </c>
      <c r="F168" s="6">
        <v>0</v>
      </c>
      <c r="G168" s="6">
        <v>0</v>
      </c>
      <c r="H168" s="6">
        <v>1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1</v>
      </c>
      <c r="R168" s="6">
        <v>1</v>
      </c>
      <c r="S168" s="5">
        <f t="shared" ref="S168:S169" si="36">SUM(E168:R168)</f>
        <v>3</v>
      </c>
    </row>
    <row r="169" spans="1:19" x14ac:dyDescent="0.4">
      <c r="A169" s="11" t="s">
        <v>50</v>
      </c>
      <c r="B169" s="46"/>
      <c r="C169" s="24" t="s">
        <v>176</v>
      </c>
      <c r="D169" s="47"/>
      <c r="E169" s="6">
        <v>1</v>
      </c>
      <c r="F169" s="6">
        <v>0</v>
      </c>
      <c r="G169" s="6">
        <v>0</v>
      </c>
      <c r="H169" s="6">
        <v>1</v>
      </c>
      <c r="I169" s="6">
        <v>0</v>
      </c>
      <c r="J169" s="6">
        <v>0</v>
      </c>
      <c r="K169" s="6">
        <v>4</v>
      </c>
      <c r="L169" s="6">
        <v>0</v>
      </c>
      <c r="M169" s="6">
        <v>0</v>
      </c>
      <c r="N169" s="6">
        <v>0</v>
      </c>
      <c r="O169" s="6">
        <v>0</v>
      </c>
      <c r="P169" s="6">
        <v>1</v>
      </c>
      <c r="Q169" s="6">
        <v>0</v>
      </c>
      <c r="R169" s="6">
        <v>0</v>
      </c>
      <c r="S169" s="5">
        <f t="shared" si="36"/>
        <v>7</v>
      </c>
    </row>
    <row r="170" spans="1:19" x14ac:dyDescent="0.4">
      <c r="A170" s="6" t="s">
        <v>26</v>
      </c>
      <c r="B170" s="71" t="s">
        <v>51</v>
      </c>
      <c r="C170" s="80"/>
      <c r="D170" s="81"/>
      <c r="E170" s="5">
        <f>SUM(E168:E169)</f>
        <v>1</v>
      </c>
      <c r="F170" s="5">
        <f>SUM(F168:F169)</f>
        <v>0</v>
      </c>
      <c r="G170" s="5">
        <f>SUM(G168:G169)</f>
        <v>0</v>
      </c>
      <c r="H170" s="5">
        <f>SUM(H168:H169)</f>
        <v>2</v>
      </c>
      <c r="I170" s="5">
        <f>SUM(I168:I169)</f>
        <v>0</v>
      </c>
      <c r="J170" s="5">
        <f>SUM(J168:J169)</f>
        <v>0</v>
      </c>
      <c r="K170" s="5">
        <f>SUM(K168:K169)</f>
        <v>4</v>
      </c>
      <c r="L170" s="5">
        <f>SUM(L168:L169)</f>
        <v>0</v>
      </c>
      <c r="M170" s="5">
        <f>SUM(M168:M169)</f>
        <v>0</v>
      </c>
      <c r="N170" s="5">
        <f>SUM(N168:N169)</f>
        <v>0</v>
      </c>
      <c r="O170" s="5">
        <f>SUM(O168:O169)</f>
        <v>0</v>
      </c>
      <c r="P170" s="5">
        <f>SUM(P168:P169)</f>
        <v>1</v>
      </c>
      <c r="Q170" s="5">
        <f>SUM(Q168:Q169)</f>
        <v>1</v>
      </c>
      <c r="R170" s="5">
        <f>SUM(R168:R169)</f>
        <v>1</v>
      </c>
      <c r="S170" s="5">
        <f>SUM(S168:S169)</f>
        <v>10</v>
      </c>
    </row>
    <row r="172" spans="1:19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15"/>
      <c r="O172" s="15"/>
      <c r="P172" s="15"/>
      <c r="Q172" s="15"/>
      <c r="R172" s="5"/>
      <c r="S172" s="5"/>
    </row>
    <row r="173" spans="1:19" x14ac:dyDescent="0.4">
      <c r="A173" s="16"/>
      <c r="B173" s="19" t="s">
        <v>85</v>
      </c>
      <c r="C173" s="88" t="s">
        <v>86</v>
      </c>
      <c r="D173" s="89"/>
      <c r="E173" s="6">
        <v>156</v>
      </c>
      <c r="F173" s="6">
        <v>120</v>
      </c>
      <c r="G173" s="6">
        <v>152</v>
      </c>
      <c r="H173" s="6">
        <v>180</v>
      </c>
      <c r="I173" s="6">
        <v>198</v>
      </c>
      <c r="J173" s="6">
        <v>174</v>
      </c>
      <c r="K173" s="6">
        <v>210</v>
      </c>
      <c r="L173" s="6">
        <v>167</v>
      </c>
      <c r="M173" s="6">
        <v>183</v>
      </c>
      <c r="N173" s="6">
        <v>205</v>
      </c>
      <c r="O173" s="6">
        <v>193</v>
      </c>
      <c r="P173" s="6">
        <v>184</v>
      </c>
      <c r="Q173" s="6">
        <v>181</v>
      </c>
      <c r="R173" s="6">
        <v>122</v>
      </c>
      <c r="S173" s="5">
        <f>SUM(E173:R173)</f>
        <v>2425</v>
      </c>
    </row>
    <row r="174" spans="1:19" x14ac:dyDescent="0.4">
      <c r="A174" s="13"/>
      <c r="B174" s="19" t="s">
        <v>87</v>
      </c>
      <c r="C174" s="88" t="s">
        <v>88</v>
      </c>
      <c r="D174" s="89"/>
      <c r="E174" s="6">
        <v>19</v>
      </c>
      <c r="F174" s="6">
        <v>12</v>
      </c>
      <c r="G174" s="6">
        <v>7</v>
      </c>
      <c r="H174" s="6">
        <v>13</v>
      </c>
      <c r="I174" s="6">
        <v>6</v>
      </c>
      <c r="J174" s="6">
        <v>9</v>
      </c>
      <c r="K174" s="6">
        <v>6</v>
      </c>
      <c r="L174" s="6">
        <v>12</v>
      </c>
      <c r="M174" s="6">
        <v>18</v>
      </c>
      <c r="N174" s="6">
        <v>12</v>
      </c>
      <c r="O174" s="6">
        <v>21</v>
      </c>
      <c r="P174" s="6">
        <v>18</v>
      </c>
      <c r="Q174" s="6">
        <v>18</v>
      </c>
      <c r="R174" s="6">
        <v>17</v>
      </c>
      <c r="S174" s="5">
        <f>SUM(E174:R174)</f>
        <v>188</v>
      </c>
    </row>
    <row r="175" spans="1:19" x14ac:dyDescent="0.4">
      <c r="A175" s="14"/>
      <c r="B175" s="19" t="s">
        <v>89</v>
      </c>
      <c r="C175" s="88" t="s">
        <v>90</v>
      </c>
      <c r="D175" s="89"/>
      <c r="E175" s="5">
        <f>SUM(E173:E174)</f>
        <v>175</v>
      </c>
      <c r="F175" s="5">
        <f t="shared" ref="F175:R175" si="37">SUM(F173:F174)</f>
        <v>132</v>
      </c>
      <c r="G175" s="5">
        <f t="shared" si="37"/>
        <v>159</v>
      </c>
      <c r="H175" s="5">
        <f t="shared" si="37"/>
        <v>193</v>
      </c>
      <c r="I175" s="5">
        <f t="shared" si="37"/>
        <v>204</v>
      </c>
      <c r="J175" s="5">
        <f t="shared" si="37"/>
        <v>183</v>
      </c>
      <c r="K175" s="5">
        <f t="shared" si="37"/>
        <v>216</v>
      </c>
      <c r="L175" s="5">
        <f t="shared" ref="L175:Q175" si="38">SUM(L173:L174)</f>
        <v>179</v>
      </c>
      <c r="M175" s="5">
        <f t="shared" si="38"/>
        <v>201</v>
      </c>
      <c r="N175" s="5">
        <f t="shared" si="38"/>
        <v>217</v>
      </c>
      <c r="O175" s="5">
        <f t="shared" si="38"/>
        <v>214</v>
      </c>
      <c r="P175" s="5">
        <f t="shared" si="38"/>
        <v>202</v>
      </c>
      <c r="Q175" s="5">
        <f t="shared" si="38"/>
        <v>199</v>
      </c>
      <c r="R175" s="5">
        <f t="shared" si="37"/>
        <v>139</v>
      </c>
      <c r="S175" s="5">
        <f>SUM(E175:R175)</f>
        <v>2613</v>
      </c>
    </row>
  </sheetData>
  <mergeCells count="86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R12"/>
    <mergeCell ref="S12:S13"/>
    <mergeCell ref="B13:D13"/>
    <mergeCell ref="B14:C16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E37:I37"/>
    <mergeCell ref="B38:D38"/>
    <mergeCell ref="B39:C41"/>
    <mergeCell ref="A42:D42"/>
    <mergeCell ref="E42:I42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110:D110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C108:D108"/>
    <mergeCell ref="B138:D138"/>
    <mergeCell ref="A111:E111"/>
    <mergeCell ref="C112:D112"/>
    <mergeCell ref="B119:D119"/>
    <mergeCell ref="A120:E120"/>
    <mergeCell ref="C121:D121"/>
    <mergeCell ref="B122:D122"/>
    <mergeCell ref="A123:E123"/>
    <mergeCell ref="C124:D124"/>
    <mergeCell ref="B129:D129"/>
    <mergeCell ref="A130:E130"/>
    <mergeCell ref="C131:D131"/>
    <mergeCell ref="B166:D166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59:D159"/>
    <mergeCell ref="C175:D175"/>
    <mergeCell ref="A167:E167"/>
    <mergeCell ref="C168:D168"/>
    <mergeCell ref="B170:D170"/>
    <mergeCell ref="B172:D172"/>
    <mergeCell ref="C173:D173"/>
    <mergeCell ref="C174:D174"/>
  </mergeCells>
  <phoneticPr fontId="8" type="noConversion"/>
  <conditionalFormatting sqref="E14:R15">
    <cfRule type="containsBlanks" dxfId="196" priority="20">
      <formula>LEN(TRIM(E14))=0</formula>
    </cfRule>
  </conditionalFormatting>
  <conditionalFormatting sqref="E19:R20">
    <cfRule type="containsBlanks" dxfId="195" priority="23">
      <formula>LEN(TRIM(E19))=0</formula>
    </cfRule>
  </conditionalFormatting>
  <conditionalFormatting sqref="E22:R23 E25:R26 E33:R33 E35:R35 E39:R40">
    <cfRule type="containsBlanks" dxfId="194" priority="24">
      <formula>LEN(TRIM(E22))=0</formula>
    </cfRule>
  </conditionalFormatting>
  <conditionalFormatting sqref="E30:R30">
    <cfRule type="expression" dxfId="193" priority="25">
      <formula>E30&lt;&gt;E47</formula>
    </cfRule>
    <cfRule type="expression" dxfId="192" priority="26">
      <formula>E30&lt;&gt;E34</formula>
    </cfRule>
  </conditionalFormatting>
  <conditionalFormatting sqref="E45:R51">
    <cfRule type="containsBlanks" dxfId="191" priority="19">
      <formula>LEN(TRIM(E45))=0</formula>
    </cfRule>
  </conditionalFormatting>
  <conditionalFormatting sqref="E54:R60">
    <cfRule type="containsBlanks" dxfId="190" priority="18">
      <formula>LEN(TRIM(E54))=0</formula>
    </cfRule>
  </conditionalFormatting>
  <conditionalFormatting sqref="E63:R69">
    <cfRule type="containsBlanks" dxfId="189" priority="17">
      <formula>LEN(TRIM(E63))=0</formula>
    </cfRule>
  </conditionalFormatting>
  <conditionalFormatting sqref="E72:R78">
    <cfRule type="containsBlanks" dxfId="188" priority="16">
      <formula>LEN(TRIM(E72))=0</formula>
    </cfRule>
  </conditionalFormatting>
  <conditionalFormatting sqref="E81:R87">
    <cfRule type="containsBlanks" dxfId="187" priority="15">
      <formula>LEN(TRIM(E81))=0</formula>
    </cfRule>
  </conditionalFormatting>
  <conditionalFormatting sqref="E90:R90">
    <cfRule type="containsBlanks" dxfId="186" priority="14">
      <formula>LEN(TRIM(E90))=0</formula>
    </cfRule>
  </conditionalFormatting>
  <conditionalFormatting sqref="E93:R96">
    <cfRule type="containsBlanks" dxfId="185" priority="1">
      <formula>LEN(TRIM(E93))=0</formula>
    </cfRule>
  </conditionalFormatting>
  <conditionalFormatting sqref="E99:R105">
    <cfRule type="containsBlanks" dxfId="184" priority="13">
      <formula>LEN(TRIM(E99))=0</formula>
    </cfRule>
  </conditionalFormatting>
  <conditionalFormatting sqref="E108:R109">
    <cfRule type="containsBlanks" dxfId="183" priority="12">
      <formula>LEN(TRIM(E108))=0</formula>
    </cfRule>
  </conditionalFormatting>
  <conditionalFormatting sqref="E112:R118">
    <cfRule type="containsBlanks" dxfId="182" priority="3">
      <formula>LEN(TRIM(E112))=0</formula>
    </cfRule>
  </conditionalFormatting>
  <conditionalFormatting sqref="E121:R121">
    <cfRule type="containsBlanks" dxfId="181" priority="11">
      <formula>LEN(TRIM(E121))=0</formula>
    </cfRule>
  </conditionalFormatting>
  <conditionalFormatting sqref="E124:R128">
    <cfRule type="containsBlanks" dxfId="180" priority="10">
      <formula>LEN(TRIM(E124))=0</formula>
    </cfRule>
  </conditionalFormatting>
  <conditionalFormatting sqref="E131:R137">
    <cfRule type="containsBlanks" dxfId="179" priority="9">
      <formula>LEN(TRIM(E131))=0</formula>
    </cfRule>
  </conditionalFormatting>
  <conditionalFormatting sqref="E140:R146">
    <cfRule type="containsBlanks" dxfId="178" priority="8">
      <formula>LEN(TRIM(E140))=0</formula>
    </cfRule>
  </conditionalFormatting>
  <conditionalFormatting sqref="E149:R150">
    <cfRule type="containsBlanks" dxfId="177" priority="7">
      <formula>LEN(TRIM(E149))=0</formula>
    </cfRule>
  </conditionalFormatting>
  <conditionalFormatting sqref="E153:R156">
    <cfRule type="containsBlanks" dxfId="176" priority="6">
      <formula>LEN(TRIM(E153))=0</formula>
    </cfRule>
  </conditionalFormatting>
  <conditionalFormatting sqref="E159:R165">
    <cfRule type="containsBlanks" dxfId="175" priority="5">
      <formula>LEN(TRIM(E159))=0</formula>
    </cfRule>
  </conditionalFormatting>
  <conditionalFormatting sqref="E168:R169">
    <cfRule type="containsBlanks" dxfId="174" priority="4">
      <formula>LEN(TRIM(E168))=0</formula>
    </cfRule>
  </conditionalFormatting>
  <conditionalFormatting sqref="E173:R174">
    <cfRule type="containsBlanks" dxfId="173" priority="2">
      <formula>LEN(TRIM(E173))=0</formula>
    </cfRule>
  </conditionalFormatting>
  <conditionalFormatting sqref="E34:R34">
    <cfRule type="expression" dxfId="172" priority="129">
      <formula>E30&lt;&gt;E34</formula>
    </cfRule>
    <cfRule type="expression" dxfId="171" priority="130">
      <formula>E30=E34</formula>
    </cfRule>
    <cfRule type="expression" dxfId="170" priority="131">
      <formula>E34&lt;&gt;E30</formula>
    </cfRule>
    <cfRule type="expression" dxfId="169" priority="132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sheetPr>
    <tabColor rgb="FF92D050"/>
  </sheetPr>
  <dimension ref="A2:U175"/>
  <sheetViews>
    <sheetView topLeftCell="C163" zoomScale="85" zoomScaleNormal="85" workbookViewId="0">
      <selection activeCell="J171" sqref="J171"/>
    </sheetView>
  </sheetViews>
  <sheetFormatPr defaultRowHeight="13.15" x14ac:dyDescent="0.4"/>
  <cols>
    <col min="3" max="3" width="67.140625" bestFit="1" customWidth="1"/>
    <col min="4" max="4" width="5.85546875" bestFit="1" customWidth="1"/>
    <col min="21" max="21" width="13.28515625" customWidth="1"/>
  </cols>
  <sheetData>
    <row r="2" spans="1:21" x14ac:dyDescent="0.4">
      <c r="C2" s="43" t="s">
        <v>98</v>
      </c>
      <c r="D2" s="43" t="s">
        <v>177</v>
      </c>
    </row>
    <row r="3" spans="1:21" x14ac:dyDescent="0.4">
      <c r="C3" s="43" t="s">
        <v>99</v>
      </c>
      <c r="D3" s="43" t="s">
        <v>100</v>
      </c>
    </row>
    <row r="4" spans="1:21" x14ac:dyDescent="0.4">
      <c r="C4" s="43" t="s">
        <v>101</v>
      </c>
      <c r="D4" s="43" t="s">
        <v>102</v>
      </c>
    </row>
    <row r="5" spans="1:21" x14ac:dyDescent="0.4">
      <c r="C5" s="43"/>
      <c r="D5" s="43"/>
    </row>
    <row r="6" spans="1:21" x14ac:dyDescent="0.4">
      <c r="C6" s="43"/>
      <c r="D6" s="43"/>
    </row>
    <row r="7" spans="1:21" x14ac:dyDescent="0.4">
      <c r="C7" s="43"/>
      <c r="D7" s="43"/>
    </row>
    <row r="8" spans="1:21" x14ac:dyDescent="0.4">
      <c r="C8" s="43"/>
      <c r="D8" s="43"/>
    </row>
    <row r="9" spans="1:21" x14ac:dyDescent="0.4">
      <c r="C9" s="43" t="s">
        <v>103</v>
      </c>
      <c r="D9" s="43" t="s">
        <v>183</v>
      </c>
    </row>
    <row r="11" spans="1:2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3"/>
    </row>
    <row r="12" spans="1:21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6" t="s">
        <v>97</v>
      </c>
    </row>
    <row r="13" spans="1:21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7"/>
    </row>
    <row r="14" spans="1:21" x14ac:dyDescent="0.4">
      <c r="A14" s="7"/>
      <c r="B14" s="59" t="s">
        <v>22</v>
      </c>
      <c r="C14" s="60"/>
      <c r="D14" s="6" t="s">
        <v>23</v>
      </c>
      <c r="E14" s="6">
        <v>118</v>
      </c>
      <c r="F14" s="6">
        <v>114</v>
      </c>
      <c r="G14" s="6">
        <v>110</v>
      </c>
      <c r="H14" s="6">
        <v>97</v>
      </c>
      <c r="I14" s="6">
        <v>115</v>
      </c>
      <c r="J14" s="6">
        <v>147</v>
      </c>
      <c r="K14" s="6">
        <v>110</v>
      </c>
      <c r="L14" s="6">
        <v>151</v>
      </c>
      <c r="M14" s="6">
        <v>134</v>
      </c>
      <c r="N14" s="6">
        <v>138</v>
      </c>
      <c r="O14" s="6">
        <v>112</v>
      </c>
      <c r="P14" s="6">
        <v>118</v>
      </c>
      <c r="Q14" s="6">
        <v>120</v>
      </c>
      <c r="R14" s="6">
        <v>125</v>
      </c>
      <c r="S14" s="6">
        <v>125</v>
      </c>
      <c r="T14" s="6">
        <v>113</v>
      </c>
      <c r="U14" s="5">
        <f>SUM(E14:T14)</f>
        <v>1947</v>
      </c>
    </row>
    <row r="15" spans="1:21" x14ac:dyDescent="0.4">
      <c r="A15" s="7"/>
      <c r="B15" s="61"/>
      <c r="C15" s="62"/>
      <c r="D15" s="6" t="s">
        <v>24</v>
      </c>
      <c r="E15" s="6">
        <v>114</v>
      </c>
      <c r="F15" s="6">
        <v>126</v>
      </c>
      <c r="G15" s="6">
        <v>114</v>
      </c>
      <c r="H15" s="6">
        <v>93</v>
      </c>
      <c r="I15" s="6">
        <v>112</v>
      </c>
      <c r="J15" s="6">
        <v>148</v>
      </c>
      <c r="K15" s="6">
        <v>113</v>
      </c>
      <c r="L15" s="6">
        <v>130</v>
      </c>
      <c r="M15" s="6">
        <v>146</v>
      </c>
      <c r="N15" s="6">
        <v>140</v>
      </c>
      <c r="O15" s="6">
        <v>159</v>
      </c>
      <c r="P15" s="6">
        <v>115</v>
      </c>
      <c r="Q15" s="6">
        <v>119</v>
      </c>
      <c r="R15" s="6">
        <v>120</v>
      </c>
      <c r="S15" s="6">
        <v>129</v>
      </c>
      <c r="T15" s="6">
        <v>128</v>
      </c>
      <c r="U15" s="5">
        <f>SUM(E15:T15)</f>
        <v>2006</v>
      </c>
    </row>
    <row r="16" spans="1:21" x14ac:dyDescent="0.4">
      <c r="A16" s="8"/>
      <c r="B16" s="63"/>
      <c r="C16" s="64"/>
      <c r="D16" s="5" t="s">
        <v>25</v>
      </c>
      <c r="E16" s="5">
        <f t="shared" ref="E16:T16" si="0">SUM(E14:E15)</f>
        <v>232</v>
      </c>
      <c r="F16" s="5">
        <f t="shared" si="0"/>
        <v>240</v>
      </c>
      <c r="G16" s="5">
        <f t="shared" si="0"/>
        <v>224</v>
      </c>
      <c r="H16" s="5">
        <f t="shared" si="0"/>
        <v>190</v>
      </c>
      <c r="I16" s="5">
        <f t="shared" si="0"/>
        <v>227</v>
      </c>
      <c r="J16" s="5">
        <f t="shared" si="0"/>
        <v>295</v>
      </c>
      <c r="K16" s="5">
        <f t="shared" si="0"/>
        <v>223</v>
      </c>
      <c r="L16" s="5">
        <f t="shared" si="0"/>
        <v>281</v>
      </c>
      <c r="M16" s="5">
        <f t="shared" si="0"/>
        <v>280</v>
      </c>
      <c r="N16" s="5">
        <f t="shared" ref="N16:P16" si="1">SUM(N14:N15)</f>
        <v>278</v>
      </c>
      <c r="O16" s="5">
        <f t="shared" si="1"/>
        <v>271</v>
      </c>
      <c r="P16" s="5">
        <f t="shared" si="1"/>
        <v>233</v>
      </c>
      <c r="Q16" s="5">
        <f t="shared" si="0"/>
        <v>239</v>
      </c>
      <c r="R16" s="5">
        <f t="shared" si="0"/>
        <v>245</v>
      </c>
      <c r="S16" s="5">
        <f t="shared" si="0"/>
        <v>254</v>
      </c>
      <c r="T16" s="5">
        <f t="shared" si="0"/>
        <v>241</v>
      </c>
      <c r="U16" s="5">
        <f>SUM(E16:T16)</f>
        <v>3953</v>
      </c>
    </row>
    <row r="17" spans="1:21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28"/>
    </row>
    <row r="18" spans="1:21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28"/>
    </row>
    <row r="19" spans="1:21" x14ac:dyDescent="0.4">
      <c r="A19" s="11"/>
      <c r="B19" s="65" t="s">
        <v>28</v>
      </c>
      <c r="C19" s="66" t="s">
        <v>29</v>
      </c>
      <c r="D19" s="6" t="s">
        <v>23</v>
      </c>
      <c r="E19" s="6">
        <v>78</v>
      </c>
      <c r="F19" s="6">
        <v>84</v>
      </c>
      <c r="G19" s="6">
        <v>80</v>
      </c>
      <c r="H19" s="6">
        <v>57</v>
      </c>
      <c r="I19" s="6">
        <v>69</v>
      </c>
      <c r="J19" s="6">
        <v>94</v>
      </c>
      <c r="K19" s="6">
        <v>81</v>
      </c>
      <c r="L19" s="6">
        <v>107</v>
      </c>
      <c r="M19" s="6">
        <v>86</v>
      </c>
      <c r="N19" s="6">
        <v>87</v>
      </c>
      <c r="O19" s="6">
        <v>78</v>
      </c>
      <c r="P19" s="6">
        <v>84</v>
      </c>
      <c r="Q19" s="6">
        <v>77</v>
      </c>
      <c r="R19" s="6">
        <v>87</v>
      </c>
      <c r="S19" s="6">
        <v>93</v>
      </c>
      <c r="T19" s="6">
        <v>74</v>
      </c>
      <c r="U19" s="5">
        <f t="shared" ref="U19:U30" si="2">SUM(E19:T19)</f>
        <v>1316</v>
      </c>
    </row>
    <row r="20" spans="1:21" x14ac:dyDescent="0.4">
      <c r="A20" s="12"/>
      <c r="B20" s="62"/>
      <c r="C20" s="67"/>
      <c r="D20" s="6" t="s">
        <v>24</v>
      </c>
      <c r="E20" s="6">
        <v>74</v>
      </c>
      <c r="F20" s="6">
        <v>95</v>
      </c>
      <c r="G20" s="6">
        <v>88</v>
      </c>
      <c r="H20" s="6">
        <v>63</v>
      </c>
      <c r="I20" s="6">
        <v>88</v>
      </c>
      <c r="J20" s="6">
        <v>103</v>
      </c>
      <c r="K20" s="6">
        <v>83</v>
      </c>
      <c r="L20" s="6">
        <v>106</v>
      </c>
      <c r="M20" s="6">
        <v>110</v>
      </c>
      <c r="N20" s="6">
        <v>109</v>
      </c>
      <c r="O20" s="6">
        <v>92</v>
      </c>
      <c r="P20" s="6">
        <v>86</v>
      </c>
      <c r="Q20" s="6">
        <v>90</v>
      </c>
      <c r="R20" s="6">
        <v>92</v>
      </c>
      <c r="S20" s="6">
        <v>108</v>
      </c>
      <c r="T20" s="6">
        <v>95</v>
      </c>
      <c r="U20" s="5">
        <f t="shared" si="2"/>
        <v>1482</v>
      </c>
    </row>
    <row r="21" spans="1:21" x14ac:dyDescent="0.4">
      <c r="A21" s="13"/>
      <c r="B21" s="64"/>
      <c r="C21" s="68"/>
      <c r="D21" s="5" t="s">
        <v>25</v>
      </c>
      <c r="E21" s="5">
        <f t="shared" ref="E21:T21" si="3">SUM(E19:E20)</f>
        <v>152</v>
      </c>
      <c r="F21" s="5">
        <f t="shared" si="3"/>
        <v>179</v>
      </c>
      <c r="G21" s="5">
        <f t="shared" si="3"/>
        <v>168</v>
      </c>
      <c r="H21" s="5">
        <f t="shared" si="3"/>
        <v>120</v>
      </c>
      <c r="I21" s="5">
        <f t="shared" si="3"/>
        <v>157</v>
      </c>
      <c r="J21" s="5">
        <f t="shared" si="3"/>
        <v>197</v>
      </c>
      <c r="K21" s="5">
        <f t="shared" si="3"/>
        <v>164</v>
      </c>
      <c r="L21" s="5">
        <f t="shared" si="3"/>
        <v>213</v>
      </c>
      <c r="M21" s="5">
        <f t="shared" si="3"/>
        <v>196</v>
      </c>
      <c r="N21" s="5">
        <f t="shared" ref="N21:P21" si="4">SUM(N19:N20)</f>
        <v>196</v>
      </c>
      <c r="O21" s="5">
        <f t="shared" si="4"/>
        <v>170</v>
      </c>
      <c r="P21" s="5">
        <f t="shared" si="4"/>
        <v>170</v>
      </c>
      <c r="Q21" s="5">
        <f t="shared" si="3"/>
        <v>167</v>
      </c>
      <c r="R21" s="5">
        <f t="shared" si="3"/>
        <v>179</v>
      </c>
      <c r="S21" s="5">
        <f t="shared" si="3"/>
        <v>201</v>
      </c>
      <c r="T21" s="5">
        <f t="shared" si="3"/>
        <v>169</v>
      </c>
      <c r="U21" s="5">
        <f t="shared" si="2"/>
        <v>2798</v>
      </c>
    </row>
    <row r="22" spans="1:21" x14ac:dyDescent="0.4">
      <c r="A22" s="12"/>
      <c r="B22" s="65" t="s">
        <v>30</v>
      </c>
      <c r="C22" s="66" t="s">
        <v>31</v>
      </c>
      <c r="D22" s="6" t="s">
        <v>23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2</v>
      </c>
      <c r="P22" s="6">
        <v>0</v>
      </c>
      <c r="Q22" s="6">
        <v>1</v>
      </c>
      <c r="R22" s="6">
        <v>0</v>
      </c>
      <c r="S22" s="6">
        <v>2</v>
      </c>
      <c r="T22" s="6"/>
      <c r="U22" s="5">
        <f t="shared" si="2"/>
        <v>7</v>
      </c>
    </row>
    <row r="23" spans="1:21" x14ac:dyDescent="0.4">
      <c r="A23" s="12"/>
      <c r="B23" s="62"/>
      <c r="C23" s="67"/>
      <c r="D23" s="6" t="s">
        <v>24</v>
      </c>
      <c r="E23" s="6">
        <v>2</v>
      </c>
      <c r="F23" s="6">
        <v>0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1</v>
      </c>
      <c r="S23" s="6">
        <v>1</v>
      </c>
      <c r="T23" s="6"/>
      <c r="U23" s="5">
        <f t="shared" si="2"/>
        <v>6</v>
      </c>
    </row>
    <row r="24" spans="1:21" x14ac:dyDescent="0.4">
      <c r="A24" s="13"/>
      <c r="B24" s="64"/>
      <c r="C24" s="68"/>
      <c r="D24" s="5" t="s">
        <v>25</v>
      </c>
      <c r="E24" s="5">
        <f t="shared" ref="E24:T24" si="5">SUM(E22:E23)</f>
        <v>3</v>
      </c>
      <c r="F24" s="5">
        <f t="shared" si="5"/>
        <v>0</v>
      </c>
      <c r="G24" s="5">
        <f t="shared" si="5"/>
        <v>0</v>
      </c>
      <c r="H24" s="5">
        <f t="shared" si="5"/>
        <v>1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1</v>
      </c>
      <c r="M24" s="5">
        <f t="shared" si="5"/>
        <v>0</v>
      </c>
      <c r="N24" s="5">
        <f t="shared" ref="N24:P24" si="6">SUM(N22:N23)</f>
        <v>0</v>
      </c>
      <c r="O24" s="5">
        <f t="shared" si="6"/>
        <v>2</v>
      </c>
      <c r="P24" s="5">
        <f t="shared" si="6"/>
        <v>0</v>
      </c>
      <c r="Q24" s="5">
        <f t="shared" si="5"/>
        <v>2</v>
      </c>
      <c r="R24" s="5">
        <f t="shared" si="5"/>
        <v>1</v>
      </c>
      <c r="S24" s="5">
        <f t="shared" si="5"/>
        <v>3</v>
      </c>
      <c r="T24" s="5">
        <f t="shared" si="5"/>
        <v>0</v>
      </c>
      <c r="U24" s="5">
        <f t="shared" si="2"/>
        <v>13</v>
      </c>
    </row>
    <row r="25" spans="1:21" x14ac:dyDescent="0.4">
      <c r="A25" s="12"/>
      <c r="B25" s="65" t="s">
        <v>32</v>
      </c>
      <c r="C25" s="66" t="s">
        <v>33</v>
      </c>
      <c r="D25" s="6" t="s">
        <v>23</v>
      </c>
      <c r="E25" s="6">
        <v>0</v>
      </c>
      <c r="F25" s="6">
        <v>1</v>
      </c>
      <c r="G25" s="6">
        <v>1</v>
      </c>
      <c r="H25" s="6">
        <v>0</v>
      </c>
      <c r="I25" s="6">
        <v>0</v>
      </c>
      <c r="J25" s="6">
        <v>0</v>
      </c>
      <c r="K25" s="6">
        <v>4</v>
      </c>
      <c r="L25" s="6">
        <v>0</v>
      </c>
      <c r="M25" s="6">
        <v>3</v>
      </c>
      <c r="N25" s="6">
        <v>2</v>
      </c>
      <c r="O25" s="6">
        <v>0</v>
      </c>
      <c r="P25" s="6">
        <v>1</v>
      </c>
      <c r="Q25" s="6">
        <v>0</v>
      </c>
      <c r="R25" s="6">
        <v>1</v>
      </c>
      <c r="S25" s="6">
        <v>3</v>
      </c>
      <c r="T25" s="6"/>
      <c r="U25" s="5">
        <f t="shared" si="2"/>
        <v>16</v>
      </c>
    </row>
    <row r="26" spans="1:21" x14ac:dyDescent="0.4">
      <c r="A26" s="12"/>
      <c r="B26" s="62"/>
      <c r="C26" s="67"/>
      <c r="D26" s="6" t="s">
        <v>24</v>
      </c>
      <c r="E26" s="6">
        <v>1</v>
      </c>
      <c r="F26" s="6">
        <v>0</v>
      </c>
      <c r="G26" s="6">
        <v>1</v>
      </c>
      <c r="H26" s="6">
        <v>1</v>
      </c>
      <c r="I26" s="6">
        <v>1</v>
      </c>
      <c r="J26" s="6">
        <v>0</v>
      </c>
      <c r="K26" s="6">
        <v>4</v>
      </c>
      <c r="L26" s="6">
        <v>0</v>
      </c>
      <c r="M26" s="6">
        <v>0</v>
      </c>
      <c r="N26" s="6">
        <v>3</v>
      </c>
      <c r="O26" s="6">
        <v>0</v>
      </c>
      <c r="P26" s="6">
        <v>2</v>
      </c>
      <c r="Q26" s="6">
        <v>0</v>
      </c>
      <c r="R26" s="6">
        <v>3</v>
      </c>
      <c r="S26" s="6">
        <v>2</v>
      </c>
      <c r="T26" s="6"/>
      <c r="U26" s="5">
        <f t="shared" si="2"/>
        <v>18</v>
      </c>
    </row>
    <row r="27" spans="1:21" x14ac:dyDescent="0.4">
      <c r="A27" s="13"/>
      <c r="B27" s="64"/>
      <c r="C27" s="68"/>
      <c r="D27" s="5" t="s">
        <v>25</v>
      </c>
      <c r="E27" s="5">
        <f t="shared" ref="E27:T27" si="7">SUM(E25:E26)</f>
        <v>1</v>
      </c>
      <c r="F27" s="5">
        <f t="shared" si="7"/>
        <v>1</v>
      </c>
      <c r="G27" s="5">
        <f t="shared" si="7"/>
        <v>2</v>
      </c>
      <c r="H27" s="5">
        <f t="shared" si="7"/>
        <v>1</v>
      </c>
      <c r="I27" s="5">
        <f t="shared" si="7"/>
        <v>1</v>
      </c>
      <c r="J27" s="5">
        <f t="shared" si="7"/>
        <v>0</v>
      </c>
      <c r="K27" s="5">
        <f t="shared" si="7"/>
        <v>8</v>
      </c>
      <c r="L27" s="5">
        <f t="shared" si="7"/>
        <v>0</v>
      </c>
      <c r="M27" s="5">
        <f t="shared" si="7"/>
        <v>3</v>
      </c>
      <c r="N27" s="5">
        <f t="shared" ref="N27:P27" si="8">SUM(N25:N26)</f>
        <v>5</v>
      </c>
      <c r="O27" s="5">
        <f t="shared" si="8"/>
        <v>0</v>
      </c>
      <c r="P27" s="5">
        <f t="shared" si="8"/>
        <v>3</v>
      </c>
      <c r="Q27" s="5">
        <f t="shared" si="7"/>
        <v>0</v>
      </c>
      <c r="R27" s="5">
        <f t="shared" si="7"/>
        <v>4</v>
      </c>
      <c r="S27" s="5">
        <f t="shared" si="7"/>
        <v>5</v>
      </c>
      <c r="T27" s="5">
        <f t="shared" si="7"/>
        <v>0</v>
      </c>
      <c r="U27" s="5">
        <f t="shared" si="2"/>
        <v>34</v>
      </c>
    </row>
    <row r="28" spans="1:21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79</v>
      </c>
      <c r="F28" s="5">
        <f t="shared" ref="F28:T29" si="9">SUM(F19,F22,F25)</f>
        <v>85</v>
      </c>
      <c r="G28" s="5">
        <f t="shared" si="9"/>
        <v>81</v>
      </c>
      <c r="H28" s="5">
        <f t="shared" si="9"/>
        <v>57</v>
      </c>
      <c r="I28" s="5">
        <f t="shared" si="9"/>
        <v>69</v>
      </c>
      <c r="J28" s="5">
        <f t="shared" si="9"/>
        <v>94</v>
      </c>
      <c r="K28" s="5">
        <f t="shared" si="9"/>
        <v>85</v>
      </c>
      <c r="L28" s="5">
        <f t="shared" si="9"/>
        <v>108</v>
      </c>
      <c r="M28" s="5">
        <f t="shared" si="9"/>
        <v>89</v>
      </c>
      <c r="N28" s="5">
        <f t="shared" ref="N28:P28" si="10">SUM(N19,N22,N25)</f>
        <v>89</v>
      </c>
      <c r="O28" s="5">
        <f t="shared" si="10"/>
        <v>80</v>
      </c>
      <c r="P28" s="5">
        <f t="shared" si="10"/>
        <v>85</v>
      </c>
      <c r="Q28" s="5">
        <f t="shared" si="9"/>
        <v>78</v>
      </c>
      <c r="R28" s="5">
        <f t="shared" si="9"/>
        <v>88</v>
      </c>
      <c r="S28" s="5">
        <f t="shared" si="9"/>
        <v>98</v>
      </c>
      <c r="T28" s="5">
        <f t="shared" si="9"/>
        <v>74</v>
      </c>
      <c r="U28" s="5">
        <f t="shared" si="2"/>
        <v>1339</v>
      </c>
    </row>
    <row r="29" spans="1:21" x14ac:dyDescent="0.4">
      <c r="A29" s="13"/>
      <c r="B29" s="62"/>
      <c r="C29" s="67"/>
      <c r="D29" s="5" t="s">
        <v>24</v>
      </c>
      <c r="E29" s="5">
        <f>SUM(E20,E23,E26)</f>
        <v>77</v>
      </c>
      <c r="F29" s="5">
        <f t="shared" si="9"/>
        <v>95</v>
      </c>
      <c r="G29" s="5">
        <f t="shared" si="9"/>
        <v>89</v>
      </c>
      <c r="H29" s="5">
        <f t="shared" si="9"/>
        <v>65</v>
      </c>
      <c r="I29" s="5">
        <f t="shared" si="9"/>
        <v>89</v>
      </c>
      <c r="J29" s="5">
        <f t="shared" si="9"/>
        <v>103</v>
      </c>
      <c r="K29" s="5">
        <f t="shared" si="9"/>
        <v>87</v>
      </c>
      <c r="L29" s="5">
        <f t="shared" si="9"/>
        <v>106</v>
      </c>
      <c r="M29" s="5">
        <f t="shared" si="9"/>
        <v>110</v>
      </c>
      <c r="N29" s="5">
        <f t="shared" ref="N29:P29" si="11">SUM(N20,N23,N26)</f>
        <v>112</v>
      </c>
      <c r="O29" s="5">
        <f t="shared" si="11"/>
        <v>92</v>
      </c>
      <c r="P29" s="5">
        <f t="shared" si="11"/>
        <v>88</v>
      </c>
      <c r="Q29" s="5">
        <f t="shared" si="9"/>
        <v>91</v>
      </c>
      <c r="R29" s="5">
        <f t="shared" si="9"/>
        <v>96</v>
      </c>
      <c r="S29" s="5">
        <f t="shared" si="9"/>
        <v>111</v>
      </c>
      <c r="T29" s="5">
        <f t="shared" si="9"/>
        <v>95</v>
      </c>
      <c r="U29" s="5">
        <f t="shared" si="2"/>
        <v>1506</v>
      </c>
    </row>
    <row r="30" spans="1:21" x14ac:dyDescent="0.4">
      <c r="A30" s="13"/>
      <c r="B30" s="64"/>
      <c r="C30" s="68"/>
      <c r="D30" s="5" t="s">
        <v>25</v>
      </c>
      <c r="E30" s="5">
        <f t="shared" ref="E30" si="12">SUM(E28:E29)</f>
        <v>156</v>
      </c>
      <c r="F30" s="5">
        <f t="shared" ref="F30:T30" si="13">SUM(F28:F29)</f>
        <v>180</v>
      </c>
      <c r="G30" s="5">
        <f t="shared" si="13"/>
        <v>170</v>
      </c>
      <c r="H30" s="5">
        <f t="shared" si="13"/>
        <v>122</v>
      </c>
      <c r="I30" s="5">
        <f t="shared" si="13"/>
        <v>158</v>
      </c>
      <c r="J30" s="5">
        <f t="shared" si="13"/>
        <v>197</v>
      </c>
      <c r="K30" s="5">
        <f t="shared" si="13"/>
        <v>172</v>
      </c>
      <c r="L30" s="5">
        <f t="shared" si="13"/>
        <v>214</v>
      </c>
      <c r="M30" s="5">
        <f t="shared" si="13"/>
        <v>199</v>
      </c>
      <c r="N30" s="5">
        <f t="shared" ref="N30:P30" si="14">SUM(N28:N29)</f>
        <v>201</v>
      </c>
      <c r="O30" s="5">
        <f t="shared" si="14"/>
        <v>172</v>
      </c>
      <c r="P30" s="5">
        <f t="shared" si="14"/>
        <v>173</v>
      </c>
      <c r="Q30" s="5">
        <f t="shared" si="13"/>
        <v>169</v>
      </c>
      <c r="R30" s="5">
        <f t="shared" si="13"/>
        <v>184</v>
      </c>
      <c r="S30" s="5">
        <f t="shared" si="13"/>
        <v>209</v>
      </c>
      <c r="T30" s="5">
        <f t="shared" si="13"/>
        <v>169</v>
      </c>
      <c r="U30" s="5">
        <f t="shared" si="2"/>
        <v>2845</v>
      </c>
    </row>
    <row r="31" spans="1:21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28"/>
    </row>
    <row r="32" spans="1:21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28"/>
    </row>
    <row r="33" spans="1:21" x14ac:dyDescent="0.4">
      <c r="A33" s="6">
        <v>1</v>
      </c>
      <c r="B33" s="58" t="s">
        <v>38</v>
      </c>
      <c r="C33" s="51"/>
      <c r="D33" s="52"/>
      <c r="E33" s="6">
        <v>236</v>
      </c>
      <c r="F33" s="6">
        <v>245</v>
      </c>
      <c r="G33" s="6">
        <v>229</v>
      </c>
      <c r="H33" s="6">
        <v>194</v>
      </c>
      <c r="I33" s="6">
        <v>232</v>
      </c>
      <c r="J33" s="6">
        <v>301</v>
      </c>
      <c r="K33" s="6">
        <v>228</v>
      </c>
      <c r="L33" s="6">
        <v>287</v>
      </c>
      <c r="M33" s="6">
        <v>286</v>
      </c>
      <c r="N33" s="6">
        <v>282</v>
      </c>
      <c r="O33" s="6">
        <v>277</v>
      </c>
      <c r="P33" s="6">
        <v>238</v>
      </c>
      <c r="Q33" s="6">
        <v>244</v>
      </c>
      <c r="R33" s="6">
        <v>250</v>
      </c>
      <c r="S33" s="6">
        <v>260</v>
      </c>
      <c r="T33" s="6">
        <v>246</v>
      </c>
      <c r="U33" s="5">
        <f>SUM(E33:T33)</f>
        <v>4035</v>
      </c>
    </row>
    <row r="34" spans="1:21" x14ac:dyDescent="0.4">
      <c r="A34" s="6">
        <v>2</v>
      </c>
      <c r="B34" s="58" t="s">
        <v>39</v>
      </c>
      <c r="C34" s="51"/>
      <c r="D34" s="52"/>
      <c r="E34" s="5">
        <v>156</v>
      </c>
      <c r="F34" s="5">
        <v>180</v>
      </c>
      <c r="G34" s="5">
        <v>170</v>
      </c>
      <c r="H34" s="5">
        <v>122</v>
      </c>
      <c r="I34" s="5">
        <v>158</v>
      </c>
      <c r="J34" s="5">
        <v>197</v>
      </c>
      <c r="K34" s="5">
        <v>172</v>
      </c>
      <c r="L34" s="5">
        <v>214</v>
      </c>
      <c r="M34" s="5">
        <v>199</v>
      </c>
      <c r="N34" s="5">
        <v>201</v>
      </c>
      <c r="O34" s="5">
        <v>172</v>
      </c>
      <c r="P34" s="5">
        <v>173</v>
      </c>
      <c r="Q34" s="5">
        <v>169</v>
      </c>
      <c r="R34" s="5">
        <v>184</v>
      </c>
      <c r="S34" s="5">
        <v>209</v>
      </c>
      <c r="T34" s="5">
        <v>169</v>
      </c>
      <c r="U34" s="5">
        <f>SUM(E34:T34)</f>
        <v>2845</v>
      </c>
    </row>
    <row r="35" spans="1:21" x14ac:dyDescent="0.4">
      <c r="A35" s="6">
        <v>3</v>
      </c>
      <c r="B35" s="58" t="s">
        <v>40</v>
      </c>
      <c r="C35" s="51"/>
      <c r="D35" s="5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2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/>
      <c r="U35" s="5">
        <f>SUM(E35:T35)</f>
        <v>2</v>
      </c>
    </row>
    <row r="36" spans="1:21" x14ac:dyDescent="0.4">
      <c r="A36" s="6">
        <v>4</v>
      </c>
      <c r="B36" s="58" t="s">
        <v>41</v>
      </c>
      <c r="C36" s="51"/>
      <c r="D36" s="52"/>
      <c r="E36" s="5">
        <f t="shared" ref="E36:T36" si="15">E33-(E34+E35)</f>
        <v>80</v>
      </c>
      <c r="F36" s="5">
        <f t="shared" si="15"/>
        <v>65</v>
      </c>
      <c r="G36" s="5">
        <f t="shared" si="15"/>
        <v>59</v>
      </c>
      <c r="H36" s="5">
        <f t="shared" si="15"/>
        <v>72</v>
      </c>
      <c r="I36" s="5">
        <f t="shared" si="15"/>
        <v>74</v>
      </c>
      <c r="J36" s="5">
        <f t="shared" si="15"/>
        <v>102</v>
      </c>
      <c r="K36" s="5">
        <f t="shared" si="15"/>
        <v>56</v>
      </c>
      <c r="L36" s="5">
        <f t="shared" si="15"/>
        <v>73</v>
      </c>
      <c r="M36" s="5">
        <f t="shared" si="15"/>
        <v>87</v>
      </c>
      <c r="N36" s="5">
        <f t="shared" ref="N36:P36" si="16">N33-(N34+N35)</f>
        <v>81</v>
      </c>
      <c r="O36" s="5">
        <f t="shared" si="16"/>
        <v>105</v>
      </c>
      <c r="P36" s="5">
        <f t="shared" si="16"/>
        <v>65</v>
      </c>
      <c r="Q36" s="5">
        <f t="shared" si="15"/>
        <v>75</v>
      </c>
      <c r="R36" s="5">
        <f t="shared" si="15"/>
        <v>66</v>
      </c>
      <c r="S36" s="5">
        <f t="shared" si="15"/>
        <v>51</v>
      </c>
      <c r="T36" s="5">
        <f t="shared" si="15"/>
        <v>77</v>
      </c>
      <c r="U36" s="5">
        <f>SUM(E36:T36)</f>
        <v>1188</v>
      </c>
    </row>
    <row r="37" spans="1:21" x14ac:dyDescent="0.4">
      <c r="A37" s="50"/>
      <c r="B37" s="51"/>
      <c r="C37" s="51"/>
      <c r="D37" s="51"/>
      <c r="E37" s="50"/>
      <c r="F37" s="72"/>
      <c r="G37" s="72"/>
      <c r="H37" s="72"/>
      <c r="I37" s="73"/>
      <c r="J37" s="6"/>
      <c r="K37" s="6"/>
      <c r="L37" s="6"/>
      <c r="M37" s="6"/>
      <c r="N37" s="10"/>
      <c r="O37" s="26"/>
      <c r="P37" s="26"/>
      <c r="Q37" s="10"/>
      <c r="R37" s="26"/>
      <c r="S37" s="26"/>
      <c r="T37" s="26"/>
      <c r="U37" s="28"/>
    </row>
    <row r="38" spans="1:21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28"/>
    </row>
    <row r="39" spans="1:21" x14ac:dyDescent="0.4">
      <c r="A39" s="11"/>
      <c r="B39" s="74" t="s">
        <v>44</v>
      </c>
      <c r="C39" s="60"/>
      <c r="D39" s="6" t="s">
        <v>23</v>
      </c>
      <c r="E39" s="6">
        <v>0</v>
      </c>
      <c r="F39" s="6">
        <v>0</v>
      </c>
      <c r="G39" s="6">
        <v>3</v>
      </c>
      <c r="H39" s="6">
        <v>0</v>
      </c>
      <c r="I39" s="6">
        <v>1</v>
      </c>
      <c r="J39" s="6">
        <v>0</v>
      </c>
      <c r="K39" s="6">
        <v>0</v>
      </c>
      <c r="L39" s="6">
        <v>2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/>
      <c r="U39" s="5">
        <f>SUM(E39:T39)</f>
        <v>6</v>
      </c>
    </row>
    <row r="40" spans="1:21" x14ac:dyDescent="0.4">
      <c r="A40" s="12"/>
      <c r="B40" s="75"/>
      <c r="C40" s="62"/>
      <c r="D40" s="6" t="s">
        <v>24</v>
      </c>
      <c r="E40" s="6">
        <v>1</v>
      </c>
      <c r="F40" s="6">
        <v>1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0</v>
      </c>
      <c r="S40" s="6">
        <v>0</v>
      </c>
      <c r="T40" s="6"/>
      <c r="U40" s="5">
        <f>SUM(E40:T40)</f>
        <v>4</v>
      </c>
    </row>
    <row r="41" spans="1:21" x14ac:dyDescent="0.4">
      <c r="A41" s="14"/>
      <c r="B41" s="76"/>
      <c r="C41" s="64"/>
      <c r="D41" s="5" t="s">
        <v>25</v>
      </c>
      <c r="E41" s="5">
        <f t="shared" ref="E41:T41" si="17">SUM(E39:E40)</f>
        <v>1</v>
      </c>
      <c r="F41" s="5">
        <f t="shared" si="17"/>
        <v>1</v>
      </c>
      <c r="G41" s="5">
        <f t="shared" si="17"/>
        <v>4</v>
      </c>
      <c r="H41" s="5">
        <f t="shared" si="17"/>
        <v>0</v>
      </c>
      <c r="I41" s="5">
        <f t="shared" si="17"/>
        <v>1</v>
      </c>
      <c r="J41" s="5">
        <f t="shared" si="17"/>
        <v>0</v>
      </c>
      <c r="K41" s="5">
        <f t="shared" si="17"/>
        <v>0</v>
      </c>
      <c r="L41" s="5">
        <f t="shared" si="17"/>
        <v>2</v>
      </c>
      <c r="M41" s="5">
        <f t="shared" si="17"/>
        <v>0</v>
      </c>
      <c r="N41" s="5">
        <f t="shared" ref="N41:P41" si="18">SUM(N39:N40)</f>
        <v>0</v>
      </c>
      <c r="O41" s="5">
        <f t="shared" si="18"/>
        <v>0</v>
      </c>
      <c r="P41" s="5">
        <f t="shared" si="18"/>
        <v>0</v>
      </c>
      <c r="Q41" s="5">
        <f t="shared" si="17"/>
        <v>1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>SUM(E41:T41)</f>
        <v>10</v>
      </c>
    </row>
    <row r="42" spans="1:21" x14ac:dyDescent="0.4">
      <c r="A42" s="77"/>
      <c r="B42" s="76"/>
      <c r="C42" s="76"/>
      <c r="D42" s="64"/>
      <c r="E42" s="50"/>
      <c r="F42" s="51"/>
      <c r="G42" s="51"/>
      <c r="H42" s="51"/>
      <c r="I42" s="52"/>
      <c r="J42" s="6"/>
      <c r="K42" s="6"/>
      <c r="L42" s="6"/>
      <c r="M42" s="6"/>
      <c r="N42" s="10"/>
      <c r="O42" s="6"/>
      <c r="P42" s="10"/>
      <c r="Q42" s="10"/>
      <c r="R42" s="6"/>
      <c r="S42" s="10"/>
      <c r="T42" s="6"/>
      <c r="U42" s="5"/>
    </row>
    <row r="43" spans="1:21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15"/>
      <c r="R43" s="5"/>
      <c r="S43" s="15"/>
      <c r="T43" s="5"/>
      <c r="U43" s="5"/>
    </row>
    <row r="44" spans="1:21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10"/>
      <c r="R44" s="6"/>
      <c r="S44" s="10"/>
      <c r="T44" s="6"/>
      <c r="U44" s="5"/>
    </row>
    <row r="45" spans="1:21" x14ac:dyDescent="0.4">
      <c r="A45" s="11" t="s">
        <v>48</v>
      </c>
      <c r="B45" s="17" t="s">
        <v>28</v>
      </c>
      <c r="C45" s="79" t="s">
        <v>49</v>
      </c>
      <c r="D45" s="52"/>
      <c r="E45" s="6">
        <v>6</v>
      </c>
      <c r="F45" s="6">
        <v>1</v>
      </c>
      <c r="G45" s="6">
        <v>0</v>
      </c>
      <c r="H45" s="6">
        <v>3</v>
      </c>
      <c r="I45" s="6">
        <v>2</v>
      </c>
      <c r="J45" s="6">
        <v>6</v>
      </c>
      <c r="K45" s="6">
        <v>7</v>
      </c>
      <c r="L45" s="6">
        <v>6</v>
      </c>
      <c r="M45" s="6">
        <v>8</v>
      </c>
      <c r="N45" s="6">
        <v>8</v>
      </c>
      <c r="O45" s="6">
        <v>8</v>
      </c>
      <c r="P45" s="6">
        <v>5</v>
      </c>
      <c r="Q45" s="6">
        <v>4</v>
      </c>
      <c r="R45" s="6">
        <v>2</v>
      </c>
      <c r="S45" s="6">
        <v>2</v>
      </c>
      <c r="T45" s="6">
        <v>4</v>
      </c>
      <c r="U45" s="5">
        <f t="shared" ref="U45:U51" si="19">SUM(E45:T45)</f>
        <v>72</v>
      </c>
    </row>
    <row r="46" spans="1:21" x14ac:dyDescent="0.4">
      <c r="A46" s="11" t="s">
        <v>50</v>
      </c>
      <c r="B46" s="46"/>
      <c r="C46" s="24" t="s">
        <v>104</v>
      </c>
      <c r="D46" s="47"/>
      <c r="E46" s="6">
        <v>11</v>
      </c>
      <c r="F46" s="6">
        <v>4</v>
      </c>
      <c r="G46" s="6">
        <v>1</v>
      </c>
      <c r="H46" s="6">
        <v>16</v>
      </c>
      <c r="I46" s="6">
        <v>7</v>
      </c>
      <c r="J46" s="6">
        <v>9</v>
      </c>
      <c r="K46" s="6">
        <v>4</v>
      </c>
      <c r="L46" s="6">
        <v>15</v>
      </c>
      <c r="M46" s="6">
        <v>40</v>
      </c>
      <c r="N46" s="6">
        <v>13</v>
      </c>
      <c r="O46" s="6">
        <v>17</v>
      </c>
      <c r="P46" s="6">
        <v>9</v>
      </c>
      <c r="Q46" s="6">
        <v>12</v>
      </c>
      <c r="R46" s="6">
        <v>2</v>
      </c>
      <c r="S46" s="6">
        <v>9</v>
      </c>
      <c r="T46" s="6">
        <v>3</v>
      </c>
      <c r="U46" s="5">
        <f t="shared" si="19"/>
        <v>172</v>
      </c>
    </row>
    <row r="47" spans="1:21" x14ac:dyDescent="0.4">
      <c r="A47" s="7"/>
      <c r="B47" s="46"/>
      <c r="C47" s="24" t="s">
        <v>105</v>
      </c>
      <c r="D47" s="47"/>
      <c r="E47" s="6">
        <v>0</v>
      </c>
      <c r="F47" s="6">
        <v>7</v>
      </c>
      <c r="G47" s="6">
        <v>10</v>
      </c>
      <c r="H47" s="6">
        <v>3</v>
      </c>
      <c r="I47" s="6">
        <v>4</v>
      </c>
      <c r="J47" s="6">
        <v>11</v>
      </c>
      <c r="K47" s="6">
        <v>6</v>
      </c>
      <c r="L47" s="6">
        <v>3</v>
      </c>
      <c r="M47" s="6">
        <v>2</v>
      </c>
      <c r="N47" s="6">
        <v>2</v>
      </c>
      <c r="O47" s="6">
        <v>6</v>
      </c>
      <c r="P47" s="6">
        <v>3</v>
      </c>
      <c r="Q47" s="6">
        <v>4</v>
      </c>
      <c r="R47" s="6">
        <v>6</v>
      </c>
      <c r="S47" s="6">
        <v>0</v>
      </c>
      <c r="T47" s="6">
        <v>1</v>
      </c>
      <c r="U47" s="5">
        <f t="shared" si="19"/>
        <v>68</v>
      </c>
    </row>
    <row r="48" spans="1:21" x14ac:dyDescent="0.4">
      <c r="A48" s="7"/>
      <c r="B48" s="46"/>
      <c r="C48" s="24" t="s">
        <v>106</v>
      </c>
      <c r="D48" s="47"/>
      <c r="E48" s="6">
        <v>1</v>
      </c>
      <c r="F48" s="6">
        <v>0</v>
      </c>
      <c r="G48" s="6">
        <v>0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2</v>
      </c>
      <c r="N48" s="6">
        <v>3</v>
      </c>
      <c r="O48" s="6">
        <v>2</v>
      </c>
      <c r="P48" s="6">
        <v>0</v>
      </c>
      <c r="Q48" s="6">
        <v>0</v>
      </c>
      <c r="R48" s="6">
        <v>3</v>
      </c>
      <c r="S48" s="6">
        <v>1</v>
      </c>
      <c r="T48" s="6">
        <v>0</v>
      </c>
      <c r="U48" s="5">
        <f t="shared" si="19"/>
        <v>13</v>
      </c>
    </row>
    <row r="49" spans="1:21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5">
        <f t="shared" si="19"/>
        <v>2</v>
      </c>
    </row>
    <row r="50" spans="1:21" x14ac:dyDescent="0.4">
      <c r="A50" s="7"/>
      <c r="B50" s="46"/>
      <c r="C50" s="24" t="s">
        <v>108</v>
      </c>
      <c r="D50" s="47"/>
      <c r="E50" s="6">
        <v>0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2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5">
        <f t="shared" si="19"/>
        <v>3</v>
      </c>
    </row>
    <row r="51" spans="1:21" x14ac:dyDescent="0.4">
      <c r="A51" s="7"/>
      <c r="B51" s="46"/>
      <c r="C51" s="24" t="s">
        <v>109</v>
      </c>
      <c r="D51" s="47"/>
      <c r="E51" s="6">
        <v>0</v>
      </c>
      <c r="F51" s="6">
        <v>0</v>
      </c>
      <c r="G51" s="6">
        <v>1</v>
      </c>
      <c r="H51" s="6">
        <v>1</v>
      </c>
      <c r="I51" s="6">
        <v>0</v>
      </c>
      <c r="J51" s="6">
        <v>0</v>
      </c>
      <c r="K51" s="6">
        <v>1</v>
      </c>
      <c r="L51" s="6">
        <v>5</v>
      </c>
      <c r="M51" s="6">
        <v>3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3</v>
      </c>
      <c r="T51" s="6">
        <v>0</v>
      </c>
      <c r="U51" s="5">
        <f t="shared" si="19"/>
        <v>14</v>
      </c>
    </row>
    <row r="52" spans="1:21" x14ac:dyDescent="0.4">
      <c r="A52" s="6" t="s">
        <v>26</v>
      </c>
      <c r="B52" s="71" t="s">
        <v>51</v>
      </c>
      <c r="C52" s="51"/>
      <c r="D52" s="52"/>
      <c r="E52" s="5">
        <f>SUM(E45:E51)</f>
        <v>18</v>
      </c>
      <c r="F52" s="5">
        <f>SUM(F45:F51)</f>
        <v>13</v>
      </c>
      <c r="G52" s="5">
        <f>SUM(G45:G51)</f>
        <v>13</v>
      </c>
      <c r="H52" s="5">
        <f>SUM(H45:H51)</f>
        <v>24</v>
      </c>
      <c r="I52" s="5">
        <f>SUM(I45:I51)</f>
        <v>13</v>
      </c>
      <c r="J52" s="5">
        <f>SUM(J45:J51)</f>
        <v>26</v>
      </c>
      <c r="K52" s="5">
        <f>SUM(K45:K51)</f>
        <v>18</v>
      </c>
      <c r="L52" s="5">
        <f>SUM(L45:L51)</f>
        <v>31</v>
      </c>
      <c r="M52" s="5">
        <f>SUM(M45:M51)</f>
        <v>55</v>
      </c>
      <c r="N52" s="5">
        <f>SUM(N45:N51)</f>
        <v>26</v>
      </c>
      <c r="O52" s="5">
        <f>SUM(O45:O51)</f>
        <v>33</v>
      </c>
      <c r="P52" s="5">
        <f>SUM(P45:P51)</f>
        <v>17</v>
      </c>
      <c r="Q52" s="5">
        <f>SUM(Q45:Q51)</f>
        <v>20</v>
      </c>
      <c r="R52" s="5">
        <f>SUM(R45:R51)</f>
        <v>13</v>
      </c>
      <c r="S52" s="5">
        <f>SUM(S45:S51)</f>
        <v>16</v>
      </c>
      <c r="T52" s="5">
        <f>SUM(T45:T51)</f>
        <v>8</v>
      </c>
      <c r="U52" s="5">
        <f>SUM(U45:U51)</f>
        <v>344</v>
      </c>
    </row>
    <row r="53" spans="1:21" x14ac:dyDescent="0.4">
      <c r="A53" s="77"/>
      <c r="B53" s="76"/>
      <c r="C53" s="76"/>
      <c r="D53" s="76"/>
      <c r="E53" s="76"/>
      <c r="U53" s="5"/>
    </row>
    <row r="54" spans="1:21" x14ac:dyDescent="0.4">
      <c r="A54" s="11" t="s">
        <v>48</v>
      </c>
      <c r="B54" s="17" t="s">
        <v>30</v>
      </c>
      <c r="C54" s="79" t="s">
        <v>52</v>
      </c>
      <c r="D54" s="52"/>
      <c r="E54" s="6">
        <v>22</v>
      </c>
      <c r="F54" s="6">
        <v>6</v>
      </c>
      <c r="G54" s="6">
        <v>11</v>
      </c>
      <c r="H54" s="6">
        <v>2</v>
      </c>
      <c r="I54" s="6">
        <v>19</v>
      </c>
      <c r="J54" s="6">
        <v>7</v>
      </c>
      <c r="K54" s="6">
        <v>11</v>
      </c>
      <c r="L54" s="6">
        <v>19</v>
      </c>
      <c r="M54" s="6">
        <v>10</v>
      </c>
      <c r="N54" s="6">
        <v>5</v>
      </c>
      <c r="O54" s="6">
        <v>7</v>
      </c>
      <c r="P54" s="6">
        <v>13</v>
      </c>
      <c r="Q54" s="6">
        <v>12</v>
      </c>
      <c r="R54" s="6">
        <v>19</v>
      </c>
      <c r="S54" s="6">
        <v>5</v>
      </c>
      <c r="T54" s="6">
        <v>6</v>
      </c>
      <c r="U54" s="5">
        <f t="shared" ref="U54:U60" si="20">SUM(E54:T54)</f>
        <v>174</v>
      </c>
    </row>
    <row r="55" spans="1:21" x14ac:dyDescent="0.4">
      <c r="A55" s="11" t="s">
        <v>50</v>
      </c>
      <c r="B55" s="46"/>
      <c r="C55" s="24" t="s">
        <v>110</v>
      </c>
      <c r="D55" s="47"/>
      <c r="E55" s="6">
        <v>50</v>
      </c>
      <c r="F55" s="6">
        <v>53</v>
      </c>
      <c r="G55" s="6">
        <v>32</v>
      </c>
      <c r="H55" s="6">
        <v>26</v>
      </c>
      <c r="I55" s="6">
        <v>20</v>
      </c>
      <c r="J55" s="6">
        <v>33</v>
      </c>
      <c r="K55" s="6">
        <v>29</v>
      </c>
      <c r="L55" s="6">
        <v>21</v>
      </c>
      <c r="M55" s="6">
        <v>24</v>
      </c>
      <c r="N55" s="6">
        <v>29</v>
      </c>
      <c r="O55" s="6">
        <v>44</v>
      </c>
      <c r="P55" s="6">
        <v>22</v>
      </c>
      <c r="Q55" s="6">
        <v>33</v>
      </c>
      <c r="R55" s="6">
        <v>81</v>
      </c>
      <c r="S55" s="6">
        <v>107</v>
      </c>
      <c r="T55" s="6">
        <v>10</v>
      </c>
      <c r="U55" s="5">
        <f t="shared" si="20"/>
        <v>614</v>
      </c>
    </row>
    <row r="56" spans="1:21" x14ac:dyDescent="0.4">
      <c r="A56" s="7"/>
      <c r="B56" s="46"/>
      <c r="C56" s="24" t="s">
        <v>111</v>
      </c>
      <c r="D56" s="47"/>
      <c r="E56" s="6">
        <v>16</v>
      </c>
      <c r="F56" s="6">
        <v>15</v>
      </c>
      <c r="G56" s="6">
        <v>8</v>
      </c>
      <c r="H56" s="6">
        <v>5</v>
      </c>
      <c r="I56" s="6">
        <v>39</v>
      </c>
      <c r="J56" s="6">
        <v>22</v>
      </c>
      <c r="K56" s="6">
        <v>16</v>
      </c>
      <c r="L56" s="6">
        <v>7</v>
      </c>
      <c r="M56" s="6">
        <v>11</v>
      </c>
      <c r="N56" s="6">
        <v>22</v>
      </c>
      <c r="O56" s="6">
        <v>19</v>
      </c>
      <c r="P56" s="6">
        <v>34</v>
      </c>
      <c r="Q56" s="6">
        <v>36</v>
      </c>
      <c r="R56" s="6">
        <v>33</v>
      </c>
      <c r="S56" s="6">
        <v>22</v>
      </c>
      <c r="T56" s="6">
        <v>120</v>
      </c>
      <c r="U56" s="5">
        <f t="shared" si="20"/>
        <v>425</v>
      </c>
    </row>
    <row r="57" spans="1:21" x14ac:dyDescent="0.4">
      <c r="A57" s="7"/>
      <c r="B57" s="46"/>
      <c r="C57" s="24" t="s">
        <v>112</v>
      </c>
      <c r="D57" s="47"/>
      <c r="E57" s="6">
        <v>0</v>
      </c>
      <c r="F57" s="6">
        <v>0</v>
      </c>
      <c r="G57" s="6">
        <v>1</v>
      </c>
      <c r="H57" s="6">
        <v>0</v>
      </c>
      <c r="I57" s="6">
        <v>0</v>
      </c>
      <c r="J57" s="6">
        <v>2</v>
      </c>
      <c r="K57" s="6">
        <v>3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 s="6">
        <v>1</v>
      </c>
      <c r="R57" s="6">
        <v>1</v>
      </c>
      <c r="S57" s="6">
        <v>0</v>
      </c>
      <c r="T57" s="6">
        <v>0</v>
      </c>
      <c r="U57" s="5">
        <f t="shared" si="20"/>
        <v>9</v>
      </c>
    </row>
    <row r="58" spans="1:21" x14ac:dyDescent="0.4">
      <c r="A58" s="7"/>
      <c r="B58" s="46"/>
      <c r="C58" s="24" t="s">
        <v>113</v>
      </c>
      <c r="D58" s="47"/>
      <c r="E58" s="6">
        <v>0</v>
      </c>
      <c r="F58" s="6">
        <v>1</v>
      </c>
      <c r="G58" s="6">
        <v>0</v>
      </c>
      <c r="H58" s="6">
        <v>0</v>
      </c>
      <c r="I58" s="6">
        <v>0</v>
      </c>
      <c r="J58" s="6">
        <v>1</v>
      </c>
      <c r="K58" s="6">
        <v>0</v>
      </c>
      <c r="L58" s="6">
        <v>1</v>
      </c>
      <c r="M58" s="6">
        <v>1</v>
      </c>
      <c r="N58" s="6">
        <v>1</v>
      </c>
      <c r="O58" s="6">
        <v>0</v>
      </c>
      <c r="P58" s="6">
        <v>0</v>
      </c>
      <c r="Q58" s="6">
        <v>1</v>
      </c>
      <c r="R58" s="6">
        <v>0</v>
      </c>
      <c r="S58" s="6">
        <v>0</v>
      </c>
      <c r="T58" s="6">
        <v>1</v>
      </c>
      <c r="U58" s="5">
        <f t="shared" si="20"/>
        <v>7</v>
      </c>
    </row>
    <row r="59" spans="1:21" x14ac:dyDescent="0.4">
      <c r="A59" s="7"/>
      <c r="B59" s="46"/>
      <c r="C59" s="24" t="s">
        <v>114</v>
      </c>
      <c r="D59" s="47"/>
      <c r="E59" s="6">
        <v>0</v>
      </c>
      <c r="F59" s="6">
        <v>1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5">
        <f t="shared" si="20"/>
        <v>2</v>
      </c>
    </row>
    <row r="60" spans="1:21" ht="13.15" customHeight="1" x14ac:dyDescent="0.4">
      <c r="A60" s="7"/>
      <c r="B60" s="46"/>
      <c r="C60" s="24" t="s">
        <v>115</v>
      </c>
      <c r="D60" s="47"/>
      <c r="E60" s="6">
        <v>1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5">
        <f t="shared" si="20"/>
        <v>2</v>
      </c>
    </row>
    <row r="61" spans="1:21" x14ac:dyDescent="0.4">
      <c r="A61" s="6" t="s">
        <v>26</v>
      </c>
      <c r="B61" s="71" t="s">
        <v>51</v>
      </c>
      <c r="C61" s="51"/>
      <c r="D61" s="52"/>
      <c r="E61" s="5">
        <f>SUM(E54:E60)</f>
        <v>89</v>
      </c>
      <c r="F61" s="5">
        <f>SUM(F54:F60)</f>
        <v>76</v>
      </c>
      <c r="G61" s="5">
        <f>SUM(G54:G60)</f>
        <v>53</v>
      </c>
      <c r="H61" s="5">
        <f>SUM(H54:H60)</f>
        <v>33</v>
      </c>
      <c r="I61" s="5">
        <f>SUM(I54:I60)</f>
        <v>78</v>
      </c>
      <c r="J61" s="5">
        <f>SUM(J54:J60)</f>
        <v>65</v>
      </c>
      <c r="K61" s="5">
        <f>SUM(K54:K60)</f>
        <v>59</v>
      </c>
      <c r="L61" s="5">
        <f>SUM(L54:L60)</f>
        <v>48</v>
      </c>
      <c r="M61" s="5">
        <f>SUM(M54:M60)</f>
        <v>47</v>
      </c>
      <c r="N61" s="5">
        <f>SUM(N54:N60)</f>
        <v>58</v>
      </c>
      <c r="O61" s="5">
        <f>SUM(O54:O60)</f>
        <v>70</v>
      </c>
      <c r="P61" s="5">
        <f>SUM(P54:P60)</f>
        <v>69</v>
      </c>
      <c r="Q61" s="5">
        <f>SUM(Q54:Q60)</f>
        <v>83</v>
      </c>
      <c r="R61" s="5">
        <f>SUM(R54:R60)</f>
        <v>134</v>
      </c>
      <c r="S61" s="5">
        <f>SUM(S54:S60)</f>
        <v>134</v>
      </c>
      <c r="T61" s="5">
        <f>SUM(T54:T60)</f>
        <v>137</v>
      </c>
      <c r="U61" s="5">
        <f>SUM(U54:U60)</f>
        <v>1233</v>
      </c>
    </row>
    <row r="62" spans="1:21" x14ac:dyDescent="0.4">
      <c r="A62" s="77"/>
      <c r="B62" s="76"/>
      <c r="C62" s="76"/>
      <c r="D62" s="76"/>
      <c r="E62" s="76"/>
    </row>
    <row r="63" spans="1:21" x14ac:dyDescent="0.4">
      <c r="A63" s="11" t="s">
        <v>48</v>
      </c>
      <c r="B63" s="17" t="s">
        <v>32</v>
      </c>
      <c r="C63" s="79" t="s">
        <v>53</v>
      </c>
      <c r="D63" s="52"/>
      <c r="E63" s="6">
        <v>3</v>
      </c>
      <c r="F63" s="6">
        <v>5</v>
      </c>
      <c r="G63" s="6">
        <v>4</v>
      </c>
      <c r="H63" s="6">
        <v>4</v>
      </c>
      <c r="I63" s="6">
        <v>7</v>
      </c>
      <c r="J63" s="6">
        <v>6</v>
      </c>
      <c r="K63" s="6">
        <v>7</v>
      </c>
      <c r="L63" s="6">
        <v>17</v>
      </c>
      <c r="M63" s="6">
        <v>6</v>
      </c>
      <c r="N63" s="6">
        <v>4</v>
      </c>
      <c r="O63" s="6">
        <v>3</v>
      </c>
      <c r="P63" s="6">
        <v>3</v>
      </c>
      <c r="Q63" s="6">
        <v>4</v>
      </c>
      <c r="R63" s="6">
        <v>4</v>
      </c>
      <c r="S63" s="6">
        <v>1</v>
      </c>
      <c r="T63" s="6"/>
      <c r="U63" s="5">
        <f t="shared" ref="U63:U69" si="21">SUM(E63:T63)</f>
        <v>78</v>
      </c>
    </row>
    <row r="64" spans="1:21" x14ac:dyDescent="0.4">
      <c r="A64" s="11" t="s">
        <v>50</v>
      </c>
      <c r="B64" s="46"/>
      <c r="C64" s="24" t="s">
        <v>116</v>
      </c>
      <c r="D64" s="47"/>
      <c r="E64" s="6">
        <v>5</v>
      </c>
      <c r="F64" s="6">
        <v>5</v>
      </c>
      <c r="G64" s="6">
        <v>7</v>
      </c>
      <c r="H64" s="6">
        <v>0</v>
      </c>
      <c r="I64" s="6">
        <v>9</v>
      </c>
      <c r="J64" s="6">
        <v>7</v>
      </c>
      <c r="K64" s="6">
        <v>2</v>
      </c>
      <c r="L64" s="6">
        <v>2</v>
      </c>
      <c r="M64" s="6">
        <v>2</v>
      </c>
      <c r="N64" s="6">
        <v>0</v>
      </c>
      <c r="O64" s="6">
        <v>4</v>
      </c>
      <c r="P64" s="6">
        <v>0</v>
      </c>
      <c r="Q64" s="6">
        <v>6</v>
      </c>
      <c r="R64" s="6">
        <v>0</v>
      </c>
      <c r="S64" s="6">
        <v>0</v>
      </c>
      <c r="T64" s="6"/>
      <c r="U64" s="5">
        <f t="shared" si="21"/>
        <v>49</v>
      </c>
    </row>
    <row r="65" spans="1:21" x14ac:dyDescent="0.4">
      <c r="A65" s="7"/>
      <c r="B65" s="46"/>
      <c r="C65" s="24" t="s">
        <v>117</v>
      </c>
      <c r="D65" s="47"/>
      <c r="E65" s="6">
        <v>4</v>
      </c>
      <c r="F65" s="6">
        <v>4</v>
      </c>
      <c r="G65" s="6">
        <v>12</v>
      </c>
      <c r="H65" s="6">
        <v>9</v>
      </c>
      <c r="I65" s="6">
        <v>7</v>
      </c>
      <c r="J65" s="6">
        <v>13</v>
      </c>
      <c r="K65" s="6">
        <v>14</v>
      </c>
      <c r="L65" s="6">
        <v>19</v>
      </c>
      <c r="M65" s="6">
        <v>17</v>
      </c>
      <c r="N65" s="6">
        <v>11</v>
      </c>
      <c r="O65" s="6">
        <v>6</v>
      </c>
      <c r="P65" s="6">
        <v>11</v>
      </c>
      <c r="Q65" s="6">
        <v>6</v>
      </c>
      <c r="R65" s="6">
        <v>10</v>
      </c>
      <c r="S65" s="6">
        <v>9</v>
      </c>
      <c r="T65" s="6"/>
      <c r="U65" s="5">
        <f t="shared" si="21"/>
        <v>152</v>
      </c>
    </row>
    <row r="66" spans="1:21" x14ac:dyDescent="0.4">
      <c r="A66" s="7"/>
      <c r="B66" s="46"/>
      <c r="C66" s="24" t="s">
        <v>118</v>
      </c>
      <c r="D66" s="47"/>
      <c r="E66" s="6">
        <v>3</v>
      </c>
      <c r="F66" s="6">
        <v>1</v>
      </c>
      <c r="G66" s="6">
        <v>5</v>
      </c>
      <c r="H66" s="6">
        <v>1</v>
      </c>
      <c r="I66" s="6">
        <v>3</v>
      </c>
      <c r="J66" s="6">
        <v>1</v>
      </c>
      <c r="K66" s="6">
        <v>2</v>
      </c>
      <c r="L66" s="6">
        <v>7</v>
      </c>
      <c r="M66" s="6">
        <v>3</v>
      </c>
      <c r="N66" s="6">
        <v>2</v>
      </c>
      <c r="O66" s="6">
        <v>0</v>
      </c>
      <c r="P66" s="6">
        <v>0</v>
      </c>
      <c r="Q66" s="6">
        <v>2</v>
      </c>
      <c r="R66" s="6">
        <v>1</v>
      </c>
      <c r="S66" s="6">
        <v>0</v>
      </c>
      <c r="T66" s="6"/>
      <c r="U66" s="5">
        <f t="shared" si="21"/>
        <v>31</v>
      </c>
    </row>
    <row r="67" spans="1:21" x14ac:dyDescent="0.4">
      <c r="A67" s="7"/>
      <c r="B67" s="46"/>
      <c r="C67" s="24" t="s">
        <v>119</v>
      </c>
      <c r="D67" s="47"/>
      <c r="E67" s="6">
        <v>0</v>
      </c>
      <c r="F67" s="6">
        <v>0</v>
      </c>
      <c r="G67" s="6">
        <v>1</v>
      </c>
      <c r="H67" s="6">
        <v>0</v>
      </c>
      <c r="I67" s="6">
        <v>0</v>
      </c>
      <c r="J67" s="6">
        <v>1</v>
      </c>
      <c r="K67" s="6">
        <v>5</v>
      </c>
      <c r="L67" s="6">
        <v>0</v>
      </c>
      <c r="M67" s="6">
        <v>1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/>
      <c r="U67" s="5">
        <f t="shared" si="21"/>
        <v>8</v>
      </c>
    </row>
    <row r="68" spans="1:21" ht="13.15" customHeight="1" x14ac:dyDescent="0.4">
      <c r="A68" s="7"/>
      <c r="B68" s="46"/>
      <c r="C68" s="24" t="s">
        <v>120</v>
      </c>
      <c r="D68" s="47"/>
      <c r="E68" s="6">
        <v>0</v>
      </c>
      <c r="F68" s="6">
        <v>2</v>
      </c>
      <c r="G68" s="6">
        <v>1</v>
      </c>
      <c r="H68" s="6">
        <v>1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2</v>
      </c>
      <c r="Q68" s="6">
        <v>0</v>
      </c>
      <c r="R68" s="6">
        <v>0</v>
      </c>
      <c r="S68" s="6">
        <v>0</v>
      </c>
      <c r="T68" s="6"/>
      <c r="U68" s="5">
        <f t="shared" si="21"/>
        <v>8</v>
      </c>
    </row>
    <row r="69" spans="1:21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/>
      <c r="U69" s="5">
        <f t="shared" si="21"/>
        <v>0</v>
      </c>
    </row>
    <row r="70" spans="1:21" x14ac:dyDescent="0.4">
      <c r="A70" s="6" t="s">
        <v>26</v>
      </c>
      <c r="B70" s="71" t="s">
        <v>51</v>
      </c>
      <c r="C70" s="51"/>
      <c r="D70" s="52"/>
      <c r="E70" s="5">
        <f>SUM(E63:E69)</f>
        <v>15</v>
      </c>
      <c r="F70" s="5">
        <f>SUM(F63:F69)</f>
        <v>17</v>
      </c>
      <c r="G70" s="5">
        <f>SUM(G63:G69)</f>
        <v>30</v>
      </c>
      <c r="H70" s="5">
        <f>SUM(H63:H69)</f>
        <v>15</v>
      </c>
      <c r="I70" s="5">
        <f>SUM(I63:I69)</f>
        <v>27</v>
      </c>
      <c r="J70" s="5">
        <f>SUM(J63:J69)</f>
        <v>29</v>
      </c>
      <c r="K70" s="5">
        <f>SUM(K63:K69)</f>
        <v>30</v>
      </c>
      <c r="L70" s="5">
        <f>SUM(L63:L69)</f>
        <v>45</v>
      </c>
      <c r="M70" s="5">
        <f>SUM(M63:M69)</f>
        <v>29</v>
      </c>
      <c r="N70" s="5">
        <f>SUM(N63:N69)</f>
        <v>17</v>
      </c>
      <c r="O70" s="5">
        <f>SUM(O63:O69)</f>
        <v>13</v>
      </c>
      <c r="P70" s="5">
        <f>SUM(P63:P69)</f>
        <v>16</v>
      </c>
      <c r="Q70" s="5">
        <f>SUM(Q63:Q69)</f>
        <v>18</v>
      </c>
      <c r="R70" s="5">
        <f>SUM(R63:R69)</f>
        <v>15</v>
      </c>
      <c r="S70" s="5">
        <f>SUM(S63:S69)</f>
        <v>10</v>
      </c>
      <c r="T70" s="5">
        <f>SUM(T63:T69)</f>
        <v>0</v>
      </c>
      <c r="U70" s="5">
        <f>SUM(U63:U69)</f>
        <v>326</v>
      </c>
    </row>
    <row r="71" spans="1:21" x14ac:dyDescent="0.4">
      <c r="A71" s="77"/>
      <c r="B71" s="76"/>
      <c r="C71" s="76"/>
      <c r="D71" s="76"/>
      <c r="E71" s="76"/>
    </row>
    <row r="72" spans="1:21" x14ac:dyDescent="0.4">
      <c r="A72" s="11" t="s">
        <v>48</v>
      </c>
      <c r="B72" s="17" t="s">
        <v>34</v>
      </c>
      <c r="C72" s="79" t="s">
        <v>54</v>
      </c>
      <c r="D72" s="52"/>
      <c r="E72" s="6">
        <v>2</v>
      </c>
      <c r="F72" s="6">
        <v>1</v>
      </c>
      <c r="G72" s="6">
        <v>6</v>
      </c>
      <c r="H72" s="6">
        <v>1</v>
      </c>
      <c r="I72" s="6">
        <v>2</v>
      </c>
      <c r="J72" s="6">
        <v>1</v>
      </c>
      <c r="K72" s="6">
        <v>1</v>
      </c>
      <c r="L72" s="6">
        <v>4</v>
      </c>
      <c r="M72" s="6">
        <v>2</v>
      </c>
      <c r="N72" s="6">
        <v>0</v>
      </c>
      <c r="O72" s="6">
        <v>0</v>
      </c>
      <c r="P72" s="6">
        <v>0</v>
      </c>
      <c r="Q72" s="6">
        <v>2</v>
      </c>
      <c r="R72" s="6">
        <v>0</v>
      </c>
      <c r="S72" s="6">
        <v>0</v>
      </c>
      <c r="T72" s="6"/>
      <c r="U72" s="5">
        <f t="shared" ref="U72:U78" si="22">SUM(E72:T72)</f>
        <v>22</v>
      </c>
    </row>
    <row r="73" spans="1:21" x14ac:dyDescent="0.4">
      <c r="A73" s="11" t="s">
        <v>50</v>
      </c>
      <c r="B73" s="46"/>
      <c r="C73" s="24" t="s">
        <v>122</v>
      </c>
      <c r="D73" s="47"/>
      <c r="E73" s="6">
        <v>2</v>
      </c>
      <c r="F73" s="6">
        <v>5</v>
      </c>
      <c r="G73" s="6">
        <v>13</v>
      </c>
      <c r="H73" s="6">
        <v>0</v>
      </c>
      <c r="I73" s="6">
        <v>6</v>
      </c>
      <c r="J73" s="6">
        <v>13</v>
      </c>
      <c r="K73" s="6">
        <v>4</v>
      </c>
      <c r="L73" s="6">
        <v>1</v>
      </c>
      <c r="M73" s="6">
        <v>2</v>
      </c>
      <c r="N73" s="6">
        <v>5</v>
      </c>
      <c r="O73" s="6">
        <v>4</v>
      </c>
      <c r="P73" s="6">
        <v>0</v>
      </c>
      <c r="Q73" s="6">
        <v>0</v>
      </c>
      <c r="R73" s="6">
        <v>0</v>
      </c>
      <c r="S73" s="6">
        <v>0</v>
      </c>
      <c r="T73" s="6"/>
      <c r="U73" s="5">
        <f t="shared" si="22"/>
        <v>55</v>
      </c>
    </row>
    <row r="74" spans="1:21" x14ac:dyDescent="0.4">
      <c r="A74" s="7"/>
      <c r="B74" s="46"/>
      <c r="C74" s="24" t="s">
        <v>123</v>
      </c>
      <c r="D74" s="47"/>
      <c r="E74" s="6">
        <v>0</v>
      </c>
      <c r="F74" s="6">
        <v>0</v>
      </c>
      <c r="G74" s="6">
        <v>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1</v>
      </c>
      <c r="P74" s="6">
        <v>0</v>
      </c>
      <c r="Q74" s="6">
        <v>0</v>
      </c>
      <c r="R74" s="6">
        <v>2</v>
      </c>
      <c r="S74" s="6">
        <v>0</v>
      </c>
      <c r="T74" s="6"/>
      <c r="U74" s="5">
        <f t="shared" si="22"/>
        <v>4</v>
      </c>
    </row>
    <row r="75" spans="1:21" x14ac:dyDescent="0.4">
      <c r="A75" s="7"/>
      <c r="B75" s="46"/>
      <c r="C75" s="24" t="s">
        <v>124</v>
      </c>
      <c r="D75" s="47"/>
      <c r="E75" s="6">
        <v>1</v>
      </c>
      <c r="F75" s="6">
        <v>1</v>
      </c>
      <c r="G75" s="6">
        <v>0</v>
      </c>
      <c r="H75" s="6">
        <v>2</v>
      </c>
      <c r="I75" s="6">
        <v>3</v>
      </c>
      <c r="J75" s="6">
        <v>3</v>
      </c>
      <c r="K75" s="6">
        <v>9</v>
      </c>
      <c r="L75" s="6">
        <v>2</v>
      </c>
      <c r="M75" s="6">
        <v>3</v>
      </c>
      <c r="N75" s="6">
        <v>3</v>
      </c>
      <c r="O75" s="6">
        <v>3</v>
      </c>
      <c r="P75" s="6">
        <v>1</v>
      </c>
      <c r="Q75" s="6">
        <v>1</v>
      </c>
      <c r="R75" s="6">
        <v>3</v>
      </c>
      <c r="S75" s="6">
        <v>1</v>
      </c>
      <c r="T75" s="6"/>
      <c r="U75" s="5">
        <f t="shared" si="22"/>
        <v>36</v>
      </c>
    </row>
    <row r="76" spans="1:21" ht="13.15" customHeight="1" x14ac:dyDescent="0.4">
      <c r="A76" s="7"/>
      <c r="B76" s="46"/>
      <c r="C76" s="24" t="s">
        <v>125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/>
      <c r="U76" s="5">
        <f t="shared" si="22"/>
        <v>2</v>
      </c>
    </row>
    <row r="77" spans="1:21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/>
      <c r="U77" s="5">
        <f t="shared" si="22"/>
        <v>0</v>
      </c>
    </row>
    <row r="78" spans="1:21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1</v>
      </c>
      <c r="R78" s="6">
        <v>1</v>
      </c>
      <c r="S78" s="6">
        <v>0</v>
      </c>
      <c r="T78" s="6"/>
      <c r="U78" s="5">
        <f t="shared" si="22"/>
        <v>3</v>
      </c>
    </row>
    <row r="79" spans="1:21" x14ac:dyDescent="0.4">
      <c r="A79" s="6" t="s">
        <v>26</v>
      </c>
      <c r="B79" s="71" t="s">
        <v>51</v>
      </c>
      <c r="C79" s="51"/>
      <c r="D79" s="52"/>
      <c r="E79" s="5">
        <f>SUM(E72:E78)</f>
        <v>5</v>
      </c>
      <c r="F79" s="5">
        <f>SUM(F72:F78)</f>
        <v>7</v>
      </c>
      <c r="G79" s="5">
        <f>SUM(G72:G78)</f>
        <v>20</v>
      </c>
      <c r="H79" s="5">
        <f>SUM(H72:H78)</f>
        <v>3</v>
      </c>
      <c r="I79" s="5">
        <f>SUM(I72:I78)</f>
        <v>11</v>
      </c>
      <c r="J79" s="5">
        <f>SUM(J72:J78)</f>
        <v>18</v>
      </c>
      <c r="K79" s="5">
        <f>SUM(K72:K78)</f>
        <v>15</v>
      </c>
      <c r="L79" s="5">
        <f>SUM(L72:L78)</f>
        <v>7</v>
      </c>
      <c r="M79" s="5">
        <f>SUM(M72:M78)</f>
        <v>7</v>
      </c>
      <c r="N79" s="5">
        <f>SUM(N72:N78)</f>
        <v>8</v>
      </c>
      <c r="O79" s="5">
        <f>SUM(O72:O78)</f>
        <v>8</v>
      </c>
      <c r="P79" s="5">
        <f>SUM(P72:P78)</f>
        <v>2</v>
      </c>
      <c r="Q79" s="5">
        <f>SUM(Q72:Q78)</f>
        <v>4</v>
      </c>
      <c r="R79" s="5">
        <f>SUM(R72:R78)</f>
        <v>6</v>
      </c>
      <c r="S79" s="5">
        <f>SUM(S72:S78)</f>
        <v>1</v>
      </c>
      <c r="T79" s="5">
        <f>SUM(T72:T78)</f>
        <v>0</v>
      </c>
      <c r="U79" s="5">
        <f>SUM(U72:U78)</f>
        <v>122</v>
      </c>
    </row>
    <row r="80" spans="1:21" x14ac:dyDescent="0.4">
      <c r="A80" s="77"/>
      <c r="B80" s="76"/>
      <c r="C80" s="76"/>
      <c r="D80" s="76"/>
      <c r="E80" s="76"/>
    </row>
    <row r="81" spans="1:21" x14ac:dyDescent="0.4">
      <c r="A81" s="11" t="s">
        <v>48</v>
      </c>
      <c r="B81" s="17" t="s">
        <v>55</v>
      </c>
      <c r="C81" s="79" t="s">
        <v>56</v>
      </c>
      <c r="D81" s="52"/>
      <c r="E81" s="6">
        <v>1</v>
      </c>
      <c r="F81" s="6">
        <v>2</v>
      </c>
      <c r="G81" s="6">
        <v>2</v>
      </c>
      <c r="H81" s="6">
        <v>2</v>
      </c>
      <c r="I81" s="6">
        <v>0</v>
      </c>
      <c r="J81" s="6">
        <v>1</v>
      </c>
      <c r="K81" s="6">
        <v>0</v>
      </c>
      <c r="L81" s="6">
        <v>3</v>
      </c>
      <c r="M81" s="6">
        <v>1</v>
      </c>
      <c r="N81" s="6">
        <v>4</v>
      </c>
      <c r="O81" s="6">
        <v>3</v>
      </c>
      <c r="P81" s="6">
        <v>3</v>
      </c>
      <c r="Q81" s="6">
        <v>0</v>
      </c>
      <c r="R81" s="6">
        <v>0</v>
      </c>
      <c r="S81" s="6">
        <v>0</v>
      </c>
      <c r="T81" s="6"/>
      <c r="U81" s="5">
        <f t="shared" ref="U81:U87" si="23">SUM(E81:T81)</f>
        <v>22</v>
      </c>
    </row>
    <row r="82" spans="1:21" x14ac:dyDescent="0.4">
      <c r="A82" s="11" t="s">
        <v>50</v>
      </c>
      <c r="B82" s="46"/>
      <c r="C82" s="24" t="s">
        <v>128</v>
      </c>
      <c r="D82" s="47"/>
      <c r="E82" s="6">
        <v>0</v>
      </c>
      <c r="F82" s="6">
        <v>2</v>
      </c>
      <c r="G82" s="6">
        <v>0</v>
      </c>
      <c r="H82" s="6">
        <v>1</v>
      </c>
      <c r="I82" s="6">
        <v>0</v>
      </c>
      <c r="J82" s="6">
        <v>0</v>
      </c>
      <c r="K82" s="6">
        <v>0</v>
      </c>
      <c r="L82" s="6">
        <v>2</v>
      </c>
      <c r="M82" s="6">
        <v>0</v>
      </c>
      <c r="N82" s="6">
        <v>5</v>
      </c>
      <c r="O82" s="6">
        <v>0</v>
      </c>
      <c r="P82" s="6">
        <v>0</v>
      </c>
      <c r="Q82" s="6">
        <v>1</v>
      </c>
      <c r="R82" s="6">
        <v>2</v>
      </c>
      <c r="S82" s="6">
        <v>0</v>
      </c>
      <c r="T82" s="6"/>
      <c r="U82" s="5">
        <f t="shared" si="23"/>
        <v>13</v>
      </c>
    </row>
    <row r="83" spans="1:21" x14ac:dyDescent="0.4">
      <c r="A83" s="7"/>
      <c r="B83" s="46"/>
      <c r="C83" s="24" t="s">
        <v>129</v>
      </c>
      <c r="D83" s="47"/>
      <c r="E83" s="6">
        <v>4</v>
      </c>
      <c r="F83" s="6">
        <v>26</v>
      </c>
      <c r="G83" s="6">
        <v>13</v>
      </c>
      <c r="H83" s="6">
        <v>17</v>
      </c>
      <c r="I83" s="6">
        <v>9</v>
      </c>
      <c r="J83" s="6">
        <v>9</v>
      </c>
      <c r="K83" s="6">
        <v>1</v>
      </c>
      <c r="L83" s="6">
        <v>4</v>
      </c>
      <c r="M83" s="6">
        <v>1</v>
      </c>
      <c r="N83" s="6">
        <v>5</v>
      </c>
      <c r="O83" s="6">
        <v>3</v>
      </c>
      <c r="P83" s="6">
        <v>0</v>
      </c>
      <c r="Q83" s="6">
        <v>1</v>
      </c>
      <c r="R83" s="6">
        <v>0</v>
      </c>
      <c r="S83" s="6">
        <v>5</v>
      </c>
      <c r="T83" s="6"/>
      <c r="U83" s="5">
        <f t="shared" si="23"/>
        <v>98</v>
      </c>
    </row>
    <row r="84" spans="1:21" ht="13.15" customHeight="1" x14ac:dyDescent="0.4">
      <c r="A84" s="7"/>
      <c r="B84" s="46"/>
      <c r="C84" s="24" t="s">
        <v>130</v>
      </c>
      <c r="D84" s="47"/>
      <c r="E84" s="6">
        <v>1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/>
      <c r="U84" s="5">
        <f t="shared" si="23"/>
        <v>2</v>
      </c>
    </row>
    <row r="85" spans="1:21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/>
      <c r="U85" s="5">
        <f t="shared" si="23"/>
        <v>1</v>
      </c>
    </row>
    <row r="86" spans="1:21" x14ac:dyDescent="0.4">
      <c r="A86" s="7"/>
      <c r="B86" s="46"/>
      <c r="C86" s="24" t="s">
        <v>132</v>
      </c>
      <c r="D86" s="47"/>
      <c r="E86" s="6">
        <v>1</v>
      </c>
      <c r="F86" s="6">
        <v>3</v>
      </c>
      <c r="G86" s="6">
        <v>2</v>
      </c>
      <c r="H86" s="6">
        <v>5</v>
      </c>
      <c r="I86" s="6">
        <v>0</v>
      </c>
      <c r="J86" s="6">
        <v>0</v>
      </c>
      <c r="K86" s="6">
        <v>0</v>
      </c>
      <c r="L86" s="6">
        <v>10</v>
      </c>
      <c r="M86" s="6">
        <v>1</v>
      </c>
      <c r="N86" s="6">
        <v>11</v>
      </c>
      <c r="O86" s="6">
        <v>7</v>
      </c>
      <c r="P86" s="6">
        <v>13</v>
      </c>
      <c r="Q86" s="6">
        <v>7</v>
      </c>
      <c r="R86" s="6">
        <v>0</v>
      </c>
      <c r="S86" s="6">
        <v>0</v>
      </c>
      <c r="T86" s="6"/>
      <c r="U86" s="5">
        <f t="shared" si="23"/>
        <v>60</v>
      </c>
    </row>
    <row r="87" spans="1:21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/>
      <c r="U87" s="5">
        <f t="shared" si="23"/>
        <v>0</v>
      </c>
    </row>
    <row r="88" spans="1:21" x14ac:dyDescent="0.4">
      <c r="A88" s="6" t="s">
        <v>26</v>
      </c>
      <c r="B88" s="71" t="s">
        <v>51</v>
      </c>
      <c r="C88" s="51"/>
      <c r="D88" s="52"/>
      <c r="E88" s="5">
        <f>SUM(E81:E87)</f>
        <v>7</v>
      </c>
      <c r="F88" s="5">
        <f>SUM(F81:F87)</f>
        <v>33</v>
      </c>
      <c r="G88" s="5">
        <f>SUM(G81:G87)</f>
        <v>17</v>
      </c>
      <c r="H88" s="5">
        <f>SUM(H81:H87)</f>
        <v>26</v>
      </c>
      <c r="I88" s="5">
        <f>SUM(I81:I87)</f>
        <v>9</v>
      </c>
      <c r="J88" s="5">
        <f>SUM(J81:J87)</f>
        <v>10</v>
      </c>
      <c r="K88" s="5">
        <f>SUM(K81:K87)</f>
        <v>1</v>
      </c>
      <c r="L88" s="5">
        <f>SUM(L81:L87)</f>
        <v>20</v>
      </c>
      <c r="M88" s="5">
        <f>SUM(M81:M87)</f>
        <v>3</v>
      </c>
      <c r="N88" s="5">
        <f>SUM(N81:N87)</f>
        <v>25</v>
      </c>
      <c r="O88" s="5">
        <f>SUM(O81:O87)</f>
        <v>13</v>
      </c>
      <c r="P88" s="5">
        <f>SUM(P81:P87)</f>
        <v>16</v>
      </c>
      <c r="Q88" s="5">
        <f>SUM(Q81:Q87)</f>
        <v>9</v>
      </c>
      <c r="R88" s="5">
        <f>SUM(R81:R87)</f>
        <v>2</v>
      </c>
      <c r="S88" s="5">
        <f>SUM(S81:S87)</f>
        <v>5</v>
      </c>
      <c r="T88" s="5">
        <f>SUM(T81:T87)</f>
        <v>0</v>
      </c>
      <c r="U88" s="5">
        <f>SUM(U81:U87)</f>
        <v>196</v>
      </c>
    </row>
    <row r="89" spans="1:21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</row>
    <row r="90" spans="1:21" x14ac:dyDescent="0.4">
      <c r="A90" s="11" t="s">
        <v>48</v>
      </c>
      <c r="B90" s="17" t="s">
        <v>57</v>
      </c>
      <c r="C90" s="79" t="s">
        <v>58</v>
      </c>
      <c r="D90" s="52"/>
      <c r="E90" s="6">
        <v>1</v>
      </c>
      <c r="F90" s="6">
        <v>0</v>
      </c>
      <c r="G90" s="6">
        <v>0</v>
      </c>
      <c r="H90" s="6">
        <v>1</v>
      </c>
      <c r="I90" s="6">
        <v>2</v>
      </c>
      <c r="J90" s="6">
        <v>0</v>
      </c>
      <c r="K90" s="6">
        <v>0</v>
      </c>
      <c r="L90" s="6">
        <v>1</v>
      </c>
      <c r="M90" s="6">
        <v>2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/>
      <c r="U90" s="5">
        <f>SUM(E90:T90)</f>
        <v>8</v>
      </c>
    </row>
    <row r="91" spans="1:21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1</v>
      </c>
      <c r="F91" s="5">
        <f>SUM(F90:F90)</f>
        <v>0</v>
      </c>
      <c r="G91" s="5">
        <f>SUM(G90:G90)</f>
        <v>0</v>
      </c>
      <c r="H91" s="5">
        <f>SUM(H90:H90)</f>
        <v>1</v>
      </c>
      <c r="I91" s="5">
        <f>SUM(I90:I90)</f>
        <v>2</v>
      </c>
      <c r="J91" s="5">
        <f>SUM(J90:J90)</f>
        <v>0</v>
      </c>
      <c r="K91" s="5">
        <f>SUM(K90:K90)</f>
        <v>0</v>
      </c>
      <c r="L91" s="5">
        <f>SUM(L90:L90)</f>
        <v>1</v>
      </c>
      <c r="M91" s="5">
        <f>SUM(M90:M90)</f>
        <v>2</v>
      </c>
      <c r="N91" s="5">
        <f>SUM(N90:N90)</f>
        <v>1</v>
      </c>
      <c r="O91" s="5">
        <f>SUM(O90:O90)</f>
        <v>0</v>
      </c>
      <c r="P91" s="5">
        <f>SUM(P90:P90)</f>
        <v>0</v>
      </c>
      <c r="Q91" s="5">
        <f>SUM(Q90:Q90)</f>
        <v>0</v>
      </c>
      <c r="R91" s="5">
        <f>SUM(R90:R90)</f>
        <v>0</v>
      </c>
      <c r="S91" s="5">
        <f>SUM(S90:S90)</f>
        <v>0</v>
      </c>
      <c r="T91" s="5">
        <f>SUM(T90:T90)</f>
        <v>0</v>
      </c>
      <c r="U91" s="5">
        <f>SUM(U90:U90)</f>
        <v>8</v>
      </c>
    </row>
    <row r="92" spans="1:21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5"/>
    </row>
    <row r="93" spans="1:21" x14ac:dyDescent="0.4">
      <c r="A93" s="11" t="s">
        <v>48</v>
      </c>
      <c r="B93" s="17" t="s">
        <v>59</v>
      </c>
      <c r="C93" s="79" t="s">
        <v>60</v>
      </c>
      <c r="D93" s="5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5">
        <f t="shared" ref="U93:U96" si="24">SUM(E93:T93)</f>
        <v>0</v>
      </c>
    </row>
    <row r="94" spans="1:21" x14ac:dyDescent="0.4">
      <c r="A94" s="11" t="s">
        <v>50</v>
      </c>
      <c r="B94" s="46"/>
      <c r="C94" s="24" t="s">
        <v>134</v>
      </c>
      <c r="D94" s="4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5">
        <f t="shared" si="24"/>
        <v>0</v>
      </c>
    </row>
    <row r="95" spans="1:21" x14ac:dyDescent="0.4">
      <c r="A95" s="7"/>
      <c r="B95" s="46"/>
      <c r="C95" s="24" t="s">
        <v>135</v>
      </c>
      <c r="D95" s="4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5">
        <f t="shared" si="24"/>
        <v>0</v>
      </c>
    </row>
    <row r="96" spans="1:21" x14ac:dyDescent="0.4">
      <c r="A96" s="7"/>
      <c r="B96" s="46"/>
      <c r="C96" s="24" t="s">
        <v>136</v>
      </c>
      <c r="D96" s="4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5">
        <f t="shared" si="24"/>
        <v>0</v>
      </c>
    </row>
    <row r="97" spans="1:21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0</v>
      </c>
      <c r="G97" s="5">
        <f>SUM(G93:G96)</f>
        <v>0</v>
      </c>
      <c r="H97" s="5">
        <f>SUM(H93:H96)</f>
        <v>0</v>
      </c>
      <c r="I97" s="5">
        <f>SUM(I93:I96)</f>
        <v>0</v>
      </c>
      <c r="J97" s="5">
        <f>SUM(J93:J96)</f>
        <v>0</v>
      </c>
      <c r="K97" s="5">
        <f>SUM(K93:K96)</f>
        <v>0</v>
      </c>
      <c r="L97" s="5">
        <f>SUM(L93:L96)</f>
        <v>0</v>
      </c>
      <c r="M97" s="5">
        <f>SUM(M93:M96)</f>
        <v>0</v>
      </c>
      <c r="N97" s="5">
        <f>SUM(N93:N96)</f>
        <v>0</v>
      </c>
      <c r="O97" s="5">
        <f>SUM(O93:O96)</f>
        <v>0</v>
      </c>
      <c r="P97" s="5">
        <f>SUM(P93:P96)</f>
        <v>0</v>
      </c>
      <c r="Q97" s="5">
        <f>SUM(Q93:Q96)</f>
        <v>0</v>
      </c>
      <c r="R97" s="5">
        <f>SUM(R93:R96)</f>
        <v>0</v>
      </c>
      <c r="S97" s="5">
        <f>SUM(S93:S96)</f>
        <v>0</v>
      </c>
      <c r="T97" s="5">
        <f>SUM(T93:T96)</f>
        <v>0</v>
      </c>
      <c r="U97" s="5">
        <f>SUM(U93:U96)</f>
        <v>0</v>
      </c>
    </row>
    <row r="98" spans="1:21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</row>
    <row r="99" spans="1:21" x14ac:dyDescent="0.4">
      <c r="A99" s="11" t="s">
        <v>48</v>
      </c>
      <c r="B99" s="17" t="s">
        <v>61</v>
      </c>
      <c r="C99" s="79" t="s">
        <v>62</v>
      </c>
      <c r="D99" s="5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5">
        <f t="shared" ref="U99:U105" si="25">SUM(E99:T99)</f>
        <v>0</v>
      </c>
    </row>
    <row r="100" spans="1:21" ht="13.15" customHeight="1" x14ac:dyDescent="0.4">
      <c r="A100" s="11" t="s">
        <v>50</v>
      </c>
      <c r="B100" s="46"/>
      <c r="C100" s="24" t="s">
        <v>137</v>
      </c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5">
        <f t="shared" si="25"/>
        <v>0</v>
      </c>
    </row>
    <row r="101" spans="1:21" x14ac:dyDescent="0.4">
      <c r="A101" s="7"/>
      <c r="B101" s="46"/>
      <c r="C101" s="24" t="s">
        <v>138</v>
      </c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5">
        <f t="shared" si="25"/>
        <v>0</v>
      </c>
    </row>
    <row r="102" spans="1:21" x14ac:dyDescent="0.4">
      <c r="A102" s="7"/>
      <c r="B102" s="46"/>
      <c r="C102" s="24" t="s">
        <v>139</v>
      </c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5">
        <f t="shared" si="25"/>
        <v>0</v>
      </c>
    </row>
    <row r="103" spans="1:21" x14ac:dyDescent="0.4">
      <c r="A103" s="7"/>
      <c r="B103" s="46"/>
      <c r="C103" s="24" t="s">
        <v>140</v>
      </c>
      <c r="D103" s="4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5">
        <f t="shared" si="25"/>
        <v>0</v>
      </c>
    </row>
    <row r="104" spans="1:21" x14ac:dyDescent="0.4">
      <c r="A104" s="7"/>
      <c r="B104" s="46"/>
      <c r="C104" s="24" t="s">
        <v>141</v>
      </c>
      <c r="D104" s="4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5">
        <f t="shared" si="25"/>
        <v>0</v>
      </c>
    </row>
    <row r="105" spans="1:21" x14ac:dyDescent="0.4">
      <c r="A105" s="7"/>
      <c r="B105" s="46"/>
      <c r="C105" s="24" t="s">
        <v>142</v>
      </c>
      <c r="D105" s="4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5">
        <f t="shared" si="25"/>
        <v>0</v>
      </c>
    </row>
    <row r="106" spans="1:21" x14ac:dyDescent="0.4">
      <c r="A106" s="6" t="s">
        <v>26</v>
      </c>
      <c r="B106" s="71" t="s">
        <v>51</v>
      </c>
      <c r="C106" s="80"/>
      <c r="D106" s="81"/>
      <c r="E106" s="5">
        <f>SUM(E99:E105)</f>
        <v>0</v>
      </c>
      <c r="F106" s="5">
        <f>SUM(F99:F105)</f>
        <v>0</v>
      </c>
      <c r="G106" s="5">
        <f>SUM(G99:G105)</f>
        <v>0</v>
      </c>
      <c r="H106" s="5">
        <f>SUM(H99:H105)</f>
        <v>0</v>
      </c>
      <c r="I106" s="5">
        <f>SUM(I99:I105)</f>
        <v>0</v>
      </c>
      <c r="J106" s="5">
        <f>SUM(J99:J105)</f>
        <v>0</v>
      </c>
      <c r="K106" s="5">
        <f>SUM(K99:K105)</f>
        <v>0</v>
      </c>
      <c r="L106" s="5">
        <f>SUM(L99:L105)</f>
        <v>0</v>
      </c>
      <c r="M106" s="5">
        <f>SUM(M99:M105)</f>
        <v>0</v>
      </c>
      <c r="N106" s="5">
        <f>SUM(N99:N105)</f>
        <v>0</v>
      </c>
      <c r="O106" s="5">
        <f>SUM(O99:O105)</f>
        <v>0</v>
      </c>
      <c r="P106" s="5">
        <f>SUM(P99:P105)</f>
        <v>0</v>
      </c>
      <c r="Q106" s="5">
        <f>SUM(Q99:Q105)</f>
        <v>0</v>
      </c>
      <c r="R106" s="5">
        <f>SUM(R99:R105)</f>
        <v>0</v>
      </c>
      <c r="S106" s="5">
        <f>SUM(S99:S105)</f>
        <v>0</v>
      </c>
      <c r="T106" s="5">
        <f>SUM(T99:T105)</f>
        <v>0</v>
      </c>
      <c r="U106" s="5">
        <f>SUM(U99:U105)</f>
        <v>0</v>
      </c>
    </row>
    <row r="107" spans="1:21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</row>
    <row r="108" spans="1:21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>
        <v>1</v>
      </c>
      <c r="N108" s="6"/>
      <c r="O108" s="6"/>
      <c r="P108" s="6"/>
      <c r="Q108" s="6"/>
      <c r="R108" s="6"/>
      <c r="S108" s="6"/>
      <c r="T108" s="6"/>
      <c r="U108" s="5">
        <f>SUM(E108:T108)</f>
        <v>1</v>
      </c>
    </row>
    <row r="109" spans="1:21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5">
        <f>SUM(E109:T109)</f>
        <v>0</v>
      </c>
    </row>
    <row r="110" spans="1:21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1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  <c r="R110" s="5">
        <f>SUM(R108:R109)</f>
        <v>0</v>
      </c>
      <c r="S110" s="5">
        <f>SUM(S108:S109)</f>
        <v>0</v>
      </c>
      <c r="T110" s="5">
        <f>SUM(T108:T109)</f>
        <v>0</v>
      </c>
      <c r="U110" s="5">
        <f>SUM(U108:U109)</f>
        <v>1</v>
      </c>
    </row>
    <row r="111" spans="1:21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5"/>
    </row>
    <row r="112" spans="1:21" x14ac:dyDescent="0.4">
      <c r="A112" s="11" t="s">
        <v>48</v>
      </c>
      <c r="B112" s="44" t="s">
        <v>65</v>
      </c>
      <c r="C112" s="84" t="s">
        <v>66</v>
      </c>
      <c r="D112" s="6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>
        <v>1</v>
      </c>
      <c r="Q112" s="6"/>
      <c r="R112" s="6"/>
      <c r="S112" s="6"/>
      <c r="T112" s="6"/>
      <c r="U112" s="5">
        <f t="shared" ref="U112:U118" si="26">SUM(E112:T112)</f>
        <v>1</v>
      </c>
    </row>
    <row r="113" spans="1:21" x14ac:dyDescent="0.4">
      <c r="A113" s="48" t="s">
        <v>50</v>
      </c>
      <c r="B113" s="46"/>
      <c r="C113" s="24" t="s">
        <v>144</v>
      </c>
      <c r="D113" s="47"/>
      <c r="E113" s="49"/>
      <c r="F113" s="6"/>
      <c r="G113" s="6"/>
      <c r="H113" s="6"/>
      <c r="I113" s="6"/>
      <c r="J113" s="6"/>
      <c r="K113" s="6"/>
      <c r="L113" s="6">
        <v>1</v>
      </c>
      <c r="M113" s="6"/>
      <c r="N113" s="6">
        <v>1</v>
      </c>
      <c r="O113" s="6"/>
      <c r="P113" s="6"/>
      <c r="Q113" s="6"/>
      <c r="R113" s="6"/>
      <c r="S113" s="6"/>
      <c r="T113" s="6"/>
      <c r="U113" s="5">
        <f t="shared" si="26"/>
        <v>2</v>
      </c>
    </row>
    <row r="114" spans="1:21" x14ac:dyDescent="0.4">
      <c r="A114" s="7"/>
      <c r="B114" s="46"/>
      <c r="C114" s="24" t="s">
        <v>145</v>
      </c>
      <c r="D114" s="47"/>
      <c r="E114" s="4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5">
        <f t="shared" si="26"/>
        <v>0</v>
      </c>
    </row>
    <row r="115" spans="1:21" x14ac:dyDescent="0.4">
      <c r="A115" s="7"/>
      <c r="B115" s="46"/>
      <c r="C115" s="24" t="s">
        <v>146</v>
      </c>
      <c r="D115" s="47"/>
      <c r="E115" s="49"/>
      <c r="F115" s="6"/>
      <c r="G115" s="6"/>
      <c r="H115" s="6"/>
      <c r="I115" s="6"/>
      <c r="J115" s="6"/>
      <c r="K115" s="6"/>
      <c r="L115" s="6"/>
      <c r="M115" s="6"/>
      <c r="N115" s="6"/>
      <c r="O115" s="6">
        <v>3</v>
      </c>
      <c r="P115" s="6"/>
      <c r="Q115" s="6"/>
      <c r="R115" s="6"/>
      <c r="S115" s="6"/>
      <c r="T115" s="6"/>
      <c r="U115" s="5">
        <f t="shared" si="26"/>
        <v>3</v>
      </c>
    </row>
    <row r="116" spans="1:21" x14ac:dyDescent="0.4">
      <c r="A116" s="7"/>
      <c r="B116" s="46"/>
      <c r="C116" s="24" t="s">
        <v>147</v>
      </c>
      <c r="D116" s="47"/>
      <c r="E116" s="49"/>
      <c r="F116" s="6"/>
      <c r="G116" s="6">
        <v>1</v>
      </c>
      <c r="H116" s="6"/>
      <c r="I116" s="6"/>
      <c r="J116" s="6"/>
      <c r="K116" s="6"/>
      <c r="L116" s="6"/>
      <c r="M116" s="6"/>
      <c r="N116" s="6"/>
      <c r="O116" s="6"/>
      <c r="P116" s="6">
        <v>2</v>
      </c>
      <c r="Q116" s="6"/>
      <c r="R116" s="6"/>
      <c r="S116" s="6"/>
      <c r="T116" s="6"/>
      <c r="U116" s="5">
        <f t="shared" si="26"/>
        <v>3</v>
      </c>
    </row>
    <row r="117" spans="1:21" x14ac:dyDescent="0.4">
      <c r="A117" s="7"/>
      <c r="B117" s="46"/>
      <c r="C117" s="24" t="s">
        <v>148</v>
      </c>
      <c r="D117" s="47"/>
      <c r="E117" s="4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5">
        <f t="shared" si="26"/>
        <v>0</v>
      </c>
    </row>
    <row r="118" spans="1:21" x14ac:dyDescent="0.4">
      <c r="A118" s="7"/>
      <c r="B118" s="46"/>
      <c r="C118" s="24" t="s">
        <v>149</v>
      </c>
      <c r="D118" s="47"/>
      <c r="E118" s="4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>
        <v>2</v>
      </c>
      <c r="R118" s="6"/>
      <c r="S118" s="6"/>
      <c r="T118" s="6"/>
      <c r="U118" s="5">
        <f t="shared" si="26"/>
        <v>2</v>
      </c>
    </row>
    <row r="119" spans="1:21" x14ac:dyDescent="0.4">
      <c r="A119" s="6" t="s">
        <v>26</v>
      </c>
      <c r="B119" s="85" t="s">
        <v>51</v>
      </c>
      <c r="C119" s="86"/>
      <c r="D119" s="87"/>
      <c r="E119" s="5">
        <f>SUM(E112:E118)</f>
        <v>0</v>
      </c>
      <c r="F119" s="5">
        <f>SUM(F112:F118)</f>
        <v>0</v>
      </c>
      <c r="G119" s="5">
        <f>SUM(G112:G118)</f>
        <v>1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0</v>
      </c>
      <c r="L119" s="5">
        <f>SUM(L112:L118)</f>
        <v>1</v>
      </c>
      <c r="M119" s="5">
        <f>SUM(M112:M118)</f>
        <v>0</v>
      </c>
      <c r="N119" s="5">
        <f>SUM(N112:N118)</f>
        <v>1</v>
      </c>
      <c r="O119" s="5">
        <f>SUM(O112:O118)</f>
        <v>3</v>
      </c>
      <c r="P119" s="5">
        <f>SUM(P112:P118)</f>
        <v>3</v>
      </c>
      <c r="Q119" s="5">
        <f>SUM(Q112:Q118)</f>
        <v>2</v>
      </c>
      <c r="R119" s="5">
        <f>SUM(R112:R118)</f>
        <v>0</v>
      </c>
      <c r="S119" s="5">
        <f>SUM(S112:S118)</f>
        <v>0</v>
      </c>
      <c r="T119" s="5">
        <f>SUM(T112:T118)</f>
        <v>0</v>
      </c>
      <c r="U119" s="5">
        <f>SUM(U112:U118)</f>
        <v>11</v>
      </c>
    </row>
    <row r="120" spans="1:21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</row>
    <row r="121" spans="1:21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>
        <v>1</v>
      </c>
      <c r="F121" s="6"/>
      <c r="G121" s="6"/>
      <c r="H121" s="6"/>
      <c r="I121" s="6"/>
      <c r="J121" s="6"/>
      <c r="K121" s="6"/>
      <c r="L121" s="6"/>
      <c r="M121" s="6">
        <v>1</v>
      </c>
      <c r="N121" s="6">
        <v>1</v>
      </c>
      <c r="O121" s="6"/>
      <c r="P121" s="6"/>
      <c r="Q121" s="6"/>
      <c r="R121" s="6"/>
      <c r="S121" s="6"/>
      <c r="T121" s="6"/>
      <c r="U121" s="5">
        <f>SUM(E121:T121)</f>
        <v>3</v>
      </c>
    </row>
    <row r="122" spans="1:21" x14ac:dyDescent="0.4">
      <c r="A122" s="6" t="s">
        <v>26</v>
      </c>
      <c r="B122" s="71" t="s">
        <v>51</v>
      </c>
      <c r="C122" s="80"/>
      <c r="D122" s="81"/>
      <c r="E122" s="5">
        <f>SUM(E121:E121)</f>
        <v>1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1</v>
      </c>
      <c r="N122" s="5">
        <f>SUM(N121:N121)</f>
        <v>1</v>
      </c>
      <c r="O122" s="5">
        <f>SUM(O121:O121)</f>
        <v>0</v>
      </c>
      <c r="P122" s="5">
        <f>SUM(P121:P121)</f>
        <v>0</v>
      </c>
      <c r="Q122" s="5">
        <f>SUM(Q121:Q121)</f>
        <v>0</v>
      </c>
      <c r="R122" s="5">
        <f>SUM(R121:R121)</f>
        <v>0</v>
      </c>
      <c r="S122" s="5">
        <f>SUM(S121:S121)</f>
        <v>0</v>
      </c>
      <c r="T122" s="5">
        <f>SUM(T121:T121)</f>
        <v>0</v>
      </c>
      <c r="U122" s="5">
        <f>SUM(U121:U121)</f>
        <v>3</v>
      </c>
    </row>
    <row r="123" spans="1:21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</row>
    <row r="124" spans="1:21" x14ac:dyDescent="0.4">
      <c r="A124" s="11" t="s">
        <v>48</v>
      </c>
      <c r="B124" s="17" t="s">
        <v>69</v>
      </c>
      <c r="C124" s="79" t="s">
        <v>70</v>
      </c>
      <c r="D124" s="52"/>
      <c r="E124" s="6"/>
      <c r="F124" s="6"/>
      <c r="G124" s="6"/>
      <c r="H124" s="6"/>
      <c r="I124" s="6"/>
      <c r="J124" s="6"/>
      <c r="K124" s="6"/>
      <c r="L124" s="6">
        <v>1</v>
      </c>
      <c r="M124" s="6"/>
      <c r="N124" s="6"/>
      <c r="O124" s="6"/>
      <c r="P124" s="6"/>
      <c r="Q124" s="6"/>
      <c r="R124" s="6">
        <v>1</v>
      </c>
      <c r="S124" s="6"/>
      <c r="T124" s="6"/>
      <c r="U124" s="5">
        <f t="shared" ref="U124:U128" si="27">SUM(E124:T124)</f>
        <v>2</v>
      </c>
    </row>
    <row r="125" spans="1:21" x14ac:dyDescent="0.4">
      <c r="A125" s="11" t="s">
        <v>50</v>
      </c>
      <c r="B125" s="46"/>
      <c r="C125" s="24" t="s">
        <v>150</v>
      </c>
      <c r="D125" s="4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5">
        <f t="shared" si="27"/>
        <v>0</v>
      </c>
    </row>
    <row r="126" spans="1:21" x14ac:dyDescent="0.4">
      <c r="A126" s="7"/>
      <c r="B126" s="46"/>
      <c r="C126" s="24" t="s">
        <v>151</v>
      </c>
      <c r="D126" s="4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5">
        <f t="shared" si="27"/>
        <v>0</v>
      </c>
    </row>
    <row r="127" spans="1:21" x14ac:dyDescent="0.4">
      <c r="A127" s="7"/>
      <c r="B127" s="46"/>
      <c r="C127" s="24" t="s">
        <v>152</v>
      </c>
      <c r="D127" s="47"/>
      <c r="E127" s="6"/>
      <c r="F127" s="6"/>
      <c r="G127" s="6">
        <v>1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5">
        <f t="shared" si="27"/>
        <v>1</v>
      </c>
    </row>
    <row r="128" spans="1:21" x14ac:dyDescent="0.4">
      <c r="A128" s="7"/>
      <c r="B128" s="46"/>
      <c r="C128" s="24" t="s">
        <v>153</v>
      </c>
      <c r="D128" s="4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5">
        <f t="shared" si="27"/>
        <v>0</v>
      </c>
    </row>
    <row r="129" spans="1:21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0</v>
      </c>
      <c r="F129" s="5">
        <f>SUM(F124:F128)</f>
        <v>0</v>
      </c>
      <c r="G129" s="5">
        <f>SUM(G124:G128)</f>
        <v>1</v>
      </c>
      <c r="H129" s="5">
        <f>SUM(H124:H128)</f>
        <v>0</v>
      </c>
      <c r="I129" s="5">
        <f>SUM(I124:I128)</f>
        <v>0</v>
      </c>
      <c r="J129" s="5">
        <f>SUM(J124:J128)</f>
        <v>0</v>
      </c>
      <c r="K129" s="5">
        <f>SUM(K124:K128)</f>
        <v>0</v>
      </c>
      <c r="L129" s="5">
        <f>SUM(L124:L128)</f>
        <v>1</v>
      </c>
      <c r="M129" s="5">
        <f>SUM(M124:M128)</f>
        <v>0</v>
      </c>
      <c r="N129" s="5">
        <f>SUM(N124:N128)</f>
        <v>0</v>
      </c>
      <c r="O129" s="5">
        <f>SUM(O124:O128)</f>
        <v>0</v>
      </c>
      <c r="P129" s="5">
        <f>SUM(P124:P128)</f>
        <v>0</v>
      </c>
      <c r="Q129" s="5">
        <f>SUM(Q124:Q128)</f>
        <v>0</v>
      </c>
      <c r="R129" s="5">
        <f>SUM(R124:R128)</f>
        <v>1</v>
      </c>
      <c r="S129" s="5">
        <f>SUM(S124:S128)</f>
        <v>0</v>
      </c>
      <c r="T129" s="5">
        <f>SUM(T124:T128)</f>
        <v>0</v>
      </c>
      <c r="U129" s="5">
        <f>SUM(U124:U128)</f>
        <v>3</v>
      </c>
    </row>
    <row r="130" spans="1:21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Q130" s="18"/>
      <c r="U130" s="5"/>
    </row>
    <row r="131" spans="1:21" x14ac:dyDescent="0.4">
      <c r="A131" s="11" t="s">
        <v>48</v>
      </c>
      <c r="B131" s="17" t="s">
        <v>71</v>
      </c>
      <c r="C131" s="79" t="s">
        <v>72</v>
      </c>
      <c r="D131" s="52"/>
      <c r="E131" s="6"/>
      <c r="F131" s="6"/>
      <c r="G131" s="6"/>
      <c r="H131" s="6">
        <v>1</v>
      </c>
      <c r="I131" s="6"/>
      <c r="J131" s="6"/>
      <c r="K131" s="6"/>
      <c r="L131" s="6"/>
      <c r="M131" s="6"/>
      <c r="N131" s="6">
        <v>2</v>
      </c>
      <c r="O131" s="6"/>
      <c r="P131" s="6"/>
      <c r="Q131" s="6"/>
      <c r="R131" s="6"/>
      <c r="S131" s="6"/>
      <c r="T131" s="6"/>
      <c r="U131" s="5">
        <f t="shared" ref="U131:U137" si="28">SUM(E131:T131)</f>
        <v>3</v>
      </c>
    </row>
    <row r="132" spans="1:21" x14ac:dyDescent="0.4">
      <c r="A132" s="11" t="s">
        <v>50</v>
      </c>
      <c r="B132" s="46"/>
      <c r="C132" s="24" t="s">
        <v>154</v>
      </c>
      <c r="D132" s="47"/>
      <c r="E132" s="6"/>
      <c r="F132" s="6">
        <v>1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5">
        <f t="shared" si="28"/>
        <v>1</v>
      </c>
    </row>
    <row r="133" spans="1:21" x14ac:dyDescent="0.4">
      <c r="A133" s="7"/>
      <c r="B133" s="46"/>
      <c r="C133" s="24" t="s">
        <v>155</v>
      </c>
      <c r="D133" s="4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5">
        <f t="shared" si="28"/>
        <v>0</v>
      </c>
    </row>
    <row r="134" spans="1:21" x14ac:dyDescent="0.4">
      <c r="A134" s="7"/>
      <c r="B134" s="46"/>
      <c r="C134" s="24" t="s">
        <v>156</v>
      </c>
      <c r="D134" s="4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5">
        <f t="shared" si="28"/>
        <v>0</v>
      </c>
    </row>
    <row r="135" spans="1:21" x14ac:dyDescent="0.4">
      <c r="A135" s="7"/>
      <c r="B135" s="46"/>
      <c r="C135" s="24" t="s">
        <v>157</v>
      </c>
      <c r="D135" s="4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5">
        <f t="shared" si="28"/>
        <v>0</v>
      </c>
    </row>
    <row r="136" spans="1:21" x14ac:dyDescent="0.4">
      <c r="A136" s="7"/>
      <c r="B136" s="46"/>
      <c r="C136" s="24" t="s">
        <v>158</v>
      </c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5">
        <f t="shared" si="28"/>
        <v>0</v>
      </c>
    </row>
    <row r="137" spans="1:21" x14ac:dyDescent="0.4">
      <c r="A137" s="7"/>
      <c r="B137" s="46"/>
      <c r="C137" s="24" t="s">
        <v>159</v>
      </c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5">
        <f t="shared" si="28"/>
        <v>0</v>
      </c>
    </row>
    <row r="138" spans="1:21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1</v>
      </c>
      <c r="G138" s="5">
        <f>SUM(G131:G137)</f>
        <v>0</v>
      </c>
      <c r="H138" s="5">
        <f>SUM(H131:H137)</f>
        <v>1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2</v>
      </c>
      <c r="O138" s="5">
        <f>SUM(O131:O137)</f>
        <v>0</v>
      </c>
      <c r="P138" s="5">
        <f>SUM(P131:P137)</f>
        <v>0</v>
      </c>
      <c r="Q138" s="5">
        <f>SUM(Q131:Q137)</f>
        <v>0</v>
      </c>
      <c r="R138" s="5">
        <f>SUM(R131:R137)</f>
        <v>0</v>
      </c>
      <c r="S138" s="5">
        <f>SUM(S131:S137)</f>
        <v>0</v>
      </c>
      <c r="T138" s="5">
        <f>SUM(T131:T137)</f>
        <v>0</v>
      </c>
      <c r="U138" s="5">
        <f>SUM(U131:U137)</f>
        <v>4</v>
      </c>
    </row>
    <row r="139" spans="1:21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</row>
    <row r="140" spans="1:21" x14ac:dyDescent="0.4">
      <c r="A140" s="11" t="s">
        <v>48</v>
      </c>
      <c r="B140" s="17" t="s">
        <v>73</v>
      </c>
      <c r="C140" s="79" t="s">
        <v>74</v>
      </c>
      <c r="D140" s="52"/>
      <c r="E140" s="6">
        <v>2</v>
      </c>
      <c r="F140" s="6">
        <v>0</v>
      </c>
      <c r="G140" s="6">
        <v>1</v>
      </c>
      <c r="H140" s="6">
        <v>1</v>
      </c>
      <c r="I140" s="6">
        <v>3</v>
      </c>
      <c r="J140" s="6">
        <v>1</v>
      </c>
      <c r="K140" s="6">
        <v>3</v>
      </c>
      <c r="L140" s="6">
        <v>1</v>
      </c>
      <c r="M140" s="6">
        <v>1</v>
      </c>
      <c r="N140" s="6">
        <v>2</v>
      </c>
      <c r="O140" s="6">
        <v>2</v>
      </c>
      <c r="P140" s="6">
        <v>5</v>
      </c>
      <c r="Q140" s="6">
        <v>0</v>
      </c>
      <c r="R140" s="6">
        <v>1</v>
      </c>
      <c r="S140" s="6">
        <v>2</v>
      </c>
      <c r="T140" s="6"/>
      <c r="U140" s="5">
        <f t="shared" ref="U140:U146" si="29">SUM(E140:T140)</f>
        <v>25</v>
      </c>
    </row>
    <row r="141" spans="1:21" x14ac:dyDescent="0.4">
      <c r="A141" s="11" t="s">
        <v>50</v>
      </c>
      <c r="B141" s="46"/>
      <c r="C141" s="24" t="s">
        <v>160</v>
      </c>
      <c r="D141" s="47"/>
      <c r="E141" s="6">
        <v>2</v>
      </c>
      <c r="F141" s="6">
        <v>1</v>
      </c>
      <c r="G141" s="6">
        <v>4</v>
      </c>
      <c r="H141" s="6">
        <v>7</v>
      </c>
      <c r="I141" s="6">
        <v>2</v>
      </c>
      <c r="J141" s="6">
        <v>3</v>
      </c>
      <c r="K141" s="6">
        <v>11</v>
      </c>
      <c r="L141" s="6">
        <v>30</v>
      </c>
      <c r="M141" s="6">
        <v>14</v>
      </c>
      <c r="N141" s="6">
        <v>23</v>
      </c>
      <c r="O141" s="6">
        <v>4</v>
      </c>
      <c r="P141" s="6">
        <v>12</v>
      </c>
      <c r="Q141" s="6">
        <v>2</v>
      </c>
      <c r="R141" s="6">
        <v>1</v>
      </c>
      <c r="S141" s="6">
        <v>8</v>
      </c>
      <c r="T141" s="6"/>
      <c r="U141" s="5">
        <f t="shared" si="29"/>
        <v>124</v>
      </c>
    </row>
    <row r="142" spans="1:21" x14ac:dyDescent="0.4">
      <c r="A142" s="7"/>
      <c r="B142" s="46"/>
      <c r="C142" s="24" t="s">
        <v>161</v>
      </c>
      <c r="D142" s="47"/>
      <c r="E142" s="6">
        <v>0</v>
      </c>
      <c r="F142" s="6">
        <v>1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2</v>
      </c>
      <c r="M142" s="6">
        <v>1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1</v>
      </c>
      <c r="T142" s="6"/>
      <c r="U142" s="5">
        <f t="shared" si="29"/>
        <v>6</v>
      </c>
    </row>
    <row r="143" spans="1:21" x14ac:dyDescent="0.4">
      <c r="A143" s="7"/>
      <c r="B143" s="46"/>
      <c r="C143" s="24" t="s">
        <v>162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1</v>
      </c>
      <c r="U143" s="5">
        <f t="shared" si="29"/>
        <v>1</v>
      </c>
    </row>
    <row r="144" spans="1:21" x14ac:dyDescent="0.4">
      <c r="A144" s="7"/>
      <c r="B144" s="46"/>
      <c r="C144" s="24" t="s">
        <v>163</v>
      </c>
      <c r="D144" s="47"/>
      <c r="E144" s="6">
        <v>0</v>
      </c>
      <c r="F144" s="6">
        <v>0</v>
      </c>
      <c r="G144" s="6">
        <v>1</v>
      </c>
      <c r="H144" s="6">
        <v>1</v>
      </c>
      <c r="I144" s="6">
        <v>0</v>
      </c>
      <c r="J144" s="6">
        <v>0</v>
      </c>
      <c r="K144" s="6">
        <v>2</v>
      </c>
      <c r="L144" s="6">
        <v>1</v>
      </c>
      <c r="M144" s="6">
        <v>0</v>
      </c>
      <c r="N144" s="6">
        <v>0</v>
      </c>
      <c r="O144" s="6">
        <v>0</v>
      </c>
      <c r="P144" s="6">
        <v>1</v>
      </c>
      <c r="Q144" s="6">
        <v>0</v>
      </c>
      <c r="R144" s="6">
        <v>0</v>
      </c>
      <c r="S144" s="6">
        <v>1</v>
      </c>
      <c r="T144" s="6"/>
      <c r="U144" s="5">
        <f t="shared" si="29"/>
        <v>7</v>
      </c>
    </row>
    <row r="145" spans="1:21" x14ac:dyDescent="0.4">
      <c r="A145" s="7"/>
      <c r="B145" s="46"/>
      <c r="C145" s="24" t="s">
        <v>164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1</v>
      </c>
      <c r="P145" s="6">
        <v>0</v>
      </c>
      <c r="Q145" s="6">
        <v>0</v>
      </c>
      <c r="R145" s="6">
        <v>0</v>
      </c>
      <c r="S145" s="6">
        <v>0</v>
      </c>
      <c r="T145" s="6"/>
      <c r="U145" s="5">
        <f t="shared" si="29"/>
        <v>1</v>
      </c>
    </row>
    <row r="146" spans="1:21" ht="13.15" customHeight="1" x14ac:dyDescent="0.4">
      <c r="A146" s="7"/>
      <c r="B146" s="46"/>
      <c r="C146" s="24" t="s">
        <v>165</v>
      </c>
      <c r="D146" s="47"/>
      <c r="E146" s="6">
        <v>0</v>
      </c>
      <c r="F146" s="6">
        <v>0</v>
      </c>
      <c r="G146" s="6">
        <v>1</v>
      </c>
      <c r="H146" s="6">
        <v>0</v>
      </c>
      <c r="I146" s="6">
        <v>2</v>
      </c>
      <c r="J146" s="6">
        <v>0</v>
      </c>
      <c r="K146" s="6">
        <v>0</v>
      </c>
      <c r="L146" s="6">
        <v>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/>
      <c r="U146" s="5">
        <f t="shared" si="29"/>
        <v>4</v>
      </c>
    </row>
    <row r="147" spans="1:21" x14ac:dyDescent="0.4">
      <c r="A147" s="6" t="s">
        <v>26</v>
      </c>
      <c r="B147" s="71" t="s">
        <v>51</v>
      </c>
      <c r="C147" s="80"/>
      <c r="D147" s="81"/>
      <c r="E147" s="5">
        <f>SUM(E140:E146)</f>
        <v>4</v>
      </c>
      <c r="F147" s="5">
        <f>SUM(F140:F146)</f>
        <v>2</v>
      </c>
      <c r="G147" s="5">
        <f>SUM(G140:G146)</f>
        <v>8</v>
      </c>
      <c r="H147" s="5">
        <f>SUM(H140:H146)</f>
        <v>9</v>
      </c>
      <c r="I147" s="5">
        <f>SUM(I140:I146)</f>
        <v>7</v>
      </c>
      <c r="J147" s="5">
        <f>SUM(J140:J146)</f>
        <v>4</v>
      </c>
      <c r="K147" s="5">
        <f>SUM(K140:K146)</f>
        <v>16</v>
      </c>
      <c r="L147" s="5">
        <f>SUM(L140:L146)</f>
        <v>35</v>
      </c>
      <c r="M147" s="5">
        <f>SUM(M140:M146)</f>
        <v>16</v>
      </c>
      <c r="N147" s="5">
        <f>SUM(N140:N146)</f>
        <v>25</v>
      </c>
      <c r="O147" s="5">
        <f>SUM(O140:O146)</f>
        <v>7</v>
      </c>
      <c r="P147" s="5">
        <f>SUM(P140:P146)</f>
        <v>18</v>
      </c>
      <c r="Q147" s="5">
        <f>SUM(Q140:Q146)</f>
        <v>2</v>
      </c>
      <c r="R147" s="5">
        <f>SUM(R140:R146)</f>
        <v>2</v>
      </c>
      <c r="S147" s="5">
        <f>SUM(S140:S146)</f>
        <v>12</v>
      </c>
      <c r="T147" s="5">
        <f>SUM(T140:T146)</f>
        <v>1</v>
      </c>
      <c r="U147" s="5">
        <f>SUM(U140:U146)</f>
        <v>168</v>
      </c>
    </row>
    <row r="148" spans="1:21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</row>
    <row r="149" spans="1:21" x14ac:dyDescent="0.4">
      <c r="A149" s="11" t="s">
        <v>48</v>
      </c>
      <c r="B149" s="17" t="s">
        <v>75</v>
      </c>
      <c r="C149" s="79" t="s">
        <v>76</v>
      </c>
      <c r="D149" s="52"/>
      <c r="E149" s="6"/>
      <c r="F149" s="6"/>
      <c r="G149" s="6">
        <v>1</v>
      </c>
      <c r="H149" s="6"/>
      <c r="I149" s="6"/>
      <c r="J149" s="6"/>
      <c r="K149" s="6"/>
      <c r="L149" s="6">
        <v>1</v>
      </c>
      <c r="M149" s="6"/>
      <c r="N149" s="6">
        <v>1</v>
      </c>
      <c r="O149" s="6"/>
      <c r="P149" s="6"/>
      <c r="Q149" s="6"/>
      <c r="R149" s="6"/>
      <c r="S149" s="6"/>
      <c r="T149" s="6">
        <v>1</v>
      </c>
      <c r="U149" s="5">
        <f>SUM(E149:T149)</f>
        <v>4</v>
      </c>
    </row>
    <row r="150" spans="1:21" x14ac:dyDescent="0.4">
      <c r="A150" s="11" t="s">
        <v>50</v>
      </c>
      <c r="B150" s="46"/>
      <c r="C150" s="24" t="s">
        <v>166</v>
      </c>
      <c r="D150" s="47"/>
      <c r="E150" s="6">
        <v>1</v>
      </c>
      <c r="F150" s="6"/>
      <c r="G150" s="6"/>
      <c r="H150" s="6"/>
      <c r="I150" s="6"/>
      <c r="J150" s="6"/>
      <c r="K150" s="6"/>
      <c r="L150" s="6"/>
      <c r="M150" s="6">
        <v>1</v>
      </c>
      <c r="N150" s="6"/>
      <c r="O150" s="6"/>
      <c r="P150" s="6"/>
      <c r="Q150" s="6"/>
      <c r="R150" s="6"/>
      <c r="S150" s="6"/>
      <c r="T150" s="6"/>
      <c r="U150" s="5">
        <f>SUM(E150:T150)</f>
        <v>2</v>
      </c>
    </row>
    <row r="151" spans="1:21" x14ac:dyDescent="0.4">
      <c r="A151" s="6" t="s">
        <v>26</v>
      </c>
      <c r="B151" s="71" t="s">
        <v>51</v>
      </c>
      <c r="C151" s="80"/>
      <c r="D151" s="81"/>
      <c r="E151" s="5">
        <f>SUM(E149:E150)</f>
        <v>1</v>
      </c>
      <c r="F151" s="5">
        <f>SUM(F149:F150)</f>
        <v>0</v>
      </c>
      <c r="G151" s="5">
        <f>SUM(G149:G150)</f>
        <v>1</v>
      </c>
      <c r="H151" s="5">
        <f>SUM(H149:H150)</f>
        <v>0</v>
      </c>
      <c r="I151" s="5">
        <f>SUM(I149:I150)</f>
        <v>0</v>
      </c>
      <c r="J151" s="5">
        <f>SUM(J149:J150)</f>
        <v>0</v>
      </c>
      <c r="K151" s="5">
        <f>SUM(K149:K150)</f>
        <v>0</v>
      </c>
      <c r="L151" s="5">
        <f>SUM(L149:L150)</f>
        <v>1</v>
      </c>
      <c r="M151" s="5">
        <f>SUM(M149:M150)</f>
        <v>1</v>
      </c>
      <c r="N151" s="5">
        <f>SUM(N149:N150)</f>
        <v>1</v>
      </c>
      <c r="O151" s="5">
        <f>SUM(O149:O150)</f>
        <v>0</v>
      </c>
      <c r="P151" s="5">
        <f>SUM(P149:P150)</f>
        <v>0</v>
      </c>
      <c r="Q151" s="5">
        <f>SUM(Q149:Q150)</f>
        <v>0</v>
      </c>
      <c r="R151" s="5">
        <f>SUM(R149:R150)</f>
        <v>0</v>
      </c>
      <c r="S151" s="5">
        <f>SUM(S149:S150)</f>
        <v>0</v>
      </c>
      <c r="T151" s="5">
        <f>SUM(T149:T150)</f>
        <v>1</v>
      </c>
      <c r="U151" s="5">
        <f>SUM(U149:U150)</f>
        <v>6</v>
      </c>
    </row>
    <row r="152" spans="1:21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</row>
    <row r="153" spans="1:21" x14ac:dyDescent="0.4">
      <c r="A153" s="11" t="s">
        <v>48</v>
      </c>
      <c r="B153" s="17" t="s">
        <v>77</v>
      </c>
      <c r="C153" s="79" t="s">
        <v>78</v>
      </c>
      <c r="D153" s="5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5">
        <f>SUM(E153:T153)</f>
        <v>1</v>
      </c>
    </row>
    <row r="154" spans="1:21" x14ac:dyDescent="0.4">
      <c r="A154" s="11" t="s">
        <v>50</v>
      </c>
      <c r="B154" s="17"/>
      <c r="C154" s="24" t="s">
        <v>167</v>
      </c>
      <c r="D154" s="45"/>
      <c r="E154" s="6">
        <v>0</v>
      </c>
      <c r="F154" s="6">
        <v>0</v>
      </c>
      <c r="G154" s="6">
        <v>1</v>
      </c>
      <c r="H154" s="6">
        <v>0</v>
      </c>
      <c r="I154" s="6">
        <v>1</v>
      </c>
      <c r="J154" s="6">
        <v>2</v>
      </c>
      <c r="K154" s="6">
        <v>1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1</v>
      </c>
      <c r="U154" s="5">
        <f>SUM(E154:T154)</f>
        <v>7</v>
      </c>
    </row>
    <row r="155" spans="1:21" x14ac:dyDescent="0.4">
      <c r="A155" s="7"/>
      <c r="B155" s="17"/>
      <c r="C155" s="24" t="s">
        <v>168</v>
      </c>
      <c r="D155" s="45"/>
      <c r="E155" s="6">
        <v>0</v>
      </c>
      <c r="F155" s="6">
        <v>3</v>
      </c>
      <c r="G155" s="6">
        <v>2</v>
      </c>
      <c r="H155" s="6">
        <v>2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2</v>
      </c>
      <c r="R155" s="6"/>
      <c r="S155" s="6">
        <v>1</v>
      </c>
      <c r="T155" s="6">
        <v>1</v>
      </c>
      <c r="U155" s="5">
        <f>SUM(E155:T155)</f>
        <v>12</v>
      </c>
    </row>
    <row r="156" spans="1:21" x14ac:dyDescent="0.4">
      <c r="A156" s="7"/>
      <c r="B156" s="17"/>
      <c r="C156" s="24" t="s">
        <v>169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5">
        <f>SUM(E156:T156)</f>
        <v>0</v>
      </c>
    </row>
    <row r="157" spans="1:21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3</v>
      </c>
      <c r="G157" s="5">
        <f>SUM(G153:G156)</f>
        <v>3</v>
      </c>
      <c r="H157" s="5">
        <f>SUM(H153:H156)</f>
        <v>2</v>
      </c>
      <c r="I157" s="5">
        <f>SUM(I153:I156)</f>
        <v>1</v>
      </c>
      <c r="J157" s="5">
        <f>SUM(J153:J156)</f>
        <v>3</v>
      </c>
      <c r="K157" s="5">
        <f>SUM(K153:K156)</f>
        <v>1</v>
      </c>
      <c r="L157" s="5">
        <f>SUM(L153:L156)</f>
        <v>1</v>
      </c>
      <c r="M157" s="5">
        <f>SUM(M153:M156)</f>
        <v>0</v>
      </c>
      <c r="N157" s="5">
        <f>SUM(N153:N156)</f>
        <v>1</v>
      </c>
      <c r="O157" s="5">
        <f>SUM(O153:O156)</f>
        <v>0</v>
      </c>
      <c r="P157" s="5">
        <f>SUM(P153:P156)</f>
        <v>0</v>
      </c>
      <c r="Q157" s="5">
        <f>SUM(Q153:Q156)</f>
        <v>2</v>
      </c>
      <c r="R157" s="5">
        <f>SUM(R153:R156)</f>
        <v>0</v>
      </c>
      <c r="S157" s="5">
        <f>SUM(S153:S156)</f>
        <v>1</v>
      </c>
      <c r="T157" s="5">
        <f>SUM(T153:T156)</f>
        <v>2</v>
      </c>
      <c r="U157" s="5">
        <f>SUM(U153:U156)</f>
        <v>20</v>
      </c>
    </row>
    <row r="158" spans="1:21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</row>
    <row r="159" spans="1:21" x14ac:dyDescent="0.4">
      <c r="A159" s="11" t="s">
        <v>48</v>
      </c>
      <c r="B159" s="17" t="s">
        <v>79</v>
      </c>
      <c r="C159" s="79" t="s">
        <v>80</v>
      </c>
      <c r="D159" s="52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3</v>
      </c>
      <c r="K159" s="6">
        <v>1</v>
      </c>
      <c r="L159" s="6">
        <v>1</v>
      </c>
      <c r="M159" s="6">
        <v>0</v>
      </c>
      <c r="N159" s="6">
        <v>1</v>
      </c>
      <c r="O159" s="6">
        <v>0</v>
      </c>
      <c r="P159" s="6">
        <v>0</v>
      </c>
      <c r="Q159" s="6">
        <v>4</v>
      </c>
      <c r="R159" s="6">
        <v>0</v>
      </c>
      <c r="S159" s="6">
        <v>0</v>
      </c>
      <c r="T159" s="6"/>
      <c r="U159" s="5">
        <f t="shared" ref="U159:U165" si="30">SUM(E159:T159)</f>
        <v>10</v>
      </c>
    </row>
    <row r="160" spans="1:21" x14ac:dyDescent="0.4">
      <c r="A160" s="11" t="s">
        <v>50</v>
      </c>
      <c r="B160" s="46"/>
      <c r="C160" s="24" t="s">
        <v>170</v>
      </c>
      <c r="D160" s="47"/>
      <c r="E160" s="6">
        <v>0</v>
      </c>
      <c r="F160" s="6">
        <v>1</v>
      </c>
      <c r="G160" s="6">
        <v>0</v>
      </c>
      <c r="H160" s="6">
        <v>0</v>
      </c>
      <c r="I160" s="6">
        <v>2</v>
      </c>
      <c r="J160" s="6">
        <v>14</v>
      </c>
      <c r="K160" s="6">
        <v>7</v>
      </c>
      <c r="L160" s="6">
        <v>0</v>
      </c>
      <c r="M160" s="6">
        <v>10</v>
      </c>
      <c r="N160" s="6">
        <v>4</v>
      </c>
      <c r="O160" s="6">
        <v>0</v>
      </c>
      <c r="P160" s="6">
        <v>1</v>
      </c>
      <c r="Q160" s="6">
        <v>1</v>
      </c>
      <c r="R160" s="6">
        <v>0</v>
      </c>
      <c r="S160" s="6">
        <v>0</v>
      </c>
      <c r="T160" s="6"/>
      <c r="U160" s="5">
        <f t="shared" si="30"/>
        <v>40</v>
      </c>
    </row>
    <row r="161" spans="1:21" x14ac:dyDescent="0.4">
      <c r="A161" s="7"/>
      <c r="B161" s="46"/>
      <c r="C161" s="24" t="s">
        <v>171</v>
      </c>
      <c r="D161" s="47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2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/>
      <c r="U161" s="5">
        <f t="shared" si="30"/>
        <v>2</v>
      </c>
    </row>
    <row r="162" spans="1:21" ht="13.15" customHeight="1" x14ac:dyDescent="0.4">
      <c r="A162" s="7"/>
      <c r="B162" s="46"/>
      <c r="C162" s="24" t="s">
        <v>172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/>
      <c r="U162" s="5">
        <f t="shared" si="30"/>
        <v>0</v>
      </c>
    </row>
    <row r="163" spans="1:21" x14ac:dyDescent="0.4">
      <c r="A163" s="7"/>
      <c r="B163" s="46"/>
      <c r="C163" s="24" t="s">
        <v>173</v>
      </c>
      <c r="D163" s="47"/>
      <c r="E163" s="6">
        <v>0</v>
      </c>
      <c r="F163" s="6">
        <v>0</v>
      </c>
      <c r="G163" s="6">
        <v>0</v>
      </c>
      <c r="H163" s="6">
        <v>0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/>
      <c r="U163" s="5">
        <f t="shared" si="30"/>
        <v>1</v>
      </c>
    </row>
    <row r="164" spans="1:21" ht="12.75" customHeight="1" x14ac:dyDescent="0.4">
      <c r="A164" s="7"/>
      <c r="B164" s="46"/>
      <c r="C164" s="24" t="s">
        <v>174</v>
      </c>
      <c r="D164" s="47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1</v>
      </c>
      <c r="N164" s="6">
        <v>1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/>
      <c r="U164" s="5">
        <f t="shared" si="30"/>
        <v>2</v>
      </c>
    </row>
    <row r="165" spans="1:21" x14ac:dyDescent="0.4">
      <c r="A165" s="7"/>
      <c r="B165" s="46"/>
      <c r="C165" s="24" t="s">
        <v>175</v>
      </c>
      <c r="D165" s="47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5">
        <f t="shared" si="30"/>
        <v>0</v>
      </c>
    </row>
    <row r="166" spans="1:21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0</v>
      </c>
      <c r="F166" s="5">
        <f>SUM(F159:F165)</f>
        <v>1</v>
      </c>
      <c r="G166" s="5">
        <f>SUM(G159:G165)</f>
        <v>0</v>
      </c>
      <c r="H166" s="5">
        <f>SUM(H159:H165)</f>
        <v>0</v>
      </c>
      <c r="I166" s="5">
        <f>SUM(I159:I165)</f>
        <v>3</v>
      </c>
      <c r="J166" s="5">
        <f>SUM(J159:J165)</f>
        <v>19</v>
      </c>
      <c r="K166" s="5">
        <f>SUM(K159:K165)</f>
        <v>8</v>
      </c>
      <c r="L166" s="5">
        <f>SUM(L159:L165)</f>
        <v>1</v>
      </c>
      <c r="M166" s="5">
        <f>SUM(M159:M165)</f>
        <v>11</v>
      </c>
      <c r="N166" s="5">
        <f>SUM(N159:N165)</f>
        <v>6</v>
      </c>
      <c r="O166" s="5">
        <f>SUM(O159:O165)</f>
        <v>0</v>
      </c>
      <c r="P166" s="5">
        <f>SUM(P159:P165)</f>
        <v>1</v>
      </c>
      <c r="Q166" s="5">
        <f>SUM(Q159:Q165)</f>
        <v>5</v>
      </c>
      <c r="R166" s="5">
        <f>SUM(R159:R165)</f>
        <v>0</v>
      </c>
      <c r="S166" s="5">
        <f>SUM(S159:S165)</f>
        <v>0</v>
      </c>
      <c r="T166" s="5">
        <f>SUM(T159:T165)</f>
        <v>0</v>
      </c>
      <c r="U166" s="5">
        <f>SUM(U159:U165)</f>
        <v>55</v>
      </c>
    </row>
    <row r="167" spans="1:21" x14ac:dyDescent="0.4">
      <c r="A167" s="50"/>
      <c r="B167" s="82"/>
      <c r="C167" s="82"/>
      <c r="D167" s="82"/>
      <c r="E167" s="83"/>
    </row>
    <row r="168" spans="1:21" x14ac:dyDescent="0.4">
      <c r="A168" s="11" t="s">
        <v>48</v>
      </c>
      <c r="B168" s="17" t="s">
        <v>81</v>
      </c>
      <c r="C168" s="79" t="s">
        <v>82</v>
      </c>
      <c r="D168" s="52"/>
      <c r="E168" s="6">
        <v>1</v>
      </c>
      <c r="F168" s="6">
        <v>0</v>
      </c>
      <c r="G168" s="6">
        <v>1</v>
      </c>
      <c r="H168" s="6">
        <v>0</v>
      </c>
      <c r="I168" s="6">
        <v>0</v>
      </c>
      <c r="J168" s="6">
        <v>1</v>
      </c>
      <c r="K168" s="6">
        <v>0</v>
      </c>
      <c r="L168" s="6">
        <v>1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5">
        <f>SUM(E168:T168)</f>
        <v>4</v>
      </c>
    </row>
    <row r="169" spans="1:21" x14ac:dyDescent="0.4">
      <c r="A169" s="11" t="s">
        <v>50</v>
      </c>
      <c r="B169" s="46"/>
      <c r="C169" s="24" t="s">
        <v>176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1</v>
      </c>
      <c r="O169" s="6">
        <v>0</v>
      </c>
      <c r="P169" s="6">
        <v>0</v>
      </c>
      <c r="Q169" s="6">
        <v>1</v>
      </c>
      <c r="R169" s="6">
        <v>0</v>
      </c>
      <c r="S169" s="6">
        <v>0</v>
      </c>
      <c r="T169" s="6"/>
      <c r="U169" s="5">
        <f>SUM(E169:T169)</f>
        <v>2</v>
      </c>
    </row>
    <row r="170" spans="1:21" x14ac:dyDescent="0.4">
      <c r="A170" s="6" t="s">
        <v>26</v>
      </c>
      <c r="B170" s="71" t="s">
        <v>51</v>
      </c>
      <c r="C170" s="80"/>
      <c r="D170" s="81"/>
      <c r="E170" s="5">
        <f>SUM(E168:E169)</f>
        <v>1</v>
      </c>
      <c r="F170" s="5">
        <f>SUM(F168:F169)</f>
        <v>0</v>
      </c>
      <c r="G170" s="5">
        <f>SUM(G168:G169)</f>
        <v>1</v>
      </c>
      <c r="H170" s="5">
        <f>SUM(H168:H169)</f>
        <v>0</v>
      </c>
      <c r="I170" s="5">
        <f>SUM(I168:I169)</f>
        <v>0</v>
      </c>
      <c r="J170" s="5">
        <f>SUM(J168:J169)</f>
        <v>1</v>
      </c>
      <c r="K170" s="5">
        <f>SUM(K168:K169)</f>
        <v>0</v>
      </c>
      <c r="L170" s="5">
        <f>SUM(L168:L169)</f>
        <v>1</v>
      </c>
      <c r="M170" s="5">
        <f>SUM(M168:M169)</f>
        <v>0</v>
      </c>
      <c r="N170" s="5">
        <f>SUM(N168:N169)</f>
        <v>1</v>
      </c>
      <c r="O170" s="5">
        <f>SUM(O168:O169)</f>
        <v>0</v>
      </c>
      <c r="P170" s="5">
        <f>SUM(P168:P169)</f>
        <v>0</v>
      </c>
      <c r="Q170" s="5">
        <f>SUM(Q168:Q169)</f>
        <v>1</v>
      </c>
      <c r="R170" s="5">
        <f>SUM(R168:R169)</f>
        <v>0</v>
      </c>
      <c r="S170" s="5">
        <f>SUM(S168:S169)</f>
        <v>0</v>
      </c>
      <c r="T170" s="5">
        <f>SUM(T168:T169)</f>
        <v>0</v>
      </c>
      <c r="U170" s="5">
        <f>SUM(U168:U169)</f>
        <v>6</v>
      </c>
    </row>
    <row r="172" spans="1:21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15"/>
      <c r="O172" s="15"/>
      <c r="P172" s="15"/>
      <c r="Q172" s="15"/>
      <c r="R172" s="15"/>
      <c r="S172" s="15"/>
      <c r="T172" s="15"/>
      <c r="U172" s="5"/>
    </row>
    <row r="173" spans="1:21" x14ac:dyDescent="0.4">
      <c r="A173" s="16"/>
      <c r="B173" s="19" t="s">
        <v>85</v>
      </c>
      <c r="C173" s="88" t="s">
        <v>86</v>
      </c>
      <c r="D173" s="89"/>
      <c r="E173" s="6">
        <f>E52+E61+E70+E79+E88+E91+E97+E106+E110+E119+E122+E129+E138+E147+E151+E157+E166+E170</f>
        <v>142</v>
      </c>
      <c r="F173" s="6">
        <f>F52+F61+F70+F79+F88+F91+F97+F106+F110+F119+F122+F129+F138+F147+F151+F157+F166+F170</f>
        <v>153</v>
      </c>
      <c r="G173" s="6">
        <f>G52+G61+G70+G79+G88+G91+G97+G106+G110+G119+G122+G129+G138+G147+G151+G157+G166+G170</f>
        <v>148</v>
      </c>
      <c r="H173" s="6">
        <f>H52+H61+H70+H79+H88+H91+H97+H106+H110+H119+H122+H129+H138+H147+H151+H157+H166+H170</f>
        <v>114</v>
      </c>
      <c r="I173" s="6">
        <f>I52+I61+I70+I79+I88+I91+I97+I106+I110+I119+I122+I129+I138+I147+I151+I157+I166+I170</f>
        <v>151</v>
      </c>
      <c r="J173" s="6">
        <f>J52+J61+J70+J79+J88+J91+J97+J106+J110+J119+J122+J129+J138+J147+J151+J157+J166+J170</f>
        <v>175</v>
      </c>
      <c r="K173" s="6">
        <f>K52+K61+K70+K79+K88+K91+K97+K106+K110+K119+K122+K129+K138+K147+K151+K157+K166+K170</f>
        <v>148</v>
      </c>
      <c r="L173" s="6">
        <f>L52+L61+L70+L79+L88+L91+L97+L106+L110+L119+L122+L129+L138+L147+L151+L157+L166+L170</f>
        <v>193</v>
      </c>
      <c r="M173" s="6">
        <f>M52+M61+M70+M79+M88+M91+M97+M106+M110+M119+M122+M129+M138+M147+M151+M157+M166+M170</f>
        <v>173</v>
      </c>
      <c r="N173" s="6">
        <f>N52+N61+N70+N79+N88+N91+N97+N106+N110+N119+N122+N129+N138+N147+N151+N157+N166+N170</f>
        <v>173</v>
      </c>
      <c r="O173" s="6">
        <f>O52+O61+O70+O79+O88+O91+O97+O106+O110+O119+O122+O129+O138+O147+O151+O157+O166+O170</f>
        <v>147</v>
      </c>
      <c r="P173" s="6">
        <f>P52+P61+P70+P79+P88+P91+P97+P106+P110+P119+P122+P129+P138+P147+P151+P157+P166+P170</f>
        <v>142</v>
      </c>
      <c r="Q173" s="6">
        <f>Q52+Q61+Q70+Q79+Q88+Q91+Q97+Q106+Q110+Q119+Q122+Q129+Q138+Q147+Q151+Q157+Q166+Q170</f>
        <v>146</v>
      </c>
      <c r="R173" s="6">
        <f>R52+R61+R70+R79+R88+R91+R97+R106+R110+R119+R122+R129+R138+R147+R151+R157+R166+R170</f>
        <v>173</v>
      </c>
      <c r="S173" s="6">
        <f>S52+S61+S70+S79+S88+S91+S97+S106+S110+S119+S122+S129+S138+S147+S151+S157+S166+S170</f>
        <v>179</v>
      </c>
      <c r="T173" s="6">
        <f>T52+T61+T70+T79+T88+T91+T97+T106+T110+T119+T122+T129+T138+T147+T151+T157+T166+T170</f>
        <v>149</v>
      </c>
      <c r="U173" s="5">
        <f>SUM(E173:T173)</f>
        <v>2506</v>
      </c>
    </row>
    <row r="174" spans="1:21" x14ac:dyDescent="0.4">
      <c r="A174" s="13"/>
      <c r="B174" s="19" t="s">
        <v>87</v>
      </c>
      <c r="C174" s="88" t="s">
        <v>88</v>
      </c>
      <c r="D174" s="89"/>
      <c r="E174" s="6">
        <v>12</v>
      </c>
      <c r="F174" s="6">
        <v>23</v>
      </c>
      <c r="G174" s="6">
        <v>15</v>
      </c>
      <c r="H174" s="6">
        <v>5</v>
      </c>
      <c r="I174" s="6">
        <v>6</v>
      </c>
      <c r="J174" s="6">
        <v>20</v>
      </c>
      <c r="K174" s="6">
        <v>12</v>
      </c>
      <c r="L174" s="6">
        <v>19</v>
      </c>
      <c r="M174" s="6">
        <v>19</v>
      </c>
      <c r="N174" s="6">
        <v>16</v>
      </c>
      <c r="O174" s="6">
        <v>22</v>
      </c>
      <c r="P174" s="6">
        <v>23</v>
      </c>
      <c r="Q174" s="6">
        <v>18</v>
      </c>
      <c r="R174" s="6">
        <v>9</v>
      </c>
      <c r="S174" s="6">
        <v>13</v>
      </c>
      <c r="T174" s="6">
        <v>7</v>
      </c>
      <c r="U174" s="5">
        <f>SUM(E174:T174)</f>
        <v>239</v>
      </c>
    </row>
    <row r="175" spans="1:21" x14ac:dyDescent="0.4">
      <c r="A175" s="14"/>
      <c r="B175" s="19" t="s">
        <v>89</v>
      </c>
      <c r="C175" s="88" t="s">
        <v>90</v>
      </c>
      <c r="D175" s="89"/>
      <c r="E175" s="5">
        <f>SUM(E173:E174)</f>
        <v>154</v>
      </c>
      <c r="F175" s="5">
        <f t="shared" ref="F175:T175" si="31">SUM(F173:F174)</f>
        <v>176</v>
      </c>
      <c r="G175" s="5">
        <f t="shared" si="31"/>
        <v>163</v>
      </c>
      <c r="H175" s="5">
        <f t="shared" si="31"/>
        <v>119</v>
      </c>
      <c r="I175" s="5">
        <f t="shared" si="31"/>
        <v>157</v>
      </c>
      <c r="J175" s="5">
        <f t="shared" si="31"/>
        <v>195</v>
      </c>
      <c r="K175" s="5">
        <f t="shared" si="31"/>
        <v>160</v>
      </c>
      <c r="L175" s="5">
        <f t="shared" si="31"/>
        <v>212</v>
      </c>
      <c r="M175" s="5">
        <f t="shared" si="31"/>
        <v>192</v>
      </c>
      <c r="N175" s="5">
        <f t="shared" ref="N175:P175" si="32">SUM(N173:N174)</f>
        <v>189</v>
      </c>
      <c r="O175" s="5">
        <f t="shared" si="32"/>
        <v>169</v>
      </c>
      <c r="P175" s="5">
        <f t="shared" si="32"/>
        <v>165</v>
      </c>
      <c r="Q175" s="5">
        <f t="shared" si="31"/>
        <v>164</v>
      </c>
      <c r="R175" s="5">
        <f t="shared" si="31"/>
        <v>182</v>
      </c>
      <c r="S175" s="5">
        <f t="shared" si="31"/>
        <v>192</v>
      </c>
      <c r="T175" s="5">
        <f t="shared" si="31"/>
        <v>156</v>
      </c>
      <c r="U175" s="5">
        <f>SUM(E175:T175)</f>
        <v>2745</v>
      </c>
    </row>
  </sheetData>
  <mergeCells count="86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T12"/>
    <mergeCell ref="U12:U13"/>
    <mergeCell ref="B13:D13"/>
    <mergeCell ref="B14:C16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E37:I37"/>
    <mergeCell ref="B38:D38"/>
    <mergeCell ref="B39:C41"/>
    <mergeCell ref="A42:D42"/>
    <mergeCell ref="E42:I42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110:D110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C108:D108"/>
    <mergeCell ref="B138:D138"/>
    <mergeCell ref="A111:E111"/>
    <mergeCell ref="C112:D112"/>
    <mergeCell ref="B119:D119"/>
    <mergeCell ref="A120:E120"/>
    <mergeCell ref="C121:D121"/>
    <mergeCell ref="B122:D122"/>
    <mergeCell ref="A123:E123"/>
    <mergeCell ref="C124:D124"/>
    <mergeCell ref="B129:D129"/>
    <mergeCell ref="A130:E130"/>
    <mergeCell ref="C131:D131"/>
    <mergeCell ref="B166:D166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59:D159"/>
    <mergeCell ref="C175:D175"/>
    <mergeCell ref="A167:E167"/>
    <mergeCell ref="C168:D168"/>
    <mergeCell ref="B170:D170"/>
    <mergeCell ref="B172:D172"/>
    <mergeCell ref="C173:D173"/>
    <mergeCell ref="C174:D174"/>
  </mergeCells>
  <phoneticPr fontId="8" type="noConversion"/>
  <conditionalFormatting sqref="E14:T15">
    <cfRule type="containsBlanks" dxfId="168" priority="20">
      <formula>LEN(TRIM(E14))=0</formula>
    </cfRule>
  </conditionalFormatting>
  <conditionalFormatting sqref="E19:T20">
    <cfRule type="containsBlanks" dxfId="167" priority="23">
      <formula>LEN(TRIM(E19))=0</formula>
    </cfRule>
  </conditionalFormatting>
  <conditionalFormatting sqref="E22:T23 E25:T26 E33:T33 E35:T35 E39:T40">
    <cfRule type="containsBlanks" dxfId="166" priority="24">
      <formula>LEN(TRIM(E22))=0</formula>
    </cfRule>
  </conditionalFormatting>
  <conditionalFormatting sqref="E30:T30">
    <cfRule type="expression" dxfId="165" priority="25">
      <formula>E30&lt;&gt;E47</formula>
    </cfRule>
    <cfRule type="expression" dxfId="164" priority="26">
      <formula>E30&lt;&gt;E34</formula>
    </cfRule>
  </conditionalFormatting>
  <conditionalFormatting sqref="E45:T51">
    <cfRule type="containsBlanks" dxfId="163" priority="19">
      <formula>LEN(TRIM(E45))=0</formula>
    </cfRule>
  </conditionalFormatting>
  <conditionalFormatting sqref="E54:T60">
    <cfRule type="containsBlanks" dxfId="162" priority="18">
      <formula>LEN(TRIM(E54))=0</formula>
    </cfRule>
  </conditionalFormatting>
  <conditionalFormatting sqref="E63:T69">
    <cfRule type="containsBlanks" dxfId="161" priority="17">
      <formula>LEN(TRIM(E63))=0</formula>
    </cfRule>
  </conditionalFormatting>
  <conditionalFormatting sqref="E72:T78">
    <cfRule type="containsBlanks" dxfId="160" priority="16">
      <formula>LEN(TRIM(E72))=0</formula>
    </cfRule>
  </conditionalFormatting>
  <conditionalFormatting sqref="E81:T87">
    <cfRule type="containsBlanks" dxfId="159" priority="15">
      <formula>LEN(TRIM(E81))=0</formula>
    </cfRule>
  </conditionalFormatting>
  <conditionalFormatting sqref="E90:T90">
    <cfRule type="containsBlanks" dxfId="158" priority="14">
      <formula>LEN(TRIM(E90))=0</formula>
    </cfRule>
  </conditionalFormatting>
  <conditionalFormatting sqref="E93:T96">
    <cfRule type="containsBlanks" dxfId="157" priority="1">
      <formula>LEN(TRIM(E93))=0</formula>
    </cfRule>
  </conditionalFormatting>
  <conditionalFormatting sqref="E99:T105">
    <cfRule type="containsBlanks" dxfId="156" priority="13">
      <formula>LEN(TRIM(E99))=0</formula>
    </cfRule>
  </conditionalFormatting>
  <conditionalFormatting sqref="E108:T109">
    <cfRule type="containsBlanks" dxfId="155" priority="12">
      <formula>LEN(TRIM(E108))=0</formula>
    </cfRule>
  </conditionalFormatting>
  <conditionalFormatting sqref="E112:T118">
    <cfRule type="containsBlanks" dxfId="154" priority="3">
      <formula>LEN(TRIM(E112))=0</formula>
    </cfRule>
  </conditionalFormatting>
  <conditionalFormatting sqref="E121:T121">
    <cfRule type="containsBlanks" dxfId="153" priority="11">
      <formula>LEN(TRIM(E121))=0</formula>
    </cfRule>
  </conditionalFormatting>
  <conditionalFormatting sqref="E124:T128">
    <cfRule type="containsBlanks" dxfId="152" priority="10">
      <formula>LEN(TRIM(E124))=0</formula>
    </cfRule>
  </conditionalFormatting>
  <conditionalFormatting sqref="E131:T137">
    <cfRule type="containsBlanks" dxfId="151" priority="9">
      <formula>LEN(TRIM(E131))=0</formula>
    </cfRule>
  </conditionalFormatting>
  <conditionalFormatting sqref="E140:T146">
    <cfRule type="containsBlanks" dxfId="150" priority="8">
      <formula>LEN(TRIM(E140))=0</formula>
    </cfRule>
  </conditionalFormatting>
  <conditionalFormatting sqref="E149:T150">
    <cfRule type="containsBlanks" dxfId="149" priority="7">
      <formula>LEN(TRIM(E149))=0</formula>
    </cfRule>
  </conditionalFormatting>
  <conditionalFormatting sqref="E153:T156">
    <cfRule type="containsBlanks" dxfId="148" priority="6">
      <formula>LEN(TRIM(E153))=0</formula>
    </cfRule>
  </conditionalFormatting>
  <conditionalFormatting sqref="E159:T165">
    <cfRule type="containsBlanks" dxfId="147" priority="5">
      <formula>LEN(TRIM(E159))=0</formula>
    </cfRule>
  </conditionalFormatting>
  <conditionalFormatting sqref="E168:T169">
    <cfRule type="containsBlanks" dxfId="146" priority="4">
      <formula>LEN(TRIM(E168))=0</formula>
    </cfRule>
  </conditionalFormatting>
  <conditionalFormatting sqref="E173:T174">
    <cfRule type="containsBlanks" dxfId="145" priority="2">
      <formula>LEN(TRIM(E173))=0</formula>
    </cfRule>
  </conditionalFormatting>
  <conditionalFormatting sqref="E34:T34">
    <cfRule type="expression" dxfId="144" priority="125">
      <formula>E30&lt;&gt;E34</formula>
    </cfRule>
    <cfRule type="expression" dxfId="143" priority="126">
      <formula>E30=E34</formula>
    </cfRule>
    <cfRule type="expression" dxfId="142" priority="127">
      <formula>E34&lt;&gt;E30</formula>
    </cfRule>
    <cfRule type="expression" dxfId="141" priority="128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sheetPr>
    <tabColor rgb="FF92D050"/>
  </sheetPr>
  <dimension ref="A2:Q175"/>
  <sheetViews>
    <sheetView topLeftCell="C13" zoomScaleNormal="100" workbookViewId="0">
      <pane ySplit="1" topLeftCell="A173" activePane="bottomLeft" state="frozen"/>
      <selection activeCell="A13" sqref="A13"/>
      <selection pane="bottomLeft" activeCell="Q174" sqref="Q174"/>
    </sheetView>
  </sheetViews>
  <sheetFormatPr defaultRowHeight="13.15" x14ac:dyDescent="0.4"/>
  <cols>
    <col min="3" max="3" width="67.140625" bestFit="1" customWidth="1"/>
    <col min="4" max="4" width="5.85546875" bestFit="1" customWidth="1"/>
    <col min="17" max="17" width="13.28515625" customWidth="1"/>
  </cols>
  <sheetData>
    <row r="2" spans="1:17" x14ac:dyDescent="0.4">
      <c r="C2" s="43" t="s">
        <v>98</v>
      </c>
      <c r="D2" s="43" t="s">
        <v>177</v>
      </c>
    </row>
    <row r="3" spans="1:17" x14ac:dyDescent="0.4">
      <c r="C3" s="43" t="s">
        <v>99</v>
      </c>
      <c r="D3" s="43" t="s">
        <v>100</v>
      </c>
    </row>
    <row r="4" spans="1:17" x14ac:dyDescent="0.4">
      <c r="C4" s="43" t="s">
        <v>101</v>
      </c>
      <c r="D4" s="43" t="s">
        <v>102</v>
      </c>
    </row>
    <row r="5" spans="1:17" x14ac:dyDescent="0.4">
      <c r="C5" s="43"/>
      <c r="D5" s="43"/>
    </row>
    <row r="6" spans="1:17" x14ac:dyDescent="0.4">
      <c r="C6" s="43"/>
      <c r="D6" s="43"/>
    </row>
    <row r="7" spans="1:17" x14ac:dyDescent="0.4">
      <c r="C7" s="43"/>
      <c r="D7" s="43"/>
    </row>
    <row r="8" spans="1:17" x14ac:dyDescent="0.4">
      <c r="C8" s="43"/>
      <c r="D8" s="43"/>
    </row>
    <row r="9" spans="1:17" x14ac:dyDescent="0.4">
      <c r="C9" s="43" t="s">
        <v>103</v>
      </c>
      <c r="D9" s="43" t="s">
        <v>184</v>
      </c>
    </row>
    <row r="11" spans="1:17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7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6" t="s">
        <v>97</v>
      </c>
    </row>
    <row r="13" spans="1:17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7"/>
    </row>
    <row r="14" spans="1:17" x14ac:dyDescent="0.4">
      <c r="A14" s="7"/>
      <c r="B14" s="59" t="s">
        <v>22</v>
      </c>
      <c r="C14" s="60"/>
      <c r="D14" s="6" t="s">
        <v>23</v>
      </c>
      <c r="E14" s="6">
        <v>124</v>
      </c>
      <c r="F14" s="6">
        <v>96</v>
      </c>
      <c r="G14" s="6">
        <v>127</v>
      </c>
      <c r="H14" s="6">
        <v>128</v>
      </c>
      <c r="I14" s="6">
        <v>121</v>
      </c>
      <c r="J14" s="6">
        <v>117</v>
      </c>
      <c r="K14" s="6">
        <v>127</v>
      </c>
      <c r="L14" s="6">
        <v>141</v>
      </c>
      <c r="M14" s="6">
        <v>108</v>
      </c>
      <c r="N14" s="6">
        <v>125</v>
      </c>
      <c r="O14" s="6">
        <v>84</v>
      </c>
      <c r="P14" s="6">
        <v>68</v>
      </c>
      <c r="Q14" s="5">
        <f>SUM(E14:P14)</f>
        <v>1366</v>
      </c>
    </row>
    <row r="15" spans="1:17" x14ac:dyDescent="0.4">
      <c r="A15" s="7"/>
      <c r="B15" s="61"/>
      <c r="C15" s="62"/>
      <c r="D15" s="6" t="s">
        <v>24</v>
      </c>
      <c r="E15" s="6">
        <v>125</v>
      </c>
      <c r="F15" s="6">
        <v>98</v>
      </c>
      <c r="G15" s="6">
        <v>137</v>
      </c>
      <c r="H15" s="6">
        <v>122</v>
      </c>
      <c r="I15" s="6">
        <v>141</v>
      </c>
      <c r="J15" s="6">
        <v>139</v>
      </c>
      <c r="K15" s="6">
        <v>142</v>
      </c>
      <c r="L15" s="6">
        <v>138</v>
      </c>
      <c r="M15" s="6">
        <v>119</v>
      </c>
      <c r="N15" s="6">
        <v>141</v>
      </c>
      <c r="O15" s="6">
        <v>99</v>
      </c>
      <c r="P15" s="6">
        <v>83</v>
      </c>
      <c r="Q15" s="5">
        <f>SUM(E15:P15)</f>
        <v>1484</v>
      </c>
    </row>
    <row r="16" spans="1:17" x14ac:dyDescent="0.4">
      <c r="A16" s="8"/>
      <c r="B16" s="63"/>
      <c r="C16" s="64"/>
      <c r="D16" s="5" t="s">
        <v>25</v>
      </c>
      <c r="E16" s="5">
        <f t="shared" ref="E16:P16" si="0">SUM(E14:E15)</f>
        <v>249</v>
      </c>
      <c r="F16" s="5">
        <f t="shared" si="0"/>
        <v>194</v>
      </c>
      <c r="G16" s="5">
        <f t="shared" si="0"/>
        <v>264</v>
      </c>
      <c r="H16" s="5">
        <f t="shared" si="0"/>
        <v>250</v>
      </c>
      <c r="I16" s="5">
        <f t="shared" si="0"/>
        <v>262</v>
      </c>
      <c r="J16" s="5">
        <f t="shared" si="0"/>
        <v>256</v>
      </c>
      <c r="K16" s="5">
        <f t="shared" si="0"/>
        <v>269</v>
      </c>
      <c r="L16" s="5">
        <f t="shared" si="0"/>
        <v>279</v>
      </c>
      <c r="M16" s="5">
        <f t="shared" si="0"/>
        <v>227</v>
      </c>
      <c r="N16" s="5">
        <f t="shared" si="0"/>
        <v>266</v>
      </c>
      <c r="O16" s="5">
        <f t="shared" si="0"/>
        <v>183</v>
      </c>
      <c r="P16" s="5">
        <f t="shared" si="0"/>
        <v>151</v>
      </c>
      <c r="Q16" s="5">
        <f>SUM(E16:P16)</f>
        <v>2850</v>
      </c>
    </row>
    <row r="17" spans="1:17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28"/>
    </row>
    <row r="18" spans="1:17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28"/>
    </row>
    <row r="19" spans="1:17" x14ac:dyDescent="0.4">
      <c r="A19" s="11"/>
      <c r="B19" s="65" t="s">
        <v>28</v>
      </c>
      <c r="C19" s="66" t="s">
        <v>29</v>
      </c>
      <c r="D19" s="6" t="s">
        <v>23</v>
      </c>
      <c r="E19" s="6">
        <v>85</v>
      </c>
      <c r="F19" s="6">
        <v>79</v>
      </c>
      <c r="G19" s="6">
        <v>88</v>
      </c>
      <c r="H19" s="6">
        <v>86</v>
      </c>
      <c r="I19" s="6">
        <v>93</v>
      </c>
      <c r="J19" s="6">
        <v>76</v>
      </c>
      <c r="K19" s="6">
        <v>105</v>
      </c>
      <c r="L19" s="6">
        <v>108</v>
      </c>
      <c r="M19" s="6">
        <v>75</v>
      </c>
      <c r="N19" s="6">
        <v>94</v>
      </c>
      <c r="O19" s="6">
        <v>62</v>
      </c>
      <c r="P19" s="6">
        <v>54</v>
      </c>
      <c r="Q19" s="5">
        <f t="shared" ref="Q19:Q30" si="1">SUM(E19:P19)</f>
        <v>1005</v>
      </c>
    </row>
    <row r="20" spans="1:17" x14ac:dyDescent="0.4">
      <c r="A20" s="12"/>
      <c r="B20" s="62"/>
      <c r="C20" s="67"/>
      <c r="D20" s="6" t="s">
        <v>24</v>
      </c>
      <c r="E20" s="6">
        <v>101</v>
      </c>
      <c r="F20" s="6">
        <v>79</v>
      </c>
      <c r="G20" s="6">
        <v>101</v>
      </c>
      <c r="H20" s="6">
        <v>94</v>
      </c>
      <c r="I20" s="6">
        <v>110</v>
      </c>
      <c r="J20" s="6">
        <v>111</v>
      </c>
      <c r="K20" s="6">
        <v>124</v>
      </c>
      <c r="L20" s="6">
        <v>105</v>
      </c>
      <c r="M20" s="6">
        <v>98</v>
      </c>
      <c r="N20" s="6">
        <v>106</v>
      </c>
      <c r="O20" s="6">
        <v>80</v>
      </c>
      <c r="P20" s="6">
        <v>62</v>
      </c>
      <c r="Q20" s="5">
        <f t="shared" si="1"/>
        <v>1171</v>
      </c>
    </row>
    <row r="21" spans="1:17" x14ac:dyDescent="0.4">
      <c r="A21" s="13"/>
      <c r="B21" s="64"/>
      <c r="C21" s="68"/>
      <c r="D21" s="5" t="s">
        <v>25</v>
      </c>
      <c r="E21" s="5">
        <f t="shared" ref="E21:P21" si="2">SUM(E19:E20)</f>
        <v>186</v>
      </c>
      <c r="F21" s="5">
        <f t="shared" si="2"/>
        <v>158</v>
      </c>
      <c r="G21" s="5">
        <f t="shared" si="2"/>
        <v>189</v>
      </c>
      <c r="H21" s="5">
        <f t="shared" si="2"/>
        <v>180</v>
      </c>
      <c r="I21" s="5">
        <f t="shared" si="2"/>
        <v>203</v>
      </c>
      <c r="J21" s="5">
        <f t="shared" si="2"/>
        <v>187</v>
      </c>
      <c r="K21" s="5">
        <f t="shared" si="2"/>
        <v>229</v>
      </c>
      <c r="L21" s="5">
        <f t="shared" si="2"/>
        <v>213</v>
      </c>
      <c r="M21" s="5">
        <f t="shared" si="2"/>
        <v>173</v>
      </c>
      <c r="N21" s="5">
        <f t="shared" si="2"/>
        <v>200</v>
      </c>
      <c r="O21" s="5">
        <f t="shared" si="2"/>
        <v>142</v>
      </c>
      <c r="P21" s="5">
        <f t="shared" si="2"/>
        <v>116</v>
      </c>
      <c r="Q21" s="5">
        <f t="shared" si="1"/>
        <v>2176</v>
      </c>
    </row>
    <row r="22" spans="1:17" x14ac:dyDescent="0.4">
      <c r="A22" s="12"/>
      <c r="B22" s="65" t="s">
        <v>30</v>
      </c>
      <c r="C22" s="66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1</v>
      </c>
      <c r="M22" s="6">
        <v>1</v>
      </c>
      <c r="N22" s="6">
        <v>4</v>
      </c>
      <c r="O22" s="6">
        <v>0</v>
      </c>
      <c r="P22" s="6">
        <v>1</v>
      </c>
      <c r="Q22" s="5">
        <f t="shared" si="1"/>
        <v>8</v>
      </c>
    </row>
    <row r="23" spans="1:17" x14ac:dyDescent="0.4">
      <c r="A23" s="12"/>
      <c r="B23" s="62"/>
      <c r="C23" s="67"/>
      <c r="D23" s="6" t="s">
        <v>24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3</v>
      </c>
      <c r="O23" s="6">
        <v>0</v>
      </c>
      <c r="P23" s="6">
        <v>0</v>
      </c>
      <c r="Q23" s="5">
        <f t="shared" si="1"/>
        <v>5</v>
      </c>
    </row>
    <row r="24" spans="1:17" x14ac:dyDescent="0.4">
      <c r="A24" s="13"/>
      <c r="B24" s="64"/>
      <c r="C24" s="68"/>
      <c r="D24" s="5" t="s">
        <v>25</v>
      </c>
      <c r="E24" s="5">
        <f t="shared" ref="E24:P24" si="3">SUM(E22:E23)</f>
        <v>0</v>
      </c>
      <c r="F24" s="5">
        <f t="shared" si="3"/>
        <v>1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2</v>
      </c>
      <c r="K24" s="5">
        <f t="shared" si="3"/>
        <v>0</v>
      </c>
      <c r="L24" s="5">
        <f t="shared" si="3"/>
        <v>1</v>
      </c>
      <c r="M24" s="5">
        <f t="shared" si="3"/>
        <v>1</v>
      </c>
      <c r="N24" s="5">
        <f t="shared" si="3"/>
        <v>7</v>
      </c>
      <c r="O24" s="5">
        <f t="shared" si="3"/>
        <v>0</v>
      </c>
      <c r="P24" s="5">
        <f t="shared" si="3"/>
        <v>1</v>
      </c>
      <c r="Q24" s="5">
        <f t="shared" si="1"/>
        <v>13</v>
      </c>
    </row>
    <row r="25" spans="1:17" x14ac:dyDescent="0.4">
      <c r="A25" s="12"/>
      <c r="B25" s="65" t="s">
        <v>32</v>
      </c>
      <c r="C25" s="66" t="s">
        <v>33</v>
      </c>
      <c r="D25" s="6" t="s">
        <v>23</v>
      </c>
      <c r="E25" s="6">
        <v>0</v>
      </c>
      <c r="F25" s="6">
        <v>2</v>
      </c>
      <c r="G25" s="6">
        <v>2</v>
      </c>
      <c r="H25" s="6">
        <v>1</v>
      </c>
      <c r="I25" s="6">
        <v>0</v>
      </c>
      <c r="J25" s="6">
        <v>1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5">
        <f t="shared" si="1"/>
        <v>7</v>
      </c>
    </row>
    <row r="26" spans="1:17" x14ac:dyDescent="0.4">
      <c r="A26" s="12"/>
      <c r="B26" s="62"/>
      <c r="C26" s="67"/>
      <c r="D26" s="6" t="s">
        <v>24</v>
      </c>
      <c r="E26" s="6">
        <v>0</v>
      </c>
      <c r="F26" s="6">
        <v>0</v>
      </c>
      <c r="G26" s="6">
        <v>2</v>
      </c>
      <c r="H26" s="6">
        <v>0</v>
      </c>
      <c r="I26" s="6">
        <v>0</v>
      </c>
      <c r="J26" s="6">
        <v>1</v>
      </c>
      <c r="K26" s="6">
        <v>1</v>
      </c>
      <c r="L26" s="6">
        <v>0</v>
      </c>
      <c r="M26" s="6">
        <v>1</v>
      </c>
      <c r="N26" s="6">
        <v>0</v>
      </c>
      <c r="O26" s="6">
        <v>2</v>
      </c>
      <c r="P26" s="6">
        <v>1</v>
      </c>
      <c r="Q26" s="5">
        <f t="shared" si="1"/>
        <v>8</v>
      </c>
    </row>
    <row r="27" spans="1:17" x14ac:dyDescent="0.4">
      <c r="A27" s="13"/>
      <c r="B27" s="64"/>
      <c r="C27" s="68"/>
      <c r="D27" s="5" t="s">
        <v>25</v>
      </c>
      <c r="E27" s="5">
        <f t="shared" ref="E27" si="4">SUM(E25:E26)</f>
        <v>0</v>
      </c>
      <c r="F27" s="5">
        <f t="shared" ref="F27:P27" si="5">SUM(F25:F26)</f>
        <v>2</v>
      </c>
      <c r="G27" s="5">
        <f t="shared" si="5"/>
        <v>4</v>
      </c>
      <c r="H27" s="5">
        <f t="shared" si="5"/>
        <v>1</v>
      </c>
      <c r="I27" s="5">
        <f t="shared" si="5"/>
        <v>0</v>
      </c>
      <c r="J27" s="5">
        <f t="shared" si="5"/>
        <v>2</v>
      </c>
      <c r="K27" s="5">
        <f t="shared" si="5"/>
        <v>1</v>
      </c>
      <c r="L27" s="5">
        <f t="shared" si="5"/>
        <v>0</v>
      </c>
      <c r="M27" s="5">
        <f t="shared" si="5"/>
        <v>1</v>
      </c>
      <c r="N27" s="5">
        <f t="shared" si="5"/>
        <v>0</v>
      </c>
      <c r="O27" s="5">
        <f t="shared" si="5"/>
        <v>2</v>
      </c>
      <c r="P27" s="5">
        <f t="shared" si="5"/>
        <v>2</v>
      </c>
      <c r="Q27" s="5">
        <f t="shared" si="1"/>
        <v>15</v>
      </c>
    </row>
    <row r="28" spans="1:17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85</v>
      </c>
      <c r="F28" s="5">
        <f t="shared" ref="F28:P28" si="6">SUM(F19,F22,F25)</f>
        <v>81</v>
      </c>
      <c r="G28" s="5">
        <f t="shared" si="6"/>
        <v>90</v>
      </c>
      <c r="H28" s="5">
        <f t="shared" si="6"/>
        <v>87</v>
      </c>
      <c r="I28" s="5">
        <f t="shared" si="6"/>
        <v>93</v>
      </c>
      <c r="J28" s="5">
        <f t="shared" si="6"/>
        <v>78</v>
      </c>
      <c r="K28" s="5">
        <f t="shared" si="6"/>
        <v>105</v>
      </c>
      <c r="L28" s="5">
        <f t="shared" si="6"/>
        <v>109</v>
      </c>
      <c r="M28" s="5">
        <f t="shared" si="6"/>
        <v>76</v>
      </c>
      <c r="N28" s="5">
        <f t="shared" si="6"/>
        <v>98</v>
      </c>
      <c r="O28" s="5">
        <f t="shared" si="6"/>
        <v>62</v>
      </c>
      <c r="P28" s="5">
        <f t="shared" si="6"/>
        <v>56</v>
      </c>
      <c r="Q28" s="5">
        <f t="shared" si="1"/>
        <v>1020</v>
      </c>
    </row>
    <row r="29" spans="1:17" x14ac:dyDescent="0.4">
      <c r="A29" s="13"/>
      <c r="B29" s="62"/>
      <c r="C29" s="67"/>
      <c r="D29" s="5" t="s">
        <v>24</v>
      </c>
      <c r="E29" s="5">
        <f>SUM(E20,E23,E26)</f>
        <v>101</v>
      </c>
      <c r="F29" s="5">
        <f t="shared" ref="F29:P29" si="7">SUM(F20,F23,F26)</f>
        <v>80</v>
      </c>
      <c r="G29" s="5">
        <f t="shared" si="7"/>
        <v>103</v>
      </c>
      <c r="H29" s="5">
        <f t="shared" si="7"/>
        <v>94</v>
      </c>
      <c r="I29" s="5">
        <f t="shared" si="7"/>
        <v>110</v>
      </c>
      <c r="J29" s="5">
        <f t="shared" si="7"/>
        <v>113</v>
      </c>
      <c r="K29" s="5">
        <f t="shared" si="7"/>
        <v>125</v>
      </c>
      <c r="L29" s="5">
        <f t="shared" si="7"/>
        <v>105</v>
      </c>
      <c r="M29" s="5">
        <f t="shared" si="7"/>
        <v>99</v>
      </c>
      <c r="N29" s="5">
        <f t="shared" si="7"/>
        <v>109</v>
      </c>
      <c r="O29" s="5">
        <f t="shared" si="7"/>
        <v>82</v>
      </c>
      <c r="P29" s="5">
        <f t="shared" si="7"/>
        <v>63</v>
      </c>
      <c r="Q29" s="5">
        <f t="shared" si="1"/>
        <v>1184</v>
      </c>
    </row>
    <row r="30" spans="1:17" x14ac:dyDescent="0.4">
      <c r="A30" s="13"/>
      <c r="B30" s="64"/>
      <c r="C30" s="68"/>
      <c r="D30" s="5" t="s">
        <v>25</v>
      </c>
      <c r="E30" s="5">
        <f t="shared" ref="E30" si="8">SUM(E28:E29)</f>
        <v>186</v>
      </c>
      <c r="F30" s="5">
        <f t="shared" ref="F30:P30" si="9">SUM(F28:F29)</f>
        <v>161</v>
      </c>
      <c r="G30" s="5">
        <f t="shared" si="9"/>
        <v>193</v>
      </c>
      <c r="H30" s="5">
        <f t="shared" si="9"/>
        <v>181</v>
      </c>
      <c r="I30" s="5">
        <f t="shared" si="9"/>
        <v>203</v>
      </c>
      <c r="J30" s="5">
        <f t="shared" si="9"/>
        <v>191</v>
      </c>
      <c r="K30" s="5">
        <f t="shared" si="9"/>
        <v>230</v>
      </c>
      <c r="L30" s="5">
        <f t="shared" si="9"/>
        <v>214</v>
      </c>
      <c r="M30" s="5">
        <f t="shared" si="9"/>
        <v>175</v>
      </c>
      <c r="N30" s="5">
        <f t="shared" si="9"/>
        <v>207</v>
      </c>
      <c r="O30" s="5">
        <f t="shared" si="9"/>
        <v>144</v>
      </c>
      <c r="P30" s="5">
        <f t="shared" si="9"/>
        <v>119</v>
      </c>
      <c r="Q30" s="5">
        <f t="shared" si="1"/>
        <v>2204</v>
      </c>
    </row>
    <row r="31" spans="1:17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28"/>
    </row>
    <row r="32" spans="1:17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28"/>
    </row>
    <row r="33" spans="1:17" x14ac:dyDescent="0.4">
      <c r="A33" s="6">
        <v>1</v>
      </c>
      <c r="B33" s="58" t="s">
        <v>38</v>
      </c>
      <c r="C33" s="51"/>
      <c r="D33" s="52"/>
      <c r="E33" s="6">
        <v>254</v>
      </c>
      <c r="F33" s="6">
        <v>198</v>
      </c>
      <c r="G33" s="6">
        <v>270</v>
      </c>
      <c r="H33" s="6">
        <v>255</v>
      </c>
      <c r="I33" s="6">
        <v>258</v>
      </c>
      <c r="J33" s="6">
        <v>263</v>
      </c>
      <c r="K33" s="6">
        <v>275</v>
      </c>
      <c r="L33" s="6">
        <v>283</v>
      </c>
      <c r="M33" s="6">
        <v>232</v>
      </c>
      <c r="N33" s="6">
        <v>272</v>
      </c>
      <c r="O33" s="6">
        <v>187</v>
      </c>
      <c r="P33" s="6">
        <v>155</v>
      </c>
      <c r="Q33" s="5">
        <f>SUM(E33:P33)</f>
        <v>2902</v>
      </c>
    </row>
    <row r="34" spans="1:17" x14ac:dyDescent="0.4">
      <c r="A34" s="6">
        <v>2</v>
      </c>
      <c r="B34" s="58" t="s">
        <v>39</v>
      </c>
      <c r="C34" s="51"/>
      <c r="D34" s="52"/>
      <c r="E34" s="5">
        <v>186</v>
      </c>
      <c r="F34" s="5">
        <v>161</v>
      </c>
      <c r="G34" s="5">
        <v>193</v>
      </c>
      <c r="H34" s="5">
        <v>181</v>
      </c>
      <c r="I34" s="5">
        <v>203</v>
      </c>
      <c r="J34" s="5">
        <v>191</v>
      </c>
      <c r="K34" s="5">
        <v>230</v>
      </c>
      <c r="L34" s="5">
        <v>214</v>
      </c>
      <c r="M34" s="5">
        <v>175</v>
      </c>
      <c r="N34" s="5">
        <v>207</v>
      </c>
      <c r="O34" s="5">
        <v>144</v>
      </c>
      <c r="P34" s="5">
        <v>119</v>
      </c>
      <c r="Q34" s="5">
        <f>SUM(E34:P34)</f>
        <v>2204</v>
      </c>
    </row>
    <row r="35" spans="1:17" x14ac:dyDescent="0.4">
      <c r="A35" s="6">
        <v>3</v>
      </c>
      <c r="B35" s="58" t="s">
        <v>40</v>
      </c>
      <c r="C35" s="51"/>
      <c r="D35" s="52"/>
      <c r="E35" s="6">
        <v>0</v>
      </c>
      <c r="F35" s="6">
        <v>0</v>
      </c>
      <c r="G35" s="6">
        <v>1</v>
      </c>
      <c r="H35" s="6">
        <v>0</v>
      </c>
      <c r="I35" s="6">
        <v>0</v>
      </c>
      <c r="J35" s="6">
        <v>3</v>
      </c>
      <c r="K35" s="6">
        <v>1</v>
      </c>
      <c r="L35" s="6">
        <v>2</v>
      </c>
      <c r="M35" s="6">
        <v>1</v>
      </c>
      <c r="N35" s="6">
        <v>0</v>
      </c>
      <c r="O35" s="6">
        <v>0</v>
      </c>
      <c r="P35" s="6">
        <v>0</v>
      </c>
      <c r="Q35" s="5">
        <f>SUM(E35:P35)</f>
        <v>8</v>
      </c>
    </row>
    <row r="36" spans="1:17" x14ac:dyDescent="0.4">
      <c r="A36" s="6">
        <v>4</v>
      </c>
      <c r="B36" s="58" t="s">
        <v>41</v>
      </c>
      <c r="C36" s="51"/>
      <c r="D36" s="52"/>
      <c r="E36" s="5">
        <f t="shared" ref="E36:P36" si="10">E33-(E34+E35)</f>
        <v>68</v>
      </c>
      <c r="F36" s="5">
        <f t="shared" si="10"/>
        <v>37</v>
      </c>
      <c r="G36" s="5">
        <f t="shared" si="10"/>
        <v>76</v>
      </c>
      <c r="H36" s="5">
        <f t="shared" si="10"/>
        <v>74</v>
      </c>
      <c r="I36" s="5">
        <f t="shared" si="10"/>
        <v>55</v>
      </c>
      <c r="J36" s="5">
        <f t="shared" si="10"/>
        <v>69</v>
      </c>
      <c r="K36" s="5">
        <f t="shared" si="10"/>
        <v>44</v>
      </c>
      <c r="L36" s="5">
        <f t="shared" si="10"/>
        <v>67</v>
      </c>
      <c r="M36" s="5">
        <f t="shared" si="10"/>
        <v>56</v>
      </c>
      <c r="N36" s="5">
        <f t="shared" si="10"/>
        <v>65</v>
      </c>
      <c r="O36" s="5">
        <f t="shared" si="10"/>
        <v>43</v>
      </c>
      <c r="P36" s="5">
        <f t="shared" si="10"/>
        <v>36</v>
      </c>
      <c r="Q36" s="5">
        <f>SUM(E36:P36)</f>
        <v>690</v>
      </c>
    </row>
    <row r="37" spans="1:17" x14ac:dyDescent="0.4">
      <c r="A37" s="50"/>
      <c r="B37" s="51"/>
      <c r="C37" s="51"/>
      <c r="D37" s="51"/>
      <c r="E37" s="50"/>
      <c r="F37" s="72"/>
      <c r="G37" s="72"/>
      <c r="H37" s="72"/>
      <c r="I37" s="73"/>
      <c r="J37" s="6"/>
      <c r="K37" s="6"/>
      <c r="L37" s="6"/>
      <c r="M37" s="6"/>
      <c r="N37" s="10"/>
      <c r="O37" s="26"/>
      <c r="P37" s="26"/>
      <c r="Q37" s="28"/>
    </row>
    <row r="38" spans="1:17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28"/>
    </row>
    <row r="39" spans="1:17" x14ac:dyDescent="0.4">
      <c r="A39" s="11"/>
      <c r="B39" s="74" t="s">
        <v>44</v>
      </c>
      <c r="C39" s="60"/>
      <c r="D39" s="6" t="s">
        <v>23</v>
      </c>
      <c r="E39" s="6"/>
      <c r="F39" s="6">
        <v>2</v>
      </c>
      <c r="G39" s="6"/>
      <c r="H39" s="6"/>
      <c r="I39" s="6"/>
      <c r="J39" s="6"/>
      <c r="K39" s="6"/>
      <c r="L39" s="6"/>
      <c r="M39" s="6"/>
      <c r="N39" s="6">
        <v>1</v>
      </c>
      <c r="O39" s="6"/>
      <c r="P39" s="6"/>
      <c r="Q39" s="5">
        <f>SUM(E39:P39)</f>
        <v>3</v>
      </c>
    </row>
    <row r="40" spans="1:17" x14ac:dyDescent="0.4">
      <c r="A40" s="12"/>
      <c r="B40" s="75"/>
      <c r="C40" s="62"/>
      <c r="D40" s="6" t="s">
        <v>24</v>
      </c>
      <c r="E40" s="6"/>
      <c r="F40" s="6"/>
      <c r="G40" s="6"/>
      <c r="H40" s="6"/>
      <c r="I40" s="6"/>
      <c r="J40" s="6">
        <v>4</v>
      </c>
      <c r="K40" s="6"/>
      <c r="L40" s="6"/>
      <c r="M40" s="6"/>
      <c r="N40" s="6">
        <v>4</v>
      </c>
      <c r="O40" s="6"/>
      <c r="P40" s="6"/>
      <c r="Q40" s="5">
        <f>SUM(E40:P40)</f>
        <v>8</v>
      </c>
    </row>
    <row r="41" spans="1:17" x14ac:dyDescent="0.4">
      <c r="A41" s="14"/>
      <c r="B41" s="76"/>
      <c r="C41" s="64"/>
      <c r="D41" s="5" t="s">
        <v>25</v>
      </c>
      <c r="E41" s="5">
        <f t="shared" ref="E41:P41" si="11">SUM(E39:E40)</f>
        <v>0</v>
      </c>
      <c r="F41" s="5">
        <f t="shared" si="11"/>
        <v>2</v>
      </c>
      <c r="G41" s="5">
        <f t="shared" si="11"/>
        <v>0</v>
      </c>
      <c r="H41" s="5">
        <f t="shared" si="11"/>
        <v>0</v>
      </c>
      <c r="I41" s="5">
        <f t="shared" si="11"/>
        <v>0</v>
      </c>
      <c r="J41" s="5">
        <f t="shared" si="11"/>
        <v>4</v>
      </c>
      <c r="K41" s="5">
        <f t="shared" si="11"/>
        <v>0</v>
      </c>
      <c r="L41" s="5">
        <f t="shared" si="11"/>
        <v>0</v>
      </c>
      <c r="M41" s="5">
        <f t="shared" si="11"/>
        <v>0</v>
      </c>
      <c r="N41" s="5">
        <f t="shared" si="11"/>
        <v>5</v>
      </c>
      <c r="O41" s="5">
        <f t="shared" si="11"/>
        <v>0</v>
      </c>
      <c r="P41" s="5">
        <f t="shared" si="11"/>
        <v>0</v>
      </c>
      <c r="Q41" s="5">
        <f>SUM(E41:P41)</f>
        <v>11</v>
      </c>
    </row>
    <row r="42" spans="1:17" x14ac:dyDescent="0.4">
      <c r="A42" s="77"/>
      <c r="B42" s="76"/>
      <c r="C42" s="76"/>
      <c r="D42" s="64"/>
      <c r="E42" s="50"/>
      <c r="F42" s="51"/>
      <c r="G42" s="51"/>
      <c r="H42" s="51"/>
      <c r="I42" s="52"/>
      <c r="J42" s="6"/>
      <c r="K42" s="6"/>
      <c r="L42" s="6"/>
      <c r="M42" s="6"/>
      <c r="N42" s="10"/>
      <c r="O42" s="6"/>
      <c r="P42" s="10"/>
      <c r="Q42" s="5"/>
    </row>
    <row r="43" spans="1:17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</row>
    <row r="44" spans="1:17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5"/>
    </row>
    <row r="45" spans="1:17" x14ac:dyDescent="0.4">
      <c r="A45" s="11" t="s">
        <v>48</v>
      </c>
      <c r="B45" s="17" t="s">
        <v>28</v>
      </c>
      <c r="C45" s="79" t="s">
        <v>49</v>
      </c>
      <c r="D45" s="52"/>
      <c r="E45" s="6">
        <v>12</v>
      </c>
      <c r="F45" s="6">
        <v>11</v>
      </c>
      <c r="G45" s="6">
        <v>4</v>
      </c>
      <c r="H45" s="6">
        <v>2</v>
      </c>
      <c r="I45" s="6">
        <v>5</v>
      </c>
      <c r="J45" s="6">
        <v>7</v>
      </c>
      <c r="K45" s="6">
        <v>7</v>
      </c>
      <c r="L45" s="6">
        <v>4</v>
      </c>
      <c r="M45" s="6">
        <v>7</v>
      </c>
      <c r="N45" s="6">
        <v>12</v>
      </c>
      <c r="O45" s="6">
        <v>3</v>
      </c>
      <c r="P45" s="6">
        <v>6</v>
      </c>
      <c r="Q45" s="5">
        <f t="shared" ref="Q45:Q51" si="12">SUM(E45:P45)</f>
        <v>80</v>
      </c>
    </row>
    <row r="46" spans="1:17" x14ac:dyDescent="0.4">
      <c r="A46" s="11" t="s">
        <v>50</v>
      </c>
      <c r="B46" s="46"/>
      <c r="C46" s="24" t="s">
        <v>104</v>
      </c>
      <c r="D46" s="47"/>
      <c r="E46" s="6">
        <v>9</v>
      </c>
      <c r="F46" s="6">
        <v>5</v>
      </c>
      <c r="G46" s="6">
        <v>8</v>
      </c>
      <c r="H46" s="6">
        <v>7</v>
      </c>
      <c r="I46" s="6">
        <v>29</v>
      </c>
      <c r="J46" s="6">
        <v>9</v>
      </c>
      <c r="K46" s="6">
        <v>5</v>
      </c>
      <c r="L46" s="6">
        <v>13</v>
      </c>
      <c r="M46" s="6">
        <v>29</v>
      </c>
      <c r="N46" s="6">
        <v>31</v>
      </c>
      <c r="O46" s="6">
        <v>10</v>
      </c>
      <c r="P46" s="6">
        <v>3</v>
      </c>
      <c r="Q46" s="5">
        <f t="shared" si="12"/>
        <v>158</v>
      </c>
    </row>
    <row r="47" spans="1:17" x14ac:dyDescent="0.4">
      <c r="A47" s="7"/>
      <c r="B47" s="46"/>
      <c r="C47" s="24" t="s">
        <v>105</v>
      </c>
      <c r="D47" s="47"/>
      <c r="E47" s="6">
        <v>69</v>
      </c>
      <c r="F47" s="6">
        <v>63</v>
      </c>
      <c r="G47" s="6">
        <v>54</v>
      </c>
      <c r="H47" s="6">
        <v>29</v>
      </c>
      <c r="I47" s="6">
        <v>44</v>
      </c>
      <c r="J47" s="6">
        <v>54</v>
      </c>
      <c r="K47" s="6">
        <v>71</v>
      </c>
      <c r="L47" s="6">
        <v>67</v>
      </c>
      <c r="M47" s="6">
        <v>28</v>
      </c>
      <c r="N47" s="6">
        <v>67</v>
      </c>
      <c r="O47" s="6">
        <v>45</v>
      </c>
      <c r="P47" s="6">
        <v>18</v>
      </c>
      <c r="Q47" s="5">
        <f t="shared" si="12"/>
        <v>609</v>
      </c>
    </row>
    <row r="48" spans="1:17" x14ac:dyDescent="0.4">
      <c r="A48" s="7"/>
      <c r="B48" s="46"/>
      <c r="C48" s="24" t="s">
        <v>106</v>
      </c>
      <c r="D48" s="47"/>
      <c r="E48" s="6">
        <v>1</v>
      </c>
      <c r="F48" s="6">
        <v>1</v>
      </c>
      <c r="G48" s="6">
        <v>0</v>
      </c>
      <c r="H48" s="6">
        <v>1</v>
      </c>
      <c r="I48" s="6">
        <v>1</v>
      </c>
      <c r="J48" s="6">
        <v>0</v>
      </c>
      <c r="K48" s="6">
        <v>0</v>
      </c>
      <c r="L48" s="6">
        <v>0</v>
      </c>
      <c r="M48" s="6">
        <v>3</v>
      </c>
      <c r="N48" s="6">
        <v>2</v>
      </c>
      <c r="O48" s="6">
        <v>1</v>
      </c>
      <c r="P48" s="6">
        <v>0</v>
      </c>
      <c r="Q48" s="5">
        <f t="shared" si="12"/>
        <v>10</v>
      </c>
    </row>
    <row r="49" spans="1:17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5">
        <f t="shared" si="12"/>
        <v>1</v>
      </c>
    </row>
    <row r="50" spans="1:17" x14ac:dyDescent="0.4">
      <c r="A50" s="7"/>
      <c r="B50" s="46"/>
      <c r="C50" s="24" t="s">
        <v>108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5">
        <f t="shared" si="12"/>
        <v>0</v>
      </c>
    </row>
    <row r="51" spans="1:17" x14ac:dyDescent="0.4">
      <c r="A51" s="7"/>
      <c r="B51" s="46"/>
      <c r="C51" s="24" t="s">
        <v>109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5">
        <f t="shared" si="12"/>
        <v>0</v>
      </c>
    </row>
    <row r="52" spans="1:17" x14ac:dyDescent="0.4">
      <c r="A52" s="6" t="s">
        <v>26</v>
      </c>
      <c r="B52" s="71" t="s">
        <v>51</v>
      </c>
      <c r="C52" s="51"/>
      <c r="D52" s="52"/>
      <c r="E52" s="5">
        <f>SUM(E45:E51)</f>
        <v>91</v>
      </c>
      <c r="F52" s="5">
        <f>SUM(F45:F51)</f>
        <v>80</v>
      </c>
      <c r="G52" s="5">
        <f>SUM(G45:G51)</f>
        <v>66</v>
      </c>
      <c r="H52" s="5">
        <f>SUM(H45:H51)</f>
        <v>39</v>
      </c>
      <c r="I52" s="5">
        <f>SUM(I45:I51)</f>
        <v>79</v>
      </c>
      <c r="J52" s="5">
        <f>SUM(J45:J51)</f>
        <v>70</v>
      </c>
      <c r="K52" s="5">
        <f>SUM(K45:K51)</f>
        <v>83</v>
      </c>
      <c r="L52" s="5">
        <f>SUM(L45:L51)</f>
        <v>84</v>
      </c>
      <c r="M52" s="5">
        <f>SUM(M45:M51)</f>
        <v>67</v>
      </c>
      <c r="N52" s="5">
        <f>SUM(N45:N51)</f>
        <v>112</v>
      </c>
      <c r="O52" s="5">
        <f>SUM(O45:O51)</f>
        <v>59</v>
      </c>
      <c r="P52" s="5">
        <f>SUM(P45:P51)</f>
        <v>28</v>
      </c>
      <c r="Q52" s="5">
        <f>SUM(Q45:Q51)</f>
        <v>858</v>
      </c>
    </row>
    <row r="53" spans="1:17" x14ac:dyDescent="0.4">
      <c r="A53" s="77"/>
      <c r="B53" s="76"/>
      <c r="C53" s="76"/>
      <c r="D53" s="76"/>
      <c r="E53" s="76"/>
      <c r="Q53" s="5"/>
    </row>
    <row r="54" spans="1:17" x14ac:dyDescent="0.4">
      <c r="A54" s="11" t="s">
        <v>48</v>
      </c>
      <c r="B54" s="17" t="s">
        <v>30</v>
      </c>
      <c r="C54" s="79" t="s">
        <v>52</v>
      </c>
      <c r="D54" s="52"/>
      <c r="E54" s="6">
        <v>11</v>
      </c>
      <c r="F54" s="6">
        <v>7</v>
      </c>
      <c r="G54" s="6">
        <v>8</v>
      </c>
      <c r="H54" s="6">
        <v>8</v>
      </c>
      <c r="I54" s="6">
        <v>6</v>
      </c>
      <c r="J54" s="6">
        <v>10</v>
      </c>
      <c r="K54" s="6">
        <v>9</v>
      </c>
      <c r="L54" s="6">
        <v>3</v>
      </c>
      <c r="M54" s="6">
        <v>12</v>
      </c>
      <c r="N54" s="6">
        <v>10</v>
      </c>
      <c r="O54" s="6">
        <v>5</v>
      </c>
      <c r="P54" s="6">
        <v>4</v>
      </c>
      <c r="Q54" s="5">
        <f t="shared" ref="Q54:Q60" si="13">SUM(E54:P54)</f>
        <v>93</v>
      </c>
    </row>
    <row r="55" spans="1:17" x14ac:dyDescent="0.4">
      <c r="A55" s="11" t="s">
        <v>50</v>
      </c>
      <c r="B55" s="46"/>
      <c r="C55" s="24" t="s">
        <v>110</v>
      </c>
      <c r="D55" s="47"/>
      <c r="E55" s="6">
        <v>16</v>
      </c>
      <c r="F55" s="6">
        <v>22</v>
      </c>
      <c r="G55" s="6">
        <v>11</v>
      </c>
      <c r="H55" s="6">
        <v>7</v>
      </c>
      <c r="I55" s="6">
        <v>23</v>
      </c>
      <c r="J55" s="6">
        <v>23</v>
      </c>
      <c r="K55" s="6">
        <v>42</v>
      </c>
      <c r="L55" s="6">
        <v>10</v>
      </c>
      <c r="M55" s="6">
        <v>16</v>
      </c>
      <c r="N55" s="6">
        <v>5</v>
      </c>
      <c r="O55" s="6">
        <v>16</v>
      </c>
      <c r="P55" s="6">
        <v>17</v>
      </c>
      <c r="Q55" s="5">
        <f t="shared" si="13"/>
        <v>208</v>
      </c>
    </row>
    <row r="56" spans="1:17" x14ac:dyDescent="0.4">
      <c r="A56" s="7"/>
      <c r="B56" s="46"/>
      <c r="C56" s="24" t="s">
        <v>111</v>
      </c>
      <c r="D56" s="47"/>
      <c r="E56" s="6">
        <v>6</v>
      </c>
      <c r="F56" s="6">
        <v>10</v>
      </c>
      <c r="G56" s="6">
        <v>7</v>
      </c>
      <c r="H56" s="6">
        <v>19</v>
      </c>
      <c r="I56" s="6">
        <v>2</v>
      </c>
      <c r="J56" s="6">
        <v>21</v>
      </c>
      <c r="K56" s="6">
        <v>18</v>
      </c>
      <c r="L56" s="6">
        <v>5</v>
      </c>
      <c r="M56" s="6">
        <v>4</v>
      </c>
      <c r="N56" s="6">
        <v>3</v>
      </c>
      <c r="O56" s="6">
        <v>6</v>
      </c>
      <c r="P56" s="6">
        <v>1</v>
      </c>
      <c r="Q56" s="5">
        <f t="shared" si="13"/>
        <v>102</v>
      </c>
    </row>
    <row r="57" spans="1:17" x14ac:dyDescent="0.4">
      <c r="A57" s="7"/>
      <c r="B57" s="46"/>
      <c r="C57" s="24" t="s">
        <v>112</v>
      </c>
      <c r="D57" s="47"/>
      <c r="E57" s="6">
        <v>0</v>
      </c>
      <c r="F57" s="6">
        <v>1</v>
      </c>
      <c r="G57" s="6">
        <v>0</v>
      </c>
      <c r="H57" s="6">
        <v>1</v>
      </c>
      <c r="I57" s="6">
        <v>1</v>
      </c>
      <c r="J57" s="6">
        <v>1</v>
      </c>
      <c r="K57" s="6">
        <v>0</v>
      </c>
      <c r="L57" s="6">
        <v>0</v>
      </c>
      <c r="M57" s="6">
        <v>3</v>
      </c>
      <c r="N57" s="6">
        <v>0</v>
      </c>
      <c r="O57" s="6">
        <v>0</v>
      </c>
      <c r="P57" s="6">
        <v>0</v>
      </c>
      <c r="Q57" s="5">
        <f t="shared" si="13"/>
        <v>7</v>
      </c>
    </row>
    <row r="58" spans="1:17" x14ac:dyDescent="0.4">
      <c r="A58" s="7"/>
      <c r="B58" s="46"/>
      <c r="C58" s="24" t="s">
        <v>113</v>
      </c>
      <c r="D58" s="47"/>
      <c r="E58" s="6">
        <v>0</v>
      </c>
      <c r="F58" s="6">
        <v>0</v>
      </c>
      <c r="G58" s="6">
        <v>2</v>
      </c>
      <c r="H58" s="6">
        <v>1</v>
      </c>
      <c r="I58" s="6">
        <v>1</v>
      </c>
      <c r="J58" s="6">
        <v>0</v>
      </c>
      <c r="K58" s="6">
        <v>0</v>
      </c>
      <c r="L58" s="6">
        <v>0</v>
      </c>
      <c r="M58" s="6">
        <v>11</v>
      </c>
      <c r="N58" s="6">
        <v>29</v>
      </c>
      <c r="O58" s="6">
        <v>1</v>
      </c>
      <c r="P58" s="6">
        <v>1</v>
      </c>
      <c r="Q58" s="5">
        <f t="shared" si="13"/>
        <v>46</v>
      </c>
    </row>
    <row r="59" spans="1:17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5">
        <f t="shared" si="13"/>
        <v>1</v>
      </c>
    </row>
    <row r="60" spans="1:17" ht="13.15" customHeight="1" x14ac:dyDescent="0.4">
      <c r="A60" s="7"/>
      <c r="B60" s="46"/>
      <c r="C60" s="24" t="s">
        <v>115</v>
      </c>
      <c r="D60" s="47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5">
        <f t="shared" si="13"/>
        <v>0</v>
      </c>
    </row>
    <row r="61" spans="1:17" x14ac:dyDescent="0.4">
      <c r="A61" s="6" t="s">
        <v>26</v>
      </c>
      <c r="B61" s="71" t="s">
        <v>51</v>
      </c>
      <c r="C61" s="51"/>
      <c r="D61" s="52"/>
      <c r="E61" s="5">
        <f>SUM(E54:E60)</f>
        <v>33</v>
      </c>
      <c r="F61" s="5">
        <f>SUM(F54:F60)</f>
        <v>40</v>
      </c>
      <c r="G61" s="5">
        <f>SUM(G54:G60)</f>
        <v>28</v>
      </c>
      <c r="H61" s="5">
        <f>SUM(H54:H60)</f>
        <v>36</v>
      </c>
      <c r="I61" s="5">
        <f>SUM(I54:I60)</f>
        <v>33</v>
      </c>
      <c r="J61" s="5">
        <f>SUM(J54:J60)</f>
        <v>55</v>
      </c>
      <c r="K61" s="5">
        <f>SUM(K54:K60)</f>
        <v>69</v>
      </c>
      <c r="L61" s="5">
        <f>SUM(L54:L60)</f>
        <v>18</v>
      </c>
      <c r="M61" s="5">
        <f>SUM(M54:M60)</f>
        <v>47</v>
      </c>
      <c r="N61" s="5">
        <f>SUM(N54:N60)</f>
        <v>47</v>
      </c>
      <c r="O61" s="5">
        <f>SUM(O54:O60)</f>
        <v>28</v>
      </c>
      <c r="P61" s="5">
        <f>SUM(P54:P60)</f>
        <v>23</v>
      </c>
      <c r="Q61" s="5">
        <f>SUM(Q54:Q60)</f>
        <v>457</v>
      </c>
    </row>
    <row r="62" spans="1:17" x14ac:dyDescent="0.4">
      <c r="A62" s="77"/>
      <c r="B62" s="76"/>
      <c r="C62" s="76"/>
      <c r="D62" s="76"/>
      <c r="E62" s="76"/>
    </row>
    <row r="63" spans="1:17" x14ac:dyDescent="0.4">
      <c r="A63" s="11" t="s">
        <v>48</v>
      </c>
      <c r="B63" s="17" t="s">
        <v>32</v>
      </c>
      <c r="C63" s="79" t="s">
        <v>53</v>
      </c>
      <c r="D63" s="52"/>
      <c r="E63" s="6">
        <v>9</v>
      </c>
      <c r="F63" s="6">
        <v>3</v>
      </c>
      <c r="G63" s="6">
        <v>4</v>
      </c>
      <c r="H63" s="6">
        <v>10</v>
      </c>
      <c r="I63" s="6">
        <v>7</v>
      </c>
      <c r="J63" s="6">
        <v>5</v>
      </c>
      <c r="K63" s="6">
        <v>5</v>
      </c>
      <c r="L63" s="6">
        <v>5</v>
      </c>
      <c r="M63" s="6">
        <v>5</v>
      </c>
      <c r="N63" s="6">
        <v>3</v>
      </c>
      <c r="O63" s="6">
        <v>6</v>
      </c>
      <c r="P63" s="6">
        <v>3</v>
      </c>
      <c r="Q63" s="5">
        <f t="shared" ref="Q63:Q69" si="14">SUM(E63:P63)</f>
        <v>65</v>
      </c>
    </row>
    <row r="64" spans="1:17" x14ac:dyDescent="0.4">
      <c r="A64" s="11" t="s">
        <v>50</v>
      </c>
      <c r="B64" s="46"/>
      <c r="C64" s="24" t="s">
        <v>116</v>
      </c>
      <c r="D64" s="47"/>
      <c r="E64" s="6">
        <v>1</v>
      </c>
      <c r="F64" s="6">
        <v>0</v>
      </c>
      <c r="G64" s="6">
        <v>2</v>
      </c>
      <c r="H64" s="6">
        <v>5</v>
      </c>
      <c r="I64" s="6">
        <v>16</v>
      </c>
      <c r="J64" s="6">
        <v>6</v>
      </c>
      <c r="K64" s="6">
        <v>10</v>
      </c>
      <c r="L64" s="6">
        <v>32</v>
      </c>
      <c r="M64" s="6">
        <v>3</v>
      </c>
      <c r="N64" s="6">
        <v>0</v>
      </c>
      <c r="O64" s="6">
        <v>0</v>
      </c>
      <c r="P64" s="6">
        <v>3</v>
      </c>
      <c r="Q64" s="5">
        <f t="shared" si="14"/>
        <v>78</v>
      </c>
    </row>
    <row r="65" spans="1:17" x14ac:dyDescent="0.4">
      <c r="A65" s="7"/>
      <c r="B65" s="46"/>
      <c r="C65" s="24" t="s">
        <v>117</v>
      </c>
      <c r="D65" s="47"/>
      <c r="E65" s="6">
        <v>19</v>
      </c>
      <c r="F65" s="6">
        <v>2</v>
      </c>
      <c r="G65" s="6">
        <v>23</v>
      </c>
      <c r="H65" s="6">
        <v>28</v>
      </c>
      <c r="I65" s="6">
        <v>6</v>
      </c>
      <c r="J65" s="6">
        <v>5</v>
      </c>
      <c r="K65" s="6">
        <v>14</v>
      </c>
      <c r="L65" s="6">
        <v>19</v>
      </c>
      <c r="M65" s="6">
        <v>6</v>
      </c>
      <c r="N65" s="6">
        <v>7</v>
      </c>
      <c r="O65" s="6">
        <v>13</v>
      </c>
      <c r="P65" s="6">
        <v>3</v>
      </c>
      <c r="Q65" s="5">
        <f t="shared" si="14"/>
        <v>145</v>
      </c>
    </row>
    <row r="66" spans="1:17" x14ac:dyDescent="0.4">
      <c r="A66" s="7"/>
      <c r="B66" s="46"/>
      <c r="C66" s="24" t="s">
        <v>118</v>
      </c>
      <c r="D66" s="47"/>
      <c r="E66" s="6">
        <v>1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1</v>
      </c>
      <c r="O66" s="6">
        <v>0</v>
      </c>
      <c r="P66" s="6">
        <v>0</v>
      </c>
      <c r="Q66" s="5">
        <f t="shared" si="14"/>
        <v>4</v>
      </c>
    </row>
    <row r="67" spans="1:17" x14ac:dyDescent="0.4">
      <c r="A67" s="7"/>
      <c r="B67" s="46"/>
      <c r="C67" s="24" t="s">
        <v>119</v>
      </c>
      <c r="D67" s="47"/>
      <c r="E67" s="6">
        <v>0</v>
      </c>
      <c r="F67" s="6">
        <v>5</v>
      </c>
      <c r="G67" s="6">
        <v>1</v>
      </c>
      <c r="H67" s="6">
        <v>0</v>
      </c>
      <c r="I67" s="6">
        <v>0</v>
      </c>
      <c r="J67" s="6">
        <v>0</v>
      </c>
      <c r="K67" s="6">
        <v>1</v>
      </c>
      <c r="L67" s="6">
        <v>1</v>
      </c>
      <c r="M67" s="6">
        <v>3</v>
      </c>
      <c r="N67" s="6">
        <v>0</v>
      </c>
      <c r="O67" s="6">
        <v>0</v>
      </c>
      <c r="P67" s="6">
        <v>2</v>
      </c>
      <c r="Q67" s="5">
        <f t="shared" si="14"/>
        <v>13</v>
      </c>
    </row>
    <row r="68" spans="1:17" ht="13.15" customHeight="1" x14ac:dyDescent="0.4">
      <c r="A68" s="7"/>
      <c r="B68" s="46"/>
      <c r="C68" s="24" t="s">
        <v>120</v>
      </c>
      <c r="D68" s="47"/>
      <c r="E68" s="6">
        <v>0</v>
      </c>
      <c r="F68" s="6">
        <v>0</v>
      </c>
      <c r="G68" s="6">
        <v>0</v>
      </c>
      <c r="H68" s="6">
        <v>1</v>
      </c>
      <c r="I68" s="6">
        <v>1</v>
      </c>
      <c r="J68" s="6">
        <v>1</v>
      </c>
      <c r="K68" s="6">
        <v>0</v>
      </c>
      <c r="L68" s="6">
        <v>3</v>
      </c>
      <c r="M68" s="6">
        <v>8</v>
      </c>
      <c r="N68" s="6">
        <v>0</v>
      </c>
      <c r="O68" s="6">
        <v>4</v>
      </c>
      <c r="P68" s="6">
        <v>5</v>
      </c>
      <c r="Q68" s="5">
        <f t="shared" si="14"/>
        <v>23</v>
      </c>
    </row>
    <row r="69" spans="1:17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5">
        <f t="shared" si="14"/>
        <v>0</v>
      </c>
    </row>
    <row r="70" spans="1:17" x14ac:dyDescent="0.4">
      <c r="A70" s="6" t="s">
        <v>26</v>
      </c>
      <c r="B70" s="71" t="s">
        <v>51</v>
      </c>
      <c r="C70" s="51"/>
      <c r="D70" s="52"/>
      <c r="E70" s="5">
        <f>SUM(E63:E69)</f>
        <v>30</v>
      </c>
      <c r="F70" s="5">
        <f>SUM(F63:F69)</f>
        <v>11</v>
      </c>
      <c r="G70" s="5">
        <f>SUM(G63:G69)</f>
        <v>30</v>
      </c>
      <c r="H70" s="5">
        <f>SUM(H63:H69)</f>
        <v>44</v>
      </c>
      <c r="I70" s="5">
        <f>SUM(I63:I69)</f>
        <v>30</v>
      </c>
      <c r="J70" s="5">
        <f>SUM(J63:J69)</f>
        <v>17</v>
      </c>
      <c r="K70" s="5">
        <f>SUM(K63:K69)</f>
        <v>30</v>
      </c>
      <c r="L70" s="5">
        <f>SUM(L63:L69)</f>
        <v>61</v>
      </c>
      <c r="M70" s="5">
        <f>SUM(M63:M69)</f>
        <v>25</v>
      </c>
      <c r="N70" s="5">
        <f>SUM(N63:N69)</f>
        <v>11</v>
      </c>
      <c r="O70" s="5">
        <f>SUM(O63:O69)</f>
        <v>23</v>
      </c>
      <c r="P70" s="5">
        <f>SUM(P63:P69)</f>
        <v>16</v>
      </c>
      <c r="Q70" s="5">
        <f>SUM(Q63:Q69)</f>
        <v>328</v>
      </c>
    </row>
    <row r="71" spans="1:17" x14ac:dyDescent="0.4">
      <c r="A71" s="77"/>
      <c r="B71" s="76"/>
      <c r="C71" s="76"/>
      <c r="D71" s="76"/>
      <c r="E71" s="76"/>
    </row>
    <row r="72" spans="1:17" x14ac:dyDescent="0.4">
      <c r="A72" s="11" t="s">
        <v>48</v>
      </c>
      <c r="B72" s="17" t="s">
        <v>34</v>
      </c>
      <c r="C72" s="79" t="s">
        <v>54</v>
      </c>
      <c r="D72" s="52"/>
      <c r="E72" s="6">
        <v>0</v>
      </c>
      <c r="F72" s="6">
        <v>0</v>
      </c>
      <c r="G72" s="6">
        <v>4</v>
      </c>
      <c r="H72" s="6">
        <v>6</v>
      </c>
      <c r="I72" s="6">
        <v>1</v>
      </c>
      <c r="J72" s="6">
        <v>0</v>
      </c>
      <c r="K72" s="6">
        <v>1</v>
      </c>
      <c r="L72" s="6">
        <v>0</v>
      </c>
      <c r="M72" s="6">
        <v>1</v>
      </c>
      <c r="N72" s="6">
        <v>4</v>
      </c>
      <c r="O72" s="6">
        <v>1</v>
      </c>
      <c r="P72" s="6">
        <v>1</v>
      </c>
      <c r="Q72" s="5">
        <f t="shared" ref="Q72:Q78" si="15">SUM(E72:P72)</f>
        <v>19</v>
      </c>
    </row>
    <row r="73" spans="1:17" x14ac:dyDescent="0.4">
      <c r="A73" s="11" t="s">
        <v>50</v>
      </c>
      <c r="B73" s="46"/>
      <c r="C73" s="24" t="s">
        <v>122</v>
      </c>
      <c r="D73" s="47"/>
      <c r="E73" s="6">
        <v>3</v>
      </c>
      <c r="F73" s="6">
        <v>0</v>
      </c>
      <c r="G73" s="6">
        <v>11</v>
      </c>
      <c r="H73" s="6">
        <v>2</v>
      </c>
      <c r="I73" s="6">
        <v>1</v>
      </c>
      <c r="J73" s="6">
        <v>4</v>
      </c>
      <c r="K73" s="6">
        <v>8</v>
      </c>
      <c r="L73" s="6">
        <v>2</v>
      </c>
      <c r="M73" s="6">
        <v>0</v>
      </c>
      <c r="N73" s="6">
        <v>4</v>
      </c>
      <c r="O73" s="6">
        <v>3</v>
      </c>
      <c r="P73" s="6">
        <v>5</v>
      </c>
      <c r="Q73" s="5">
        <f t="shared" si="15"/>
        <v>43</v>
      </c>
    </row>
    <row r="74" spans="1:17" x14ac:dyDescent="0.4">
      <c r="A74" s="7"/>
      <c r="B74" s="46"/>
      <c r="C74" s="24" t="s">
        <v>123</v>
      </c>
      <c r="D74" s="47"/>
      <c r="E74" s="6">
        <v>0</v>
      </c>
      <c r="F74" s="6">
        <v>0</v>
      </c>
      <c r="G74" s="6">
        <v>1</v>
      </c>
      <c r="H74" s="6">
        <v>4</v>
      </c>
      <c r="I74" s="6">
        <v>0</v>
      </c>
      <c r="J74" s="6">
        <v>2</v>
      </c>
      <c r="K74" s="6">
        <v>0</v>
      </c>
      <c r="L74" s="6">
        <v>0</v>
      </c>
      <c r="M74" s="6">
        <v>4</v>
      </c>
      <c r="N74" s="6">
        <v>0</v>
      </c>
      <c r="O74" s="6">
        <v>0</v>
      </c>
      <c r="P74" s="6">
        <v>0</v>
      </c>
      <c r="Q74" s="5">
        <f t="shared" si="15"/>
        <v>11</v>
      </c>
    </row>
    <row r="75" spans="1:17" x14ac:dyDescent="0.4">
      <c r="A75" s="7"/>
      <c r="B75" s="46"/>
      <c r="C75" s="24" t="s">
        <v>124</v>
      </c>
      <c r="D75" s="47"/>
      <c r="E75" s="6">
        <v>1</v>
      </c>
      <c r="F75" s="6">
        <v>0</v>
      </c>
      <c r="G75" s="6">
        <v>8</v>
      </c>
      <c r="H75" s="6">
        <v>1</v>
      </c>
      <c r="I75" s="6">
        <v>0</v>
      </c>
      <c r="J75" s="6">
        <v>4</v>
      </c>
      <c r="K75" s="6">
        <v>2</v>
      </c>
      <c r="L75" s="6">
        <v>3</v>
      </c>
      <c r="M75" s="6">
        <v>2</v>
      </c>
      <c r="N75" s="6">
        <v>0</v>
      </c>
      <c r="O75" s="6">
        <v>0</v>
      </c>
      <c r="P75" s="6">
        <v>0</v>
      </c>
      <c r="Q75" s="5">
        <f t="shared" si="15"/>
        <v>21</v>
      </c>
    </row>
    <row r="76" spans="1:17" ht="13.15" customHeight="1" x14ac:dyDescent="0.4">
      <c r="A76" s="7"/>
      <c r="B76" s="46"/>
      <c r="C76" s="24" t="s">
        <v>125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5">
        <f t="shared" si="15"/>
        <v>0</v>
      </c>
    </row>
    <row r="77" spans="1:17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5">
        <f t="shared" si="15"/>
        <v>0</v>
      </c>
    </row>
    <row r="78" spans="1:17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5">
        <f t="shared" si="15"/>
        <v>0</v>
      </c>
    </row>
    <row r="79" spans="1:17" x14ac:dyDescent="0.4">
      <c r="A79" s="6" t="s">
        <v>26</v>
      </c>
      <c r="B79" s="71" t="s">
        <v>51</v>
      </c>
      <c r="C79" s="51"/>
      <c r="D79" s="52"/>
      <c r="E79" s="5">
        <f>SUM(E72:E78)</f>
        <v>4</v>
      </c>
      <c r="F79" s="5">
        <f>SUM(F72:F78)</f>
        <v>0</v>
      </c>
      <c r="G79" s="5">
        <f>SUM(G72:G78)</f>
        <v>24</v>
      </c>
      <c r="H79" s="5">
        <f>SUM(H72:H78)</f>
        <v>13</v>
      </c>
      <c r="I79" s="5">
        <f>SUM(I72:I78)</f>
        <v>2</v>
      </c>
      <c r="J79" s="5">
        <f>SUM(J72:J78)</f>
        <v>10</v>
      </c>
      <c r="K79" s="5">
        <f>SUM(K72:K78)</f>
        <v>11</v>
      </c>
      <c r="L79" s="5">
        <f>SUM(L72:L78)</f>
        <v>5</v>
      </c>
      <c r="M79" s="5">
        <f>SUM(M72:M78)</f>
        <v>7</v>
      </c>
      <c r="N79" s="5">
        <f>SUM(N72:N78)</f>
        <v>8</v>
      </c>
      <c r="O79" s="5">
        <f>SUM(O72:O78)</f>
        <v>4</v>
      </c>
      <c r="P79" s="5">
        <f>SUM(P72:P78)</f>
        <v>6</v>
      </c>
      <c r="Q79" s="5">
        <f>SUM(Q72:Q78)</f>
        <v>94</v>
      </c>
    </row>
    <row r="80" spans="1:17" x14ac:dyDescent="0.4">
      <c r="A80" s="77"/>
      <c r="B80" s="76"/>
      <c r="C80" s="76"/>
      <c r="D80" s="76"/>
      <c r="E80" s="76"/>
    </row>
    <row r="81" spans="1:17" x14ac:dyDescent="0.4">
      <c r="A81" s="11" t="s">
        <v>48</v>
      </c>
      <c r="B81" s="17" t="s">
        <v>55</v>
      </c>
      <c r="C81" s="79" t="s">
        <v>56</v>
      </c>
      <c r="D81" s="52"/>
      <c r="E81" s="6">
        <v>1</v>
      </c>
      <c r="F81" s="6">
        <v>1</v>
      </c>
      <c r="G81" s="6">
        <v>1</v>
      </c>
      <c r="H81" s="6">
        <v>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2</v>
      </c>
      <c r="Q81" s="5">
        <f t="shared" ref="Q81:Q87" si="16">SUM(E81:P81)</f>
        <v>6</v>
      </c>
    </row>
    <row r="82" spans="1:17" x14ac:dyDescent="0.4">
      <c r="A82" s="11" t="s">
        <v>50</v>
      </c>
      <c r="B82" s="46"/>
      <c r="C82" s="24" t="s">
        <v>128</v>
      </c>
      <c r="D82" s="47"/>
      <c r="E82" s="6">
        <v>1</v>
      </c>
      <c r="F82" s="6">
        <v>0</v>
      </c>
      <c r="G82" s="6">
        <v>0</v>
      </c>
      <c r="H82" s="6">
        <v>0</v>
      </c>
      <c r="I82" s="6">
        <v>1</v>
      </c>
      <c r="J82" s="6">
        <v>0</v>
      </c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5">
        <f t="shared" si="16"/>
        <v>3</v>
      </c>
    </row>
    <row r="83" spans="1:17" x14ac:dyDescent="0.4">
      <c r="A83" s="7"/>
      <c r="B83" s="46"/>
      <c r="C83" s="24" t="s">
        <v>129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5">
        <f t="shared" si="16"/>
        <v>0</v>
      </c>
    </row>
    <row r="84" spans="1:17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5">
        <f t="shared" si="16"/>
        <v>1</v>
      </c>
    </row>
    <row r="85" spans="1:17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5">
        <f t="shared" si="16"/>
        <v>0</v>
      </c>
    </row>
    <row r="86" spans="1:17" x14ac:dyDescent="0.4">
      <c r="A86" s="7"/>
      <c r="B86" s="46"/>
      <c r="C86" s="24" t="s">
        <v>132</v>
      </c>
      <c r="D86" s="47"/>
      <c r="E86" s="6">
        <v>0</v>
      </c>
      <c r="F86" s="6">
        <v>1</v>
      </c>
      <c r="G86" s="6">
        <v>1</v>
      </c>
      <c r="H86" s="6">
        <v>6</v>
      </c>
      <c r="I86" s="6">
        <v>0</v>
      </c>
      <c r="J86" s="6">
        <v>0</v>
      </c>
      <c r="K86" s="6">
        <v>1</v>
      </c>
      <c r="L86" s="6">
        <v>0</v>
      </c>
      <c r="M86" s="6">
        <v>2</v>
      </c>
      <c r="N86" s="6">
        <v>2</v>
      </c>
      <c r="O86" s="6">
        <v>0</v>
      </c>
      <c r="P86" s="6">
        <v>3</v>
      </c>
      <c r="Q86" s="5">
        <f t="shared" si="16"/>
        <v>16</v>
      </c>
    </row>
    <row r="87" spans="1:17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5">
        <f t="shared" si="16"/>
        <v>0</v>
      </c>
    </row>
    <row r="88" spans="1:17" x14ac:dyDescent="0.4">
      <c r="A88" s="6" t="s">
        <v>26</v>
      </c>
      <c r="B88" s="71" t="s">
        <v>51</v>
      </c>
      <c r="C88" s="51"/>
      <c r="D88" s="52"/>
      <c r="E88" s="5">
        <f>SUM(E81:E87)</f>
        <v>2</v>
      </c>
      <c r="F88" s="5">
        <f>SUM(F81:F87)</f>
        <v>2</v>
      </c>
      <c r="G88" s="5">
        <f>SUM(G81:G87)</f>
        <v>2</v>
      </c>
      <c r="H88" s="5">
        <f>SUM(H81:H87)</f>
        <v>8</v>
      </c>
      <c r="I88" s="5">
        <f>SUM(I81:I87)</f>
        <v>1</v>
      </c>
      <c r="J88" s="5">
        <f>SUM(J81:J87)</f>
        <v>0</v>
      </c>
      <c r="K88" s="5">
        <f>SUM(K81:K87)</f>
        <v>1</v>
      </c>
      <c r="L88" s="5">
        <f>SUM(L81:L87)</f>
        <v>0</v>
      </c>
      <c r="M88" s="5">
        <f>SUM(M81:M87)</f>
        <v>2</v>
      </c>
      <c r="N88" s="5">
        <f>SUM(N81:N87)</f>
        <v>3</v>
      </c>
      <c r="O88" s="5">
        <f>SUM(O81:O87)</f>
        <v>0</v>
      </c>
      <c r="P88" s="5">
        <f>SUM(P81:P87)</f>
        <v>5</v>
      </c>
      <c r="Q88" s="5">
        <f>SUM(Q81:Q87)</f>
        <v>26</v>
      </c>
    </row>
    <row r="89" spans="1:17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x14ac:dyDescent="0.4">
      <c r="A90" s="11" t="s">
        <v>48</v>
      </c>
      <c r="B90" s="17" t="s">
        <v>57</v>
      </c>
      <c r="C90" s="79" t="s">
        <v>58</v>
      </c>
      <c r="D90" s="52"/>
      <c r="E90" s="6">
        <v>0</v>
      </c>
      <c r="F90" s="6">
        <v>0</v>
      </c>
      <c r="G90" s="6">
        <v>1</v>
      </c>
      <c r="H90" s="6">
        <v>4</v>
      </c>
      <c r="I90" s="6">
        <v>2</v>
      </c>
      <c r="J90" s="6">
        <v>1</v>
      </c>
      <c r="K90" s="6">
        <v>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5">
        <f t="shared" ref="Q90" si="17">SUM(E90:P90)</f>
        <v>10</v>
      </c>
    </row>
    <row r="91" spans="1:17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0</v>
      </c>
      <c r="G91" s="5">
        <f>SUM(G90:G90)</f>
        <v>1</v>
      </c>
      <c r="H91" s="5">
        <f>SUM(H90:H90)</f>
        <v>4</v>
      </c>
      <c r="I91" s="5">
        <f>SUM(I90:I90)</f>
        <v>2</v>
      </c>
      <c r="J91" s="5">
        <f>SUM(J90:J90)</f>
        <v>1</v>
      </c>
      <c r="K91" s="5">
        <f>SUM(K90:K90)</f>
        <v>1</v>
      </c>
      <c r="L91" s="5">
        <f>SUM(L90:L90)</f>
        <v>0</v>
      </c>
      <c r="M91" s="5">
        <f>SUM(M90:M90)</f>
        <v>1</v>
      </c>
      <c r="N91" s="5">
        <f>SUM(N90:N90)</f>
        <v>0</v>
      </c>
      <c r="O91" s="5">
        <f>SUM(O90:O90)</f>
        <v>0</v>
      </c>
      <c r="P91" s="5">
        <f>SUM(P90:P90)</f>
        <v>0</v>
      </c>
      <c r="Q91" s="5">
        <f>SUM(Q90:Q90)</f>
        <v>10</v>
      </c>
    </row>
    <row r="92" spans="1:17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"/>
    </row>
    <row r="93" spans="1:17" x14ac:dyDescent="0.4">
      <c r="A93" s="11" t="s">
        <v>48</v>
      </c>
      <c r="B93" s="17" t="s">
        <v>59</v>
      </c>
      <c r="C93" s="79" t="s">
        <v>60</v>
      </c>
      <c r="D93" s="52"/>
      <c r="E93" s="6">
        <v>0</v>
      </c>
      <c r="F93" s="6">
        <v>0</v>
      </c>
      <c r="G93" s="6">
        <v>1</v>
      </c>
      <c r="H93" s="6">
        <v>1</v>
      </c>
      <c r="I93" s="6">
        <v>0</v>
      </c>
      <c r="J93" s="6">
        <v>1</v>
      </c>
      <c r="K93" s="6">
        <v>0</v>
      </c>
      <c r="L93" s="6">
        <v>0</v>
      </c>
      <c r="M93" s="6">
        <v>1</v>
      </c>
      <c r="N93" s="6">
        <v>0</v>
      </c>
      <c r="O93" s="6">
        <v>0</v>
      </c>
      <c r="P93" s="6">
        <v>0</v>
      </c>
      <c r="Q93" s="5">
        <f t="shared" ref="Q93:Q96" si="18">SUM(E93:P93)</f>
        <v>4</v>
      </c>
    </row>
    <row r="94" spans="1:17" x14ac:dyDescent="0.4">
      <c r="A94" s="11" t="s">
        <v>50</v>
      </c>
      <c r="B94" s="46"/>
      <c r="C94" s="24" t="s">
        <v>134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5">
        <f t="shared" si="18"/>
        <v>0</v>
      </c>
    </row>
    <row r="95" spans="1:17" x14ac:dyDescent="0.4">
      <c r="A95" s="7"/>
      <c r="B95" s="46"/>
      <c r="C95" s="24" t="s">
        <v>135</v>
      </c>
      <c r="D95" s="47"/>
      <c r="E95" s="6">
        <v>0</v>
      </c>
      <c r="F95" s="6">
        <v>0</v>
      </c>
      <c r="G95" s="6">
        <v>0</v>
      </c>
      <c r="H95" s="6">
        <v>1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5">
        <f t="shared" si="18"/>
        <v>1</v>
      </c>
    </row>
    <row r="96" spans="1:17" x14ac:dyDescent="0.4">
      <c r="A96" s="7"/>
      <c r="B96" s="46"/>
      <c r="C96" s="24" t="s">
        <v>136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5">
        <f t="shared" si="18"/>
        <v>0</v>
      </c>
    </row>
    <row r="97" spans="1:17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0</v>
      </c>
      <c r="G97" s="5">
        <f>SUM(G93:G96)</f>
        <v>1</v>
      </c>
      <c r="H97" s="5">
        <f>SUM(H93:H96)</f>
        <v>2</v>
      </c>
      <c r="I97" s="5">
        <f>SUM(I93:I96)</f>
        <v>0</v>
      </c>
      <c r="J97" s="5">
        <f>SUM(J93:J96)</f>
        <v>1</v>
      </c>
      <c r="K97" s="5">
        <f>SUM(K93:K96)</f>
        <v>0</v>
      </c>
      <c r="L97" s="5">
        <f>SUM(L93:L96)</f>
        <v>0</v>
      </c>
      <c r="M97" s="5">
        <f>SUM(M93:M96)</f>
        <v>1</v>
      </c>
      <c r="N97" s="5">
        <f>SUM(N93:N96)</f>
        <v>0</v>
      </c>
      <c r="O97" s="5">
        <f>SUM(O93:O96)</f>
        <v>0</v>
      </c>
      <c r="P97" s="5">
        <f>SUM(P93:P96)</f>
        <v>0</v>
      </c>
      <c r="Q97" s="5">
        <f>SUM(Q93:Q96)</f>
        <v>5</v>
      </c>
    </row>
    <row r="98" spans="1:17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x14ac:dyDescent="0.4">
      <c r="A99" s="11" t="s">
        <v>48</v>
      </c>
      <c r="B99" s="17" t="s">
        <v>61</v>
      </c>
      <c r="C99" s="79" t="s">
        <v>62</v>
      </c>
      <c r="D99" s="52"/>
      <c r="E99" s="6">
        <v>0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2</v>
      </c>
      <c r="N99" s="6">
        <v>1</v>
      </c>
      <c r="O99" s="6">
        <v>2</v>
      </c>
      <c r="P99" s="6">
        <v>2</v>
      </c>
      <c r="Q99" s="5">
        <f t="shared" ref="Q99:Q105" si="19">SUM(E99:P99)</f>
        <v>8</v>
      </c>
    </row>
    <row r="100" spans="1:17" ht="13.15" customHeight="1" x14ac:dyDescent="0.4">
      <c r="A100" s="11" t="s">
        <v>50</v>
      </c>
      <c r="B100" s="46"/>
      <c r="C100" s="24" t="s">
        <v>137</v>
      </c>
      <c r="D100" s="47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2</v>
      </c>
      <c r="Q100" s="5">
        <f t="shared" si="19"/>
        <v>3</v>
      </c>
    </row>
    <row r="101" spans="1:17" x14ac:dyDescent="0.4">
      <c r="A101" s="7"/>
      <c r="B101" s="46"/>
      <c r="C101" s="24" t="s">
        <v>138</v>
      </c>
      <c r="D101" s="47"/>
      <c r="E101" s="6">
        <v>0</v>
      </c>
      <c r="F101" s="6">
        <v>0</v>
      </c>
      <c r="G101" s="6">
        <v>0</v>
      </c>
      <c r="H101" s="6">
        <v>2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1</v>
      </c>
      <c r="Q101" s="5">
        <f t="shared" si="19"/>
        <v>4</v>
      </c>
    </row>
    <row r="102" spans="1:17" x14ac:dyDescent="0.4">
      <c r="A102" s="7"/>
      <c r="B102" s="46"/>
      <c r="C102" s="24" t="s">
        <v>139</v>
      </c>
      <c r="D102" s="47"/>
      <c r="E102" s="6">
        <v>0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5">
        <f t="shared" si="19"/>
        <v>1</v>
      </c>
    </row>
    <row r="103" spans="1:17" x14ac:dyDescent="0.4">
      <c r="A103" s="7"/>
      <c r="B103" s="46"/>
      <c r="C103" s="24" t="s">
        <v>140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5">
        <f t="shared" si="19"/>
        <v>0</v>
      </c>
    </row>
    <row r="104" spans="1:17" x14ac:dyDescent="0.4">
      <c r="A104" s="7"/>
      <c r="B104" s="46"/>
      <c r="C104" s="24" t="s">
        <v>141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5">
        <f t="shared" si="19"/>
        <v>0</v>
      </c>
    </row>
    <row r="105" spans="1:17" x14ac:dyDescent="0.4">
      <c r="A105" s="7"/>
      <c r="B105" s="46"/>
      <c r="C105" s="24" t="s">
        <v>142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5">
        <f t="shared" si="19"/>
        <v>0</v>
      </c>
    </row>
    <row r="106" spans="1:17" x14ac:dyDescent="0.4">
      <c r="A106" s="6" t="s">
        <v>26</v>
      </c>
      <c r="B106" s="71" t="s">
        <v>51</v>
      </c>
      <c r="C106" s="80"/>
      <c r="D106" s="81"/>
      <c r="E106" s="5">
        <f>SUM(E99:E105)</f>
        <v>0</v>
      </c>
      <c r="F106" s="5">
        <f>SUM(F99:F105)</f>
        <v>0</v>
      </c>
      <c r="G106" s="5">
        <f>SUM(G99:G105)</f>
        <v>1</v>
      </c>
      <c r="H106" s="5">
        <f>SUM(H99:H105)</f>
        <v>2</v>
      </c>
      <c r="I106" s="5">
        <f>SUM(I99:I105)</f>
        <v>2</v>
      </c>
      <c r="J106" s="5">
        <f>SUM(J99:J105)</f>
        <v>0</v>
      </c>
      <c r="K106" s="5">
        <f>SUM(K99:K105)</f>
        <v>0</v>
      </c>
      <c r="L106" s="5">
        <f>SUM(L99:L105)</f>
        <v>0</v>
      </c>
      <c r="M106" s="5">
        <f>SUM(M99:M105)</f>
        <v>3</v>
      </c>
      <c r="N106" s="5">
        <f>SUM(N99:N105)</f>
        <v>1</v>
      </c>
      <c r="O106" s="5">
        <f>SUM(O99:O105)</f>
        <v>2</v>
      </c>
      <c r="P106" s="5">
        <f>SUM(P99:P105)</f>
        <v>5</v>
      </c>
      <c r="Q106" s="5">
        <f>SUM(Q99:Q105)</f>
        <v>16</v>
      </c>
    </row>
    <row r="107" spans="1:17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5">
        <f t="shared" ref="Q108:Q109" si="20">SUM(E108:P108)</f>
        <v>0</v>
      </c>
    </row>
    <row r="109" spans="1:17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5">
        <f t="shared" si="20"/>
        <v>0</v>
      </c>
    </row>
    <row r="110" spans="1:17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</row>
    <row r="111" spans="1:17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"/>
    </row>
    <row r="112" spans="1:17" x14ac:dyDescent="0.4">
      <c r="A112" s="11" t="s">
        <v>48</v>
      </c>
      <c r="B112" s="44" t="s">
        <v>65</v>
      </c>
      <c r="C112" s="84" t="s">
        <v>66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1</v>
      </c>
      <c r="P112" s="6">
        <v>0</v>
      </c>
      <c r="Q112" s="5">
        <f t="shared" ref="Q112:Q118" si="21">SUM(E112:P112)</f>
        <v>2</v>
      </c>
    </row>
    <row r="113" spans="1:17" x14ac:dyDescent="0.4">
      <c r="A113" s="48" t="s">
        <v>50</v>
      </c>
      <c r="B113" s="46"/>
      <c r="C113" s="24" t="s">
        <v>144</v>
      </c>
      <c r="D113" s="47"/>
      <c r="E113" s="49">
        <v>0</v>
      </c>
      <c r="F113" s="6">
        <v>0</v>
      </c>
      <c r="G113" s="6">
        <v>0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5">
        <f t="shared" si="21"/>
        <v>1</v>
      </c>
    </row>
    <row r="114" spans="1:17" x14ac:dyDescent="0.4">
      <c r="A114" s="7"/>
      <c r="B114" s="46"/>
      <c r="C114" s="24" t="s">
        <v>145</v>
      </c>
      <c r="D114" s="47"/>
      <c r="E114" s="49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5">
        <f t="shared" si="21"/>
        <v>0</v>
      </c>
    </row>
    <row r="115" spans="1:17" x14ac:dyDescent="0.4">
      <c r="A115" s="7"/>
      <c r="B115" s="46"/>
      <c r="C115" s="24" t="s">
        <v>146</v>
      </c>
      <c r="D115" s="47"/>
      <c r="E115" s="49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5">
        <f t="shared" si="21"/>
        <v>0</v>
      </c>
    </row>
    <row r="116" spans="1:17" x14ac:dyDescent="0.4">
      <c r="A116" s="7"/>
      <c r="B116" s="46"/>
      <c r="C116" s="24" t="s">
        <v>147</v>
      </c>
      <c r="D116" s="47"/>
      <c r="E116" s="49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5">
        <f t="shared" si="21"/>
        <v>0</v>
      </c>
    </row>
    <row r="117" spans="1:17" x14ac:dyDescent="0.4">
      <c r="A117" s="7"/>
      <c r="B117" s="46"/>
      <c r="C117" s="24" t="s">
        <v>148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5">
        <f t="shared" si="21"/>
        <v>0</v>
      </c>
    </row>
    <row r="118" spans="1:17" x14ac:dyDescent="0.4">
      <c r="A118" s="7"/>
      <c r="B118" s="46"/>
      <c r="C118" s="24" t="s">
        <v>149</v>
      </c>
      <c r="D118" s="47"/>
      <c r="E118" s="49">
        <v>0</v>
      </c>
      <c r="F118" s="6">
        <v>1</v>
      </c>
      <c r="G118" s="6">
        <v>12</v>
      </c>
      <c r="H118" s="6">
        <v>8</v>
      </c>
      <c r="I118" s="6">
        <v>5</v>
      </c>
      <c r="J118" s="6">
        <v>12</v>
      </c>
      <c r="K118" s="6">
        <v>1</v>
      </c>
      <c r="L118" s="6">
        <v>2</v>
      </c>
      <c r="M118" s="6">
        <v>5</v>
      </c>
      <c r="N118" s="6">
        <v>0</v>
      </c>
      <c r="O118" s="6">
        <v>1</v>
      </c>
      <c r="P118" s="6">
        <v>3</v>
      </c>
      <c r="Q118" s="5">
        <f t="shared" si="21"/>
        <v>50</v>
      </c>
    </row>
    <row r="119" spans="1:17" x14ac:dyDescent="0.4">
      <c r="A119" s="6" t="s">
        <v>26</v>
      </c>
      <c r="B119" s="85" t="s">
        <v>51</v>
      </c>
      <c r="C119" s="86"/>
      <c r="D119" s="87"/>
      <c r="E119" s="5">
        <f>SUM(E112:E118)</f>
        <v>0</v>
      </c>
      <c r="F119" s="5">
        <f>SUM(F112:F118)</f>
        <v>1</v>
      </c>
      <c r="G119" s="5">
        <f>SUM(G112:G118)</f>
        <v>12</v>
      </c>
      <c r="H119" s="5">
        <f>SUM(H112:H118)</f>
        <v>9</v>
      </c>
      <c r="I119" s="5">
        <f>SUM(I112:I118)</f>
        <v>6</v>
      </c>
      <c r="J119" s="5">
        <f>SUM(J112:J118)</f>
        <v>12</v>
      </c>
      <c r="K119" s="5">
        <f>SUM(K112:K118)</f>
        <v>1</v>
      </c>
      <c r="L119" s="5">
        <f>SUM(L112:L118)</f>
        <v>2</v>
      </c>
      <c r="M119" s="5">
        <f>SUM(M112:M118)</f>
        <v>5</v>
      </c>
      <c r="N119" s="5">
        <f>SUM(N112:N118)</f>
        <v>0</v>
      </c>
      <c r="O119" s="5">
        <f>SUM(O112:O118)</f>
        <v>2</v>
      </c>
      <c r="P119" s="5">
        <f>SUM(P112:P118)</f>
        <v>3</v>
      </c>
      <c r="Q119" s="5">
        <f>SUM(Q112:Q118)</f>
        <v>53</v>
      </c>
    </row>
    <row r="120" spans="1:17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5">
        <f t="shared" ref="Q121" si="22">SUM(E121:P121)</f>
        <v>0</v>
      </c>
    </row>
    <row r="122" spans="1:17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0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0</v>
      </c>
    </row>
    <row r="123" spans="1:17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1:17" x14ac:dyDescent="0.4">
      <c r="A124" s="11" t="s">
        <v>48</v>
      </c>
      <c r="B124" s="17" t="s">
        <v>69</v>
      </c>
      <c r="C124" s="79" t="s">
        <v>70</v>
      </c>
      <c r="D124" s="52"/>
      <c r="E124" s="6">
        <v>0</v>
      </c>
      <c r="F124" s="6">
        <v>0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5">
        <f t="shared" ref="Q124:Q128" si="23">SUM(E124:P124)</f>
        <v>1</v>
      </c>
    </row>
    <row r="125" spans="1:17" x14ac:dyDescent="0.4">
      <c r="A125" s="11" t="s">
        <v>50</v>
      </c>
      <c r="B125" s="46"/>
      <c r="C125" s="24" t="s">
        <v>150</v>
      </c>
      <c r="D125" s="47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1</v>
      </c>
      <c r="N125" s="6">
        <v>1</v>
      </c>
      <c r="O125" s="6">
        <v>0</v>
      </c>
      <c r="P125" s="6">
        <v>0</v>
      </c>
      <c r="Q125" s="5">
        <f t="shared" si="23"/>
        <v>2</v>
      </c>
    </row>
    <row r="126" spans="1:17" x14ac:dyDescent="0.4">
      <c r="A126" s="7"/>
      <c r="B126" s="46"/>
      <c r="C126" s="24" t="s">
        <v>151</v>
      </c>
      <c r="D126" s="47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1</v>
      </c>
      <c r="M126" s="6">
        <v>0</v>
      </c>
      <c r="N126" s="6">
        <v>0</v>
      </c>
      <c r="O126" s="6">
        <v>0</v>
      </c>
      <c r="P126" s="6">
        <v>0</v>
      </c>
      <c r="Q126" s="5">
        <f t="shared" si="23"/>
        <v>1</v>
      </c>
    </row>
    <row r="127" spans="1:17" x14ac:dyDescent="0.4">
      <c r="A127" s="7"/>
      <c r="B127" s="46"/>
      <c r="C127" s="24" t="s">
        <v>152</v>
      </c>
      <c r="D127" s="47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5">
        <f t="shared" si="23"/>
        <v>1</v>
      </c>
    </row>
    <row r="128" spans="1:17" x14ac:dyDescent="0.4">
      <c r="A128" s="7"/>
      <c r="B128" s="46"/>
      <c r="C128" s="24" t="s">
        <v>153</v>
      </c>
      <c r="D128" s="47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5">
        <f t="shared" si="23"/>
        <v>0</v>
      </c>
    </row>
    <row r="129" spans="1:17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0</v>
      </c>
      <c r="F129" s="5">
        <f>SUM(F124:F128)</f>
        <v>0</v>
      </c>
      <c r="G129" s="5">
        <f>SUM(G124:G128)</f>
        <v>1</v>
      </c>
      <c r="H129" s="5">
        <f>SUM(H124:H128)</f>
        <v>0</v>
      </c>
      <c r="I129" s="5">
        <f>SUM(I124:I128)</f>
        <v>0</v>
      </c>
      <c r="J129" s="5">
        <f>SUM(J124:J128)</f>
        <v>0</v>
      </c>
      <c r="K129" s="5">
        <f>SUM(K124:K128)</f>
        <v>1</v>
      </c>
      <c r="L129" s="5">
        <f>SUM(L124:L128)</f>
        <v>1</v>
      </c>
      <c r="M129" s="5">
        <f>SUM(M124:M128)</f>
        <v>1</v>
      </c>
      <c r="N129" s="5">
        <f>SUM(N124:N128)</f>
        <v>1</v>
      </c>
      <c r="O129" s="5">
        <f>SUM(O124:O128)</f>
        <v>0</v>
      </c>
      <c r="P129" s="5">
        <f>SUM(P124:P128)</f>
        <v>0</v>
      </c>
      <c r="Q129" s="5">
        <f>SUM(Q124:Q128)</f>
        <v>5</v>
      </c>
    </row>
    <row r="130" spans="1:17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Q130" s="5"/>
    </row>
    <row r="131" spans="1:17" x14ac:dyDescent="0.4">
      <c r="A131" s="11" t="s">
        <v>48</v>
      </c>
      <c r="B131" s="17" t="s">
        <v>71</v>
      </c>
      <c r="C131" s="79" t="s">
        <v>72</v>
      </c>
      <c r="D131" s="5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5">
        <f t="shared" ref="Q131:Q137" si="24">SUM(E131:P131)</f>
        <v>0</v>
      </c>
    </row>
    <row r="132" spans="1:17" x14ac:dyDescent="0.4">
      <c r="A132" s="11" t="s">
        <v>50</v>
      </c>
      <c r="B132" s="46"/>
      <c r="C132" s="24" t="s">
        <v>154</v>
      </c>
      <c r="D132" s="4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5">
        <f t="shared" si="24"/>
        <v>0</v>
      </c>
    </row>
    <row r="133" spans="1:17" x14ac:dyDescent="0.4">
      <c r="A133" s="7"/>
      <c r="B133" s="46"/>
      <c r="C133" s="24" t="s">
        <v>155</v>
      </c>
      <c r="D133" s="4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5">
        <f t="shared" si="24"/>
        <v>0</v>
      </c>
    </row>
    <row r="134" spans="1:17" x14ac:dyDescent="0.4">
      <c r="A134" s="7"/>
      <c r="B134" s="46"/>
      <c r="C134" s="24" t="s">
        <v>156</v>
      </c>
      <c r="D134" s="4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5">
        <f t="shared" si="24"/>
        <v>0</v>
      </c>
    </row>
    <row r="135" spans="1:17" x14ac:dyDescent="0.4">
      <c r="A135" s="7"/>
      <c r="B135" s="46"/>
      <c r="C135" s="24" t="s">
        <v>157</v>
      </c>
      <c r="D135" s="4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5">
        <f t="shared" si="24"/>
        <v>0</v>
      </c>
    </row>
    <row r="136" spans="1:17" x14ac:dyDescent="0.4">
      <c r="A136" s="7"/>
      <c r="B136" s="46"/>
      <c r="C136" s="24" t="s">
        <v>158</v>
      </c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5">
        <f t="shared" si="24"/>
        <v>0</v>
      </c>
    </row>
    <row r="137" spans="1:17" x14ac:dyDescent="0.4">
      <c r="A137" s="7"/>
      <c r="B137" s="46"/>
      <c r="C137" s="24" t="s">
        <v>159</v>
      </c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5">
        <f t="shared" si="24"/>
        <v>0</v>
      </c>
    </row>
    <row r="138" spans="1:17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0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0</v>
      </c>
      <c r="O138" s="5">
        <f>SUM(O131:O137)</f>
        <v>0</v>
      </c>
      <c r="P138" s="5">
        <f>SUM(P131:P137)</f>
        <v>0</v>
      </c>
      <c r="Q138" s="5">
        <f>SUM(Q131:Q137)</f>
        <v>0</v>
      </c>
    </row>
    <row r="139" spans="1:17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 x14ac:dyDescent="0.4">
      <c r="A140" s="11" t="s">
        <v>48</v>
      </c>
      <c r="B140" s="17" t="s">
        <v>73</v>
      </c>
      <c r="C140" s="79" t="s">
        <v>74</v>
      </c>
      <c r="D140" s="52"/>
      <c r="E140" s="6">
        <v>1</v>
      </c>
      <c r="F140" s="6">
        <v>5</v>
      </c>
      <c r="G140" s="6">
        <v>0</v>
      </c>
      <c r="H140" s="6">
        <v>0</v>
      </c>
      <c r="I140" s="6">
        <v>0</v>
      </c>
      <c r="J140" s="6">
        <v>1</v>
      </c>
      <c r="K140" s="6">
        <v>1</v>
      </c>
      <c r="L140" s="6">
        <v>0</v>
      </c>
      <c r="M140" s="6">
        <v>1</v>
      </c>
      <c r="N140" s="6">
        <v>1</v>
      </c>
      <c r="O140" s="6">
        <v>2</v>
      </c>
      <c r="P140" s="6">
        <v>2</v>
      </c>
      <c r="Q140" s="5">
        <f t="shared" ref="Q140:Q146" si="25">SUM(E140:P140)</f>
        <v>14</v>
      </c>
    </row>
    <row r="141" spans="1:17" x14ac:dyDescent="0.4">
      <c r="A141" s="11" t="s">
        <v>50</v>
      </c>
      <c r="B141" s="46"/>
      <c r="C141" s="24" t="s">
        <v>160</v>
      </c>
      <c r="D141" s="47"/>
      <c r="E141" s="6">
        <v>1</v>
      </c>
      <c r="F141" s="6">
        <v>3</v>
      </c>
      <c r="G141" s="6">
        <v>1</v>
      </c>
      <c r="H141" s="6">
        <v>1</v>
      </c>
      <c r="I141" s="6">
        <v>8</v>
      </c>
      <c r="J141" s="6">
        <v>2</v>
      </c>
      <c r="K141" s="6">
        <v>4</v>
      </c>
      <c r="L141" s="6">
        <v>14</v>
      </c>
      <c r="M141" s="6">
        <v>0</v>
      </c>
      <c r="N141" s="6">
        <v>4</v>
      </c>
      <c r="O141" s="6">
        <v>7</v>
      </c>
      <c r="P141" s="6">
        <v>15</v>
      </c>
      <c r="Q141" s="5">
        <f t="shared" si="25"/>
        <v>60</v>
      </c>
    </row>
    <row r="142" spans="1:17" x14ac:dyDescent="0.4">
      <c r="A142" s="7"/>
      <c r="B142" s="46"/>
      <c r="C142" s="24" t="s">
        <v>161</v>
      </c>
      <c r="D142" s="47"/>
      <c r="E142" s="6">
        <v>0</v>
      </c>
      <c r="F142" s="6">
        <v>0</v>
      </c>
      <c r="G142" s="6">
        <v>1</v>
      </c>
      <c r="H142" s="6">
        <v>0</v>
      </c>
      <c r="I142" s="6">
        <v>0</v>
      </c>
      <c r="J142" s="6">
        <v>1</v>
      </c>
      <c r="K142" s="6">
        <v>0</v>
      </c>
      <c r="L142" s="6">
        <v>1</v>
      </c>
      <c r="M142" s="6">
        <v>1</v>
      </c>
      <c r="N142" s="6">
        <v>0</v>
      </c>
      <c r="O142" s="6">
        <v>0</v>
      </c>
      <c r="P142" s="6">
        <v>1</v>
      </c>
      <c r="Q142" s="5">
        <f t="shared" si="25"/>
        <v>5</v>
      </c>
    </row>
    <row r="143" spans="1:17" x14ac:dyDescent="0.4">
      <c r="A143" s="7"/>
      <c r="B143" s="46"/>
      <c r="C143" s="24" t="s">
        <v>162</v>
      </c>
      <c r="D143" s="47"/>
      <c r="E143" s="6">
        <v>0</v>
      </c>
      <c r="F143" s="6">
        <v>0</v>
      </c>
      <c r="G143" s="6">
        <v>0</v>
      </c>
      <c r="H143" s="6">
        <v>1</v>
      </c>
      <c r="I143" s="6">
        <v>1</v>
      </c>
      <c r="J143" s="6">
        <v>0</v>
      </c>
      <c r="K143" s="6">
        <v>0</v>
      </c>
      <c r="L143" s="6">
        <v>2</v>
      </c>
      <c r="M143" s="6">
        <v>0</v>
      </c>
      <c r="N143" s="6">
        <v>0</v>
      </c>
      <c r="O143" s="6">
        <v>0</v>
      </c>
      <c r="P143" s="6">
        <v>0</v>
      </c>
      <c r="Q143" s="5">
        <f t="shared" si="25"/>
        <v>4</v>
      </c>
    </row>
    <row r="144" spans="1:17" x14ac:dyDescent="0.4">
      <c r="A144" s="7"/>
      <c r="B144" s="46"/>
      <c r="C144" s="24" t="s">
        <v>163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1</v>
      </c>
      <c r="M144" s="6">
        <v>0</v>
      </c>
      <c r="N144" s="6">
        <v>1</v>
      </c>
      <c r="O144" s="6">
        <v>0</v>
      </c>
      <c r="P144" s="6">
        <v>0</v>
      </c>
      <c r="Q144" s="5">
        <f t="shared" si="25"/>
        <v>2</v>
      </c>
    </row>
    <row r="145" spans="1:17" x14ac:dyDescent="0.4">
      <c r="A145" s="7"/>
      <c r="B145" s="46"/>
      <c r="C145" s="24" t="s">
        <v>164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1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5">
        <f t="shared" si="25"/>
        <v>1</v>
      </c>
    </row>
    <row r="146" spans="1:17" ht="13.15" customHeight="1" x14ac:dyDescent="0.4">
      <c r="A146" s="7"/>
      <c r="B146" s="46"/>
      <c r="C146" s="24" t="s">
        <v>165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2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5">
        <f t="shared" si="25"/>
        <v>2</v>
      </c>
    </row>
    <row r="147" spans="1:17" x14ac:dyDescent="0.4">
      <c r="A147" s="6" t="s">
        <v>26</v>
      </c>
      <c r="B147" s="71" t="s">
        <v>51</v>
      </c>
      <c r="C147" s="80"/>
      <c r="D147" s="81"/>
      <c r="E147" s="5">
        <f>SUM(E140:E146)</f>
        <v>2</v>
      </c>
      <c r="F147" s="5">
        <f>SUM(F140:F146)</f>
        <v>8</v>
      </c>
      <c r="G147" s="5">
        <f>SUM(G140:G146)</f>
        <v>2</v>
      </c>
      <c r="H147" s="5">
        <f>SUM(H140:H146)</f>
        <v>2</v>
      </c>
      <c r="I147" s="5">
        <f>SUM(I140:I146)</f>
        <v>11</v>
      </c>
      <c r="J147" s="5">
        <f>SUM(J140:J146)</f>
        <v>5</v>
      </c>
      <c r="K147" s="5">
        <f>SUM(K140:K146)</f>
        <v>5</v>
      </c>
      <c r="L147" s="5">
        <f>SUM(L140:L146)</f>
        <v>18</v>
      </c>
      <c r="M147" s="5">
        <f>SUM(M140:M146)</f>
        <v>2</v>
      </c>
      <c r="N147" s="5">
        <f>SUM(N140:N146)</f>
        <v>6</v>
      </c>
      <c r="O147" s="5">
        <f>SUM(O140:O146)</f>
        <v>9</v>
      </c>
      <c r="P147" s="5">
        <f>SUM(P140:P146)</f>
        <v>18</v>
      </c>
      <c r="Q147" s="5">
        <f>SUM(Q140:Q146)</f>
        <v>88</v>
      </c>
    </row>
    <row r="148" spans="1:17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 x14ac:dyDescent="0.4">
      <c r="A149" s="11" t="s">
        <v>48</v>
      </c>
      <c r="B149" s="17" t="s">
        <v>75</v>
      </c>
      <c r="C149" s="79" t="s">
        <v>76</v>
      </c>
      <c r="D149" s="52"/>
      <c r="E149" s="6">
        <v>0</v>
      </c>
      <c r="F149" s="6">
        <v>0</v>
      </c>
      <c r="G149" s="6">
        <v>0</v>
      </c>
      <c r="H149" s="6">
        <v>2</v>
      </c>
      <c r="I149" s="6">
        <v>0</v>
      </c>
      <c r="J149" s="6">
        <v>1</v>
      </c>
      <c r="K149" s="6">
        <v>0</v>
      </c>
      <c r="L149" s="6">
        <v>1</v>
      </c>
      <c r="M149" s="6">
        <v>1</v>
      </c>
      <c r="N149" s="6">
        <v>0</v>
      </c>
      <c r="O149" s="6">
        <v>1</v>
      </c>
      <c r="P149" s="6">
        <v>0</v>
      </c>
      <c r="Q149" s="5">
        <f t="shared" ref="Q149:Q150" si="26">SUM(E149:P149)</f>
        <v>6</v>
      </c>
    </row>
    <row r="150" spans="1:17" x14ac:dyDescent="0.4">
      <c r="A150" s="11" t="s">
        <v>50</v>
      </c>
      <c r="B150" s="46"/>
      <c r="C150" s="24" t="s">
        <v>166</v>
      </c>
      <c r="D150" s="47"/>
      <c r="E150" s="6">
        <v>0</v>
      </c>
      <c r="F150" s="6">
        <v>0</v>
      </c>
      <c r="G150" s="6">
        <v>1</v>
      </c>
      <c r="H150" s="6">
        <v>1</v>
      </c>
      <c r="I150" s="6">
        <v>1</v>
      </c>
      <c r="J150" s="6">
        <v>0</v>
      </c>
      <c r="K150" s="6">
        <v>0</v>
      </c>
      <c r="L150" s="6">
        <v>0</v>
      </c>
      <c r="M150" s="6">
        <v>2</v>
      </c>
      <c r="N150" s="6">
        <v>4</v>
      </c>
      <c r="O150" s="6">
        <v>1</v>
      </c>
      <c r="P150" s="6">
        <v>1</v>
      </c>
      <c r="Q150" s="5">
        <f t="shared" si="26"/>
        <v>11</v>
      </c>
    </row>
    <row r="151" spans="1:17" x14ac:dyDescent="0.4">
      <c r="A151" s="6" t="s">
        <v>26</v>
      </c>
      <c r="B151" s="71" t="s">
        <v>51</v>
      </c>
      <c r="C151" s="80"/>
      <c r="D151" s="81"/>
      <c r="E151" s="5">
        <f>SUM(E149:E150)</f>
        <v>0</v>
      </c>
      <c r="F151" s="5">
        <f>SUM(F149:F150)</f>
        <v>0</v>
      </c>
      <c r="G151" s="5">
        <f>SUM(G149:G150)</f>
        <v>1</v>
      </c>
      <c r="H151" s="5">
        <f>SUM(H149:H150)</f>
        <v>3</v>
      </c>
      <c r="I151" s="5">
        <f>SUM(I149:I150)</f>
        <v>1</v>
      </c>
      <c r="J151" s="5">
        <f>SUM(J149:J150)</f>
        <v>1</v>
      </c>
      <c r="K151" s="5">
        <f>SUM(K149:K150)</f>
        <v>0</v>
      </c>
      <c r="L151" s="5">
        <f>SUM(L149:L150)</f>
        <v>1</v>
      </c>
      <c r="M151" s="5">
        <f>SUM(M149:M150)</f>
        <v>3</v>
      </c>
      <c r="N151" s="5">
        <f>SUM(N149:N150)</f>
        <v>4</v>
      </c>
      <c r="O151" s="5">
        <f>SUM(O149:O150)</f>
        <v>2</v>
      </c>
      <c r="P151" s="5">
        <f>SUM(P149:P150)</f>
        <v>1</v>
      </c>
      <c r="Q151" s="5">
        <f>SUM(Q149:Q150)</f>
        <v>17</v>
      </c>
    </row>
    <row r="152" spans="1:17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</row>
    <row r="153" spans="1:17" x14ac:dyDescent="0.4">
      <c r="A153" s="11" t="s">
        <v>48</v>
      </c>
      <c r="B153" s="17" t="s">
        <v>77</v>
      </c>
      <c r="C153" s="79" t="s">
        <v>78</v>
      </c>
      <c r="D153" s="5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5">
        <f t="shared" ref="Q153:Q156" si="27">SUM(E153:P153)</f>
        <v>0</v>
      </c>
    </row>
    <row r="154" spans="1:17" x14ac:dyDescent="0.4">
      <c r="A154" s="11" t="s">
        <v>50</v>
      </c>
      <c r="B154" s="17"/>
      <c r="C154" s="24" t="s">
        <v>167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0</v>
      </c>
      <c r="P154" s="6">
        <v>0</v>
      </c>
      <c r="Q154" s="5">
        <f t="shared" si="27"/>
        <v>2</v>
      </c>
    </row>
    <row r="155" spans="1:17" x14ac:dyDescent="0.4">
      <c r="A155" s="7"/>
      <c r="B155" s="17"/>
      <c r="C155" s="24" t="s">
        <v>168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5">
        <f t="shared" si="27"/>
        <v>0</v>
      </c>
    </row>
    <row r="156" spans="1:17" x14ac:dyDescent="0.4">
      <c r="A156" s="7"/>
      <c r="B156" s="17"/>
      <c r="C156" s="24" t="s">
        <v>169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5">
        <f t="shared" si="27"/>
        <v>1</v>
      </c>
    </row>
    <row r="157" spans="1:17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0</v>
      </c>
      <c r="G157" s="5">
        <f>SUM(G153:G156)</f>
        <v>0</v>
      </c>
      <c r="H157" s="5">
        <f>SUM(H153:H156)</f>
        <v>0</v>
      </c>
      <c r="I157" s="5">
        <f>SUM(I153:I156)</f>
        <v>1</v>
      </c>
      <c r="J157" s="5">
        <f>SUM(J153:J156)</f>
        <v>0</v>
      </c>
      <c r="K157" s="5">
        <f>SUM(K153:K156)</f>
        <v>0</v>
      </c>
      <c r="L157" s="5">
        <f>SUM(L153:L156)</f>
        <v>0</v>
      </c>
      <c r="M157" s="5">
        <f>SUM(M153:M156)</f>
        <v>0</v>
      </c>
      <c r="N157" s="5">
        <f>SUM(N153:N156)</f>
        <v>2</v>
      </c>
      <c r="O157" s="5">
        <f>SUM(O153:O156)</f>
        <v>0</v>
      </c>
      <c r="P157" s="5">
        <f>SUM(P153:P156)</f>
        <v>0</v>
      </c>
      <c r="Q157" s="5">
        <f>SUM(Q153:Q156)</f>
        <v>3</v>
      </c>
    </row>
    <row r="158" spans="1:17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 spans="1:17" x14ac:dyDescent="0.4">
      <c r="A159" s="11" t="s">
        <v>48</v>
      </c>
      <c r="B159" s="17" t="s">
        <v>79</v>
      </c>
      <c r="C159" s="79" t="s">
        <v>80</v>
      </c>
      <c r="D159" s="52"/>
      <c r="E159" s="6">
        <v>0</v>
      </c>
      <c r="F159" s="6">
        <v>0</v>
      </c>
      <c r="G159" s="6">
        <v>1</v>
      </c>
      <c r="H159" s="6">
        <v>0</v>
      </c>
      <c r="I159" s="6">
        <v>4</v>
      </c>
      <c r="J159" s="6">
        <v>1</v>
      </c>
      <c r="K159" s="6">
        <v>3</v>
      </c>
      <c r="L159" s="6">
        <v>0</v>
      </c>
      <c r="M159" s="6">
        <v>2</v>
      </c>
      <c r="N159" s="6">
        <v>0</v>
      </c>
      <c r="O159" s="6">
        <v>0</v>
      </c>
      <c r="P159" s="6">
        <v>0</v>
      </c>
      <c r="Q159" s="5">
        <f t="shared" ref="Q159:Q165" si="28">SUM(E159:P159)</f>
        <v>11</v>
      </c>
    </row>
    <row r="160" spans="1:17" x14ac:dyDescent="0.4">
      <c r="A160" s="11" t="s">
        <v>50</v>
      </c>
      <c r="B160" s="46"/>
      <c r="C160" s="24" t="s">
        <v>170</v>
      </c>
      <c r="D160" s="47"/>
      <c r="E160" s="6">
        <v>4</v>
      </c>
      <c r="F160" s="6">
        <v>4</v>
      </c>
      <c r="G160" s="6">
        <v>2</v>
      </c>
      <c r="H160" s="6">
        <v>2</v>
      </c>
      <c r="I160" s="6">
        <v>13</v>
      </c>
      <c r="J160" s="6">
        <v>5</v>
      </c>
      <c r="K160" s="6">
        <v>12</v>
      </c>
      <c r="L160" s="6">
        <v>9</v>
      </c>
      <c r="M160" s="6">
        <v>2</v>
      </c>
      <c r="N160" s="6">
        <v>0</v>
      </c>
      <c r="O160" s="6">
        <v>1</v>
      </c>
      <c r="P160" s="6">
        <v>1</v>
      </c>
      <c r="Q160" s="5">
        <f t="shared" si="28"/>
        <v>55</v>
      </c>
    </row>
    <row r="161" spans="1:17" x14ac:dyDescent="0.4">
      <c r="A161" s="7"/>
      <c r="B161" s="46"/>
      <c r="C161" s="24" t="s">
        <v>171</v>
      </c>
      <c r="D161" s="47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2</v>
      </c>
      <c r="P161" s="6">
        <v>0</v>
      </c>
      <c r="Q161" s="5">
        <f t="shared" si="28"/>
        <v>2</v>
      </c>
    </row>
    <row r="162" spans="1:17" ht="13.15" customHeight="1" x14ac:dyDescent="0.4">
      <c r="A162" s="7"/>
      <c r="B162" s="46"/>
      <c r="C162" s="24" t="s">
        <v>172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5">
        <f t="shared" si="28"/>
        <v>0</v>
      </c>
    </row>
    <row r="163" spans="1:17" x14ac:dyDescent="0.4">
      <c r="A163" s="7"/>
      <c r="B163" s="46"/>
      <c r="C163" s="24" t="s">
        <v>173</v>
      </c>
      <c r="D163" s="47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5">
        <f t="shared" si="28"/>
        <v>0</v>
      </c>
    </row>
    <row r="164" spans="1:17" ht="12.75" customHeight="1" x14ac:dyDescent="0.4">
      <c r="A164" s="7"/>
      <c r="B164" s="46"/>
      <c r="C164" s="24" t="s">
        <v>174</v>
      </c>
      <c r="D164" s="47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5">
        <f t="shared" si="28"/>
        <v>0</v>
      </c>
    </row>
    <row r="165" spans="1:17" x14ac:dyDescent="0.4">
      <c r="A165" s="7"/>
      <c r="B165" s="46"/>
      <c r="C165" s="24" t="s">
        <v>175</v>
      </c>
      <c r="D165" s="47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5">
        <f t="shared" si="28"/>
        <v>1</v>
      </c>
    </row>
    <row r="166" spans="1:17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4</v>
      </c>
      <c r="F166" s="5">
        <f>SUM(F159:F165)</f>
        <v>4</v>
      </c>
      <c r="G166" s="5">
        <f>SUM(G159:G165)</f>
        <v>3</v>
      </c>
      <c r="H166" s="5">
        <f>SUM(H159:H165)</f>
        <v>2</v>
      </c>
      <c r="I166" s="5">
        <f>SUM(I159:I165)</f>
        <v>17</v>
      </c>
      <c r="J166" s="5">
        <f>SUM(J159:J165)</f>
        <v>6</v>
      </c>
      <c r="K166" s="5">
        <f>SUM(K159:K165)</f>
        <v>16</v>
      </c>
      <c r="L166" s="5">
        <f>SUM(L159:L165)</f>
        <v>9</v>
      </c>
      <c r="M166" s="5">
        <f>SUM(M159:M165)</f>
        <v>4</v>
      </c>
      <c r="N166" s="5">
        <f>SUM(N159:N165)</f>
        <v>0</v>
      </c>
      <c r="O166" s="5">
        <f>SUM(O159:O165)</f>
        <v>3</v>
      </c>
      <c r="P166" s="5">
        <f>SUM(P159:P165)</f>
        <v>1</v>
      </c>
      <c r="Q166" s="5">
        <f>SUM(Q159:Q165)</f>
        <v>69</v>
      </c>
    </row>
    <row r="167" spans="1:17" x14ac:dyDescent="0.4">
      <c r="A167" s="50"/>
      <c r="B167" s="82"/>
      <c r="C167" s="82"/>
      <c r="D167" s="82"/>
      <c r="E167" s="83"/>
    </row>
    <row r="168" spans="1:17" x14ac:dyDescent="0.4">
      <c r="A168" s="11" t="s">
        <v>48</v>
      </c>
      <c r="B168" s="17" t="s">
        <v>81</v>
      </c>
      <c r="C168" s="79" t="s">
        <v>82</v>
      </c>
      <c r="D168" s="52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5">
        <f t="shared" ref="Q168:Q169" si="29">SUM(E168:P168)</f>
        <v>1</v>
      </c>
    </row>
    <row r="169" spans="1:17" x14ac:dyDescent="0.4">
      <c r="A169" s="11" t="s">
        <v>50</v>
      </c>
      <c r="B169" s="46"/>
      <c r="C169" s="24" t="s">
        <v>176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1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5">
        <f t="shared" si="29"/>
        <v>1</v>
      </c>
    </row>
    <row r="170" spans="1:17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0</v>
      </c>
      <c r="H170" s="5">
        <f>SUM(H168:H169)</f>
        <v>0</v>
      </c>
      <c r="I170" s="5">
        <f>SUM(I168:I169)</f>
        <v>1</v>
      </c>
      <c r="J170" s="5">
        <f>SUM(J168:J169)</f>
        <v>0</v>
      </c>
      <c r="K170" s="5">
        <f>SUM(K168:K169)</f>
        <v>1</v>
      </c>
      <c r="L170" s="5">
        <f>SUM(L168:L169)</f>
        <v>0</v>
      </c>
      <c r="M170" s="5">
        <f>SUM(M168:M169)</f>
        <v>0</v>
      </c>
      <c r="N170" s="5">
        <f>SUM(N168:N169)</f>
        <v>0</v>
      </c>
      <c r="O170" s="5">
        <f>SUM(O168:O169)</f>
        <v>0</v>
      </c>
      <c r="P170" s="5">
        <f>SUM(P168:P169)</f>
        <v>0</v>
      </c>
      <c r="Q170" s="5">
        <f>SUM(Q168:Q169)</f>
        <v>2</v>
      </c>
    </row>
    <row r="172" spans="1:17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15"/>
      <c r="O172" s="15"/>
      <c r="P172" s="15"/>
      <c r="Q172" s="5"/>
    </row>
    <row r="173" spans="1:17" x14ac:dyDescent="0.4">
      <c r="A173" s="16"/>
      <c r="B173" s="19" t="s">
        <v>85</v>
      </c>
      <c r="C173" s="88" t="s">
        <v>86</v>
      </c>
      <c r="D173" s="89"/>
      <c r="E173" s="6">
        <f>E52+E61+E70+E79+E88+E91+E97+E106+E110+E119+E122+E129+E138+E147+E151+E157+E166+E170</f>
        <v>166</v>
      </c>
      <c r="F173" s="6">
        <f>F52+F61+F70+F79+F88+F91+F97+F106+F110+F119+F122+F129+F138+F147+F151+F157+F166+F170</f>
        <v>146</v>
      </c>
      <c r="G173" s="6">
        <f>G52+G61+G70+G79+G88+G91+G97+G106+G110+G119+G122+G129+G138+G147+G151+G157+G166+G170</f>
        <v>172</v>
      </c>
      <c r="H173" s="6">
        <f>H52+H61+H70+H79+H88+H91+H97+H106+H110+H119+H122+H129+H138+H147+H151+H157+H166+H170</f>
        <v>164</v>
      </c>
      <c r="I173" s="6">
        <f>I52+I61+I70+I79+I88+I91+I97+I106+I110+I119+I122+I129+I138+I147+I151+I157+I166+I170</f>
        <v>186</v>
      </c>
      <c r="J173" s="6">
        <f>J52+J61+J70+J79+J88+J91+J97+J106+J110+J119+J122+J129+J138+J147+J151+J157+J166+J170</f>
        <v>178</v>
      </c>
      <c r="K173" s="6">
        <f>K52+K61+K70+K79+K88+K91+K97+K106+K110+K119+K122+K129+K138+K147+K151+K157+K166+K170</f>
        <v>219</v>
      </c>
      <c r="L173" s="6">
        <f>L52+L61+L70+L79+L88+L91+L97+L106+L110+L119+L122+L129+L138+L147+L151+L157+L166+L170</f>
        <v>199</v>
      </c>
      <c r="M173" s="6">
        <f>M52+M61+M70+M79+M88+M91+M97+M106+M110+M119+M122+M129+M138+M147+M151+M157+M166+M170</f>
        <v>168</v>
      </c>
      <c r="N173" s="6">
        <f>N52+N61+N70+N79+N88+N91+N97+N106+N110+N119+N122+N129+N138+N147+N151+N157+N166+N170</f>
        <v>195</v>
      </c>
      <c r="O173" s="6">
        <f>O52+O61+O70+O79+O88+O91+O97+O106+O110+O119+O122+O129+O138+O147+O151+O157+O166+O170</f>
        <v>132</v>
      </c>
      <c r="P173" s="6">
        <f>P52+P61+P70+P79+P88+P91+P97+P106+P110+P119+P122+P129+P138+P147+P151+P157+P166+P170</f>
        <v>106</v>
      </c>
      <c r="Q173" s="5">
        <f>SUM(E173:P173)</f>
        <v>2031</v>
      </c>
    </row>
    <row r="174" spans="1:17" x14ac:dyDescent="0.4">
      <c r="A174" s="13"/>
      <c r="B174" s="19" t="s">
        <v>87</v>
      </c>
      <c r="C174" s="88" t="s">
        <v>88</v>
      </c>
      <c r="D174" s="89"/>
      <c r="E174" s="6">
        <v>20</v>
      </c>
      <c r="F174" s="6">
        <v>15</v>
      </c>
      <c r="G174" s="6">
        <v>21</v>
      </c>
      <c r="H174" s="6">
        <v>17</v>
      </c>
      <c r="I174" s="6">
        <v>17</v>
      </c>
      <c r="J174" s="6">
        <v>13</v>
      </c>
      <c r="K174" s="6">
        <v>11</v>
      </c>
      <c r="L174" s="6">
        <v>15</v>
      </c>
      <c r="M174" s="6">
        <v>7</v>
      </c>
      <c r="N174" s="6">
        <v>12</v>
      </c>
      <c r="O174" s="6">
        <v>12</v>
      </c>
      <c r="P174" s="6">
        <v>13</v>
      </c>
      <c r="Q174" s="5">
        <f>SUM(E174:P174)</f>
        <v>173</v>
      </c>
    </row>
    <row r="175" spans="1:17" x14ac:dyDescent="0.4">
      <c r="A175" s="14"/>
      <c r="B175" s="19" t="s">
        <v>89</v>
      </c>
      <c r="C175" s="88" t="s">
        <v>90</v>
      </c>
      <c r="D175" s="89"/>
      <c r="E175" s="5">
        <f>SUM(E173:E174)</f>
        <v>186</v>
      </c>
      <c r="F175" s="5">
        <f t="shared" ref="F175:P175" si="30">SUM(F173:F174)</f>
        <v>161</v>
      </c>
      <c r="G175" s="5">
        <f t="shared" si="30"/>
        <v>193</v>
      </c>
      <c r="H175" s="5">
        <f t="shared" si="30"/>
        <v>181</v>
      </c>
      <c r="I175" s="5">
        <f t="shared" si="30"/>
        <v>203</v>
      </c>
      <c r="J175" s="5">
        <f t="shared" si="30"/>
        <v>191</v>
      </c>
      <c r="K175" s="5">
        <f t="shared" si="30"/>
        <v>230</v>
      </c>
      <c r="L175" s="5">
        <f t="shared" si="30"/>
        <v>214</v>
      </c>
      <c r="M175" s="5">
        <f t="shared" si="30"/>
        <v>175</v>
      </c>
      <c r="N175" s="5">
        <f t="shared" si="30"/>
        <v>207</v>
      </c>
      <c r="O175" s="5">
        <f t="shared" si="30"/>
        <v>144</v>
      </c>
      <c r="P175" s="5">
        <f t="shared" si="30"/>
        <v>119</v>
      </c>
      <c r="Q175" s="5">
        <f>SUM(E175:P175)</f>
        <v>2204</v>
      </c>
    </row>
  </sheetData>
  <mergeCells count="86">
    <mergeCell ref="C159:D159"/>
    <mergeCell ref="B138:D138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74:D174"/>
    <mergeCell ref="C175:D175"/>
    <mergeCell ref="B166:D166"/>
    <mergeCell ref="A167:E167"/>
    <mergeCell ref="C168:D168"/>
    <mergeCell ref="B170:D170"/>
    <mergeCell ref="B172:D172"/>
    <mergeCell ref="C173:D173"/>
    <mergeCell ref="C131:D131"/>
    <mergeCell ref="B110:D110"/>
    <mergeCell ref="A111:E111"/>
    <mergeCell ref="C112:D112"/>
    <mergeCell ref="B119:D119"/>
    <mergeCell ref="A120:E120"/>
    <mergeCell ref="C121:D121"/>
    <mergeCell ref="B122:D122"/>
    <mergeCell ref="A123:E123"/>
    <mergeCell ref="C124:D124"/>
    <mergeCell ref="B129:D129"/>
    <mergeCell ref="A130:E130"/>
    <mergeCell ref="C108:D108"/>
    <mergeCell ref="B88:D88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A44:D44"/>
    <mergeCell ref="C45:D45"/>
    <mergeCell ref="B39:C41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E37:I37"/>
    <mergeCell ref="B38:D38"/>
    <mergeCell ref="A42:D42"/>
    <mergeCell ref="E42:I42"/>
    <mergeCell ref="B43:D43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</mergeCells>
  <conditionalFormatting sqref="E14:P15">
    <cfRule type="containsBlanks" dxfId="140" priority="21">
      <formula>LEN(TRIM(E14))=0</formula>
    </cfRule>
  </conditionalFormatting>
  <conditionalFormatting sqref="E19:P20">
    <cfRule type="containsBlanks" dxfId="139" priority="24">
      <formula>LEN(TRIM(E19))=0</formula>
    </cfRule>
  </conditionalFormatting>
  <conditionalFormatting sqref="E22:P23 E25:P26 E33:P33 E35:P35 E39:P40">
    <cfRule type="containsBlanks" dxfId="138" priority="25">
      <formula>LEN(TRIM(E22))=0</formula>
    </cfRule>
  </conditionalFormatting>
  <conditionalFormatting sqref="E30:P30">
    <cfRule type="expression" dxfId="137" priority="26">
      <formula>E30&lt;&gt;E47</formula>
    </cfRule>
    <cfRule type="expression" dxfId="136" priority="27">
      <formula>E30&lt;&gt;E34</formula>
    </cfRule>
  </conditionalFormatting>
  <conditionalFormatting sqref="E45:P51">
    <cfRule type="containsBlanks" dxfId="135" priority="20">
      <formula>LEN(TRIM(E45))=0</formula>
    </cfRule>
  </conditionalFormatting>
  <conditionalFormatting sqref="E54:P60">
    <cfRule type="containsBlanks" dxfId="134" priority="19">
      <formula>LEN(TRIM(E54))=0</formula>
    </cfRule>
  </conditionalFormatting>
  <conditionalFormatting sqref="E63:P69">
    <cfRule type="containsBlanks" dxfId="133" priority="18">
      <formula>LEN(TRIM(E63))=0</formula>
    </cfRule>
  </conditionalFormatting>
  <conditionalFormatting sqref="E72:P78">
    <cfRule type="containsBlanks" dxfId="132" priority="17">
      <formula>LEN(TRIM(E72))=0</formula>
    </cfRule>
  </conditionalFormatting>
  <conditionalFormatting sqref="E81:P87">
    <cfRule type="containsBlanks" dxfId="131" priority="16">
      <formula>LEN(TRIM(E81))=0</formula>
    </cfRule>
  </conditionalFormatting>
  <conditionalFormatting sqref="E90:P90">
    <cfRule type="containsBlanks" dxfId="130" priority="15">
      <formula>LEN(TRIM(E90))=0</formula>
    </cfRule>
  </conditionalFormatting>
  <conditionalFormatting sqref="E93:P96">
    <cfRule type="containsBlanks" dxfId="129" priority="1">
      <formula>LEN(TRIM(E93))=0</formula>
    </cfRule>
  </conditionalFormatting>
  <conditionalFormatting sqref="E99:P105">
    <cfRule type="containsBlanks" dxfId="128" priority="14">
      <formula>LEN(TRIM(E99))=0</formula>
    </cfRule>
  </conditionalFormatting>
  <conditionalFormatting sqref="E108:P109">
    <cfRule type="containsBlanks" dxfId="127" priority="13">
      <formula>LEN(TRIM(E108))=0</formula>
    </cfRule>
  </conditionalFormatting>
  <conditionalFormatting sqref="E112:P118">
    <cfRule type="containsBlanks" dxfId="126" priority="3">
      <formula>LEN(TRIM(E112))=0</formula>
    </cfRule>
  </conditionalFormatting>
  <conditionalFormatting sqref="E121:P121">
    <cfRule type="containsBlanks" dxfId="125" priority="12">
      <formula>LEN(TRIM(E121))=0</formula>
    </cfRule>
  </conditionalFormatting>
  <conditionalFormatting sqref="E124:P128">
    <cfRule type="containsBlanks" dxfId="124" priority="11">
      <formula>LEN(TRIM(E124))=0</formula>
    </cfRule>
  </conditionalFormatting>
  <conditionalFormatting sqref="E131:P137">
    <cfRule type="containsBlanks" dxfId="123" priority="10">
      <formula>LEN(TRIM(E131))=0</formula>
    </cfRule>
  </conditionalFormatting>
  <conditionalFormatting sqref="E140:P146">
    <cfRule type="containsBlanks" dxfId="122" priority="9">
      <formula>LEN(TRIM(E140))=0</formula>
    </cfRule>
  </conditionalFormatting>
  <conditionalFormatting sqref="E149:P150">
    <cfRule type="containsBlanks" dxfId="121" priority="8">
      <formula>LEN(TRIM(E149))=0</formula>
    </cfRule>
  </conditionalFormatting>
  <conditionalFormatting sqref="E153:P156">
    <cfRule type="containsBlanks" dxfId="120" priority="7">
      <formula>LEN(TRIM(E153))=0</formula>
    </cfRule>
  </conditionalFormatting>
  <conditionalFormatting sqref="E159:P165">
    <cfRule type="containsBlanks" dxfId="119" priority="6">
      <formula>LEN(TRIM(E159))=0</formula>
    </cfRule>
  </conditionalFormatting>
  <conditionalFormatting sqref="E168:P169">
    <cfRule type="containsBlanks" dxfId="118" priority="4">
      <formula>LEN(TRIM(E168))=0</formula>
    </cfRule>
  </conditionalFormatting>
  <conditionalFormatting sqref="E173:P174">
    <cfRule type="containsBlanks" dxfId="117" priority="2">
      <formula>LEN(TRIM(E173))=0</formula>
    </cfRule>
  </conditionalFormatting>
  <conditionalFormatting sqref="E34:P34">
    <cfRule type="expression" dxfId="116" priority="121">
      <formula>E30&lt;&gt;E34</formula>
    </cfRule>
    <cfRule type="expression" dxfId="115" priority="122">
      <formula>E30=E34</formula>
    </cfRule>
    <cfRule type="expression" dxfId="114" priority="123">
      <formula>E34&lt;&gt;E30</formula>
    </cfRule>
    <cfRule type="expression" dxfId="113" priority="124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sheetPr>
    <tabColor rgb="FF92D050"/>
  </sheetPr>
  <dimension ref="A2:Q175"/>
  <sheetViews>
    <sheetView topLeftCell="A13" zoomScale="85" zoomScaleNormal="85" workbookViewId="0">
      <pane ySplit="1" topLeftCell="A167" activePane="bottomLeft" state="frozen"/>
      <selection activeCell="A13" sqref="A13"/>
      <selection pane="bottomLeft" activeCell="F174" sqref="F174"/>
    </sheetView>
  </sheetViews>
  <sheetFormatPr defaultRowHeight="13.15" x14ac:dyDescent="0.4"/>
  <cols>
    <col min="3" max="3" width="67.140625" bestFit="1" customWidth="1"/>
    <col min="4" max="4" width="5.85546875" bestFit="1" customWidth="1"/>
    <col min="17" max="17" width="13.28515625" customWidth="1"/>
  </cols>
  <sheetData>
    <row r="2" spans="1:17" x14ac:dyDescent="0.4">
      <c r="C2" s="43" t="s">
        <v>98</v>
      </c>
      <c r="D2" s="43" t="s">
        <v>177</v>
      </c>
    </row>
    <row r="3" spans="1:17" x14ac:dyDescent="0.4">
      <c r="C3" s="43" t="s">
        <v>99</v>
      </c>
      <c r="D3" s="43" t="s">
        <v>100</v>
      </c>
    </row>
    <row r="4" spans="1:17" x14ac:dyDescent="0.4">
      <c r="C4" s="43" t="s">
        <v>101</v>
      </c>
      <c r="D4" s="43" t="s">
        <v>102</v>
      </c>
    </row>
    <row r="5" spans="1:17" x14ac:dyDescent="0.4">
      <c r="C5" s="43"/>
      <c r="D5" s="43"/>
    </row>
    <row r="6" spans="1:17" x14ac:dyDescent="0.4">
      <c r="C6" s="43"/>
      <c r="D6" s="43"/>
    </row>
    <row r="7" spans="1:17" x14ac:dyDescent="0.4">
      <c r="C7" s="43"/>
      <c r="D7" s="43"/>
    </row>
    <row r="8" spans="1:17" x14ac:dyDescent="0.4">
      <c r="C8" s="43"/>
      <c r="D8" s="43"/>
    </row>
    <row r="9" spans="1:17" x14ac:dyDescent="0.4">
      <c r="C9" s="43" t="s">
        <v>103</v>
      </c>
      <c r="D9" s="43" t="s">
        <v>185</v>
      </c>
    </row>
    <row r="11" spans="1:17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3"/>
    </row>
    <row r="12" spans="1:17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6" t="s">
        <v>97</v>
      </c>
    </row>
    <row r="13" spans="1:17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7"/>
    </row>
    <row r="14" spans="1:17" x14ac:dyDescent="0.4">
      <c r="A14" s="7"/>
      <c r="B14" s="59" t="s">
        <v>22</v>
      </c>
      <c r="C14" s="60"/>
      <c r="D14" s="6" t="s">
        <v>23</v>
      </c>
      <c r="E14" s="6">
        <v>139</v>
      </c>
      <c r="F14" s="6">
        <v>134</v>
      </c>
      <c r="G14" s="6">
        <v>138</v>
      </c>
      <c r="H14" s="6">
        <v>136</v>
      </c>
      <c r="I14" s="6">
        <v>114</v>
      </c>
      <c r="J14" s="6">
        <v>128</v>
      </c>
      <c r="K14" s="6">
        <v>115</v>
      </c>
      <c r="L14" s="6">
        <v>133</v>
      </c>
      <c r="M14" s="6">
        <v>112</v>
      </c>
      <c r="N14" s="6">
        <v>135</v>
      </c>
      <c r="O14" s="6">
        <v>124</v>
      </c>
      <c r="P14" s="6">
        <v>119</v>
      </c>
      <c r="Q14" s="5">
        <f>SUM(E14:P14)</f>
        <v>1527</v>
      </c>
    </row>
    <row r="15" spans="1:17" x14ac:dyDescent="0.4">
      <c r="A15" s="7"/>
      <c r="B15" s="61"/>
      <c r="C15" s="62"/>
      <c r="D15" s="6" t="s">
        <v>24</v>
      </c>
      <c r="E15" s="6">
        <v>140</v>
      </c>
      <c r="F15" s="6">
        <v>129</v>
      </c>
      <c r="G15" s="6">
        <v>141</v>
      </c>
      <c r="H15" s="6">
        <v>137</v>
      </c>
      <c r="I15" s="6">
        <v>124</v>
      </c>
      <c r="J15" s="6">
        <v>138</v>
      </c>
      <c r="K15" s="6">
        <v>118</v>
      </c>
      <c r="L15" s="6">
        <v>138</v>
      </c>
      <c r="M15" s="6">
        <v>118</v>
      </c>
      <c r="N15" s="6">
        <v>146</v>
      </c>
      <c r="O15" s="6">
        <v>138</v>
      </c>
      <c r="P15" s="6">
        <v>120</v>
      </c>
      <c r="Q15" s="5">
        <f>SUM(E15:P15)</f>
        <v>1587</v>
      </c>
    </row>
    <row r="16" spans="1:17" x14ac:dyDescent="0.4">
      <c r="A16" s="8"/>
      <c r="B16" s="63"/>
      <c r="C16" s="64"/>
      <c r="D16" s="5" t="s">
        <v>25</v>
      </c>
      <c r="E16" s="5">
        <f t="shared" ref="E16:P16" si="0">SUM(E14:E15)</f>
        <v>279</v>
      </c>
      <c r="F16" s="5">
        <f t="shared" si="0"/>
        <v>263</v>
      </c>
      <c r="G16" s="5">
        <f t="shared" si="0"/>
        <v>279</v>
      </c>
      <c r="H16" s="5">
        <f t="shared" si="0"/>
        <v>273</v>
      </c>
      <c r="I16" s="5">
        <f t="shared" si="0"/>
        <v>238</v>
      </c>
      <c r="J16" s="5">
        <f t="shared" si="0"/>
        <v>266</v>
      </c>
      <c r="K16" s="5">
        <f t="shared" si="0"/>
        <v>233</v>
      </c>
      <c r="L16" s="5">
        <f t="shared" si="0"/>
        <v>271</v>
      </c>
      <c r="M16" s="5">
        <f t="shared" si="0"/>
        <v>230</v>
      </c>
      <c r="N16" s="5">
        <f t="shared" ref="N16" si="1">SUM(N14:N15)</f>
        <v>281</v>
      </c>
      <c r="O16" s="5">
        <f t="shared" si="0"/>
        <v>262</v>
      </c>
      <c r="P16" s="5">
        <f t="shared" si="0"/>
        <v>239</v>
      </c>
      <c r="Q16" s="5">
        <f>SUM(E16:P16)</f>
        <v>3114</v>
      </c>
    </row>
    <row r="17" spans="1:17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28"/>
    </row>
    <row r="18" spans="1:17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28"/>
    </row>
    <row r="19" spans="1:17" x14ac:dyDescent="0.4">
      <c r="A19" s="11"/>
      <c r="B19" s="65" t="s">
        <v>28</v>
      </c>
      <c r="C19" s="66" t="s">
        <v>29</v>
      </c>
      <c r="D19" s="6" t="s">
        <v>23</v>
      </c>
      <c r="E19" s="6">
        <v>120</v>
      </c>
      <c r="F19" s="6">
        <v>107</v>
      </c>
      <c r="G19" s="6">
        <v>100</v>
      </c>
      <c r="H19" s="6">
        <v>100</v>
      </c>
      <c r="I19" s="6">
        <v>93</v>
      </c>
      <c r="J19" s="6">
        <v>107</v>
      </c>
      <c r="K19" s="6">
        <v>90</v>
      </c>
      <c r="L19" s="6">
        <v>110</v>
      </c>
      <c r="M19" s="6">
        <v>88</v>
      </c>
      <c r="N19" s="6">
        <v>100</v>
      </c>
      <c r="O19" s="6">
        <v>88</v>
      </c>
      <c r="P19" s="6">
        <v>90</v>
      </c>
      <c r="Q19" s="5">
        <f t="shared" ref="Q19:Q30" si="2">SUM(E19:P19)</f>
        <v>1193</v>
      </c>
    </row>
    <row r="20" spans="1:17" x14ac:dyDescent="0.4">
      <c r="A20" s="12"/>
      <c r="B20" s="62"/>
      <c r="C20" s="67"/>
      <c r="D20" s="6" t="s">
        <v>24</v>
      </c>
      <c r="E20" s="6">
        <v>116</v>
      </c>
      <c r="F20" s="6">
        <v>115</v>
      </c>
      <c r="G20" s="6">
        <v>111</v>
      </c>
      <c r="H20" s="6">
        <v>109</v>
      </c>
      <c r="I20" s="6">
        <v>113</v>
      </c>
      <c r="J20" s="6">
        <v>120</v>
      </c>
      <c r="K20" s="6">
        <v>102</v>
      </c>
      <c r="L20" s="6">
        <v>119</v>
      </c>
      <c r="M20" s="6">
        <v>95</v>
      </c>
      <c r="N20" s="6">
        <v>107</v>
      </c>
      <c r="O20" s="6">
        <v>110</v>
      </c>
      <c r="P20" s="6">
        <v>97</v>
      </c>
      <c r="Q20" s="5">
        <f t="shared" si="2"/>
        <v>1314</v>
      </c>
    </row>
    <row r="21" spans="1:17" x14ac:dyDescent="0.4">
      <c r="A21" s="13"/>
      <c r="B21" s="64"/>
      <c r="C21" s="68"/>
      <c r="D21" s="5" t="s">
        <v>25</v>
      </c>
      <c r="E21" s="5">
        <f t="shared" ref="E21:P21" si="3">SUM(E19:E20)</f>
        <v>236</v>
      </c>
      <c r="F21" s="5">
        <f t="shared" si="3"/>
        <v>222</v>
      </c>
      <c r="G21" s="5">
        <f t="shared" si="3"/>
        <v>211</v>
      </c>
      <c r="H21" s="5">
        <f t="shared" si="3"/>
        <v>209</v>
      </c>
      <c r="I21" s="5">
        <f t="shared" si="3"/>
        <v>206</v>
      </c>
      <c r="J21" s="5">
        <f t="shared" si="3"/>
        <v>227</v>
      </c>
      <c r="K21" s="5">
        <f t="shared" si="3"/>
        <v>192</v>
      </c>
      <c r="L21" s="5">
        <f t="shared" si="3"/>
        <v>229</v>
      </c>
      <c r="M21" s="5">
        <f t="shared" si="3"/>
        <v>183</v>
      </c>
      <c r="N21" s="5">
        <f t="shared" ref="N21" si="4">SUM(N19:N20)</f>
        <v>207</v>
      </c>
      <c r="O21" s="5">
        <f t="shared" si="3"/>
        <v>198</v>
      </c>
      <c r="P21" s="5">
        <f t="shared" si="3"/>
        <v>187</v>
      </c>
      <c r="Q21" s="5">
        <f t="shared" si="2"/>
        <v>2507</v>
      </c>
    </row>
    <row r="22" spans="1:17" x14ac:dyDescent="0.4">
      <c r="A22" s="12"/>
      <c r="B22" s="65" t="s">
        <v>30</v>
      </c>
      <c r="C22" s="66" t="s">
        <v>31</v>
      </c>
      <c r="D22" s="6" t="s">
        <v>23</v>
      </c>
      <c r="E22" s="6">
        <v>2</v>
      </c>
      <c r="F22" s="6">
        <v>0</v>
      </c>
      <c r="G22" s="6">
        <v>1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2</v>
      </c>
      <c r="Q22" s="5">
        <f t="shared" si="2"/>
        <v>7</v>
      </c>
    </row>
    <row r="23" spans="1:17" x14ac:dyDescent="0.4">
      <c r="A23" s="12"/>
      <c r="B23" s="62"/>
      <c r="C23" s="67"/>
      <c r="D23" s="6" t="s">
        <v>24</v>
      </c>
      <c r="E23" s="6">
        <v>3</v>
      </c>
      <c r="F23" s="6">
        <v>2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1</v>
      </c>
      <c r="N23" s="6">
        <v>1</v>
      </c>
      <c r="O23" s="6">
        <v>0</v>
      </c>
      <c r="P23" s="6">
        <v>0</v>
      </c>
      <c r="Q23" s="5">
        <f t="shared" si="2"/>
        <v>8</v>
      </c>
    </row>
    <row r="24" spans="1:17" x14ac:dyDescent="0.4">
      <c r="A24" s="13"/>
      <c r="B24" s="64"/>
      <c r="C24" s="68"/>
      <c r="D24" s="5" t="s">
        <v>25</v>
      </c>
      <c r="E24" s="5">
        <f t="shared" ref="E24:P24" si="5">SUM(E22:E23)</f>
        <v>5</v>
      </c>
      <c r="F24" s="5">
        <f t="shared" si="5"/>
        <v>2</v>
      </c>
      <c r="G24" s="5">
        <f t="shared" si="5"/>
        <v>1</v>
      </c>
      <c r="H24" s="5">
        <f t="shared" si="5"/>
        <v>1</v>
      </c>
      <c r="I24" s="5">
        <f t="shared" si="5"/>
        <v>0</v>
      </c>
      <c r="J24" s="5">
        <f t="shared" si="5"/>
        <v>1</v>
      </c>
      <c r="K24" s="5">
        <f t="shared" si="5"/>
        <v>1</v>
      </c>
      <c r="L24" s="5">
        <f t="shared" si="5"/>
        <v>0</v>
      </c>
      <c r="M24" s="5">
        <f t="shared" si="5"/>
        <v>1</v>
      </c>
      <c r="N24" s="5">
        <f t="shared" ref="N24" si="6">SUM(N22:N23)</f>
        <v>1</v>
      </c>
      <c r="O24" s="5">
        <f t="shared" si="5"/>
        <v>0</v>
      </c>
      <c r="P24" s="5">
        <f t="shared" si="5"/>
        <v>2</v>
      </c>
      <c r="Q24" s="5">
        <f t="shared" si="2"/>
        <v>15</v>
      </c>
    </row>
    <row r="25" spans="1:17" x14ac:dyDescent="0.4">
      <c r="A25" s="12"/>
      <c r="B25" s="65" t="s">
        <v>32</v>
      </c>
      <c r="C25" s="66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1</v>
      </c>
      <c r="I25" s="6">
        <v>2</v>
      </c>
      <c r="J25" s="6">
        <v>0</v>
      </c>
      <c r="K25" s="6">
        <v>1</v>
      </c>
      <c r="L25" s="6">
        <v>2</v>
      </c>
      <c r="M25" s="6">
        <v>0</v>
      </c>
      <c r="N25" s="6">
        <v>2</v>
      </c>
      <c r="O25" s="6">
        <v>1</v>
      </c>
      <c r="P25" s="6">
        <v>2</v>
      </c>
      <c r="Q25" s="5">
        <f t="shared" si="2"/>
        <v>12</v>
      </c>
    </row>
    <row r="26" spans="1:17" x14ac:dyDescent="0.4">
      <c r="A26" s="12"/>
      <c r="B26" s="62"/>
      <c r="C26" s="67"/>
      <c r="D26" s="6" t="s">
        <v>24</v>
      </c>
      <c r="E26" s="6">
        <v>0</v>
      </c>
      <c r="F26" s="6">
        <v>0</v>
      </c>
      <c r="G26" s="6">
        <v>0</v>
      </c>
      <c r="H26" s="6">
        <v>2</v>
      </c>
      <c r="I26" s="6">
        <v>2</v>
      </c>
      <c r="J26" s="6">
        <v>1</v>
      </c>
      <c r="K26" s="6">
        <v>3</v>
      </c>
      <c r="L26" s="6">
        <v>2</v>
      </c>
      <c r="M26" s="6">
        <v>0</v>
      </c>
      <c r="N26" s="6">
        <v>1</v>
      </c>
      <c r="O26" s="6">
        <v>3</v>
      </c>
      <c r="P26" s="6">
        <v>0</v>
      </c>
      <c r="Q26" s="5">
        <f t="shared" si="2"/>
        <v>14</v>
      </c>
    </row>
    <row r="27" spans="1:17" x14ac:dyDescent="0.4">
      <c r="A27" s="13"/>
      <c r="B27" s="64"/>
      <c r="C27" s="68"/>
      <c r="D27" s="5" t="s">
        <v>25</v>
      </c>
      <c r="E27" s="5">
        <f t="shared" ref="E27:P27" si="7">SUM(E25:E26)</f>
        <v>0</v>
      </c>
      <c r="F27" s="5">
        <f t="shared" si="7"/>
        <v>1</v>
      </c>
      <c r="G27" s="5">
        <f t="shared" si="7"/>
        <v>0</v>
      </c>
      <c r="H27" s="5">
        <f t="shared" si="7"/>
        <v>3</v>
      </c>
      <c r="I27" s="5">
        <f t="shared" si="7"/>
        <v>4</v>
      </c>
      <c r="J27" s="5">
        <f t="shared" si="7"/>
        <v>1</v>
      </c>
      <c r="K27" s="5">
        <f t="shared" si="7"/>
        <v>4</v>
      </c>
      <c r="L27" s="5">
        <f t="shared" si="7"/>
        <v>4</v>
      </c>
      <c r="M27" s="5">
        <f t="shared" si="7"/>
        <v>0</v>
      </c>
      <c r="N27" s="5">
        <f t="shared" ref="N27" si="8">SUM(N25:N26)</f>
        <v>3</v>
      </c>
      <c r="O27" s="5">
        <f t="shared" si="7"/>
        <v>4</v>
      </c>
      <c r="P27" s="5">
        <f t="shared" si="7"/>
        <v>2</v>
      </c>
      <c r="Q27" s="5">
        <f t="shared" si="2"/>
        <v>26</v>
      </c>
    </row>
    <row r="28" spans="1:17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122</v>
      </c>
      <c r="F28" s="5">
        <f t="shared" ref="F28:P29" si="9">SUM(F19,F22,F25)</f>
        <v>108</v>
      </c>
      <c r="G28" s="5">
        <f t="shared" si="9"/>
        <v>101</v>
      </c>
      <c r="H28" s="5">
        <f t="shared" si="9"/>
        <v>101</v>
      </c>
      <c r="I28" s="5">
        <f t="shared" si="9"/>
        <v>95</v>
      </c>
      <c r="J28" s="5">
        <f t="shared" si="9"/>
        <v>108</v>
      </c>
      <c r="K28" s="5">
        <f t="shared" si="9"/>
        <v>92</v>
      </c>
      <c r="L28" s="5">
        <f t="shared" si="9"/>
        <v>112</v>
      </c>
      <c r="M28" s="5">
        <f t="shared" si="9"/>
        <v>88</v>
      </c>
      <c r="N28" s="5">
        <f t="shared" ref="N28" si="10">SUM(N19,N22,N25)</f>
        <v>102</v>
      </c>
      <c r="O28" s="5">
        <f t="shared" si="9"/>
        <v>89</v>
      </c>
      <c r="P28" s="5">
        <f t="shared" si="9"/>
        <v>94</v>
      </c>
      <c r="Q28" s="5">
        <f t="shared" si="2"/>
        <v>1212</v>
      </c>
    </row>
    <row r="29" spans="1:17" x14ac:dyDescent="0.4">
      <c r="A29" s="13"/>
      <c r="B29" s="62"/>
      <c r="C29" s="67"/>
      <c r="D29" s="5" t="s">
        <v>24</v>
      </c>
      <c r="E29" s="5">
        <f>SUM(E20,E23,E26)</f>
        <v>119</v>
      </c>
      <c r="F29" s="5">
        <f t="shared" si="9"/>
        <v>117</v>
      </c>
      <c r="G29" s="5">
        <f t="shared" si="9"/>
        <v>111</v>
      </c>
      <c r="H29" s="5">
        <f t="shared" si="9"/>
        <v>112</v>
      </c>
      <c r="I29" s="5">
        <f t="shared" si="9"/>
        <v>115</v>
      </c>
      <c r="J29" s="5">
        <f t="shared" si="9"/>
        <v>121</v>
      </c>
      <c r="K29" s="5">
        <f t="shared" si="9"/>
        <v>105</v>
      </c>
      <c r="L29" s="5">
        <f t="shared" si="9"/>
        <v>121</v>
      </c>
      <c r="M29" s="5">
        <f t="shared" si="9"/>
        <v>96</v>
      </c>
      <c r="N29" s="5">
        <f t="shared" ref="N29" si="11">SUM(N20,N23,N26)</f>
        <v>109</v>
      </c>
      <c r="O29" s="5">
        <f t="shared" si="9"/>
        <v>113</v>
      </c>
      <c r="P29" s="5">
        <f t="shared" si="9"/>
        <v>97</v>
      </c>
      <c r="Q29" s="5">
        <f t="shared" si="2"/>
        <v>1336</v>
      </c>
    </row>
    <row r="30" spans="1:17" x14ac:dyDescent="0.4">
      <c r="A30" s="13"/>
      <c r="B30" s="64"/>
      <c r="C30" s="68"/>
      <c r="D30" s="5" t="s">
        <v>25</v>
      </c>
      <c r="E30" s="5">
        <f t="shared" ref="E30" si="12">SUM(E28:E29)</f>
        <v>241</v>
      </c>
      <c r="F30" s="5">
        <f t="shared" ref="F30:P30" si="13">SUM(F28:F29)</f>
        <v>225</v>
      </c>
      <c r="G30" s="5">
        <f t="shared" si="13"/>
        <v>212</v>
      </c>
      <c r="H30" s="5">
        <f t="shared" si="13"/>
        <v>213</v>
      </c>
      <c r="I30" s="5">
        <f t="shared" si="13"/>
        <v>210</v>
      </c>
      <c r="J30" s="5">
        <f t="shared" si="13"/>
        <v>229</v>
      </c>
      <c r="K30" s="5">
        <f t="shared" si="13"/>
        <v>197</v>
      </c>
      <c r="L30" s="5">
        <f t="shared" si="13"/>
        <v>233</v>
      </c>
      <c r="M30" s="5">
        <f t="shared" si="13"/>
        <v>184</v>
      </c>
      <c r="N30" s="5">
        <f t="shared" ref="N30" si="14">SUM(N28:N29)</f>
        <v>211</v>
      </c>
      <c r="O30" s="5">
        <f t="shared" si="13"/>
        <v>202</v>
      </c>
      <c r="P30" s="5">
        <f t="shared" si="13"/>
        <v>191</v>
      </c>
      <c r="Q30" s="5">
        <f t="shared" si="2"/>
        <v>2548</v>
      </c>
    </row>
    <row r="31" spans="1:17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28"/>
    </row>
    <row r="32" spans="1:17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28"/>
    </row>
    <row r="33" spans="1:17" x14ac:dyDescent="0.4">
      <c r="A33" s="6">
        <v>1</v>
      </c>
      <c r="B33" s="58" t="s">
        <v>38</v>
      </c>
      <c r="C33" s="51"/>
      <c r="D33" s="52"/>
      <c r="E33" s="6">
        <v>285</v>
      </c>
      <c r="F33" s="6">
        <v>269</v>
      </c>
      <c r="G33" s="6">
        <v>284</v>
      </c>
      <c r="H33" s="6">
        <v>279</v>
      </c>
      <c r="I33" s="6">
        <v>243</v>
      </c>
      <c r="J33" s="6">
        <v>272</v>
      </c>
      <c r="K33" s="6">
        <v>238</v>
      </c>
      <c r="L33" s="6">
        <v>277</v>
      </c>
      <c r="M33" s="6">
        <v>235</v>
      </c>
      <c r="N33" s="6">
        <v>278</v>
      </c>
      <c r="O33" s="6">
        <v>268</v>
      </c>
      <c r="P33" s="6">
        <v>244</v>
      </c>
      <c r="Q33" s="5">
        <f>SUM(E33:P33)</f>
        <v>3172</v>
      </c>
    </row>
    <row r="34" spans="1:17" x14ac:dyDescent="0.4">
      <c r="A34" s="6">
        <v>2</v>
      </c>
      <c r="B34" s="58" t="s">
        <v>39</v>
      </c>
      <c r="C34" s="51"/>
      <c r="D34" s="52"/>
      <c r="E34" s="5">
        <v>241</v>
      </c>
      <c r="F34" s="5">
        <v>225</v>
      </c>
      <c r="G34" s="5">
        <v>212</v>
      </c>
      <c r="H34" s="5">
        <v>213</v>
      </c>
      <c r="I34" s="5">
        <v>210</v>
      </c>
      <c r="J34" s="5">
        <v>229</v>
      </c>
      <c r="K34" s="5">
        <v>197</v>
      </c>
      <c r="L34" s="5">
        <v>233</v>
      </c>
      <c r="M34" s="5">
        <v>184</v>
      </c>
      <c r="N34" s="5">
        <v>211</v>
      </c>
      <c r="O34" s="5">
        <v>202</v>
      </c>
      <c r="P34" s="5">
        <v>191</v>
      </c>
      <c r="Q34" s="5">
        <f>SUM(E34:P34)</f>
        <v>2548</v>
      </c>
    </row>
    <row r="35" spans="1:17" x14ac:dyDescent="0.4">
      <c r="A35" s="6">
        <v>3</v>
      </c>
      <c r="B35" s="58" t="s">
        <v>40</v>
      </c>
      <c r="C35" s="51"/>
      <c r="D35" s="52"/>
      <c r="E35" s="6">
        <v>0</v>
      </c>
      <c r="F35" s="6">
        <v>0</v>
      </c>
      <c r="G35" s="6">
        <v>2</v>
      </c>
      <c r="H35" s="6">
        <v>2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5">
        <f>SUM(E35:P35)</f>
        <v>4</v>
      </c>
    </row>
    <row r="36" spans="1:17" x14ac:dyDescent="0.4">
      <c r="A36" s="6">
        <v>4</v>
      </c>
      <c r="B36" s="58" t="s">
        <v>41</v>
      </c>
      <c r="C36" s="51"/>
      <c r="D36" s="52"/>
      <c r="E36" s="5">
        <f t="shared" ref="E36:P36" si="15">E33-(E34+E35)</f>
        <v>44</v>
      </c>
      <c r="F36" s="5">
        <f t="shared" si="15"/>
        <v>44</v>
      </c>
      <c r="G36" s="5">
        <f t="shared" si="15"/>
        <v>70</v>
      </c>
      <c r="H36" s="5">
        <f t="shared" si="15"/>
        <v>64</v>
      </c>
      <c r="I36" s="5">
        <f t="shared" si="15"/>
        <v>33</v>
      </c>
      <c r="J36" s="5">
        <f t="shared" si="15"/>
        <v>43</v>
      </c>
      <c r="K36" s="5">
        <f t="shared" si="15"/>
        <v>41</v>
      </c>
      <c r="L36" s="5">
        <f t="shared" si="15"/>
        <v>44</v>
      </c>
      <c r="M36" s="5">
        <f t="shared" si="15"/>
        <v>51</v>
      </c>
      <c r="N36" s="5">
        <f t="shared" ref="N36" si="16">N33-(N34+N35)</f>
        <v>67</v>
      </c>
      <c r="O36" s="5">
        <f t="shared" si="15"/>
        <v>66</v>
      </c>
      <c r="P36" s="5">
        <f t="shared" si="15"/>
        <v>53</v>
      </c>
      <c r="Q36" s="5">
        <f>SUM(E36:P36)</f>
        <v>620</v>
      </c>
    </row>
    <row r="37" spans="1:17" x14ac:dyDescent="0.4">
      <c r="A37" s="50"/>
      <c r="B37" s="51"/>
      <c r="C37" s="51"/>
      <c r="D37" s="51"/>
      <c r="E37" s="50"/>
      <c r="F37" s="72"/>
      <c r="G37" s="72"/>
      <c r="H37" s="72"/>
      <c r="I37" s="73"/>
      <c r="J37" s="6"/>
      <c r="K37" s="6"/>
      <c r="L37" s="6"/>
      <c r="M37" s="6"/>
      <c r="N37" s="10"/>
      <c r="O37" s="10"/>
      <c r="P37" s="26"/>
      <c r="Q37" s="28"/>
    </row>
    <row r="38" spans="1:17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28"/>
    </row>
    <row r="39" spans="1:17" x14ac:dyDescent="0.4">
      <c r="A39" s="11"/>
      <c r="B39" s="74" t="s">
        <v>44</v>
      </c>
      <c r="C39" s="60"/>
      <c r="D39" s="6" t="s">
        <v>23</v>
      </c>
      <c r="E39" s="6"/>
      <c r="F39" s="6"/>
      <c r="G39" s="6"/>
      <c r="H39" s="6"/>
      <c r="I39" s="6"/>
      <c r="J39" s="6"/>
      <c r="K39" s="6"/>
      <c r="L39" s="6">
        <v>1</v>
      </c>
      <c r="M39" s="6"/>
      <c r="N39" s="6"/>
      <c r="O39" s="6"/>
      <c r="P39" s="6"/>
      <c r="Q39" s="5">
        <f>SUM(E39:P39)</f>
        <v>1</v>
      </c>
    </row>
    <row r="40" spans="1:17" x14ac:dyDescent="0.4">
      <c r="A40" s="12"/>
      <c r="B40" s="75"/>
      <c r="C40" s="62"/>
      <c r="D40" s="6" t="s">
        <v>24</v>
      </c>
      <c r="E40" s="6"/>
      <c r="F40" s="6"/>
      <c r="G40" s="6"/>
      <c r="H40" s="6"/>
      <c r="I40" s="6"/>
      <c r="J40" s="6">
        <v>1</v>
      </c>
      <c r="K40" s="6"/>
      <c r="L40" s="6">
        <v>1</v>
      </c>
      <c r="M40" s="6"/>
      <c r="N40" s="6"/>
      <c r="O40" s="6"/>
      <c r="P40" s="6"/>
      <c r="Q40" s="5">
        <f>SUM(E40:P40)</f>
        <v>2</v>
      </c>
    </row>
    <row r="41" spans="1:17" x14ac:dyDescent="0.4">
      <c r="A41" s="14"/>
      <c r="B41" s="76"/>
      <c r="C41" s="64"/>
      <c r="D41" s="5" t="s">
        <v>25</v>
      </c>
      <c r="E41" s="5">
        <f t="shared" ref="E41:P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1</v>
      </c>
      <c r="K41" s="5">
        <f t="shared" si="17"/>
        <v>0</v>
      </c>
      <c r="L41" s="5">
        <f t="shared" si="17"/>
        <v>2</v>
      </c>
      <c r="M41" s="5">
        <f t="shared" si="17"/>
        <v>0</v>
      </c>
      <c r="N41" s="5">
        <f t="shared" ref="N41" si="18">SUM(N39:N40)</f>
        <v>0</v>
      </c>
      <c r="O41" s="5">
        <f t="shared" si="17"/>
        <v>0</v>
      </c>
      <c r="P41" s="5">
        <f t="shared" si="17"/>
        <v>0</v>
      </c>
      <c r="Q41" s="5">
        <f>SUM(E41:P41)</f>
        <v>3</v>
      </c>
    </row>
    <row r="42" spans="1:17" x14ac:dyDescent="0.4">
      <c r="A42" s="77"/>
      <c r="B42" s="76"/>
      <c r="C42" s="76"/>
      <c r="D42" s="64"/>
      <c r="E42" s="50"/>
      <c r="F42" s="51"/>
      <c r="G42" s="51"/>
      <c r="H42" s="51"/>
      <c r="I42" s="52"/>
      <c r="J42" s="6"/>
      <c r="K42" s="6"/>
      <c r="L42" s="6"/>
      <c r="M42" s="6"/>
      <c r="N42" s="10"/>
      <c r="O42" s="10"/>
      <c r="P42" s="6"/>
      <c r="Q42" s="5"/>
    </row>
    <row r="43" spans="1:17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15"/>
      <c r="O43" s="15"/>
      <c r="P43" s="5"/>
      <c r="Q43" s="5"/>
    </row>
    <row r="44" spans="1:17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10"/>
      <c r="O44" s="10"/>
      <c r="P44" s="6"/>
      <c r="Q44" s="5"/>
    </row>
    <row r="45" spans="1:17" x14ac:dyDescent="0.4">
      <c r="A45" s="11" t="s">
        <v>48</v>
      </c>
      <c r="B45" s="17" t="s">
        <v>28</v>
      </c>
      <c r="C45" s="79" t="s">
        <v>49</v>
      </c>
      <c r="D45" s="52"/>
      <c r="E45" s="6">
        <v>15</v>
      </c>
      <c r="F45" s="6">
        <v>15</v>
      </c>
      <c r="G45" s="6">
        <v>19</v>
      </c>
      <c r="H45" s="6">
        <v>17</v>
      </c>
      <c r="I45" s="6">
        <v>9</v>
      </c>
      <c r="J45" s="6">
        <v>11</v>
      </c>
      <c r="K45" s="6">
        <v>9</v>
      </c>
      <c r="L45" s="6">
        <v>8</v>
      </c>
      <c r="M45" s="6">
        <v>7</v>
      </c>
      <c r="N45" s="6">
        <v>8</v>
      </c>
      <c r="O45" s="6">
        <v>13</v>
      </c>
      <c r="P45" s="6">
        <v>5</v>
      </c>
      <c r="Q45" s="5">
        <f t="shared" ref="Q45:Q51" si="19">SUM(E45:P45)</f>
        <v>136</v>
      </c>
    </row>
    <row r="46" spans="1:17" x14ac:dyDescent="0.4">
      <c r="A46" s="11" t="s">
        <v>50</v>
      </c>
      <c r="B46" s="46"/>
      <c r="C46" s="24" t="s">
        <v>104</v>
      </c>
      <c r="D46" s="47"/>
      <c r="E46" s="6">
        <v>62</v>
      </c>
      <c r="F46" s="6">
        <v>51</v>
      </c>
      <c r="G46" s="6">
        <v>36</v>
      </c>
      <c r="H46" s="6">
        <v>67</v>
      </c>
      <c r="I46" s="6">
        <v>51</v>
      </c>
      <c r="J46" s="6">
        <v>46</v>
      </c>
      <c r="K46" s="6">
        <v>41</v>
      </c>
      <c r="L46" s="6">
        <v>51</v>
      </c>
      <c r="M46" s="6">
        <v>38</v>
      </c>
      <c r="N46" s="6">
        <v>26</v>
      </c>
      <c r="O46" s="6">
        <v>37</v>
      </c>
      <c r="P46" s="6">
        <v>50</v>
      </c>
      <c r="Q46" s="5">
        <f t="shared" si="19"/>
        <v>556</v>
      </c>
    </row>
    <row r="47" spans="1:17" x14ac:dyDescent="0.4">
      <c r="A47" s="7"/>
      <c r="B47" s="46"/>
      <c r="C47" s="24" t="s">
        <v>105</v>
      </c>
      <c r="D47" s="47"/>
      <c r="E47" s="6">
        <v>41</v>
      </c>
      <c r="F47" s="6">
        <v>45</v>
      </c>
      <c r="G47" s="6">
        <v>67</v>
      </c>
      <c r="H47" s="6">
        <v>32</v>
      </c>
      <c r="I47" s="6">
        <v>35</v>
      </c>
      <c r="J47" s="6">
        <v>38</v>
      </c>
      <c r="K47" s="6">
        <v>37</v>
      </c>
      <c r="L47" s="6">
        <v>43</v>
      </c>
      <c r="M47" s="6">
        <v>38</v>
      </c>
      <c r="N47" s="6">
        <v>25</v>
      </c>
      <c r="O47" s="6">
        <v>18</v>
      </c>
      <c r="P47" s="6">
        <v>25</v>
      </c>
      <c r="Q47" s="5">
        <f t="shared" si="19"/>
        <v>444</v>
      </c>
    </row>
    <row r="48" spans="1:17" x14ac:dyDescent="0.4">
      <c r="A48" s="7"/>
      <c r="B48" s="46"/>
      <c r="C48" s="24" t="s">
        <v>106</v>
      </c>
      <c r="D48" s="47"/>
      <c r="E48" s="6">
        <v>1</v>
      </c>
      <c r="F48" s="6">
        <v>0</v>
      </c>
      <c r="G48" s="6">
        <v>0</v>
      </c>
      <c r="H48" s="6">
        <v>1</v>
      </c>
      <c r="I48" s="6">
        <v>0</v>
      </c>
      <c r="J48" s="6">
        <v>0</v>
      </c>
      <c r="K48" s="6">
        <v>1</v>
      </c>
      <c r="L48" s="6">
        <v>3</v>
      </c>
      <c r="M48" s="6">
        <v>0</v>
      </c>
      <c r="N48" s="6">
        <v>0</v>
      </c>
      <c r="O48" s="6">
        <v>0</v>
      </c>
      <c r="P48" s="6">
        <v>0</v>
      </c>
      <c r="Q48" s="5">
        <f t="shared" si="19"/>
        <v>6</v>
      </c>
    </row>
    <row r="49" spans="1:17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5">
        <f t="shared" si="19"/>
        <v>1</v>
      </c>
    </row>
    <row r="50" spans="1:17" x14ac:dyDescent="0.4">
      <c r="A50" s="7"/>
      <c r="B50" s="46"/>
      <c r="C50" s="24" t="s">
        <v>108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5">
        <f t="shared" si="19"/>
        <v>0</v>
      </c>
    </row>
    <row r="51" spans="1:17" x14ac:dyDescent="0.4">
      <c r="A51" s="7"/>
      <c r="B51" s="46"/>
      <c r="C51" s="24" t="s">
        <v>109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3</v>
      </c>
      <c r="O51" s="6">
        <v>0</v>
      </c>
      <c r="P51" s="6">
        <v>0</v>
      </c>
      <c r="Q51" s="5">
        <f t="shared" si="19"/>
        <v>4</v>
      </c>
    </row>
    <row r="52" spans="1:17" x14ac:dyDescent="0.4">
      <c r="A52" s="6" t="s">
        <v>26</v>
      </c>
      <c r="B52" s="71" t="s">
        <v>51</v>
      </c>
      <c r="C52" s="51"/>
      <c r="D52" s="52"/>
      <c r="E52" s="5">
        <f>SUM(E45:E51)</f>
        <v>119</v>
      </c>
      <c r="F52" s="5">
        <f>SUM(F45:F51)</f>
        <v>111</v>
      </c>
      <c r="G52" s="5">
        <f>SUM(G45:G51)</f>
        <v>122</v>
      </c>
      <c r="H52" s="5">
        <f>SUM(H45:H51)</f>
        <v>117</v>
      </c>
      <c r="I52" s="5">
        <f>SUM(I45:I51)</f>
        <v>95</v>
      </c>
      <c r="J52" s="5">
        <f>SUM(J45:J51)</f>
        <v>95</v>
      </c>
      <c r="K52" s="5">
        <f>SUM(K45:K51)</f>
        <v>88</v>
      </c>
      <c r="L52" s="5">
        <f>SUM(L45:L51)</f>
        <v>107</v>
      </c>
      <c r="M52" s="5">
        <f>SUM(M45:M51)</f>
        <v>83</v>
      </c>
      <c r="N52" s="5">
        <f>SUM(N45:N51)</f>
        <v>62</v>
      </c>
      <c r="O52" s="5">
        <f>SUM(O45:O51)</f>
        <v>68</v>
      </c>
      <c r="P52" s="5">
        <f>SUM(P45:P51)</f>
        <v>80</v>
      </c>
      <c r="Q52" s="5">
        <f>SUM(Q45:Q51)</f>
        <v>1147</v>
      </c>
    </row>
    <row r="53" spans="1:17" x14ac:dyDescent="0.4">
      <c r="A53" s="77"/>
      <c r="B53" s="76"/>
      <c r="C53" s="76"/>
      <c r="D53" s="76"/>
      <c r="E53" s="76"/>
      <c r="Q53" s="5"/>
    </row>
    <row r="54" spans="1:17" x14ac:dyDescent="0.4">
      <c r="A54" s="11" t="s">
        <v>48</v>
      </c>
      <c r="B54" s="17" t="s">
        <v>30</v>
      </c>
      <c r="C54" s="79" t="s">
        <v>52</v>
      </c>
      <c r="D54" s="52"/>
      <c r="E54" s="6">
        <v>3</v>
      </c>
      <c r="F54" s="6">
        <v>8</v>
      </c>
      <c r="G54" s="6">
        <v>6</v>
      </c>
      <c r="H54" s="6">
        <v>6</v>
      </c>
      <c r="I54" s="6">
        <v>5</v>
      </c>
      <c r="J54" s="6">
        <v>2</v>
      </c>
      <c r="K54" s="6">
        <v>7</v>
      </c>
      <c r="L54" s="6">
        <v>1</v>
      </c>
      <c r="M54" s="6">
        <v>3</v>
      </c>
      <c r="N54" s="6">
        <v>13</v>
      </c>
      <c r="O54" s="6">
        <v>9</v>
      </c>
      <c r="P54" s="6">
        <v>7</v>
      </c>
      <c r="Q54" s="5">
        <f t="shared" ref="Q54:Q60" si="20">SUM(E54:P54)</f>
        <v>70</v>
      </c>
    </row>
    <row r="55" spans="1:17" x14ac:dyDescent="0.4">
      <c r="A55" s="11" t="s">
        <v>50</v>
      </c>
      <c r="B55" s="46"/>
      <c r="C55" s="24" t="s">
        <v>110</v>
      </c>
      <c r="D55" s="47"/>
      <c r="E55" s="6">
        <v>6</v>
      </c>
      <c r="F55" s="6">
        <v>1</v>
      </c>
      <c r="G55" s="6">
        <v>9</v>
      </c>
      <c r="H55" s="6">
        <v>4</v>
      </c>
      <c r="I55" s="6">
        <v>3</v>
      </c>
      <c r="J55" s="6">
        <v>1</v>
      </c>
      <c r="K55" s="6">
        <v>4</v>
      </c>
      <c r="L55" s="6">
        <v>4</v>
      </c>
      <c r="M55" s="6">
        <v>0</v>
      </c>
      <c r="N55" s="6">
        <v>33</v>
      </c>
      <c r="O55" s="6">
        <v>42</v>
      </c>
      <c r="P55" s="6">
        <v>30</v>
      </c>
      <c r="Q55" s="5">
        <f t="shared" si="20"/>
        <v>137</v>
      </c>
    </row>
    <row r="56" spans="1:17" x14ac:dyDescent="0.4">
      <c r="A56" s="7"/>
      <c r="B56" s="46"/>
      <c r="C56" s="24" t="s">
        <v>111</v>
      </c>
      <c r="D56" s="47"/>
      <c r="E56" s="6">
        <v>8</v>
      </c>
      <c r="F56" s="6">
        <v>5</v>
      </c>
      <c r="G56" s="6">
        <v>3</v>
      </c>
      <c r="H56" s="6">
        <v>2</v>
      </c>
      <c r="I56" s="6">
        <v>2</v>
      </c>
      <c r="J56" s="6">
        <v>7</v>
      </c>
      <c r="K56" s="6">
        <v>15</v>
      </c>
      <c r="L56" s="6">
        <v>4</v>
      </c>
      <c r="M56" s="6">
        <v>4</v>
      </c>
      <c r="N56" s="6">
        <v>15</v>
      </c>
      <c r="O56" s="6">
        <v>3</v>
      </c>
      <c r="P56" s="6">
        <v>0</v>
      </c>
      <c r="Q56" s="5">
        <f t="shared" si="20"/>
        <v>68</v>
      </c>
    </row>
    <row r="57" spans="1:17" x14ac:dyDescent="0.4">
      <c r="A57" s="7"/>
      <c r="B57" s="46"/>
      <c r="C57" s="24" t="s">
        <v>112</v>
      </c>
      <c r="D57" s="47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5">
        <f t="shared" si="20"/>
        <v>1</v>
      </c>
    </row>
    <row r="58" spans="1:17" x14ac:dyDescent="0.4">
      <c r="A58" s="7"/>
      <c r="B58" s="46"/>
      <c r="C58" s="24" t="s">
        <v>113</v>
      </c>
      <c r="D58" s="47"/>
      <c r="E58" s="6">
        <v>0</v>
      </c>
      <c r="F58" s="6">
        <v>1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1</v>
      </c>
      <c r="O58" s="6">
        <v>0</v>
      </c>
      <c r="P58" s="6">
        <v>0</v>
      </c>
      <c r="Q58" s="5">
        <f t="shared" si="20"/>
        <v>4</v>
      </c>
    </row>
    <row r="59" spans="1:17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5">
        <f t="shared" si="20"/>
        <v>0</v>
      </c>
    </row>
    <row r="60" spans="1:17" ht="13.15" customHeight="1" x14ac:dyDescent="0.4">
      <c r="A60" s="7"/>
      <c r="B60" s="46"/>
      <c r="C60" s="24" t="s">
        <v>115</v>
      </c>
      <c r="D60" s="47"/>
      <c r="E60" s="6">
        <v>2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5">
        <f t="shared" si="20"/>
        <v>2</v>
      </c>
    </row>
    <row r="61" spans="1:17" x14ac:dyDescent="0.4">
      <c r="A61" s="6" t="s">
        <v>26</v>
      </c>
      <c r="B61" s="71" t="s">
        <v>51</v>
      </c>
      <c r="C61" s="51"/>
      <c r="D61" s="52"/>
      <c r="E61" s="5">
        <f>SUM(E54:E60)</f>
        <v>19</v>
      </c>
      <c r="F61" s="5">
        <f>SUM(F54:F60)</f>
        <v>15</v>
      </c>
      <c r="G61" s="5">
        <f>SUM(G54:G60)</f>
        <v>19</v>
      </c>
      <c r="H61" s="5">
        <f>SUM(H54:H60)</f>
        <v>12</v>
      </c>
      <c r="I61" s="5">
        <f>SUM(I54:I60)</f>
        <v>10</v>
      </c>
      <c r="J61" s="5">
        <f>SUM(J54:J60)</f>
        <v>10</v>
      </c>
      <c r="K61" s="5">
        <f>SUM(K54:K60)</f>
        <v>26</v>
      </c>
      <c r="L61" s="5">
        <f>SUM(L54:L60)</f>
        <v>10</v>
      </c>
      <c r="M61" s="5">
        <f>SUM(M54:M60)</f>
        <v>7</v>
      </c>
      <c r="N61" s="5">
        <f>SUM(N54:N60)</f>
        <v>63</v>
      </c>
      <c r="O61" s="5">
        <f>SUM(O54:O60)</f>
        <v>54</v>
      </c>
      <c r="P61" s="5">
        <f>SUM(P54:P60)</f>
        <v>37</v>
      </c>
      <c r="Q61" s="5">
        <f>SUM(Q54:Q60)</f>
        <v>282</v>
      </c>
    </row>
    <row r="62" spans="1:17" x14ac:dyDescent="0.4">
      <c r="A62" s="77"/>
      <c r="B62" s="76"/>
      <c r="C62" s="76"/>
      <c r="D62" s="76"/>
      <c r="E62" s="76"/>
    </row>
    <row r="63" spans="1:17" x14ac:dyDescent="0.4">
      <c r="A63" s="11" t="s">
        <v>48</v>
      </c>
      <c r="B63" s="17" t="s">
        <v>32</v>
      </c>
      <c r="C63" s="79" t="s">
        <v>53</v>
      </c>
      <c r="D63" s="52"/>
      <c r="E63" s="6">
        <v>1</v>
      </c>
      <c r="F63" s="6">
        <v>5</v>
      </c>
      <c r="G63" s="6">
        <v>1</v>
      </c>
      <c r="H63" s="6">
        <v>1</v>
      </c>
      <c r="I63" s="6">
        <v>0</v>
      </c>
      <c r="J63" s="6">
        <v>2</v>
      </c>
      <c r="K63" s="6">
        <v>1</v>
      </c>
      <c r="L63" s="6">
        <v>0</v>
      </c>
      <c r="M63" s="6">
        <v>1</v>
      </c>
      <c r="N63" s="6">
        <v>6</v>
      </c>
      <c r="O63" s="6">
        <v>10</v>
      </c>
      <c r="P63" s="6">
        <v>3</v>
      </c>
      <c r="Q63" s="5">
        <f t="shared" ref="Q63:Q69" si="21">SUM(E63:P63)</f>
        <v>31</v>
      </c>
    </row>
    <row r="64" spans="1:17" x14ac:dyDescent="0.4">
      <c r="A64" s="11" t="s">
        <v>50</v>
      </c>
      <c r="B64" s="46"/>
      <c r="C64" s="24" t="s">
        <v>116</v>
      </c>
      <c r="D64" s="47"/>
      <c r="E64" s="6">
        <v>1</v>
      </c>
      <c r="F64" s="6">
        <v>0</v>
      </c>
      <c r="G64" s="6">
        <v>0</v>
      </c>
      <c r="H64" s="6">
        <v>1</v>
      </c>
      <c r="I64" s="6">
        <v>0</v>
      </c>
      <c r="J64" s="6">
        <v>3</v>
      </c>
      <c r="K64" s="6">
        <v>0</v>
      </c>
      <c r="L64" s="6">
        <v>1</v>
      </c>
      <c r="M64" s="6">
        <v>1</v>
      </c>
      <c r="N64" s="6">
        <v>2</v>
      </c>
      <c r="O64" s="6">
        <v>0</v>
      </c>
      <c r="P64" s="6">
        <v>2</v>
      </c>
      <c r="Q64" s="5">
        <f t="shared" si="21"/>
        <v>11</v>
      </c>
    </row>
    <row r="65" spans="1:17" x14ac:dyDescent="0.4">
      <c r="A65" s="7"/>
      <c r="B65" s="46"/>
      <c r="C65" s="24" t="s">
        <v>117</v>
      </c>
      <c r="D65" s="47"/>
      <c r="E65" s="6">
        <v>18</v>
      </c>
      <c r="F65" s="6">
        <v>10</v>
      </c>
      <c r="G65" s="6">
        <v>5</v>
      </c>
      <c r="H65" s="6">
        <v>6</v>
      </c>
      <c r="I65" s="6">
        <v>9</v>
      </c>
      <c r="J65" s="6">
        <v>7</v>
      </c>
      <c r="K65" s="6">
        <v>4</v>
      </c>
      <c r="L65" s="6">
        <v>14</v>
      </c>
      <c r="M65" s="6">
        <v>7</v>
      </c>
      <c r="N65" s="6">
        <v>16</v>
      </c>
      <c r="O65" s="6">
        <v>11</v>
      </c>
      <c r="P65" s="6">
        <v>50</v>
      </c>
      <c r="Q65" s="5">
        <f t="shared" si="21"/>
        <v>157</v>
      </c>
    </row>
    <row r="66" spans="1:17" x14ac:dyDescent="0.4">
      <c r="A66" s="7"/>
      <c r="B66" s="46"/>
      <c r="C66" s="24" t="s">
        <v>118</v>
      </c>
      <c r="D66" s="47"/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5</v>
      </c>
      <c r="P66" s="6">
        <v>1</v>
      </c>
      <c r="Q66" s="5">
        <f t="shared" si="21"/>
        <v>8</v>
      </c>
    </row>
    <row r="67" spans="1:17" x14ac:dyDescent="0.4">
      <c r="A67" s="7"/>
      <c r="B67" s="46"/>
      <c r="C67" s="24" t="s">
        <v>119</v>
      </c>
      <c r="D67" s="47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1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5">
        <f t="shared" si="21"/>
        <v>1</v>
      </c>
    </row>
    <row r="68" spans="1:17" ht="13.15" customHeight="1" x14ac:dyDescent="0.4">
      <c r="A68" s="7"/>
      <c r="B68" s="46"/>
      <c r="C68" s="24" t="s">
        <v>120</v>
      </c>
      <c r="D68" s="47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5">
        <f t="shared" si="21"/>
        <v>0</v>
      </c>
    </row>
    <row r="69" spans="1:17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1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5">
        <f t="shared" si="21"/>
        <v>2</v>
      </c>
    </row>
    <row r="70" spans="1:17" x14ac:dyDescent="0.4">
      <c r="A70" s="6" t="s">
        <v>26</v>
      </c>
      <c r="B70" s="71" t="s">
        <v>51</v>
      </c>
      <c r="C70" s="51"/>
      <c r="D70" s="52"/>
      <c r="E70" s="5">
        <f>SUM(E63:E69)</f>
        <v>20</v>
      </c>
      <c r="F70" s="5">
        <f>SUM(F63:F69)</f>
        <v>16</v>
      </c>
      <c r="G70" s="5">
        <f>SUM(G63:G69)</f>
        <v>6</v>
      </c>
      <c r="H70" s="5">
        <f>SUM(H63:H69)</f>
        <v>8</v>
      </c>
      <c r="I70" s="5">
        <f>SUM(I63:I69)</f>
        <v>9</v>
      </c>
      <c r="J70" s="5">
        <f>SUM(J63:J69)</f>
        <v>13</v>
      </c>
      <c r="K70" s="5">
        <f>SUM(K63:K69)</f>
        <v>7</v>
      </c>
      <c r="L70" s="5">
        <f>SUM(L63:L69)</f>
        <v>15</v>
      </c>
      <c r="M70" s="5">
        <f>SUM(M63:M69)</f>
        <v>9</v>
      </c>
      <c r="N70" s="5">
        <f>SUM(N63:N69)</f>
        <v>24</v>
      </c>
      <c r="O70" s="5">
        <f>SUM(O63:O69)</f>
        <v>27</v>
      </c>
      <c r="P70" s="5">
        <f>SUM(P63:P69)</f>
        <v>56</v>
      </c>
      <c r="Q70" s="5">
        <f>SUM(Q63:Q69)</f>
        <v>210</v>
      </c>
    </row>
    <row r="71" spans="1:17" x14ac:dyDescent="0.4">
      <c r="A71" s="77"/>
      <c r="B71" s="76"/>
      <c r="C71" s="76"/>
      <c r="D71" s="76"/>
      <c r="E71" s="76"/>
    </row>
    <row r="72" spans="1:17" x14ac:dyDescent="0.4">
      <c r="A72" s="11" t="s">
        <v>48</v>
      </c>
      <c r="B72" s="17" t="s">
        <v>34</v>
      </c>
      <c r="C72" s="79" t="s">
        <v>54</v>
      </c>
      <c r="D72" s="5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3</v>
      </c>
      <c r="K72" s="6">
        <v>0</v>
      </c>
      <c r="L72" s="6">
        <v>0</v>
      </c>
      <c r="M72" s="6">
        <v>1</v>
      </c>
      <c r="N72" s="6">
        <v>2</v>
      </c>
      <c r="O72" s="6">
        <v>3</v>
      </c>
      <c r="P72" s="6">
        <v>0</v>
      </c>
      <c r="Q72" s="5">
        <f t="shared" ref="Q72:Q78" si="22">SUM(E72:P72)</f>
        <v>9</v>
      </c>
    </row>
    <row r="73" spans="1:17" x14ac:dyDescent="0.4">
      <c r="A73" s="11" t="s">
        <v>50</v>
      </c>
      <c r="B73" s="46"/>
      <c r="C73" s="24" t="s">
        <v>122</v>
      </c>
      <c r="D73" s="47"/>
      <c r="E73" s="6">
        <v>3</v>
      </c>
      <c r="F73" s="6">
        <v>2</v>
      </c>
      <c r="G73" s="6">
        <v>2</v>
      </c>
      <c r="H73" s="6">
        <v>6</v>
      </c>
      <c r="I73" s="6">
        <v>0</v>
      </c>
      <c r="J73" s="6">
        <v>2</v>
      </c>
      <c r="K73" s="6">
        <v>2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5">
        <f t="shared" si="22"/>
        <v>18</v>
      </c>
    </row>
    <row r="74" spans="1:17" x14ac:dyDescent="0.4">
      <c r="A74" s="7"/>
      <c r="B74" s="46"/>
      <c r="C74" s="24" t="s">
        <v>123</v>
      </c>
      <c r="D74" s="47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5">
        <f t="shared" si="22"/>
        <v>0</v>
      </c>
    </row>
    <row r="75" spans="1:17" x14ac:dyDescent="0.4">
      <c r="A75" s="7"/>
      <c r="B75" s="46"/>
      <c r="C75" s="24" t="s">
        <v>124</v>
      </c>
      <c r="D75" s="47"/>
      <c r="E75" s="6">
        <v>4</v>
      </c>
      <c r="F75" s="6">
        <v>2</v>
      </c>
      <c r="G75" s="6">
        <v>0</v>
      </c>
      <c r="H75" s="6">
        <v>2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5">
        <f t="shared" si="22"/>
        <v>9</v>
      </c>
    </row>
    <row r="76" spans="1:17" ht="13.15" customHeight="1" x14ac:dyDescent="0.4">
      <c r="A76" s="7"/>
      <c r="B76" s="46"/>
      <c r="C76" s="24" t="s">
        <v>125</v>
      </c>
      <c r="D76" s="47"/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5">
        <f t="shared" si="22"/>
        <v>1</v>
      </c>
    </row>
    <row r="77" spans="1:17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5">
        <f t="shared" si="22"/>
        <v>1</v>
      </c>
    </row>
    <row r="78" spans="1:17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5">
        <f t="shared" si="22"/>
        <v>0</v>
      </c>
    </row>
    <row r="79" spans="1:17" x14ac:dyDescent="0.4">
      <c r="A79" s="6" t="s">
        <v>26</v>
      </c>
      <c r="B79" s="71" t="s">
        <v>51</v>
      </c>
      <c r="C79" s="51"/>
      <c r="D79" s="52"/>
      <c r="E79" s="5">
        <f>SUM(E72:E78)</f>
        <v>8</v>
      </c>
      <c r="F79" s="5">
        <f>SUM(F72:F78)</f>
        <v>4</v>
      </c>
      <c r="G79" s="5">
        <f>SUM(G72:G78)</f>
        <v>2</v>
      </c>
      <c r="H79" s="5">
        <f>SUM(H72:H78)</f>
        <v>8</v>
      </c>
      <c r="I79" s="5">
        <f>SUM(I72:I78)</f>
        <v>0</v>
      </c>
      <c r="J79" s="5">
        <f>SUM(J72:J78)</f>
        <v>5</v>
      </c>
      <c r="K79" s="5">
        <f>SUM(K72:K78)</f>
        <v>2</v>
      </c>
      <c r="L79" s="5">
        <f>SUM(L72:L78)</f>
        <v>0</v>
      </c>
      <c r="M79" s="5">
        <f>SUM(M72:M78)</f>
        <v>2</v>
      </c>
      <c r="N79" s="5">
        <f>SUM(N72:N78)</f>
        <v>3</v>
      </c>
      <c r="O79" s="5">
        <f>SUM(O72:O78)</f>
        <v>3</v>
      </c>
      <c r="P79" s="5">
        <f>SUM(P72:P78)</f>
        <v>1</v>
      </c>
      <c r="Q79" s="5">
        <f>SUM(Q72:Q78)</f>
        <v>38</v>
      </c>
    </row>
    <row r="80" spans="1:17" x14ac:dyDescent="0.4">
      <c r="A80" s="77"/>
      <c r="B80" s="76"/>
      <c r="C80" s="76"/>
      <c r="D80" s="76"/>
      <c r="E80" s="76"/>
    </row>
    <row r="81" spans="1:17" x14ac:dyDescent="0.4">
      <c r="A81" s="11" t="s">
        <v>48</v>
      </c>
      <c r="B81" s="17" t="s">
        <v>55</v>
      </c>
      <c r="C81" s="79" t="s">
        <v>56</v>
      </c>
      <c r="D81" s="52"/>
      <c r="E81" s="6">
        <v>1</v>
      </c>
      <c r="F81" s="6">
        <v>0</v>
      </c>
      <c r="G81" s="6">
        <v>1</v>
      </c>
      <c r="H81" s="6">
        <v>1</v>
      </c>
      <c r="I81" s="6">
        <v>0</v>
      </c>
      <c r="J81" s="6">
        <v>1</v>
      </c>
      <c r="K81" s="6">
        <v>0</v>
      </c>
      <c r="L81" s="6">
        <v>1</v>
      </c>
      <c r="M81" s="6">
        <v>0</v>
      </c>
      <c r="N81" s="6">
        <v>0</v>
      </c>
      <c r="O81" s="6">
        <v>1</v>
      </c>
      <c r="P81" s="6">
        <v>0</v>
      </c>
      <c r="Q81" s="5">
        <f t="shared" ref="Q81:Q87" si="23">SUM(E81:P81)</f>
        <v>6</v>
      </c>
    </row>
    <row r="82" spans="1:17" x14ac:dyDescent="0.4">
      <c r="A82" s="11" t="s">
        <v>50</v>
      </c>
      <c r="B82" s="46"/>
      <c r="C82" s="24" t="s">
        <v>128</v>
      </c>
      <c r="D82" s="47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5">
        <f t="shared" si="23"/>
        <v>0</v>
      </c>
    </row>
    <row r="83" spans="1:17" x14ac:dyDescent="0.4">
      <c r="A83" s="7"/>
      <c r="B83" s="46"/>
      <c r="C83" s="24" t="s">
        <v>129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5">
        <f t="shared" si="23"/>
        <v>0</v>
      </c>
    </row>
    <row r="84" spans="1:17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5">
        <f t="shared" si="23"/>
        <v>1</v>
      </c>
    </row>
    <row r="85" spans="1:17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5">
        <f t="shared" si="23"/>
        <v>0</v>
      </c>
    </row>
    <row r="86" spans="1:17" x14ac:dyDescent="0.4">
      <c r="A86" s="7"/>
      <c r="B86" s="46"/>
      <c r="C86" s="24" t="s">
        <v>132</v>
      </c>
      <c r="D86" s="47"/>
      <c r="E86" s="6">
        <v>0</v>
      </c>
      <c r="F86" s="6">
        <v>0</v>
      </c>
      <c r="G86" s="6">
        <v>2</v>
      </c>
      <c r="H86" s="6">
        <v>2</v>
      </c>
      <c r="I86" s="6">
        <v>2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5">
        <f t="shared" si="23"/>
        <v>6</v>
      </c>
    </row>
    <row r="87" spans="1:17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5">
        <f t="shared" si="23"/>
        <v>0</v>
      </c>
    </row>
    <row r="88" spans="1:17" x14ac:dyDescent="0.4">
      <c r="A88" s="6" t="s">
        <v>26</v>
      </c>
      <c r="B88" s="71" t="s">
        <v>51</v>
      </c>
      <c r="C88" s="51"/>
      <c r="D88" s="52"/>
      <c r="E88" s="5">
        <f>SUM(E81:E87)</f>
        <v>1</v>
      </c>
      <c r="F88" s="5">
        <f>SUM(F81:F87)</f>
        <v>0</v>
      </c>
      <c r="G88" s="5">
        <f>SUM(G81:G87)</f>
        <v>3</v>
      </c>
      <c r="H88" s="5">
        <f>SUM(H81:H87)</f>
        <v>3</v>
      </c>
      <c r="I88" s="5">
        <f>SUM(I81:I87)</f>
        <v>2</v>
      </c>
      <c r="J88" s="5">
        <f>SUM(J81:J87)</f>
        <v>1</v>
      </c>
      <c r="K88" s="5">
        <f>SUM(K81:K87)</f>
        <v>0</v>
      </c>
      <c r="L88" s="5">
        <f>SUM(L81:L87)</f>
        <v>1</v>
      </c>
      <c r="M88" s="5">
        <f>SUM(M81:M87)</f>
        <v>0</v>
      </c>
      <c r="N88" s="5">
        <f>SUM(N81:N87)</f>
        <v>1</v>
      </c>
      <c r="O88" s="5">
        <f>SUM(O81:O87)</f>
        <v>1</v>
      </c>
      <c r="P88" s="5">
        <f>SUM(P81:P87)</f>
        <v>0</v>
      </c>
      <c r="Q88" s="5">
        <f>SUM(Q81:Q87)</f>
        <v>13</v>
      </c>
    </row>
    <row r="89" spans="1:17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x14ac:dyDescent="0.4">
      <c r="A90" s="11" t="s">
        <v>48</v>
      </c>
      <c r="B90" s="17" t="s">
        <v>57</v>
      </c>
      <c r="C90" s="79" t="s">
        <v>58</v>
      </c>
      <c r="D90" s="5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5">
        <f>SUM(E90:P90)</f>
        <v>1</v>
      </c>
    </row>
    <row r="91" spans="1:17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0</v>
      </c>
      <c r="G91" s="5">
        <f>SUM(G90:G90)</f>
        <v>0</v>
      </c>
      <c r="H91" s="5">
        <f>SUM(H90:H90)</f>
        <v>0</v>
      </c>
      <c r="I91" s="5">
        <f>SUM(I90:I90)</f>
        <v>0</v>
      </c>
      <c r="J91" s="5">
        <f>SUM(J90:J90)</f>
        <v>0</v>
      </c>
      <c r="K91" s="5">
        <f>SUM(K90:K90)</f>
        <v>0</v>
      </c>
      <c r="L91" s="5">
        <f>SUM(L90:L90)</f>
        <v>0</v>
      </c>
      <c r="M91" s="5">
        <f>SUM(M90:M90)</f>
        <v>0</v>
      </c>
      <c r="N91" s="5">
        <f>SUM(N90:N90)</f>
        <v>1</v>
      </c>
      <c r="O91" s="5">
        <f>SUM(O90:O90)</f>
        <v>0</v>
      </c>
      <c r="P91" s="5">
        <f>SUM(P90:P90)</f>
        <v>0</v>
      </c>
      <c r="Q91" s="5">
        <f>SUM(Q90:Q90)</f>
        <v>1</v>
      </c>
    </row>
    <row r="92" spans="1:17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"/>
    </row>
    <row r="93" spans="1:17" x14ac:dyDescent="0.4">
      <c r="A93" s="11" t="s">
        <v>48</v>
      </c>
      <c r="B93" s="17" t="s">
        <v>59</v>
      </c>
      <c r="C93" s="79" t="s">
        <v>60</v>
      </c>
      <c r="D93" s="52"/>
      <c r="E93" s="6">
        <v>0</v>
      </c>
      <c r="F93" s="6">
        <v>3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5">
        <f t="shared" ref="Q93:Q96" si="24">SUM(E93:P93)</f>
        <v>3</v>
      </c>
    </row>
    <row r="94" spans="1:17" x14ac:dyDescent="0.4">
      <c r="A94" s="11" t="s">
        <v>50</v>
      </c>
      <c r="B94" s="46"/>
      <c r="C94" s="24" t="s">
        <v>134</v>
      </c>
      <c r="D94" s="47"/>
      <c r="E94" s="6">
        <v>0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5">
        <f t="shared" si="24"/>
        <v>1</v>
      </c>
    </row>
    <row r="95" spans="1:17" x14ac:dyDescent="0.4">
      <c r="A95" s="7"/>
      <c r="B95" s="46"/>
      <c r="C95" s="24" t="s">
        <v>135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5">
        <f t="shared" si="24"/>
        <v>1</v>
      </c>
    </row>
    <row r="96" spans="1:17" x14ac:dyDescent="0.4">
      <c r="A96" s="7"/>
      <c r="B96" s="46"/>
      <c r="C96" s="24" t="s">
        <v>136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5">
        <f t="shared" si="24"/>
        <v>0</v>
      </c>
    </row>
    <row r="97" spans="1:17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3</v>
      </c>
      <c r="G97" s="5">
        <f>SUM(G93:G96)</f>
        <v>1</v>
      </c>
      <c r="H97" s="5">
        <f>SUM(H93:H96)</f>
        <v>0</v>
      </c>
      <c r="I97" s="5">
        <f>SUM(I93:I96)</f>
        <v>0</v>
      </c>
      <c r="J97" s="5">
        <f>SUM(J93:J96)</f>
        <v>0</v>
      </c>
      <c r="K97" s="5">
        <f>SUM(K93:K96)</f>
        <v>0</v>
      </c>
      <c r="L97" s="5">
        <f>SUM(L93:L96)</f>
        <v>0</v>
      </c>
      <c r="M97" s="5">
        <f>SUM(M93:M96)</f>
        <v>0</v>
      </c>
      <c r="N97" s="5">
        <f>SUM(N93:N96)</f>
        <v>1</v>
      </c>
      <c r="O97" s="5">
        <f>SUM(O93:O96)</f>
        <v>0</v>
      </c>
      <c r="P97" s="5">
        <f>SUM(P93:P96)</f>
        <v>0</v>
      </c>
      <c r="Q97" s="5">
        <f>SUM(Q93:Q96)</f>
        <v>5</v>
      </c>
    </row>
    <row r="98" spans="1:17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x14ac:dyDescent="0.4">
      <c r="A99" s="11" t="s">
        <v>48</v>
      </c>
      <c r="B99" s="17" t="s">
        <v>61</v>
      </c>
      <c r="C99" s="79" t="s">
        <v>62</v>
      </c>
      <c r="D99" s="5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5">
        <f t="shared" ref="Q99:Q105" si="25">SUM(E99:P99)</f>
        <v>0</v>
      </c>
    </row>
    <row r="100" spans="1:17" ht="13.15" customHeight="1" x14ac:dyDescent="0.4">
      <c r="A100" s="11" t="s">
        <v>50</v>
      </c>
      <c r="B100" s="46"/>
      <c r="C100" s="24" t="s">
        <v>137</v>
      </c>
      <c r="D100" s="47"/>
      <c r="E100" s="6">
        <v>0</v>
      </c>
      <c r="F100" s="6">
        <v>0</v>
      </c>
      <c r="G100" s="6">
        <v>0</v>
      </c>
      <c r="H100" s="6">
        <v>3</v>
      </c>
      <c r="I100" s="6">
        <v>1</v>
      </c>
      <c r="J100" s="6">
        <v>1</v>
      </c>
      <c r="K100" s="6">
        <v>0</v>
      </c>
      <c r="L100" s="6">
        <v>0</v>
      </c>
      <c r="M100" s="6">
        <v>0</v>
      </c>
      <c r="N100" s="6">
        <v>1</v>
      </c>
      <c r="O100" s="6">
        <v>1</v>
      </c>
      <c r="P100" s="6">
        <v>0</v>
      </c>
      <c r="Q100" s="5">
        <f t="shared" si="25"/>
        <v>7</v>
      </c>
    </row>
    <row r="101" spans="1:17" x14ac:dyDescent="0.4">
      <c r="A101" s="7"/>
      <c r="B101" s="46"/>
      <c r="C101" s="24" t="s">
        <v>138</v>
      </c>
      <c r="D101" s="47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5">
        <f t="shared" si="25"/>
        <v>1</v>
      </c>
    </row>
    <row r="102" spans="1:17" x14ac:dyDescent="0.4">
      <c r="A102" s="7"/>
      <c r="B102" s="46"/>
      <c r="C102" s="24" t="s">
        <v>139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1</v>
      </c>
      <c r="P102" s="6">
        <v>1</v>
      </c>
      <c r="Q102" s="5">
        <f t="shared" si="25"/>
        <v>2</v>
      </c>
    </row>
    <row r="103" spans="1:17" x14ac:dyDescent="0.4">
      <c r="A103" s="7"/>
      <c r="B103" s="46"/>
      <c r="C103" s="24" t="s">
        <v>140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5">
        <f t="shared" si="25"/>
        <v>0</v>
      </c>
    </row>
    <row r="104" spans="1:17" x14ac:dyDescent="0.4">
      <c r="A104" s="7"/>
      <c r="B104" s="46"/>
      <c r="C104" s="24" t="s">
        <v>141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5">
        <f t="shared" si="25"/>
        <v>0</v>
      </c>
    </row>
    <row r="105" spans="1:17" x14ac:dyDescent="0.4">
      <c r="A105" s="7"/>
      <c r="B105" s="46"/>
      <c r="C105" s="24" t="s">
        <v>142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5">
        <f t="shared" si="25"/>
        <v>1</v>
      </c>
    </row>
    <row r="106" spans="1:17" x14ac:dyDescent="0.4">
      <c r="A106" s="6" t="s">
        <v>26</v>
      </c>
      <c r="B106" s="71" t="s">
        <v>51</v>
      </c>
      <c r="C106" s="80"/>
      <c r="D106" s="81"/>
      <c r="E106" s="5">
        <f>SUM(E99:E105)</f>
        <v>0</v>
      </c>
      <c r="F106" s="5">
        <f>SUM(F99:F105)</f>
        <v>0</v>
      </c>
      <c r="G106" s="5">
        <f>SUM(G99:G105)</f>
        <v>0</v>
      </c>
      <c r="H106" s="5">
        <f>SUM(H99:H105)</f>
        <v>3</v>
      </c>
      <c r="I106" s="5">
        <f>SUM(I99:I105)</f>
        <v>1</v>
      </c>
      <c r="J106" s="5">
        <f>SUM(J99:J105)</f>
        <v>3</v>
      </c>
      <c r="K106" s="5">
        <f>SUM(K99:K105)</f>
        <v>0</v>
      </c>
      <c r="L106" s="5">
        <f>SUM(L99:L105)</f>
        <v>0</v>
      </c>
      <c r="M106" s="5">
        <f>SUM(M99:M105)</f>
        <v>0</v>
      </c>
      <c r="N106" s="5">
        <f>SUM(N99:N105)</f>
        <v>1</v>
      </c>
      <c r="O106" s="5">
        <f>SUM(O99:O105)</f>
        <v>2</v>
      </c>
      <c r="P106" s="5">
        <f>SUM(P99:P105)</f>
        <v>1</v>
      </c>
      <c r="Q106" s="5">
        <f>SUM(Q99:Q105)</f>
        <v>11</v>
      </c>
    </row>
    <row r="107" spans="1:17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5">
        <f>SUM(E108:P108)</f>
        <v>0</v>
      </c>
    </row>
    <row r="109" spans="1:17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5">
        <f>SUM(E109:P109)</f>
        <v>0</v>
      </c>
    </row>
    <row r="110" spans="1:17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</row>
    <row r="111" spans="1:17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"/>
    </row>
    <row r="112" spans="1:17" x14ac:dyDescent="0.4">
      <c r="A112" s="11" t="s">
        <v>48</v>
      </c>
      <c r="B112" s="44" t="s">
        <v>65</v>
      </c>
      <c r="C112" s="84" t="s">
        <v>66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1</v>
      </c>
      <c r="M112" s="6">
        <v>0</v>
      </c>
      <c r="N112" s="6">
        <v>0</v>
      </c>
      <c r="O112" s="6">
        <v>0</v>
      </c>
      <c r="P112" s="6">
        <v>0</v>
      </c>
      <c r="Q112" s="5">
        <f t="shared" ref="Q112:Q118" si="26">SUM(E112:P112)</f>
        <v>1</v>
      </c>
    </row>
    <row r="113" spans="1:17" x14ac:dyDescent="0.4">
      <c r="A113" s="48" t="s">
        <v>50</v>
      </c>
      <c r="B113" s="46"/>
      <c r="C113" s="24" t="s">
        <v>144</v>
      </c>
      <c r="D113" s="47"/>
      <c r="E113" s="49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5">
        <f t="shared" si="26"/>
        <v>0</v>
      </c>
    </row>
    <row r="114" spans="1:17" x14ac:dyDescent="0.4">
      <c r="A114" s="7"/>
      <c r="B114" s="46"/>
      <c r="C114" s="24" t="s">
        <v>145</v>
      </c>
      <c r="D114" s="47"/>
      <c r="E114" s="49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5">
        <f t="shared" si="26"/>
        <v>1</v>
      </c>
    </row>
    <row r="115" spans="1:17" x14ac:dyDescent="0.4">
      <c r="A115" s="7"/>
      <c r="B115" s="46"/>
      <c r="C115" s="24" t="s">
        <v>146</v>
      </c>
      <c r="D115" s="47"/>
      <c r="E115" s="49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5">
        <f t="shared" si="26"/>
        <v>0</v>
      </c>
    </row>
    <row r="116" spans="1:17" x14ac:dyDescent="0.4">
      <c r="A116" s="7"/>
      <c r="B116" s="46"/>
      <c r="C116" s="24" t="s">
        <v>147</v>
      </c>
      <c r="D116" s="47"/>
      <c r="E116" s="49">
        <v>0</v>
      </c>
      <c r="F116" s="6">
        <v>0</v>
      </c>
      <c r="G116" s="6">
        <v>0</v>
      </c>
      <c r="H116" s="6">
        <v>0</v>
      </c>
      <c r="I116" s="6">
        <v>0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5">
        <f t="shared" si="26"/>
        <v>1</v>
      </c>
    </row>
    <row r="117" spans="1:17" x14ac:dyDescent="0.4">
      <c r="A117" s="7"/>
      <c r="B117" s="46"/>
      <c r="C117" s="24" t="s">
        <v>148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5">
        <f t="shared" si="26"/>
        <v>0</v>
      </c>
    </row>
    <row r="118" spans="1:17" x14ac:dyDescent="0.4">
      <c r="A118" s="7"/>
      <c r="B118" s="46"/>
      <c r="C118" s="24" t="s">
        <v>149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5">
        <f t="shared" si="26"/>
        <v>0</v>
      </c>
    </row>
    <row r="119" spans="1:17" x14ac:dyDescent="0.4">
      <c r="A119" s="6" t="s">
        <v>26</v>
      </c>
      <c r="B119" s="85" t="s">
        <v>51</v>
      </c>
      <c r="C119" s="86"/>
      <c r="D119" s="87"/>
      <c r="E119" s="5">
        <f>SUM(E112:E118)</f>
        <v>1</v>
      </c>
      <c r="F119" s="5">
        <f>SUM(F112:F118)</f>
        <v>0</v>
      </c>
      <c r="G119" s="5">
        <f>SUM(G112:G118)</f>
        <v>0</v>
      </c>
      <c r="H119" s="5">
        <f>SUM(H112:H118)</f>
        <v>0</v>
      </c>
      <c r="I119" s="5">
        <f>SUM(I112:I118)</f>
        <v>0</v>
      </c>
      <c r="J119" s="5">
        <f>SUM(J112:J118)</f>
        <v>1</v>
      </c>
      <c r="K119" s="5">
        <f>SUM(K112:K118)</f>
        <v>0</v>
      </c>
      <c r="L119" s="5">
        <f>SUM(L112:L118)</f>
        <v>1</v>
      </c>
      <c r="M119" s="5">
        <f>SUM(M112:M118)</f>
        <v>0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3</v>
      </c>
    </row>
    <row r="120" spans="1:17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>
        <v>1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5">
        <f>SUM(E121:P121)</f>
        <v>1</v>
      </c>
    </row>
    <row r="122" spans="1:17" x14ac:dyDescent="0.4">
      <c r="A122" s="6" t="s">
        <v>26</v>
      </c>
      <c r="B122" s="71" t="s">
        <v>51</v>
      </c>
      <c r="C122" s="80"/>
      <c r="D122" s="81"/>
      <c r="E122" s="5">
        <f>SUM(E121:E121)</f>
        <v>1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0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1</v>
      </c>
    </row>
    <row r="123" spans="1:17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1:17" x14ac:dyDescent="0.4">
      <c r="A124" s="11" t="s">
        <v>48</v>
      </c>
      <c r="B124" s="17" t="s">
        <v>69</v>
      </c>
      <c r="C124" s="79" t="s">
        <v>70</v>
      </c>
      <c r="D124" s="52"/>
      <c r="E124" s="6">
        <v>2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5">
        <f t="shared" ref="Q124:Q128" si="27">SUM(E124:P124)</f>
        <v>3</v>
      </c>
    </row>
    <row r="125" spans="1:17" x14ac:dyDescent="0.4">
      <c r="A125" s="11" t="s">
        <v>50</v>
      </c>
      <c r="B125" s="46"/>
      <c r="C125" s="24" t="s">
        <v>150</v>
      </c>
      <c r="D125" s="47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1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5">
        <f t="shared" si="27"/>
        <v>1</v>
      </c>
    </row>
    <row r="126" spans="1:17" x14ac:dyDescent="0.4">
      <c r="A126" s="7"/>
      <c r="B126" s="46"/>
      <c r="C126" s="24" t="s">
        <v>151</v>
      </c>
      <c r="D126" s="47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5">
        <f t="shared" si="27"/>
        <v>0</v>
      </c>
    </row>
    <row r="127" spans="1:17" x14ac:dyDescent="0.4">
      <c r="A127" s="7"/>
      <c r="B127" s="46"/>
      <c r="C127" s="24" t="s">
        <v>152</v>
      </c>
      <c r="D127" s="47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1</v>
      </c>
      <c r="N127" s="6">
        <v>0</v>
      </c>
      <c r="O127" s="6">
        <v>0</v>
      </c>
      <c r="P127" s="6">
        <v>0</v>
      </c>
      <c r="Q127" s="5">
        <f t="shared" si="27"/>
        <v>1</v>
      </c>
    </row>
    <row r="128" spans="1:17" x14ac:dyDescent="0.4">
      <c r="A128" s="7"/>
      <c r="B128" s="46"/>
      <c r="C128" s="24" t="s">
        <v>153</v>
      </c>
      <c r="D128" s="47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5">
        <f t="shared" si="27"/>
        <v>0</v>
      </c>
    </row>
    <row r="129" spans="1:17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2</v>
      </c>
      <c r="F129" s="5">
        <f>SUM(F124:F128)</f>
        <v>0</v>
      </c>
      <c r="G129" s="5">
        <f>SUM(G124:G128)</f>
        <v>0</v>
      </c>
      <c r="H129" s="5">
        <f>SUM(H124:H128)</f>
        <v>0</v>
      </c>
      <c r="I129" s="5">
        <f>SUM(I124:I128)</f>
        <v>0</v>
      </c>
      <c r="J129" s="5">
        <f>SUM(J124:J128)</f>
        <v>2</v>
      </c>
      <c r="K129" s="5">
        <f>SUM(K124:K128)</f>
        <v>0</v>
      </c>
      <c r="L129" s="5">
        <f>SUM(L124:L128)</f>
        <v>0</v>
      </c>
      <c r="M129" s="5">
        <f>SUM(M124:M128)</f>
        <v>1</v>
      </c>
      <c r="N129" s="5">
        <f>SUM(N124:N128)</f>
        <v>0</v>
      </c>
      <c r="O129" s="5">
        <f>SUM(O124:O128)</f>
        <v>0</v>
      </c>
      <c r="P129" s="5">
        <f>SUM(P124:P128)</f>
        <v>0</v>
      </c>
      <c r="Q129" s="5">
        <f>SUM(Q124:Q128)</f>
        <v>5</v>
      </c>
    </row>
    <row r="130" spans="1:17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Q130" s="5"/>
    </row>
    <row r="131" spans="1:17" x14ac:dyDescent="0.4">
      <c r="A131" s="11" t="s">
        <v>48</v>
      </c>
      <c r="B131" s="17" t="s">
        <v>71</v>
      </c>
      <c r="C131" s="79" t="s">
        <v>72</v>
      </c>
      <c r="D131" s="52"/>
      <c r="E131" s="6">
        <v>0</v>
      </c>
      <c r="F131" s="6">
        <v>0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5">
        <f t="shared" ref="Q131:Q137" si="28">SUM(E131:P131)</f>
        <v>1</v>
      </c>
    </row>
    <row r="132" spans="1:17" x14ac:dyDescent="0.4">
      <c r="A132" s="11" t="s">
        <v>50</v>
      </c>
      <c r="B132" s="46"/>
      <c r="C132" s="24" t="s">
        <v>154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5">
        <f t="shared" si="28"/>
        <v>0</v>
      </c>
    </row>
    <row r="133" spans="1:17" x14ac:dyDescent="0.4">
      <c r="A133" s="7"/>
      <c r="B133" s="46"/>
      <c r="C133" s="24" t="s">
        <v>155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5">
        <f t="shared" si="28"/>
        <v>0</v>
      </c>
    </row>
    <row r="134" spans="1:17" x14ac:dyDescent="0.4">
      <c r="A134" s="7"/>
      <c r="B134" s="46"/>
      <c r="C134" s="24" t="s">
        <v>156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5">
        <f t="shared" si="28"/>
        <v>0</v>
      </c>
    </row>
    <row r="135" spans="1:17" x14ac:dyDescent="0.4">
      <c r="A135" s="7"/>
      <c r="B135" s="46"/>
      <c r="C135" s="24" t="s">
        <v>157</v>
      </c>
      <c r="D135" s="47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5">
        <f t="shared" si="28"/>
        <v>0</v>
      </c>
    </row>
    <row r="136" spans="1:17" x14ac:dyDescent="0.4">
      <c r="A136" s="7"/>
      <c r="B136" s="46"/>
      <c r="C136" s="24" t="s">
        <v>158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5">
        <f t="shared" si="28"/>
        <v>0</v>
      </c>
    </row>
    <row r="137" spans="1:17" x14ac:dyDescent="0.4">
      <c r="A137" s="7"/>
      <c r="B137" s="46"/>
      <c r="C137" s="24" t="s">
        <v>159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5">
        <f t="shared" si="28"/>
        <v>0</v>
      </c>
    </row>
    <row r="138" spans="1:17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0</v>
      </c>
      <c r="G138" s="5">
        <f>SUM(G131:G137)</f>
        <v>1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0</v>
      </c>
      <c r="O138" s="5">
        <f>SUM(O131:O137)</f>
        <v>0</v>
      </c>
      <c r="P138" s="5">
        <f>SUM(P131:P137)</f>
        <v>0</v>
      </c>
      <c r="Q138" s="5">
        <f>SUM(Q131:Q137)</f>
        <v>1</v>
      </c>
    </row>
    <row r="139" spans="1:17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 x14ac:dyDescent="0.4">
      <c r="A140" s="11" t="s">
        <v>48</v>
      </c>
      <c r="B140" s="17" t="s">
        <v>73</v>
      </c>
      <c r="C140" s="79" t="s">
        <v>74</v>
      </c>
      <c r="D140" s="52"/>
      <c r="E140" s="6">
        <v>2</v>
      </c>
      <c r="F140" s="6">
        <v>1</v>
      </c>
      <c r="G140" s="6">
        <v>0</v>
      </c>
      <c r="H140" s="6">
        <v>4</v>
      </c>
      <c r="I140" s="6">
        <v>1</v>
      </c>
      <c r="J140" s="6">
        <v>0</v>
      </c>
      <c r="K140" s="6">
        <v>0</v>
      </c>
      <c r="L140" s="6">
        <v>1</v>
      </c>
      <c r="M140" s="6">
        <v>4</v>
      </c>
      <c r="N140" s="6">
        <v>1</v>
      </c>
      <c r="O140" s="6">
        <v>3</v>
      </c>
      <c r="P140" s="6">
        <v>2</v>
      </c>
      <c r="Q140" s="5">
        <f t="shared" ref="Q140:Q146" si="29">SUM(E140:P140)</f>
        <v>19</v>
      </c>
    </row>
    <row r="141" spans="1:17" x14ac:dyDescent="0.4">
      <c r="A141" s="11" t="s">
        <v>50</v>
      </c>
      <c r="B141" s="46"/>
      <c r="C141" s="24" t="s">
        <v>160</v>
      </c>
      <c r="D141" s="47"/>
      <c r="E141" s="6">
        <v>0</v>
      </c>
      <c r="F141" s="6">
        <v>14</v>
      </c>
      <c r="G141" s="6">
        <v>6</v>
      </c>
      <c r="H141" s="6">
        <v>12</v>
      </c>
      <c r="I141" s="6">
        <v>1</v>
      </c>
      <c r="J141" s="6">
        <v>5</v>
      </c>
      <c r="K141" s="6">
        <v>12</v>
      </c>
      <c r="L141" s="6">
        <v>18</v>
      </c>
      <c r="M141" s="6">
        <v>41</v>
      </c>
      <c r="N141" s="6">
        <v>24</v>
      </c>
      <c r="O141" s="6">
        <v>7</v>
      </c>
      <c r="P141" s="6">
        <v>1</v>
      </c>
      <c r="Q141" s="5">
        <f t="shared" si="29"/>
        <v>141</v>
      </c>
    </row>
    <row r="142" spans="1:17" x14ac:dyDescent="0.4">
      <c r="A142" s="7"/>
      <c r="B142" s="46"/>
      <c r="C142" s="24" t="s">
        <v>161</v>
      </c>
      <c r="D142" s="47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1</v>
      </c>
      <c r="N142" s="6">
        <v>1</v>
      </c>
      <c r="O142" s="6">
        <v>0</v>
      </c>
      <c r="P142" s="6">
        <v>0</v>
      </c>
      <c r="Q142" s="5">
        <f t="shared" si="29"/>
        <v>2</v>
      </c>
    </row>
    <row r="143" spans="1:17" x14ac:dyDescent="0.4">
      <c r="A143" s="7"/>
      <c r="B143" s="46"/>
      <c r="C143" s="24" t="s">
        <v>162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5">
        <f t="shared" si="29"/>
        <v>1</v>
      </c>
    </row>
    <row r="144" spans="1:17" x14ac:dyDescent="0.4">
      <c r="A144" s="7"/>
      <c r="B144" s="46"/>
      <c r="C144" s="24" t="s">
        <v>163</v>
      </c>
      <c r="D144" s="47"/>
      <c r="E144" s="6">
        <v>2</v>
      </c>
      <c r="F144" s="6">
        <v>2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5">
        <f t="shared" si="29"/>
        <v>5</v>
      </c>
    </row>
    <row r="145" spans="1:17" x14ac:dyDescent="0.4">
      <c r="A145" s="7"/>
      <c r="B145" s="46"/>
      <c r="C145" s="24" t="s">
        <v>164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5">
        <f t="shared" si="29"/>
        <v>0</v>
      </c>
    </row>
    <row r="146" spans="1:17" ht="13.15" customHeight="1" x14ac:dyDescent="0.4">
      <c r="A146" s="7"/>
      <c r="B146" s="46"/>
      <c r="C146" s="24" t="s">
        <v>165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>
        <v>1</v>
      </c>
      <c r="O146" s="6">
        <v>0</v>
      </c>
      <c r="P146" s="6">
        <v>0</v>
      </c>
      <c r="Q146" s="5">
        <f t="shared" si="29"/>
        <v>2</v>
      </c>
    </row>
    <row r="147" spans="1:17" x14ac:dyDescent="0.4">
      <c r="A147" s="6" t="s">
        <v>26</v>
      </c>
      <c r="B147" s="71" t="s">
        <v>51</v>
      </c>
      <c r="C147" s="80"/>
      <c r="D147" s="81"/>
      <c r="E147" s="5">
        <f>SUM(E140:E146)</f>
        <v>4</v>
      </c>
      <c r="F147" s="5">
        <f>SUM(F140:F146)</f>
        <v>17</v>
      </c>
      <c r="G147" s="5">
        <f>SUM(G140:G146)</f>
        <v>6</v>
      </c>
      <c r="H147" s="5">
        <f>SUM(H140:H146)</f>
        <v>16</v>
      </c>
      <c r="I147" s="5">
        <f>SUM(I140:I146)</f>
        <v>2</v>
      </c>
      <c r="J147" s="5">
        <f>SUM(J140:J146)</f>
        <v>5</v>
      </c>
      <c r="K147" s="5">
        <f>SUM(K140:K146)</f>
        <v>14</v>
      </c>
      <c r="L147" s="5">
        <f>SUM(L140:L146)</f>
        <v>20</v>
      </c>
      <c r="M147" s="5">
        <f>SUM(M140:M146)</f>
        <v>46</v>
      </c>
      <c r="N147" s="5">
        <f>SUM(N140:N146)</f>
        <v>27</v>
      </c>
      <c r="O147" s="5">
        <f>SUM(O140:O146)</f>
        <v>10</v>
      </c>
      <c r="P147" s="5">
        <f>SUM(P140:P146)</f>
        <v>3</v>
      </c>
      <c r="Q147" s="5">
        <f>SUM(Q140:Q146)</f>
        <v>170</v>
      </c>
    </row>
    <row r="148" spans="1:17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 x14ac:dyDescent="0.4">
      <c r="A149" s="11" t="s">
        <v>48</v>
      </c>
      <c r="B149" s="17" t="s">
        <v>75</v>
      </c>
      <c r="C149" s="79" t="s">
        <v>76</v>
      </c>
      <c r="D149" s="52"/>
      <c r="E149" s="6">
        <v>2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2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5">
        <f>SUM(E149:P149)</f>
        <v>4</v>
      </c>
    </row>
    <row r="150" spans="1:17" x14ac:dyDescent="0.4">
      <c r="A150" s="11" t="s">
        <v>50</v>
      </c>
      <c r="B150" s="46"/>
      <c r="C150" s="24" t="s">
        <v>166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5">
        <f>SUM(E150:P150)</f>
        <v>0</v>
      </c>
    </row>
    <row r="151" spans="1:17" x14ac:dyDescent="0.4">
      <c r="A151" s="6" t="s">
        <v>26</v>
      </c>
      <c r="B151" s="71" t="s">
        <v>51</v>
      </c>
      <c r="C151" s="80"/>
      <c r="D151" s="81"/>
      <c r="E151" s="5">
        <f>SUM(E149:E150)</f>
        <v>2</v>
      </c>
      <c r="F151" s="5">
        <f>SUM(F149:F150)</f>
        <v>0</v>
      </c>
      <c r="G151" s="5">
        <f>SUM(G149:G150)</f>
        <v>0</v>
      </c>
      <c r="H151" s="5">
        <f>SUM(H149:H150)</f>
        <v>0</v>
      </c>
      <c r="I151" s="5">
        <f>SUM(I149:I150)</f>
        <v>0</v>
      </c>
      <c r="J151" s="5">
        <f>SUM(J149:J150)</f>
        <v>0</v>
      </c>
      <c r="K151" s="5">
        <f>SUM(K149:K150)</f>
        <v>2</v>
      </c>
      <c r="L151" s="5">
        <f>SUM(L149:L150)</f>
        <v>0</v>
      </c>
      <c r="M151" s="5">
        <f>SUM(M149:M150)</f>
        <v>0</v>
      </c>
      <c r="N151" s="5">
        <f>SUM(N149:N150)</f>
        <v>0</v>
      </c>
      <c r="O151" s="5">
        <f>SUM(O149:O150)</f>
        <v>0</v>
      </c>
      <c r="P151" s="5">
        <f>SUM(P149:P150)</f>
        <v>0</v>
      </c>
      <c r="Q151" s="5">
        <f>SUM(Q149:Q150)</f>
        <v>4</v>
      </c>
    </row>
    <row r="152" spans="1:17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</row>
    <row r="153" spans="1:17" x14ac:dyDescent="0.4">
      <c r="A153" s="11" t="s">
        <v>48</v>
      </c>
      <c r="B153" s="17" t="s">
        <v>77</v>
      </c>
      <c r="C153" s="79" t="s">
        <v>78</v>
      </c>
      <c r="D153" s="5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5">
        <f>SUM(E153:P153)</f>
        <v>0</v>
      </c>
    </row>
    <row r="154" spans="1:17" x14ac:dyDescent="0.4">
      <c r="A154" s="11" t="s">
        <v>50</v>
      </c>
      <c r="B154" s="17"/>
      <c r="C154" s="24" t="s">
        <v>167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0</v>
      </c>
      <c r="P154" s="6">
        <v>0</v>
      </c>
      <c r="Q154" s="5">
        <f>SUM(E154:P154)</f>
        <v>1</v>
      </c>
    </row>
    <row r="155" spans="1:17" x14ac:dyDescent="0.4">
      <c r="A155" s="7"/>
      <c r="B155" s="17"/>
      <c r="C155" s="24" t="s">
        <v>168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5">
        <f>SUM(E155:P155)</f>
        <v>0</v>
      </c>
    </row>
    <row r="156" spans="1:17" x14ac:dyDescent="0.4">
      <c r="A156" s="7"/>
      <c r="B156" s="17"/>
      <c r="C156" s="24" t="s">
        <v>169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5">
        <f>SUM(E156:P156)</f>
        <v>0</v>
      </c>
    </row>
    <row r="157" spans="1:17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0</v>
      </c>
      <c r="G157" s="5">
        <f>SUM(G153:G156)</f>
        <v>0</v>
      </c>
      <c r="H157" s="5">
        <f>SUM(H153:H156)</f>
        <v>0</v>
      </c>
      <c r="I157" s="5">
        <f>SUM(I153:I156)</f>
        <v>0</v>
      </c>
      <c r="J157" s="5">
        <f>SUM(J153:J156)</f>
        <v>0</v>
      </c>
      <c r="K157" s="5">
        <f>SUM(K153:K156)</f>
        <v>0</v>
      </c>
      <c r="L157" s="5">
        <f>SUM(L153:L156)</f>
        <v>0</v>
      </c>
      <c r="M157" s="5">
        <f>SUM(M153:M156)</f>
        <v>0</v>
      </c>
      <c r="N157" s="5">
        <f>SUM(N153:N156)</f>
        <v>1</v>
      </c>
      <c r="O157" s="5">
        <f>SUM(O153:O156)</f>
        <v>0</v>
      </c>
      <c r="P157" s="5">
        <f>SUM(P153:P156)</f>
        <v>0</v>
      </c>
      <c r="Q157" s="5">
        <f>SUM(Q153:Q156)</f>
        <v>1</v>
      </c>
    </row>
    <row r="158" spans="1:17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 spans="1:17" x14ac:dyDescent="0.4">
      <c r="A159" s="11" t="s">
        <v>48</v>
      </c>
      <c r="B159" s="17" t="s">
        <v>79</v>
      </c>
      <c r="C159" s="79" t="s">
        <v>80</v>
      </c>
      <c r="D159" s="52"/>
      <c r="E159" s="6">
        <v>8</v>
      </c>
      <c r="F159" s="6">
        <v>5</v>
      </c>
      <c r="G159" s="6">
        <v>9</v>
      </c>
      <c r="H159" s="6">
        <v>5</v>
      </c>
      <c r="I159" s="6">
        <v>9</v>
      </c>
      <c r="J159" s="6">
        <v>7</v>
      </c>
      <c r="K159" s="6">
        <v>1</v>
      </c>
      <c r="L159" s="6">
        <v>8</v>
      </c>
      <c r="M159" s="6">
        <v>1</v>
      </c>
      <c r="N159" s="6">
        <v>2</v>
      </c>
      <c r="O159" s="6">
        <v>1</v>
      </c>
      <c r="P159" s="6">
        <v>0</v>
      </c>
      <c r="Q159" s="5">
        <f t="shared" ref="Q159:Q165" si="30">SUM(E159:P159)</f>
        <v>56</v>
      </c>
    </row>
    <row r="160" spans="1:17" x14ac:dyDescent="0.4">
      <c r="A160" s="11" t="s">
        <v>50</v>
      </c>
      <c r="B160" s="46"/>
      <c r="C160" s="24" t="s">
        <v>170</v>
      </c>
      <c r="D160" s="47"/>
      <c r="E160" s="6">
        <v>40</v>
      </c>
      <c r="F160" s="6">
        <v>39</v>
      </c>
      <c r="G160" s="6">
        <v>36</v>
      </c>
      <c r="H160" s="6">
        <v>24</v>
      </c>
      <c r="I160" s="6">
        <v>76</v>
      </c>
      <c r="J160" s="6">
        <v>71</v>
      </c>
      <c r="K160" s="6">
        <v>41</v>
      </c>
      <c r="L160" s="6">
        <v>61</v>
      </c>
      <c r="M160" s="6">
        <v>20</v>
      </c>
      <c r="N160" s="6">
        <v>15</v>
      </c>
      <c r="O160" s="6">
        <v>18</v>
      </c>
      <c r="P160" s="6">
        <v>9</v>
      </c>
      <c r="Q160" s="5">
        <f t="shared" si="30"/>
        <v>450</v>
      </c>
    </row>
    <row r="161" spans="1:17" x14ac:dyDescent="0.4">
      <c r="A161" s="7"/>
      <c r="B161" s="46"/>
      <c r="C161" s="24" t="s">
        <v>171</v>
      </c>
      <c r="D161" s="47"/>
      <c r="E161" s="6">
        <v>0</v>
      </c>
      <c r="F161" s="6">
        <v>0</v>
      </c>
      <c r="G161" s="6">
        <v>1</v>
      </c>
      <c r="H161" s="6">
        <v>0</v>
      </c>
      <c r="I161" s="6">
        <v>0</v>
      </c>
      <c r="J161" s="6">
        <v>1</v>
      </c>
      <c r="K161" s="6">
        <v>0</v>
      </c>
      <c r="L161" s="6">
        <v>1</v>
      </c>
      <c r="M161" s="6">
        <v>1</v>
      </c>
      <c r="N161" s="6">
        <v>0</v>
      </c>
      <c r="O161" s="6">
        <v>0</v>
      </c>
      <c r="P161" s="6">
        <v>0</v>
      </c>
      <c r="Q161" s="5">
        <f t="shared" si="30"/>
        <v>4</v>
      </c>
    </row>
    <row r="162" spans="1:17" ht="13.15" customHeight="1" x14ac:dyDescent="0.4">
      <c r="A162" s="7"/>
      <c r="B162" s="46"/>
      <c r="C162" s="24" t="s">
        <v>172</v>
      </c>
      <c r="D162" s="47"/>
      <c r="E162" s="6">
        <v>0</v>
      </c>
      <c r="F162" s="6">
        <v>0</v>
      </c>
      <c r="G162" s="6">
        <v>0</v>
      </c>
      <c r="H162" s="6">
        <v>1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1</v>
      </c>
      <c r="Q162" s="5">
        <f t="shared" si="30"/>
        <v>4</v>
      </c>
    </row>
    <row r="163" spans="1:17" x14ac:dyDescent="0.4">
      <c r="A163" s="7"/>
      <c r="B163" s="46"/>
      <c r="C163" s="24" t="s">
        <v>173</v>
      </c>
      <c r="D163" s="47"/>
      <c r="E163" s="6">
        <v>0</v>
      </c>
      <c r="F163" s="6">
        <v>0</v>
      </c>
      <c r="G163" s="6">
        <v>1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5">
        <f t="shared" si="30"/>
        <v>1</v>
      </c>
    </row>
    <row r="164" spans="1:17" ht="12.75" customHeight="1" x14ac:dyDescent="0.4">
      <c r="A164" s="7"/>
      <c r="B164" s="46"/>
      <c r="C164" s="24" t="s">
        <v>174</v>
      </c>
      <c r="D164" s="47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5">
        <f t="shared" si="30"/>
        <v>0</v>
      </c>
    </row>
    <row r="165" spans="1:17" x14ac:dyDescent="0.4">
      <c r="A165" s="7"/>
      <c r="B165" s="46"/>
      <c r="C165" s="24" t="s">
        <v>175</v>
      </c>
      <c r="D165" s="47"/>
      <c r="E165" s="6">
        <v>0</v>
      </c>
      <c r="F165" s="6">
        <v>0</v>
      </c>
      <c r="G165" s="6">
        <v>1</v>
      </c>
      <c r="H165" s="6">
        <v>0</v>
      </c>
      <c r="I165" s="6">
        <v>0</v>
      </c>
      <c r="J165" s="6">
        <v>1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5">
        <f t="shared" si="30"/>
        <v>2</v>
      </c>
    </row>
    <row r="166" spans="1:17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48</v>
      </c>
      <c r="F166" s="5">
        <f>SUM(F159:F165)</f>
        <v>44</v>
      </c>
      <c r="G166" s="5">
        <f>SUM(G159:G165)</f>
        <v>48</v>
      </c>
      <c r="H166" s="5">
        <f>SUM(H159:H165)</f>
        <v>30</v>
      </c>
      <c r="I166" s="5">
        <f>SUM(I159:I165)</f>
        <v>86</v>
      </c>
      <c r="J166" s="5">
        <f>SUM(J159:J165)</f>
        <v>81</v>
      </c>
      <c r="K166" s="5">
        <f>SUM(K159:K165)</f>
        <v>42</v>
      </c>
      <c r="L166" s="5">
        <f>SUM(L159:L165)</f>
        <v>70</v>
      </c>
      <c r="M166" s="5">
        <f>SUM(M159:M165)</f>
        <v>22</v>
      </c>
      <c r="N166" s="5">
        <f>SUM(N159:N165)</f>
        <v>17</v>
      </c>
      <c r="O166" s="5">
        <f>SUM(O159:O165)</f>
        <v>19</v>
      </c>
      <c r="P166" s="5">
        <f>SUM(P159:P165)</f>
        <v>10</v>
      </c>
      <c r="Q166" s="5">
        <f>SUM(Q159:Q165)</f>
        <v>517</v>
      </c>
    </row>
    <row r="167" spans="1:17" x14ac:dyDescent="0.4">
      <c r="A167" s="50"/>
      <c r="B167" s="82"/>
      <c r="C167" s="82"/>
      <c r="D167" s="82"/>
      <c r="E167" s="83"/>
    </row>
    <row r="168" spans="1:17" x14ac:dyDescent="0.4">
      <c r="A168" s="11" t="s">
        <v>48</v>
      </c>
      <c r="B168" s="17" t="s">
        <v>81</v>
      </c>
      <c r="C168" s="79" t="s">
        <v>82</v>
      </c>
      <c r="D168" s="5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5">
        <f>SUM(E168:P168)</f>
        <v>0</v>
      </c>
    </row>
    <row r="169" spans="1:17" x14ac:dyDescent="0.4">
      <c r="A169" s="11" t="s">
        <v>50</v>
      </c>
      <c r="B169" s="46"/>
      <c r="C169" s="24" t="s">
        <v>176</v>
      </c>
      <c r="D169" s="4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5">
        <f>SUM(E169:P169)</f>
        <v>0</v>
      </c>
    </row>
    <row r="170" spans="1:17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0</v>
      </c>
      <c r="H170" s="5">
        <f>SUM(H168:H169)</f>
        <v>0</v>
      </c>
      <c r="I170" s="5">
        <f>SUM(I168:I169)</f>
        <v>0</v>
      </c>
      <c r="J170" s="5">
        <f>SUM(J168:J169)</f>
        <v>0</v>
      </c>
      <c r="K170" s="5">
        <f>SUM(K168:K169)</f>
        <v>0</v>
      </c>
      <c r="L170" s="5">
        <f>SUM(L168:L169)</f>
        <v>0</v>
      </c>
      <c r="M170" s="5">
        <f>SUM(M168:M169)</f>
        <v>0</v>
      </c>
      <c r="N170" s="5">
        <f>SUM(N168:N169)</f>
        <v>0</v>
      </c>
      <c r="O170" s="5">
        <f>SUM(O168:O169)</f>
        <v>0</v>
      </c>
      <c r="P170" s="5">
        <f>SUM(P168:P169)</f>
        <v>0</v>
      </c>
      <c r="Q170" s="5">
        <f>SUM(Q168:Q169)</f>
        <v>0</v>
      </c>
    </row>
    <row r="172" spans="1:17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15"/>
      <c r="O172" s="15"/>
      <c r="P172" s="15"/>
      <c r="Q172" s="5"/>
    </row>
    <row r="173" spans="1:17" x14ac:dyDescent="0.4">
      <c r="A173" s="16"/>
      <c r="B173" s="19" t="s">
        <v>85</v>
      </c>
      <c r="C173" s="88" t="s">
        <v>86</v>
      </c>
      <c r="D173" s="89"/>
      <c r="E173" s="6">
        <f>E52+E61+E70+E79+E88+E91+E97+E106+E110+E119+E122+E129+E138+E147+E151+E157+E166+E170</f>
        <v>225</v>
      </c>
      <c r="F173" s="6">
        <f>F52+F61+F70+F79+F88+F91+F97+F106+F110+F119+F122+F129+F138+F147+F151+F157+F166+F170</f>
        <v>210</v>
      </c>
      <c r="G173" s="6">
        <f>G52+G61+G70+G79+G88+G91+G97+G106+G110+G119+G122+G129+G138+G147+G151+G157+G166+G170</f>
        <v>208</v>
      </c>
      <c r="H173" s="6">
        <f>H52+H61+H70+H79+H88+H91+H97+H106+H110+H119+H122+H129+H138+H147+H151+H157+H166+H170</f>
        <v>197</v>
      </c>
      <c r="I173" s="6">
        <f>I52+I61+I70+I79+I88+I91+I97+I106+I110+I119+I122+I129+I138+I147+I151+I157+I166+I170</f>
        <v>205</v>
      </c>
      <c r="J173" s="6">
        <f>J52+J61+J70+J79+J88+J91+J97+J106+J110+J119+J122+J129+J138+J147+J151+J157+J166+J170</f>
        <v>216</v>
      </c>
      <c r="K173" s="6">
        <f>K52+K61+K70+K79+K88+K91+K97+K106+K110+K119+K122+K129+K138+K147+K151+K157+K166+K170</f>
        <v>181</v>
      </c>
      <c r="L173" s="6">
        <f>L52+L61+L70+L79+L88+L91+L97+L106+L110+L119+L122+L129+L138+L147+L151+L157+L166+L170</f>
        <v>224</v>
      </c>
      <c r="M173" s="6">
        <f>M52+M61+M70+M79+M88+M91+M97+M106+M110+M119+M122+M129+M138+M147+M151+M157+M166+M170</f>
        <v>170</v>
      </c>
      <c r="N173" s="6">
        <f>N52+N61+N70+N79+N88+N91+N97+N106+N110+N119+N122+N129+N138+N147+N151+N157+N166+N170</f>
        <v>201</v>
      </c>
      <c r="O173" s="6">
        <f>O52+O61+O70+O79+O88+O91+O97+O106+O110+O119+O122+O129+O138+O147+O151+O157+O166+O170</f>
        <v>184</v>
      </c>
      <c r="P173" s="6">
        <f>P52+P61+P70+P79+P88+P91+P97+P106+P110+P119+P122+P129+P138+P147+P151+P157+P166+P170</f>
        <v>188</v>
      </c>
      <c r="Q173" s="5">
        <f>SUM(E173:P173)</f>
        <v>2409</v>
      </c>
    </row>
    <row r="174" spans="1:17" x14ac:dyDescent="0.4">
      <c r="A174" s="13"/>
      <c r="B174" s="19" t="s">
        <v>87</v>
      </c>
      <c r="C174" s="88" t="s">
        <v>88</v>
      </c>
      <c r="D174" s="89"/>
      <c r="E174" s="6">
        <v>16</v>
      </c>
      <c r="F174" s="6">
        <v>15</v>
      </c>
      <c r="G174" s="6">
        <v>4</v>
      </c>
      <c r="H174" s="6">
        <v>16</v>
      </c>
      <c r="I174" s="6">
        <v>5</v>
      </c>
      <c r="J174" s="6">
        <v>13</v>
      </c>
      <c r="K174" s="6">
        <v>16</v>
      </c>
      <c r="L174" s="6">
        <v>9</v>
      </c>
      <c r="M174" s="6">
        <v>14</v>
      </c>
      <c r="N174" s="6">
        <v>10</v>
      </c>
      <c r="O174" s="6">
        <v>18</v>
      </c>
      <c r="P174" s="6">
        <v>3</v>
      </c>
      <c r="Q174" s="5">
        <f>SUM(E174:P174)</f>
        <v>139</v>
      </c>
    </row>
    <row r="175" spans="1:17" x14ac:dyDescent="0.4">
      <c r="A175" s="14"/>
      <c r="B175" s="19" t="s">
        <v>89</v>
      </c>
      <c r="C175" s="88" t="s">
        <v>90</v>
      </c>
      <c r="D175" s="89"/>
      <c r="E175" s="5">
        <f>SUM(E173:E174)</f>
        <v>241</v>
      </c>
      <c r="F175" s="5">
        <f t="shared" ref="F175:P175" si="31">SUM(F173:F174)</f>
        <v>225</v>
      </c>
      <c r="G175" s="5">
        <f t="shared" si="31"/>
        <v>212</v>
      </c>
      <c r="H175" s="5">
        <f t="shared" si="31"/>
        <v>213</v>
      </c>
      <c r="I175" s="5">
        <f t="shared" si="31"/>
        <v>210</v>
      </c>
      <c r="J175" s="5">
        <f t="shared" si="31"/>
        <v>229</v>
      </c>
      <c r="K175" s="5">
        <f t="shared" si="31"/>
        <v>197</v>
      </c>
      <c r="L175" s="5">
        <f t="shared" si="31"/>
        <v>233</v>
      </c>
      <c r="M175" s="5">
        <f t="shared" si="31"/>
        <v>184</v>
      </c>
      <c r="N175" s="5">
        <f t="shared" ref="N175" si="32">SUM(N173:N174)</f>
        <v>211</v>
      </c>
      <c r="O175" s="5">
        <f t="shared" si="31"/>
        <v>202</v>
      </c>
      <c r="P175" s="5">
        <f t="shared" si="31"/>
        <v>191</v>
      </c>
      <c r="Q175" s="5">
        <f>SUM(E175:P175)</f>
        <v>2548</v>
      </c>
    </row>
  </sheetData>
  <mergeCells count="86">
    <mergeCell ref="B166:D166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59:D159"/>
    <mergeCell ref="C175:D175"/>
    <mergeCell ref="A167:E167"/>
    <mergeCell ref="C168:D168"/>
    <mergeCell ref="B170:D170"/>
    <mergeCell ref="B172:D172"/>
    <mergeCell ref="C173:D173"/>
    <mergeCell ref="C174:D174"/>
    <mergeCell ref="B138:D138"/>
    <mergeCell ref="B129:D129"/>
    <mergeCell ref="A130:E130"/>
    <mergeCell ref="A111:E111"/>
    <mergeCell ref="C112:D112"/>
    <mergeCell ref="B119:D119"/>
    <mergeCell ref="A120:E120"/>
    <mergeCell ref="C121:D121"/>
    <mergeCell ref="C131:D131"/>
    <mergeCell ref="B122:D122"/>
    <mergeCell ref="A123:E123"/>
    <mergeCell ref="C124:D124"/>
    <mergeCell ref="B110:D110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C108:D108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52:D52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P12"/>
    <mergeCell ref="Q12:Q13"/>
    <mergeCell ref="B13:D13"/>
    <mergeCell ref="B14:C16"/>
  </mergeCells>
  <phoneticPr fontId="8" type="noConversion"/>
  <conditionalFormatting sqref="E14:P15">
    <cfRule type="containsBlanks" dxfId="112" priority="20">
      <formula>LEN(TRIM(E14))=0</formula>
    </cfRule>
  </conditionalFormatting>
  <conditionalFormatting sqref="E19:P20">
    <cfRule type="containsBlanks" dxfId="111" priority="23">
      <formula>LEN(TRIM(E19))=0</formula>
    </cfRule>
  </conditionalFormatting>
  <conditionalFormatting sqref="E22:P23 E25:P26 E33:P33 E35:P35 E39:P40">
    <cfRule type="containsBlanks" dxfId="110" priority="24">
      <formula>LEN(TRIM(E22))=0</formula>
    </cfRule>
  </conditionalFormatting>
  <conditionalFormatting sqref="E30:P30">
    <cfRule type="expression" dxfId="109" priority="25">
      <formula>E30&lt;&gt;E47</formula>
    </cfRule>
    <cfRule type="expression" dxfId="108" priority="26">
      <formula>E30&lt;&gt;E34</formula>
    </cfRule>
  </conditionalFormatting>
  <conditionalFormatting sqref="E45:P51">
    <cfRule type="containsBlanks" dxfId="107" priority="19">
      <formula>LEN(TRIM(E45))=0</formula>
    </cfRule>
  </conditionalFormatting>
  <conditionalFormatting sqref="E54:P60">
    <cfRule type="containsBlanks" dxfId="106" priority="18">
      <formula>LEN(TRIM(E54))=0</formula>
    </cfRule>
  </conditionalFormatting>
  <conditionalFormatting sqref="E63:P69">
    <cfRule type="containsBlanks" dxfId="105" priority="17">
      <formula>LEN(TRIM(E63))=0</formula>
    </cfRule>
  </conditionalFormatting>
  <conditionalFormatting sqref="E72:P78">
    <cfRule type="containsBlanks" dxfId="104" priority="16">
      <formula>LEN(TRIM(E72))=0</formula>
    </cfRule>
  </conditionalFormatting>
  <conditionalFormatting sqref="E81:P87">
    <cfRule type="containsBlanks" dxfId="103" priority="15">
      <formula>LEN(TRIM(E81))=0</formula>
    </cfRule>
  </conditionalFormatting>
  <conditionalFormatting sqref="E90:P90">
    <cfRule type="containsBlanks" dxfId="102" priority="14">
      <formula>LEN(TRIM(E90))=0</formula>
    </cfRule>
  </conditionalFormatting>
  <conditionalFormatting sqref="E93:P96">
    <cfRule type="containsBlanks" dxfId="101" priority="1">
      <formula>LEN(TRIM(E93))=0</formula>
    </cfRule>
  </conditionalFormatting>
  <conditionalFormatting sqref="E99:P105">
    <cfRule type="containsBlanks" dxfId="100" priority="13">
      <formula>LEN(TRIM(E99))=0</formula>
    </cfRule>
  </conditionalFormatting>
  <conditionalFormatting sqref="E108:P109">
    <cfRule type="containsBlanks" dxfId="99" priority="12">
      <formula>LEN(TRIM(E108))=0</formula>
    </cfRule>
  </conditionalFormatting>
  <conditionalFormatting sqref="E112:P118">
    <cfRule type="containsBlanks" dxfId="98" priority="3">
      <formula>LEN(TRIM(E112))=0</formula>
    </cfRule>
  </conditionalFormatting>
  <conditionalFormatting sqref="E121:P121">
    <cfRule type="containsBlanks" dxfId="97" priority="11">
      <formula>LEN(TRIM(E121))=0</formula>
    </cfRule>
  </conditionalFormatting>
  <conditionalFormatting sqref="E124:P128">
    <cfRule type="containsBlanks" dxfId="96" priority="10">
      <formula>LEN(TRIM(E124))=0</formula>
    </cfRule>
  </conditionalFormatting>
  <conditionalFormatting sqref="E131:P137">
    <cfRule type="containsBlanks" dxfId="95" priority="9">
      <formula>LEN(TRIM(E131))=0</formula>
    </cfRule>
  </conditionalFormatting>
  <conditionalFormatting sqref="E140:P146">
    <cfRule type="containsBlanks" dxfId="94" priority="8">
      <formula>LEN(TRIM(E140))=0</formula>
    </cfRule>
  </conditionalFormatting>
  <conditionalFormatting sqref="E149:P150">
    <cfRule type="containsBlanks" dxfId="93" priority="7">
      <formula>LEN(TRIM(E149))=0</formula>
    </cfRule>
  </conditionalFormatting>
  <conditionalFormatting sqref="E153:P156">
    <cfRule type="containsBlanks" dxfId="92" priority="6">
      <formula>LEN(TRIM(E153))=0</formula>
    </cfRule>
  </conditionalFormatting>
  <conditionalFormatting sqref="E159:P165">
    <cfRule type="containsBlanks" dxfId="91" priority="5">
      <formula>LEN(TRIM(E159))=0</formula>
    </cfRule>
  </conditionalFormatting>
  <conditionalFormatting sqref="E168:P169">
    <cfRule type="containsBlanks" dxfId="90" priority="4">
      <formula>LEN(TRIM(E168))=0</formula>
    </cfRule>
  </conditionalFormatting>
  <conditionalFormatting sqref="E173:P174">
    <cfRule type="containsBlanks" dxfId="89" priority="2">
      <formula>LEN(TRIM(E173))=0</formula>
    </cfRule>
  </conditionalFormatting>
  <conditionalFormatting sqref="E34:P34">
    <cfRule type="expression" dxfId="88" priority="117">
      <formula>E30&lt;&gt;E34</formula>
    </cfRule>
    <cfRule type="expression" dxfId="87" priority="118">
      <formula>E30=E34</formula>
    </cfRule>
    <cfRule type="expression" dxfId="86" priority="119">
      <formula>E34&lt;&gt;E30</formula>
    </cfRule>
    <cfRule type="expression" dxfId="85" priority="120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sheetPr>
    <tabColor rgb="FF92D050"/>
  </sheetPr>
  <dimension ref="A2:AC175"/>
  <sheetViews>
    <sheetView topLeftCell="E13" zoomScale="70" zoomScaleNormal="70" workbookViewId="0">
      <pane ySplit="1" topLeftCell="A44" activePane="bottomLeft" state="frozen"/>
      <selection activeCell="A13" sqref="A13"/>
      <selection pane="bottomLeft" activeCell="N175" sqref="N175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98</v>
      </c>
      <c r="D2" s="43" t="s">
        <v>177</v>
      </c>
    </row>
    <row r="3" spans="1:29" x14ac:dyDescent="0.4">
      <c r="C3" s="43" t="s">
        <v>99</v>
      </c>
      <c r="D3" s="43" t="s">
        <v>100</v>
      </c>
    </row>
    <row r="4" spans="1:29" x14ac:dyDescent="0.4">
      <c r="C4" s="43" t="s">
        <v>101</v>
      </c>
      <c r="D4" s="43" t="s">
        <v>102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103</v>
      </c>
      <c r="D9" s="43" t="s">
        <v>177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6" t="s">
        <v>97</v>
      </c>
    </row>
    <row r="13" spans="1:29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7"/>
    </row>
    <row r="14" spans="1:29" x14ac:dyDescent="0.4">
      <c r="A14" s="7"/>
      <c r="B14" s="59" t="s">
        <v>22</v>
      </c>
      <c r="C14" s="60"/>
      <c r="D14" s="6" t="s">
        <v>23</v>
      </c>
      <c r="E14" s="6">
        <v>113</v>
      </c>
      <c r="F14" s="6">
        <v>121</v>
      </c>
      <c r="G14" s="6">
        <v>91</v>
      </c>
      <c r="H14" s="6">
        <v>122</v>
      </c>
      <c r="I14" s="6">
        <v>102</v>
      </c>
      <c r="J14" s="6">
        <v>114</v>
      </c>
      <c r="K14" s="6">
        <v>129</v>
      </c>
      <c r="L14" s="6">
        <v>144</v>
      </c>
      <c r="M14" s="6">
        <v>144</v>
      </c>
      <c r="N14" s="6">
        <v>115</v>
      </c>
      <c r="O14" s="6">
        <v>145</v>
      </c>
      <c r="P14" s="6">
        <v>132</v>
      </c>
      <c r="Q14" s="6">
        <v>129</v>
      </c>
      <c r="R14" s="6">
        <v>131</v>
      </c>
      <c r="S14" s="6">
        <v>129</v>
      </c>
      <c r="T14" s="6">
        <v>129</v>
      </c>
      <c r="U14" s="6">
        <v>131</v>
      </c>
      <c r="V14" s="6">
        <v>138</v>
      </c>
      <c r="W14" s="6">
        <v>133</v>
      </c>
      <c r="X14" s="6">
        <v>132</v>
      </c>
      <c r="Y14" s="6">
        <v>138</v>
      </c>
      <c r="Z14" s="6">
        <v>131</v>
      </c>
      <c r="AA14" s="6">
        <v>137</v>
      </c>
      <c r="AB14" s="6">
        <v>116</v>
      </c>
      <c r="AC14" s="5">
        <f>SUM(E14:AB14)</f>
        <v>3046</v>
      </c>
    </row>
    <row r="15" spans="1:29" x14ac:dyDescent="0.4">
      <c r="A15" s="7"/>
      <c r="B15" s="61"/>
      <c r="C15" s="62"/>
      <c r="D15" s="6" t="s">
        <v>24</v>
      </c>
      <c r="E15" s="6">
        <v>126</v>
      </c>
      <c r="F15" s="6">
        <v>138</v>
      </c>
      <c r="G15" s="6">
        <v>107</v>
      </c>
      <c r="H15" s="6">
        <v>117</v>
      </c>
      <c r="I15" s="6">
        <v>125</v>
      </c>
      <c r="J15" s="6">
        <v>119</v>
      </c>
      <c r="K15" s="6">
        <v>144</v>
      </c>
      <c r="L15" s="6">
        <v>142</v>
      </c>
      <c r="M15" s="6">
        <v>147</v>
      </c>
      <c r="N15" s="6">
        <v>126</v>
      </c>
      <c r="O15" s="6">
        <v>143</v>
      </c>
      <c r="P15" s="6">
        <v>148</v>
      </c>
      <c r="Q15" s="6">
        <v>139</v>
      </c>
      <c r="R15" s="6">
        <v>144</v>
      </c>
      <c r="S15" s="6">
        <v>138</v>
      </c>
      <c r="T15" s="6">
        <v>125</v>
      </c>
      <c r="U15" s="6">
        <v>131</v>
      </c>
      <c r="V15" s="6">
        <v>142</v>
      </c>
      <c r="W15" s="6">
        <v>138</v>
      </c>
      <c r="X15" s="6">
        <v>127</v>
      </c>
      <c r="Y15" s="6">
        <v>128</v>
      </c>
      <c r="Z15" s="6">
        <v>136</v>
      </c>
      <c r="AA15" s="6">
        <v>126</v>
      </c>
      <c r="AB15" s="6">
        <v>112</v>
      </c>
      <c r="AC15" s="5">
        <f>SUM(E15:AB15)</f>
        <v>3168</v>
      </c>
    </row>
    <row r="16" spans="1:29" x14ac:dyDescent="0.4">
      <c r="A16" s="8"/>
      <c r="B16" s="63"/>
      <c r="C16" s="64"/>
      <c r="D16" s="5" t="s">
        <v>25</v>
      </c>
      <c r="E16" s="5">
        <f t="shared" ref="E16:AB16" si="0">SUM(E14:E15)</f>
        <v>239</v>
      </c>
      <c r="F16" s="5">
        <f t="shared" si="0"/>
        <v>259</v>
      </c>
      <c r="G16" s="5">
        <f t="shared" si="0"/>
        <v>198</v>
      </c>
      <c r="H16" s="5">
        <f t="shared" si="0"/>
        <v>239</v>
      </c>
      <c r="I16" s="5">
        <f t="shared" si="0"/>
        <v>227</v>
      </c>
      <c r="J16" s="5">
        <f t="shared" si="0"/>
        <v>233</v>
      </c>
      <c r="K16" s="5">
        <f t="shared" si="0"/>
        <v>273</v>
      </c>
      <c r="L16" s="5">
        <f t="shared" si="0"/>
        <v>286</v>
      </c>
      <c r="M16" s="5">
        <f t="shared" ref="M16:S16" si="1">SUM(M14:M15)</f>
        <v>291</v>
      </c>
      <c r="N16" s="5">
        <f t="shared" si="1"/>
        <v>241</v>
      </c>
      <c r="O16" s="5">
        <f t="shared" si="1"/>
        <v>288</v>
      </c>
      <c r="P16" s="5">
        <f t="shared" si="1"/>
        <v>280</v>
      </c>
      <c r="Q16" s="5">
        <f t="shared" si="1"/>
        <v>268</v>
      </c>
      <c r="R16" s="5">
        <f t="shared" si="1"/>
        <v>275</v>
      </c>
      <c r="S16" s="5">
        <f t="shared" si="1"/>
        <v>267</v>
      </c>
      <c r="T16" s="5">
        <f t="shared" si="0"/>
        <v>254</v>
      </c>
      <c r="U16" s="5">
        <f t="shared" si="0"/>
        <v>262</v>
      </c>
      <c r="V16" s="5">
        <f t="shared" si="0"/>
        <v>280</v>
      </c>
      <c r="W16" s="5">
        <f t="shared" si="0"/>
        <v>271</v>
      </c>
      <c r="X16" s="5">
        <f t="shared" si="0"/>
        <v>259</v>
      </c>
      <c r="Y16" s="5">
        <f t="shared" si="0"/>
        <v>266</v>
      </c>
      <c r="Z16" s="5">
        <f t="shared" ref="Z16" si="2">SUM(Z14:Z15)</f>
        <v>267</v>
      </c>
      <c r="AA16" s="5">
        <f t="shared" si="0"/>
        <v>263</v>
      </c>
      <c r="AB16" s="5">
        <f t="shared" si="0"/>
        <v>228</v>
      </c>
      <c r="AC16" s="5">
        <f>SUM(E16:AB16)</f>
        <v>6214</v>
      </c>
    </row>
    <row r="17" spans="1:29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28"/>
    </row>
    <row r="18" spans="1:29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28"/>
    </row>
    <row r="19" spans="1:29" x14ac:dyDescent="0.4">
      <c r="A19" s="11"/>
      <c r="B19" s="65" t="s">
        <v>28</v>
      </c>
      <c r="C19" s="66" t="s">
        <v>29</v>
      </c>
      <c r="D19" s="6" t="s">
        <v>23</v>
      </c>
      <c r="E19" s="6">
        <v>76</v>
      </c>
      <c r="F19" s="6">
        <v>93</v>
      </c>
      <c r="G19" s="6">
        <v>61</v>
      </c>
      <c r="H19" s="6">
        <v>98</v>
      </c>
      <c r="I19" s="6">
        <v>76</v>
      </c>
      <c r="J19" s="6">
        <v>84</v>
      </c>
      <c r="K19" s="6">
        <v>88</v>
      </c>
      <c r="L19" s="6">
        <v>138</v>
      </c>
      <c r="M19" s="6">
        <v>123</v>
      </c>
      <c r="N19" s="6">
        <v>95</v>
      </c>
      <c r="O19" s="6">
        <v>113</v>
      </c>
      <c r="P19" s="6">
        <v>95</v>
      </c>
      <c r="Q19" s="6">
        <v>90</v>
      </c>
      <c r="R19" s="6">
        <v>103</v>
      </c>
      <c r="S19" s="6">
        <v>96</v>
      </c>
      <c r="T19" s="6">
        <v>94</v>
      </c>
      <c r="U19" s="6">
        <v>96</v>
      </c>
      <c r="V19" s="6">
        <v>104</v>
      </c>
      <c r="W19" s="6">
        <v>99</v>
      </c>
      <c r="X19" s="6">
        <v>93</v>
      </c>
      <c r="Y19" s="6">
        <v>93</v>
      </c>
      <c r="Z19" s="6">
        <v>86</v>
      </c>
      <c r="AA19" s="6">
        <v>91</v>
      </c>
      <c r="AB19" s="6">
        <v>95</v>
      </c>
      <c r="AC19" s="5">
        <f t="shared" ref="AC19:AC30" si="3">SUM(E19:AB19)</f>
        <v>2280</v>
      </c>
    </row>
    <row r="20" spans="1:29" x14ac:dyDescent="0.4">
      <c r="A20" s="12"/>
      <c r="B20" s="62"/>
      <c r="C20" s="67"/>
      <c r="D20" s="6" t="s">
        <v>24</v>
      </c>
      <c r="E20" s="6">
        <v>100</v>
      </c>
      <c r="F20" s="6">
        <v>115</v>
      </c>
      <c r="G20" s="6">
        <v>83</v>
      </c>
      <c r="H20" s="6">
        <v>106</v>
      </c>
      <c r="I20" s="6">
        <v>104</v>
      </c>
      <c r="J20" s="6">
        <v>92</v>
      </c>
      <c r="K20" s="6">
        <v>104</v>
      </c>
      <c r="L20" s="6">
        <v>96</v>
      </c>
      <c r="M20" s="6">
        <v>129</v>
      </c>
      <c r="N20" s="6">
        <v>107</v>
      </c>
      <c r="O20" s="6">
        <v>124</v>
      </c>
      <c r="P20" s="6">
        <v>118</v>
      </c>
      <c r="Q20" s="6">
        <v>106</v>
      </c>
      <c r="R20" s="6">
        <v>117</v>
      </c>
      <c r="S20" s="6">
        <v>100</v>
      </c>
      <c r="T20" s="6">
        <v>106</v>
      </c>
      <c r="U20" s="6">
        <v>102</v>
      </c>
      <c r="V20" s="6">
        <v>108</v>
      </c>
      <c r="W20" s="6">
        <v>94</v>
      </c>
      <c r="X20" s="6">
        <v>106</v>
      </c>
      <c r="Y20" s="6">
        <v>100</v>
      </c>
      <c r="Z20" s="6">
        <v>109</v>
      </c>
      <c r="AA20" s="6">
        <v>101</v>
      </c>
      <c r="AB20" s="6">
        <v>94</v>
      </c>
      <c r="AC20" s="5">
        <f t="shared" si="3"/>
        <v>2521</v>
      </c>
    </row>
    <row r="21" spans="1:29" x14ac:dyDescent="0.4">
      <c r="A21" s="13"/>
      <c r="B21" s="64"/>
      <c r="C21" s="68"/>
      <c r="D21" s="5" t="s">
        <v>25</v>
      </c>
      <c r="E21" s="5">
        <f t="shared" ref="E21:AB21" si="4">SUM(E19:E20)</f>
        <v>176</v>
      </c>
      <c r="F21" s="5">
        <f t="shared" si="4"/>
        <v>208</v>
      </c>
      <c r="G21" s="5">
        <f t="shared" si="4"/>
        <v>144</v>
      </c>
      <c r="H21" s="5">
        <f t="shared" si="4"/>
        <v>204</v>
      </c>
      <c r="I21" s="5">
        <f t="shared" si="4"/>
        <v>180</v>
      </c>
      <c r="J21" s="5">
        <f t="shared" si="4"/>
        <v>176</v>
      </c>
      <c r="K21" s="5">
        <f t="shared" si="4"/>
        <v>192</v>
      </c>
      <c r="L21" s="5">
        <f t="shared" si="4"/>
        <v>234</v>
      </c>
      <c r="M21" s="5">
        <f t="shared" ref="M21:S21" si="5">SUM(M19:M20)</f>
        <v>252</v>
      </c>
      <c r="N21" s="5">
        <f t="shared" si="5"/>
        <v>202</v>
      </c>
      <c r="O21" s="5">
        <f t="shared" si="5"/>
        <v>237</v>
      </c>
      <c r="P21" s="5">
        <f t="shared" si="5"/>
        <v>213</v>
      </c>
      <c r="Q21" s="5">
        <f t="shared" si="5"/>
        <v>196</v>
      </c>
      <c r="R21" s="5">
        <f t="shared" si="5"/>
        <v>220</v>
      </c>
      <c r="S21" s="5">
        <f t="shared" si="5"/>
        <v>196</v>
      </c>
      <c r="T21" s="5">
        <f t="shared" si="4"/>
        <v>200</v>
      </c>
      <c r="U21" s="5">
        <f t="shared" si="4"/>
        <v>198</v>
      </c>
      <c r="V21" s="5">
        <f t="shared" si="4"/>
        <v>212</v>
      </c>
      <c r="W21" s="5">
        <f t="shared" si="4"/>
        <v>193</v>
      </c>
      <c r="X21" s="5">
        <f t="shared" si="4"/>
        <v>199</v>
      </c>
      <c r="Y21" s="5">
        <f t="shared" si="4"/>
        <v>193</v>
      </c>
      <c r="Z21" s="5">
        <f t="shared" ref="Z21" si="6">SUM(Z19:Z20)</f>
        <v>195</v>
      </c>
      <c r="AA21" s="5">
        <f t="shared" si="4"/>
        <v>192</v>
      </c>
      <c r="AB21" s="5">
        <f t="shared" si="4"/>
        <v>189</v>
      </c>
      <c r="AC21" s="5">
        <f t="shared" si="3"/>
        <v>4801</v>
      </c>
    </row>
    <row r="22" spans="1:29" x14ac:dyDescent="0.4">
      <c r="A22" s="12"/>
      <c r="B22" s="65" t="s">
        <v>30</v>
      </c>
      <c r="C22" s="66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1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1</v>
      </c>
      <c r="Y22" s="6">
        <v>0</v>
      </c>
      <c r="Z22" s="6">
        <v>0</v>
      </c>
      <c r="AA22" s="6">
        <v>0</v>
      </c>
      <c r="AB22" s="6">
        <v>0</v>
      </c>
      <c r="AC22" s="5">
        <f t="shared" si="3"/>
        <v>5</v>
      </c>
    </row>
    <row r="23" spans="1:29" x14ac:dyDescent="0.4">
      <c r="A23" s="12"/>
      <c r="B23" s="62"/>
      <c r="C23" s="67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6">
        <v>0</v>
      </c>
      <c r="AA23" s="6">
        <v>1</v>
      </c>
      <c r="AB23" s="6">
        <v>0</v>
      </c>
      <c r="AC23" s="5">
        <f t="shared" si="3"/>
        <v>4</v>
      </c>
    </row>
    <row r="24" spans="1:29" x14ac:dyDescent="0.4">
      <c r="A24" s="13"/>
      <c r="B24" s="64"/>
      <c r="C24" s="68"/>
      <c r="D24" s="5" t="s">
        <v>25</v>
      </c>
      <c r="E24" s="5">
        <f t="shared" ref="E24:AB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1</v>
      </c>
      <c r="J24" s="5">
        <f t="shared" si="7"/>
        <v>2</v>
      </c>
      <c r="K24" s="5">
        <f t="shared" si="7"/>
        <v>0</v>
      </c>
      <c r="L24" s="5">
        <f t="shared" si="7"/>
        <v>0</v>
      </c>
      <c r="M24" s="5">
        <f t="shared" ref="M24:S24" si="8">SUM(M22:M23)</f>
        <v>2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8"/>
        <v>0</v>
      </c>
      <c r="R24" s="5">
        <f t="shared" si="8"/>
        <v>0</v>
      </c>
      <c r="S24" s="5">
        <f t="shared" si="8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2</v>
      </c>
      <c r="X24" s="5">
        <f t="shared" si="7"/>
        <v>1</v>
      </c>
      <c r="Y24" s="5">
        <f t="shared" si="7"/>
        <v>0</v>
      </c>
      <c r="Z24" s="5">
        <f t="shared" ref="Z24" si="9">SUM(Z22:Z23)</f>
        <v>0</v>
      </c>
      <c r="AA24" s="5">
        <f t="shared" si="7"/>
        <v>1</v>
      </c>
      <c r="AB24" s="5">
        <f t="shared" si="7"/>
        <v>0</v>
      </c>
      <c r="AC24" s="5">
        <f t="shared" si="3"/>
        <v>9</v>
      </c>
    </row>
    <row r="25" spans="1:29" x14ac:dyDescent="0.4">
      <c r="A25" s="12"/>
      <c r="B25" s="65" t="s">
        <v>32</v>
      </c>
      <c r="C25" s="66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2</v>
      </c>
      <c r="L25" s="6">
        <v>2</v>
      </c>
      <c r="M25" s="6">
        <v>1</v>
      </c>
      <c r="N25" s="6">
        <v>0</v>
      </c>
      <c r="O25" s="6">
        <v>2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2</v>
      </c>
      <c r="W25" s="6">
        <v>1</v>
      </c>
      <c r="X25" s="6">
        <v>2</v>
      </c>
      <c r="Y25" s="6">
        <v>1</v>
      </c>
      <c r="Z25" s="6">
        <v>0</v>
      </c>
      <c r="AA25" s="6">
        <v>1</v>
      </c>
      <c r="AB25" s="6">
        <v>0</v>
      </c>
      <c r="AC25" s="5">
        <f t="shared" si="3"/>
        <v>15</v>
      </c>
    </row>
    <row r="26" spans="1:29" x14ac:dyDescent="0.4">
      <c r="A26" s="12"/>
      <c r="B26" s="62"/>
      <c r="C26" s="67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1</v>
      </c>
      <c r="L26" s="6">
        <v>3</v>
      </c>
      <c r="M26" s="6">
        <v>0</v>
      </c>
      <c r="N26" s="6">
        <v>0</v>
      </c>
      <c r="O26" s="6">
        <v>1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1</v>
      </c>
      <c r="X26" s="6">
        <v>1</v>
      </c>
      <c r="Y26" s="6">
        <v>0</v>
      </c>
      <c r="Z26" s="6">
        <v>1</v>
      </c>
      <c r="AA26" s="6">
        <v>3</v>
      </c>
      <c r="AB26" s="6">
        <v>0</v>
      </c>
      <c r="AC26" s="5">
        <f t="shared" si="3"/>
        <v>14</v>
      </c>
    </row>
    <row r="27" spans="1:29" x14ac:dyDescent="0.4">
      <c r="A27" s="13"/>
      <c r="B27" s="64"/>
      <c r="C27" s="68"/>
      <c r="D27" s="5" t="s">
        <v>25</v>
      </c>
      <c r="E27" s="5">
        <f t="shared" ref="E27:AB27" si="10">SUM(E25:E26)</f>
        <v>0</v>
      </c>
      <c r="F27" s="5">
        <f t="shared" si="10"/>
        <v>0</v>
      </c>
      <c r="G27" s="5">
        <f t="shared" si="10"/>
        <v>0</v>
      </c>
      <c r="H27" s="5">
        <f t="shared" si="10"/>
        <v>0</v>
      </c>
      <c r="I27" s="5">
        <f t="shared" si="10"/>
        <v>1</v>
      </c>
      <c r="J27" s="5">
        <f t="shared" si="10"/>
        <v>0</v>
      </c>
      <c r="K27" s="5">
        <f t="shared" si="10"/>
        <v>3</v>
      </c>
      <c r="L27" s="5">
        <f t="shared" si="10"/>
        <v>5</v>
      </c>
      <c r="M27" s="5">
        <f t="shared" ref="M27:S27" si="11">SUM(M25:M26)</f>
        <v>1</v>
      </c>
      <c r="N27" s="5">
        <f t="shared" si="11"/>
        <v>0</v>
      </c>
      <c r="O27" s="5">
        <f t="shared" si="11"/>
        <v>3</v>
      </c>
      <c r="P27" s="5">
        <f t="shared" si="11"/>
        <v>1</v>
      </c>
      <c r="Q27" s="5">
        <f t="shared" si="11"/>
        <v>1</v>
      </c>
      <c r="R27" s="5">
        <f t="shared" si="11"/>
        <v>0</v>
      </c>
      <c r="S27" s="5">
        <f t="shared" si="11"/>
        <v>0</v>
      </c>
      <c r="T27" s="5">
        <f t="shared" si="10"/>
        <v>0</v>
      </c>
      <c r="U27" s="5">
        <f t="shared" si="10"/>
        <v>0</v>
      </c>
      <c r="V27" s="5">
        <f t="shared" si="10"/>
        <v>3</v>
      </c>
      <c r="W27" s="5">
        <f t="shared" si="10"/>
        <v>2</v>
      </c>
      <c r="X27" s="5">
        <f t="shared" si="10"/>
        <v>3</v>
      </c>
      <c r="Y27" s="5">
        <f t="shared" si="10"/>
        <v>1</v>
      </c>
      <c r="Z27" s="5">
        <f t="shared" ref="Z27" si="12">SUM(Z25:Z26)</f>
        <v>1</v>
      </c>
      <c r="AA27" s="5">
        <f t="shared" si="10"/>
        <v>4</v>
      </c>
      <c r="AB27" s="5">
        <f t="shared" si="10"/>
        <v>0</v>
      </c>
      <c r="AC27" s="5">
        <f t="shared" si="3"/>
        <v>29</v>
      </c>
    </row>
    <row r="28" spans="1:29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76</v>
      </c>
      <c r="F28" s="5">
        <f t="shared" ref="F28:L28" si="13">SUM(F19,F22,F25)</f>
        <v>93</v>
      </c>
      <c r="G28" s="5">
        <f t="shared" si="13"/>
        <v>61</v>
      </c>
      <c r="H28" s="5">
        <f t="shared" si="13"/>
        <v>98</v>
      </c>
      <c r="I28" s="5">
        <f t="shared" si="13"/>
        <v>77</v>
      </c>
      <c r="J28" s="5">
        <f t="shared" si="13"/>
        <v>85</v>
      </c>
      <c r="K28" s="5">
        <f t="shared" si="13"/>
        <v>90</v>
      </c>
      <c r="L28" s="5">
        <f t="shared" si="13"/>
        <v>140</v>
      </c>
      <c r="M28" s="5">
        <f t="shared" ref="M28:S28" si="14">SUM(M19,M22,M25)</f>
        <v>125</v>
      </c>
      <c r="N28" s="5">
        <f t="shared" si="14"/>
        <v>95</v>
      </c>
      <c r="O28" s="5">
        <f t="shared" si="14"/>
        <v>115</v>
      </c>
      <c r="P28" s="5">
        <f t="shared" si="14"/>
        <v>96</v>
      </c>
      <c r="Q28" s="5">
        <f t="shared" si="14"/>
        <v>90</v>
      </c>
      <c r="R28" s="5">
        <f t="shared" si="14"/>
        <v>103</v>
      </c>
      <c r="S28" s="5">
        <f t="shared" si="14"/>
        <v>96</v>
      </c>
      <c r="T28" s="5">
        <f t="shared" ref="T28:AB29" si="15">SUM(T19,T22,T25)</f>
        <v>94</v>
      </c>
      <c r="U28" s="5">
        <f t="shared" si="15"/>
        <v>96</v>
      </c>
      <c r="V28" s="5">
        <f t="shared" si="15"/>
        <v>106</v>
      </c>
      <c r="W28" s="5">
        <f t="shared" si="15"/>
        <v>101</v>
      </c>
      <c r="X28" s="5">
        <f t="shared" si="15"/>
        <v>96</v>
      </c>
      <c r="Y28" s="5">
        <f t="shared" si="15"/>
        <v>94</v>
      </c>
      <c r="Z28" s="5">
        <f t="shared" ref="Z28" si="16">SUM(Z19,Z22,Z25)</f>
        <v>86</v>
      </c>
      <c r="AA28" s="5">
        <f t="shared" si="15"/>
        <v>92</v>
      </c>
      <c r="AB28" s="5">
        <f t="shared" si="15"/>
        <v>95</v>
      </c>
      <c r="AC28" s="5">
        <f t="shared" si="3"/>
        <v>2300</v>
      </c>
    </row>
    <row r="29" spans="1:29" x14ac:dyDescent="0.4">
      <c r="A29" s="13"/>
      <c r="B29" s="62"/>
      <c r="C29" s="67"/>
      <c r="D29" s="5" t="s">
        <v>24</v>
      </c>
      <c r="E29" s="5">
        <f>SUM(E20,E23,E26)</f>
        <v>100</v>
      </c>
      <c r="F29" s="5">
        <f t="shared" ref="F29:L29" si="17">SUM(F20,F23,F26)</f>
        <v>115</v>
      </c>
      <c r="G29" s="5">
        <f t="shared" si="17"/>
        <v>83</v>
      </c>
      <c r="H29" s="5">
        <f t="shared" si="17"/>
        <v>106</v>
      </c>
      <c r="I29" s="5">
        <f t="shared" si="17"/>
        <v>105</v>
      </c>
      <c r="J29" s="5">
        <f t="shared" si="17"/>
        <v>93</v>
      </c>
      <c r="K29" s="5">
        <f t="shared" si="17"/>
        <v>105</v>
      </c>
      <c r="L29" s="5">
        <f t="shared" si="17"/>
        <v>99</v>
      </c>
      <c r="M29" s="5">
        <f t="shared" ref="M29:S29" si="18">SUM(M20,M23,M26)</f>
        <v>130</v>
      </c>
      <c r="N29" s="5">
        <f t="shared" si="18"/>
        <v>107</v>
      </c>
      <c r="O29" s="5">
        <f t="shared" si="18"/>
        <v>125</v>
      </c>
      <c r="P29" s="5">
        <f t="shared" si="18"/>
        <v>118</v>
      </c>
      <c r="Q29" s="5">
        <f t="shared" si="18"/>
        <v>107</v>
      </c>
      <c r="R29" s="5">
        <f t="shared" si="18"/>
        <v>117</v>
      </c>
      <c r="S29" s="5">
        <f t="shared" si="18"/>
        <v>100</v>
      </c>
      <c r="T29" s="5">
        <f t="shared" si="15"/>
        <v>106</v>
      </c>
      <c r="U29" s="5">
        <f t="shared" si="15"/>
        <v>102</v>
      </c>
      <c r="V29" s="5">
        <f t="shared" si="15"/>
        <v>109</v>
      </c>
      <c r="W29" s="5">
        <f t="shared" si="15"/>
        <v>96</v>
      </c>
      <c r="X29" s="5">
        <f t="shared" si="15"/>
        <v>107</v>
      </c>
      <c r="Y29" s="5">
        <f t="shared" si="15"/>
        <v>100</v>
      </c>
      <c r="Z29" s="5">
        <f t="shared" ref="Z29" si="19">SUM(Z20,Z23,Z26)</f>
        <v>110</v>
      </c>
      <c r="AA29" s="5">
        <f t="shared" si="15"/>
        <v>105</v>
      </c>
      <c r="AB29" s="5">
        <f t="shared" si="15"/>
        <v>94</v>
      </c>
      <c r="AC29" s="5">
        <f t="shared" si="3"/>
        <v>2539</v>
      </c>
    </row>
    <row r="30" spans="1:29" x14ac:dyDescent="0.4">
      <c r="A30" s="13"/>
      <c r="B30" s="64"/>
      <c r="C30" s="68"/>
      <c r="D30" s="5" t="s">
        <v>25</v>
      </c>
      <c r="E30" s="5">
        <f t="shared" ref="E30:S30" si="20">SUM(E28:E29)</f>
        <v>176</v>
      </c>
      <c r="F30" s="5">
        <f t="shared" ref="F30:L30" si="21">SUM(F28:F29)</f>
        <v>208</v>
      </c>
      <c r="G30" s="5">
        <f t="shared" si="21"/>
        <v>144</v>
      </c>
      <c r="H30" s="5">
        <f t="shared" si="21"/>
        <v>204</v>
      </c>
      <c r="I30" s="5">
        <f t="shared" si="21"/>
        <v>182</v>
      </c>
      <c r="J30" s="5">
        <f t="shared" si="21"/>
        <v>178</v>
      </c>
      <c r="K30" s="5">
        <f t="shared" si="21"/>
        <v>195</v>
      </c>
      <c r="L30" s="5">
        <f t="shared" si="21"/>
        <v>239</v>
      </c>
      <c r="M30" s="5">
        <f t="shared" si="20"/>
        <v>255</v>
      </c>
      <c r="N30" s="5">
        <f t="shared" si="20"/>
        <v>202</v>
      </c>
      <c r="O30" s="5">
        <f t="shared" si="20"/>
        <v>240</v>
      </c>
      <c r="P30" s="5">
        <f t="shared" si="20"/>
        <v>214</v>
      </c>
      <c r="Q30" s="5">
        <f t="shared" si="20"/>
        <v>197</v>
      </c>
      <c r="R30" s="5">
        <f t="shared" si="20"/>
        <v>220</v>
      </c>
      <c r="S30" s="5">
        <f t="shared" si="20"/>
        <v>196</v>
      </c>
      <c r="T30" s="5">
        <f t="shared" ref="T30:AB30" si="22">SUM(T28:T29)</f>
        <v>200</v>
      </c>
      <c r="U30" s="5">
        <f t="shared" si="22"/>
        <v>198</v>
      </c>
      <c r="V30" s="5">
        <f t="shared" si="22"/>
        <v>215</v>
      </c>
      <c r="W30" s="5">
        <f t="shared" si="22"/>
        <v>197</v>
      </c>
      <c r="X30" s="5">
        <f t="shared" si="22"/>
        <v>203</v>
      </c>
      <c r="Y30" s="5">
        <f t="shared" si="22"/>
        <v>194</v>
      </c>
      <c r="Z30" s="5">
        <f t="shared" ref="Z30" si="23">SUM(Z28:Z29)</f>
        <v>196</v>
      </c>
      <c r="AA30" s="5">
        <f t="shared" si="22"/>
        <v>197</v>
      </c>
      <c r="AB30" s="5">
        <f t="shared" si="22"/>
        <v>189</v>
      </c>
      <c r="AC30" s="5">
        <f t="shared" si="3"/>
        <v>4839</v>
      </c>
    </row>
    <row r="31" spans="1:29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28"/>
    </row>
    <row r="32" spans="1:29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28"/>
    </row>
    <row r="33" spans="1:29" x14ac:dyDescent="0.4">
      <c r="A33" s="6">
        <v>1</v>
      </c>
      <c r="B33" s="58" t="s">
        <v>38</v>
      </c>
      <c r="C33" s="51"/>
      <c r="D33" s="52"/>
      <c r="E33" s="6">
        <v>243</v>
      </c>
      <c r="F33" s="6">
        <v>265</v>
      </c>
      <c r="G33" s="6">
        <v>202</v>
      </c>
      <c r="H33" s="6">
        <v>243</v>
      </c>
      <c r="I33" s="6">
        <v>231</v>
      </c>
      <c r="J33" s="6">
        <v>238</v>
      </c>
      <c r="K33" s="6">
        <v>279</v>
      </c>
      <c r="L33" s="6">
        <v>292</v>
      </c>
      <c r="M33" s="6">
        <v>297</v>
      </c>
      <c r="N33" s="6">
        <v>246</v>
      </c>
      <c r="O33" s="6">
        <v>294</v>
      </c>
      <c r="P33" s="6">
        <v>286</v>
      </c>
      <c r="Q33" s="6">
        <v>274</v>
      </c>
      <c r="R33" s="6">
        <v>281</v>
      </c>
      <c r="S33" s="6">
        <v>273</v>
      </c>
      <c r="T33" s="6">
        <v>260</v>
      </c>
      <c r="U33" s="6">
        <v>268</v>
      </c>
      <c r="V33" s="6">
        <v>286</v>
      </c>
      <c r="W33" s="6">
        <v>277</v>
      </c>
      <c r="X33" s="6">
        <v>265</v>
      </c>
      <c r="Y33" s="6">
        <v>273</v>
      </c>
      <c r="Z33" s="6">
        <v>272</v>
      </c>
      <c r="AA33" s="6">
        <v>269</v>
      </c>
      <c r="AB33" s="6">
        <v>233</v>
      </c>
      <c r="AC33" s="5">
        <f>SUM(E33:AB33)</f>
        <v>6347</v>
      </c>
    </row>
    <row r="34" spans="1:29" x14ac:dyDescent="0.4">
      <c r="A34" s="6">
        <v>2</v>
      </c>
      <c r="B34" s="58" t="s">
        <v>39</v>
      </c>
      <c r="C34" s="51"/>
      <c r="D34" s="52"/>
      <c r="E34" s="5">
        <v>176</v>
      </c>
      <c r="F34" s="5">
        <v>208</v>
      </c>
      <c r="G34" s="5">
        <v>144</v>
      </c>
      <c r="H34" s="5">
        <v>204</v>
      </c>
      <c r="I34" s="5">
        <v>182</v>
      </c>
      <c r="J34" s="5">
        <v>178</v>
      </c>
      <c r="K34" s="5">
        <v>195</v>
      </c>
      <c r="L34" s="5">
        <v>239</v>
      </c>
      <c r="M34" s="5">
        <v>255</v>
      </c>
      <c r="N34" s="5">
        <v>202</v>
      </c>
      <c r="O34" s="5">
        <v>240</v>
      </c>
      <c r="P34" s="5">
        <v>214</v>
      </c>
      <c r="Q34" s="5">
        <v>197</v>
      </c>
      <c r="R34" s="5">
        <v>220</v>
      </c>
      <c r="S34" s="5">
        <v>196</v>
      </c>
      <c r="T34" s="5">
        <v>200</v>
      </c>
      <c r="U34" s="5">
        <v>198</v>
      </c>
      <c r="V34" s="5">
        <v>215</v>
      </c>
      <c r="W34" s="5">
        <v>197</v>
      </c>
      <c r="X34" s="5">
        <v>203</v>
      </c>
      <c r="Y34" s="5">
        <v>194</v>
      </c>
      <c r="Z34" s="5">
        <v>196</v>
      </c>
      <c r="AA34" s="5">
        <v>197</v>
      </c>
      <c r="AB34" s="5">
        <v>189</v>
      </c>
      <c r="AC34" s="5">
        <f>SUM(E34:AB34)</f>
        <v>4839</v>
      </c>
    </row>
    <row r="35" spans="1:29" x14ac:dyDescent="0.4">
      <c r="A35" s="6">
        <v>3</v>
      </c>
      <c r="B35" s="58" t="s">
        <v>40</v>
      </c>
      <c r="C35" s="51"/>
      <c r="D35" s="52"/>
      <c r="E35" s="6">
        <v>0</v>
      </c>
      <c r="F35" s="6">
        <v>0</v>
      </c>
      <c r="G35" s="6">
        <v>1</v>
      </c>
      <c r="H35" s="6">
        <v>0</v>
      </c>
      <c r="I35" s="6">
        <v>0</v>
      </c>
      <c r="J35" s="6">
        <v>2</v>
      </c>
      <c r="K35" s="6">
        <v>2</v>
      </c>
      <c r="L35" s="6">
        <v>0</v>
      </c>
      <c r="M35" s="6">
        <v>2</v>
      </c>
      <c r="N35" s="6">
        <v>2</v>
      </c>
      <c r="O35" s="6">
        <v>0</v>
      </c>
      <c r="P35" s="6">
        <v>1</v>
      </c>
      <c r="Q35" s="6">
        <v>1</v>
      </c>
      <c r="R35" s="6">
        <v>1</v>
      </c>
      <c r="S35" s="6">
        <v>4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0</v>
      </c>
      <c r="Z35" s="6">
        <v>3</v>
      </c>
      <c r="AA35" s="6">
        <v>0</v>
      </c>
      <c r="AB35" s="6">
        <v>1</v>
      </c>
      <c r="AC35" s="5">
        <f>SUM(E35:AB35)</f>
        <v>21</v>
      </c>
    </row>
    <row r="36" spans="1:29" x14ac:dyDescent="0.4">
      <c r="A36" s="6">
        <v>4</v>
      </c>
      <c r="B36" s="58" t="s">
        <v>41</v>
      </c>
      <c r="C36" s="51"/>
      <c r="D36" s="52"/>
      <c r="E36" s="5">
        <f t="shared" ref="E36:AB36" si="24">E33-(E34+E35)</f>
        <v>67</v>
      </c>
      <c r="F36" s="5">
        <f t="shared" si="24"/>
        <v>57</v>
      </c>
      <c r="G36" s="5">
        <f t="shared" si="24"/>
        <v>57</v>
      </c>
      <c r="H36" s="5">
        <f t="shared" si="24"/>
        <v>39</v>
      </c>
      <c r="I36" s="5">
        <f t="shared" si="24"/>
        <v>49</v>
      </c>
      <c r="J36" s="5">
        <f t="shared" si="24"/>
        <v>58</v>
      </c>
      <c r="K36" s="5">
        <f t="shared" si="24"/>
        <v>82</v>
      </c>
      <c r="L36" s="5">
        <f t="shared" si="24"/>
        <v>53</v>
      </c>
      <c r="M36" s="5">
        <f t="shared" ref="M36:S36" si="25">M33-(M34+M35)</f>
        <v>40</v>
      </c>
      <c r="N36" s="5">
        <f t="shared" si="25"/>
        <v>42</v>
      </c>
      <c r="O36" s="5">
        <f t="shared" si="25"/>
        <v>54</v>
      </c>
      <c r="P36" s="5">
        <f t="shared" si="25"/>
        <v>71</v>
      </c>
      <c r="Q36" s="5">
        <f t="shared" si="25"/>
        <v>76</v>
      </c>
      <c r="R36" s="5">
        <f t="shared" si="25"/>
        <v>60</v>
      </c>
      <c r="S36" s="5">
        <f t="shared" si="25"/>
        <v>73</v>
      </c>
      <c r="T36" s="5">
        <f t="shared" si="24"/>
        <v>60</v>
      </c>
      <c r="U36" s="5">
        <f t="shared" si="24"/>
        <v>69</v>
      </c>
      <c r="V36" s="5">
        <f t="shared" si="24"/>
        <v>71</v>
      </c>
      <c r="W36" s="5">
        <f t="shared" si="24"/>
        <v>80</v>
      </c>
      <c r="X36" s="5">
        <f t="shared" si="24"/>
        <v>62</v>
      </c>
      <c r="Y36" s="5">
        <f t="shared" si="24"/>
        <v>79</v>
      </c>
      <c r="Z36" s="5">
        <f t="shared" ref="Z36" si="26">Z33-(Z34+Z35)</f>
        <v>73</v>
      </c>
      <c r="AA36" s="5">
        <f t="shared" si="24"/>
        <v>72</v>
      </c>
      <c r="AB36" s="5">
        <f t="shared" si="24"/>
        <v>43</v>
      </c>
      <c r="AC36" s="5">
        <f>SUM(E36:AB36)</f>
        <v>1487</v>
      </c>
    </row>
    <row r="37" spans="1:29" x14ac:dyDescent="0.4">
      <c r="A37" s="50"/>
      <c r="B37" s="51"/>
      <c r="C37" s="51"/>
      <c r="D37" s="51"/>
      <c r="E37" s="50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72"/>
      <c r="U37" s="72"/>
      <c r="V37" s="72"/>
      <c r="W37" s="73"/>
      <c r="X37" s="6"/>
      <c r="Y37" s="6"/>
      <c r="Z37" s="6"/>
      <c r="AA37" s="6"/>
      <c r="AB37" s="6"/>
      <c r="AC37" s="28"/>
    </row>
    <row r="38" spans="1:29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28"/>
    </row>
    <row r="39" spans="1:29" x14ac:dyDescent="0.4">
      <c r="A39" s="11"/>
      <c r="B39" s="74" t="s">
        <v>44</v>
      </c>
      <c r="C39" s="60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4</v>
      </c>
      <c r="P39" s="6">
        <v>0</v>
      </c>
      <c r="Q39" s="6">
        <v>0</v>
      </c>
      <c r="R39" s="6">
        <v>1</v>
      </c>
      <c r="S39" s="6">
        <v>0</v>
      </c>
      <c r="T39" s="6">
        <v>0</v>
      </c>
      <c r="U39" s="6">
        <v>1</v>
      </c>
      <c r="V39" s="6">
        <v>0</v>
      </c>
      <c r="W39" s="6">
        <v>0</v>
      </c>
      <c r="X39" s="6">
        <v>1</v>
      </c>
      <c r="Y39" s="6">
        <v>0</v>
      </c>
      <c r="Z39" s="6">
        <v>0</v>
      </c>
      <c r="AA39" s="6">
        <v>0</v>
      </c>
      <c r="AB39" s="6">
        <v>0</v>
      </c>
      <c r="AC39" s="5">
        <f>SUM(E39:AB39)</f>
        <v>7</v>
      </c>
    </row>
    <row r="40" spans="1:29" x14ac:dyDescent="0.4">
      <c r="A40" s="12"/>
      <c r="B40" s="75"/>
      <c r="C40" s="62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7</v>
      </c>
      <c r="P40" s="6">
        <v>0</v>
      </c>
      <c r="Q40" s="6">
        <v>0</v>
      </c>
      <c r="R40" s="6">
        <v>1</v>
      </c>
      <c r="S40" s="6">
        <v>0</v>
      </c>
      <c r="T40" s="6">
        <v>0</v>
      </c>
      <c r="U40" s="6">
        <v>3</v>
      </c>
      <c r="V40" s="6">
        <v>0</v>
      </c>
      <c r="W40" s="6">
        <v>0</v>
      </c>
      <c r="X40" s="6">
        <v>1</v>
      </c>
      <c r="Y40" s="6">
        <v>0</v>
      </c>
      <c r="Z40" s="6">
        <v>0</v>
      </c>
      <c r="AA40" s="6">
        <v>0</v>
      </c>
      <c r="AB40" s="6">
        <v>0</v>
      </c>
      <c r="AC40" s="5">
        <f>SUM(E40:AB40)</f>
        <v>12</v>
      </c>
    </row>
    <row r="41" spans="1:29" x14ac:dyDescent="0.4">
      <c r="A41" s="14"/>
      <c r="B41" s="76"/>
      <c r="C41" s="64"/>
      <c r="D41" s="5" t="s">
        <v>25</v>
      </c>
      <c r="E41" s="5">
        <f t="shared" ref="E41:AB41" si="27">SUM(E39:E40)</f>
        <v>0</v>
      </c>
      <c r="F41" s="5">
        <f t="shared" si="27"/>
        <v>0</v>
      </c>
      <c r="G41" s="5">
        <f t="shared" si="27"/>
        <v>0</v>
      </c>
      <c r="H41" s="5">
        <f t="shared" si="27"/>
        <v>0</v>
      </c>
      <c r="I41" s="5">
        <f t="shared" si="27"/>
        <v>0</v>
      </c>
      <c r="J41" s="5">
        <f t="shared" si="27"/>
        <v>0</v>
      </c>
      <c r="K41" s="5">
        <f t="shared" si="27"/>
        <v>0</v>
      </c>
      <c r="L41" s="5">
        <f t="shared" si="27"/>
        <v>0</v>
      </c>
      <c r="M41" s="5">
        <f t="shared" ref="M41:S41" si="28">SUM(M39:M40)</f>
        <v>0</v>
      </c>
      <c r="N41" s="5">
        <f t="shared" si="28"/>
        <v>0</v>
      </c>
      <c r="O41" s="5">
        <f t="shared" si="28"/>
        <v>11</v>
      </c>
      <c r="P41" s="5">
        <f t="shared" si="28"/>
        <v>0</v>
      </c>
      <c r="Q41" s="5">
        <f t="shared" si="28"/>
        <v>0</v>
      </c>
      <c r="R41" s="5">
        <f t="shared" si="28"/>
        <v>2</v>
      </c>
      <c r="S41" s="5">
        <f t="shared" si="28"/>
        <v>0</v>
      </c>
      <c r="T41" s="5">
        <f t="shared" si="27"/>
        <v>0</v>
      </c>
      <c r="U41" s="5">
        <f t="shared" si="27"/>
        <v>4</v>
      </c>
      <c r="V41" s="5">
        <f t="shared" si="27"/>
        <v>0</v>
      </c>
      <c r="W41" s="5">
        <f t="shared" si="27"/>
        <v>0</v>
      </c>
      <c r="X41" s="5">
        <f t="shared" si="27"/>
        <v>2</v>
      </c>
      <c r="Y41" s="5">
        <f t="shared" si="27"/>
        <v>0</v>
      </c>
      <c r="Z41" s="5">
        <f t="shared" ref="Z41" si="29">SUM(Z39:Z40)</f>
        <v>0</v>
      </c>
      <c r="AA41" s="5">
        <f t="shared" si="27"/>
        <v>0</v>
      </c>
      <c r="AB41" s="5">
        <f t="shared" si="27"/>
        <v>0</v>
      </c>
      <c r="AC41" s="5">
        <f>SUM(E41:AB41)</f>
        <v>19</v>
      </c>
    </row>
    <row r="42" spans="1:29" x14ac:dyDescent="0.4">
      <c r="A42" s="77"/>
      <c r="B42" s="76"/>
      <c r="C42" s="76"/>
      <c r="D42" s="64"/>
      <c r="E42" s="50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51"/>
      <c r="U42" s="51"/>
      <c r="V42" s="51"/>
      <c r="W42" s="52"/>
      <c r="X42" s="6"/>
      <c r="Y42" s="6"/>
      <c r="Z42" s="6"/>
      <c r="AA42" s="6"/>
      <c r="AB42" s="6"/>
      <c r="AC42" s="5"/>
    </row>
    <row r="43" spans="1:29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5"/>
    </row>
    <row r="45" spans="1:29" x14ac:dyDescent="0.4">
      <c r="A45" s="11" t="s">
        <v>48</v>
      </c>
      <c r="B45" s="17" t="s">
        <v>28</v>
      </c>
      <c r="C45" s="79" t="s">
        <v>49</v>
      </c>
      <c r="D45" s="52"/>
      <c r="E45" s="6">
        <v>6</v>
      </c>
      <c r="F45" s="6">
        <v>6</v>
      </c>
      <c r="G45" s="6">
        <v>8</v>
      </c>
      <c r="H45" s="6">
        <v>4</v>
      </c>
      <c r="I45" s="6">
        <v>17</v>
      </c>
      <c r="J45" s="6">
        <v>7</v>
      </c>
      <c r="K45" s="6">
        <v>6</v>
      </c>
      <c r="L45" s="6">
        <v>8</v>
      </c>
      <c r="M45" s="6">
        <v>2</v>
      </c>
      <c r="N45" s="6">
        <v>6</v>
      </c>
      <c r="O45" s="6">
        <v>3</v>
      </c>
      <c r="P45" s="6">
        <v>0</v>
      </c>
      <c r="Q45" s="6">
        <v>2</v>
      </c>
      <c r="R45" s="6">
        <v>6</v>
      </c>
      <c r="S45" s="6">
        <v>2</v>
      </c>
      <c r="T45" s="6">
        <v>3</v>
      </c>
      <c r="U45" s="6">
        <v>1</v>
      </c>
      <c r="V45" s="6">
        <v>9</v>
      </c>
      <c r="W45" s="6">
        <v>5</v>
      </c>
      <c r="X45" s="6">
        <v>15</v>
      </c>
      <c r="Y45" s="6">
        <v>10</v>
      </c>
      <c r="Z45" s="6">
        <v>14</v>
      </c>
      <c r="AA45" s="6">
        <v>9</v>
      </c>
      <c r="AB45" s="6">
        <v>0</v>
      </c>
      <c r="AC45" s="5">
        <f t="shared" ref="AC45:AC51" si="30">SUM(E45:AB45)</f>
        <v>149</v>
      </c>
    </row>
    <row r="46" spans="1:29" x14ac:dyDescent="0.4">
      <c r="A46" s="11" t="s">
        <v>50</v>
      </c>
      <c r="B46" s="46"/>
      <c r="C46" s="24" t="s">
        <v>104</v>
      </c>
      <c r="D46" s="47"/>
      <c r="E46" s="6">
        <v>4</v>
      </c>
      <c r="F46" s="6">
        <v>29</v>
      </c>
      <c r="G46" s="6">
        <v>8</v>
      </c>
      <c r="H46" s="6">
        <v>9</v>
      </c>
      <c r="I46" s="6">
        <v>47</v>
      </c>
      <c r="J46" s="6">
        <v>30</v>
      </c>
      <c r="K46" s="6">
        <v>10</v>
      </c>
      <c r="L46" s="6">
        <v>20</v>
      </c>
      <c r="M46" s="6">
        <v>3</v>
      </c>
      <c r="N46" s="6">
        <v>5</v>
      </c>
      <c r="O46" s="6">
        <v>2</v>
      </c>
      <c r="P46" s="6">
        <v>4</v>
      </c>
      <c r="Q46" s="6">
        <v>1</v>
      </c>
      <c r="R46" s="6">
        <v>1</v>
      </c>
      <c r="S46" s="6">
        <v>1</v>
      </c>
      <c r="T46" s="6">
        <v>8</v>
      </c>
      <c r="U46" s="6">
        <v>3</v>
      </c>
      <c r="V46" s="6">
        <v>7</v>
      </c>
      <c r="W46" s="6">
        <v>11</v>
      </c>
      <c r="X46" s="6">
        <v>19</v>
      </c>
      <c r="Y46" s="6">
        <v>24</v>
      </c>
      <c r="Z46" s="6">
        <v>17</v>
      </c>
      <c r="AA46" s="6">
        <v>24</v>
      </c>
      <c r="AB46" s="6">
        <v>6</v>
      </c>
      <c r="AC46" s="5">
        <f t="shared" si="30"/>
        <v>293</v>
      </c>
    </row>
    <row r="47" spans="1:29" x14ac:dyDescent="0.4">
      <c r="A47" s="7"/>
      <c r="B47" s="46"/>
      <c r="C47" s="24" t="s">
        <v>105</v>
      </c>
      <c r="D47" s="47"/>
      <c r="E47" s="6">
        <v>27</v>
      </c>
      <c r="F47" s="6">
        <v>40</v>
      </c>
      <c r="G47" s="6">
        <v>32</v>
      </c>
      <c r="H47" s="6">
        <v>59</v>
      </c>
      <c r="I47" s="6">
        <v>27</v>
      </c>
      <c r="J47" s="6">
        <v>33</v>
      </c>
      <c r="K47" s="6">
        <v>33</v>
      </c>
      <c r="L47" s="6">
        <v>11</v>
      </c>
      <c r="M47" s="6">
        <v>74</v>
      </c>
      <c r="N47" s="6">
        <v>79</v>
      </c>
      <c r="O47" s="6">
        <v>8</v>
      </c>
      <c r="P47" s="6">
        <v>15</v>
      </c>
      <c r="Q47" s="6">
        <v>9</v>
      </c>
      <c r="R47" s="6">
        <v>4</v>
      </c>
      <c r="S47" s="6">
        <v>7</v>
      </c>
      <c r="T47" s="6">
        <v>17</v>
      </c>
      <c r="U47" s="6">
        <v>17</v>
      </c>
      <c r="V47" s="6">
        <v>7</v>
      </c>
      <c r="W47" s="6">
        <v>11</v>
      </c>
      <c r="X47" s="6">
        <v>26</v>
      </c>
      <c r="Y47" s="6">
        <v>41</v>
      </c>
      <c r="Z47" s="6">
        <v>19</v>
      </c>
      <c r="AA47" s="6">
        <v>11</v>
      </c>
      <c r="AB47" s="6">
        <v>2</v>
      </c>
      <c r="AC47" s="5">
        <f t="shared" si="30"/>
        <v>609</v>
      </c>
    </row>
    <row r="48" spans="1:29" x14ac:dyDescent="0.4">
      <c r="A48" s="7"/>
      <c r="B48" s="46"/>
      <c r="C48" s="24" t="s">
        <v>106</v>
      </c>
      <c r="D48" s="47"/>
      <c r="E48" s="6">
        <v>0</v>
      </c>
      <c r="F48" s="6">
        <v>1</v>
      </c>
      <c r="G48" s="6">
        <v>1</v>
      </c>
      <c r="H48" s="6">
        <v>0</v>
      </c>
      <c r="I48" s="6">
        <v>0</v>
      </c>
      <c r="J48" s="6">
        <v>1</v>
      </c>
      <c r="K48" s="6">
        <v>1</v>
      </c>
      <c r="L48" s="6">
        <v>0</v>
      </c>
      <c r="M48" s="6">
        <v>2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6">
        <v>0</v>
      </c>
      <c r="Z48" s="6">
        <v>0</v>
      </c>
      <c r="AA48" s="6">
        <v>1</v>
      </c>
      <c r="AB48" s="6">
        <v>0</v>
      </c>
      <c r="AC48" s="5">
        <f t="shared" si="30"/>
        <v>8</v>
      </c>
    </row>
    <row r="49" spans="1:29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1</v>
      </c>
      <c r="Y49" s="6">
        <v>0</v>
      </c>
      <c r="Z49" s="6">
        <v>0</v>
      </c>
      <c r="AA49" s="6">
        <v>0</v>
      </c>
      <c r="AB49" s="6">
        <v>0</v>
      </c>
      <c r="AC49" s="5">
        <f t="shared" si="30"/>
        <v>2</v>
      </c>
    </row>
    <row r="50" spans="1:29" x14ac:dyDescent="0.4">
      <c r="A50" s="7"/>
      <c r="B50" s="46"/>
      <c r="C50" s="24" t="s">
        <v>108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5">
        <f t="shared" si="30"/>
        <v>1</v>
      </c>
    </row>
    <row r="51" spans="1:29" x14ac:dyDescent="0.4">
      <c r="A51" s="7"/>
      <c r="B51" s="46"/>
      <c r="C51" s="24" t="s">
        <v>109</v>
      </c>
      <c r="D51" s="47"/>
      <c r="E51" s="6">
        <v>1</v>
      </c>
      <c r="F51" s="6">
        <v>2</v>
      </c>
      <c r="G51" s="6">
        <v>0</v>
      </c>
      <c r="H51" s="6">
        <v>0</v>
      </c>
      <c r="I51" s="6">
        <v>1</v>
      </c>
      <c r="J51" s="6">
        <v>0</v>
      </c>
      <c r="K51" s="6">
        <v>0</v>
      </c>
      <c r="L51" s="6">
        <v>4</v>
      </c>
      <c r="M51" s="6">
        <v>2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5">
        <f t="shared" si="30"/>
        <v>10</v>
      </c>
    </row>
    <row r="52" spans="1:29" x14ac:dyDescent="0.4">
      <c r="A52" s="6" t="s">
        <v>26</v>
      </c>
      <c r="B52" s="71" t="s">
        <v>51</v>
      </c>
      <c r="C52" s="51"/>
      <c r="D52" s="52"/>
      <c r="E52" s="5">
        <f>SUM(E45:E51)</f>
        <v>38</v>
      </c>
      <c r="F52" s="5">
        <f>SUM(F45:F51)</f>
        <v>78</v>
      </c>
      <c r="G52" s="5">
        <f>SUM(G45:G51)</f>
        <v>49</v>
      </c>
      <c r="H52" s="5">
        <f>SUM(H45:H51)</f>
        <v>72</v>
      </c>
      <c r="I52" s="5">
        <f>SUM(I45:I51)</f>
        <v>92</v>
      </c>
      <c r="J52" s="5">
        <f>SUM(J45:J51)</f>
        <v>71</v>
      </c>
      <c r="K52" s="5">
        <f>SUM(K45:K51)</f>
        <v>50</v>
      </c>
      <c r="L52" s="5">
        <f>SUM(L45:L51)</f>
        <v>44</v>
      </c>
      <c r="M52" s="5">
        <f>SUM(M45:M51)</f>
        <v>83</v>
      </c>
      <c r="N52" s="5">
        <f>SUM(N45:N51)</f>
        <v>90</v>
      </c>
      <c r="O52" s="5">
        <f>SUM(O45:O51)</f>
        <v>13</v>
      </c>
      <c r="P52" s="5">
        <f>SUM(P45:P51)</f>
        <v>19</v>
      </c>
      <c r="Q52" s="5">
        <f>SUM(Q45:Q51)</f>
        <v>13</v>
      </c>
      <c r="R52" s="5">
        <f>SUM(R45:R51)</f>
        <v>11</v>
      </c>
      <c r="S52" s="5">
        <f>SUM(S45:S51)</f>
        <v>10</v>
      </c>
      <c r="T52" s="5">
        <f>SUM(T45:T51)</f>
        <v>28</v>
      </c>
      <c r="U52" s="5">
        <f>SUM(U45:U51)</f>
        <v>21</v>
      </c>
      <c r="V52" s="5">
        <f>SUM(V45:V51)</f>
        <v>23</v>
      </c>
      <c r="W52" s="5">
        <f>SUM(W45:W51)</f>
        <v>27</v>
      </c>
      <c r="X52" s="5">
        <f>SUM(X45:X51)</f>
        <v>62</v>
      </c>
      <c r="Y52" s="5">
        <f>SUM(Y45:Y51)</f>
        <v>75</v>
      </c>
      <c r="Z52" s="5">
        <f>SUM(Z45:Z51)</f>
        <v>50</v>
      </c>
      <c r="AA52" s="5">
        <f>SUM(AA45:AA51)</f>
        <v>45</v>
      </c>
      <c r="AB52" s="5">
        <f>SUM(AB45:AB51)</f>
        <v>8</v>
      </c>
      <c r="AC52" s="5">
        <f>SUM(AC45:AC51)</f>
        <v>1072</v>
      </c>
    </row>
    <row r="53" spans="1:29" x14ac:dyDescent="0.4">
      <c r="A53" s="77"/>
      <c r="B53" s="76"/>
      <c r="C53" s="76"/>
      <c r="D53" s="76"/>
      <c r="E53" s="76"/>
      <c r="AC53" s="5"/>
    </row>
    <row r="54" spans="1:29" x14ac:dyDescent="0.4">
      <c r="A54" s="11" t="s">
        <v>48</v>
      </c>
      <c r="B54" s="17" t="s">
        <v>30</v>
      </c>
      <c r="C54" s="79" t="s">
        <v>52</v>
      </c>
      <c r="D54" s="52"/>
      <c r="E54" s="6">
        <v>9</v>
      </c>
      <c r="F54" s="6">
        <v>7</v>
      </c>
      <c r="G54" s="6">
        <v>5</v>
      </c>
      <c r="H54" s="6">
        <v>3</v>
      </c>
      <c r="I54" s="6">
        <v>11</v>
      </c>
      <c r="J54" s="6">
        <v>9</v>
      </c>
      <c r="K54" s="6">
        <v>17</v>
      </c>
      <c r="L54" s="6">
        <v>6</v>
      </c>
      <c r="M54" s="6">
        <v>9</v>
      </c>
      <c r="N54" s="6">
        <v>11</v>
      </c>
      <c r="O54" s="6">
        <v>14</v>
      </c>
      <c r="P54" s="6">
        <v>9</v>
      </c>
      <c r="Q54" s="6">
        <v>5</v>
      </c>
      <c r="R54" s="6">
        <v>11</v>
      </c>
      <c r="S54" s="6">
        <v>27</v>
      </c>
      <c r="T54" s="6">
        <v>17</v>
      </c>
      <c r="U54" s="6">
        <v>16</v>
      </c>
      <c r="V54" s="6">
        <v>18</v>
      </c>
      <c r="W54" s="6">
        <v>12</v>
      </c>
      <c r="X54" s="6">
        <v>14</v>
      </c>
      <c r="Y54" s="6">
        <v>12</v>
      </c>
      <c r="Z54" s="6">
        <v>8</v>
      </c>
      <c r="AA54" s="6">
        <v>13</v>
      </c>
      <c r="AB54" s="6">
        <v>3</v>
      </c>
      <c r="AC54" s="5">
        <f t="shared" ref="AC54:AC60" si="31">SUM(E54:AB54)</f>
        <v>266</v>
      </c>
    </row>
    <row r="55" spans="1:29" x14ac:dyDescent="0.4">
      <c r="A55" s="11" t="s">
        <v>50</v>
      </c>
      <c r="B55" s="46"/>
      <c r="C55" s="24" t="s">
        <v>110</v>
      </c>
      <c r="D55" s="47"/>
      <c r="E55" s="6">
        <v>6</v>
      </c>
      <c r="F55" s="6">
        <v>7</v>
      </c>
      <c r="G55" s="6">
        <v>4</v>
      </c>
      <c r="H55" s="6">
        <v>13</v>
      </c>
      <c r="I55" s="6">
        <v>18</v>
      </c>
      <c r="J55" s="6">
        <v>16</v>
      </c>
      <c r="K55" s="6">
        <v>6</v>
      </c>
      <c r="L55" s="6">
        <v>12</v>
      </c>
      <c r="M55" s="6">
        <v>31</v>
      </c>
      <c r="N55" s="6">
        <v>5</v>
      </c>
      <c r="O55" s="6">
        <v>4</v>
      </c>
      <c r="P55" s="6">
        <v>8</v>
      </c>
      <c r="Q55" s="6">
        <v>10</v>
      </c>
      <c r="R55" s="6">
        <v>11</v>
      </c>
      <c r="S55" s="6">
        <v>16</v>
      </c>
      <c r="T55" s="6">
        <v>43</v>
      </c>
      <c r="U55" s="6">
        <v>48</v>
      </c>
      <c r="V55" s="6">
        <v>40</v>
      </c>
      <c r="W55" s="6">
        <v>47</v>
      </c>
      <c r="X55" s="6">
        <v>25</v>
      </c>
      <c r="Y55" s="6">
        <v>16</v>
      </c>
      <c r="Z55" s="6">
        <v>14</v>
      </c>
      <c r="AA55" s="6">
        <v>14</v>
      </c>
      <c r="AB55" s="6">
        <v>7</v>
      </c>
      <c r="AC55" s="5">
        <f t="shared" si="31"/>
        <v>421</v>
      </c>
    </row>
    <row r="56" spans="1:29" x14ac:dyDescent="0.4">
      <c r="A56" s="7"/>
      <c r="B56" s="46"/>
      <c r="C56" s="24" t="s">
        <v>111</v>
      </c>
      <c r="D56" s="47"/>
      <c r="E56" s="6">
        <v>35</v>
      </c>
      <c r="F56" s="6">
        <v>11</v>
      </c>
      <c r="G56" s="6">
        <v>6</v>
      </c>
      <c r="H56" s="6">
        <v>33</v>
      </c>
      <c r="I56" s="6">
        <v>6</v>
      </c>
      <c r="J56" s="6">
        <v>10</v>
      </c>
      <c r="K56" s="6">
        <v>19</v>
      </c>
      <c r="L56" s="6">
        <v>36</v>
      </c>
      <c r="M56" s="6">
        <v>22</v>
      </c>
      <c r="N56" s="6">
        <v>19</v>
      </c>
      <c r="O56" s="6">
        <v>76</v>
      </c>
      <c r="P56" s="6">
        <v>44</v>
      </c>
      <c r="Q56" s="6">
        <v>63</v>
      </c>
      <c r="R56" s="6">
        <v>54</v>
      </c>
      <c r="S56" s="6">
        <v>44</v>
      </c>
      <c r="T56" s="6">
        <v>26</v>
      </c>
      <c r="U56" s="6">
        <v>26</v>
      </c>
      <c r="V56" s="6">
        <v>25</v>
      </c>
      <c r="W56" s="6">
        <v>20</v>
      </c>
      <c r="X56" s="6">
        <v>14</v>
      </c>
      <c r="Y56" s="6">
        <v>10</v>
      </c>
      <c r="Z56" s="6">
        <v>22</v>
      </c>
      <c r="AA56" s="6">
        <v>6</v>
      </c>
      <c r="AB56" s="6">
        <v>33</v>
      </c>
      <c r="AC56" s="5">
        <f t="shared" si="31"/>
        <v>660</v>
      </c>
    </row>
    <row r="57" spans="1:29" x14ac:dyDescent="0.4">
      <c r="A57" s="7"/>
      <c r="B57" s="46"/>
      <c r="C57" s="24" t="s">
        <v>112</v>
      </c>
      <c r="D57" s="47"/>
      <c r="E57" s="6">
        <v>0</v>
      </c>
      <c r="F57" s="6">
        <v>3</v>
      </c>
      <c r="G57" s="6">
        <v>0</v>
      </c>
      <c r="H57" s="6">
        <v>0</v>
      </c>
      <c r="I57" s="6">
        <v>0</v>
      </c>
      <c r="J57" s="6">
        <v>1</v>
      </c>
      <c r="K57" s="6">
        <v>1</v>
      </c>
      <c r="L57" s="6">
        <v>0</v>
      </c>
      <c r="M57" s="6">
        <v>1</v>
      </c>
      <c r="N57" s="6">
        <v>1</v>
      </c>
      <c r="O57" s="6">
        <v>1</v>
      </c>
      <c r="P57" s="6">
        <v>0</v>
      </c>
      <c r="Q57" s="6">
        <v>0</v>
      </c>
      <c r="R57" s="6">
        <v>1</v>
      </c>
      <c r="S57" s="6">
        <v>0</v>
      </c>
      <c r="T57" s="6">
        <v>1</v>
      </c>
      <c r="U57" s="6">
        <v>1</v>
      </c>
      <c r="V57" s="6">
        <v>2</v>
      </c>
      <c r="W57" s="6">
        <v>2</v>
      </c>
      <c r="X57" s="6">
        <v>0</v>
      </c>
      <c r="Y57" s="6">
        <v>1</v>
      </c>
      <c r="Z57" s="6">
        <v>0</v>
      </c>
      <c r="AA57" s="6">
        <v>1</v>
      </c>
      <c r="AB57" s="6">
        <v>1</v>
      </c>
      <c r="AC57" s="5">
        <f t="shared" si="31"/>
        <v>18</v>
      </c>
    </row>
    <row r="58" spans="1:29" x14ac:dyDescent="0.4">
      <c r="A58" s="7"/>
      <c r="B58" s="46"/>
      <c r="C58" s="24" t="s">
        <v>113</v>
      </c>
      <c r="D58" s="47"/>
      <c r="E58" s="6">
        <v>1</v>
      </c>
      <c r="F58" s="6">
        <v>2</v>
      </c>
      <c r="G58" s="6">
        <v>1</v>
      </c>
      <c r="H58" s="6">
        <v>0</v>
      </c>
      <c r="I58" s="6">
        <v>0</v>
      </c>
      <c r="J58" s="6">
        <v>0</v>
      </c>
      <c r="K58" s="6">
        <v>2</v>
      </c>
      <c r="L58" s="6">
        <v>2</v>
      </c>
      <c r="M58" s="6">
        <v>1</v>
      </c>
      <c r="N58" s="6">
        <v>2</v>
      </c>
      <c r="O58" s="6">
        <v>9</v>
      </c>
      <c r="P58" s="6">
        <v>3</v>
      </c>
      <c r="Q58" s="6">
        <v>3</v>
      </c>
      <c r="R58" s="6">
        <v>0</v>
      </c>
      <c r="S58" s="6">
        <v>8</v>
      </c>
      <c r="T58" s="6">
        <v>5</v>
      </c>
      <c r="U58" s="6">
        <v>4</v>
      </c>
      <c r="V58" s="6">
        <v>4</v>
      </c>
      <c r="W58" s="6">
        <v>8</v>
      </c>
      <c r="X58" s="6">
        <v>0</v>
      </c>
      <c r="Y58" s="6">
        <v>0</v>
      </c>
      <c r="Z58" s="6">
        <v>3</v>
      </c>
      <c r="AA58" s="6">
        <v>0</v>
      </c>
      <c r="AB58" s="6">
        <v>0</v>
      </c>
      <c r="AC58" s="5">
        <f t="shared" si="31"/>
        <v>58</v>
      </c>
    </row>
    <row r="59" spans="1:29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5">
        <f t="shared" si="31"/>
        <v>2</v>
      </c>
    </row>
    <row r="60" spans="1:29" ht="13.15" customHeight="1" x14ac:dyDescent="0.4">
      <c r="A60" s="7"/>
      <c r="B60" s="46"/>
      <c r="C60" s="24" t="s">
        <v>115</v>
      </c>
      <c r="D60" s="47"/>
      <c r="E60" s="6">
        <v>1</v>
      </c>
      <c r="F60" s="6">
        <v>0</v>
      </c>
      <c r="G60" s="6">
        <v>0</v>
      </c>
      <c r="H60" s="6">
        <v>2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1</v>
      </c>
      <c r="X60" s="6">
        <v>0</v>
      </c>
      <c r="Y60" s="6">
        <v>1</v>
      </c>
      <c r="Z60" s="6">
        <v>0</v>
      </c>
      <c r="AA60" s="6">
        <v>0</v>
      </c>
      <c r="AB60" s="6">
        <v>0</v>
      </c>
      <c r="AC60" s="5">
        <f t="shared" si="31"/>
        <v>6</v>
      </c>
    </row>
    <row r="61" spans="1:29" x14ac:dyDescent="0.4">
      <c r="A61" s="6" t="s">
        <v>26</v>
      </c>
      <c r="B61" s="71" t="s">
        <v>51</v>
      </c>
      <c r="C61" s="51"/>
      <c r="D61" s="52"/>
      <c r="E61" s="5">
        <f>SUM(E54:E60)</f>
        <v>52</v>
      </c>
      <c r="F61" s="5">
        <f>SUM(F54:F60)</f>
        <v>30</v>
      </c>
      <c r="G61" s="5">
        <f>SUM(G54:G60)</f>
        <v>17</v>
      </c>
      <c r="H61" s="5">
        <f>SUM(H54:H60)</f>
        <v>51</v>
      </c>
      <c r="I61" s="5">
        <f>SUM(I54:I60)</f>
        <v>35</v>
      </c>
      <c r="J61" s="5">
        <f>SUM(J54:J60)</f>
        <v>36</v>
      </c>
      <c r="K61" s="5">
        <f>SUM(K54:K60)</f>
        <v>45</v>
      </c>
      <c r="L61" s="5">
        <f>SUM(L54:L60)</f>
        <v>56</v>
      </c>
      <c r="M61" s="5">
        <f>SUM(M54:M60)</f>
        <v>65</v>
      </c>
      <c r="N61" s="5">
        <f>SUM(N54:N60)</f>
        <v>39</v>
      </c>
      <c r="O61" s="5">
        <f>SUM(O54:O60)</f>
        <v>104</v>
      </c>
      <c r="P61" s="5">
        <f>SUM(P54:P60)</f>
        <v>64</v>
      </c>
      <c r="Q61" s="5">
        <f>SUM(Q54:Q60)</f>
        <v>81</v>
      </c>
      <c r="R61" s="5">
        <f>SUM(R54:R60)</f>
        <v>77</v>
      </c>
      <c r="S61" s="5">
        <f>SUM(S54:S60)</f>
        <v>95</v>
      </c>
      <c r="T61" s="5">
        <f>SUM(T54:T60)</f>
        <v>92</v>
      </c>
      <c r="U61" s="5">
        <f>SUM(U54:U60)</f>
        <v>95</v>
      </c>
      <c r="V61" s="5">
        <f>SUM(V54:V60)</f>
        <v>89</v>
      </c>
      <c r="W61" s="5">
        <f>SUM(W54:W60)</f>
        <v>90</v>
      </c>
      <c r="X61" s="5">
        <f>SUM(X54:X60)</f>
        <v>53</v>
      </c>
      <c r="Y61" s="5">
        <f>SUM(Y54:Y60)</f>
        <v>40</v>
      </c>
      <c r="Z61" s="5">
        <f>SUM(Z54:Z60)</f>
        <v>47</v>
      </c>
      <c r="AA61" s="5">
        <f>SUM(AA54:AA60)</f>
        <v>34</v>
      </c>
      <c r="AB61" s="5">
        <f>SUM(AB54:AB60)</f>
        <v>44</v>
      </c>
      <c r="AC61" s="5">
        <f>SUM(AC54:AC60)</f>
        <v>1431</v>
      </c>
    </row>
    <row r="62" spans="1:29" x14ac:dyDescent="0.4">
      <c r="A62" s="77"/>
      <c r="B62" s="76"/>
      <c r="C62" s="76"/>
      <c r="D62" s="76"/>
      <c r="E62" s="76"/>
    </row>
    <row r="63" spans="1:29" x14ac:dyDescent="0.4">
      <c r="A63" s="11" t="s">
        <v>48</v>
      </c>
      <c r="B63" s="17" t="s">
        <v>32</v>
      </c>
      <c r="C63" s="79" t="s">
        <v>53</v>
      </c>
      <c r="D63" s="52"/>
      <c r="E63" s="6">
        <v>3</v>
      </c>
      <c r="F63" s="6">
        <v>8</v>
      </c>
      <c r="G63" s="6">
        <v>1</v>
      </c>
      <c r="H63" s="6">
        <v>2</v>
      </c>
      <c r="I63" s="6">
        <v>3</v>
      </c>
      <c r="J63" s="6">
        <v>8</v>
      </c>
      <c r="K63" s="6">
        <v>4</v>
      </c>
      <c r="L63" s="6">
        <v>0</v>
      </c>
      <c r="M63" s="6">
        <v>14</v>
      </c>
      <c r="N63" s="6">
        <v>1</v>
      </c>
      <c r="O63" s="6">
        <v>10</v>
      </c>
      <c r="P63" s="6">
        <v>15</v>
      </c>
      <c r="Q63" s="6">
        <v>4</v>
      </c>
      <c r="R63" s="6">
        <v>15</v>
      </c>
      <c r="S63" s="6">
        <v>12</v>
      </c>
      <c r="T63" s="6">
        <v>13</v>
      </c>
      <c r="U63" s="6">
        <v>13</v>
      </c>
      <c r="V63" s="6">
        <v>8</v>
      </c>
      <c r="W63" s="6">
        <v>4</v>
      </c>
      <c r="X63" s="6">
        <v>2</v>
      </c>
      <c r="Y63" s="6">
        <v>1</v>
      </c>
      <c r="Z63" s="6">
        <v>4</v>
      </c>
      <c r="AA63" s="6">
        <v>12</v>
      </c>
      <c r="AB63" s="6">
        <v>2</v>
      </c>
      <c r="AC63" s="5">
        <f t="shared" ref="AC63:AC69" si="32">SUM(E63:AB63)</f>
        <v>159</v>
      </c>
    </row>
    <row r="64" spans="1:29" x14ac:dyDescent="0.4">
      <c r="A64" s="11" t="s">
        <v>50</v>
      </c>
      <c r="B64" s="46"/>
      <c r="C64" s="24" t="s">
        <v>116</v>
      </c>
      <c r="D64" s="47"/>
      <c r="E64" s="6">
        <v>0</v>
      </c>
      <c r="F64" s="6">
        <v>2</v>
      </c>
      <c r="G64" s="6">
        <v>1</v>
      </c>
      <c r="H64" s="6">
        <v>1</v>
      </c>
      <c r="I64" s="6">
        <v>0</v>
      </c>
      <c r="J64" s="6">
        <v>1</v>
      </c>
      <c r="K64" s="6">
        <v>1</v>
      </c>
      <c r="L64" s="6">
        <v>0</v>
      </c>
      <c r="M64" s="6">
        <v>1</v>
      </c>
      <c r="N64" s="6">
        <v>0</v>
      </c>
      <c r="O64" s="6">
        <v>3</v>
      </c>
      <c r="P64" s="6">
        <v>0</v>
      </c>
      <c r="Q64" s="6">
        <v>1</v>
      </c>
      <c r="R64" s="6">
        <v>2</v>
      </c>
      <c r="S64" s="6">
        <v>1</v>
      </c>
      <c r="T64" s="6">
        <v>3</v>
      </c>
      <c r="U64" s="6">
        <v>2</v>
      </c>
      <c r="V64" s="6">
        <v>1</v>
      </c>
      <c r="W64" s="6">
        <v>2</v>
      </c>
      <c r="X64" s="6">
        <v>2</v>
      </c>
      <c r="Y64" s="6">
        <v>1</v>
      </c>
      <c r="Z64" s="6">
        <v>1</v>
      </c>
      <c r="AA64" s="6">
        <v>1</v>
      </c>
      <c r="AB64" s="6">
        <v>1</v>
      </c>
      <c r="AC64" s="5">
        <f t="shared" si="32"/>
        <v>28</v>
      </c>
    </row>
    <row r="65" spans="1:29" x14ac:dyDescent="0.4">
      <c r="A65" s="7"/>
      <c r="B65" s="46"/>
      <c r="C65" s="24" t="s">
        <v>117</v>
      </c>
      <c r="D65" s="47"/>
      <c r="E65" s="6">
        <v>5</v>
      </c>
      <c r="F65" s="6">
        <v>14</v>
      </c>
      <c r="G65" s="6">
        <v>8</v>
      </c>
      <c r="H65" s="6">
        <v>15</v>
      </c>
      <c r="I65" s="6">
        <v>11</v>
      </c>
      <c r="J65" s="6">
        <v>8</v>
      </c>
      <c r="K65" s="6">
        <v>5</v>
      </c>
      <c r="L65" s="6">
        <v>8</v>
      </c>
      <c r="M65" s="6">
        <v>9</v>
      </c>
      <c r="N65" s="6">
        <v>3</v>
      </c>
      <c r="O65" s="6">
        <v>17</v>
      </c>
      <c r="P65" s="6">
        <v>44</v>
      </c>
      <c r="Q65" s="6">
        <v>28</v>
      </c>
      <c r="R65" s="6">
        <v>46</v>
      </c>
      <c r="S65" s="6">
        <v>29</v>
      </c>
      <c r="T65" s="6">
        <v>15</v>
      </c>
      <c r="U65" s="6">
        <v>21</v>
      </c>
      <c r="V65" s="6">
        <v>11</v>
      </c>
      <c r="W65" s="6">
        <v>8</v>
      </c>
      <c r="X65" s="6">
        <v>16</v>
      </c>
      <c r="Y65" s="6">
        <v>4</v>
      </c>
      <c r="Z65" s="6">
        <v>18</v>
      </c>
      <c r="AA65" s="6">
        <v>28</v>
      </c>
      <c r="AB65" s="6">
        <v>50</v>
      </c>
      <c r="AC65" s="5">
        <f t="shared" si="32"/>
        <v>421</v>
      </c>
    </row>
    <row r="66" spans="1:29" x14ac:dyDescent="0.4">
      <c r="A66" s="7"/>
      <c r="B66" s="46"/>
      <c r="C66" s="24" t="s">
        <v>118</v>
      </c>
      <c r="D66" s="47"/>
      <c r="E66" s="6">
        <v>0</v>
      </c>
      <c r="F66" s="6">
        <v>0</v>
      </c>
      <c r="G66" s="6">
        <v>0</v>
      </c>
      <c r="H66" s="6">
        <v>2</v>
      </c>
      <c r="I66" s="6">
        <v>0</v>
      </c>
      <c r="J66" s="6">
        <v>0</v>
      </c>
      <c r="K66" s="6">
        <v>0</v>
      </c>
      <c r="L66" s="6">
        <v>1</v>
      </c>
      <c r="M66" s="6">
        <v>9</v>
      </c>
      <c r="N66" s="6">
        <v>0</v>
      </c>
      <c r="O66" s="6">
        <v>0</v>
      </c>
      <c r="P66" s="6">
        <v>5</v>
      </c>
      <c r="Q66" s="6">
        <v>1</v>
      </c>
      <c r="R66" s="6">
        <v>1</v>
      </c>
      <c r="S66" s="6">
        <v>2</v>
      </c>
      <c r="T66" s="6">
        <v>2</v>
      </c>
      <c r="U66" s="6">
        <v>1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1</v>
      </c>
      <c r="AC66" s="5">
        <f t="shared" si="32"/>
        <v>25</v>
      </c>
    </row>
    <row r="67" spans="1:29" x14ac:dyDescent="0.4">
      <c r="A67" s="7"/>
      <c r="B67" s="46"/>
      <c r="C67" s="24" t="s">
        <v>119</v>
      </c>
      <c r="D67" s="47"/>
      <c r="E67" s="6">
        <v>28</v>
      </c>
      <c r="F67" s="6">
        <v>17</v>
      </c>
      <c r="G67" s="6">
        <v>17</v>
      </c>
      <c r="H67" s="6">
        <v>8</v>
      </c>
      <c r="I67" s="6">
        <v>2</v>
      </c>
      <c r="J67" s="6">
        <v>0</v>
      </c>
      <c r="K67" s="6">
        <v>1</v>
      </c>
      <c r="L67" s="6">
        <v>4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0</v>
      </c>
      <c r="S67" s="6">
        <v>0</v>
      </c>
      <c r="T67" s="6">
        <v>1</v>
      </c>
      <c r="U67" s="6">
        <v>2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5">
        <f t="shared" si="32"/>
        <v>81</v>
      </c>
    </row>
    <row r="68" spans="1:29" ht="13.15" customHeight="1" x14ac:dyDescent="0.4">
      <c r="A68" s="7"/>
      <c r="B68" s="46"/>
      <c r="C68" s="24" t="s">
        <v>120</v>
      </c>
      <c r="D68" s="47"/>
      <c r="E68" s="6">
        <v>0</v>
      </c>
      <c r="F68" s="6">
        <v>3</v>
      </c>
      <c r="G68" s="6">
        <v>0</v>
      </c>
      <c r="H68" s="6">
        <v>3</v>
      </c>
      <c r="I68" s="6">
        <v>1</v>
      </c>
      <c r="J68" s="6">
        <v>5</v>
      </c>
      <c r="K68" s="6">
        <v>8</v>
      </c>
      <c r="L68" s="6">
        <v>14</v>
      </c>
      <c r="M68" s="6">
        <v>7</v>
      </c>
      <c r="N68" s="6">
        <v>1</v>
      </c>
      <c r="O68" s="6">
        <v>4</v>
      </c>
      <c r="P68" s="6">
        <v>2</v>
      </c>
      <c r="Q68" s="6">
        <v>3</v>
      </c>
      <c r="R68" s="6">
        <v>4</v>
      </c>
      <c r="S68" s="6">
        <v>2</v>
      </c>
      <c r="T68" s="6">
        <v>10</v>
      </c>
      <c r="U68" s="6">
        <v>2</v>
      </c>
      <c r="V68" s="6">
        <v>12</v>
      </c>
      <c r="W68" s="6">
        <v>7</v>
      </c>
      <c r="X68" s="6">
        <v>0</v>
      </c>
      <c r="Y68" s="6">
        <v>0</v>
      </c>
      <c r="Z68" s="6">
        <v>4</v>
      </c>
      <c r="AA68" s="6">
        <v>2</v>
      </c>
      <c r="AB68" s="6">
        <v>0</v>
      </c>
      <c r="AC68" s="5">
        <f t="shared" si="32"/>
        <v>94</v>
      </c>
    </row>
    <row r="69" spans="1:29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5">
        <f t="shared" si="32"/>
        <v>0</v>
      </c>
    </row>
    <row r="70" spans="1:29" x14ac:dyDescent="0.4">
      <c r="A70" s="6" t="s">
        <v>26</v>
      </c>
      <c r="B70" s="71" t="s">
        <v>51</v>
      </c>
      <c r="C70" s="51"/>
      <c r="D70" s="52"/>
      <c r="E70" s="5">
        <f>SUM(E63:E69)</f>
        <v>36</v>
      </c>
      <c r="F70" s="5">
        <f>SUM(F63:F69)</f>
        <v>44</v>
      </c>
      <c r="G70" s="5">
        <f>SUM(G63:G69)</f>
        <v>27</v>
      </c>
      <c r="H70" s="5">
        <f>SUM(H63:H69)</f>
        <v>31</v>
      </c>
      <c r="I70" s="5">
        <f>SUM(I63:I69)</f>
        <v>17</v>
      </c>
      <c r="J70" s="5">
        <f>SUM(J63:J69)</f>
        <v>22</v>
      </c>
      <c r="K70" s="5">
        <f>SUM(K63:K69)</f>
        <v>19</v>
      </c>
      <c r="L70" s="5">
        <f>SUM(L63:L69)</f>
        <v>27</v>
      </c>
      <c r="M70" s="5">
        <f>SUM(M63:M69)</f>
        <v>40</v>
      </c>
      <c r="N70" s="5">
        <f>SUM(N63:N69)</f>
        <v>5</v>
      </c>
      <c r="O70" s="5">
        <f>SUM(O63:O69)</f>
        <v>34</v>
      </c>
      <c r="P70" s="5">
        <f>SUM(P63:P69)</f>
        <v>66</v>
      </c>
      <c r="Q70" s="5">
        <f>SUM(Q63:Q69)</f>
        <v>38</v>
      </c>
      <c r="R70" s="5">
        <f>SUM(R63:R69)</f>
        <v>68</v>
      </c>
      <c r="S70" s="5">
        <f>SUM(S63:S69)</f>
        <v>46</v>
      </c>
      <c r="T70" s="5">
        <f>SUM(T63:T69)</f>
        <v>44</v>
      </c>
      <c r="U70" s="5">
        <f>SUM(U63:U69)</f>
        <v>41</v>
      </c>
      <c r="V70" s="5">
        <f>SUM(V63:V69)</f>
        <v>32</v>
      </c>
      <c r="W70" s="5">
        <f>SUM(W63:W69)</f>
        <v>21</v>
      </c>
      <c r="X70" s="5">
        <f>SUM(X63:X69)</f>
        <v>20</v>
      </c>
      <c r="Y70" s="5">
        <f>SUM(Y63:Y69)</f>
        <v>6</v>
      </c>
      <c r="Z70" s="5">
        <f>SUM(Z63:Z69)</f>
        <v>27</v>
      </c>
      <c r="AA70" s="5">
        <f>SUM(AA63:AA69)</f>
        <v>43</v>
      </c>
      <c r="AB70" s="5">
        <f>SUM(AB63:AB69)</f>
        <v>54</v>
      </c>
      <c r="AC70" s="5">
        <f>SUM(AC63:AC69)</f>
        <v>808</v>
      </c>
    </row>
    <row r="71" spans="1:29" x14ac:dyDescent="0.4">
      <c r="A71" s="77"/>
      <c r="B71" s="76"/>
      <c r="C71" s="76"/>
      <c r="D71" s="76"/>
      <c r="E71" s="76"/>
    </row>
    <row r="72" spans="1:29" x14ac:dyDescent="0.4">
      <c r="A72" s="11" t="s">
        <v>48</v>
      </c>
      <c r="B72" s="17" t="s">
        <v>34</v>
      </c>
      <c r="C72" s="79" t="s">
        <v>54</v>
      </c>
      <c r="D72" s="52"/>
      <c r="E72" s="6">
        <v>3</v>
      </c>
      <c r="F72" s="6">
        <v>3</v>
      </c>
      <c r="G72" s="6">
        <v>3</v>
      </c>
      <c r="H72" s="6">
        <v>4</v>
      </c>
      <c r="I72" s="6">
        <v>3</v>
      </c>
      <c r="J72" s="6">
        <v>5</v>
      </c>
      <c r="K72" s="6">
        <v>2</v>
      </c>
      <c r="L72" s="6">
        <v>0</v>
      </c>
      <c r="M72" s="6">
        <v>1</v>
      </c>
      <c r="N72" s="6">
        <v>0</v>
      </c>
      <c r="O72" s="6">
        <v>2</v>
      </c>
      <c r="P72" s="6">
        <v>0</v>
      </c>
      <c r="Q72" s="6">
        <v>0</v>
      </c>
      <c r="R72" s="6">
        <v>0</v>
      </c>
      <c r="S72" s="6">
        <v>2</v>
      </c>
      <c r="T72" s="6">
        <v>0</v>
      </c>
      <c r="U72" s="6">
        <v>2</v>
      </c>
      <c r="V72" s="6">
        <v>4</v>
      </c>
      <c r="W72" s="6">
        <v>3</v>
      </c>
      <c r="X72" s="6">
        <v>2</v>
      </c>
      <c r="Y72" s="6">
        <v>1</v>
      </c>
      <c r="Z72" s="6">
        <v>0</v>
      </c>
      <c r="AA72" s="6">
        <v>1</v>
      </c>
      <c r="AB72" s="6">
        <v>15</v>
      </c>
      <c r="AC72" s="5">
        <f t="shared" ref="AC72:AC78" si="33">SUM(E72:AB72)</f>
        <v>56</v>
      </c>
    </row>
    <row r="73" spans="1:29" x14ac:dyDescent="0.4">
      <c r="A73" s="11" t="s">
        <v>50</v>
      </c>
      <c r="B73" s="46"/>
      <c r="C73" s="24" t="s">
        <v>122</v>
      </c>
      <c r="D73" s="47"/>
      <c r="E73" s="6">
        <v>6</v>
      </c>
      <c r="F73" s="6">
        <v>10</v>
      </c>
      <c r="G73" s="6">
        <v>8</v>
      </c>
      <c r="H73" s="6">
        <v>5</v>
      </c>
      <c r="I73" s="6">
        <v>3</v>
      </c>
      <c r="J73" s="6">
        <v>2</v>
      </c>
      <c r="K73" s="6">
        <v>2</v>
      </c>
      <c r="L73" s="6">
        <v>5</v>
      </c>
      <c r="M73" s="6">
        <v>9</v>
      </c>
      <c r="N73" s="6">
        <v>15</v>
      </c>
      <c r="O73" s="6">
        <v>4</v>
      </c>
      <c r="P73" s="6">
        <v>3</v>
      </c>
      <c r="Q73" s="6">
        <v>2</v>
      </c>
      <c r="R73" s="6">
        <v>7</v>
      </c>
      <c r="S73" s="6">
        <v>0</v>
      </c>
      <c r="T73" s="6">
        <v>6</v>
      </c>
      <c r="U73" s="6">
        <v>2</v>
      </c>
      <c r="V73" s="6">
        <v>7</v>
      </c>
      <c r="W73" s="6">
        <v>6</v>
      </c>
      <c r="X73" s="6">
        <v>5</v>
      </c>
      <c r="Y73" s="6">
        <v>1</v>
      </c>
      <c r="Z73" s="6">
        <v>0</v>
      </c>
      <c r="AA73" s="6">
        <v>1</v>
      </c>
      <c r="AB73" s="6">
        <v>52</v>
      </c>
      <c r="AC73" s="5">
        <f t="shared" si="33"/>
        <v>161</v>
      </c>
    </row>
    <row r="74" spans="1:29" x14ac:dyDescent="0.4">
      <c r="A74" s="7"/>
      <c r="B74" s="46"/>
      <c r="C74" s="24" t="s">
        <v>123</v>
      </c>
      <c r="D74" s="47"/>
      <c r="E74" s="6">
        <v>3</v>
      </c>
      <c r="F74" s="6">
        <v>0</v>
      </c>
      <c r="G74" s="6">
        <v>2</v>
      </c>
      <c r="H74" s="6">
        <v>0</v>
      </c>
      <c r="I74" s="6">
        <v>0</v>
      </c>
      <c r="J74" s="6">
        <v>0</v>
      </c>
      <c r="K74" s="6">
        <v>1</v>
      </c>
      <c r="L74" s="6">
        <v>5</v>
      </c>
      <c r="M74" s="6">
        <v>1</v>
      </c>
      <c r="N74" s="6">
        <v>0</v>
      </c>
      <c r="O74" s="6">
        <v>0</v>
      </c>
      <c r="P74" s="6">
        <v>1</v>
      </c>
      <c r="Q74" s="6">
        <v>0</v>
      </c>
      <c r="R74" s="6">
        <v>1</v>
      </c>
      <c r="S74" s="6">
        <v>0</v>
      </c>
      <c r="T74" s="6">
        <v>1</v>
      </c>
      <c r="U74" s="6">
        <v>0</v>
      </c>
      <c r="V74" s="6">
        <v>0</v>
      </c>
      <c r="W74" s="6">
        <v>2</v>
      </c>
      <c r="X74" s="6">
        <v>0</v>
      </c>
      <c r="Y74" s="6">
        <v>0</v>
      </c>
      <c r="Z74" s="6">
        <v>0</v>
      </c>
      <c r="AA74" s="6">
        <v>0</v>
      </c>
      <c r="AB74" s="6">
        <v>3</v>
      </c>
      <c r="AC74" s="5">
        <f t="shared" si="33"/>
        <v>20</v>
      </c>
    </row>
    <row r="75" spans="1:29" x14ac:dyDescent="0.4">
      <c r="A75" s="7"/>
      <c r="B75" s="46"/>
      <c r="C75" s="24" t="s">
        <v>124</v>
      </c>
      <c r="D75" s="47"/>
      <c r="E75" s="6">
        <v>0</v>
      </c>
      <c r="F75" s="6">
        <v>4</v>
      </c>
      <c r="G75" s="6">
        <v>0</v>
      </c>
      <c r="H75" s="6">
        <v>5</v>
      </c>
      <c r="I75" s="6">
        <v>0</v>
      </c>
      <c r="J75" s="6">
        <v>0</v>
      </c>
      <c r="K75" s="6">
        <v>0</v>
      </c>
      <c r="L75" s="6">
        <v>0</v>
      </c>
      <c r="M75" s="6">
        <v>3</v>
      </c>
      <c r="N75" s="6">
        <v>2</v>
      </c>
      <c r="O75" s="6">
        <v>2</v>
      </c>
      <c r="P75" s="6">
        <v>0</v>
      </c>
      <c r="Q75" s="6">
        <v>0</v>
      </c>
      <c r="R75" s="6">
        <v>0</v>
      </c>
      <c r="S75" s="6">
        <v>1</v>
      </c>
      <c r="T75" s="6">
        <v>1</v>
      </c>
      <c r="U75" s="6">
        <v>0</v>
      </c>
      <c r="V75" s="6">
        <v>1</v>
      </c>
      <c r="W75" s="6">
        <v>0</v>
      </c>
      <c r="X75" s="6">
        <v>1</v>
      </c>
      <c r="Y75" s="6">
        <v>1</v>
      </c>
      <c r="Z75" s="6">
        <v>0</v>
      </c>
      <c r="AA75" s="6">
        <v>1</v>
      </c>
      <c r="AB75" s="6">
        <v>7</v>
      </c>
      <c r="AC75" s="5">
        <f t="shared" si="33"/>
        <v>29</v>
      </c>
    </row>
    <row r="76" spans="1:29" ht="13.15" customHeight="1" x14ac:dyDescent="0.4">
      <c r="A76" s="7"/>
      <c r="B76" s="46"/>
      <c r="C76" s="24" t="s">
        <v>125</v>
      </c>
      <c r="D76" s="47"/>
      <c r="E76" s="6">
        <v>0</v>
      </c>
      <c r="F76" s="6">
        <v>0</v>
      </c>
      <c r="G76" s="6">
        <v>1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5">
        <f t="shared" si="33"/>
        <v>3</v>
      </c>
    </row>
    <row r="77" spans="1:29" x14ac:dyDescent="0.4">
      <c r="A77" s="7"/>
      <c r="B77" s="46"/>
      <c r="C77" s="24" t="s">
        <v>126</v>
      </c>
      <c r="D77" s="47"/>
      <c r="E77" s="6">
        <v>0</v>
      </c>
      <c r="F77" s="6">
        <v>1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5">
        <f t="shared" si="33"/>
        <v>2</v>
      </c>
    </row>
    <row r="78" spans="1:29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5">
        <f t="shared" si="33"/>
        <v>2</v>
      </c>
    </row>
    <row r="79" spans="1:29" x14ac:dyDescent="0.4">
      <c r="A79" s="6" t="s">
        <v>26</v>
      </c>
      <c r="B79" s="71" t="s">
        <v>51</v>
      </c>
      <c r="C79" s="51"/>
      <c r="D79" s="52"/>
      <c r="E79" s="5">
        <f>SUM(E72:E78)</f>
        <v>12</v>
      </c>
      <c r="F79" s="5">
        <f>SUM(F72:F78)</f>
        <v>18</v>
      </c>
      <c r="G79" s="5">
        <f>SUM(G72:G78)</f>
        <v>16</v>
      </c>
      <c r="H79" s="5">
        <f>SUM(H72:H78)</f>
        <v>14</v>
      </c>
      <c r="I79" s="5">
        <f>SUM(I72:I78)</f>
        <v>6</v>
      </c>
      <c r="J79" s="5">
        <f>SUM(J72:J78)</f>
        <v>8</v>
      </c>
      <c r="K79" s="5">
        <f>SUM(K72:K78)</f>
        <v>5</v>
      </c>
      <c r="L79" s="5">
        <f>SUM(L72:L78)</f>
        <v>11</v>
      </c>
      <c r="M79" s="5">
        <f>SUM(M72:M78)</f>
        <v>15</v>
      </c>
      <c r="N79" s="5">
        <f>SUM(N72:N78)</f>
        <v>17</v>
      </c>
      <c r="O79" s="5">
        <f>SUM(O72:O78)</f>
        <v>8</v>
      </c>
      <c r="P79" s="5">
        <f>SUM(P72:P78)</f>
        <v>4</v>
      </c>
      <c r="Q79" s="5">
        <f>SUM(Q72:Q78)</f>
        <v>2</v>
      </c>
      <c r="R79" s="5">
        <f>SUM(R72:R78)</f>
        <v>8</v>
      </c>
      <c r="S79" s="5">
        <f>SUM(S72:S78)</f>
        <v>3</v>
      </c>
      <c r="T79" s="5">
        <f>SUM(T72:T78)</f>
        <v>8</v>
      </c>
      <c r="U79" s="5">
        <f>SUM(U72:U78)</f>
        <v>4</v>
      </c>
      <c r="V79" s="5">
        <f>SUM(V72:V78)</f>
        <v>12</v>
      </c>
      <c r="W79" s="5">
        <f>SUM(W72:W78)</f>
        <v>11</v>
      </c>
      <c r="X79" s="5">
        <f>SUM(X72:X78)</f>
        <v>8</v>
      </c>
      <c r="Y79" s="5">
        <f>SUM(Y72:Y78)</f>
        <v>3</v>
      </c>
      <c r="Z79" s="5">
        <f>SUM(Z72:Z78)</f>
        <v>0</v>
      </c>
      <c r="AA79" s="5">
        <f>SUM(AA72:AA78)</f>
        <v>3</v>
      </c>
      <c r="AB79" s="5">
        <f>SUM(AB72:AB78)</f>
        <v>77</v>
      </c>
      <c r="AC79" s="5">
        <f>SUM(AC72:AC78)</f>
        <v>273</v>
      </c>
    </row>
    <row r="80" spans="1:29" x14ac:dyDescent="0.4">
      <c r="A80" s="77"/>
      <c r="B80" s="76"/>
      <c r="C80" s="76"/>
      <c r="D80" s="76"/>
      <c r="E80" s="76"/>
    </row>
    <row r="81" spans="1:29" x14ac:dyDescent="0.4">
      <c r="A81" s="11" t="s">
        <v>48</v>
      </c>
      <c r="B81" s="17" t="s">
        <v>55</v>
      </c>
      <c r="C81" s="79" t="s">
        <v>56</v>
      </c>
      <c r="D81" s="52"/>
      <c r="E81" s="6">
        <v>2</v>
      </c>
      <c r="F81" s="6">
        <v>0</v>
      </c>
      <c r="G81" s="6">
        <v>2</v>
      </c>
      <c r="H81" s="6">
        <v>0</v>
      </c>
      <c r="I81" s="6">
        <v>0</v>
      </c>
      <c r="J81" s="6">
        <v>1</v>
      </c>
      <c r="K81" s="6">
        <v>4</v>
      </c>
      <c r="L81" s="6">
        <v>2</v>
      </c>
      <c r="M81" s="6">
        <v>1</v>
      </c>
      <c r="N81" s="6">
        <v>0</v>
      </c>
      <c r="O81" s="6">
        <v>10</v>
      </c>
      <c r="P81" s="6">
        <v>7</v>
      </c>
      <c r="Q81" s="6">
        <v>9</v>
      </c>
      <c r="R81" s="6">
        <v>6</v>
      </c>
      <c r="S81" s="6">
        <v>2</v>
      </c>
      <c r="T81" s="6">
        <v>3</v>
      </c>
      <c r="U81" s="6">
        <v>6</v>
      </c>
      <c r="V81" s="6">
        <v>4</v>
      </c>
      <c r="W81" s="6">
        <v>1</v>
      </c>
      <c r="X81" s="6">
        <v>4</v>
      </c>
      <c r="Y81" s="6">
        <v>2</v>
      </c>
      <c r="Z81" s="6">
        <v>4</v>
      </c>
      <c r="AA81" s="6">
        <v>3</v>
      </c>
      <c r="AB81" s="6">
        <v>0</v>
      </c>
      <c r="AC81" s="5">
        <f t="shared" ref="AC81:AC87" si="34">SUM(E81:AB81)</f>
        <v>73</v>
      </c>
    </row>
    <row r="82" spans="1:29" x14ac:dyDescent="0.4">
      <c r="A82" s="11" t="s">
        <v>50</v>
      </c>
      <c r="B82" s="46"/>
      <c r="C82" s="24" t="s">
        <v>128</v>
      </c>
      <c r="D82" s="47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1</v>
      </c>
      <c r="P82" s="6">
        <v>1</v>
      </c>
      <c r="Q82" s="6">
        <v>1</v>
      </c>
      <c r="R82" s="6">
        <v>0</v>
      </c>
      <c r="S82" s="6">
        <v>0</v>
      </c>
      <c r="T82" s="6">
        <v>0</v>
      </c>
      <c r="U82" s="6">
        <v>0</v>
      </c>
      <c r="V82" s="6">
        <v>1</v>
      </c>
      <c r="W82" s="6">
        <v>0</v>
      </c>
      <c r="X82" s="6">
        <v>0</v>
      </c>
      <c r="Y82" s="6">
        <v>3</v>
      </c>
      <c r="Z82" s="6">
        <v>0</v>
      </c>
      <c r="AA82" s="6">
        <v>2</v>
      </c>
      <c r="AB82" s="6">
        <v>0</v>
      </c>
      <c r="AC82" s="5">
        <f t="shared" si="34"/>
        <v>9</v>
      </c>
    </row>
    <row r="83" spans="1:29" x14ac:dyDescent="0.4">
      <c r="A83" s="7"/>
      <c r="B83" s="46"/>
      <c r="C83" s="24" t="s">
        <v>129</v>
      </c>
      <c r="D83" s="47"/>
      <c r="E83" s="6">
        <v>3</v>
      </c>
      <c r="F83" s="6">
        <v>1</v>
      </c>
      <c r="G83" s="6">
        <v>0</v>
      </c>
      <c r="H83" s="6">
        <v>0</v>
      </c>
      <c r="I83" s="6">
        <v>0</v>
      </c>
      <c r="J83" s="6">
        <v>1</v>
      </c>
      <c r="K83" s="6">
        <v>0</v>
      </c>
      <c r="L83" s="6">
        <v>1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5">
        <f t="shared" si="34"/>
        <v>7</v>
      </c>
    </row>
    <row r="84" spans="1:29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</v>
      </c>
      <c r="W84" s="6">
        <v>1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5">
        <f t="shared" si="34"/>
        <v>2</v>
      </c>
    </row>
    <row r="85" spans="1:29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5">
        <f t="shared" si="34"/>
        <v>0</v>
      </c>
    </row>
    <row r="86" spans="1:29" x14ac:dyDescent="0.4">
      <c r="A86" s="7"/>
      <c r="B86" s="46"/>
      <c r="C86" s="24" t="s">
        <v>132</v>
      </c>
      <c r="D86" s="47"/>
      <c r="E86" s="6">
        <v>7</v>
      </c>
      <c r="F86" s="6">
        <v>2</v>
      </c>
      <c r="G86" s="6">
        <v>2</v>
      </c>
      <c r="H86" s="6">
        <v>2</v>
      </c>
      <c r="I86" s="6">
        <v>4</v>
      </c>
      <c r="J86" s="6">
        <v>5</v>
      </c>
      <c r="K86" s="6">
        <v>4</v>
      </c>
      <c r="L86" s="6">
        <v>5</v>
      </c>
      <c r="M86" s="6">
        <v>7</v>
      </c>
      <c r="N86" s="6">
        <v>11</v>
      </c>
      <c r="O86" s="6">
        <v>28</v>
      </c>
      <c r="P86" s="6">
        <v>34</v>
      </c>
      <c r="Q86" s="6">
        <v>31</v>
      </c>
      <c r="R86" s="6">
        <v>36</v>
      </c>
      <c r="S86" s="6">
        <v>8</v>
      </c>
      <c r="T86" s="6">
        <v>4</v>
      </c>
      <c r="U86" s="6">
        <v>9</v>
      </c>
      <c r="V86" s="6">
        <v>4</v>
      </c>
      <c r="W86" s="6">
        <v>6</v>
      </c>
      <c r="X86" s="6">
        <v>9</v>
      </c>
      <c r="Y86" s="6">
        <v>10</v>
      </c>
      <c r="Z86" s="6">
        <v>26</v>
      </c>
      <c r="AA86" s="6">
        <v>23</v>
      </c>
      <c r="AB86" s="6">
        <v>0</v>
      </c>
      <c r="AC86" s="5">
        <f t="shared" si="34"/>
        <v>277</v>
      </c>
    </row>
    <row r="87" spans="1:29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1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5">
        <f t="shared" si="34"/>
        <v>2</v>
      </c>
    </row>
    <row r="88" spans="1:29" x14ac:dyDescent="0.4">
      <c r="A88" s="6" t="s">
        <v>26</v>
      </c>
      <c r="B88" s="71" t="s">
        <v>51</v>
      </c>
      <c r="C88" s="51"/>
      <c r="D88" s="52"/>
      <c r="E88" s="5">
        <f>SUM(E81:E87)</f>
        <v>12</v>
      </c>
      <c r="F88" s="5">
        <f>SUM(F81:F87)</f>
        <v>3</v>
      </c>
      <c r="G88" s="5">
        <f>SUM(G81:G87)</f>
        <v>4</v>
      </c>
      <c r="H88" s="5">
        <f>SUM(H81:H87)</f>
        <v>2</v>
      </c>
      <c r="I88" s="5">
        <f>SUM(I81:I87)</f>
        <v>4</v>
      </c>
      <c r="J88" s="5">
        <f>SUM(J81:J87)</f>
        <v>7</v>
      </c>
      <c r="K88" s="5">
        <f>SUM(K81:K87)</f>
        <v>8</v>
      </c>
      <c r="L88" s="5">
        <f>SUM(L81:L87)</f>
        <v>8</v>
      </c>
      <c r="M88" s="5">
        <f>SUM(M81:M87)</f>
        <v>8</v>
      </c>
      <c r="N88" s="5">
        <f>SUM(N81:N87)</f>
        <v>11</v>
      </c>
      <c r="O88" s="5">
        <f>SUM(O81:O87)</f>
        <v>40</v>
      </c>
      <c r="P88" s="5">
        <f>SUM(P81:P87)</f>
        <v>42</v>
      </c>
      <c r="Q88" s="5">
        <f>SUM(Q81:Q87)</f>
        <v>41</v>
      </c>
      <c r="R88" s="5">
        <f>SUM(R81:R87)</f>
        <v>42</v>
      </c>
      <c r="S88" s="5">
        <f>SUM(S81:S87)</f>
        <v>10</v>
      </c>
      <c r="T88" s="5">
        <f>SUM(T81:T87)</f>
        <v>7</v>
      </c>
      <c r="U88" s="5">
        <f>SUM(U81:U87)</f>
        <v>16</v>
      </c>
      <c r="V88" s="5">
        <f>SUM(V81:V87)</f>
        <v>10</v>
      </c>
      <c r="W88" s="5">
        <f>SUM(W81:W87)</f>
        <v>9</v>
      </c>
      <c r="X88" s="5">
        <f>SUM(X81:X87)</f>
        <v>13</v>
      </c>
      <c r="Y88" s="5">
        <f>SUM(Y81:Y87)</f>
        <v>15</v>
      </c>
      <c r="Z88" s="5">
        <f>SUM(Z81:Z87)</f>
        <v>30</v>
      </c>
      <c r="AA88" s="5">
        <f>SUM(AA81:AA87)</f>
        <v>28</v>
      </c>
      <c r="AB88" s="5">
        <f>SUM(AB81:AB87)</f>
        <v>0</v>
      </c>
      <c r="AC88" s="5">
        <f>SUM(AC81:AC87)</f>
        <v>370</v>
      </c>
    </row>
    <row r="89" spans="1:29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x14ac:dyDescent="0.4">
      <c r="A90" s="11" t="s">
        <v>48</v>
      </c>
      <c r="B90" s="17" t="s">
        <v>57</v>
      </c>
      <c r="C90" s="79" t="s">
        <v>58</v>
      </c>
      <c r="D90" s="52"/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2</v>
      </c>
      <c r="K90" s="6">
        <v>0</v>
      </c>
      <c r="L90" s="6">
        <v>1</v>
      </c>
      <c r="M90" s="6">
        <v>0</v>
      </c>
      <c r="N90" s="6">
        <v>0</v>
      </c>
      <c r="O90" s="6">
        <v>2</v>
      </c>
      <c r="P90" s="6">
        <v>0</v>
      </c>
      <c r="Q90" s="6">
        <v>1</v>
      </c>
      <c r="R90" s="6">
        <v>0</v>
      </c>
      <c r="S90" s="6">
        <v>0</v>
      </c>
      <c r="T90" s="6">
        <v>1</v>
      </c>
      <c r="U90" s="6">
        <v>0</v>
      </c>
      <c r="V90" s="6">
        <v>1</v>
      </c>
      <c r="W90" s="6">
        <v>1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5">
        <f>SUM(E90:AB90)</f>
        <v>10</v>
      </c>
    </row>
    <row r="91" spans="1:29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0</v>
      </c>
      <c r="G91" s="5">
        <f>SUM(G90:G90)</f>
        <v>0</v>
      </c>
      <c r="H91" s="5">
        <f>SUM(H90:H90)</f>
        <v>0</v>
      </c>
      <c r="I91" s="5">
        <f>SUM(I90:I90)</f>
        <v>1</v>
      </c>
      <c r="J91" s="5">
        <f>SUM(J90:J90)</f>
        <v>2</v>
      </c>
      <c r="K91" s="5">
        <f>SUM(K90:K90)</f>
        <v>0</v>
      </c>
      <c r="L91" s="5">
        <f>SUM(L90:L90)</f>
        <v>1</v>
      </c>
      <c r="M91" s="5">
        <f>SUM(M90:M90)</f>
        <v>0</v>
      </c>
      <c r="N91" s="5">
        <f>SUM(N90:N90)</f>
        <v>0</v>
      </c>
      <c r="O91" s="5">
        <f>SUM(O90:O90)</f>
        <v>2</v>
      </c>
      <c r="P91" s="5">
        <f>SUM(P90:P90)</f>
        <v>0</v>
      </c>
      <c r="Q91" s="5">
        <f>SUM(Q90:Q90)</f>
        <v>1</v>
      </c>
      <c r="R91" s="5">
        <f>SUM(R90:R90)</f>
        <v>0</v>
      </c>
      <c r="S91" s="5">
        <f>SUM(S90:S90)</f>
        <v>0</v>
      </c>
      <c r="T91" s="5">
        <f>SUM(T90:T90)</f>
        <v>1</v>
      </c>
      <c r="U91" s="5">
        <f>SUM(U90:U90)</f>
        <v>0</v>
      </c>
      <c r="V91" s="5">
        <f>SUM(V90:V90)</f>
        <v>1</v>
      </c>
      <c r="W91" s="5">
        <f>SUM(W90:W90)</f>
        <v>1</v>
      </c>
      <c r="X91" s="5">
        <f>SUM(X90:X90)</f>
        <v>0</v>
      </c>
      <c r="Y91" s="5">
        <f>SUM(Y90:Y90)</f>
        <v>0</v>
      </c>
      <c r="Z91" s="5">
        <f>SUM(Z90:Z90)</f>
        <v>0</v>
      </c>
      <c r="AA91" s="5">
        <f>SUM(AA90:AA90)</f>
        <v>0</v>
      </c>
      <c r="AB91" s="5">
        <f>SUM(AB90:AB90)</f>
        <v>0</v>
      </c>
      <c r="AC91" s="5">
        <f>SUM(AC90:AC90)</f>
        <v>10</v>
      </c>
    </row>
    <row r="92" spans="1:29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5"/>
    </row>
    <row r="93" spans="1:29" x14ac:dyDescent="0.4">
      <c r="A93" s="11" t="s">
        <v>48</v>
      </c>
      <c r="B93" s="17" t="s">
        <v>59</v>
      </c>
      <c r="C93" s="79" t="s">
        <v>60</v>
      </c>
      <c r="D93" s="52"/>
      <c r="E93" s="6">
        <v>0</v>
      </c>
      <c r="F93" s="6">
        <v>1</v>
      </c>
      <c r="G93" s="6">
        <v>0</v>
      </c>
      <c r="H93" s="6">
        <v>0</v>
      </c>
      <c r="I93" s="6">
        <v>0</v>
      </c>
      <c r="J93" s="6">
        <v>1</v>
      </c>
      <c r="K93" s="6">
        <v>1</v>
      </c>
      <c r="L93" s="6">
        <v>0</v>
      </c>
      <c r="M93" s="6">
        <v>0</v>
      </c>
      <c r="N93" s="6">
        <v>0</v>
      </c>
      <c r="O93" s="6">
        <v>1</v>
      </c>
      <c r="P93" s="6">
        <v>0</v>
      </c>
      <c r="Q93" s="6">
        <v>1</v>
      </c>
      <c r="R93" s="6">
        <v>0</v>
      </c>
      <c r="S93" s="6">
        <v>1</v>
      </c>
      <c r="T93" s="6">
        <v>0</v>
      </c>
      <c r="U93" s="6">
        <v>0</v>
      </c>
      <c r="V93" s="6">
        <v>0</v>
      </c>
      <c r="W93" s="6">
        <v>1</v>
      </c>
      <c r="X93" s="6">
        <v>0</v>
      </c>
      <c r="Y93" s="6">
        <v>0</v>
      </c>
      <c r="Z93" s="6">
        <v>1</v>
      </c>
      <c r="AA93" s="6">
        <v>0</v>
      </c>
      <c r="AB93" s="6">
        <v>0</v>
      </c>
      <c r="AC93" s="5">
        <f t="shared" ref="AC93:AC96" si="35">SUM(E93:AB93)</f>
        <v>8</v>
      </c>
    </row>
    <row r="94" spans="1:29" x14ac:dyDescent="0.4">
      <c r="A94" s="11" t="s">
        <v>50</v>
      </c>
      <c r="B94" s="46"/>
      <c r="C94" s="24" t="s">
        <v>134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1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5">
        <f t="shared" si="35"/>
        <v>1</v>
      </c>
    </row>
    <row r="95" spans="1:29" x14ac:dyDescent="0.4">
      <c r="A95" s="7"/>
      <c r="B95" s="46"/>
      <c r="C95" s="24" t="s">
        <v>135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5">
        <f t="shared" si="35"/>
        <v>1</v>
      </c>
    </row>
    <row r="96" spans="1:29" x14ac:dyDescent="0.4">
      <c r="A96" s="7"/>
      <c r="B96" s="46"/>
      <c r="C96" s="24" t="s">
        <v>136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5">
        <f t="shared" si="35"/>
        <v>0</v>
      </c>
    </row>
    <row r="97" spans="1:29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1</v>
      </c>
      <c r="G97" s="5">
        <f>SUM(G93:G96)</f>
        <v>0</v>
      </c>
      <c r="H97" s="5">
        <f>SUM(H93:H96)</f>
        <v>0</v>
      </c>
      <c r="I97" s="5">
        <f>SUM(I93:I96)</f>
        <v>0</v>
      </c>
      <c r="J97" s="5">
        <f>SUM(J93:J96)</f>
        <v>1</v>
      </c>
      <c r="K97" s="5">
        <f>SUM(K93:K96)</f>
        <v>1</v>
      </c>
      <c r="L97" s="5">
        <f>SUM(L93:L96)</f>
        <v>2</v>
      </c>
      <c r="M97" s="5">
        <f>SUM(M93:M96)</f>
        <v>0</v>
      </c>
      <c r="N97" s="5">
        <f>SUM(N93:N96)</f>
        <v>0</v>
      </c>
      <c r="O97" s="5">
        <f>SUM(O93:O96)</f>
        <v>1</v>
      </c>
      <c r="P97" s="5">
        <f>SUM(P93:P96)</f>
        <v>0</v>
      </c>
      <c r="Q97" s="5">
        <f>SUM(Q93:Q96)</f>
        <v>1</v>
      </c>
      <c r="R97" s="5">
        <f>SUM(R93:R96)</f>
        <v>0</v>
      </c>
      <c r="S97" s="5">
        <f>SUM(S93:S96)</f>
        <v>1</v>
      </c>
      <c r="T97" s="5">
        <f>SUM(T93:T96)</f>
        <v>0</v>
      </c>
      <c r="U97" s="5">
        <f>SUM(U93:U96)</f>
        <v>0</v>
      </c>
      <c r="V97" s="5">
        <f>SUM(V93:V96)</f>
        <v>0</v>
      </c>
      <c r="W97" s="5">
        <f>SUM(W93:W96)</f>
        <v>1</v>
      </c>
      <c r="X97" s="5">
        <f>SUM(X93:X96)</f>
        <v>0</v>
      </c>
      <c r="Y97" s="5">
        <f>SUM(Y93:Y96)</f>
        <v>0</v>
      </c>
      <c r="Z97" s="5">
        <f>SUM(Z93:Z96)</f>
        <v>1</v>
      </c>
      <c r="AA97" s="5">
        <f>SUM(AA93:AA96)</f>
        <v>0</v>
      </c>
      <c r="AB97" s="5">
        <f>SUM(AB93:AB96)</f>
        <v>0</v>
      </c>
      <c r="AC97" s="5">
        <f>SUM(AC93:AC96)</f>
        <v>10</v>
      </c>
    </row>
    <row r="98" spans="1:29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spans="1:29" x14ac:dyDescent="0.4">
      <c r="A99" s="11" t="s">
        <v>48</v>
      </c>
      <c r="B99" s="17" t="s">
        <v>61</v>
      </c>
      <c r="C99" s="79" t="s">
        <v>62</v>
      </c>
      <c r="D99" s="52"/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1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1</v>
      </c>
      <c r="AB99" s="6">
        <v>0</v>
      </c>
      <c r="AC99" s="5">
        <f t="shared" ref="AC99:AC105" si="36">SUM(E99:AB99)</f>
        <v>3</v>
      </c>
    </row>
    <row r="100" spans="1:29" ht="13.15" customHeight="1" x14ac:dyDescent="0.4">
      <c r="A100" s="11" t="s">
        <v>50</v>
      </c>
      <c r="B100" s="46"/>
      <c r="C100" s="24" t="s">
        <v>137</v>
      </c>
      <c r="D100" s="47"/>
      <c r="E100" s="6">
        <v>0</v>
      </c>
      <c r="F100" s="6">
        <v>0</v>
      </c>
      <c r="G100" s="6">
        <v>1</v>
      </c>
      <c r="H100" s="6">
        <v>0</v>
      </c>
      <c r="I100" s="6">
        <v>0</v>
      </c>
      <c r="J100" s="6">
        <v>1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5">
        <f t="shared" si="36"/>
        <v>3</v>
      </c>
    </row>
    <row r="101" spans="1:29" x14ac:dyDescent="0.4">
      <c r="A101" s="7"/>
      <c r="B101" s="46"/>
      <c r="C101" s="24" t="s">
        <v>138</v>
      </c>
      <c r="D101" s="47"/>
      <c r="E101" s="6">
        <v>0</v>
      </c>
      <c r="F101" s="6">
        <v>0</v>
      </c>
      <c r="G101" s="6">
        <v>1</v>
      </c>
      <c r="H101" s="6">
        <v>0</v>
      </c>
      <c r="I101" s="6">
        <v>0</v>
      </c>
      <c r="J101" s="6">
        <v>2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1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5">
        <f t="shared" si="36"/>
        <v>4</v>
      </c>
    </row>
    <row r="102" spans="1:29" x14ac:dyDescent="0.4">
      <c r="A102" s="7"/>
      <c r="B102" s="46"/>
      <c r="C102" s="24" t="s">
        <v>139</v>
      </c>
      <c r="D102" s="47"/>
      <c r="E102" s="6">
        <v>0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5">
        <f t="shared" si="36"/>
        <v>2</v>
      </c>
    </row>
    <row r="103" spans="1:29" x14ac:dyDescent="0.4">
      <c r="A103" s="7"/>
      <c r="B103" s="46"/>
      <c r="C103" s="24" t="s">
        <v>140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1</v>
      </c>
      <c r="K103" s="6">
        <v>0</v>
      </c>
      <c r="L103" s="6">
        <v>0</v>
      </c>
      <c r="M103" s="6">
        <v>1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1</v>
      </c>
      <c r="AA103" s="6">
        <v>0</v>
      </c>
      <c r="AB103" s="6">
        <v>0</v>
      </c>
      <c r="AC103" s="5">
        <f t="shared" si="36"/>
        <v>3</v>
      </c>
    </row>
    <row r="104" spans="1:29" x14ac:dyDescent="0.4">
      <c r="A104" s="7"/>
      <c r="B104" s="46"/>
      <c r="C104" s="24" t="s">
        <v>141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1</v>
      </c>
      <c r="Y104" s="6">
        <v>0</v>
      </c>
      <c r="Z104" s="6">
        <v>0</v>
      </c>
      <c r="AA104" s="6">
        <v>0</v>
      </c>
      <c r="AB104" s="6">
        <v>0</v>
      </c>
      <c r="AC104" s="5">
        <f t="shared" si="36"/>
        <v>1</v>
      </c>
    </row>
    <row r="105" spans="1:29" x14ac:dyDescent="0.4">
      <c r="A105" s="7"/>
      <c r="B105" s="46"/>
      <c r="C105" s="24" t="s">
        <v>142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1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5">
        <f t="shared" si="36"/>
        <v>3</v>
      </c>
    </row>
    <row r="106" spans="1:29" x14ac:dyDescent="0.4">
      <c r="A106" s="6" t="s">
        <v>26</v>
      </c>
      <c r="B106" s="71" t="s">
        <v>51</v>
      </c>
      <c r="C106" s="80"/>
      <c r="D106" s="81"/>
      <c r="E106" s="5">
        <f>SUM(E99:E105)</f>
        <v>1</v>
      </c>
      <c r="F106" s="5">
        <f>SUM(F99:F105)</f>
        <v>0</v>
      </c>
      <c r="G106" s="5">
        <f>SUM(G99:G105)</f>
        <v>3</v>
      </c>
      <c r="H106" s="5">
        <f>SUM(H99:H105)</f>
        <v>0</v>
      </c>
      <c r="I106" s="5">
        <f>SUM(I99:I105)</f>
        <v>0</v>
      </c>
      <c r="J106" s="5">
        <f>SUM(J99:J105)</f>
        <v>4</v>
      </c>
      <c r="K106" s="5">
        <f>SUM(K99:K105)</f>
        <v>1</v>
      </c>
      <c r="L106" s="5">
        <f>SUM(L99:L105)</f>
        <v>0</v>
      </c>
      <c r="M106" s="5">
        <f>SUM(M99:M105)</f>
        <v>3</v>
      </c>
      <c r="N106" s="5">
        <f>SUM(N99:N105)</f>
        <v>1</v>
      </c>
      <c r="O106" s="5">
        <f>SUM(O99:O105)</f>
        <v>0</v>
      </c>
      <c r="P106" s="5">
        <f>SUM(P99:P105)</f>
        <v>1</v>
      </c>
      <c r="Q106" s="5">
        <f>SUM(Q99:Q105)</f>
        <v>0</v>
      </c>
      <c r="R106" s="5">
        <f>SUM(R99:R105)</f>
        <v>0</v>
      </c>
      <c r="S106" s="5">
        <f>SUM(S99:S105)</f>
        <v>0</v>
      </c>
      <c r="T106" s="5">
        <f>SUM(T99:T105)</f>
        <v>1</v>
      </c>
      <c r="U106" s="5">
        <f>SUM(U99:U105)</f>
        <v>0</v>
      </c>
      <c r="V106" s="5">
        <f>SUM(V99:V105)</f>
        <v>1</v>
      </c>
      <c r="W106" s="5">
        <f>SUM(W99:W105)</f>
        <v>0</v>
      </c>
      <c r="X106" s="5">
        <f>SUM(X99:X105)</f>
        <v>1</v>
      </c>
      <c r="Y106" s="5">
        <f>SUM(Y99:Y105)</f>
        <v>0</v>
      </c>
      <c r="Z106" s="5">
        <f>SUM(Z99:Z105)</f>
        <v>1</v>
      </c>
      <c r="AA106" s="5">
        <f>SUM(AA99:AA105)</f>
        <v>1</v>
      </c>
      <c r="AB106" s="5">
        <f>SUM(AB99:AB105)</f>
        <v>0</v>
      </c>
      <c r="AC106" s="5">
        <f>SUM(AC99:AC105)</f>
        <v>19</v>
      </c>
    </row>
    <row r="107" spans="1:29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spans="1:29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>
        <v>1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f>SUM(E108:AB108)</f>
        <v>1</v>
      </c>
    </row>
    <row r="109" spans="1:29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>
        <f>SUM(E109:AB109)</f>
        <v>0</v>
      </c>
    </row>
    <row r="110" spans="1:29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1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  <c r="R110" s="5">
        <f>SUM(R108:R109)</f>
        <v>0</v>
      </c>
      <c r="S110" s="5">
        <f>SUM(S108:S109)</f>
        <v>0</v>
      </c>
      <c r="T110" s="5">
        <f>SUM(T108:T109)</f>
        <v>0</v>
      </c>
      <c r="U110" s="5">
        <f>SUM(U108:U109)</f>
        <v>0</v>
      </c>
      <c r="V110" s="5">
        <f>SUM(V108:V109)</f>
        <v>0</v>
      </c>
      <c r="W110" s="5">
        <f>SUM(W108:W109)</f>
        <v>0</v>
      </c>
      <c r="X110" s="5">
        <f>SUM(X108:X109)</f>
        <v>0</v>
      </c>
      <c r="Y110" s="5">
        <f>SUM(Y108:Y109)</f>
        <v>0</v>
      </c>
      <c r="Z110" s="5">
        <f>SUM(Z108:Z109)</f>
        <v>0</v>
      </c>
      <c r="AA110" s="5">
        <f>SUM(AA108:AA109)</f>
        <v>0</v>
      </c>
      <c r="AB110" s="5">
        <f>SUM(AB108:AB109)</f>
        <v>0</v>
      </c>
      <c r="AC110" s="5">
        <f>SUM(AC108:AC109)</f>
        <v>1</v>
      </c>
    </row>
    <row r="111" spans="1:29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5"/>
    </row>
    <row r="112" spans="1:29" x14ac:dyDescent="0.4">
      <c r="A112" s="11" t="s">
        <v>48</v>
      </c>
      <c r="B112" s="44" t="s">
        <v>65</v>
      </c>
      <c r="C112" s="84" t="s">
        <v>66</v>
      </c>
      <c r="D112" s="60"/>
      <c r="E112" s="6"/>
      <c r="F112" s="6"/>
      <c r="G112" s="6"/>
      <c r="H112" s="6"/>
      <c r="I112" s="6">
        <v>1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 t="shared" ref="AC112:AC118" si="37">SUM(E112:AB112)</f>
        <v>1</v>
      </c>
    </row>
    <row r="113" spans="1:29" x14ac:dyDescent="0.4">
      <c r="A113" s="48" t="s">
        <v>50</v>
      </c>
      <c r="B113" s="46"/>
      <c r="C113" s="24" t="s">
        <v>144</v>
      </c>
      <c r="D113" s="47"/>
      <c r="E113" s="49"/>
      <c r="F113" s="6"/>
      <c r="G113" s="6"/>
      <c r="H113" s="6"/>
      <c r="I113" s="6"/>
      <c r="J113" s="6"/>
      <c r="K113" s="6">
        <v>1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>
        <f t="shared" si="37"/>
        <v>1</v>
      </c>
    </row>
    <row r="114" spans="1:29" x14ac:dyDescent="0.4">
      <c r="A114" s="7"/>
      <c r="B114" s="46"/>
      <c r="C114" s="24" t="s">
        <v>145</v>
      </c>
      <c r="D114" s="47"/>
      <c r="E114" s="49">
        <v>2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>
        <f t="shared" si="37"/>
        <v>2</v>
      </c>
    </row>
    <row r="115" spans="1:29" x14ac:dyDescent="0.4">
      <c r="A115" s="7"/>
      <c r="B115" s="46"/>
      <c r="C115" s="24" t="s">
        <v>146</v>
      </c>
      <c r="D115" s="47"/>
      <c r="E115" s="4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5">
        <f t="shared" si="37"/>
        <v>0</v>
      </c>
    </row>
    <row r="116" spans="1:29" x14ac:dyDescent="0.4">
      <c r="A116" s="7"/>
      <c r="B116" s="46"/>
      <c r="C116" s="24" t="s">
        <v>147</v>
      </c>
      <c r="D116" s="47"/>
      <c r="E116" s="49">
        <v>1</v>
      </c>
      <c r="F116" s="6"/>
      <c r="G116" s="6"/>
      <c r="H116" s="6"/>
      <c r="I116" s="6"/>
      <c r="J116" s="6">
        <v>1</v>
      </c>
      <c r="K116" s="6"/>
      <c r="L116" s="6"/>
      <c r="M116" s="6">
        <v>1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5">
        <f t="shared" si="37"/>
        <v>3</v>
      </c>
    </row>
    <row r="117" spans="1:29" x14ac:dyDescent="0.4">
      <c r="A117" s="7"/>
      <c r="B117" s="46"/>
      <c r="C117" s="24" t="s">
        <v>148</v>
      </c>
      <c r="D117" s="47"/>
      <c r="E117" s="4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5">
        <f t="shared" si="37"/>
        <v>0</v>
      </c>
    </row>
    <row r="118" spans="1:29" x14ac:dyDescent="0.4">
      <c r="A118" s="7"/>
      <c r="B118" s="46"/>
      <c r="C118" s="24" t="s">
        <v>149</v>
      </c>
      <c r="D118" s="47"/>
      <c r="E118" s="49"/>
      <c r="F118" s="6">
        <v>2</v>
      </c>
      <c r="G118" s="6"/>
      <c r="H118" s="6"/>
      <c r="I118" s="6"/>
      <c r="J118" s="6"/>
      <c r="K118" s="6"/>
      <c r="L118" s="6">
        <v>1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5">
        <f t="shared" si="37"/>
        <v>3</v>
      </c>
    </row>
    <row r="119" spans="1:29" x14ac:dyDescent="0.4">
      <c r="A119" s="6" t="s">
        <v>26</v>
      </c>
      <c r="B119" s="85" t="s">
        <v>51</v>
      </c>
      <c r="C119" s="86"/>
      <c r="D119" s="87"/>
      <c r="E119" s="5">
        <f>SUM(E112:E118)</f>
        <v>3</v>
      </c>
      <c r="F119" s="5">
        <f>SUM(F112:F118)</f>
        <v>2</v>
      </c>
      <c r="G119" s="5">
        <f>SUM(G112:G118)</f>
        <v>0</v>
      </c>
      <c r="H119" s="5">
        <f>SUM(H112:H118)</f>
        <v>0</v>
      </c>
      <c r="I119" s="5">
        <f>SUM(I112:I118)</f>
        <v>1</v>
      </c>
      <c r="J119" s="5">
        <f>SUM(J112:J118)</f>
        <v>1</v>
      </c>
      <c r="K119" s="5">
        <f>SUM(K112:K118)</f>
        <v>1</v>
      </c>
      <c r="L119" s="5">
        <f>SUM(L112:L118)</f>
        <v>1</v>
      </c>
      <c r="M119" s="5">
        <f>SUM(M112:M118)</f>
        <v>1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0</v>
      </c>
      <c r="S119" s="5">
        <f>SUM(S112:S118)</f>
        <v>0</v>
      </c>
      <c r="T119" s="5">
        <f>SUM(T112:T118)</f>
        <v>0</v>
      </c>
      <c r="U119" s="5">
        <f>SUM(U112:U118)</f>
        <v>0</v>
      </c>
      <c r="V119" s="5">
        <f>SUM(V112:V118)</f>
        <v>0</v>
      </c>
      <c r="W119" s="5">
        <f>SUM(W112:W118)</f>
        <v>0</v>
      </c>
      <c r="X119" s="5">
        <f>SUM(X112:X118)</f>
        <v>0</v>
      </c>
      <c r="Y119" s="5">
        <f>SUM(Y112:Y118)</f>
        <v>0</v>
      </c>
      <c r="Z119" s="5">
        <f>SUM(Z112:Z118)</f>
        <v>0</v>
      </c>
      <c r="AA119" s="5">
        <f>SUM(AA112:AA118)</f>
        <v>0</v>
      </c>
      <c r="AB119" s="5">
        <f>SUM(AB112:AB118)</f>
        <v>0</v>
      </c>
      <c r="AC119" s="5">
        <f>SUM(AC112:AC118)</f>
        <v>10</v>
      </c>
    </row>
    <row r="120" spans="1:29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spans="1:29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/>
      <c r="F121" s="6">
        <v>1</v>
      </c>
      <c r="G121" s="6"/>
      <c r="H121" s="6"/>
      <c r="I121" s="6"/>
      <c r="J121" s="6"/>
      <c r="K121" s="6"/>
      <c r="L121" s="6"/>
      <c r="M121" s="6">
        <v>1</v>
      </c>
      <c r="N121" s="6"/>
      <c r="O121" s="6"/>
      <c r="P121" s="6"/>
      <c r="Q121" s="6">
        <v>1</v>
      </c>
      <c r="R121" s="6"/>
      <c r="S121" s="6"/>
      <c r="T121" s="6"/>
      <c r="U121" s="6"/>
      <c r="V121" s="6">
        <v>1</v>
      </c>
      <c r="W121" s="6"/>
      <c r="X121" s="6"/>
      <c r="Y121" s="6">
        <v>1</v>
      </c>
      <c r="Z121" s="6"/>
      <c r="AA121" s="6"/>
      <c r="AB121" s="6"/>
      <c r="AC121" s="5">
        <f>SUM(E121:AB121)</f>
        <v>5</v>
      </c>
    </row>
    <row r="122" spans="1:29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1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1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1</v>
      </c>
      <c r="R122" s="5">
        <f>SUM(R121:R121)</f>
        <v>0</v>
      </c>
      <c r="S122" s="5">
        <f>SUM(S121:S121)</f>
        <v>0</v>
      </c>
      <c r="T122" s="5">
        <f>SUM(T121:T121)</f>
        <v>0</v>
      </c>
      <c r="U122" s="5">
        <f>SUM(U121:U121)</f>
        <v>0</v>
      </c>
      <c r="V122" s="5">
        <f>SUM(V121:V121)</f>
        <v>1</v>
      </c>
      <c r="W122" s="5">
        <f>SUM(W121:W121)</f>
        <v>0</v>
      </c>
      <c r="X122" s="5">
        <f>SUM(X121:X121)</f>
        <v>0</v>
      </c>
      <c r="Y122" s="5">
        <f>SUM(Y121:Y121)</f>
        <v>1</v>
      </c>
      <c r="Z122" s="5">
        <f>SUM(Z121:Z121)</f>
        <v>0</v>
      </c>
      <c r="AA122" s="5">
        <f>SUM(AA121:AA121)</f>
        <v>0</v>
      </c>
      <c r="AB122" s="5">
        <f>SUM(AB121:AB121)</f>
        <v>0</v>
      </c>
      <c r="AC122" s="5">
        <f>SUM(AC121:AC121)</f>
        <v>5</v>
      </c>
    </row>
    <row r="123" spans="1:29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spans="1:29" x14ac:dyDescent="0.4">
      <c r="A124" s="11" t="s">
        <v>48</v>
      </c>
      <c r="B124" s="17" t="s">
        <v>69</v>
      </c>
      <c r="C124" s="79" t="s">
        <v>70</v>
      </c>
      <c r="D124" s="5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>
        <v>1</v>
      </c>
      <c r="U124" s="6"/>
      <c r="V124" s="6"/>
      <c r="W124" s="6"/>
      <c r="X124" s="6"/>
      <c r="Y124" s="6">
        <v>1</v>
      </c>
      <c r="Z124" s="6"/>
      <c r="AA124" s="6"/>
      <c r="AB124" s="6"/>
      <c r="AC124" s="5">
        <f t="shared" ref="AC124:AC128" si="38">SUM(E124:AB124)</f>
        <v>2</v>
      </c>
    </row>
    <row r="125" spans="1:29" x14ac:dyDescent="0.4">
      <c r="A125" s="11" t="s">
        <v>50</v>
      </c>
      <c r="B125" s="46"/>
      <c r="C125" s="24" t="s">
        <v>150</v>
      </c>
      <c r="D125" s="4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>
        <v>1</v>
      </c>
      <c r="T125" s="6"/>
      <c r="U125" s="6"/>
      <c r="V125" s="6">
        <v>1</v>
      </c>
      <c r="W125" s="6"/>
      <c r="X125" s="6">
        <v>1</v>
      </c>
      <c r="Y125" s="6"/>
      <c r="Z125" s="6"/>
      <c r="AA125" s="6"/>
      <c r="AB125" s="6"/>
      <c r="AC125" s="5">
        <f t="shared" si="38"/>
        <v>3</v>
      </c>
    </row>
    <row r="126" spans="1:29" x14ac:dyDescent="0.4">
      <c r="A126" s="7"/>
      <c r="B126" s="46"/>
      <c r="C126" s="24" t="s">
        <v>151</v>
      </c>
      <c r="D126" s="47"/>
      <c r="E126" s="6"/>
      <c r="F126" s="6"/>
      <c r="G126" s="6">
        <v>1</v>
      </c>
      <c r="H126" s="6">
        <v>1</v>
      </c>
      <c r="I126" s="6"/>
      <c r="J126" s="6"/>
      <c r="K126" s="6"/>
      <c r="L126" s="6"/>
      <c r="M126" s="6"/>
      <c r="N126" s="6">
        <v>1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5">
        <f t="shared" si="38"/>
        <v>3</v>
      </c>
    </row>
    <row r="127" spans="1:29" x14ac:dyDescent="0.4">
      <c r="A127" s="7"/>
      <c r="B127" s="46"/>
      <c r="C127" s="24" t="s">
        <v>152</v>
      </c>
      <c r="D127" s="47"/>
      <c r="E127" s="6"/>
      <c r="F127" s="6"/>
      <c r="G127" s="6">
        <v>2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>
        <v>1</v>
      </c>
      <c r="S127" s="6"/>
      <c r="T127" s="6"/>
      <c r="U127" s="6"/>
      <c r="V127" s="6">
        <v>2</v>
      </c>
      <c r="W127" s="6"/>
      <c r="X127" s="6"/>
      <c r="Y127" s="6"/>
      <c r="Z127" s="6"/>
      <c r="AA127" s="6"/>
      <c r="AB127" s="6"/>
      <c r="AC127" s="5">
        <f t="shared" si="38"/>
        <v>5</v>
      </c>
    </row>
    <row r="128" spans="1:29" x14ac:dyDescent="0.4">
      <c r="A128" s="7"/>
      <c r="B128" s="46"/>
      <c r="C128" s="24" t="s">
        <v>153</v>
      </c>
      <c r="D128" s="4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5">
        <f t="shared" si="38"/>
        <v>0</v>
      </c>
    </row>
    <row r="129" spans="1:29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0</v>
      </c>
      <c r="F129" s="5">
        <f>SUM(F124:F128)</f>
        <v>0</v>
      </c>
      <c r="G129" s="5">
        <f>SUM(G124:G128)</f>
        <v>3</v>
      </c>
      <c r="H129" s="5">
        <f>SUM(H124:H128)</f>
        <v>1</v>
      </c>
      <c r="I129" s="5">
        <f>SUM(I124:I128)</f>
        <v>0</v>
      </c>
      <c r="J129" s="5">
        <f>SUM(J124:J128)</f>
        <v>0</v>
      </c>
      <c r="K129" s="5">
        <f>SUM(K124:K128)</f>
        <v>0</v>
      </c>
      <c r="L129" s="5">
        <f>SUM(L124:L128)</f>
        <v>0</v>
      </c>
      <c r="M129" s="5">
        <f>SUM(M124:M128)</f>
        <v>0</v>
      </c>
      <c r="N129" s="5">
        <f>SUM(N124:N128)</f>
        <v>1</v>
      </c>
      <c r="O129" s="5">
        <f>SUM(O124:O128)</f>
        <v>0</v>
      </c>
      <c r="P129" s="5">
        <f>SUM(P124:P128)</f>
        <v>0</v>
      </c>
      <c r="Q129" s="5">
        <f>SUM(Q124:Q128)</f>
        <v>0</v>
      </c>
      <c r="R129" s="5">
        <f>SUM(R124:R128)</f>
        <v>1</v>
      </c>
      <c r="S129" s="5">
        <f>SUM(S124:S128)</f>
        <v>1</v>
      </c>
      <c r="T129" s="5">
        <f>SUM(T124:T128)</f>
        <v>1</v>
      </c>
      <c r="U129" s="5">
        <f>SUM(U124:U128)</f>
        <v>0</v>
      </c>
      <c r="V129" s="5">
        <f>SUM(V124:V128)</f>
        <v>3</v>
      </c>
      <c r="W129" s="5">
        <f>SUM(W124:W128)</f>
        <v>0</v>
      </c>
      <c r="X129" s="5">
        <f>SUM(X124:X128)</f>
        <v>1</v>
      </c>
      <c r="Y129" s="5">
        <f>SUM(Y124:Y128)</f>
        <v>1</v>
      </c>
      <c r="Z129" s="5">
        <f>SUM(Z124:Z128)</f>
        <v>0</v>
      </c>
      <c r="AA129" s="5">
        <f>SUM(AA124:AA128)</f>
        <v>0</v>
      </c>
      <c r="AB129" s="5">
        <f>SUM(AB124:AB128)</f>
        <v>0</v>
      </c>
      <c r="AC129" s="5">
        <f>SUM(AC124:AC128)</f>
        <v>13</v>
      </c>
    </row>
    <row r="130" spans="1:29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5"/>
    </row>
    <row r="131" spans="1:29" x14ac:dyDescent="0.4">
      <c r="A131" s="11" t="s">
        <v>48</v>
      </c>
      <c r="B131" s="17" t="s">
        <v>71</v>
      </c>
      <c r="C131" s="79" t="s">
        <v>72</v>
      </c>
      <c r="D131" s="52"/>
      <c r="E131" s="6">
        <v>1</v>
      </c>
      <c r="F131" s="6">
        <v>1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5">
        <f t="shared" ref="AC131:AC137" si="39">SUM(E131:AB131)</f>
        <v>2</v>
      </c>
    </row>
    <row r="132" spans="1:29" x14ac:dyDescent="0.4">
      <c r="A132" s="11" t="s">
        <v>50</v>
      </c>
      <c r="B132" s="46"/>
      <c r="C132" s="24" t="s">
        <v>154</v>
      </c>
      <c r="D132" s="4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>
        <v>1</v>
      </c>
      <c r="W132" s="6"/>
      <c r="X132" s="6"/>
      <c r="Y132" s="6">
        <v>1</v>
      </c>
      <c r="Z132" s="6"/>
      <c r="AA132" s="6"/>
      <c r="AB132" s="6"/>
      <c r="AC132" s="5">
        <f t="shared" si="39"/>
        <v>2</v>
      </c>
    </row>
    <row r="133" spans="1:29" x14ac:dyDescent="0.4">
      <c r="A133" s="7"/>
      <c r="B133" s="46"/>
      <c r="C133" s="24" t="s">
        <v>155</v>
      </c>
      <c r="D133" s="4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5">
        <f t="shared" si="39"/>
        <v>0</v>
      </c>
    </row>
    <row r="134" spans="1:29" x14ac:dyDescent="0.4">
      <c r="A134" s="7"/>
      <c r="B134" s="46"/>
      <c r="C134" s="24" t="s">
        <v>156</v>
      </c>
      <c r="D134" s="4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5">
        <f t="shared" si="39"/>
        <v>0</v>
      </c>
    </row>
    <row r="135" spans="1:29" x14ac:dyDescent="0.4">
      <c r="A135" s="7"/>
      <c r="B135" s="46"/>
      <c r="C135" s="24" t="s">
        <v>157</v>
      </c>
      <c r="D135" s="4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5">
        <f t="shared" si="39"/>
        <v>0</v>
      </c>
    </row>
    <row r="136" spans="1:29" x14ac:dyDescent="0.4">
      <c r="A136" s="7"/>
      <c r="B136" s="46"/>
      <c r="C136" s="24" t="s">
        <v>158</v>
      </c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5">
        <f t="shared" si="39"/>
        <v>0</v>
      </c>
    </row>
    <row r="137" spans="1:29" x14ac:dyDescent="0.4">
      <c r="A137" s="7"/>
      <c r="B137" s="46"/>
      <c r="C137" s="24" t="s">
        <v>159</v>
      </c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5">
        <f t="shared" si="39"/>
        <v>0</v>
      </c>
    </row>
    <row r="138" spans="1:29" x14ac:dyDescent="0.4">
      <c r="A138" s="6" t="s">
        <v>26</v>
      </c>
      <c r="B138" s="71" t="s">
        <v>51</v>
      </c>
      <c r="C138" s="80"/>
      <c r="D138" s="81"/>
      <c r="E138" s="5">
        <f>SUM(E131:E137)</f>
        <v>1</v>
      </c>
      <c r="F138" s="5">
        <f>SUM(F131:F137)</f>
        <v>1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0</v>
      </c>
      <c r="O138" s="5">
        <f>SUM(O131:O137)</f>
        <v>0</v>
      </c>
      <c r="P138" s="5">
        <f>SUM(P131:P137)</f>
        <v>0</v>
      </c>
      <c r="Q138" s="5">
        <f>SUM(Q131:Q137)</f>
        <v>0</v>
      </c>
      <c r="R138" s="5">
        <f>SUM(R131:R137)</f>
        <v>0</v>
      </c>
      <c r="S138" s="5">
        <f>SUM(S131:S137)</f>
        <v>0</v>
      </c>
      <c r="T138" s="5">
        <f>SUM(T131:T137)</f>
        <v>0</v>
      </c>
      <c r="U138" s="5">
        <f>SUM(U131:U137)</f>
        <v>0</v>
      </c>
      <c r="V138" s="5">
        <f>SUM(V131:V137)</f>
        <v>1</v>
      </c>
      <c r="W138" s="5">
        <f>SUM(W131:W137)</f>
        <v>0</v>
      </c>
      <c r="X138" s="5">
        <f>SUM(X131:X137)</f>
        <v>0</v>
      </c>
      <c r="Y138" s="5">
        <f>SUM(Y131:Y137)</f>
        <v>1</v>
      </c>
      <c r="Z138" s="5">
        <f>SUM(Z131:Z137)</f>
        <v>0</v>
      </c>
      <c r="AA138" s="5">
        <f>SUM(AA131:AA137)</f>
        <v>0</v>
      </c>
      <c r="AB138" s="5">
        <f>SUM(AB131:AB137)</f>
        <v>0</v>
      </c>
      <c r="AC138" s="5">
        <f>SUM(AC131:AC137)</f>
        <v>4</v>
      </c>
    </row>
    <row r="139" spans="1:29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 spans="1:29" x14ac:dyDescent="0.4">
      <c r="A140" s="11" t="s">
        <v>48</v>
      </c>
      <c r="B140" s="17" t="s">
        <v>73</v>
      </c>
      <c r="C140" s="79" t="s">
        <v>74</v>
      </c>
      <c r="D140" s="52"/>
      <c r="E140" s="6">
        <v>2</v>
      </c>
      <c r="F140" s="6">
        <v>3</v>
      </c>
      <c r="G140" s="6">
        <v>1</v>
      </c>
      <c r="H140" s="6">
        <v>1</v>
      </c>
      <c r="I140" s="6">
        <v>2</v>
      </c>
      <c r="J140" s="6">
        <v>3</v>
      </c>
      <c r="K140" s="6">
        <v>3</v>
      </c>
      <c r="L140" s="6">
        <v>7</v>
      </c>
      <c r="M140" s="6">
        <v>2</v>
      </c>
      <c r="N140" s="6">
        <v>5</v>
      </c>
      <c r="O140" s="6"/>
      <c r="P140" s="6"/>
      <c r="Q140" s="6"/>
      <c r="R140" s="6">
        <v>1</v>
      </c>
      <c r="S140" s="6">
        <v>1</v>
      </c>
      <c r="T140" s="6">
        <v>1</v>
      </c>
      <c r="U140" s="6">
        <v>2</v>
      </c>
      <c r="V140" s="6">
        <v>1</v>
      </c>
      <c r="W140" s="6">
        <v>3</v>
      </c>
      <c r="X140" s="6">
        <v>1</v>
      </c>
      <c r="Y140" s="6">
        <v>1</v>
      </c>
      <c r="Z140" s="6">
        <v>6</v>
      </c>
      <c r="AA140" s="6">
        <v>1</v>
      </c>
      <c r="AB140" s="6"/>
      <c r="AC140" s="5">
        <f t="shared" ref="AC140:AC146" si="40">SUM(E140:AB140)</f>
        <v>47</v>
      </c>
    </row>
    <row r="141" spans="1:29" x14ac:dyDescent="0.4">
      <c r="A141" s="11" t="s">
        <v>50</v>
      </c>
      <c r="B141" s="46"/>
      <c r="C141" s="24" t="s">
        <v>160</v>
      </c>
      <c r="D141" s="47"/>
      <c r="E141" s="6">
        <v>1</v>
      </c>
      <c r="F141" s="6">
        <v>3</v>
      </c>
      <c r="G141" s="6">
        <v>6</v>
      </c>
      <c r="H141" s="6">
        <v>18</v>
      </c>
      <c r="I141" s="6">
        <v>4</v>
      </c>
      <c r="J141" s="6">
        <v>7</v>
      </c>
      <c r="K141" s="6">
        <v>39</v>
      </c>
      <c r="L141" s="6">
        <v>28</v>
      </c>
      <c r="M141" s="6">
        <v>17</v>
      </c>
      <c r="N141" s="6">
        <v>7</v>
      </c>
      <c r="O141" s="6">
        <v>1</v>
      </c>
      <c r="P141" s="6">
        <v>1</v>
      </c>
      <c r="Q141" s="6">
        <v>2</v>
      </c>
      <c r="R141" s="6">
        <v>2</v>
      </c>
      <c r="S141" s="6">
        <v>6</v>
      </c>
      <c r="T141" s="6">
        <v>2</v>
      </c>
      <c r="U141" s="6">
        <v>2</v>
      </c>
      <c r="V141" s="6">
        <v>13</v>
      </c>
      <c r="W141" s="6">
        <v>3</v>
      </c>
      <c r="X141" s="6">
        <v>9</v>
      </c>
      <c r="Y141" s="6">
        <v>1</v>
      </c>
      <c r="Z141" s="6">
        <v>8</v>
      </c>
      <c r="AA141" s="6">
        <v>1</v>
      </c>
      <c r="AB141" s="6"/>
      <c r="AC141" s="5">
        <f t="shared" si="40"/>
        <v>181</v>
      </c>
    </row>
    <row r="142" spans="1:29" x14ac:dyDescent="0.4">
      <c r="A142" s="7"/>
      <c r="B142" s="46"/>
      <c r="C142" s="24" t="s">
        <v>161</v>
      </c>
      <c r="D142" s="47"/>
      <c r="E142" s="6"/>
      <c r="F142" s="6"/>
      <c r="G142" s="6"/>
      <c r="H142" s="6"/>
      <c r="I142" s="6"/>
      <c r="J142" s="6"/>
      <c r="K142" s="6">
        <v>3</v>
      </c>
      <c r="L142" s="6">
        <v>4</v>
      </c>
      <c r="M142" s="6">
        <v>1</v>
      </c>
      <c r="N142" s="6"/>
      <c r="O142" s="6"/>
      <c r="P142" s="6"/>
      <c r="Q142" s="6"/>
      <c r="R142" s="6"/>
      <c r="S142" s="6"/>
      <c r="T142" s="6">
        <v>1</v>
      </c>
      <c r="U142" s="6">
        <v>2</v>
      </c>
      <c r="V142" s="6">
        <v>1</v>
      </c>
      <c r="W142" s="6"/>
      <c r="X142" s="6">
        <v>5</v>
      </c>
      <c r="Y142" s="6">
        <v>4</v>
      </c>
      <c r="Z142" s="6">
        <v>4</v>
      </c>
      <c r="AA142" s="6">
        <v>1</v>
      </c>
      <c r="AB142" s="6"/>
      <c r="AC142" s="5">
        <f t="shared" si="40"/>
        <v>26</v>
      </c>
    </row>
    <row r="143" spans="1:29" x14ac:dyDescent="0.4">
      <c r="A143" s="7"/>
      <c r="B143" s="46"/>
      <c r="C143" s="24" t="s">
        <v>162</v>
      </c>
      <c r="D143" s="47"/>
      <c r="E143" s="6"/>
      <c r="F143" s="6"/>
      <c r="G143" s="6"/>
      <c r="H143" s="6"/>
      <c r="I143" s="6">
        <v>1</v>
      </c>
      <c r="J143" s="6">
        <v>1</v>
      </c>
      <c r="K143" s="6">
        <v>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5">
        <f t="shared" si="40"/>
        <v>4</v>
      </c>
    </row>
    <row r="144" spans="1:29" x14ac:dyDescent="0.4">
      <c r="A144" s="7"/>
      <c r="B144" s="46"/>
      <c r="C144" s="24" t="s">
        <v>163</v>
      </c>
      <c r="D144" s="47"/>
      <c r="E144" s="6">
        <v>2</v>
      </c>
      <c r="F144" s="6">
        <v>1</v>
      </c>
      <c r="G144" s="6"/>
      <c r="H144" s="6"/>
      <c r="I144" s="6">
        <v>1</v>
      </c>
      <c r="J144" s="6"/>
      <c r="K144" s="6"/>
      <c r="L144" s="6"/>
      <c r="M144" s="6">
        <v>1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>
        <v>1</v>
      </c>
      <c r="Y144" s="6"/>
      <c r="Z144" s="6"/>
      <c r="AA144" s="6"/>
      <c r="AB144" s="6"/>
      <c r="AC144" s="5">
        <f t="shared" si="40"/>
        <v>6</v>
      </c>
    </row>
    <row r="145" spans="1:29" x14ac:dyDescent="0.4">
      <c r="A145" s="7"/>
      <c r="B145" s="46"/>
      <c r="C145" s="24" t="s">
        <v>164</v>
      </c>
      <c r="D145" s="47"/>
      <c r="E145" s="6"/>
      <c r="F145" s="6"/>
      <c r="G145" s="6"/>
      <c r="H145" s="6"/>
      <c r="I145" s="6">
        <v>1</v>
      </c>
      <c r="J145" s="6">
        <v>1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">
        <f t="shared" si="40"/>
        <v>2</v>
      </c>
    </row>
    <row r="146" spans="1:29" ht="13.15" customHeight="1" x14ac:dyDescent="0.4">
      <c r="A146" s="7"/>
      <c r="B146" s="46"/>
      <c r="C146" s="24" t="s">
        <v>165</v>
      </c>
      <c r="D146" s="47"/>
      <c r="E146" s="6"/>
      <c r="F146" s="6"/>
      <c r="G146" s="6"/>
      <c r="H146" s="6">
        <v>1</v>
      </c>
      <c r="I146" s="6"/>
      <c r="J146" s="6"/>
      <c r="K146" s="6">
        <v>1</v>
      </c>
      <c r="L146" s="6"/>
      <c r="M146" s="6">
        <v>1</v>
      </c>
      <c r="N146" s="6">
        <v>1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">
        <f t="shared" si="40"/>
        <v>4</v>
      </c>
    </row>
    <row r="147" spans="1:29" x14ac:dyDescent="0.4">
      <c r="A147" s="6" t="s">
        <v>26</v>
      </c>
      <c r="B147" s="71" t="s">
        <v>51</v>
      </c>
      <c r="C147" s="80"/>
      <c r="D147" s="81"/>
      <c r="E147" s="5">
        <f>SUM(E140:E146)</f>
        <v>5</v>
      </c>
      <c r="F147" s="5">
        <f>SUM(F140:F146)</f>
        <v>7</v>
      </c>
      <c r="G147" s="5">
        <f>SUM(G140:G146)</f>
        <v>7</v>
      </c>
      <c r="H147" s="5">
        <f>SUM(H140:H146)</f>
        <v>20</v>
      </c>
      <c r="I147" s="5">
        <f>SUM(I140:I146)</f>
        <v>9</v>
      </c>
      <c r="J147" s="5">
        <f>SUM(J140:J146)</f>
        <v>12</v>
      </c>
      <c r="K147" s="5">
        <f>SUM(K140:K146)</f>
        <v>48</v>
      </c>
      <c r="L147" s="5">
        <f>SUM(L140:L146)</f>
        <v>39</v>
      </c>
      <c r="M147" s="5">
        <f>SUM(M140:M146)</f>
        <v>22</v>
      </c>
      <c r="N147" s="5">
        <f>SUM(N140:N146)</f>
        <v>13</v>
      </c>
      <c r="O147" s="5">
        <f>SUM(O140:O146)</f>
        <v>1</v>
      </c>
      <c r="P147" s="5">
        <f>SUM(P140:P146)</f>
        <v>1</v>
      </c>
      <c r="Q147" s="5">
        <f>SUM(Q140:Q146)</f>
        <v>2</v>
      </c>
      <c r="R147" s="5">
        <f>SUM(R140:R146)</f>
        <v>3</v>
      </c>
      <c r="S147" s="5">
        <f>SUM(S140:S146)</f>
        <v>7</v>
      </c>
      <c r="T147" s="5">
        <f>SUM(T140:T146)</f>
        <v>4</v>
      </c>
      <c r="U147" s="5">
        <f>SUM(U140:U146)</f>
        <v>6</v>
      </c>
      <c r="V147" s="5">
        <f>SUM(V140:V146)</f>
        <v>15</v>
      </c>
      <c r="W147" s="5">
        <f>SUM(W140:W146)</f>
        <v>6</v>
      </c>
      <c r="X147" s="5">
        <f>SUM(X140:X146)</f>
        <v>16</v>
      </c>
      <c r="Y147" s="5">
        <f>SUM(Y140:Y146)</f>
        <v>6</v>
      </c>
      <c r="Z147" s="5">
        <f>SUM(Z140:Z146)</f>
        <v>18</v>
      </c>
      <c r="AA147" s="5">
        <f>SUM(AA140:AA146)</f>
        <v>3</v>
      </c>
      <c r="AB147" s="5">
        <f>SUM(AB140:AB146)</f>
        <v>0</v>
      </c>
      <c r="AC147" s="5">
        <f>SUM(AC140:AC146)</f>
        <v>270</v>
      </c>
    </row>
    <row r="148" spans="1:29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spans="1:29" x14ac:dyDescent="0.4">
      <c r="A149" s="11" t="s">
        <v>48</v>
      </c>
      <c r="B149" s="17" t="s">
        <v>75</v>
      </c>
      <c r="C149" s="79" t="s">
        <v>76</v>
      </c>
      <c r="D149" s="5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>
        <v>3</v>
      </c>
      <c r="V149" s="6"/>
      <c r="W149" s="6"/>
      <c r="X149" s="6"/>
      <c r="Y149" s="6"/>
      <c r="Z149" s="6"/>
      <c r="AA149" s="6">
        <v>1</v>
      </c>
      <c r="AB149" s="6"/>
      <c r="AC149" s="5">
        <f>SUM(E149:AB149)</f>
        <v>4</v>
      </c>
    </row>
    <row r="150" spans="1:29" x14ac:dyDescent="0.4">
      <c r="A150" s="11" t="s">
        <v>50</v>
      </c>
      <c r="B150" s="46"/>
      <c r="C150" s="24" t="s">
        <v>166</v>
      </c>
      <c r="D150" s="4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>
        <v>1</v>
      </c>
      <c r="U150" s="6"/>
      <c r="V150" s="6"/>
      <c r="W150" s="6"/>
      <c r="X150" s="6"/>
      <c r="Y150" s="6"/>
      <c r="Z150" s="6"/>
      <c r="AA150" s="6"/>
      <c r="AB150" s="6"/>
      <c r="AC150" s="5">
        <f>SUM(E150:AB150)</f>
        <v>1</v>
      </c>
    </row>
    <row r="151" spans="1:29" x14ac:dyDescent="0.4">
      <c r="A151" s="6" t="s">
        <v>26</v>
      </c>
      <c r="B151" s="71" t="s">
        <v>51</v>
      </c>
      <c r="C151" s="80"/>
      <c r="D151" s="81"/>
      <c r="E151" s="5">
        <f>SUM(E149:E150)</f>
        <v>0</v>
      </c>
      <c r="F151" s="5">
        <f>SUM(F149:F150)</f>
        <v>0</v>
      </c>
      <c r="G151" s="5">
        <f>SUM(G149:G150)</f>
        <v>0</v>
      </c>
      <c r="H151" s="5">
        <f>SUM(H149:H150)</f>
        <v>0</v>
      </c>
      <c r="I151" s="5">
        <f>SUM(I149:I150)</f>
        <v>0</v>
      </c>
      <c r="J151" s="5">
        <f>SUM(J149:J150)</f>
        <v>0</v>
      </c>
      <c r="K151" s="5">
        <f>SUM(K149:K150)</f>
        <v>0</v>
      </c>
      <c r="L151" s="5">
        <f>SUM(L149:L150)</f>
        <v>0</v>
      </c>
      <c r="M151" s="5">
        <f>SUM(M149:M150)</f>
        <v>0</v>
      </c>
      <c r="N151" s="5">
        <f>SUM(N149:N150)</f>
        <v>0</v>
      </c>
      <c r="O151" s="5">
        <f>SUM(O149:O150)</f>
        <v>0</v>
      </c>
      <c r="P151" s="5">
        <f>SUM(P149:P150)</f>
        <v>0</v>
      </c>
      <c r="Q151" s="5">
        <f>SUM(Q149:Q150)</f>
        <v>0</v>
      </c>
      <c r="R151" s="5">
        <f>SUM(R149:R150)</f>
        <v>0</v>
      </c>
      <c r="S151" s="5">
        <f>SUM(S149:S150)</f>
        <v>0</v>
      </c>
      <c r="T151" s="5">
        <f>SUM(T149:T150)</f>
        <v>1</v>
      </c>
      <c r="U151" s="5">
        <f>SUM(U149:U150)</f>
        <v>3</v>
      </c>
      <c r="V151" s="5">
        <f>SUM(V149:V150)</f>
        <v>0</v>
      </c>
      <c r="W151" s="5">
        <f>SUM(W149:W150)</f>
        <v>0</v>
      </c>
      <c r="X151" s="5">
        <f>SUM(X149:X150)</f>
        <v>0</v>
      </c>
      <c r="Y151" s="5">
        <f>SUM(Y149:Y150)</f>
        <v>0</v>
      </c>
      <c r="Z151" s="5">
        <f>SUM(Z149:Z150)</f>
        <v>0</v>
      </c>
      <c r="AA151" s="5">
        <f>SUM(AA149:AA150)</f>
        <v>1</v>
      </c>
      <c r="AB151" s="5">
        <f>SUM(AB149:AB150)</f>
        <v>0</v>
      </c>
      <c r="AC151" s="5">
        <f>SUM(AC149:AC150)</f>
        <v>5</v>
      </c>
    </row>
    <row r="152" spans="1:29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spans="1:29" x14ac:dyDescent="0.4">
      <c r="A153" s="11" t="s">
        <v>48</v>
      </c>
      <c r="B153" s="17" t="s">
        <v>77</v>
      </c>
      <c r="C153" s="79" t="s">
        <v>78</v>
      </c>
      <c r="D153" s="5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5">
        <f>SUM(E153:AB153)</f>
        <v>0</v>
      </c>
    </row>
    <row r="154" spans="1:29" x14ac:dyDescent="0.4">
      <c r="A154" s="11" t="s">
        <v>50</v>
      </c>
      <c r="B154" s="17"/>
      <c r="C154" s="24" t="s">
        <v>167</v>
      </c>
      <c r="D154" s="4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5">
        <f>SUM(E154:AB154)</f>
        <v>0</v>
      </c>
    </row>
    <row r="155" spans="1:29" x14ac:dyDescent="0.4">
      <c r="A155" s="7"/>
      <c r="B155" s="17"/>
      <c r="C155" s="24" t="s">
        <v>168</v>
      </c>
      <c r="D155" s="4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>
        <v>1</v>
      </c>
      <c r="X155" s="6"/>
      <c r="Y155" s="6"/>
      <c r="Z155" s="6"/>
      <c r="AA155" s="6"/>
      <c r="AB155" s="6"/>
      <c r="AC155" s="5">
        <f>SUM(E155:AB155)</f>
        <v>1</v>
      </c>
    </row>
    <row r="156" spans="1:29" x14ac:dyDescent="0.4">
      <c r="A156" s="7"/>
      <c r="B156" s="17"/>
      <c r="C156" s="24" t="s">
        <v>169</v>
      </c>
      <c r="D156" s="4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5">
        <f t="shared" ref="AC156" si="41">SUM(E156:AB156)</f>
        <v>0</v>
      </c>
    </row>
    <row r="157" spans="1:29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0</v>
      </c>
      <c r="G157" s="5">
        <f>SUM(G153:G156)</f>
        <v>0</v>
      </c>
      <c r="H157" s="5">
        <f>SUM(H153:H156)</f>
        <v>0</v>
      </c>
      <c r="I157" s="5">
        <f>SUM(I153:I156)</f>
        <v>0</v>
      </c>
      <c r="J157" s="5">
        <f>SUM(J153:J156)</f>
        <v>0</v>
      </c>
      <c r="K157" s="5">
        <f>SUM(K153:K156)</f>
        <v>0</v>
      </c>
      <c r="L157" s="5">
        <f>SUM(L153:L156)</f>
        <v>0</v>
      </c>
      <c r="M157" s="5">
        <f>SUM(M153:M156)</f>
        <v>0</v>
      </c>
      <c r="N157" s="5">
        <f>SUM(N153:N156)</f>
        <v>0</v>
      </c>
      <c r="O157" s="5">
        <f>SUM(O153:O156)</f>
        <v>0</v>
      </c>
      <c r="P157" s="5">
        <f>SUM(P153:P156)</f>
        <v>0</v>
      </c>
      <c r="Q157" s="5">
        <f>SUM(Q153:Q156)</f>
        <v>0</v>
      </c>
      <c r="R157" s="5">
        <f>SUM(R153:R156)</f>
        <v>0</v>
      </c>
      <c r="S157" s="5">
        <f>SUM(S153:S156)</f>
        <v>0</v>
      </c>
      <c r="T157" s="5">
        <f>SUM(T153:T156)</f>
        <v>0</v>
      </c>
      <c r="U157" s="5">
        <f>SUM(U153:U156)</f>
        <v>0</v>
      </c>
      <c r="V157" s="5">
        <f>SUM(V153:V156)</f>
        <v>0</v>
      </c>
      <c r="W157" s="5">
        <f>SUM(W153:W156)</f>
        <v>1</v>
      </c>
      <c r="X157" s="5">
        <f>SUM(X153:X156)</f>
        <v>0</v>
      </c>
      <c r="Y157" s="5">
        <f>SUM(Y153:Y156)</f>
        <v>0</v>
      </c>
      <c r="Z157" s="5">
        <f>SUM(Z153:Z156)</f>
        <v>0</v>
      </c>
      <c r="AA157" s="5">
        <f>SUM(AA153:AA156)</f>
        <v>0</v>
      </c>
      <c r="AB157" s="5">
        <f>SUM(AB153:AB156)</f>
        <v>0</v>
      </c>
      <c r="AC157" s="5">
        <f>SUM(AC153:AC156)</f>
        <v>1</v>
      </c>
    </row>
    <row r="158" spans="1:29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 spans="1:29" x14ac:dyDescent="0.4">
      <c r="A159" s="11" t="s">
        <v>48</v>
      </c>
      <c r="B159" s="17" t="s">
        <v>79</v>
      </c>
      <c r="C159" s="79" t="s">
        <v>80</v>
      </c>
      <c r="D159" s="5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>
        <v>1</v>
      </c>
      <c r="V159" s="6">
        <v>2</v>
      </c>
      <c r="W159" s="6"/>
      <c r="X159" s="6">
        <v>4</v>
      </c>
      <c r="Y159" s="6">
        <v>7</v>
      </c>
      <c r="Z159" s="6">
        <v>1</v>
      </c>
      <c r="AA159" s="6">
        <v>6</v>
      </c>
      <c r="AB159" s="6"/>
      <c r="AC159" s="5">
        <f t="shared" ref="AC159:AC165" si="42">SUM(E159:AB159)</f>
        <v>21</v>
      </c>
    </row>
    <row r="160" spans="1:29" x14ac:dyDescent="0.4">
      <c r="A160" s="11" t="s">
        <v>50</v>
      </c>
      <c r="B160" s="46"/>
      <c r="C160" s="24" t="s">
        <v>170</v>
      </c>
      <c r="D160" s="4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>
        <v>1</v>
      </c>
      <c r="U160" s="6">
        <v>1</v>
      </c>
      <c r="V160" s="6">
        <v>8</v>
      </c>
      <c r="W160" s="6">
        <v>7</v>
      </c>
      <c r="X160" s="6">
        <v>14</v>
      </c>
      <c r="Y160" s="6">
        <v>22</v>
      </c>
      <c r="Z160" s="6">
        <v>6</v>
      </c>
      <c r="AA160" s="6">
        <v>17</v>
      </c>
      <c r="AB160" s="6">
        <v>1</v>
      </c>
      <c r="AC160" s="5">
        <f t="shared" si="42"/>
        <v>77</v>
      </c>
    </row>
    <row r="161" spans="1:29" x14ac:dyDescent="0.4">
      <c r="A161" s="7"/>
      <c r="B161" s="46"/>
      <c r="C161" s="24" t="s">
        <v>171</v>
      </c>
      <c r="D161" s="4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>
        <v>1</v>
      </c>
      <c r="AA161" s="6"/>
      <c r="AB161" s="6"/>
      <c r="AC161" s="5">
        <f t="shared" si="42"/>
        <v>1</v>
      </c>
    </row>
    <row r="162" spans="1:29" ht="13.15" customHeight="1" x14ac:dyDescent="0.4">
      <c r="A162" s="7"/>
      <c r="B162" s="46"/>
      <c r="C162" s="24" t="s">
        <v>172</v>
      </c>
      <c r="D162" s="4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>
        <f t="shared" si="42"/>
        <v>0</v>
      </c>
    </row>
    <row r="163" spans="1:29" x14ac:dyDescent="0.4">
      <c r="A163" s="7"/>
      <c r="B163" s="46"/>
      <c r="C163" s="24" t="s">
        <v>173</v>
      </c>
      <c r="D163" s="4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5">
        <f t="shared" si="42"/>
        <v>0</v>
      </c>
    </row>
    <row r="164" spans="1:29" ht="12.75" customHeight="1" x14ac:dyDescent="0.4">
      <c r="A164" s="7"/>
      <c r="B164" s="46"/>
      <c r="C164" s="24" t="s">
        <v>174</v>
      </c>
      <c r="D164" s="4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5">
        <f t="shared" si="42"/>
        <v>0</v>
      </c>
    </row>
    <row r="165" spans="1:29" x14ac:dyDescent="0.4">
      <c r="A165" s="7"/>
      <c r="B165" s="46"/>
      <c r="C165" s="24" t="s">
        <v>175</v>
      </c>
      <c r="D165" s="4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5">
        <f t="shared" si="42"/>
        <v>0</v>
      </c>
    </row>
    <row r="166" spans="1:29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0</v>
      </c>
      <c r="F166" s="5">
        <f>SUM(F159:F165)</f>
        <v>0</v>
      </c>
      <c r="G166" s="5">
        <f>SUM(G159:G165)</f>
        <v>0</v>
      </c>
      <c r="H166" s="5">
        <f>SUM(H159:H165)</f>
        <v>0</v>
      </c>
      <c r="I166" s="5">
        <f>SUM(I159:I165)</f>
        <v>0</v>
      </c>
      <c r="J166" s="5">
        <f>SUM(J159:J165)</f>
        <v>0</v>
      </c>
      <c r="K166" s="5">
        <f>SUM(K159:K165)</f>
        <v>0</v>
      </c>
      <c r="L166" s="5">
        <f>SUM(L159:L165)</f>
        <v>0</v>
      </c>
      <c r="M166" s="5">
        <f>SUM(M159:M165)</f>
        <v>0</v>
      </c>
      <c r="N166" s="5">
        <f>SUM(N159:N165)</f>
        <v>0</v>
      </c>
      <c r="O166" s="5">
        <f>SUM(O159:O165)</f>
        <v>0</v>
      </c>
      <c r="P166" s="5">
        <f>SUM(P159:P165)</f>
        <v>0</v>
      </c>
      <c r="Q166" s="5">
        <f>SUM(Q159:Q165)</f>
        <v>0</v>
      </c>
      <c r="R166" s="5">
        <f>SUM(R159:R165)</f>
        <v>0</v>
      </c>
      <c r="S166" s="5">
        <f>SUM(S159:S165)</f>
        <v>0</v>
      </c>
      <c r="T166" s="5">
        <f>SUM(T159:T165)</f>
        <v>1</v>
      </c>
      <c r="U166" s="5">
        <f>SUM(U159:U165)</f>
        <v>2</v>
      </c>
      <c r="V166" s="5">
        <f>SUM(V159:V165)</f>
        <v>10</v>
      </c>
      <c r="W166" s="5">
        <f>SUM(W159:W165)</f>
        <v>7</v>
      </c>
      <c r="X166" s="5">
        <f>SUM(X159:X165)</f>
        <v>18</v>
      </c>
      <c r="Y166" s="5">
        <f>SUM(Y159:Y165)</f>
        <v>29</v>
      </c>
      <c r="Z166" s="5">
        <f>SUM(Z159:Z165)</f>
        <v>8</v>
      </c>
      <c r="AA166" s="5">
        <f>SUM(AA159:AA165)</f>
        <v>23</v>
      </c>
      <c r="AB166" s="5">
        <f>SUM(AB159:AB165)</f>
        <v>1</v>
      </c>
      <c r="AC166" s="5">
        <f>SUM(AC159:AC165)</f>
        <v>99</v>
      </c>
    </row>
    <row r="167" spans="1:29" x14ac:dyDescent="0.4">
      <c r="A167" s="50"/>
      <c r="B167" s="82"/>
      <c r="C167" s="82"/>
      <c r="D167" s="82"/>
      <c r="E167" s="83"/>
    </row>
    <row r="168" spans="1:29" x14ac:dyDescent="0.4">
      <c r="A168" s="11" t="s">
        <v>48</v>
      </c>
      <c r="B168" s="17" t="s">
        <v>81</v>
      </c>
      <c r="C168" s="79" t="s">
        <v>82</v>
      </c>
      <c r="D168" s="5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>
        <v>1</v>
      </c>
      <c r="V168" s="6"/>
      <c r="W168" s="6"/>
      <c r="X168" s="6"/>
      <c r="Y168" s="6"/>
      <c r="Z168" s="6">
        <v>1</v>
      </c>
      <c r="AA168" s="6"/>
      <c r="AB168" s="6"/>
      <c r="AC168" s="5">
        <f>SUM(E168:AB168)</f>
        <v>2</v>
      </c>
    </row>
    <row r="169" spans="1:29" x14ac:dyDescent="0.4">
      <c r="A169" s="11" t="s">
        <v>50</v>
      </c>
      <c r="B169" s="46"/>
      <c r="C169" s="24" t="s">
        <v>176</v>
      </c>
      <c r="D169" s="4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>
        <f>SUM(E169:AB169)</f>
        <v>0</v>
      </c>
    </row>
    <row r="170" spans="1:29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0</v>
      </c>
      <c r="H170" s="5">
        <f>SUM(H168:H169)</f>
        <v>0</v>
      </c>
      <c r="I170" s="5">
        <f>SUM(I168:I169)</f>
        <v>0</v>
      </c>
      <c r="J170" s="5">
        <f>SUM(J168:J169)</f>
        <v>0</v>
      </c>
      <c r="K170" s="5">
        <f>SUM(K168:K169)</f>
        <v>0</v>
      </c>
      <c r="L170" s="5">
        <f>SUM(L168:L169)</f>
        <v>0</v>
      </c>
      <c r="M170" s="5">
        <f>SUM(M168:M169)</f>
        <v>0</v>
      </c>
      <c r="N170" s="5">
        <f>SUM(N168:N169)</f>
        <v>0</v>
      </c>
      <c r="O170" s="5">
        <f>SUM(O168:O169)</f>
        <v>0</v>
      </c>
      <c r="P170" s="5">
        <f>SUM(P168:P169)</f>
        <v>0</v>
      </c>
      <c r="Q170" s="5">
        <f>SUM(Q168:Q169)</f>
        <v>0</v>
      </c>
      <c r="R170" s="5">
        <f>SUM(R168:R169)</f>
        <v>0</v>
      </c>
      <c r="S170" s="5">
        <f>SUM(S168:S169)</f>
        <v>0</v>
      </c>
      <c r="T170" s="5">
        <f>SUM(T168:T169)</f>
        <v>0</v>
      </c>
      <c r="U170" s="5">
        <f>SUM(U168:U169)</f>
        <v>1</v>
      </c>
      <c r="V170" s="5">
        <f>SUM(V168:V169)</f>
        <v>0</v>
      </c>
      <c r="W170" s="5">
        <f>SUM(W168:W169)</f>
        <v>0</v>
      </c>
      <c r="X170" s="5">
        <f>SUM(X168:X169)</f>
        <v>0</v>
      </c>
      <c r="Y170" s="5">
        <f>SUM(Y168:Y169)</f>
        <v>0</v>
      </c>
      <c r="Z170" s="5">
        <f>SUM(Z168:Z169)</f>
        <v>1</v>
      </c>
      <c r="AA170" s="5">
        <f>SUM(AA168:AA169)</f>
        <v>0</v>
      </c>
      <c r="AB170" s="5">
        <f>SUM(AB168:AB169)</f>
        <v>0</v>
      </c>
      <c r="AC170" s="5">
        <f>SUM(AC168:AC169)</f>
        <v>2</v>
      </c>
    </row>
    <row r="172" spans="1:29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x14ac:dyDescent="0.4">
      <c r="A173" s="16"/>
      <c r="B173" s="19" t="s">
        <v>85</v>
      </c>
      <c r="C173" s="88" t="s">
        <v>86</v>
      </c>
      <c r="D173" s="89"/>
      <c r="E173" s="6">
        <v>170</v>
      </c>
      <c r="F173" s="6">
        <v>197</v>
      </c>
      <c r="G173" s="6">
        <v>131</v>
      </c>
      <c r="H173" s="6">
        <v>196</v>
      </c>
      <c r="I173" s="6">
        <v>171</v>
      </c>
      <c r="J173" s="6">
        <v>174</v>
      </c>
      <c r="K173" s="6">
        <v>180</v>
      </c>
      <c r="L173" s="6">
        <v>205</v>
      </c>
      <c r="M173" s="6">
        <v>243</v>
      </c>
      <c r="N173" s="6">
        <v>191</v>
      </c>
      <c r="O173" s="6">
        <v>219</v>
      </c>
      <c r="P173" s="6">
        <v>205</v>
      </c>
      <c r="Q173" s="6">
        <v>181</v>
      </c>
      <c r="R173" s="6">
        <v>211</v>
      </c>
      <c r="S173" s="6">
        <v>183</v>
      </c>
      <c r="T173" s="6">
        <v>187</v>
      </c>
      <c r="U173" s="6">
        <v>187</v>
      </c>
      <c r="V173" s="6">
        <v>201</v>
      </c>
      <c r="W173" s="6">
        <v>177</v>
      </c>
      <c r="X173" s="6">
        <v>192</v>
      </c>
      <c r="Y173" s="6">
        <v>177</v>
      </c>
      <c r="Z173" s="6">
        <v>185</v>
      </c>
      <c r="AA173" s="6">
        <v>182</v>
      </c>
      <c r="AB173" s="6">
        <v>184</v>
      </c>
      <c r="AC173" s="5">
        <f>SUM(E173:AB173)</f>
        <v>4529</v>
      </c>
    </row>
    <row r="174" spans="1:29" x14ac:dyDescent="0.4">
      <c r="A174" s="13"/>
      <c r="B174" s="19" t="s">
        <v>87</v>
      </c>
      <c r="C174" s="88" t="s">
        <v>88</v>
      </c>
      <c r="D174" s="89"/>
      <c r="E174" s="6">
        <v>6</v>
      </c>
      <c r="F174" s="6">
        <v>11</v>
      </c>
      <c r="G174" s="6">
        <v>13</v>
      </c>
      <c r="H174" s="6">
        <v>8</v>
      </c>
      <c r="I174" s="6">
        <v>11</v>
      </c>
      <c r="J174" s="6">
        <v>4</v>
      </c>
      <c r="K174" s="6">
        <v>15</v>
      </c>
      <c r="L174" s="6">
        <v>34</v>
      </c>
      <c r="M174" s="6">
        <v>12</v>
      </c>
      <c r="N174" s="6">
        <v>11</v>
      </c>
      <c r="O174" s="6">
        <v>21</v>
      </c>
      <c r="P174" s="6">
        <v>9</v>
      </c>
      <c r="Q174" s="6">
        <v>16</v>
      </c>
      <c r="R174" s="6">
        <v>9</v>
      </c>
      <c r="S174" s="6">
        <v>13</v>
      </c>
      <c r="T174" s="6">
        <v>13</v>
      </c>
      <c r="U174" s="6">
        <v>11</v>
      </c>
      <c r="V174" s="6">
        <v>14</v>
      </c>
      <c r="W174" s="6">
        <v>20</v>
      </c>
      <c r="X174" s="6">
        <v>11</v>
      </c>
      <c r="Y174" s="6">
        <v>17</v>
      </c>
      <c r="Z174" s="6">
        <v>11</v>
      </c>
      <c r="AA174" s="6">
        <v>15</v>
      </c>
      <c r="AB174" s="6">
        <v>5</v>
      </c>
      <c r="AC174" s="5">
        <f>SUM(E174:AB174)</f>
        <v>310</v>
      </c>
    </row>
    <row r="175" spans="1:29" x14ac:dyDescent="0.4">
      <c r="A175" s="14"/>
      <c r="B175" s="19" t="s">
        <v>89</v>
      </c>
      <c r="C175" s="88" t="s">
        <v>90</v>
      </c>
      <c r="D175" s="89"/>
      <c r="E175" s="5">
        <f>SUM(E173:E174)</f>
        <v>176</v>
      </c>
      <c r="F175" s="5">
        <f t="shared" ref="F175:L175" si="43">SUM(F173:F174)</f>
        <v>208</v>
      </c>
      <c r="G175" s="5">
        <f t="shared" si="43"/>
        <v>144</v>
      </c>
      <c r="H175" s="5">
        <f t="shared" si="43"/>
        <v>204</v>
      </c>
      <c r="I175" s="5">
        <f t="shared" si="43"/>
        <v>182</v>
      </c>
      <c r="J175" s="5">
        <f t="shared" si="43"/>
        <v>178</v>
      </c>
      <c r="K175" s="5">
        <f t="shared" si="43"/>
        <v>195</v>
      </c>
      <c r="L175" s="5">
        <f t="shared" si="43"/>
        <v>239</v>
      </c>
      <c r="M175" s="5">
        <f t="shared" ref="M175:S175" si="44">SUM(M173:M174)</f>
        <v>255</v>
      </c>
      <c r="N175" s="5">
        <f t="shared" si="44"/>
        <v>202</v>
      </c>
      <c r="O175" s="5">
        <f t="shared" si="44"/>
        <v>240</v>
      </c>
      <c r="P175" s="5">
        <f t="shared" si="44"/>
        <v>214</v>
      </c>
      <c r="Q175" s="5">
        <f t="shared" si="44"/>
        <v>197</v>
      </c>
      <c r="R175" s="5">
        <f t="shared" si="44"/>
        <v>220</v>
      </c>
      <c r="S175" s="5">
        <f t="shared" si="44"/>
        <v>196</v>
      </c>
      <c r="T175" s="5">
        <f t="shared" ref="T175:AB175" si="45">SUM(T173:T174)</f>
        <v>200</v>
      </c>
      <c r="U175" s="5">
        <f t="shared" si="45"/>
        <v>198</v>
      </c>
      <c r="V175" s="5">
        <f t="shared" si="45"/>
        <v>215</v>
      </c>
      <c r="W175" s="5">
        <f t="shared" si="45"/>
        <v>197</v>
      </c>
      <c r="X175" s="5">
        <f t="shared" si="45"/>
        <v>203</v>
      </c>
      <c r="Y175" s="5">
        <f t="shared" si="45"/>
        <v>194</v>
      </c>
      <c r="Z175" s="5">
        <f t="shared" ref="Z175" si="46">SUM(Z173:Z174)</f>
        <v>196</v>
      </c>
      <c r="AA175" s="5">
        <f t="shared" si="45"/>
        <v>197</v>
      </c>
      <c r="AB175" s="5">
        <f t="shared" si="45"/>
        <v>189</v>
      </c>
      <c r="AC175" s="5">
        <f>SUM(E175:AB175)</f>
        <v>4839</v>
      </c>
    </row>
  </sheetData>
  <mergeCells count="86">
    <mergeCell ref="B166:D166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59:D159"/>
    <mergeCell ref="C175:D175"/>
    <mergeCell ref="A167:E167"/>
    <mergeCell ref="C168:D168"/>
    <mergeCell ref="B170:D170"/>
    <mergeCell ref="B172:D172"/>
    <mergeCell ref="C173:D173"/>
    <mergeCell ref="C174:D174"/>
    <mergeCell ref="B138:D138"/>
    <mergeCell ref="B129:D129"/>
    <mergeCell ref="A130:E130"/>
    <mergeCell ref="A111:E111"/>
    <mergeCell ref="C112:D112"/>
    <mergeCell ref="B119:D119"/>
    <mergeCell ref="A120:E120"/>
    <mergeCell ref="C121:D121"/>
    <mergeCell ref="C131:D131"/>
    <mergeCell ref="B122:D122"/>
    <mergeCell ref="A123:E123"/>
    <mergeCell ref="C124:D124"/>
    <mergeCell ref="B110:D110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C108:D108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52:D52"/>
    <mergeCell ref="B35:D35"/>
    <mergeCell ref="B36:D36"/>
    <mergeCell ref="A37:D37"/>
    <mergeCell ref="E37:W37"/>
    <mergeCell ref="B38:D38"/>
    <mergeCell ref="B39:C41"/>
    <mergeCell ref="A42:D42"/>
    <mergeCell ref="E42:W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B12"/>
    <mergeCell ref="AC12:AC13"/>
    <mergeCell ref="B13:D13"/>
    <mergeCell ref="B14:C16"/>
  </mergeCells>
  <phoneticPr fontId="8" type="noConversion"/>
  <conditionalFormatting sqref="E14:AB15">
    <cfRule type="containsBlanks" dxfId="84" priority="20">
      <formula>LEN(TRIM(E14))=0</formula>
    </cfRule>
  </conditionalFormatting>
  <conditionalFormatting sqref="E19:AB20">
    <cfRule type="containsBlanks" dxfId="83" priority="23">
      <formula>LEN(TRIM(E19))=0</formula>
    </cfRule>
  </conditionalFormatting>
  <conditionalFormatting sqref="E22:AB23 E25:AB26 E33:AB33 E35:AB35 E39:AB40">
    <cfRule type="containsBlanks" dxfId="82" priority="24">
      <formula>LEN(TRIM(E22))=0</formula>
    </cfRule>
  </conditionalFormatting>
  <conditionalFormatting sqref="E30:AB30">
    <cfRule type="expression" dxfId="81" priority="25">
      <formula>E30&lt;&gt;E47</formula>
    </cfRule>
    <cfRule type="expression" dxfId="80" priority="26">
      <formula>E30&lt;&gt;E34</formula>
    </cfRule>
  </conditionalFormatting>
  <conditionalFormatting sqref="E45:AB51">
    <cfRule type="containsBlanks" dxfId="79" priority="19">
      <formula>LEN(TRIM(E45))=0</formula>
    </cfRule>
  </conditionalFormatting>
  <conditionalFormatting sqref="E54:AB60">
    <cfRule type="containsBlanks" dxfId="78" priority="18">
      <formula>LEN(TRIM(E54))=0</formula>
    </cfRule>
  </conditionalFormatting>
  <conditionalFormatting sqref="E63:AB69">
    <cfRule type="containsBlanks" dxfId="77" priority="17">
      <formula>LEN(TRIM(E63))=0</formula>
    </cfRule>
  </conditionalFormatting>
  <conditionalFormatting sqref="E72:AB78">
    <cfRule type="containsBlanks" dxfId="76" priority="16">
      <formula>LEN(TRIM(E72))=0</formula>
    </cfRule>
  </conditionalFormatting>
  <conditionalFormatting sqref="E81:AB87">
    <cfRule type="containsBlanks" dxfId="75" priority="15">
      <formula>LEN(TRIM(E81))=0</formula>
    </cfRule>
  </conditionalFormatting>
  <conditionalFormatting sqref="E90:AB90">
    <cfRule type="containsBlanks" dxfId="74" priority="14">
      <formula>LEN(TRIM(E90))=0</formula>
    </cfRule>
  </conditionalFormatting>
  <conditionalFormatting sqref="E93:AB96">
    <cfRule type="containsBlanks" dxfId="73" priority="1">
      <formula>LEN(TRIM(E93))=0</formula>
    </cfRule>
  </conditionalFormatting>
  <conditionalFormatting sqref="E99:AB105">
    <cfRule type="containsBlanks" dxfId="72" priority="13">
      <formula>LEN(TRIM(E99))=0</formula>
    </cfRule>
  </conditionalFormatting>
  <conditionalFormatting sqref="E108:AB109">
    <cfRule type="containsBlanks" dxfId="71" priority="12">
      <formula>LEN(TRIM(E108))=0</formula>
    </cfRule>
  </conditionalFormatting>
  <conditionalFormatting sqref="E112:AB118">
    <cfRule type="containsBlanks" dxfId="70" priority="3">
      <formula>LEN(TRIM(E112))=0</formula>
    </cfRule>
  </conditionalFormatting>
  <conditionalFormatting sqref="E121:AB121">
    <cfRule type="containsBlanks" dxfId="69" priority="11">
      <formula>LEN(TRIM(E121))=0</formula>
    </cfRule>
  </conditionalFormatting>
  <conditionalFormatting sqref="E124:AB128">
    <cfRule type="containsBlanks" dxfId="68" priority="10">
      <formula>LEN(TRIM(E124))=0</formula>
    </cfRule>
  </conditionalFormatting>
  <conditionalFormatting sqref="E131:AB137">
    <cfRule type="containsBlanks" dxfId="67" priority="9">
      <formula>LEN(TRIM(E131))=0</formula>
    </cfRule>
  </conditionalFormatting>
  <conditionalFormatting sqref="E140:AB146">
    <cfRule type="containsBlanks" dxfId="66" priority="8">
      <formula>LEN(TRIM(E140))=0</formula>
    </cfRule>
  </conditionalFormatting>
  <conditionalFormatting sqref="E149:AB150">
    <cfRule type="containsBlanks" dxfId="65" priority="7">
      <formula>LEN(TRIM(E149))=0</formula>
    </cfRule>
  </conditionalFormatting>
  <conditionalFormatting sqref="E153:AB156">
    <cfRule type="containsBlanks" dxfId="64" priority="6">
      <formula>LEN(TRIM(E153))=0</formula>
    </cfRule>
  </conditionalFormatting>
  <conditionalFormatting sqref="E159:AB165">
    <cfRule type="containsBlanks" dxfId="63" priority="5">
      <formula>LEN(TRIM(E159))=0</formula>
    </cfRule>
  </conditionalFormatting>
  <conditionalFormatting sqref="E168:AB169">
    <cfRule type="containsBlanks" dxfId="62" priority="4">
      <formula>LEN(TRIM(E168))=0</formula>
    </cfRule>
  </conditionalFormatting>
  <conditionalFormatting sqref="E173:AB174">
    <cfRule type="containsBlanks" dxfId="61" priority="2">
      <formula>LEN(TRIM(E173))=0</formula>
    </cfRule>
  </conditionalFormatting>
  <conditionalFormatting sqref="E34:AB34">
    <cfRule type="expression" dxfId="60" priority="113">
      <formula>E30&lt;&gt;E34</formula>
    </cfRule>
    <cfRule type="expression" dxfId="59" priority="114">
      <formula>E30=E34</formula>
    </cfRule>
    <cfRule type="expression" dxfId="58" priority="115">
      <formula>E34&lt;&gt;E30</formula>
    </cfRule>
    <cfRule type="expression" dxfId="57" priority="116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919A-C800-4DB1-B540-2E6C3C53FC13}">
  <sheetPr>
    <tabColor rgb="FF92D050"/>
  </sheetPr>
  <dimension ref="A2:T175"/>
  <sheetViews>
    <sheetView topLeftCell="B13" zoomScale="85" zoomScaleNormal="85" workbookViewId="0">
      <pane ySplit="1" topLeftCell="A167" activePane="bottomLeft" state="frozen"/>
      <selection activeCell="A13" sqref="A13"/>
      <selection pane="bottomLeft" activeCell="T174" sqref="T174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98</v>
      </c>
      <c r="D2" s="43" t="s">
        <v>177</v>
      </c>
    </row>
    <row r="3" spans="1:20" x14ac:dyDescent="0.4">
      <c r="C3" s="43" t="s">
        <v>99</v>
      </c>
      <c r="D3" s="43" t="s">
        <v>100</v>
      </c>
    </row>
    <row r="4" spans="1:20" x14ac:dyDescent="0.4">
      <c r="C4" s="43" t="s">
        <v>101</v>
      </c>
      <c r="D4" s="43" t="s">
        <v>102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103</v>
      </c>
      <c r="D9" s="43" t="s">
        <v>186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0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6" t="s">
        <v>97</v>
      </c>
    </row>
    <row r="13" spans="1:20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7"/>
    </row>
    <row r="14" spans="1:20" x14ac:dyDescent="0.4">
      <c r="A14" s="7"/>
      <c r="B14" s="59" t="s">
        <v>22</v>
      </c>
      <c r="C14" s="60"/>
      <c r="D14" s="6" t="s">
        <v>23</v>
      </c>
      <c r="E14" s="6">
        <v>124</v>
      </c>
      <c r="F14" s="6">
        <v>132</v>
      </c>
      <c r="G14" s="6">
        <v>130</v>
      </c>
      <c r="H14" s="6">
        <v>127</v>
      </c>
      <c r="I14" s="6">
        <v>133</v>
      </c>
      <c r="J14" s="6">
        <v>115</v>
      </c>
      <c r="K14" s="6">
        <v>140</v>
      </c>
      <c r="L14" s="6">
        <v>127</v>
      </c>
      <c r="M14" s="6">
        <v>130</v>
      </c>
      <c r="N14" s="6">
        <v>111</v>
      </c>
      <c r="O14" s="6">
        <v>118</v>
      </c>
      <c r="P14" s="6">
        <v>108</v>
      </c>
      <c r="Q14" s="6">
        <v>114</v>
      </c>
      <c r="R14" s="6">
        <v>130</v>
      </c>
      <c r="S14" s="6">
        <v>81</v>
      </c>
      <c r="T14" s="5">
        <f>SUM(E14:S14)</f>
        <v>1820</v>
      </c>
    </row>
    <row r="15" spans="1:20" x14ac:dyDescent="0.4">
      <c r="A15" s="7"/>
      <c r="B15" s="61"/>
      <c r="C15" s="62"/>
      <c r="D15" s="6" t="s">
        <v>24</v>
      </c>
      <c r="E15" s="6">
        <v>119</v>
      </c>
      <c r="F15" s="6">
        <v>123</v>
      </c>
      <c r="G15" s="6">
        <v>121</v>
      </c>
      <c r="H15" s="6">
        <v>125</v>
      </c>
      <c r="I15" s="6">
        <v>128</v>
      </c>
      <c r="J15" s="6">
        <v>126</v>
      </c>
      <c r="K15" s="6">
        <v>135</v>
      </c>
      <c r="L15" s="6">
        <v>133</v>
      </c>
      <c r="M15" s="6">
        <v>134</v>
      </c>
      <c r="N15" s="6">
        <v>121</v>
      </c>
      <c r="O15" s="6">
        <v>124</v>
      </c>
      <c r="P15" s="6">
        <v>118</v>
      </c>
      <c r="Q15" s="6">
        <v>121</v>
      </c>
      <c r="R15" s="6">
        <v>129</v>
      </c>
      <c r="S15" s="6">
        <v>80</v>
      </c>
      <c r="T15" s="5">
        <f>SUM(E15:S15)</f>
        <v>1837</v>
      </c>
    </row>
    <row r="16" spans="1:20" x14ac:dyDescent="0.4">
      <c r="A16" s="8"/>
      <c r="B16" s="63"/>
      <c r="C16" s="64"/>
      <c r="D16" s="5" t="s">
        <v>25</v>
      </c>
      <c r="E16" s="5">
        <f t="shared" ref="E16:S16" si="0">SUM(E14:E15)</f>
        <v>243</v>
      </c>
      <c r="F16" s="5">
        <f t="shared" si="0"/>
        <v>255</v>
      </c>
      <c r="G16" s="5">
        <f t="shared" si="0"/>
        <v>251</v>
      </c>
      <c r="H16" s="5">
        <f t="shared" si="0"/>
        <v>252</v>
      </c>
      <c r="I16" s="5">
        <f t="shared" si="0"/>
        <v>261</v>
      </c>
      <c r="J16" s="5">
        <f t="shared" si="0"/>
        <v>241</v>
      </c>
      <c r="K16" s="5">
        <f t="shared" si="0"/>
        <v>275</v>
      </c>
      <c r="L16" s="5">
        <f t="shared" si="0"/>
        <v>260</v>
      </c>
      <c r="M16" s="5">
        <f t="shared" si="0"/>
        <v>264</v>
      </c>
      <c r="N16" s="5">
        <f t="shared" si="0"/>
        <v>232</v>
      </c>
      <c r="O16" s="5">
        <f t="shared" ref="O16:P16" si="1">SUM(O14:O15)</f>
        <v>242</v>
      </c>
      <c r="P16" s="5">
        <f t="shared" si="1"/>
        <v>226</v>
      </c>
      <c r="Q16" s="5">
        <f t="shared" si="0"/>
        <v>235</v>
      </c>
      <c r="R16" s="5">
        <f t="shared" si="0"/>
        <v>259</v>
      </c>
      <c r="S16" s="5">
        <f t="shared" si="0"/>
        <v>161</v>
      </c>
      <c r="T16" s="5">
        <f>SUM(E16:S16)</f>
        <v>3657</v>
      </c>
    </row>
    <row r="17" spans="1:20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28"/>
    </row>
    <row r="18" spans="1:20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28"/>
    </row>
    <row r="19" spans="1:20" x14ac:dyDescent="0.4">
      <c r="A19" s="11"/>
      <c r="B19" s="65" t="s">
        <v>28</v>
      </c>
      <c r="C19" s="66" t="s">
        <v>29</v>
      </c>
      <c r="D19" s="6" t="s">
        <v>23</v>
      </c>
      <c r="E19" s="6">
        <v>97</v>
      </c>
      <c r="F19" s="6">
        <v>88</v>
      </c>
      <c r="G19" s="6">
        <v>110</v>
      </c>
      <c r="H19" s="6">
        <v>104</v>
      </c>
      <c r="I19" s="6">
        <v>111</v>
      </c>
      <c r="J19" s="6">
        <v>94</v>
      </c>
      <c r="K19" s="6">
        <v>112</v>
      </c>
      <c r="L19" s="6">
        <v>92</v>
      </c>
      <c r="M19" s="6">
        <v>95</v>
      </c>
      <c r="N19" s="6">
        <v>90</v>
      </c>
      <c r="O19" s="6">
        <v>87</v>
      </c>
      <c r="P19" s="6">
        <v>87</v>
      </c>
      <c r="Q19" s="6">
        <v>96</v>
      </c>
      <c r="R19" s="6">
        <v>89</v>
      </c>
      <c r="S19" s="6">
        <v>53</v>
      </c>
      <c r="T19" s="5">
        <f t="shared" ref="T19:T30" si="2">SUM(E19:S19)</f>
        <v>1405</v>
      </c>
    </row>
    <row r="20" spans="1:20" x14ac:dyDescent="0.4">
      <c r="A20" s="12"/>
      <c r="B20" s="62"/>
      <c r="C20" s="67"/>
      <c r="D20" s="6" t="s">
        <v>24</v>
      </c>
      <c r="E20" s="6">
        <v>100</v>
      </c>
      <c r="F20" s="6">
        <v>89</v>
      </c>
      <c r="G20" s="6">
        <v>99</v>
      </c>
      <c r="H20" s="6">
        <v>115</v>
      </c>
      <c r="I20" s="6">
        <v>109</v>
      </c>
      <c r="J20" s="6">
        <v>105</v>
      </c>
      <c r="K20" s="6">
        <v>114</v>
      </c>
      <c r="L20" s="6">
        <v>110</v>
      </c>
      <c r="M20" s="6">
        <v>103</v>
      </c>
      <c r="N20" s="6">
        <v>103</v>
      </c>
      <c r="O20" s="6">
        <v>106</v>
      </c>
      <c r="P20" s="6">
        <v>107</v>
      </c>
      <c r="Q20" s="6">
        <v>111</v>
      </c>
      <c r="R20" s="6">
        <v>105</v>
      </c>
      <c r="S20" s="6">
        <v>58</v>
      </c>
      <c r="T20" s="5">
        <f t="shared" si="2"/>
        <v>1534</v>
      </c>
    </row>
    <row r="21" spans="1:20" x14ac:dyDescent="0.4">
      <c r="A21" s="13"/>
      <c r="B21" s="64"/>
      <c r="C21" s="68"/>
      <c r="D21" s="5" t="s">
        <v>25</v>
      </c>
      <c r="E21" s="5">
        <f t="shared" ref="E21:S21" si="3">SUM(E19:E20)</f>
        <v>197</v>
      </c>
      <c r="F21" s="5">
        <f t="shared" si="3"/>
        <v>177</v>
      </c>
      <c r="G21" s="5">
        <f t="shared" si="3"/>
        <v>209</v>
      </c>
      <c r="H21" s="5">
        <f t="shared" si="3"/>
        <v>219</v>
      </c>
      <c r="I21" s="5">
        <f t="shared" si="3"/>
        <v>220</v>
      </c>
      <c r="J21" s="5">
        <f t="shared" si="3"/>
        <v>199</v>
      </c>
      <c r="K21" s="5">
        <f t="shared" si="3"/>
        <v>226</v>
      </c>
      <c r="L21" s="5">
        <f t="shared" si="3"/>
        <v>202</v>
      </c>
      <c r="M21" s="5">
        <f t="shared" si="3"/>
        <v>198</v>
      </c>
      <c r="N21" s="5">
        <f t="shared" si="3"/>
        <v>193</v>
      </c>
      <c r="O21" s="5">
        <f t="shared" ref="O21:P21" si="4">SUM(O19:O20)</f>
        <v>193</v>
      </c>
      <c r="P21" s="5">
        <f t="shared" si="4"/>
        <v>194</v>
      </c>
      <c r="Q21" s="5">
        <f t="shared" si="3"/>
        <v>207</v>
      </c>
      <c r="R21" s="5">
        <f t="shared" si="3"/>
        <v>194</v>
      </c>
      <c r="S21" s="5">
        <f t="shared" si="3"/>
        <v>111</v>
      </c>
      <c r="T21" s="5">
        <f t="shared" si="2"/>
        <v>2939</v>
      </c>
    </row>
    <row r="22" spans="1:20" x14ac:dyDescent="0.4">
      <c r="A22" s="12"/>
      <c r="B22" s="65" t="s">
        <v>30</v>
      </c>
      <c r="C22" s="66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5">
        <f t="shared" si="2"/>
        <v>2</v>
      </c>
    </row>
    <row r="23" spans="1:20" x14ac:dyDescent="0.4">
      <c r="A23" s="12"/>
      <c r="B23" s="62"/>
      <c r="C23" s="67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5">
        <f t="shared" si="2"/>
        <v>2</v>
      </c>
    </row>
    <row r="24" spans="1:20" x14ac:dyDescent="0.4">
      <c r="A24" s="13"/>
      <c r="B24" s="64"/>
      <c r="C24" s="68"/>
      <c r="D24" s="5" t="s">
        <v>25</v>
      </c>
      <c r="E24" s="5">
        <f t="shared" ref="E24:S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2</v>
      </c>
      <c r="M24" s="5">
        <f t="shared" si="5"/>
        <v>0</v>
      </c>
      <c r="N24" s="5">
        <f t="shared" si="5"/>
        <v>2</v>
      </c>
      <c r="O24" s="5">
        <f t="shared" ref="O24:P24" si="6">SUM(O22:O23)</f>
        <v>0</v>
      </c>
      <c r="P24" s="5">
        <f t="shared" si="6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2"/>
        <v>4</v>
      </c>
    </row>
    <row r="25" spans="1:20" x14ac:dyDescent="0.4">
      <c r="A25" s="12"/>
      <c r="B25" s="65" t="s">
        <v>32</v>
      </c>
      <c r="C25" s="66" t="s">
        <v>33</v>
      </c>
      <c r="D25" s="6" t="s">
        <v>23</v>
      </c>
      <c r="E25" s="6">
        <v>1</v>
      </c>
      <c r="F25" s="6">
        <v>3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2</v>
      </c>
      <c r="M25" s="6">
        <v>0</v>
      </c>
      <c r="N25" s="6">
        <v>0</v>
      </c>
      <c r="O25" s="6">
        <v>3</v>
      </c>
      <c r="P25" s="6">
        <v>0</v>
      </c>
      <c r="Q25" s="6">
        <v>0</v>
      </c>
      <c r="R25" s="6">
        <v>0</v>
      </c>
      <c r="S25" s="6">
        <v>1</v>
      </c>
      <c r="T25" s="5">
        <f t="shared" si="2"/>
        <v>11</v>
      </c>
    </row>
    <row r="26" spans="1:20" x14ac:dyDescent="0.4">
      <c r="A26" s="12"/>
      <c r="B26" s="62"/>
      <c r="C26" s="67"/>
      <c r="D26" s="6" t="s">
        <v>24</v>
      </c>
      <c r="E26" s="6">
        <v>2</v>
      </c>
      <c r="F26" s="6">
        <v>3</v>
      </c>
      <c r="G26" s="6">
        <v>2</v>
      </c>
      <c r="H26" s="6">
        <v>0</v>
      </c>
      <c r="I26" s="6">
        <v>0</v>
      </c>
      <c r="J26" s="6">
        <v>1</v>
      </c>
      <c r="K26" s="6">
        <v>2</v>
      </c>
      <c r="L26" s="6">
        <v>2</v>
      </c>
      <c r="M26" s="6">
        <v>0</v>
      </c>
      <c r="N26" s="6">
        <v>1</v>
      </c>
      <c r="O26" s="6">
        <v>4</v>
      </c>
      <c r="P26" s="6">
        <v>0</v>
      </c>
      <c r="Q26" s="6">
        <v>0</v>
      </c>
      <c r="R26" s="6">
        <v>1</v>
      </c>
      <c r="S26" s="6">
        <v>0</v>
      </c>
      <c r="T26" s="5">
        <f t="shared" si="2"/>
        <v>18</v>
      </c>
    </row>
    <row r="27" spans="1:20" x14ac:dyDescent="0.4">
      <c r="A27" s="13"/>
      <c r="B27" s="64"/>
      <c r="C27" s="68"/>
      <c r="D27" s="5" t="s">
        <v>25</v>
      </c>
      <c r="E27" s="5">
        <f t="shared" ref="E27:S27" si="7">SUM(E25:E26)</f>
        <v>3</v>
      </c>
      <c r="F27" s="5">
        <f t="shared" si="7"/>
        <v>6</v>
      </c>
      <c r="G27" s="5">
        <f t="shared" si="7"/>
        <v>2</v>
      </c>
      <c r="H27" s="5">
        <f t="shared" si="7"/>
        <v>0</v>
      </c>
      <c r="I27" s="5">
        <f t="shared" si="7"/>
        <v>1</v>
      </c>
      <c r="J27" s="5">
        <f t="shared" si="7"/>
        <v>1</v>
      </c>
      <c r="K27" s="5">
        <f t="shared" si="7"/>
        <v>2</v>
      </c>
      <c r="L27" s="5">
        <f t="shared" si="7"/>
        <v>4</v>
      </c>
      <c r="M27" s="5">
        <f t="shared" si="7"/>
        <v>0</v>
      </c>
      <c r="N27" s="5">
        <f t="shared" si="7"/>
        <v>1</v>
      </c>
      <c r="O27" s="5">
        <f t="shared" ref="O27:P27" si="8">SUM(O25:O26)</f>
        <v>7</v>
      </c>
      <c r="P27" s="5">
        <f t="shared" si="8"/>
        <v>0</v>
      </c>
      <c r="Q27" s="5">
        <f t="shared" si="7"/>
        <v>0</v>
      </c>
      <c r="R27" s="5">
        <f t="shared" si="7"/>
        <v>1</v>
      </c>
      <c r="S27" s="5">
        <f t="shared" si="7"/>
        <v>1</v>
      </c>
      <c r="T27" s="5">
        <f t="shared" si="2"/>
        <v>29</v>
      </c>
    </row>
    <row r="28" spans="1:20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98</v>
      </c>
      <c r="F28" s="5">
        <f t="shared" ref="F28:S29" si="9">SUM(F19,F22,F25)</f>
        <v>91</v>
      </c>
      <c r="G28" s="5">
        <f t="shared" si="9"/>
        <v>110</v>
      </c>
      <c r="H28" s="5">
        <f t="shared" si="9"/>
        <v>104</v>
      </c>
      <c r="I28" s="5">
        <f t="shared" si="9"/>
        <v>112</v>
      </c>
      <c r="J28" s="5">
        <f t="shared" si="9"/>
        <v>94</v>
      </c>
      <c r="K28" s="5">
        <f t="shared" si="9"/>
        <v>112</v>
      </c>
      <c r="L28" s="5">
        <f t="shared" si="9"/>
        <v>95</v>
      </c>
      <c r="M28" s="5">
        <f t="shared" si="9"/>
        <v>95</v>
      </c>
      <c r="N28" s="5">
        <f t="shared" si="9"/>
        <v>91</v>
      </c>
      <c r="O28" s="5">
        <f t="shared" ref="O28:P28" si="10">SUM(O19,O22,O25)</f>
        <v>90</v>
      </c>
      <c r="P28" s="5">
        <f t="shared" si="10"/>
        <v>87</v>
      </c>
      <c r="Q28" s="5">
        <f t="shared" si="9"/>
        <v>96</v>
      </c>
      <c r="R28" s="5">
        <f t="shared" si="9"/>
        <v>89</v>
      </c>
      <c r="S28" s="5">
        <f t="shared" si="9"/>
        <v>54</v>
      </c>
      <c r="T28" s="5">
        <f t="shared" si="2"/>
        <v>1418</v>
      </c>
    </row>
    <row r="29" spans="1:20" x14ac:dyDescent="0.4">
      <c r="A29" s="13"/>
      <c r="B29" s="62"/>
      <c r="C29" s="67"/>
      <c r="D29" s="5" t="s">
        <v>24</v>
      </c>
      <c r="E29" s="5">
        <f>SUM(E20,E23,E26)</f>
        <v>102</v>
      </c>
      <c r="F29" s="5">
        <f t="shared" si="9"/>
        <v>92</v>
      </c>
      <c r="G29" s="5">
        <f t="shared" si="9"/>
        <v>101</v>
      </c>
      <c r="H29" s="5">
        <f t="shared" si="9"/>
        <v>115</v>
      </c>
      <c r="I29" s="5">
        <f t="shared" si="9"/>
        <v>109</v>
      </c>
      <c r="J29" s="5">
        <f t="shared" si="9"/>
        <v>106</v>
      </c>
      <c r="K29" s="5">
        <f t="shared" si="9"/>
        <v>116</v>
      </c>
      <c r="L29" s="5">
        <f t="shared" si="9"/>
        <v>113</v>
      </c>
      <c r="M29" s="5">
        <f t="shared" si="9"/>
        <v>103</v>
      </c>
      <c r="N29" s="5">
        <f t="shared" si="9"/>
        <v>105</v>
      </c>
      <c r="O29" s="5">
        <f t="shared" ref="O29:P29" si="11">SUM(O20,O23,O26)</f>
        <v>110</v>
      </c>
      <c r="P29" s="5">
        <f t="shared" si="11"/>
        <v>107</v>
      </c>
      <c r="Q29" s="5">
        <f t="shared" si="9"/>
        <v>111</v>
      </c>
      <c r="R29" s="5">
        <f t="shared" si="9"/>
        <v>106</v>
      </c>
      <c r="S29" s="5">
        <f t="shared" si="9"/>
        <v>58</v>
      </c>
      <c r="T29" s="5">
        <f t="shared" si="2"/>
        <v>1554</v>
      </c>
    </row>
    <row r="30" spans="1:20" x14ac:dyDescent="0.4">
      <c r="A30" s="13"/>
      <c r="B30" s="64"/>
      <c r="C30" s="68"/>
      <c r="D30" s="5" t="s">
        <v>25</v>
      </c>
      <c r="E30" s="5">
        <f t="shared" ref="E30" si="12">SUM(E28:E29)</f>
        <v>200</v>
      </c>
      <c r="F30" s="5">
        <f t="shared" ref="F30:S30" si="13">SUM(F28:F29)</f>
        <v>183</v>
      </c>
      <c r="G30" s="5">
        <f t="shared" si="13"/>
        <v>211</v>
      </c>
      <c r="H30" s="5">
        <f t="shared" si="13"/>
        <v>219</v>
      </c>
      <c r="I30" s="5">
        <f t="shared" si="13"/>
        <v>221</v>
      </c>
      <c r="J30" s="5">
        <f t="shared" si="13"/>
        <v>200</v>
      </c>
      <c r="K30" s="5">
        <f t="shared" si="13"/>
        <v>228</v>
      </c>
      <c r="L30" s="5">
        <f t="shared" si="13"/>
        <v>208</v>
      </c>
      <c r="M30" s="5">
        <f t="shared" si="13"/>
        <v>198</v>
      </c>
      <c r="N30" s="5">
        <f t="shared" si="13"/>
        <v>196</v>
      </c>
      <c r="O30" s="5">
        <f t="shared" ref="O30:P30" si="14">SUM(O28:O29)</f>
        <v>200</v>
      </c>
      <c r="P30" s="5">
        <f t="shared" si="14"/>
        <v>194</v>
      </c>
      <c r="Q30" s="5">
        <f t="shared" si="13"/>
        <v>207</v>
      </c>
      <c r="R30" s="5">
        <f t="shared" si="13"/>
        <v>195</v>
      </c>
      <c r="S30" s="5">
        <f t="shared" si="13"/>
        <v>112</v>
      </c>
      <c r="T30" s="5">
        <f t="shared" si="2"/>
        <v>2972</v>
      </c>
    </row>
    <row r="31" spans="1:20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28"/>
    </row>
    <row r="32" spans="1:20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28"/>
    </row>
    <row r="33" spans="1:20" x14ac:dyDescent="0.4">
      <c r="A33" s="6">
        <v>1</v>
      </c>
      <c r="B33" s="58" t="s">
        <v>38</v>
      </c>
      <c r="C33" s="51"/>
      <c r="D33" s="52"/>
      <c r="E33" s="6">
        <v>248</v>
      </c>
      <c r="F33" s="6">
        <v>261</v>
      </c>
      <c r="G33" s="6">
        <v>257</v>
      </c>
      <c r="H33" s="6">
        <v>258</v>
      </c>
      <c r="I33" s="6">
        <v>267</v>
      </c>
      <c r="J33" s="6">
        <v>246</v>
      </c>
      <c r="K33" s="6">
        <v>282</v>
      </c>
      <c r="L33" s="6">
        <v>266</v>
      </c>
      <c r="M33" s="6">
        <v>271</v>
      </c>
      <c r="N33" s="6">
        <v>237</v>
      </c>
      <c r="O33" s="6">
        <v>247</v>
      </c>
      <c r="P33" s="6">
        <v>231</v>
      </c>
      <c r="Q33" s="6">
        <v>240</v>
      </c>
      <c r="R33" s="6">
        <v>265</v>
      </c>
      <c r="S33" s="6">
        <v>166</v>
      </c>
      <c r="T33" s="5">
        <f>SUM(E33:S33)</f>
        <v>3742</v>
      </c>
    </row>
    <row r="34" spans="1:20" x14ac:dyDescent="0.4">
      <c r="A34" s="6">
        <v>2</v>
      </c>
      <c r="B34" s="58" t="s">
        <v>39</v>
      </c>
      <c r="C34" s="51"/>
      <c r="D34" s="52"/>
      <c r="E34" s="5">
        <v>200</v>
      </c>
      <c r="F34" s="5">
        <v>183</v>
      </c>
      <c r="G34" s="5">
        <v>211</v>
      </c>
      <c r="H34" s="5">
        <v>219</v>
      </c>
      <c r="I34" s="5">
        <v>221</v>
      </c>
      <c r="J34" s="5">
        <v>200</v>
      </c>
      <c r="K34" s="5">
        <v>228</v>
      </c>
      <c r="L34" s="5">
        <v>208</v>
      </c>
      <c r="M34" s="5">
        <v>198</v>
      </c>
      <c r="N34" s="5">
        <v>196</v>
      </c>
      <c r="O34" s="5">
        <v>200</v>
      </c>
      <c r="P34" s="5">
        <v>194</v>
      </c>
      <c r="Q34" s="5">
        <v>207</v>
      </c>
      <c r="R34" s="5">
        <v>195</v>
      </c>
      <c r="S34" s="5">
        <v>112</v>
      </c>
      <c r="T34" s="5">
        <f>SUM(E34:S34)</f>
        <v>2972</v>
      </c>
    </row>
    <row r="35" spans="1:20" x14ac:dyDescent="0.4">
      <c r="A35" s="6">
        <v>3</v>
      </c>
      <c r="B35" s="58" t="s">
        <v>40</v>
      </c>
      <c r="C35" s="51"/>
      <c r="D35" s="52"/>
      <c r="E35" s="6">
        <v>2</v>
      </c>
      <c r="F35" s="6">
        <v>2</v>
      </c>
      <c r="G35" s="6">
        <v>1</v>
      </c>
      <c r="H35" s="6">
        <v>3</v>
      </c>
      <c r="I35" s="6">
        <v>2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5">
        <f>SUM(E35:S35)</f>
        <v>11</v>
      </c>
    </row>
    <row r="36" spans="1:20" x14ac:dyDescent="0.4">
      <c r="A36" s="6">
        <v>4</v>
      </c>
      <c r="B36" s="58" t="s">
        <v>41</v>
      </c>
      <c r="C36" s="51"/>
      <c r="D36" s="52"/>
      <c r="E36" s="5">
        <f t="shared" ref="E36:S36" si="15">E33-(E34+E35)</f>
        <v>46</v>
      </c>
      <c r="F36" s="5">
        <f t="shared" si="15"/>
        <v>76</v>
      </c>
      <c r="G36" s="5">
        <f t="shared" si="15"/>
        <v>45</v>
      </c>
      <c r="H36" s="5">
        <f t="shared" si="15"/>
        <v>36</v>
      </c>
      <c r="I36" s="5">
        <f t="shared" si="15"/>
        <v>44</v>
      </c>
      <c r="J36" s="5">
        <f t="shared" si="15"/>
        <v>46</v>
      </c>
      <c r="K36" s="5">
        <f t="shared" si="15"/>
        <v>54</v>
      </c>
      <c r="L36" s="5">
        <f t="shared" si="15"/>
        <v>58</v>
      </c>
      <c r="M36" s="5">
        <f t="shared" si="15"/>
        <v>73</v>
      </c>
      <c r="N36" s="5">
        <f t="shared" si="15"/>
        <v>41</v>
      </c>
      <c r="O36" s="5">
        <f t="shared" ref="O36:P36" si="16">O33-(O34+O35)</f>
        <v>47</v>
      </c>
      <c r="P36" s="5">
        <f t="shared" si="16"/>
        <v>36</v>
      </c>
      <c r="Q36" s="5">
        <f t="shared" si="15"/>
        <v>33</v>
      </c>
      <c r="R36" s="5">
        <f t="shared" si="15"/>
        <v>70</v>
      </c>
      <c r="S36" s="5">
        <f t="shared" si="15"/>
        <v>54</v>
      </c>
      <c r="T36" s="5">
        <f>SUM(E36:S36)</f>
        <v>759</v>
      </c>
    </row>
    <row r="37" spans="1:20" x14ac:dyDescent="0.4">
      <c r="A37" s="50"/>
      <c r="B37" s="51"/>
      <c r="C37" s="51"/>
      <c r="D37" s="51"/>
      <c r="E37" s="50"/>
      <c r="F37" s="72"/>
      <c r="G37" s="72"/>
      <c r="H37" s="72"/>
      <c r="I37" s="73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8"/>
    </row>
    <row r="38" spans="1:20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28"/>
    </row>
    <row r="39" spans="1:20" x14ac:dyDescent="0.4">
      <c r="A39" s="11"/>
      <c r="B39" s="74" t="s">
        <v>44</v>
      </c>
      <c r="C39" s="60"/>
      <c r="D39" s="6" t="s">
        <v>23</v>
      </c>
      <c r="E39" s="6">
        <v>2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>
        <f>SUM(E39:S39)</f>
        <v>3</v>
      </c>
    </row>
    <row r="40" spans="1:20" x14ac:dyDescent="0.4">
      <c r="A40" s="12"/>
      <c r="B40" s="75"/>
      <c r="C40" s="62"/>
      <c r="D40" s="6" t="s">
        <v>24</v>
      </c>
      <c r="E40" s="6">
        <v>5</v>
      </c>
      <c r="F40" s="6">
        <v>0</v>
      </c>
      <c r="G40" s="6">
        <v>0</v>
      </c>
      <c r="H40" s="6">
        <v>0</v>
      </c>
      <c r="I40" s="6">
        <v>0</v>
      </c>
      <c r="J40" s="6">
        <v>1</v>
      </c>
      <c r="K40" s="6">
        <v>0</v>
      </c>
      <c r="L40" s="6">
        <v>4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0</v>
      </c>
      <c r="T40" s="5">
        <f>SUM(E40:S40)</f>
        <v>11</v>
      </c>
    </row>
    <row r="41" spans="1:20" x14ac:dyDescent="0.4">
      <c r="A41" s="14"/>
      <c r="B41" s="76"/>
      <c r="C41" s="64"/>
      <c r="D41" s="5" t="s">
        <v>25</v>
      </c>
      <c r="E41" s="5">
        <f t="shared" ref="E41:S41" si="17">SUM(E39:E40)</f>
        <v>7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1</v>
      </c>
      <c r="K41" s="5">
        <f t="shared" si="17"/>
        <v>0</v>
      </c>
      <c r="L41" s="5">
        <f t="shared" si="17"/>
        <v>5</v>
      </c>
      <c r="M41" s="5">
        <f t="shared" si="17"/>
        <v>0</v>
      </c>
      <c r="N41" s="5">
        <f t="shared" si="17"/>
        <v>0</v>
      </c>
      <c r="O41" s="5">
        <f t="shared" ref="O41:P41" si="18">SUM(O39:O40)</f>
        <v>1</v>
      </c>
      <c r="P41" s="5">
        <f t="shared" si="18"/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>SUM(E41:S41)</f>
        <v>14</v>
      </c>
    </row>
    <row r="42" spans="1:20" x14ac:dyDescent="0.4">
      <c r="A42" s="77"/>
      <c r="B42" s="76"/>
      <c r="C42" s="76"/>
      <c r="D42" s="64"/>
      <c r="E42" s="50"/>
      <c r="F42" s="51"/>
      <c r="G42" s="51"/>
      <c r="H42" s="51"/>
      <c r="I42" s="52"/>
      <c r="J42" s="6"/>
      <c r="K42" s="6"/>
      <c r="L42" s="6"/>
      <c r="M42" s="6"/>
      <c r="N42" s="10"/>
      <c r="O42" s="6"/>
      <c r="P42" s="10"/>
      <c r="Q42" s="6"/>
      <c r="R42" s="10"/>
      <c r="S42" s="6"/>
      <c r="T42" s="5"/>
    </row>
    <row r="43" spans="1:20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</row>
    <row r="44" spans="1:20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5"/>
    </row>
    <row r="45" spans="1:20" x14ac:dyDescent="0.4">
      <c r="A45" s="11" t="s">
        <v>48</v>
      </c>
      <c r="B45" s="17" t="s">
        <v>28</v>
      </c>
      <c r="C45" s="79" t="s">
        <v>49</v>
      </c>
      <c r="D45" s="52"/>
      <c r="E45" s="6">
        <v>2</v>
      </c>
      <c r="F45" s="6">
        <v>0</v>
      </c>
      <c r="G45" s="6">
        <v>2</v>
      </c>
      <c r="H45" s="6">
        <v>3</v>
      </c>
      <c r="I45" s="6">
        <v>6</v>
      </c>
      <c r="J45" s="6">
        <v>5</v>
      </c>
      <c r="K45" s="6">
        <v>6</v>
      </c>
      <c r="L45" s="6">
        <v>7</v>
      </c>
      <c r="M45" s="6">
        <v>9</v>
      </c>
      <c r="N45" s="6">
        <v>11</v>
      </c>
      <c r="O45" s="6">
        <v>3</v>
      </c>
      <c r="P45" s="6">
        <v>3</v>
      </c>
      <c r="Q45" s="6">
        <v>11</v>
      </c>
      <c r="R45" s="6">
        <v>6</v>
      </c>
      <c r="S45" s="6">
        <v>2</v>
      </c>
      <c r="T45" s="5">
        <f t="shared" ref="T45:T51" si="19">SUM(E45:S45)</f>
        <v>76</v>
      </c>
    </row>
    <row r="46" spans="1:20" x14ac:dyDescent="0.4">
      <c r="A46" s="11" t="s">
        <v>50</v>
      </c>
      <c r="B46" s="46"/>
      <c r="C46" s="24" t="s">
        <v>104</v>
      </c>
      <c r="D46" s="47"/>
      <c r="E46" s="6">
        <v>11</v>
      </c>
      <c r="F46" s="6">
        <v>7</v>
      </c>
      <c r="G46" s="6">
        <v>5</v>
      </c>
      <c r="H46" s="6">
        <v>10</v>
      </c>
      <c r="I46" s="6">
        <v>29</v>
      </c>
      <c r="J46" s="6">
        <v>26</v>
      </c>
      <c r="K46" s="6">
        <v>16</v>
      </c>
      <c r="L46" s="6">
        <v>18</v>
      </c>
      <c r="M46" s="6">
        <v>13</v>
      </c>
      <c r="N46" s="6">
        <v>18</v>
      </c>
      <c r="O46" s="6">
        <v>10</v>
      </c>
      <c r="P46" s="6">
        <v>24</v>
      </c>
      <c r="Q46" s="6">
        <v>17</v>
      </c>
      <c r="R46" s="6">
        <v>9</v>
      </c>
      <c r="S46" s="6">
        <v>8</v>
      </c>
      <c r="T46" s="5">
        <f t="shared" si="19"/>
        <v>221</v>
      </c>
    </row>
    <row r="47" spans="1:20" x14ac:dyDescent="0.4">
      <c r="A47" s="7"/>
      <c r="B47" s="46"/>
      <c r="C47" s="24" t="s">
        <v>105</v>
      </c>
      <c r="D47" s="47"/>
      <c r="E47" s="6">
        <v>20</v>
      </c>
      <c r="F47" s="6">
        <v>21</v>
      </c>
      <c r="G47" s="6">
        <v>34</v>
      </c>
      <c r="H47" s="6">
        <v>43</v>
      </c>
      <c r="I47" s="6">
        <v>41</v>
      </c>
      <c r="J47" s="6">
        <v>58</v>
      </c>
      <c r="K47" s="6">
        <v>43</v>
      </c>
      <c r="L47" s="6">
        <v>20</v>
      </c>
      <c r="M47" s="6">
        <v>34</v>
      </c>
      <c r="N47" s="6">
        <v>31</v>
      </c>
      <c r="O47" s="6">
        <v>23</v>
      </c>
      <c r="P47" s="6">
        <v>44</v>
      </c>
      <c r="Q47" s="6">
        <v>66</v>
      </c>
      <c r="R47" s="6">
        <v>87</v>
      </c>
      <c r="S47" s="6">
        <v>2</v>
      </c>
      <c r="T47" s="5">
        <f t="shared" si="19"/>
        <v>567</v>
      </c>
    </row>
    <row r="48" spans="1:20" x14ac:dyDescent="0.4">
      <c r="A48" s="7"/>
      <c r="B48" s="46"/>
      <c r="C48" s="24" t="s">
        <v>106</v>
      </c>
      <c r="D48" s="47"/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2</v>
      </c>
      <c r="K48" s="6">
        <v>1</v>
      </c>
      <c r="L48" s="6">
        <v>1</v>
      </c>
      <c r="M48" s="6">
        <v>0</v>
      </c>
      <c r="N48" s="6">
        <v>1</v>
      </c>
      <c r="O48" s="6">
        <v>0</v>
      </c>
      <c r="P48" s="6">
        <v>1</v>
      </c>
      <c r="Q48" s="6">
        <v>0</v>
      </c>
      <c r="R48" s="6">
        <v>0</v>
      </c>
      <c r="S48" s="6">
        <v>0</v>
      </c>
      <c r="T48" s="5">
        <f t="shared" si="19"/>
        <v>7</v>
      </c>
    </row>
    <row r="49" spans="1:20" x14ac:dyDescent="0.4">
      <c r="A49" s="7"/>
      <c r="B49" s="46"/>
      <c r="C49" s="24" t="s">
        <v>107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5">
        <f t="shared" si="19"/>
        <v>0</v>
      </c>
    </row>
    <row r="50" spans="1:20" x14ac:dyDescent="0.4">
      <c r="A50" s="7"/>
      <c r="B50" s="46"/>
      <c r="C50" s="24" t="s">
        <v>108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1</v>
      </c>
      <c r="J50" s="6">
        <v>0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1</v>
      </c>
      <c r="S50" s="6">
        <v>0</v>
      </c>
      <c r="T50" s="5">
        <f t="shared" si="19"/>
        <v>3</v>
      </c>
    </row>
    <row r="51" spans="1:20" x14ac:dyDescent="0.4">
      <c r="A51" s="7"/>
      <c r="B51" s="46"/>
      <c r="C51" s="24" t="s">
        <v>109</v>
      </c>
      <c r="D51" s="47"/>
      <c r="E51" s="6">
        <v>0</v>
      </c>
      <c r="F51" s="6">
        <v>2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2</v>
      </c>
      <c r="T51" s="5">
        <f t="shared" si="19"/>
        <v>5</v>
      </c>
    </row>
    <row r="52" spans="1:20" x14ac:dyDescent="0.4">
      <c r="A52" s="6" t="s">
        <v>26</v>
      </c>
      <c r="B52" s="71" t="s">
        <v>51</v>
      </c>
      <c r="C52" s="51"/>
      <c r="D52" s="52"/>
      <c r="E52" s="5">
        <f>SUM(E45:E51)</f>
        <v>34</v>
      </c>
      <c r="F52" s="5">
        <f>SUM(F45:F51)</f>
        <v>30</v>
      </c>
      <c r="G52" s="5">
        <f>SUM(G45:G51)</f>
        <v>41</v>
      </c>
      <c r="H52" s="5">
        <f>SUM(H45:H51)</f>
        <v>56</v>
      </c>
      <c r="I52" s="5">
        <f>SUM(I45:I51)</f>
        <v>77</v>
      </c>
      <c r="J52" s="5">
        <f>SUM(J45:J51)</f>
        <v>92</v>
      </c>
      <c r="K52" s="5">
        <f>SUM(K45:K51)</f>
        <v>66</v>
      </c>
      <c r="L52" s="5">
        <f>SUM(L45:L51)</f>
        <v>47</v>
      </c>
      <c r="M52" s="5">
        <f>SUM(M45:M51)</f>
        <v>56</v>
      </c>
      <c r="N52" s="5">
        <f>SUM(N45:N51)</f>
        <v>61</v>
      </c>
      <c r="O52" s="5">
        <f>SUM(O45:O51)</f>
        <v>36</v>
      </c>
      <c r="P52" s="5">
        <f>SUM(P45:P51)</f>
        <v>72</v>
      </c>
      <c r="Q52" s="5">
        <f>SUM(Q45:Q51)</f>
        <v>94</v>
      </c>
      <c r="R52" s="5">
        <f>SUM(R45:R51)</f>
        <v>103</v>
      </c>
      <c r="S52" s="5">
        <f>SUM(S45:S51)</f>
        <v>14</v>
      </c>
      <c r="T52" s="5">
        <f>SUM(T45:T51)</f>
        <v>879</v>
      </c>
    </row>
    <row r="53" spans="1:20" x14ac:dyDescent="0.4">
      <c r="A53" s="77"/>
      <c r="B53" s="76"/>
      <c r="C53" s="76"/>
      <c r="D53" s="76"/>
      <c r="E53" s="76"/>
      <c r="T53" s="5"/>
    </row>
    <row r="54" spans="1:20" x14ac:dyDescent="0.4">
      <c r="A54" s="11" t="s">
        <v>48</v>
      </c>
      <c r="B54" s="17" t="s">
        <v>30</v>
      </c>
      <c r="C54" s="79" t="s">
        <v>52</v>
      </c>
      <c r="D54" s="52"/>
      <c r="E54" s="6">
        <v>9</v>
      </c>
      <c r="F54" s="6">
        <v>14</v>
      </c>
      <c r="G54" s="6">
        <v>2</v>
      </c>
      <c r="H54" s="6">
        <v>5</v>
      </c>
      <c r="I54" s="6">
        <v>7</v>
      </c>
      <c r="J54" s="6">
        <v>4</v>
      </c>
      <c r="K54" s="6">
        <v>12</v>
      </c>
      <c r="L54" s="6">
        <v>4</v>
      </c>
      <c r="M54" s="6">
        <v>3</v>
      </c>
      <c r="N54" s="6">
        <v>12</v>
      </c>
      <c r="O54" s="6">
        <v>14</v>
      </c>
      <c r="P54" s="6">
        <v>10</v>
      </c>
      <c r="Q54" s="6">
        <v>2</v>
      </c>
      <c r="R54" s="6">
        <v>1</v>
      </c>
      <c r="S54" s="6">
        <v>6</v>
      </c>
      <c r="T54" s="5">
        <f t="shared" ref="T54:T60" si="20">SUM(E54:S54)</f>
        <v>105</v>
      </c>
    </row>
    <row r="55" spans="1:20" x14ac:dyDescent="0.4">
      <c r="A55" s="11" t="s">
        <v>50</v>
      </c>
      <c r="B55" s="46"/>
      <c r="C55" s="24" t="s">
        <v>110</v>
      </c>
      <c r="D55" s="47"/>
      <c r="E55" s="6">
        <v>3</v>
      </c>
      <c r="F55" s="6">
        <v>4</v>
      </c>
      <c r="G55" s="6">
        <v>28</v>
      </c>
      <c r="H55" s="6">
        <v>22</v>
      </c>
      <c r="I55" s="6">
        <v>27</v>
      </c>
      <c r="J55" s="6">
        <v>12</v>
      </c>
      <c r="K55" s="6">
        <v>12</v>
      </c>
      <c r="L55" s="6">
        <v>8</v>
      </c>
      <c r="M55" s="6">
        <v>25</v>
      </c>
      <c r="N55" s="6">
        <v>6</v>
      </c>
      <c r="O55" s="6">
        <v>2</v>
      </c>
      <c r="P55" s="6">
        <v>19</v>
      </c>
      <c r="Q55" s="6">
        <v>15</v>
      </c>
      <c r="R55" s="6">
        <v>17</v>
      </c>
      <c r="S55" s="6">
        <v>38</v>
      </c>
      <c r="T55" s="5">
        <f t="shared" si="20"/>
        <v>238</v>
      </c>
    </row>
    <row r="56" spans="1:20" x14ac:dyDescent="0.4">
      <c r="A56" s="7"/>
      <c r="B56" s="46"/>
      <c r="C56" s="24" t="s">
        <v>111</v>
      </c>
      <c r="D56" s="47"/>
      <c r="E56" s="6">
        <v>26</v>
      </c>
      <c r="F56" s="6">
        <v>23</v>
      </c>
      <c r="G56" s="6">
        <v>15</v>
      </c>
      <c r="H56" s="6">
        <v>7</v>
      </c>
      <c r="I56" s="6">
        <v>10</v>
      </c>
      <c r="J56" s="6">
        <v>7</v>
      </c>
      <c r="K56" s="6">
        <v>0</v>
      </c>
      <c r="L56" s="6">
        <v>30</v>
      </c>
      <c r="M56" s="6">
        <v>12</v>
      </c>
      <c r="N56" s="6">
        <v>42</v>
      </c>
      <c r="O56" s="6">
        <v>102</v>
      </c>
      <c r="P56" s="6">
        <v>3</v>
      </c>
      <c r="Q56" s="6">
        <v>11</v>
      </c>
      <c r="R56" s="6">
        <v>11</v>
      </c>
      <c r="S56" s="6">
        <v>1</v>
      </c>
      <c r="T56" s="5">
        <f t="shared" si="20"/>
        <v>300</v>
      </c>
    </row>
    <row r="57" spans="1:20" x14ac:dyDescent="0.4">
      <c r="A57" s="7"/>
      <c r="B57" s="46"/>
      <c r="C57" s="24" t="s">
        <v>112</v>
      </c>
      <c r="D57" s="47"/>
      <c r="E57" s="6">
        <v>0</v>
      </c>
      <c r="F57" s="6">
        <v>2</v>
      </c>
      <c r="G57" s="6">
        <v>1</v>
      </c>
      <c r="H57" s="6">
        <v>1</v>
      </c>
      <c r="I57" s="6">
        <v>0</v>
      </c>
      <c r="J57" s="6">
        <v>0</v>
      </c>
      <c r="K57" s="6">
        <v>1</v>
      </c>
      <c r="L57" s="6">
        <v>0</v>
      </c>
      <c r="M57" s="6">
        <v>0</v>
      </c>
      <c r="N57" s="6">
        <v>0</v>
      </c>
      <c r="O57" s="6">
        <v>1</v>
      </c>
      <c r="P57" s="6">
        <v>0</v>
      </c>
      <c r="Q57" s="6">
        <v>2</v>
      </c>
      <c r="R57" s="6">
        <v>1</v>
      </c>
      <c r="S57" s="6">
        <v>0</v>
      </c>
      <c r="T57" s="5">
        <f t="shared" si="20"/>
        <v>9</v>
      </c>
    </row>
    <row r="58" spans="1:20" x14ac:dyDescent="0.4">
      <c r="A58" s="7"/>
      <c r="B58" s="46"/>
      <c r="C58" s="24" t="s">
        <v>113</v>
      </c>
      <c r="D58" s="47"/>
      <c r="E58" s="6">
        <v>1</v>
      </c>
      <c r="F58" s="6">
        <v>1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3</v>
      </c>
      <c r="M58" s="6">
        <v>3</v>
      </c>
      <c r="N58" s="6">
        <v>1</v>
      </c>
      <c r="O58" s="6">
        <v>0</v>
      </c>
      <c r="P58" s="6">
        <v>0</v>
      </c>
      <c r="Q58" s="6">
        <v>1</v>
      </c>
      <c r="R58" s="6">
        <v>0</v>
      </c>
      <c r="S58" s="6">
        <v>0</v>
      </c>
      <c r="T58" s="5">
        <f t="shared" si="20"/>
        <v>11</v>
      </c>
    </row>
    <row r="59" spans="1:20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5">
        <f t="shared" si="20"/>
        <v>1</v>
      </c>
    </row>
    <row r="60" spans="1:20" ht="13.15" customHeight="1" x14ac:dyDescent="0.4">
      <c r="A60" s="7"/>
      <c r="B60" s="46"/>
      <c r="C60" s="24" t="s">
        <v>115</v>
      </c>
      <c r="D60" s="47"/>
      <c r="E60" s="6">
        <v>0</v>
      </c>
      <c r="F60" s="6">
        <v>0</v>
      </c>
      <c r="G60" s="6">
        <v>2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5">
        <f t="shared" si="20"/>
        <v>2</v>
      </c>
    </row>
    <row r="61" spans="1:20" x14ac:dyDescent="0.4">
      <c r="A61" s="6" t="s">
        <v>26</v>
      </c>
      <c r="B61" s="71" t="s">
        <v>51</v>
      </c>
      <c r="C61" s="51"/>
      <c r="D61" s="52"/>
      <c r="E61" s="5">
        <f>SUM(E54:E60)</f>
        <v>39</v>
      </c>
      <c r="F61" s="5">
        <f>SUM(F54:F60)</f>
        <v>44</v>
      </c>
      <c r="G61" s="5">
        <f>SUM(G54:G60)</f>
        <v>48</v>
      </c>
      <c r="H61" s="5">
        <f>SUM(H54:H60)</f>
        <v>35</v>
      </c>
      <c r="I61" s="5">
        <f>SUM(I54:I60)</f>
        <v>44</v>
      </c>
      <c r="J61" s="5">
        <f>SUM(J54:J60)</f>
        <v>23</v>
      </c>
      <c r="K61" s="5">
        <f>SUM(K54:K60)</f>
        <v>26</v>
      </c>
      <c r="L61" s="5">
        <f>SUM(L54:L60)</f>
        <v>45</v>
      </c>
      <c r="M61" s="5">
        <f>SUM(M54:M60)</f>
        <v>44</v>
      </c>
      <c r="N61" s="5">
        <f>SUM(N54:N60)</f>
        <v>61</v>
      </c>
      <c r="O61" s="5">
        <f>SUM(O54:O60)</f>
        <v>119</v>
      </c>
      <c r="P61" s="5">
        <f>SUM(P54:P60)</f>
        <v>32</v>
      </c>
      <c r="Q61" s="5">
        <f>SUM(Q54:Q60)</f>
        <v>31</v>
      </c>
      <c r="R61" s="5">
        <f>SUM(R54:R60)</f>
        <v>30</v>
      </c>
      <c r="S61" s="5">
        <f>SUM(S54:S60)</f>
        <v>45</v>
      </c>
      <c r="T61" s="5">
        <f>SUM(T54:T60)</f>
        <v>666</v>
      </c>
    </row>
    <row r="62" spans="1:20" x14ac:dyDescent="0.4">
      <c r="A62" s="77"/>
      <c r="B62" s="76"/>
      <c r="C62" s="76"/>
      <c r="D62" s="76"/>
      <c r="E62" s="76"/>
    </row>
    <row r="63" spans="1:20" x14ac:dyDescent="0.4">
      <c r="A63" s="11" t="s">
        <v>48</v>
      </c>
      <c r="B63" s="17" t="s">
        <v>32</v>
      </c>
      <c r="C63" s="79" t="s">
        <v>53</v>
      </c>
      <c r="D63" s="52"/>
      <c r="E63" s="6">
        <v>3</v>
      </c>
      <c r="F63" s="6">
        <v>4</v>
      </c>
      <c r="G63" s="6">
        <v>11</v>
      </c>
      <c r="H63" s="6">
        <v>1</v>
      </c>
      <c r="I63" s="6">
        <v>2</v>
      </c>
      <c r="J63" s="6">
        <v>0</v>
      </c>
      <c r="K63" s="6">
        <v>7</v>
      </c>
      <c r="L63" s="6">
        <v>2</v>
      </c>
      <c r="M63" s="6">
        <v>4</v>
      </c>
      <c r="N63" s="6">
        <v>4</v>
      </c>
      <c r="O63" s="6">
        <v>0</v>
      </c>
      <c r="P63" s="6">
        <v>5</v>
      </c>
      <c r="Q63" s="6">
        <v>2</v>
      </c>
      <c r="R63" s="6">
        <v>4</v>
      </c>
      <c r="S63" s="6">
        <v>1</v>
      </c>
      <c r="T63" s="5">
        <f t="shared" ref="T63:T69" si="21">SUM(E63:S63)</f>
        <v>50</v>
      </c>
    </row>
    <row r="64" spans="1:20" x14ac:dyDescent="0.4">
      <c r="A64" s="11" t="s">
        <v>50</v>
      </c>
      <c r="B64" s="46"/>
      <c r="C64" s="24" t="s">
        <v>116</v>
      </c>
      <c r="D64" s="47"/>
      <c r="E64" s="6">
        <v>0</v>
      </c>
      <c r="F64" s="6">
        <v>2</v>
      </c>
      <c r="G64" s="6">
        <v>1</v>
      </c>
      <c r="H64" s="6">
        <v>1</v>
      </c>
      <c r="I64" s="6">
        <v>14</v>
      </c>
      <c r="J64" s="6">
        <v>18</v>
      </c>
      <c r="K64" s="6">
        <v>0</v>
      </c>
      <c r="L64" s="6">
        <v>11</v>
      </c>
      <c r="M64" s="6">
        <v>7</v>
      </c>
      <c r="N64" s="6">
        <v>8</v>
      </c>
      <c r="O64" s="6">
        <v>0</v>
      </c>
      <c r="P64" s="6">
        <v>1</v>
      </c>
      <c r="Q64" s="6">
        <v>1</v>
      </c>
      <c r="R64" s="6">
        <v>1</v>
      </c>
      <c r="S64" s="6">
        <v>1</v>
      </c>
      <c r="T64" s="5">
        <f t="shared" si="21"/>
        <v>66</v>
      </c>
    </row>
    <row r="65" spans="1:20" x14ac:dyDescent="0.4">
      <c r="A65" s="7"/>
      <c r="B65" s="46"/>
      <c r="C65" s="24" t="s">
        <v>117</v>
      </c>
      <c r="D65" s="47"/>
      <c r="E65" s="6">
        <v>92</v>
      </c>
      <c r="F65" s="6">
        <v>71</v>
      </c>
      <c r="G65" s="6">
        <v>86</v>
      </c>
      <c r="H65" s="6">
        <v>102</v>
      </c>
      <c r="I65" s="6">
        <v>7</v>
      </c>
      <c r="J65" s="6">
        <v>8</v>
      </c>
      <c r="K65" s="6">
        <v>51</v>
      </c>
      <c r="L65" s="6">
        <v>7</v>
      </c>
      <c r="M65" s="6">
        <v>29</v>
      </c>
      <c r="N65" s="6">
        <v>27</v>
      </c>
      <c r="O65" s="6">
        <v>11</v>
      </c>
      <c r="P65" s="6">
        <v>7</v>
      </c>
      <c r="Q65" s="6">
        <v>15</v>
      </c>
      <c r="R65" s="6">
        <v>6</v>
      </c>
      <c r="S65" s="6">
        <v>5</v>
      </c>
      <c r="T65" s="5">
        <f t="shared" si="21"/>
        <v>524</v>
      </c>
    </row>
    <row r="66" spans="1:20" x14ac:dyDescent="0.4">
      <c r="A66" s="7"/>
      <c r="B66" s="46"/>
      <c r="C66" s="24" t="s">
        <v>118</v>
      </c>
      <c r="D66" s="47"/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1</v>
      </c>
      <c r="S66" s="6">
        <v>0</v>
      </c>
      <c r="T66" s="5">
        <f t="shared" si="21"/>
        <v>3</v>
      </c>
    </row>
    <row r="67" spans="1:20" x14ac:dyDescent="0.4">
      <c r="A67" s="7"/>
      <c r="B67" s="46"/>
      <c r="C67" s="24" t="s">
        <v>119</v>
      </c>
      <c r="D67" s="47"/>
      <c r="E67" s="6">
        <v>3</v>
      </c>
      <c r="F67" s="6">
        <v>1</v>
      </c>
      <c r="G67" s="6">
        <v>0</v>
      </c>
      <c r="H67" s="6">
        <v>1</v>
      </c>
      <c r="I67" s="6">
        <v>0</v>
      </c>
      <c r="J67" s="6">
        <v>4</v>
      </c>
      <c r="K67" s="6">
        <v>0</v>
      </c>
      <c r="L67" s="6">
        <v>2</v>
      </c>
      <c r="M67" s="6">
        <v>0</v>
      </c>
      <c r="N67" s="6">
        <v>4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5">
        <f t="shared" si="21"/>
        <v>15</v>
      </c>
    </row>
    <row r="68" spans="1:20" ht="13.15" customHeight="1" x14ac:dyDescent="0.4">
      <c r="A68" s="7"/>
      <c r="B68" s="46"/>
      <c r="C68" s="24" t="s">
        <v>120</v>
      </c>
      <c r="D68" s="47"/>
      <c r="E68" s="6">
        <v>1</v>
      </c>
      <c r="F68" s="6">
        <v>0</v>
      </c>
      <c r="G68" s="6">
        <v>0</v>
      </c>
      <c r="H68" s="6">
        <v>1</v>
      </c>
      <c r="I68" s="6">
        <v>0</v>
      </c>
      <c r="J68" s="6">
        <v>3</v>
      </c>
      <c r="K68" s="6">
        <v>4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1</v>
      </c>
      <c r="T68" s="5">
        <f t="shared" si="21"/>
        <v>10</v>
      </c>
    </row>
    <row r="69" spans="1:20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5">
        <f t="shared" si="21"/>
        <v>2</v>
      </c>
    </row>
    <row r="70" spans="1:20" x14ac:dyDescent="0.4">
      <c r="A70" s="6" t="s">
        <v>26</v>
      </c>
      <c r="B70" s="71" t="s">
        <v>51</v>
      </c>
      <c r="C70" s="51"/>
      <c r="D70" s="52"/>
      <c r="E70" s="5">
        <f>SUM(E63:E69)</f>
        <v>99</v>
      </c>
      <c r="F70" s="5">
        <f>SUM(F63:F69)</f>
        <v>78</v>
      </c>
      <c r="G70" s="5">
        <f>SUM(G63:G69)</f>
        <v>98</v>
      </c>
      <c r="H70" s="5">
        <f>SUM(H63:H69)</f>
        <v>106</v>
      </c>
      <c r="I70" s="5">
        <f>SUM(I63:I69)</f>
        <v>24</v>
      </c>
      <c r="J70" s="5">
        <f>SUM(J63:J69)</f>
        <v>34</v>
      </c>
      <c r="K70" s="5">
        <f>SUM(K63:K69)</f>
        <v>63</v>
      </c>
      <c r="L70" s="5">
        <f>SUM(L63:L69)</f>
        <v>22</v>
      </c>
      <c r="M70" s="5">
        <f>SUM(M63:M69)</f>
        <v>40</v>
      </c>
      <c r="N70" s="5">
        <f>SUM(N63:N69)</f>
        <v>44</v>
      </c>
      <c r="O70" s="5">
        <f>SUM(O63:O69)</f>
        <v>11</v>
      </c>
      <c r="P70" s="5">
        <f>SUM(P63:P69)</f>
        <v>13</v>
      </c>
      <c r="Q70" s="5">
        <f>SUM(Q63:Q69)</f>
        <v>18</v>
      </c>
      <c r="R70" s="5">
        <f>SUM(R63:R69)</f>
        <v>12</v>
      </c>
      <c r="S70" s="5">
        <f>SUM(S63:S69)</f>
        <v>8</v>
      </c>
      <c r="T70" s="5">
        <f>SUM(T63:T69)</f>
        <v>670</v>
      </c>
    </row>
    <row r="71" spans="1:20" x14ac:dyDescent="0.4">
      <c r="A71" s="77"/>
      <c r="B71" s="76"/>
      <c r="C71" s="76"/>
      <c r="D71" s="76"/>
      <c r="E71" s="76"/>
    </row>
    <row r="72" spans="1:20" x14ac:dyDescent="0.4">
      <c r="A72" s="11" t="s">
        <v>48</v>
      </c>
      <c r="B72" s="17" t="s">
        <v>34</v>
      </c>
      <c r="C72" s="79" t="s">
        <v>54</v>
      </c>
      <c r="D72" s="52"/>
      <c r="E72" s="6">
        <v>0</v>
      </c>
      <c r="F72" s="6">
        <v>2</v>
      </c>
      <c r="G72" s="6">
        <v>0</v>
      </c>
      <c r="H72" s="6">
        <v>3</v>
      </c>
      <c r="I72" s="6">
        <v>1</v>
      </c>
      <c r="J72" s="6">
        <v>3</v>
      </c>
      <c r="K72" s="6">
        <v>4</v>
      </c>
      <c r="L72" s="6">
        <v>4</v>
      </c>
      <c r="M72" s="6">
        <v>2</v>
      </c>
      <c r="N72" s="6">
        <v>0</v>
      </c>
      <c r="O72" s="6">
        <v>0</v>
      </c>
      <c r="P72" s="6">
        <v>1</v>
      </c>
      <c r="Q72" s="6">
        <v>1</v>
      </c>
      <c r="R72" s="6">
        <v>2</v>
      </c>
      <c r="S72" s="6">
        <v>1</v>
      </c>
      <c r="T72" s="5">
        <f t="shared" ref="T72:T78" si="22">SUM(E72:S72)</f>
        <v>24</v>
      </c>
    </row>
    <row r="73" spans="1:20" x14ac:dyDescent="0.4">
      <c r="A73" s="11" t="s">
        <v>50</v>
      </c>
      <c r="B73" s="46"/>
      <c r="C73" s="24" t="s">
        <v>122</v>
      </c>
      <c r="D73" s="47"/>
      <c r="E73" s="6">
        <v>2</v>
      </c>
      <c r="F73" s="6">
        <v>0</v>
      </c>
      <c r="G73" s="6">
        <v>1</v>
      </c>
      <c r="H73" s="6">
        <v>2</v>
      </c>
      <c r="I73" s="6">
        <v>5</v>
      </c>
      <c r="J73" s="6">
        <v>0</v>
      </c>
      <c r="K73" s="6">
        <v>1</v>
      </c>
      <c r="L73" s="6">
        <v>5</v>
      </c>
      <c r="M73" s="6">
        <v>0</v>
      </c>
      <c r="N73" s="6">
        <v>1</v>
      </c>
      <c r="O73" s="6">
        <v>8</v>
      </c>
      <c r="P73" s="6">
        <v>2</v>
      </c>
      <c r="Q73" s="6">
        <v>5</v>
      </c>
      <c r="R73" s="6">
        <v>4</v>
      </c>
      <c r="S73" s="6">
        <v>8</v>
      </c>
      <c r="T73" s="5">
        <f t="shared" si="22"/>
        <v>44</v>
      </c>
    </row>
    <row r="74" spans="1:20" x14ac:dyDescent="0.4">
      <c r="A74" s="7"/>
      <c r="B74" s="46"/>
      <c r="C74" s="24" t="s">
        <v>123</v>
      </c>
      <c r="D74" s="47"/>
      <c r="E74" s="6">
        <v>0</v>
      </c>
      <c r="F74" s="6">
        <v>0</v>
      </c>
      <c r="G74" s="6">
        <v>2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1</v>
      </c>
      <c r="N74" s="6">
        <v>4</v>
      </c>
      <c r="O74" s="6">
        <v>0</v>
      </c>
      <c r="P74" s="6">
        <v>0</v>
      </c>
      <c r="Q74" s="6">
        <v>3</v>
      </c>
      <c r="R74" s="6">
        <v>0</v>
      </c>
      <c r="S74" s="6">
        <v>0</v>
      </c>
      <c r="T74" s="5">
        <f t="shared" si="22"/>
        <v>11</v>
      </c>
    </row>
    <row r="75" spans="1:20" x14ac:dyDescent="0.4">
      <c r="A75" s="7"/>
      <c r="B75" s="46"/>
      <c r="C75" s="24" t="s">
        <v>124</v>
      </c>
      <c r="D75" s="47"/>
      <c r="E75" s="6">
        <v>1</v>
      </c>
      <c r="F75" s="6">
        <v>2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2</v>
      </c>
      <c r="S75" s="6">
        <v>0</v>
      </c>
      <c r="T75" s="5">
        <f t="shared" si="22"/>
        <v>6</v>
      </c>
    </row>
    <row r="76" spans="1:20" ht="13.15" customHeight="1" x14ac:dyDescent="0.4">
      <c r="A76" s="7"/>
      <c r="B76" s="46"/>
      <c r="C76" s="24" t="s">
        <v>125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f t="shared" si="22"/>
        <v>0</v>
      </c>
    </row>
    <row r="77" spans="1:20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f t="shared" si="22"/>
        <v>1</v>
      </c>
    </row>
    <row r="78" spans="1:20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f t="shared" si="22"/>
        <v>1</v>
      </c>
    </row>
    <row r="79" spans="1:20" x14ac:dyDescent="0.4">
      <c r="A79" s="6" t="s">
        <v>26</v>
      </c>
      <c r="B79" s="71" t="s">
        <v>51</v>
      </c>
      <c r="C79" s="51"/>
      <c r="D79" s="52"/>
      <c r="E79" s="5">
        <f>SUM(E72:E78)</f>
        <v>3</v>
      </c>
      <c r="F79" s="5">
        <f>SUM(F72:F78)</f>
        <v>4</v>
      </c>
      <c r="G79" s="5">
        <f>SUM(G72:G78)</f>
        <v>3</v>
      </c>
      <c r="H79" s="5">
        <f>SUM(H72:H78)</f>
        <v>6</v>
      </c>
      <c r="I79" s="5">
        <f>SUM(I72:I78)</f>
        <v>6</v>
      </c>
      <c r="J79" s="5">
        <f>SUM(J72:J78)</f>
        <v>4</v>
      </c>
      <c r="K79" s="5">
        <f>SUM(K72:K78)</f>
        <v>6</v>
      </c>
      <c r="L79" s="5">
        <f>SUM(L72:L78)</f>
        <v>9</v>
      </c>
      <c r="M79" s="5">
        <f>SUM(M72:M78)</f>
        <v>3</v>
      </c>
      <c r="N79" s="5">
        <f>SUM(N72:N78)</f>
        <v>5</v>
      </c>
      <c r="O79" s="5">
        <f>SUM(O72:O78)</f>
        <v>8</v>
      </c>
      <c r="P79" s="5">
        <f>SUM(P72:P78)</f>
        <v>3</v>
      </c>
      <c r="Q79" s="5">
        <f>SUM(Q72:Q78)</f>
        <v>10</v>
      </c>
      <c r="R79" s="5">
        <f>SUM(R72:R78)</f>
        <v>8</v>
      </c>
      <c r="S79" s="5">
        <f>SUM(S72:S78)</f>
        <v>9</v>
      </c>
      <c r="T79" s="5">
        <f>SUM(T72:T78)</f>
        <v>87</v>
      </c>
    </row>
    <row r="80" spans="1:20" x14ac:dyDescent="0.4">
      <c r="A80" s="77"/>
      <c r="B80" s="76"/>
      <c r="C80" s="76"/>
      <c r="D80" s="76"/>
      <c r="E80" s="76"/>
    </row>
    <row r="81" spans="1:20" x14ac:dyDescent="0.4">
      <c r="A81" s="11" t="s">
        <v>48</v>
      </c>
      <c r="B81" s="17" t="s">
        <v>55</v>
      </c>
      <c r="C81" s="79" t="s">
        <v>56</v>
      </c>
      <c r="D81" s="52"/>
      <c r="E81" s="6">
        <v>0</v>
      </c>
      <c r="F81" s="6">
        <v>0</v>
      </c>
      <c r="G81" s="6">
        <v>0</v>
      </c>
      <c r="H81" s="6">
        <v>2</v>
      </c>
      <c r="I81" s="6">
        <v>1</v>
      </c>
      <c r="J81" s="6">
        <v>0</v>
      </c>
      <c r="K81" s="6">
        <v>1</v>
      </c>
      <c r="L81" s="6">
        <v>1</v>
      </c>
      <c r="M81" s="6">
        <v>4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5">
        <f t="shared" ref="T81:T87" si="23">SUM(E81:S81)</f>
        <v>9</v>
      </c>
    </row>
    <row r="82" spans="1:20" x14ac:dyDescent="0.4">
      <c r="A82" s="11" t="s">
        <v>50</v>
      </c>
      <c r="B82" s="46"/>
      <c r="C82" s="24" t="s">
        <v>128</v>
      </c>
      <c r="D82" s="47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5">
        <f t="shared" si="23"/>
        <v>1</v>
      </c>
    </row>
    <row r="83" spans="1:20" x14ac:dyDescent="0.4">
      <c r="A83" s="7"/>
      <c r="B83" s="46"/>
      <c r="C83" s="24" t="s">
        <v>129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1</v>
      </c>
      <c r="S83" s="6">
        <v>0</v>
      </c>
      <c r="T83" s="5">
        <f t="shared" si="23"/>
        <v>2</v>
      </c>
    </row>
    <row r="84" spans="1:20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5">
        <f t="shared" si="23"/>
        <v>0</v>
      </c>
    </row>
    <row r="85" spans="1:20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</v>
      </c>
      <c r="T85" s="5">
        <f t="shared" si="23"/>
        <v>2</v>
      </c>
    </row>
    <row r="86" spans="1:20" x14ac:dyDescent="0.4">
      <c r="A86" s="7"/>
      <c r="B86" s="46"/>
      <c r="C86" s="24" t="s">
        <v>132</v>
      </c>
      <c r="D86" s="47"/>
      <c r="E86" s="6">
        <v>0</v>
      </c>
      <c r="F86" s="6">
        <v>4</v>
      </c>
      <c r="G86" s="6">
        <v>5</v>
      </c>
      <c r="H86" s="6">
        <v>0</v>
      </c>
      <c r="I86" s="6">
        <v>0</v>
      </c>
      <c r="J86" s="6">
        <v>0</v>
      </c>
      <c r="K86" s="6">
        <v>16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2</v>
      </c>
      <c r="T86" s="5">
        <f t="shared" si="23"/>
        <v>28</v>
      </c>
    </row>
    <row r="87" spans="1:20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5">
        <f t="shared" si="23"/>
        <v>0</v>
      </c>
    </row>
    <row r="88" spans="1:20" x14ac:dyDescent="0.4">
      <c r="A88" s="6" t="s">
        <v>26</v>
      </c>
      <c r="B88" s="71" t="s">
        <v>51</v>
      </c>
      <c r="C88" s="51"/>
      <c r="D88" s="52"/>
      <c r="E88" s="5">
        <f>SUM(E81:E87)</f>
        <v>0</v>
      </c>
      <c r="F88" s="5">
        <f>SUM(F81:F87)</f>
        <v>4</v>
      </c>
      <c r="G88" s="5">
        <f>SUM(G81:G87)</f>
        <v>5</v>
      </c>
      <c r="H88" s="5">
        <f>SUM(H81:H87)</f>
        <v>2</v>
      </c>
      <c r="I88" s="5">
        <f>SUM(I81:I87)</f>
        <v>3</v>
      </c>
      <c r="J88" s="5">
        <f>SUM(J81:J87)</f>
        <v>0</v>
      </c>
      <c r="K88" s="5">
        <f>SUM(K81:K87)</f>
        <v>18</v>
      </c>
      <c r="L88" s="5">
        <f>SUM(L81:L87)</f>
        <v>2</v>
      </c>
      <c r="M88" s="5">
        <f>SUM(M81:M87)</f>
        <v>4</v>
      </c>
      <c r="N88" s="5">
        <f>SUM(N81:N87)</f>
        <v>0</v>
      </c>
      <c r="O88" s="5">
        <f>SUM(O81:O87)</f>
        <v>0</v>
      </c>
      <c r="P88" s="5">
        <f>SUM(P81:P87)</f>
        <v>0</v>
      </c>
      <c r="Q88" s="5">
        <f>SUM(Q81:Q87)</f>
        <v>0</v>
      </c>
      <c r="R88" s="5">
        <f>SUM(R81:R87)</f>
        <v>1</v>
      </c>
      <c r="S88" s="5">
        <f>SUM(S81:S87)</f>
        <v>3</v>
      </c>
      <c r="T88" s="5">
        <f>SUM(T81:T87)</f>
        <v>42</v>
      </c>
    </row>
    <row r="89" spans="1:20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1:20" x14ac:dyDescent="0.4">
      <c r="A90" s="11" t="s">
        <v>48</v>
      </c>
      <c r="B90" s="17" t="s">
        <v>57</v>
      </c>
      <c r="C90" s="79" t="s">
        <v>58</v>
      </c>
      <c r="D90" s="5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5">
        <f>SUM(E90:S90)</f>
        <v>2</v>
      </c>
    </row>
    <row r="91" spans="1:20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0</v>
      </c>
      <c r="G91" s="5">
        <f>SUM(G90:G90)</f>
        <v>0</v>
      </c>
      <c r="H91" s="5">
        <f>SUM(H90:H90)</f>
        <v>0</v>
      </c>
      <c r="I91" s="5">
        <f>SUM(I90:I90)</f>
        <v>0</v>
      </c>
      <c r="J91" s="5">
        <f>SUM(J90:J90)</f>
        <v>0</v>
      </c>
      <c r="K91" s="5">
        <f>SUM(K90:K90)</f>
        <v>0</v>
      </c>
      <c r="L91" s="5">
        <f>SUM(L90:L90)</f>
        <v>0</v>
      </c>
      <c r="M91" s="5">
        <f>SUM(M90:M90)</f>
        <v>0</v>
      </c>
      <c r="N91" s="5">
        <f>SUM(N90:N90)</f>
        <v>1</v>
      </c>
      <c r="O91" s="5">
        <f>SUM(O90:O90)</f>
        <v>0</v>
      </c>
      <c r="P91" s="5">
        <f>SUM(P90:P90)</f>
        <v>0</v>
      </c>
      <c r="Q91" s="5">
        <f>SUM(Q90:Q90)</f>
        <v>0</v>
      </c>
      <c r="R91" s="5">
        <f>SUM(R90:R90)</f>
        <v>1</v>
      </c>
      <c r="S91" s="5">
        <f>SUM(S90:S90)</f>
        <v>0</v>
      </c>
      <c r="T91" s="5">
        <f>SUM(T90:T90)</f>
        <v>2</v>
      </c>
    </row>
    <row r="92" spans="1:20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5"/>
    </row>
    <row r="93" spans="1:20" x14ac:dyDescent="0.4">
      <c r="A93" s="11" t="s">
        <v>48</v>
      </c>
      <c r="B93" s="17" t="s">
        <v>59</v>
      </c>
      <c r="C93" s="79" t="s">
        <v>60</v>
      </c>
      <c r="D93" s="5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5">
        <f t="shared" ref="T93:T96" si="24">SUM(E93:S93)</f>
        <v>1</v>
      </c>
    </row>
    <row r="94" spans="1:20" x14ac:dyDescent="0.4">
      <c r="A94" s="11" t="s">
        <v>50</v>
      </c>
      <c r="B94" s="46"/>
      <c r="C94" s="24" t="s">
        <v>134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5">
        <f t="shared" si="24"/>
        <v>0</v>
      </c>
    </row>
    <row r="95" spans="1:20" x14ac:dyDescent="0.4">
      <c r="A95" s="7"/>
      <c r="B95" s="46"/>
      <c r="C95" s="24" t="s">
        <v>135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5">
        <f t="shared" si="24"/>
        <v>0</v>
      </c>
    </row>
    <row r="96" spans="1:20" x14ac:dyDescent="0.4">
      <c r="A96" s="7"/>
      <c r="B96" s="46"/>
      <c r="C96" s="24" t="s">
        <v>136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24"/>
        <v>0</v>
      </c>
    </row>
    <row r="97" spans="1:20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0</v>
      </c>
      <c r="G97" s="5">
        <f>SUM(G93:G96)</f>
        <v>0</v>
      </c>
      <c r="H97" s="5">
        <f>SUM(H93:H96)</f>
        <v>0</v>
      </c>
      <c r="I97" s="5">
        <f>SUM(I93:I96)</f>
        <v>0</v>
      </c>
      <c r="J97" s="5">
        <f>SUM(J93:J96)</f>
        <v>0</v>
      </c>
      <c r="K97" s="5">
        <f>SUM(K93:K96)</f>
        <v>1</v>
      </c>
      <c r="L97" s="5">
        <f>SUM(L93:L96)</f>
        <v>0</v>
      </c>
      <c r="M97" s="5">
        <f>SUM(M93:M96)</f>
        <v>0</v>
      </c>
      <c r="N97" s="5">
        <f>SUM(N93:N96)</f>
        <v>0</v>
      </c>
      <c r="O97" s="5">
        <f>SUM(O93:O96)</f>
        <v>0</v>
      </c>
      <c r="P97" s="5">
        <f>SUM(P93:P96)</f>
        <v>0</v>
      </c>
      <c r="Q97" s="5">
        <f>SUM(Q93:Q96)</f>
        <v>0</v>
      </c>
      <c r="R97" s="5">
        <f>SUM(R93:R96)</f>
        <v>0</v>
      </c>
      <c r="S97" s="5">
        <f>SUM(S93:S96)</f>
        <v>0</v>
      </c>
      <c r="T97" s="5">
        <f>SUM(T93:T96)</f>
        <v>1</v>
      </c>
    </row>
    <row r="98" spans="1:20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1:20" x14ac:dyDescent="0.4">
      <c r="A99" s="11" t="s">
        <v>48</v>
      </c>
      <c r="B99" s="17" t="s">
        <v>61</v>
      </c>
      <c r="C99" s="79" t="s">
        <v>62</v>
      </c>
      <c r="D99" s="52"/>
      <c r="E99" s="6">
        <v>0</v>
      </c>
      <c r="F99" s="6">
        <v>0</v>
      </c>
      <c r="G99" s="6">
        <v>1</v>
      </c>
      <c r="H99" s="6">
        <v>0</v>
      </c>
      <c r="I99" s="6">
        <v>0</v>
      </c>
      <c r="J99" s="6">
        <v>0</v>
      </c>
      <c r="K99" s="6">
        <v>0</v>
      </c>
      <c r="L99" s="6">
        <v>2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2</v>
      </c>
      <c r="S99" s="6">
        <v>1</v>
      </c>
      <c r="T99" s="5">
        <f t="shared" ref="T99:T105" si="25">SUM(E99:S99)</f>
        <v>6</v>
      </c>
    </row>
    <row r="100" spans="1:20" ht="13.15" customHeight="1" x14ac:dyDescent="0.4">
      <c r="A100" s="11" t="s">
        <v>50</v>
      </c>
      <c r="B100" s="46"/>
      <c r="C100" s="24" t="s">
        <v>137</v>
      </c>
      <c r="D100" s="47"/>
      <c r="E100" s="6">
        <v>0</v>
      </c>
      <c r="F100" s="6">
        <v>0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1</v>
      </c>
      <c r="P100" s="6">
        <v>0</v>
      </c>
      <c r="Q100" s="6">
        <v>0</v>
      </c>
      <c r="R100" s="6">
        <v>0</v>
      </c>
      <c r="S100" s="6">
        <v>2</v>
      </c>
      <c r="T100" s="5">
        <f t="shared" si="25"/>
        <v>5</v>
      </c>
    </row>
    <row r="101" spans="1:20" x14ac:dyDescent="0.4">
      <c r="A101" s="7"/>
      <c r="B101" s="46"/>
      <c r="C101" s="24" t="s">
        <v>138</v>
      </c>
      <c r="D101" s="47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1</v>
      </c>
      <c r="S101" s="6"/>
      <c r="T101" s="5">
        <f t="shared" si="25"/>
        <v>1</v>
      </c>
    </row>
    <row r="102" spans="1:20" x14ac:dyDescent="0.4">
      <c r="A102" s="7"/>
      <c r="B102" s="46"/>
      <c r="C102" s="24" t="s">
        <v>139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/>
      <c r="T102" s="5">
        <f t="shared" si="25"/>
        <v>0</v>
      </c>
    </row>
    <row r="103" spans="1:20" x14ac:dyDescent="0.4">
      <c r="A103" s="7"/>
      <c r="B103" s="46"/>
      <c r="C103" s="24" t="s">
        <v>140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/>
      <c r="T103" s="5">
        <f t="shared" si="25"/>
        <v>0</v>
      </c>
    </row>
    <row r="104" spans="1:20" x14ac:dyDescent="0.4">
      <c r="A104" s="7"/>
      <c r="B104" s="46"/>
      <c r="C104" s="24" t="s">
        <v>141</v>
      </c>
      <c r="D104" s="47"/>
      <c r="E104" s="6">
        <v>0</v>
      </c>
      <c r="F104" s="6">
        <v>1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/>
      <c r="T104" s="5">
        <f t="shared" si="25"/>
        <v>1</v>
      </c>
    </row>
    <row r="105" spans="1:20" x14ac:dyDescent="0.4">
      <c r="A105" s="7"/>
      <c r="B105" s="46"/>
      <c r="C105" s="24" t="s">
        <v>142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/>
      <c r="T105" s="5">
        <f t="shared" si="25"/>
        <v>0</v>
      </c>
    </row>
    <row r="106" spans="1:20" x14ac:dyDescent="0.4">
      <c r="A106" s="6" t="s">
        <v>26</v>
      </c>
      <c r="B106" s="71" t="s">
        <v>51</v>
      </c>
      <c r="C106" s="80"/>
      <c r="D106" s="81"/>
      <c r="E106" s="5">
        <f>SUM(E99:E105)</f>
        <v>0</v>
      </c>
      <c r="F106" s="5">
        <f>SUM(F99:F105)</f>
        <v>1</v>
      </c>
      <c r="G106" s="5">
        <f>SUM(G99:G105)</f>
        <v>2</v>
      </c>
      <c r="H106" s="5">
        <f>SUM(H99:H105)</f>
        <v>0</v>
      </c>
      <c r="I106" s="5">
        <f>SUM(I99:I105)</f>
        <v>0</v>
      </c>
      <c r="J106" s="5">
        <f>SUM(J99:J105)</f>
        <v>0</v>
      </c>
      <c r="K106" s="5">
        <f>SUM(K99:K105)</f>
        <v>0</v>
      </c>
      <c r="L106" s="5">
        <f>SUM(L99:L105)</f>
        <v>3</v>
      </c>
      <c r="M106" s="5">
        <f>SUM(M99:M105)</f>
        <v>0</v>
      </c>
      <c r="N106" s="5">
        <f>SUM(N99:N105)</f>
        <v>0</v>
      </c>
      <c r="O106" s="5">
        <f>SUM(O99:O105)</f>
        <v>1</v>
      </c>
      <c r="P106" s="5">
        <f>SUM(P99:P105)</f>
        <v>0</v>
      </c>
      <c r="Q106" s="5">
        <f>SUM(Q99:Q105)</f>
        <v>0</v>
      </c>
      <c r="R106" s="5">
        <f>SUM(R99:R105)</f>
        <v>3</v>
      </c>
      <c r="S106" s="5">
        <f>SUM(S99:S105)</f>
        <v>3</v>
      </c>
      <c r="T106" s="5">
        <f>SUM(T99:T105)</f>
        <v>13</v>
      </c>
    </row>
    <row r="107" spans="1:20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1:20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f>SUM(E108:S108)</f>
        <v>0</v>
      </c>
    </row>
    <row r="109" spans="1:20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5">
        <f>SUM(E109:S109)</f>
        <v>0</v>
      </c>
    </row>
    <row r="110" spans="1:20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  <c r="R110" s="5">
        <f>SUM(R108:R109)</f>
        <v>0</v>
      </c>
      <c r="S110" s="5">
        <f>SUM(S108:S109)</f>
        <v>0</v>
      </c>
      <c r="T110" s="5">
        <f>SUM(T108:T109)</f>
        <v>0</v>
      </c>
    </row>
    <row r="111" spans="1:20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5"/>
    </row>
    <row r="112" spans="1:20" x14ac:dyDescent="0.4">
      <c r="A112" s="11" t="s">
        <v>48</v>
      </c>
      <c r="B112" s="44" t="s">
        <v>65</v>
      </c>
      <c r="C112" s="84" t="s">
        <v>66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5">
        <f t="shared" ref="T112:T118" si="26">SUM(E112:S112)</f>
        <v>1</v>
      </c>
    </row>
    <row r="113" spans="1:20" x14ac:dyDescent="0.4">
      <c r="A113" s="48" t="s">
        <v>50</v>
      </c>
      <c r="B113" s="46"/>
      <c r="C113" s="24" t="s">
        <v>144</v>
      </c>
      <c r="D113" s="47"/>
      <c r="E113" s="49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0</v>
      </c>
      <c r="T113" s="5">
        <f t="shared" si="26"/>
        <v>1</v>
      </c>
    </row>
    <row r="114" spans="1:20" x14ac:dyDescent="0.4">
      <c r="A114" s="7"/>
      <c r="B114" s="46"/>
      <c r="C114" s="24" t="s">
        <v>145</v>
      </c>
      <c r="D114" s="47"/>
      <c r="E114" s="49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5">
        <f t="shared" si="26"/>
        <v>0</v>
      </c>
    </row>
    <row r="115" spans="1:20" x14ac:dyDescent="0.4">
      <c r="A115" s="7"/>
      <c r="B115" s="46"/>
      <c r="C115" s="24" t="s">
        <v>146</v>
      </c>
      <c r="D115" s="47"/>
      <c r="E115" s="49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5">
        <f t="shared" si="26"/>
        <v>0</v>
      </c>
    </row>
    <row r="116" spans="1:20" x14ac:dyDescent="0.4">
      <c r="A116" s="7"/>
      <c r="B116" s="46"/>
      <c r="C116" s="24" t="s">
        <v>147</v>
      </c>
      <c r="D116" s="47"/>
      <c r="E116" s="49">
        <v>4</v>
      </c>
      <c r="F116" s="6">
        <v>4</v>
      </c>
      <c r="G116" s="6">
        <v>1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1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5">
        <f t="shared" si="26"/>
        <v>11</v>
      </c>
    </row>
    <row r="117" spans="1:20" x14ac:dyDescent="0.4">
      <c r="A117" s="7"/>
      <c r="B117" s="46"/>
      <c r="C117" s="24" t="s">
        <v>148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f t="shared" si="26"/>
        <v>0</v>
      </c>
    </row>
    <row r="118" spans="1:20" x14ac:dyDescent="0.4">
      <c r="A118" s="7"/>
      <c r="B118" s="46"/>
      <c r="C118" s="24" t="s">
        <v>149</v>
      </c>
      <c r="D118" s="47"/>
      <c r="E118" s="49">
        <v>0</v>
      </c>
      <c r="F118" s="6">
        <v>0</v>
      </c>
      <c r="G118" s="6">
        <v>3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6</v>
      </c>
      <c r="O118" s="6">
        <v>0</v>
      </c>
      <c r="P118" s="6">
        <v>1</v>
      </c>
      <c r="Q118" s="6">
        <v>1</v>
      </c>
      <c r="R118" s="6">
        <v>2</v>
      </c>
      <c r="S118" s="6">
        <v>0</v>
      </c>
      <c r="T118" s="5">
        <f t="shared" si="26"/>
        <v>13</v>
      </c>
    </row>
    <row r="119" spans="1:20" x14ac:dyDescent="0.4">
      <c r="A119" s="6" t="s">
        <v>26</v>
      </c>
      <c r="B119" s="85" t="s">
        <v>51</v>
      </c>
      <c r="C119" s="86"/>
      <c r="D119" s="87"/>
      <c r="E119" s="5">
        <f>SUM(E112:E118)</f>
        <v>4</v>
      </c>
      <c r="F119" s="5">
        <f>SUM(F112:F118)</f>
        <v>4</v>
      </c>
      <c r="G119" s="5">
        <f>SUM(G112:G118)</f>
        <v>4</v>
      </c>
      <c r="H119" s="5">
        <f>SUM(H112:H118)</f>
        <v>0</v>
      </c>
      <c r="I119" s="5">
        <f>SUM(I112:I118)</f>
        <v>0</v>
      </c>
      <c r="J119" s="5">
        <f>SUM(J112:J118)</f>
        <v>0</v>
      </c>
      <c r="K119" s="5">
        <f>SUM(K112:K118)</f>
        <v>1</v>
      </c>
      <c r="L119" s="5">
        <f>SUM(L112:L118)</f>
        <v>1</v>
      </c>
      <c r="M119" s="5">
        <f>SUM(M112:M118)</f>
        <v>1</v>
      </c>
      <c r="N119" s="5">
        <f>SUM(N112:N118)</f>
        <v>6</v>
      </c>
      <c r="O119" s="5">
        <f>SUM(O112:O118)</f>
        <v>0</v>
      </c>
      <c r="P119" s="5">
        <f>SUM(P112:P118)</f>
        <v>1</v>
      </c>
      <c r="Q119" s="5">
        <f>SUM(Q112:Q118)</f>
        <v>1</v>
      </c>
      <c r="R119" s="5">
        <f>SUM(R112:R118)</f>
        <v>3</v>
      </c>
      <c r="S119" s="5">
        <f>SUM(S112:S118)</f>
        <v>0</v>
      </c>
      <c r="T119" s="5">
        <f>SUM(T112:T118)</f>
        <v>26</v>
      </c>
    </row>
    <row r="120" spans="1:20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1:20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2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f>SUM(E121:S121)</f>
        <v>2</v>
      </c>
    </row>
    <row r="122" spans="1:20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2</v>
      </c>
      <c r="M122" s="5">
        <f>SUM(M121:M121)</f>
        <v>0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0</v>
      </c>
      <c r="R122" s="5">
        <f>SUM(R121:R121)</f>
        <v>0</v>
      </c>
      <c r="S122" s="5">
        <f>SUM(S121:S121)</f>
        <v>0</v>
      </c>
      <c r="T122" s="5">
        <f>SUM(T121:T121)</f>
        <v>2</v>
      </c>
    </row>
    <row r="123" spans="1:20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1:20" x14ac:dyDescent="0.4">
      <c r="A124" s="11" t="s">
        <v>48</v>
      </c>
      <c r="B124" s="17" t="s">
        <v>69</v>
      </c>
      <c r="C124" s="79" t="s">
        <v>70</v>
      </c>
      <c r="D124" s="5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1</v>
      </c>
      <c r="M124" s="6">
        <v>0</v>
      </c>
      <c r="N124" s="6">
        <v>0</v>
      </c>
      <c r="O124" s="6">
        <v>0</v>
      </c>
      <c r="P124" s="6">
        <v>1</v>
      </c>
      <c r="Q124" s="6">
        <v>0</v>
      </c>
      <c r="R124" s="6">
        <v>0</v>
      </c>
      <c r="S124" s="6">
        <v>0</v>
      </c>
      <c r="T124" s="5">
        <f t="shared" ref="T124:T128" si="27">SUM(E124:S124)</f>
        <v>3</v>
      </c>
    </row>
    <row r="125" spans="1:20" x14ac:dyDescent="0.4">
      <c r="A125" s="11" t="s">
        <v>50</v>
      </c>
      <c r="B125" s="46"/>
      <c r="C125" s="24" t="s">
        <v>150</v>
      </c>
      <c r="D125" s="47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</v>
      </c>
      <c r="L125" s="6">
        <v>2</v>
      </c>
      <c r="M125" s="6">
        <v>1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5">
        <f t="shared" si="27"/>
        <v>4</v>
      </c>
    </row>
    <row r="126" spans="1:20" x14ac:dyDescent="0.4">
      <c r="A126" s="7"/>
      <c r="B126" s="46"/>
      <c r="C126" s="24" t="s">
        <v>151</v>
      </c>
      <c r="D126" s="47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5">
        <f t="shared" si="27"/>
        <v>0</v>
      </c>
    </row>
    <row r="127" spans="1:20" x14ac:dyDescent="0.4">
      <c r="A127" s="7"/>
      <c r="B127" s="46"/>
      <c r="C127" s="24" t="s">
        <v>152</v>
      </c>
      <c r="D127" s="47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5">
        <f t="shared" si="27"/>
        <v>0</v>
      </c>
    </row>
    <row r="128" spans="1:20" x14ac:dyDescent="0.4">
      <c r="A128" s="7"/>
      <c r="B128" s="46"/>
      <c r="C128" s="24" t="s">
        <v>153</v>
      </c>
      <c r="D128" s="47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5">
        <f t="shared" si="27"/>
        <v>0</v>
      </c>
    </row>
    <row r="129" spans="1:20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0</v>
      </c>
      <c r="F129" s="5">
        <f>SUM(F124:F128)</f>
        <v>0</v>
      </c>
      <c r="G129" s="5">
        <f>SUM(G124:G128)</f>
        <v>0</v>
      </c>
      <c r="H129" s="5">
        <f>SUM(H124:H128)</f>
        <v>0</v>
      </c>
      <c r="I129" s="5">
        <f>SUM(I124:I128)</f>
        <v>0</v>
      </c>
      <c r="J129" s="5">
        <f>SUM(J124:J128)</f>
        <v>0</v>
      </c>
      <c r="K129" s="5">
        <f>SUM(K124:K128)</f>
        <v>2</v>
      </c>
      <c r="L129" s="5">
        <f>SUM(L124:L128)</f>
        <v>3</v>
      </c>
      <c r="M129" s="5">
        <f>SUM(M124:M128)</f>
        <v>1</v>
      </c>
      <c r="N129" s="5">
        <f>SUM(N124:N128)</f>
        <v>0</v>
      </c>
      <c r="O129" s="5">
        <f>SUM(O124:O128)</f>
        <v>0</v>
      </c>
      <c r="P129" s="5">
        <f>SUM(P124:P128)</f>
        <v>1</v>
      </c>
      <c r="Q129" s="5">
        <f>SUM(Q124:Q128)</f>
        <v>0</v>
      </c>
      <c r="R129" s="5">
        <f>SUM(R124:R128)</f>
        <v>0</v>
      </c>
      <c r="S129" s="5">
        <f>SUM(S124:S128)</f>
        <v>0</v>
      </c>
      <c r="T129" s="5">
        <f>SUM(T124:T128)</f>
        <v>7</v>
      </c>
    </row>
    <row r="130" spans="1:20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T130" s="5"/>
    </row>
    <row r="131" spans="1:20" x14ac:dyDescent="0.4">
      <c r="A131" s="11" t="s">
        <v>48</v>
      </c>
      <c r="B131" s="17" t="s">
        <v>71</v>
      </c>
      <c r="C131" s="79" t="s">
        <v>72</v>
      </c>
      <c r="D131" s="5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5">
        <f t="shared" ref="T131:T137" si="28">SUM(E131:S131)</f>
        <v>0</v>
      </c>
    </row>
    <row r="132" spans="1:20" x14ac:dyDescent="0.4">
      <c r="A132" s="11" t="s">
        <v>50</v>
      </c>
      <c r="B132" s="46"/>
      <c r="C132" s="24" t="s">
        <v>154</v>
      </c>
      <c r="D132" s="47"/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 t="shared" si="28"/>
        <v>1</v>
      </c>
    </row>
    <row r="133" spans="1:20" x14ac:dyDescent="0.4">
      <c r="A133" s="7"/>
      <c r="B133" s="46"/>
      <c r="C133" s="24" t="s">
        <v>155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f t="shared" si="28"/>
        <v>0</v>
      </c>
    </row>
    <row r="134" spans="1:20" x14ac:dyDescent="0.4">
      <c r="A134" s="7"/>
      <c r="B134" s="46"/>
      <c r="C134" s="24" t="s">
        <v>156</v>
      </c>
      <c r="D134" s="47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5">
        <f t="shared" si="28"/>
        <v>0</v>
      </c>
    </row>
    <row r="135" spans="1:20" x14ac:dyDescent="0.4">
      <c r="A135" s="7"/>
      <c r="B135" s="46"/>
      <c r="C135" s="24" t="s">
        <v>157</v>
      </c>
      <c r="D135" s="47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5">
        <f t="shared" si="28"/>
        <v>0</v>
      </c>
    </row>
    <row r="136" spans="1:20" x14ac:dyDescent="0.4">
      <c r="A136" s="7"/>
      <c r="B136" s="46"/>
      <c r="C136" s="24" t="s">
        <v>158</v>
      </c>
      <c r="D136" s="47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f t="shared" si="28"/>
        <v>0</v>
      </c>
    </row>
    <row r="137" spans="1:20" x14ac:dyDescent="0.4">
      <c r="A137" s="7"/>
      <c r="B137" s="46"/>
      <c r="C137" s="24" t="s">
        <v>159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5">
        <f t="shared" si="28"/>
        <v>0</v>
      </c>
    </row>
    <row r="138" spans="1:20" x14ac:dyDescent="0.4">
      <c r="A138" s="6" t="s">
        <v>26</v>
      </c>
      <c r="B138" s="71" t="s">
        <v>51</v>
      </c>
      <c r="C138" s="80"/>
      <c r="D138" s="81"/>
      <c r="E138" s="5">
        <f>SUM(E131:E137)</f>
        <v>1</v>
      </c>
      <c r="F138" s="5">
        <f>SUM(F131:F137)</f>
        <v>0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0</v>
      </c>
      <c r="O138" s="5">
        <f>SUM(O131:O137)</f>
        <v>0</v>
      </c>
      <c r="P138" s="5">
        <f>SUM(P131:P137)</f>
        <v>0</v>
      </c>
      <c r="Q138" s="5">
        <f>SUM(Q131:Q137)</f>
        <v>0</v>
      </c>
      <c r="R138" s="5">
        <f>SUM(R131:R137)</f>
        <v>0</v>
      </c>
      <c r="S138" s="5">
        <f>SUM(S131:S137)</f>
        <v>0</v>
      </c>
      <c r="T138" s="5">
        <f>SUM(T131:T137)</f>
        <v>1</v>
      </c>
    </row>
    <row r="139" spans="1:20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spans="1:20" x14ac:dyDescent="0.4">
      <c r="A140" s="11" t="s">
        <v>48</v>
      </c>
      <c r="B140" s="17" t="s">
        <v>73</v>
      </c>
      <c r="C140" s="79" t="s">
        <v>74</v>
      </c>
      <c r="D140" s="52"/>
      <c r="E140" s="6">
        <v>0</v>
      </c>
      <c r="F140" s="6">
        <v>1</v>
      </c>
      <c r="G140" s="6">
        <v>0</v>
      </c>
      <c r="H140" s="6">
        <v>0</v>
      </c>
      <c r="I140" s="6">
        <v>5</v>
      </c>
      <c r="J140" s="6">
        <v>2</v>
      </c>
      <c r="K140" s="6">
        <v>2</v>
      </c>
      <c r="L140" s="6">
        <v>3</v>
      </c>
      <c r="M140" s="6">
        <v>0</v>
      </c>
      <c r="N140" s="6">
        <v>1</v>
      </c>
      <c r="O140" s="6">
        <v>0</v>
      </c>
      <c r="P140" s="6">
        <v>1</v>
      </c>
      <c r="Q140" s="6">
        <v>0</v>
      </c>
      <c r="R140" s="6">
        <v>2</v>
      </c>
      <c r="S140" s="6">
        <v>1</v>
      </c>
      <c r="T140" s="5">
        <f t="shared" ref="T140:T146" si="29">SUM(E140:S140)</f>
        <v>18</v>
      </c>
    </row>
    <row r="141" spans="1:20" x14ac:dyDescent="0.4">
      <c r="A141" s="11" t="s">
        <v>50</v>
      </c>
      <c r="B141" s="46"/>
      <c r="C141" s="24" t="s">
        <v>160</v>
      </c>
      <c r="D141" s="47"/>
      <c r="E141" s="6">
        <v>0</v>
      </c>
      <c r="F141" s="6">
        <v>2</v>
      </c>
      <c r="G141" s="6">
        <v>1</v>
      </c>
      <c r="H141" s="6">
        <v>0</v>
      </c>
      <c r="I141" s="6">
        <v>26</v>
      </c>
      <c r="J141" s="6">
        <v>5</v>
      </c>
      <c r="K141" s="6">
        <v>9</v>
      </c>
      <c r="L141" s="6">
        <v>3</v>
      </c>
      <c r="M141" s="6">
        <v>5</v>
      </c>
      <c r="N141" s="6">
        <v>4</v>
      </c>
      <c r="O141" s="6">
        <v>13</v>
      </c>
      <c r="P141" s="6">
        <v>7</v>
      </c>
      <c r="Q141" s="6">
        <v>8</v>
      </c>
      <c r="R141" s="6">
        <v>24</v>
      </c>
      <c r="S141" s="6">
        <v>11</v>
      </c>
      <c r="T141" s="5">
        <f t="shared" si="29"/>
        <v>118</v>
      </c>
    </row>
    <row r="142" spans="1:20" x14ac:dyDescent="0.4">
      <c r="A142" s="7"/>
      <c r="B142" s="46"/>
      <c r="C142" s="24" t="s">
        <v>161</v>
      </c>
      <c r="D142" s="47"/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3</v>
      </c>
      <c r="K142" s="6">
        <v>1</v>
      </c>
      <c r="L142" s="6">
        <v>0</v>
      </c>
      <c r="M142" s="6">
        <v>1</v>
      </c>
      <c r="N142" s="6">
        <v>1</v>
      </c>
      <c r="O142" s="6">
        <v>1</v>
      </c>
      <c r="P142" s="6">
        <v>0</v>
      </c>
      <c r="Q142" s="6">
        <v>0</v>
      </c>
      <c r="R142" s="6">
        <v>2</v>
      </c>
      <c r="S142" s="6">
        <v>1</v>
      </c>
      <c r="T142" s="5">
        <f t="shared" si="29"/>
        <v>11</v>
      </c>
    </row>
    <row r="143" spans="1:20" x14ac:dyDescent="0.4">
      <c r="A143" s="7"/>
      <c r="B143" s="46"/>
      <c r="C143" s="24" t="s">
        <v>162</v>
      </c>
      <c r="D143" s="47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5">
        <f t="shared" si="29"/>
        <v>0</v>
      </c>
    </row>
    <row r="144" spans="1:20" x14ac:dyDescent="0.4">
      <c r="A144" s="7"/>
      <c r="B144" s="46"/>
      <c r="C144" s="24" t="s">
        <v>163</v>
      </c>
      <c r="D144" s="47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1</v>
      </c>
      <c r="K144" s="6">
        <v>3</v>
      </c>
      <c r="L144" s="6">
        <v>58</v>
      </c>
      <c r="M144" s="6">
        <v>22</v>
      </c>
      <c r="N144" s="6">
        <v>1</v>
      </c>
      <c r="O144" s="6">
        <v>3</v>
      </c>
      <c r="P144" s="6">
        <v>3</v>
      </c>
      <c r="Q144" s="6">
        <v>0</v>
      </c>
      <c r="R144" s="6">
        <v>0</v>
      </c>
      <c r="S144" s="6">
        <v>0</v>
      </c>
      <c r="T144" s="5">
        <f t="shared" si="29"/>
        <v>91</v>
      </c>
    </row>
    <row r="145" spans="1:20" x14ac:dyDescent="0.4">
      <c r="A145" s="7"/>
      <c r="B145" s="46"/>
      <c r="C145" s="24" t="s">
        <v>164</v>
      </c>
      <c r="D145" s="47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5">
        <f t="shared" si="29"/>
        <v>0</v>
      </c>
    </row>
    <row r="146" spans="1:20" ht="13.15" customHeight="1" x14ac:dyDescent="0.4">
      <c r="A146" s="7"/>
      <c r="B146" s="46"/>
      <c r="C146" s="24" t="s">
        <v>165</v>
      </c>
      <c r="D146" s="47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1</v>
      </c>
      <c r="Q146" s="6">
        <v>1</v>
      </c>
      <c r="R146" s="6">
        <v>0</v>
      </c>
      <c r="S146" s="6">
        <v>0</v>
      </c>
      <c r="T146" s="5">
        <f t="shared" si="29"/>
        <v>2</v>
      </c>
    </row>
    <row r="147" spans="1:20" x14ac:dyDescent="0.4">
      <c r="A147" s="6" t="s">
        <v>26</v>
      </c>
      <c r="B147" s="71" t="s">
        <v>51</v>
      </c>
      <c r="C147" s="80"/>
      <c r="D147" s="81"/>
      <c r="E147" s="5">
        <f>SUM(E140:E146)</f>
        <v>0</v>
      </c>
      <c r="F147" s="5">
        <f>SUM(F140:F146)</f>
        <v>3</v>
      </c>
      <c r="G147" s="5">
        <f>SUM(G140:G146)</f>
        <v>1</v>
      </c>
      <c r="H147" s="5">
        <f>SUM(H140:H146)</f>
        <v>0</v>
      </c>
      <c r="I147" s="5">
        <f>SUM(I140:I146)</f>
        <v>32</v>
      </c>
      <c r="J147" s="5">
        <f>SUM(J140:J146)</f>
        <v>11</v>
      </c>
      <c r="K147" s="5">
        <f>SUM(K140:K146)</f>
        <v>15</v>
      </c>
      <c r="L147" s="5">
        <f>SUM(L140:L146)</f>
        <v>64</v>
      </c>
      <c r="M147" s="5">
        <f>SUM(M140:M146)</f>
        <v>28</v>
      </c>
      <c r="N147" s="5">
        <f>SUM(N140:N146)</f>
        <v>7</v>
      </c>
      <c r="O147" s="5">
        <f>SUM(O140:O146)</f>
        <v>17</v>
      </c>
      <c r="P147" s="5">
        <f>SUM(P140:P146)</f>
        <v>12</v>
      </c>
      <c r="Q147" s="5">
        <f>SUM(Q140:Q146)</f>
        <v>9</v>
      </c>
      <c r="R147" s="5">
        <f>SUM(R140:R146)</f>
        <v>28</v>
      </c>
      <c r="S147" s="5">
        <f>SUM(S140:S146)</f>
        <v>13</v>
      </c>
      <c r="T147" s="5">
        <f>SUM(T140:T146)</f>
        <v>240</v>
      </c>
    </row>
    <row r="148" spans="1:20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spans="1:20" x14ac:dyDescent="0.4">
      <c r="A149" s="11" t="s">
        <v>48</v>
      </c>
      <c r="B149" s="17" t="s">
        <v>75</v>
      </c>
      <c r="C149" s="79" t="s">
        <v>76</v>
      </c>
      <c r="D149" s="5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3</v>
      </c>
      <c r="L149" s="6">
        <v>0</v>
      </c>
      <c r="M149" s="6">
        <v>0</v>
      </c>
      <c r="N149" s="6">
        <v>1</v>
      </c>
      <c r="O149" s="6">
        <v>0</v>
      </c>
      <c r="P149" s="6">
        <v>1</v>
      </c>
      <c r="Q149" s="6">
        <v>0</v>
      </c>
      <c r="R149" s="6">
        <v>0</v>
      </c>
      <c r="S149" s="6">
        <v>0</v>
      </c>
      <c r="T149" s="5">
        <f>SUM(E149:S149)</f>
        <v>5</v>
      </c>
    </row>
    <row r="150" spans="1:20" x14ac:dyDescent="0.4">
      <c r="A150" s="11" t="s">
        <v>50</v>
      </c>
      <c r="B150" s="46"/>
      <c r="C150" s="24" t="s">
        <v>166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4</v>
      </c>
      <c r="L150" s="6">
        <v>0</v>
      </c>
      <c r="M150" s="6">
        <v>0</v>
      </c>
      <c r="N150" s="6">
        <v>1</v>
      </c>
      <c r="O150" s="6">
        <v>1</v>
      </c>
      <c r="P150" s="6">
        <v>0</v>
      </c>
      <c r="Q150" s="6">
        <v>1</v>
      </c>
      <c r="R150" s="6">
        <v>0</v>
      </c>
      <c r="S150" s="6">
        <v>0</v>
      </c>
      <c r="T150" s="5">
        <f>SUM(E150:S150)</f>
        <v>7</v>
      </c>
    </row>
    <row r="151" spans="1:20" x14ac:dyDescent="0.4">
      <c r="A151" s="6" t="s">
        <v>26</v>
      </c>
      <c r="B151" s="71" t="s">
        <v>51</v>
      </c>
      <c r="C151" s="80"/>
      <c r="D151" s="81"/>
      <c r="E151" s="5">
        <f>SUM(E149:E150)</f>
        <v>0</v>
      </c>
      <c r="F151" s="5">
        <f>SUM(F149:F150)</f>
        <v>0</v>
      </c>
      <c r="G151" s="5">
        <f>SUM(G149:G150)</f>
        <v>0</v>
      </c>
      <c r="H151" s="5">
        <f>SUM(H149:H150)</f>
        <v>0</v>
      </c>
      <c r="I151" s="5">
        <f>SUM(I149:I150)</f>
        <v>0</v>
      </c>
      <c r="J151" s="5">
        <f>SUM(J149:J150)</f>
        <v>0</v>
      </c>
      <c r="K151" s="5">
        <f>SUM(K149:K150)</f>
        <v>7</v>
      </c>
      <c r="L151" s="5">
        <f>SUM(L149:L150)</f>
        <v>0</v>
      </c>
      <c r="M151" s="5">
        <f>SUM(M149:M150)</f>
        <v>0</v>
      </c>
      <c r="N151" s="5">
        <f>SUM(N149:N150)</f>
        <v>2</v>
      </c>
      <c r="O151" s="5">
        <f>SUM(O149:O150)</f>
        <v>1</v>
      </c>
      <c r="P151" s="5">
        <f>SUM(P149:P150)</f>
        <v>1</v>
      </c>
      <c r="Q151" s="5">
        <f>SUM(Q149:Q150)</f>
        <v>1</v>
      </c>
      <c r="R151" s="5">
        <f>SUM(R149:R150)</f>
        <v>0</v>
      </c>
      <c r="S151" s="5">
        <f>SUM(S149:S150)</f>
        <v>0</v>
      </c>
      <c r="T151" s="5">
        <f>SUM(T149:T150)</f>
        <v>12</v>
      </c>
    </row>
    <row r="152" spans="1:20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1:20" x14ac:dyDescent="0.4">
      <c r="A153" s="11" t="s">
        <v>48</v>
      </c>
      <c r="B153" s="17" t="s">
        <v>77</v>
      </c>
      <c r="C153" s="79" t="s">
        <v>78</v>
      </c>
      <c r="D153" s="5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5">
        <f>SUM(E153:S153)</f>
        <v>0</v>
      </c>
    </row>
    <row r="154" spans="1:20" x14ac:dyDescent="0.4">
      <c r="A154" s="11" t="s">
        <v>50</v>
      </c>
      <c r="B154" s="17"/>
      <c r="C154" s="24" t="s">
        <v>167</v>
      </c>
      <c r="D154" s="4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5">
        <f>SUM(E154:S154)</f>
        <v>0</v>
      </c>
    </row>
    <row r="155" spans="1:20" x14ac:dyDescent="0.4">
      <c r="A155" s="7"/>
      <c r="B155" s="17"/>
      <c r="C155" s="24" t="s">
        <v>168</v>
      </c>
      <c r="D155" s="4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5">
        <f>SUM(E155:S155)</f>
        <v>0</v>
      </c>
    </row>
    <row r="156" spans="1:20" x14ac:dyDescent="0.4">
      <c r="A156" s="7"/>
      <c r="B156" s="17"/>
      <c r="C156" s="24" t="s">
        <v>169</v>
      </c>
      <c r="D156" s="4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5">
        <f t="shared" ref="T156" si="30">SUM(E156:S156)</f>
        <v>0</v>
      </c>
    </row>
    <row r="157" spans="1:20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0</v>
      </c>
      <c r="G157" s="5">
        <f>SUM(G153:G156)</f>
        <v>0</v>
      </c>
      <c r="H157" s="5">
        <f>SUM(H153:H156)</f>
        <v>0</v>
      </c>
      <c r="I157" s="5">
        <f>SUM(I153:I156)</f>
        <v>0</v>
      </c>
      <c r="J157" s="5">
        <f>SUM(J153:J156)</f>
        <v>0</v>
      </c>
      <c r="K157" s="5">
        <f>SUM(K153:K156)</f>
        <v>0</v>
      </c>
      <c r="L157" s="5">
        <f>SUM(L153:L156)</f>
        <v>0</v>
      </c>
      <c r="M157" s="5">
        <f>SUM(M153:M156)</f>
        <v>0</v>
      </c>
      <c r="N157" s="5">
        <f>SUM(N153:N156)</f>
        <v>0</v>
      </c>
      <c r="O157" s="5">
        <f>SUM(O153:O156)</f>
        <v>0</v>
      </c>
      <c r="P157" s="5">
        <f>SUM(P153:P156)</f>
        <v>0</v>
      </c>
      <c r="Q157" s="5">
        <f>SUM(Q153:Q156)</f>
        <v>0</v>
      </c>
      <c r="R157" s="5">
        <f>SUM(R153:R156)</f>
        <v>0</v>
      </c>
      <c r="S157" s="5">
        <f>SUM(S153:S156)</f>
        <v>0</v>
      </c>
      <c r="T157" s="5">
        <f>SUM(T153:T156)</f>
        <v>0</v>
      </c>
    </row>
    <row r="158" spans="1:20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1:20" x14ac:dyDescent="0.4">
      <c r="A159" s="11" t="s">
        <v>48</v>
      </c>
      <c r="B159" s="17" t="s">
        <v>79</v>
      </c>
      <c r="C159" s="79" t="s">
        <v>80</v>
      </c>
      <c r="D159" s="52"/>
      <c r="E159" s="6">
        <v>1</v>
      </c>
      <c r="F159" s="6">
        <v>0</v>
      </c>
      <c r="G159" s="6">
        <v>0</v>
      </c>
      <c r="H159" s="6">
        <v>0</v>
      </c>
      <c r="I159" s="6">
        <v>6</v>
      </c>
      <c r="J159" s="6">
        <v>1</v>
      </c>
      <c r="K159" s="6">
        <v>0</v>
      </c>
      <c r="L159" s="6">
        <v>3</v>
      </c>
      <c r="M159" s="6">
        <v>0</v>
      </c>
      <c r="N159" s="6">
        <v>0</v>
      </c>
      <c r="O159" s="6">
        <v>0</v>
      </c>
      <c r="P159" s="6">
        <v>4</v>
      </c>
      <c r="Q159" s="6">
        <v>2</v>
      </c>
      <c r="R159" s="6">
        <v>0</v>
      </c>
      <c r="S159" s="6">
        <v>2</v>
      </c>
      <c r="T159" s="5">
        <f t="shared" ref="T159:T165" si="31">SUM(E159:S159)</f>
        <v>19</v>
      </c>
    </row>
    <row r="160" spans="1:20" x14ac:dyDescent="0.4">
      <c r="A160" s="11" t="s">
        <v>50</v>
      </c>
      <c r="B160" s="46"/>
      <c r="C160" s="24" t="s">
        <v>170</v>
      </c>
      <c r="D160" s="47"/>
      <c r="E160" s="6">
        <v>4</v>
      </c>
      <c r="F160" s="6">
        <v>4</v>
      </c>
      <c r="G160" s="6">
        <v>1</v>
      </c>
      <c r="H160" s="6">
        <v>1</v>
      </c>
      <c r="I160" s="6">
        <v>20</v>
      </c>
      <c r="J160" s="6">
        <v>15</v>
      </c>
      <c r="K160" s="6">
        <v>5</v>
      </c>
      <c r="L160" s="6">
        <v>1</v>
      </c>
      <c r="M160" s="6">
        <v>8</v>
      </c>
      <c r="N160" s="6">
        <v>0</v>
      </c>
      <c r="O160" s="6">
        <v>0</v>
      </c>
      <c r="P160" s="6">
        <v>28</v>
      </c>
      <c r="Q160" s="6">
        <v>33</v>
      </c>
      <c r="R160" s="6">
        <v>0</v>
      </c>
      <c r="S160" s="6">
        <v>14</v>
      </c>
      <c r="T160" s="5">
        <f t="shared" si="31"/>
        <v>134</v>
      </c>
    </row>
    <row r="161" spans="1:20" x14ac:dyDescent="0.4">
      <c r="A161" s="7"/>
      <c r="B161" s="46"/>
      <c r="C161" s="24" t="s">
        <v>171</v>
      </c>
      <c r="D161" s="47"/>
      <c r="E161" s="6">
        <v>0</v>
      </c>
      <c r="F161" s="6">
        <v>1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1</v>
      </c>
      <c r="Q161" s="6">
        <v>0</v>
      </c>
      <c r="R161" s="6">
        <v>0</v>
      </c>
      <c r="S161" s="6">
        <v>0</v>
      </c>
      <c r="T161" s="5">
        <f t="shared" si="31"/>
        <v>2</v>
      </c>
    </row>
    <row r="162" spans="1:20" ht="13.15" customHeight="1" x14ac:dyDescent="0.4">
      <c r="A162" s="7"/>
      <c r="B162" s="46"/>
      <c r="C162" s="24" t="s">
        <v>172</v>
      </c>
      <c r="D162" s="47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1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5">
        <f t="shared" si="31"/>
        <v>1</v>
      </c>
    </row>
    <row r="163" spans="1:20" x14ac:dyDescent="0.4">
      <c r="A163" s="7"/>
      <c r="B163" s="46"/>
      <c r="C163" s="24" t="s">
        <v>173</v>
      </c>
      <c r="D163" s="47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5">
        <f t="shared" si="31"/>
        <v>0</v>
      </c>
    </row>
    <row r="164" spans="1:20" ht="12.75" customHeight="1" x14ac:dyDescent="0.4">
      <c r="A164" s="7"/>
      <c r="B164" s="46"/>
      <c r="C164" s="24" t="s">
        <v>174</v>
      </c>
      <c r="D164" s="47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5">
        <f t="shared" si="31"/>
        <v>0</v>
      </c>
    </row>
    <row r="165" spans="1:20" x14ac:dyDescent="0.4">
      <c r="A165" s="7"/>
      <c r="B165" s="46"/>
      <c r="C165" s="24" t="s">
        <v>175</v>
      </c>
      <c r="D165" s="47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0</v>
      </c>
      <c r="T165" s="5">
        <f t="shared" si="31"/>
        <v>1</v>
      </c>
    </row>
    <row r="166" spans="1:20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5</v>
      </c>
      <c r="F166" s="5">
        <f>SUM(F159:F165)</f>
        <v>5</v>
      </c>
      <c r="G166" s="5">
        <f>SUM(G159:G165)</f>
        <v>1</v>
      </c>
      <c r="H166" s="5">
        <f>SUM(H159:H165)</f>
        <v>1</v>
      </c>
      <c r="I166" s="5">
        <f>SUM(I159:I165)</f>
        <v>26</v>
      </c>
      <c r="J166" s="5">
        <f>SUM(J159:J165)</f>
        <v>17</v>
      </c>
      <c r="K166" s="5">
        <f>SUM(K159:K165)</f>
        <v>5</v>
      </c>
      <c r="L166" s="5">
        <f>SUM(L159:L165)</f>
        <v>4</v>
      </c>
      <c r="M166" s="5">
        <f>SUM(M159:M165)</f>
        <v>8</v>
      </c>
      <c r="N166" s="5">
        <f>SUM(N159:N165)</f>
        <v>0</v>
      </c>
      <c r="O166" s="5">
        <f>SUM(O159:O165)</f>
        <v>0</v>
      </c>
      <c r="P166" s="5">
        <f>SUM(P159:P165)</f>
        <v>34</v>
      </c>
      <c r="Q166" s="5">
        <f>SUM(Q159:Q165)</f>
        <v>35</v>
      </c>
      <c r="R166" s="5">
        <f>SUM(R159:R165)</f>
        <v>0</v>
      </c>
      <c r="S166" s="5">
        <f>SUM(S159:S165)</f>
        <v>16</v>
      </c>
      <c r="T166" s="5">
        <f>SUM(T159:T165)</f>
        <v>157</v>
      </c>
    </row>
    <row r="167" spans="1:20" x14ac:dyDescent="0.4">
      <c r="A167" s="50"/>
      <c r="B167" s="82"/>
      <c r="C167" s="82"/>
      <c r="D167" s="82"/>
      <c r="E167" s="83"/>
    </row>
    <row r="168" spans="1:20" x14ac:dyDescent="0.4">
      <c r="A168" s="11" t="s">
        <v>48</v>
      </c>
      <c r="B168" s="17" t="s">
        <v>81</v>
      </c>
      <c r="C168" s="79" t="s">
        <v>82</v>
      </c>
      <c r="D168" s="52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5">
        <f>SUM(E168:S168)</f>
        <v>0</v>
      </c>
    </row>
    <row r="169" spans="1:20" x14ac:dyDescent="0.4">
      <c r="A169" s="11" t="s">
        <v>50</v>
      </c>
      <c r="B169" s="46"/>
      <c r="C169" s="24" t="s">
        <v>176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1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5">
        <f>SUM(E169:S169)</f>
        <v>1</v>
      </c>
    </row>
    <row r="170" spans="1:20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0</v>
      </c>
      <c r="H170" s="5">
        <f>SUM(H168:H169)</f>
        <v>0</v>
      </c>
      <c r="I170" s="5">
        <f>SUM(I168:I169)</f>
        <v>0</v>
      </c>
      <c r="J170" s="5">
        <f>SUM(J168:J169)</f>
        <v>1</v>
      </c>
      <c r="K170" s="5">
        <f>SUM(K168:K169)</f>
        <v>0</v>
      </c>
      <c r="L170" s="5">
        <f>SUM(L168:L169)</f>
        <v>0</v>
      </c>
      <c r="M170" s="5">
        <f>SUM(M168:M169)</f>
        <v>0</v>
      </c>
      <c r="N170" s="5">
        <f>SUM(N168:N169)</f>
        <v>0</v>
      </c>
      <c r="O170" s="5">
        <f>SUM(O168:O169)</f>
        <v>0</v>
      </c>
      <c r="P170" s="5">
        <f>SUM(P168:P169)</f>
        <v>0</v>
      </c>
      <c r="Q170" s="5">
        <f>SUM(Q168:Q169)</f>
        <v>0</v>
      </c>
      <c r="R170" s="5">
        <f>SUM(R168:R169)</f>
        <v>0</v>
      </c>
      <c r="S170" s="5">
        <f>SUM(S168:S169)</f>
        <v>0</v>
      </c>
      <c r="T170" s="5">
        <f>SUM(T168:T169)</f>
        <v>1</v>
      </c>
    </row>
    <row r="172" spans="1:20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15"/>
      <c r="O172" s="15"/>
      <c r="P172" s="15"/>
      <c r="Q172" s="15"/>
      <c r="R172" s="15"/>
      <c r="S172" s="15"/>
      <c r="T172" s="5"/>
    </row>
    <row r="173" spans="1:20" x14ac:dyDescent="0.4">
      <c r="A173" s="16"/>
      <c r="B173" s="19" t="s">
        <v>85</v>
      </c>
      <c r="C173" s="88" t="s">
        <v>86</v>
      </c>
      <c r="D173" s="89"/>
      <c r="E173" s="6">
        <f>E52+E61+E70+E79+E88+E91+E97+E106+E110+E119+E122+E129+E138+E147+E151+E157+E166+E170</f>
        <v>185</v>
      </c>
      <c r="F173" s="6">
        <f>F52+F61+F70+F79+F88+F91+F97+F106+F110+F119+F122+F129+F138+F147+F151+F157+F166+F170</f>
        <v>173</v>
      </c>
      <c r="G173" s="6">
        <f>G52+G61+G70+G79+G88+G91+G97+G106+G110+G119+G122+G129+G138+G147+G151+G157+G166+G170</f>
        <v>203</v>
      </c>
      <c r="H173" s="6">
        <f>H52+H61+H70+H79+H88+H91+H97+H106+H110+H119+H122+H129+H138+H147+H151+H157+H166+H170</f>
        <v>206</v>
      </c>
      <c r="I173" s="6">
        <f>I52+I61+I70+I79+I88+I91+I97+I106+I110+I119+I122+I129+I138+I147+I151+I157+I166+I170</f>
        <v>212</v>
      </c>
      <c r="J173" s="6">
        <f>J52+J61+J70+J79+J88+J91+J97+J106+J110+J119+J122+J129+J138+J147+J151+J157+J166+J170</f>
        <v>182</v>
      </c>
      <c r="K173" s="6">
        <f>K52+K61+K70+K79+K88+K91+K97+K106+K110+K119+K122+K129+K138+K147+K151+K157+K166+K170</f>
        <v>210</v>
      </c>
      <c r="L173" s="6">
        <f>L52+L61+L70+L79+L88+L91+L97+L106+L110+L119+L122+L129+L138+L147+L151+L157+L166+L170</f>
        <v>202</v>
      </c>
      <c r="M173" s="6">
        <f>M52+M61+M70+M79+M88+M91+M97+M106+M110+M119+M122+M129+M138+M147+M151+M157+M166+M170</f>
        <v>185</v>
      </c>
      <c r="N173" s="6">
        <f>N52+N61+N70+N79+N88+N91+N97+N106+N110+N119+N122+N129+N138+N147+N151+N157+N166+N170</f>
        <v>187</v>
      </c>
      <c r="O173" s="6">
        <f>O52+O61+O70+O79+O88+O91+O97+O106+O110+O119+O122+O129+O138+O147+O151+O157+O166+O170</f>
        <v>193</v>
      </c>
      <c r="P173" s="6">
        <f>P52+P61+P70+P79+P88+P91+P97+P106+P110+P119+P122+P129+P138+P147+P151+P157+P166+P170</f>
        <v>169</v>
      </c>
      <c r="Q173" s="6">
        <f>Q52+Q61+Q70+Q79+Q88+Q91+Q97+Q106+Q110+Q119+Q122+Q129+Q138+Q147+Q151+Q157+Q166+Q170</f>
        <v>199</v>
      </c>
      <c r="R173" s="6">
        <f>R52+R61+R70+R79+R88+R91+R97+R106+R110+R119+R122+R129+R138+R147+R151+R157+R166+R170</f>
        <v>189</v>
      </c>
      <c r="S173" s="6">
        <f>S52+S61+S70+S79+S88+S91+S97+S106+S110+S119+S122+S129+S138+S147+S151+S157+S166+S170</f>
        <v>111</v>
      </c>
      <c r="T173" s="5">
        <f>SUM(E173:S173)</f>
        <v>2806</v>
      </c>
    </row>
    <row r="174" spans="1:20" x14ac:dyDescent="0.4">
      <c r="A174" s="13"/>
      <c r="B174" s="19" t="s">
        <v>87</v>
      </c>
      <c r="C174" s="88" t="s">
        <v>88</v>
      </c>
      <c r="D174" s="89"/>
      <c r="E174" s="6">
        <v>15</v>
      </c>
      <c r="F174" s="6">
        <v>10</v>
      </c>
      <c r="G174" s="6">
        <v>8</v>
      </c>
      <c r="H174" s="6">
        <v>13</v>
      </c>
      <c r="I174" s="6">
        <v>9</v>
      </c>
      <c r="J174" s="6">
        <v>18</v>
      </c>
      <c r="K174" s="6">
        <v>18</v>
      </c>
      <c r="L174" s="6">
        <v>7</v>
      </c>
      <c r="M174" s="6">
        <v>12</v>
      </c>
      <c r="N174" s="6">
        <v>9</v>
      </c>
      <c r="O174" s="6">
        <v>7</v>
      </c>
      <c r="P174" s="6">
        <v>25</v>
      </c>
      <c r="Q174" s="6">
        <v>8</v>
      </c>
      <c r="R174" s="6">
        <v>6</v>
      </c>
      <c r="S174" s="6">
        <v>1</v>
      </c>
      <c r="T174" s="5">
        <f>SUM(E174:S174)</f>
        <v>166</v>
      </c>
    </row>
    <row r="175" spans="1:20" x14ac:dyDescent="0.4">
      <c r="A175" s="14"/>
      <c r="B175" s="19" t="s">
        <v>89</v>
      </c>
      <c r="C175" s="88" t="s">
        <v>90</v>
      </c>
      <c r="D175" s="89"/>
      <c r="E175" s="5">
        <f>SUM(E173:E174)</f>
        <v>200</v>
      </c>
      <c r="F175" s="5">
        <f t="shared" ref="F175:S175" si="32">SUM(F173:F174)</f>
        <v>183</v>
      </c>
      <c r="G175" s="5">
        <f t="shared" si="32"/>
        <v>211</v>
      </c>
      <c r="H175" s="5">
        <f t="shared" si="32"/>
        <v>219</v>
      </c>
      <c r="I175" s="5">
        <f t="shared" si="32"/>
        <v>221</v>
      </c>
      <c r="J175" s="5">
        <f t="shared" si="32"/>
        <v>200</v>
      </c>
      <c r="K175" s="5">
        <f t="shared" si="32"/>
        <v>228</v>
      </c>
      <c r="L175" s="5">
        <f t="shared" si="32"/>
        <v>209</v>
      </c>
      <c r="M175" s="5">
        <f t="shared" si="32"/>
        <v>197</v>
      </c>
      <c r="N175" s="5">
        <f t="shared" si="32"/>
        <v>196</v>
      </c>
      <c r="O175" s="5">
        <f t="shared" ref="O175:P175" si="33">SUM(O173:O174)</f>
        <v>200</v>
      </c>
      <c r="P175" s="5">
        <f t="shared" si="33"/>
        <v>194</v>
      </c>
      <c r="Q175" s="5">
        <f t="shared" si="32"/>
        <v>207</v>
      </c>
      <c r="R175" s="5">
        <f t="shared" si="32"/>
        <v>195</v>
      </c>
      <c r="S175" s="5">
        <f t="shared" si="32"/>
        <v>112</v>
      </c>
      <c r="T175" s="5">
        <f>SUM(E175:S175)</f>
        <v>2972</v>
      </c>
    </row>
  </sheetData>
  <mergeCells count="86">
    <mergeCell ref="B166:D166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59:D159"/>
    <mergeCell ref="C175:D175"/>
    <mergeCell ref="A167:E167"/>
    <mergeCell ref="C168:D168"/>
    <mergeCell ref="B170:D170"/>
    <mergeCell ref="B172:D172"/>
    <mergeCell ref="C173:D173"/>
    <mergeCell ref="C174:D174"/>
    <mergeCell ref="B138:D138"/>
    <mergeCell ref="B129:D129"/>
    <mergeCell ref="A130:E130"/>
    <mergeCell ref="A111:E111"/>
    <mergeCell ref="C112:D112"/>
    <mergeCell ref="B119:D119"/>
    <mergeCell ref="A120:E120"/>
    <mergeCell ref="C121:D121"/>
    <mergeCell ref="C131:D131"/>
    <mergeCell ref="B122:D122"/>
    <mergeCell ref="A123:E123"/>
    <mergeCell ref="C124:D124"/>
    <mergeCell ref="B110:D110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C108:D108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52:D52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S12"/>
    <mergeCell ref="T12:T13"/>
    <mergeCell ref="B13:D13"/>
    <mergeCell ref="B14:C16"/>
  </mergeCells>
  <phoneticPr fontId="8" type="noConversion"/>
  <conditionalFormatting sqref="E14:S15">
    <cfRule type="containsBlanks" dxfId="56" priority="20">
      <formula>LEN(TRIM(E14))=0</formula>
    </cfRule>
  </conditionalFormatting>
  <conditionalFormatting sqref="E19:S20">
    <cfRule type="containsBlanks" dxfId="55" priority="23">
      <formula>LEN(TRIM(E19))=0</formula>
    </cfRule>
  </conditionalFormatting>
  <conditionalFormatting sqref="E22:S23 E25:S26 E33:S33 E35:S35 E39:S40">
    <cfRule type="containsBlanks" dxfId="54" priority="24">
      <formula>LEN(TRIM(E22))=0</formula>
    </cfRule>
  </conditionalFormatting>
  <conditionalFormatting sqref="E30:S30">
    <cfRule type="expression" dxfId="53" priority="25">
      <formula>E30&lt;&gt;E47</formula>
    </cfRule>
    <cfRule type="expression" dxfId="52" priority="26">
      <formula>E30&lt;&gt;E34</formula>
    </cfRule>
  </conditionalFormatting>
  <conditionalFormatting sqref="E45:S51">
    <cfRule type="containsBlanks" dxfId="51" priority="19">
      <formula>LEN(TRIM(E45))=0</formula>
    </cfRule>
  </conditionalFormatting>
  <conditionalFormatting sqref="E54:S60">
    <cfRule type="containsBlanks" dxfId="50" priority="18">
      <formula>LEN(TRIM(E54))=0</formula>
    </cfRule>
  </conditionalFormatting>
  <conditionalFormatting sqref="E63:S69">
    <cfRule type="containsBlanks" dxfId="49" priority="17">
      <formula>LEN(TRIM(E63))=0</formula>
    </cfRule>
  </conditionalFormatting>
  <conditionalFormatting sqref="E72:S78">
    <cfRule type="containsBlanks" dxfId="48" priority="16">
      <formula>LEN(TRIM(E72))=0</formula>
    </cfRule>
  </conditionalFormatting>
  <conditionalFormatting sqref="E81:S87">
    <cfRule type="containsBlanks" dxfId="47" priority="15">
      <formula>LEN(TRIM(E81))=0</formula>
    </cfRule>
  </conditionalFormatting>
  <conditionalFormatting sqref="E90:S90">
    <cfRule type="containsBlanks" dxfId="46" priority="14">
      <formula>LEN(TRIM(E90))=0</formula>
    </cfRule>
  </conditionalFormatting>
  <conditionalFormatting sqref="E93:S96">
    <cfRule type="containsBlanks" dxfId="45" priority="1">
      <formula>LEN(TRIM(E93))=0</formula>
    </cfRule>
  </conditionalFormatting>
  <conditionalFormatting sqref="E99:S105">
    <cfRule type="containsBlanks" dxfId="44" priority="13">
      <formula>LEN(TRIM(E99))=0</formula>
    </cfRule>
  </conditionalFormatting>
  <conditionalFormatting sqref="E108:S109">
    <cfRule type="containsBlanks" dxfId="43" priority="12">
      <formula>LEN(TRIM(E108))=0</formula>
    </cfRule>
  </conditionalFormatting>
  <conditionalFormatting sqref="E112:S118">
    <cfRule type="containsBlanks" dxfId="42" priority="3">
      <formula>LEN(TRIM(E112))=0</formula>
    </cfRule>
  </conditionalFormatting>
  <conditionalFormatting sqref="E121:S121">
    <cfRule type="containsBlanks" dxfId="41" priority="11">
      <formula>LEN(TRIM(E121))=0</formula>
    </cfRule>
  </conditionalFormatting>
  <conditionalFormatting sqref="E124:S128">
    <cfRule type="containsBlanks" dxfId="40" priority="10">
      <formula>LEN(TRIM(E124))=0</formula>
    </cfRule>
  </conditionalFormatting>
  <conditionalFormatting sqref="E131:S137">
    <cfRule type="containsBlanks" dxfId="39" priority="9">
      <formula>LEN(TRIM(E131))=0</formula>
    </cfRule>
  </conditionalFormatting>
  <conditionalFormatting sqref="E140:S146">
    <cfRule type="containsBlanks" dxfId="38" priority="8">
      <formula>LEN(TRIM(E140))=0</formula>
    </cfRule>
  </conditionalFormatting>
  <conditionalFormatting sqref="E149:S150">
    <cfRule type="containsBlanks" dxfId="37" priority="7">
      <formula>LEN(TRIM(E149))=0</formula>
    </cfRule>
  </conditionalFormatting>
  <conditionalFormatting sqref="E153:S156">
    <cfRule type="containsBlanks" dxfId="36" priority="6">
      <formula>LEN(TRIM(E153))=0</formula>
    </cfRule>
  </conditionalFormatting>
  <conditionalFormatting sqref="E159:S165">
    <cfRule type="containsBlanks" dxfId="35" priority="5">
      <formula>LEN(TRIM(E159))=0</formula>
    </cfRule>
  </conditionalFormatting>
  <conditionalFormatting sqref="E168:S169">
    <cfRule type="containsBlanks" dxfId="34" priority="4">
      <formula>LEN(TRIM(E168))=0</formula>
    </cfRule>
  </conditionalFormatting>
  <conditionalFormatting sqref="E173:S174">
    <cfRule type="containsBlanks" dxfId="33" priority="2">
      <formula>LEN(TRIM(E173))=0</formula>
    </cfRule>
  </conditionalFormatting>
  <conditionalFormatting sqref="E34:S34">
    <cfRule type="expression" dxfId="32" priority="109">
      <formula>E30&lt;&gt;E34</formula>
    </cfRule>
    <cfRule type="expression" dxfId="31" priority="110">
      <formula>E30=E34</formula>
    </cfRule>
    <cfRule type="expression" dxfId="30" priority="111">
      <formula>E34&lt;&gt;E30</formula>
    </cfRule>
    <cfRule type="expression" dxfId="29" priority="112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3B73-7E10-4BD4-AB78-28F27E3A65EB}">
  <sheetPr>
    <tabColor rgb="FF92D050"/>
  </sheetPr>
  <dimension ref="A2:S175"/>
  <sheetViews>
    <sheetView topLeftCell="D13" zoomScaleNormal="100" workbookViewId="0">
      <pane ySplit="1" topLeftCell="A167" activePane="bottomLeft" state="frozen"/>
      <selection activeCell="A13" sqref="A13"/>
      <selection pane="bottomLeft" activeCell="E174" sqref="E174"/>
    </sheetView>
  </sheetViews>
  <sheetFormatPr defaultRowHeight="13.15" x14ac:dyDescent="0.4"/>
  <cols>
    <col min="3" max="3" width="67.140625" bestFit="1" customWidth="1"/>
    <col min="4" max="4" width="5.85546875" bestFit="1" customWidth="1"/>
    <col min="19" max="19" width="13.28515625" customWidth="1"/>
  </cols>
  <sheetData>
    <row r="2" spans="1:19" x14ac:dyDescent="0.4">
      <c r="C2" s="43" t="s">
        <v>98</v>
      </c>
      <c r="D2" s="43" t="s">
        <v>177</v>
      </c>
    </row>
    <row r="3" spans="1:19" x14ac:dyDescent="0.4">
      <c r="C3" s="43" t="s">
        <v>99</v>
      </c>
      <c r="D3" s="43" t="s">
        <v>100</v>
      </c>
    </row>
    <row r="4" spans="1:19" x14ac:dyDescent="0.4">
      <c r="C4" s="43" t="s">
        <v>101</v>
      </c>
      <c r="D4" s="43" t="s">
        <v>102</v>
      </c>
    </row>
    <row r="5" spans="1:19" x14ac:dyDescent="0.4">
      <c r="C5" s="43"/>
      <c r="D5" s="43"/>
    </row>
    <row r="6" spans="1:19" x14ac:dyDescent="0.4">
      <c r="C6" s="43"/>
      <c r="D6" s="43"/>
    </row>
    <row r="7" spans="1:19" x14ac:dyDescent="0.4">
      <c r="C7" s="43"/>
      <c r="D7" s="43"/>
    </row>
    <row r="8" spans="1:19" x14ac:dyDescent="0.4">
      <c r="C8" s="43"/>
      <c r="D8" s="43"/>
    </row>
    <row r="9" spans="1:19" x14ac:dyDescent="0.4">
      <c r="C9" s="43" t="s">
        <v>103</v>
      </c>
      <c r="D9" s="43" t="s">
        <v>187</v>
      </c>
    </row>
    <row r="11" spans="1:1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9" x14ac:dyDescent="0.4">
      <c r="A12" s="5" t="s">
        <v>0</v>
      </c>
      <c r="B12" s="53" t="s">
        <v>1</v>
      </c>
      <c r="C12" s="51"/>
      <c r="D12" s="52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6" t="s">
        <v>97</v>
      </c>
    </row>
    <row r="13" spans="1:19" x14ac:dyDescent="0.4">
      <c r="A13" s="6" t="s">
        <v>2</v>
      </c>
      <c r="B13" s="58" t="s">
        <v>3</v>
      </c>
      <c r="C13" s="51"/>
      <c r="D13" s="52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7"/>
    </row>
    <row r="14" spans="1:19" x14ac:dyDescent="0.4">
      <c r="A14" s="7"/>
      <c r="B14" s="59" t="s">
        <v>22</v>
      </c>
      <c r="C14" s="60"/>
      <c r="D14" s="6" t="s">
        <v>23</v>
      </c>
      <c r="E14" s="6">
        <v>103</v>
      </c>
      <c r="F14" s="6">
        <v>111</v>
      </c>
      <c r="G14" s="6">
        <v>96</v>
      </c>
      <c r="H14" s="6">
        <v>144</v>
      </c>
      <c r="I14" s="6">
        <v>133</v>
      </c>
      <c r="J14" s="6">
        <v>119</v>
      </c>
      <c r="K14" s="6">
        <v>134</v>
      </c>
      <c r="L14" s="6">
        <v>141</v>
      </c>
      <c r="M14" s="6">
        <v>133</v>
      </c>
      <c r="N14" s="6">
        <v>138</v>
      </c>
      <c r="O14" s="6">
        <v>130</v>
      </c>
      <c r="P14" s="6">
        <v>141</v>
      </c>
      <c r="Q14" s="6">
        <v>119</v>
      </c>
      <c r="R14" s="6">
        <v>110</v>
      </c>
      <c r="S14" s="5">
        <f>SUM(E14:R14)</f>
        <v>1752</v>
      </c>
    </row>
    <row r="15" spans="1:19" x14ac:dyDescent="0.4">
      <c r="A15" s="7"/>
      <c r="B15" s="61"/>
      <c r="C15" s="62"/>
      <c r="D15" s="6" t="s">
        <v>24</v>
      </c>
      <c r="E15" s="6">
        <v>91</v>
      </c>
      <c r="F15" s="6">
        <v>95</v>
      </c>
      <c r="G15" s="6">
        <v>103</v>
      </c>
      <c r="H15" s="6">
        <v>139</v>
      </c>
      <c r="I15" s="6">
        <v>142</v>
      </c>
      <c r="J15" s="6">
        <v>110</v>
      </c>
      <c r="K15" s="6">
        <v>139</v>
      </c>
      <c r="L15" s="6">
        <v>136</v>
      </c>
      <c r="M15" s="6">
        <v>135</v>
      </c>
      <c r="N15" s="6">
        <v>124</v>
      </c>
      <c r="O15" s="6">
        <v>125</v>
      </c>
      <c r="P15" s="6">
        <v>129</v>
      </c>
      <c r="Q15" s="6">
        <v>135</v>
      </c>
      <c r="R15" s="6">
        <v>95</v>
      </c>
      <c r="S15" s="5">
        <f>SUM(E15:R15)</f>
        <v>1698</v>
      </c>
    </row>
    <row r="16" spans="1:19" x14ac:dyDescent="0.4">
      <c r="A16" s="8"/>
      <c r="B16" s="63"/>
      <c r="C16" s="64"/>
      <c r="D16" s="5" t="s">
        <v>25</v>
      </c>
      <c r="E16" s="5">
        <f t="shared" ref="E16:N16" si="0">SUM(E14:E15)</f>
        <v>194</v>
      </c>
      <c r="F16" s="5">
        <f t="shared" si="0"/>
        <v>206</v>
      </c>
      <c r="G16" s="5">
        <f t="shared" si="0"/>
        <v>199</v>
      </c>
      <c r="H16" s="5">
        <f t="shared" si="0"/>
        <v>283</v>
      </c>
      <c r="I16" s="5">
        <f t="shared" si="0"/>
        <v>275</v>
      </c>
      <c r="J16" s="5">
        <f t="shared" si="0"/>
        <v>229</v>
      </c>
      <c r="K16" s="5">
        <f t="shared" si="0"/>
        <v>273</v>
      </c>
      <c r="L16" s="5">
        <f t="shared" si="0"/>
        <v>277</v>
      </c>
      <c r="M16" s="5">
        <f t="shared" si="0"/>
        <v>268</v>
      </c>
      <c r="N16" s="5">
        <f t="shared" si="0"/>
        <v>262</v>
      </c>
      <c r="O16" s="5">
        <f t="shared" ref="O16:R16" si="1">SUM(O14:O15)</f>
        <v>255</v>
      </c>
      <c r="P16" s="5">
        <f t="shared" si="1"/>
        <v>270</v>
      </c>
      <c r="Q16" s="5">
        <f t="shared" si="1"/>
        <v>254</v>
      </c>
      <c r="R16" s="5">
        <f t="shared" si="1"/>
        <v>205</v>
      </c>
      <c r="S16" s="5">
        <f>SUM(E16:R16)</f>
        <v>3450</v>
      </c>
    </row>
    <row r="17" spans="1:19" x14ac:dyDescent="0.4">
      <c r="A17" s="50"/>
      <c r="B17" s="51"/>
      <c r="C17" s="51"/>
      <c r="D17" s="52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28"/>
    </row>
    <row r="18" spans="1:19" x14ac:dyDescent="0.4">
      <c r="A18" s="11" t="s">
        <v>26</v>
      </c>
      <c r="B18" s="58" t="s">
        <v>27</v>
      </c>
      <c r="C18" s="51"/>
      <c r="D18" s="52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28"/>
    </row>
    <row r="19" spans="1:19" x14ac:dyDescent="0.4">
      <c r="A19" s="11"/>
      <c r="B19" s="65" t="s">
        <v>28</v>
      </c>
      <c r="C19" s="66" t="s">
        <v>29</v>
      </c>
      <c r="D19" s="6" t="s">
        <v>23</v>
      </c>
      <c r="E19" s="6">
        <v>71</v>
      </c>
      <c r="F19" s="6">
        <v>78</v>
      </c>
      <c r="G19" s="6">
        <v>73</v>
      </c>
      <c r="H19" s="6">
        <v>107</v>
      </c>
      <c r="I19" s="6">
        <v>103</v>
      </c>
      <c r="J19" s="6">
        <v>91</v>
      </c>
      <c r="K19" s="6">
        <v>109</v>
      </c>
      <c r="L19" s="6">
        <v>103</v>
      </c>
      <c r="M19" s="6">
        <v>83</v>
      </c>
      <c r="N19" s="6">
        <v>102</v>
      </c>
      <c r="O19" s="6">
        <v>100</v>
      </c>
      <c r="P19" s="6">
        <v>94</v>
      </c>
      <c r="Q19" s="6">
        <v>84</v>
      </c>
      <c r="R19" s="6">
        <v>76</v>
      </c>
      <c r="S19" s="5">
        <f t="shared" ref="S19:S30" si="2">SUM(E19:R19)</f>
        <v>1274</v>
      </c>
    </row>
    <row r="20" spans="1:19" x14ac:dyDescent="0.4">
      <c r="A20" s="12"/>
      <c r="B20" s="62"/>
      <c r="C20" s="67"/>
      <c r="D20" s="6" t="s">
        <v>24</v>
      </c>
      <c r="E20" s="6">
        <v>69</v>
      </c>
      <c r="F20" s="6">
        <v>75</v>
      </c>
      <c r="G20" s="6">
        <v>80</v>
      </c>
      <c r="H20" s="6">
        <v>105</v>
      </c>
      <c r="I20" s="6">
        <v>119</v>
      </c>
      <c r="J20" s="6">
        <v>101</v>
      </c>
      <c r="K20" s="6">
        <v>113</v>
      </c>
      <c r="L20" s="6">
        <v>115</v>
      </c>
      <c r="M20" s="6">
        <v>106</v>
      </c>
      <c r="N20" s="6">
        <v>99</v>
      </c>
      <c r="O20" s="6">
        <v>102</v>
      </c>
      <c r="P20" s="6">
        <v>88</v>
      </c>
      <c r="Q20" s="6">
        <v>102</v>
      </c>
      <c r="R20" s="6">
        <v>76</v>
      </c>
      <c r="S20" s="5">
        <f t="shared" si="2"/>
        <v>1350</v>
      </c>
    </row>
    <row r="21" spans="1:19" x14ac:dyDescent="0.4">
      <c r="A21" s="13"/>
      <c r="B21" s="64"/>
      <c r="C21" s="68"/>
      <c r="D21" s="5" t="s">
        <v>25</v>
      </c>
      <c r="E21" s="5">
        <f t="shared" ref="E21:N21" si="3">SUM(E19:E20)</f>
        <v>140</v>
      </c>
      <c r="F21" s="5">
        <f t="shared" si="3"/>
        <v>153</v>
      </c>
      <c r="G21" s="5">
        <f t="shared" si="3"/>
        <v>153</v>
      </c>
      <c r="H21" s="5">
        <f t="shared" si="3"/>
        <v>212</v>
      </c>
      <c r="I21" s="5">
        <f t="shared" si="3"/>
        <v>222</v>
      </c>
      <c r="J21" s="5">
        <f t="shared" si="3"/>
        <v>192</v>
      </c>
      <c r="K21" s="5">
        <f t="shared" si="3"/>
        <v>222</v>
      </c>
      <c r="L21" s="5">
        <f t="shared" si="3"/>
        <v>218</v>
      </c>
      <c r="M21" s="5">
        <f t="shared" si="3"/>
        <v>189</v>
      </c>
      <c r="N21" s="5">
        <f t="shared" si="3"/>
        <v>201</v>
      </c>
      <c r="O21" s="5">
        <f t="shared" ref="O21:R21" si="4">SUM(O19:O20)</f>
        <v>202</v>
      </c>
      <c r="P21" s="5">
        <f t="shared" si="4"/>
        <v>182</v>
      </c>
      <c r="Q21" s="5">
        <f t="shared" si="4"/>
        <v>186</v>
      </c>
      <c r="R21" s="5">
        <f t="shared" si="4"/>
        <v>152</v>
      </c>
      <c r="S21" s="5">
        <f t="shared" si="2"/>
        <v>2624</v>
      </c>
    </row>
    <row r="22" spans="1:19" x14ac:dyDescent="0.4">
      <c r="A22" s="12"/>
      <c r="B22" s="65" t="s">
        <v>30</v>
      </c>
      <c r="C22" s="66" t="s">
        <v>31</v>
      </c>
      <c r="D22" s="6" t="s">
        <v>23</v>
      </c>
      <c r="E22" s="6">
        <v>0</v>
      </c>
      <c r="F22" s="6">
        <v>0</v>
      </c>
      <c r="G22" s="6">
        <v>2</v>
      </c>
      <c r="H22" s="6">
        <v>1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5">
        <f t="shared" si="2"/>
        <v>4</v>
      </c>
    </row>
    <row r="23" spans="1:19" x14ac:dyDescent="0.4">
      <c r="A23" s="12"/>
      <c r="B23" s="62"/>
      <c r="C23" s="67"/>
      <c r="D23" s="6" t="s">
        <v>24</v>
      </c>
      <c r="E23" s="6">
        <v>0</v>
      </c>
      <c r="F23" s="6">
        <v>1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5">
        <f t="shared" si="2"/>
        <v>2</v>
      </c>
    </row>
    <row r="24" spans="1:19" x14ac:dyDescent="0.4">
      <c r="A24" s="13"/>
      <c r="B24" s="64"/>
      <c r="C24" s="68"/>
      <c r="D24" s="5" t="s">
        <v>25</v>
      </c>
      <c r="E24" s="5">
        <f t="shared" ref="E24:N24" si="5">SUM(E22:E23)</f>
        <v>0</v>
      </c>
      <c r="F24" s="5">
        <f t="shared" si="5"/>
        <v>1</v>
      </c>
      <c r="G24" s="5">
        <f t="shared" si="5"/>
        <v>2</v>
      </c>
      <c r="H24" s="5">
        <f t="shared" si="5"/>
        <v>2</v>
      </c>
      <c r="I24" s="5">
        <f t="shared" si="5"/>
        <v>1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ref="O24:R24" si="6">SUM(O22:O23)</f>
        <v>0</v>
      </c>
      <c r="P24" s="5">
        <f t="shared" si="6"/>
        <v>0</v>
      </c>
      <c r="Q24" s="5">
        <f t="shared" si="6"/>
        <v>0</v>
      </c>
      <c r="R24" s="5">
        <f t="shared" si="6"/>
        <v>0</v>
      </c>
      <c r="S24" s="5">
        <f t="shared" si="2"/>
        <v>6</v>
      </c>
    </row>
    <row r="25" spans="1:19" x14ac:dyDescent="0.4">
      <c r="A25" s="12"/>
      <c r="B25" s="65" t="s">
        <v>32</v>
      </c>
      <c r="C25" s="66" t="s">
        <v>33</v>
      </c>
      <c r="D25" s="6" t="s">
        <v>23</v>
      </c>
      <c r="E25" s="6">
        <v>1</v>
      </c>
      <c r="F25" s="6">
        <v>0</v>
      </c>
      <c r="G25" s="6">
        <v>2</v>
      </c>
      <c r="H25" s="6">
        <v>0</v>
      </c>
      <c r="I25" s="6">
        <v>0</v>
      </c>
      <c r="J25" s="6">
        <v>1</v>
      </c>
      <c r="K25" s="6">
        <v>2</v>
      </c>
      <c r="L25" s="6">
        <v>0</v>
      </c>
      <c r="M25" s="6">
        <v>1</v>
      </c>
      <c r="N25" s="6">
        <v>0</v>
      </c>
      <c r="O25" s="6">
        <v>0</v>
      </c>
      <c r="P25" s="6">
        <v>3</v>
      </c>
      <c r="Q25" s="6">
        <v>0</v>
      </c>
      <c r="R25" s="6">
        <v>1</v>
      </c>
      <c r="S25" s="5">
        <f t="shared" si="2"/>
        <v>11</v>
      </c>
    </row>
    <row r="26" spans="1:19" x14ac:dyDescent="0.4">
      <c r="A26" s="12"/>
      <c r="B26" s="62"/>
      <c r="C26" s="67"/>
      <c r="D26" s="6" t="s">
        <v>24</v>
      </c>
      <c r="E26" s="6">
        <v>1</v>
      </c>
      <c r="F26" s="6">
        <v>0</v>
      </c>
      <c r="G26" s="6">
        <v>3</v>
      </c>
      <c r="H26" s="6">
        <v>0</v>
      </c>
      <c r="I26" s="6">
        <v>1</v>
      </c>
      <c r="J26" s="6">
        <v>3</v>
      </c>
      <c r="K26" s="6">
        <v>1</v>
      </c>
      <c r="L26" s="6">
        <v>2</v>
      </c>
      <c r="M26" s="6">
        <v>2</v>
      </c>
      <c r="N26" s="6">
        <v>1</v>
      </c>
      <c r="O26" s="6">
        <v>2</v>
      </c>
      <c r="P26" s="6">
        <v>0</v>
      </c>
      <c r="Q26" s="6">
        <v>0</v>
      </c>
      <c r="R26" s="6">
        <v>1</v>
      </c>
      <c r="S26" s="5">
        <f t="shared" si="2"/>
        <v>17</v>
      </c>
    </row>
    <row r="27" spans="1:19" x14ac:dyDescent="0.4">
      <c r="A27" s="13"/>
      <c r="B27" s="64"/>
      <c r="C27" s="68"/>
      <c r="D27" s="5" t="s">
        <v>25</v>
      </c>
      <c r="E27" s="5">
        <f t="shared" ref="E27:N27" si="7">SUM(E25:E26)</f>
        <v>2</v>
      </c>
      <c r="F27" s="5">
        <f t="shared" si="7"/>
        <v>0</v>
      </c>
      <c r="G27" s="5">
        <f t="shared" si="7"/>
        <v>5</v>
      </c>
      <c r="H27" s="5">
        <f t="shared" si="7"/>
        <v>0</v>
      </c>
      <c r="I27" s="5">
        <f t="shared" si="7"/>
        <v>1</v>
      </c>
      <c r="J27" s="5">
        <f t="shared" si="7"/>
        <v>4</v>
      </c>
      <c r="K27" s="5">
        <f t="shared" si="7"/>
        <v>3</v>
      </c>
      <c r="L27" s="5">
        <f t="shared" si="7"/>
        <v>2</v>
      </c>
      <c r="M27" s="5">
        <f t="shared" si="7"/>
        <v>3</v>
      </c>
      <c r="N27" s="5">
        <f t="shared" si="7"/>
        <v>1</v>
      </c>
      <c r="O27" s="5">
        <f t="shared" ref="O27:R27" si="8">SUM(O25:O26)</f>
        <v>2</v>
      </c>
      <c r="P27" s="5">
        <f t="shared" si="8"/>
        <v>3</v>
      </c>
      <c r="Q27" s="5">
        <f t="shared" si="8"/>
        <v>0</v>
      </c>
      <c r="R27" s="5">
        <f t="shared" si="8"/>
        <v>2</v>
      </c>
      <c r="S27" s="5">
        <f t="shared" si="2"/>
        <v>28</v>
      </c>
    </row>
    <row r="28" spans="1:19" x14ac:dyDescent="0.4">
      <c r="A28" s="13"/>
      <c r="B28" s="69" t="s">
        <v>34</v>
      </c>
      <c r="C28" s="70" t="s">
        <v>35</v>
      </c>
      <c r="D28" s="5" t="s">
        <v>23</v>
      </c>
      <c r="E28" s="5">
        <f>SUM(E19,E22,E25)</f>
        <v>72</v>
      </c>
      <c r="F28" s="5">
        <f t="shared" ref="F28:N29" si="9">SUM(F19,F22,F25)</f>
        <v>78</v>
      </c>
      <c r="G28" s="5">
        <f t="shared" si="9"/>
        <v>77</v>
      </c>
      <c r="H28" s="5">
        <f t="shared" si="9"/>
        <v>108</v>
      </c>
      <c r="I28" s="5">
        <f t="shared" si="9"/>
        <v>104</v>
      </c>
      <c r="J28" s="5">
        <f t="shared" si="9"/>
        <v>92</v>
      </c>
      <c r="K28" s="5">
        <f t="shared" si="9"/>
        <v>111</v>
      </c>
      <c r="L28" s="5">
        <f t="shared" si="9"/>
        <v>103</v>
      </c>
      <c r="M28" s="5">
        <f t="shared" si="9"/>
        <v>84</v>
      </c>
      <c r="N28" s="5">
        <f t="shared" si="9"/>
        <v>102</v>
      </c>
      <c r="O28" s="5">
        <f t="shared" ref="O28:R28" si="10">SUM(O19,O22,O25)</f>
        <v>100</v>
      </c>
      <c r="P28" s="5">
        <f t="shared" si="10"/>
        <v>97</v>
      </c>
      <c r="Q28" s="5">
        <f t="shared" si="10"/>
        <v>84</v>
      </c>
      <c r="R28" s="5">
        <f t="shared" si="10"/>
        <v>77</v>
      </c>
      <c r="S28" s="5">
        <f t="shared" si="2"/>
        <v>1289</v>
      </c>
    </row>
    <row r="29" spans="1:19" x14ac:dyDescent="0.4">
      <c r="A29" s="13"/>
      <c r="B29" s="62"/>
      <c r="C29" s="67"/>
      <c r="D29" s="5" t="s">
        <v>24</v>
      </c>
      <c r="E29" s="5">
        <f>SUM(E20,E23,E26)</f>
        <v>70</v>
      </c>
      <c r="F29" s="5">
        <f t="shared" si="9"/>
        <v>76</v>
      </c>
      <c r="G29" s="5">
        <f t="shared" si="9"/>
        <v>83</v>
      </c>
      <c r="H29" s="5">
        <f t="shared" si="9"/>
        <v>106</v>
      </c>
      <c r="I29" s="5">
        <f t="shared" si="9"/>
        <v>120</v>
      </c>
      <c r="J29" s="5">
        <f t="shared" si="9"/>
        <v>104</v>
      </c>
      <c r="K29" s="5">
        <f t="shared" si="9"/>
        <v>114</v>
      </c>
      <c r="L29" s="5">
        <f t="shared" si="9"/>
        <v>117</v>
      </c>
      <c r="M29" s="5">
        <f t="shared" si="9"/>
        <v>108</v>
      </c>
      <c r="N29" s="5">
        <f t="shared" si="9"/>
        <v>100</v>
      </c>
      <c r="O29" s="5">
        <f t="shared" ref="O29:R29" si="11">SUM(O20,O23,O26)</f>
        <v>104</v>
      </c>
      <c r="P29" s="5">
        <f t="shared" si="11"/>
        <v>88</v>
      </c>
      <c r="Q29" s="5">
        <f t="shared" si="11"/>
        <v>102</v>
      </c>
      <c r="R29" s="5">
        <f t="shared" si="11"/>
        <v>77</v>
      </c>
      <c r="S29" s="5">
        <f t="shared" si="2"/>
        <v>1369</v>
      </c>
    </row>
    <row r="30" spans="1:19" x14ac:dyDescent="0.4">
      <c r="A30" s="13"/>
      <c r="B30" s="64"/>
      <c r="C30" s="68"/>
      <c r="D30" s="5" t="s">
        <v>25</v>
      </c>
      <c r="E30" s="5">
        <f t="shared" ref="E30" si="12">SUM(E28:E29)</f>
        <v>142</v>
      </c>
      <c r="F30" s="5">
        <f t="shared" ref="F30:N30" si="13">SUM(F28:F29)</f>
        <v>154</v>
      </c>
      <c r="G30" s="5">
        <f t="shared" si="13"/>
        <v>160</v>
      </c>
      <c r="H30" s="5">
        <f t="shared" si="13"/>
        <v>214</v>
      </c>
      <c r="I30" s="5">
        <f t="shared" si="13"/>
        <v>224</v>
      </c>
      <c r="J30" s="5">
        <f t="shared" si="13"/>
        <v>196</v>
      </c>
      <c r="K30" s="5">
        <f t="shared" si="13"/>
        <v>225</v>
      </c>
      <c r="L30" s="5">
        <f t="shared" si="13"/>
        <v>220</v>
      </c>
      <c r="M30" s="5">
        <f t="shared" si="13"/>
        <v>192</v>
      </c>
      <c r="N30" s="5">
        <f t="shared" si="13"/>
        <v>202</v>
      </c>
      <c r="O30" s="5">
        <f t="shared" ref="O30:R30" si="14">SUM(O28:O29)</f>
        <v>204</v>
      </c>
      <c r="P30" s="5">
        <f t="shared" si="14"/>
        <v>185</v>
      </c>
      <c r="Q30" s="5">
        <f t="shared" si="14"/>
        <v>186</v>
      </c>
      <c r="R30" s="5">
        <f t="shared" si="14"/>
        <v>154</v>
      </c>
      <c r="S30" s="5">
        <f t="shared" si="2"/>
        <v>2658</v>
      </c>
    </row>
    <row r="31" spans="1:19" x14ac:dyDescent="0.4">
      <c r="A31" s="50"/>
      <c r="B31" s="51"/>
      <c r="C31" s="51"/>
      <c r="D31" s="52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28"/>
    </row>
    <row r="32" spans="1:19" x14ac:dyDescent="0.4">
      <c r="A32" s="14" t="s">
        <v>36</v>
      </c>
      <c r="B32" s="53" t="s">
        <v>37</v>
      </c>
      <c r="C32" s="51"/>
      <c r="D32" s="52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28"/>
    </row>
    <row r="33" spans="1:19" x14ac:dyDescent="0.4">
      <c r="A33" s="6">
        <v>1</v>
      </c>
      <c r="B33" s="58" t="s">
        <v>38</v>
      </c>
      <c r="C33" s="51"/>
      <c r="D33" s="52"/>
      <c r="E33" s="6">
        <v>198</v>
      </c>
      <c r="F33" s="6">
        <v>212</v>
      </c>
      <c r="G33" s="6">
        <v>203</v>
      </c>
      <c r="H33" s="6">
        <v>279</v>
      </c>
      <c r="I33" s="6">
        <v>281</v>
      </c>
      <c r="J33" s="6">
        <v>234</v>
      </c>
      <c r="K33" s="6">
        <v>279</v>
      </c>
      <c r="L33" s="6">
        <v>273</v>
      </c>
      <c r="M33" s="6">
        <v>274</v>
      </c>
      <c r="N33" s="6">
        <v>269</v>
      </c>
      <c r="O33" s="6">
        <v>261</v>
      </c>
      <c r="P33" s="6">
        <v>275</v>
      </c>
      <c r="Q33" s="6">
        <v>260</v>
      </c>
      <c r="R33" s="6">
        <v>211</v>
      </c>
      <c r="S33" s="5">
        <f>SUM(E33:R33)</f>
        <v>3509</v>
      </c>
    </row>
    <row r="34" spans="1:19" x14ac:dyDescent="0.4">
      <c r="A34" s="6">
        <v>2</v>
      </c>
      <c r="B34" s="58" t="s">
        <v>39</v>
      </c>
      <c r="C34" s="51"/>
      <c r="D34" s="52"/>
      <c r="E34" s="5">
        <v>142</v>
      </c>
      <c r="F34" s="5">
        <v>154</v>
      </c>
      <c r="G34" s="5">
        <v>160</v>
      </c>
      <c r="H34" s="5">
        <v>214</v>
      </c>
      <c r="I34" s="5">
        <v>224</v>
      </c>
      <c r="J34" s="5">
        <v>196</v>
      </c>
      <c r="K34" s="5">
        <v>225</v>
      </c>
      <c r="L34" s="5">
        <v>220</v>
      </c>
      <c r="M34" s="5">
        <v>192</v>
      </c>
      <c r="N34" s="5">
        <v>202</v>
      </c>
      <c r="O34" s="5">
        <v>204</v>
      </c>
      <c r="P34" s="5">
        <v>185</v>
      </c>
      <c r="Q34" s="5">
        <v>186</v>
      </c>
      <c r="R34" s="5">
        <v>154</v>
      </c>
      <c r="S34" s="5">
        <f>SUM(E34:R34)</f>
        <v>2658</v>
      </c>
    </row>
    <row r="35" spans="1:19" x14ac:dyDescent="0.4">
      <c r="A35" s="6">
        <v>3</v>
      </c>
      <c r="B35" s="58" t="s">
        <v>40</v>
      </c>
      <c r="C35" s="51"/>
      <c r="D35" s="5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1</v>
      </c>
      <c r="R35" s="6">
        <v>0</v>
      </c>
      <c r="S35" s="5">
        <f>SUM(E35:R35)</f>
        <v>2</v>
      </c>
    </row>
    <row r="36" spans="1:19" x14ac:dyDescent="0.4">
      <c r="A36" s="6">
        <v>4</v>
      </c>
      <c r="B36" s="58" t="s">
        <v>41</v>
      </c>
      <c r="C36" s="51"/>
      <c r="D36" s="52"/>
      <c r="E36" s="5">
        <f t="shared" ref="E36:N36" si="15">E33-(E34+E35)</f>
        <v>56</v>
      </c>
      <c r="F36" s="5">
        <f t="shared" si="15"/>
        <v>58</v>
      </c>
      <c r="G36" s="5">
        <f t="shared" si="15"/>
        <v>43</v>
      </c>
      <c r="H36" s="5">
        <f t="shared" si="15"/>
        <v>65</v>
      </c>
      <c r="I36" s="5">
        <f t="shared" si="15"/>
        <v>57</v>
      </c>
      <c r="J36" s="5">
        <f t="shared" si="15"/>
        <v>38</v>
      </c>
      <c r="K36" s="5">
        <f t="shared" si="15"/>
        <v>54</v>
      </c>
      <c r="L36" s="5">
        <f t="shared" si="15"/>
        <v>53</v>
      </c>
      <c r="M36" s="5">
        <f t="shared" si="15"/>
        <v>82</v>
      </c>
      <c r="N36" s="5">
        <f t="shared" si="15"/>
        <v>67</v>
      </c>
      <c r="O36" s="5">
        <f t="shared" ref="O36:R36" si="16">O33-(O34+O35)</f>
        <v>56</v>
      </c>
      <c r="P36" s="5">
        <f t="shared" si="16"/>
        <v>90</v>
      </c>
      <c r="Q36" s="5">
        <f t="shared" si="16"/>
        <v>73</v>
      </c>
      <c r="R36" s="5">
        <f t="shared" si="16"/>
        <v>57</v>
      </c>
      <c r="S36" s="5">
        <f>SUM(E36:R36)</f>
        <v>849</v>
      </c>
    </row>
    <row r="37" spans="1:19" x14ac:dyDescent="0.4">
      <c r="A37" s="50"/>
      <c r="B37" s="51"/>
      <c r="C37" s="51"/>
      <c r="D37" s="51"/>
      <c r="E37" s="50"/>
      <c r="F37" s="72"/>
      <c r="G37" s="72"/>
      <c r="H37" s="72"/>
      <c r="I37" s="73"/>
      <c r="J37" s="6"/>
      <c r="K37" s="6"/>
      <c r="L37" s="6"/>
      <c r="M37" s="6"/>
      <c r="N37" s="10"/>
      <c r="O37" s="26"/>
      <c r="P37" s="26"/>
      <c r="Q37" s="26"/>
      <c r="R37" s="26"/>
      <c r="S37" s="28"/>
    </row>
    <row r="38" spans="1:19" x14ac:dyDescent="0.4">
      <c r="A38" s="16" t="s">
        <v>42</v>
      </c>
      <c r="B38" s="53" t="s">
        <v>43</v>
      </c>
      <c r="C38" s="51"/>
      <c r="D38" s="52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28"/>
    </row>
    <row r="39" spans="1:19" x14ac:dyDescent="0.4">
      <c r="A39" s="11"/>
      <c r="B39" s="74" t="s">
        <v>44</v>
      </c>
      <c r="C39" s="60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5">
        <f>SUM(E39:R39)</f>
        <v>1</v>
      </c>
    </row>
    <row r="40" spans="1:19" x14ac:dyDescent="0.4">
      <c r="A40" s="12"/>
      <c r="B40" s="75"/>
      <c r="C40" s="62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5">
        <f>SUM(E40:R40)</f>
        <v>0</v>
      </c>
    </row>
    <row r="41" spans="1:19" x14ac:dyDescent="0.4">
      <c r="A41" s="14"/>
      <c r="B41" s="76"/>
      <c r="C41" s="64"/>
      <c r="D41" s="5" t="s">
        <v>25</v>
      </c>
      <c r="E41" s="5">
        <f t="shared" ref="E41:N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1</v>
      </c>
      <c r="N41" s="5">
        <f t="shared" si="17"/>
        <v>0</v>
      </c>
      <c r="O41" s="5">
        <f t="shared" ref="O41:R41" si="18">SUM(O39:O40)</f>
        <v>0</v>
      </c>
      <c r="P41" s="5">
        <f t="shared" si="18"/>
        <v>0</v>
      </c>
      <c r="Q41" s="5">
        <f t="shared" si="18"/>
        <v>0</v>
      </c>
      <c r="R41" s="5">
        <f t="shared" si="18"/>
        <v>0</v>
      </c>
      <c r="S41" s="5">
        <f>SUM(E41:R41)</f>
        <v>1</v>
      </c>
    </row>
    <row r="42" spans="1:19" x14ac:dyDescent="0.4">
      <c r="A42" s="77"/>
      <c r="B42" s="76"/>
      <c r="C42" s="76"/>
      <c r="D42" s="64"/>
      <c r="E42" s="50"/>
      <c r="F42" s="51"/>
      <c r="G42" s="51"/>
      <c r="H42" s="51"/>
      <c r="I42" s="52"/>
      <c r="J42" s="6"/>
      <c r="K42" s="6"/>
      <c r="L42" s="6"/>
      <c r="M42" s="6"/>
      <c r="N42" s="10"/>
      <c r="O42" s="6"/>
      <c r="P42" s="10"/>
      <c r="Q42" s="6"/>
      <c r="R42" s="10"/>
      <c r="S42" s="5"/>
    </row>
    <row r="43" spans="1:19" ht="13.15" customHeight="1" x14ac:dyDescent="0.4">
      <c r="A43" s="16" t="s">
        <v>45</v>
      </c>
      <c r="B43" s="53" t="s">
        <v>46</v>
      </c>
      <c r="C43" s="51"/>
      <c r="D43" s="52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</row>
    <row r="44" spans="1:19" ht="13.15" customHeight="1" x14ac:dyDescent="0.4">
      <c r="A44" s="74" t="s">
        <v>47</v>
      </c>
      <c r="B44" s="78"/>
      <c r="C44" s="78"/>
      <c r="D44" s="60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5"/>
    </row>
    <row r="45" spans="1:19" x14ac:dyDescent="0.4">
      <c r="A45" s="11" t="s">
        <v>48</v>
      </c>
      <c r="B45" s="17" t="s">
        <v>28</v>
      </c>
      <c r="C45" s="79" t="s">
        <v>49</v>
      </c>
      <c r="D45" s="52"/>
      <c r="E45" s="6">
        <v>4</v>
      </c>
      <c r="F45" s="6">
        <v>4</v>
      </c>
      <c r="G45" s="6">
        <v>3</v>
      </c>
      <c r="H45" s="6">
        <v>8</v>
      </c>
      <c r="I45" s="6">
        <v>2</v>
      </c>
      <c r="J45" s="6">
        <v>2</v>
      </c>
      <c r="K45" s="6">
        <v>6</v>
      </c>
      <c r="L45" s="6">
        <v>5</v>
      </c>
      <c r="M45" s="6">
        <v>4</v>
      </c>
      <c r="N45" s="6">
        <v>4</v>
      </c>
      <c r="O45" s="6">
        <v>12</v>
      </c>
      <c r="P45" s="6">
        <v>8</v>
      </c>
      <c r="Q45" s="6">
        <v>7</v>
      </c>
      <c r="R45" s="6">
        <v>5</v>
      </c>
      <c r="S45" s="5">
        <f t="shared" ref="S45:S51" si="19">SUM(E45:R45)</f>
        <v>74</v>
      </c>
    </row>
    <row r="46" spans="1:19" x14ac:dyDescent="0.4">
      <c r="A46" s="11" t="s">
        <v>50</v>
      </c>
      <c r="B46" s="46"/>
      <c r="C46" s="24" t="s">
        <v>104</v>
      </c>
      <c r="D46" s="47"/>
      <c r="E46" s="6">
        <v>6</v>
      </c>
      <c r="F46" s="6">
        <v>8</v>
      </c>
      <c r="G46" s="6">
        <v>5</v>
      </c>
      <c r="H46" s="6">
        <v>28</v>
      </c>
      <c r="I46" s="6">
        <v>9</v>
      </c>
      <c r="J46" s="6">
        <v>12</v>
      </c>
      <c r="K46" s="6">
        <v>14</v>
      </c>
      <c r="L46" s="6">
        <v>8</v>
      </c>
      <c r="M46" s="6">
        <v>6</v>
      </c>
      <c r="N46" s="6">
        <v>11</v>
      </c>
      <c r="O46" s="6">
        <v>46</v>
      </c>
      <c r="P46" s="6">
        <v>30</v>
      </c>
      <c r="Q46" s="6">
        <v>3</v>
      </c>
      <c r="R46" s="6">
        <v>9</v>
      </c>
      <c r="S46" s="5">
        <f t="shared" si="19"/>
        <v>195</v>
      </c>
    </row>
    <row r="47" spans="1:19" x14ac:dyDescent="0.4">
      <c r="A47" s="7"/>
      <c r="B47" s="46"/>
      <c r="C47" s="24" t="s">
        <v>105</v>
      </c>
      <c r="D47" s="47"/>
      <c r="E47" s="6">
        <v>0</v>
      </c>
      <c r="F47" s="6">
        <v>0</v>
      </c>
      <c r="G47" s="6">
        <v>1</v>
      </c>
      <c r="H47" s="6">
        <v>11</v>
      </c>
      <c r="I47" s="6">
        <v>7</v>
      </c>
      <c r="J47" s="6">
        <v>9</v>
      </c>
      <c r="K47" s="6">
        <v>17</v>
      </c>
      <c r="L47" s="6">
        <v>14</v>
      </c>
      <c r="M47" s="6">
        <v>4</v>
      </c>
      <c r="N47" s="6">
        <v>17</v>
      </c>
      <c r="O47" s="6">
        <v>11</v>
      </c>
      <c r="P47" s="6">
        <v>0</v>
      </c>
      <c r="Q47" s="6">
        <v>9</v>
      </c>
      <c r="R47" s="6">
        <v>20</v>
      </c>
      <c r="S47" s="5">
        <f t="shared" si="19"/>
        <v>120</v>
      </c>
    </row>
    <row r="48" spans="1:19" x14ac:dyDescent="0.4">
      <c r="A48" s="7"/>
      <c r="B48" s="46"/>
      <c r="C48" s="24" t="s">
        <v>106</v>
      </c>
      <c r="D48" s="47"/>
      <c r="E48" s="6">
        <v>0</v>
      </c>
      <c r="F48" s="6">
        <v>0</v>
      </c>
      <c r="G48" s="6">
        <v>0</v>
      </c>
      <c r="H48" s="6">
        <v>1</v>
      </c>
      <c r="I48" s="6">
        <v>1</v>
      </c>
      <c r="J48" s="6">
        <v>0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2</v>
      </c>
      <c r="R48" s="6">
        <v>0</v>
      </c>
      <c r="S48" s="5">
        <f t="shared" si="19"/>
        <v>5</v>
      </c>
    </row>
    <row r="49" spans="1:19" x14ac:dyDescent="0.4">
      <c r="A49" s="7"/>
      <c r="B49" s="46"/>
      <c r="C49" s="24" t="s">
        <v>107</v>
      </c>
      <c r="D49" s="47"/>
      <c r="E49" s="6">
        <v>0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3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5">
        <f t="shared" si="19"/>
        <v>4</v>
      </c>
    </row>
    <row r="50" spans="1:19" x14ac:dyDescent="0.4">
      <c r="A50" s="7"/>
      <c r="B50" s="46"/>
      <c r="C50" s="24" t="s">
        <v>108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5">
        <f t="shared" si="19"/>
        <v>0</v>
      </c>
    </row>
    <row r="51" spans="1:19" x14ac:dyDescent="0.4">
      <c r="A51" s="7"/>
      <c r="B51" s="46"/>
      <c r="C51" s="24" t="s">
        <v>109</v>
      </c>
      <c r="D51" s="47"/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1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  <c r="S51" s="5">
        <f t="shared" si="19"/>
        <v>4</v>
      </c>
    </row>
    <row r="52" spans="1:19" x14ac:dyDescent="0.4">
      <c r="A52" s="6" t="s">
        <v>26</v>
      </c>
      <c r="B52" s="71" t="s">
        <v>51</v>
      </c>
      <c r="C52" s="51"/>
      <c r="D52" s="52"/>
      <c r="E52" s="5">
        <f>SUM(E45:E51)</f>
        <v>10</v>
      </c>
      <c r="F52" s="5">
        <f>SUM(F45:F51)</f>
        <v>14</v>
      </c>
      <c r="G52" s="5">
        <f>SUM(G45:G51)</f>
        <v>9</v>
      </c>
      <c r="H52" s="5">
        <f>SUM(H45:H51)</f>
        <v>48</v>
      </c>
      <c r="I52" s="5">
        <f>SUM(I45:I51)</f>
        <v>19</v>
      </c>
      <c r="J52" s="5">
        <f>SUM(J45:J51)</f>
        <v>23</v>
      </c>
      <c r="K52" s="5">
        <f>SUM(K45:K51)</f>
        <v>37</v>
      </c>
      <c r="L52" s="5">
        <f>SUM(L45:L51)</f>
        <v>28</v>
      </c>
      <c r="M52" s="5">
        <f>SUM(M45:M51)</f>
        <v>18</v>
      </c>
      <c r="N52" s="5">
        <f>SUM(N45:N51)</f>
        <v>33</v>
      </c>
      <c r="O52" s="5">
        <f>SUM(O45:O51)</f>
        <v>69</v>
      </c>
      <c r="P52" s="5">
        <f>SUM(P45:P51)</f>
        <v>39</v>
      </c>
      <c r="Q52" s="5">
        <f>SUM(Q45:Q51)</f>
        <v>21</v>
      </c>
      <c r="R52" s="5">
        <f>SUM(R45:R51)</f>
        <v>34</v>
      </c>
      <c r="S52" s="5">
        <f>SUM(S45:S51)</f>
        <v>402</v>
      </c>
    </row>
    <row r="53" spans="1:19" x14ac:dyDescent="0.4">
      <c r="A53" s="77"/>
      <c r="B53" s="76"/>
      <c r="C53" s="76"/>
      <c r="D53" s="76"/>
      <c r="E53" s="76"/>
      <c r="S53" s="5"/>
    </row>
    <row r="54" spans="1:19" x14ac:dyDescent="0.4">
      <c r="A54" s="11" t="s">
        <v>48</v>
      </c>
      <c r="B54" s="17" t="s">
        <v>30</v>
      </c>
      <c r="C54" s="79" t="s">
        <v>52</v>
      </c>
      <c r="D54" s="52"/>
      <c r="E54" s="6">
        <v>9</v>
      </c>
      <c r="F54" s="6">
        <v>6</v>
      </c>
      <c r="G54" s="6">
        <v>7</v>
      </c>
      <c r="H54" s="6">
        <v>14</v>
      </c>
      <c r="I54" s="6">
        <v>16</v>
      </c>
      <c r="J54" s="6">
        <v>1</v>
      </c>
      <c r="K54" s="6">
        <v>5</v>
      </c>
      <c r="L54" s="6">
        <v>2</v>
      </c>
      <c r="M54" s="6">
        <v>15</v>
      </c>
      <c r="N54" s="6">
        <v>14</v>
      </c>
      <c r="O54" s="6">
        <v>6</v>
      </c>
      <c r="P54" s="6">
        <v>4</v>
      </c>
      <c r="Q54" s="6">
        <v>6</v>
      </c>
      <c r="R54" s="6">
        <v>6</v>
      </c>
      <c r="S54" s="5">
        <f t="shared" ref="S54:S60" si="20">SUM(E54:R54)</f>
        <v>111</v>
      </c>
    </row>
    <row r="55" spans="1:19" x14ac:dyDescent="0.4">
      <c r="A55" s="11" t="s">
        <v>50</v>
      </c>
      <c r="B55" s="46"/>
      <c r="C55" s="24" t="s">
        <v>110</v>
      </c>
      <c r="D55" s="47"/>
      <c r="E55" s="6">
        <v>3</v>
      </c>
      <c r="F55" s="6">
        <v>9</v>
      </c>
      <c r="G55" s="6">
        <v>2</v>
      </c>
      <c r="H55" s="6">
        <v>20</v>
      </c>
      <c r="I55" s="6">
        <v>25</v>
      </c>
      <c r="J55" s="6">
        <v>13</v>
      </c>
      <c r="K55" s="6">
        <v>18</v>
      </c>
      <c r="L55" s="6">
        <v>55</v>
      </c>
      <c r="M55" s="6">
        <v>5</v>
      </c>
      <c r="N55" s="6">
        <v>8</v>
      </c>
      <c r="O55" s="6">
        <v>14</v>
      </c>
      <c r="P55" s="6">
        <v>6</v>
      </c>
      <c r="Q55" s="6">
        <v>8</v>
      </c>
      <c r="R55" s="6">
        <v>7</v>
      </c>
      <c r="S55" s="5">
        <f t="shared" si="20"/>
        <v>193</v>
      </c>
    </row>
    <row r="56" spans="1:19" x14ac:dyDescent="0.4">
      <c r="A56" s="7"/>
      <c r="B56" s="46"/>
      <c r="C56" s="24" t="s">
        <v>111</v>
      </c>
      <c r="D56" s="47"/>
      <c r="E56" s="6">
        <v>65</v>
      </c>
      <c r="F56" s="6">
        <v>51</v>
      </c>
      <c r="G56" s="6">
        <v>51</v>
      </c>
      <c r="H56" s="6">
        <v>30</v>
      </c>
      <c r="I56" s="6">
        <v>19</v>
      </c>
      <c r="J56" s="6">
        <v>9</v>
      </c>
      <c r="K56" s="6">
        <v>31</v>
      </c>
      <c r="L56" s="6">
        <v>3</v>
      </c>
      <c r="M56" s="6">
        <v>129</v>
      </c>
      <c r="N56" s="6">
        <v>59</v>
      </c>
      <c r="O56" s="6">
        <v>13</v>
      </c>
      <c r="P56" s="6">
        <v>9</v>
      </c>
      <c r="Q56" s="6">
        <v>45</v>
      </c>
      <c r="R56" s="6">
        <v>16</v>
      </c>
      <c r="S56" s="5">
        <f t="shared" si="20"/>
        <v>530</v>
      </c>
    </row>
    <row r="57" spans="1:19" x14ac:dyDescent="0.4">
      <c r="A57" s="7"/>
      <c r="B57" s="46"/>
      <c r="C57" s="24" t="s">
        <v>112</v>
      </c>
      <c r="D57" s="47"/>
      <c r="E57" s="6">
        <v>0</v>
      </c>
      <c r="F57" s="6">
        <v>1</v>
      </c>
      <c r="G57" s="6">
        <v>0</v>
      </c>
      <c r="H57" s="6">
        <v>0</v>
      </c>
      <c r="I57" s="6">
        <v>0</v>
      </c>
      <c r="J57" s="6">
        <v>2</v>
      </c>
      <c r="K57" s="6">
        <v>0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5">
        <f t="shared" si="20"/>
        <v>4</v>
      </c>
    </row>
    <row r="58" spans="1:19" x14ac:dyDescent="0.4">
      <c r="A58" s="7"/>
      <c r="B58" s="46"/>
      <c r="C58" s="24" t="s">
        <v>113</v>
      </c>
      <c r="D58" s="47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6</v>
      </c>
      <c r="K58" s="6">
        <v>0</v>
      </c>
      <c r="L58" s="6">
        <v>1</v>
      </c>
      <c r="M58" s="6">
        <v>0</v>
      </c>
      <c r="N58" s="6">
        <v>1</v>
      </c>
      <c r="O58" s="6">
        <v>0</v>
      </c>
      <c r="P58" s="6">
        <v>1</v>
      </c>
      <c r="Q58" s="6">
        <v>0</v>
      </c>
      <c r="R58" s="6">
        <v>0</v>
      </c>
      <c r="S58" s="5">
        <f t="shared" si="20"/>
        <v>9</v>
      </c>
    </row>
    <row r="59" spans="1:19" x14ac:dyDescent="0.4">
      <c r="A59" s="7"/>
      <c r="B59" s="46"/>
      <c r="C59" s="24" t="s">
        <v>114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5">
        <f t="shared" si="20"/>
        <v>0</v>
      </c>
    </row>
    <row r="60" spans="1:19" ht="13.15" customHeight="1" x14ac:dyDescent="0.4">
      <c r="A60" s="7"/>
      <c r="B60" s="46"/>
      <c r="C60" s="24" t="s">
        <v>115</v>
      </c>
      <c r="D60" s="47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5">
        <f t="shared" si="20"/>
        <v>1</v>
      </c>
    </row>
    <row r="61" spans="1:19" x14ac:dyDescent="0.4">
      <c r="A61" s="6" t="s">
        <v>26</v>
      </c>
      <c r="B61" s="71" t="s">
        <v>51</v>
      </c>
      <c r="C61" s="51"/>
      <c r="D61" s="52"/>
      <c r="E61" s="5">
        <f>SUM(E54:E60)</f>
        <v>77</v>
      </c>
      <c r="F61" s="5">
        <f>SUM(F54:F60)</f>
        <v>67</v>
      </c>
      <c r="G61" s="5">
        <f>SUM(G54:G60)</f>
        <v>60</v>
      </c>
      <c r="H61" s="5">
        <f>SUM(H54:H60)</f>
        <v>64</v>
      </c>
      <c r="I61" s="5">
        <f>SUM(I54:I60)</f>
        <v>60</v>
      </c>
      <c r="J61" s="5">
        <f>SUM(J54:J60)</f>
        <v>31</v>
      </c>
      <c r="K61" s="5">
        <f>SUM(K54:K60)</f>
        <v>55</v>
      </c>
      <c r="L61" s="5">
        <f>SUM(L54:L60)</f>
        <v>62</v>
      </c>
      <c r="M61" s="5">
        <f>SUM(M54:M60)</f>
        <v>149</v>
      </c>
      <c r="N61" s="5">
        <f>SUM(N54:N60)</f>
        <v>82</v>
      </c>
      <c r="O61" s="5">
        <f>SUM(O54:O60)</f>
        <v>33</v>
      </c>
      <c r="P61" s="5">
        <f>SUM(P54:P60)</f>
        <v>20</v>
      </c>
      <c r="Q61" s="5">
        <f>SUM(Q54:Q60)</f>
        <v>59</v>
      </c>
      <c r="R61" s="5">
        <f>SUM(R54:R60)</f>
        <v>29</v>
      </c>
      <c r="S61" s="5">
        <f>SUM(S54:S60)</f>
        <v>848</v>
      </c>
    </row>
    <row r="62" spans="1:19" x14ac:dyDescent="0.4">
      <c r="A62" s="77"/>
      <c r="B62" s="76"/>
      <c r="C62" s="76"/>
      <c r="D62" s="76"/>
      <c r="E62" s="76"/>
    </row>
    <row r="63" spans="1:19" x14ac:dyDescent="0.4">
      <c r="A63" s="11" t="s">
        <v>48</v>
      </c>
      <c r="B63" s="17" t="s">
        <v>32</v>
      </c>
      <c r="C63" s="79" t="s">
        <v>53</v>
      </c>
      <c r="D63" s="52"/>
      <c r="E63" s="6">
        <v>4</v>
      </c>
      <c r="F63" s="6">
        <v>2</v>
      </c>
      <c r="G63" s="6">
        <v>4</v>
      </c>
      <c r="H63" s="6">
        <v>5</v>
      </c>
      <c r="I63" s="6">
        <v>8</v>
      </c>
      <c r="J63" s="6">
        <v>6</v>
      </c>
      <c r="K63" s="6">
        <v>7</v>
      </c>
      <c r="L63" s="6">
        <v>5</v>
      </c>
      <c r="M63" s="6">
        <v>2</v>
      </c>
      <c r="N63" s="6">
        <v>4</v>
      </c>
      <c r="O63" s="6">
        <v>3</v>
      </c>
      <c r="P63" s="6">
        <v>5</v>
      </c>
      <c r="Q63" s="6">
        <v>2</v>
      </c>
      <c r="R63" s="6">
        <v>2</v>
      </c>
      <c r="S63" s="5">
        <f t="shared" ref="S63:S69" si="21">SUM(E63:R63)</f>
        <v>59</v>
      </c>
    </row>
    <row r="64" spans="1:19" x14ac:dyDescent="0.4">
      <c r="A64" s="11" t="s">
        <v>50</v>
      </c>
      <c r="B64" s="46"/>
      <c r="C64" s="24" t="s">
        <v>116</v>
      </c>
      <c r="D64" s="47"/>
      <c r="E64" s="6">
        <v>3</v>
      </c>
      <c r="F64" s="6">
        <v>2</v>
      </c>
      <c r="G64" s="6">
        <v>0</v>
      </c>
      <c r="H64" s="6">
        <v>1</v>
      </c>
      <c r="I64" s="6">
        <v>1</v>
      </c>
      <c r="J64" s="6">
        <v>0</v>
      </c>
      <c r="K64" s="6">
        <v>1</v>
      </c>
      <c r="L64" s="6">
        <v>0</v>
      </c>
      <c r="M64" s="6">
        <v>0</v>
      </c>
      <c r="N64" s="6">
        <v>0</v>
      </c>
      <c r="O64" s="6">
        <v>2</v>
      </c>
      <c r="P64" s="6">
        <v>0</v>
      </c>
      <c r="Q64" s="6">
        <v>4</v>
      </c>
      <c r="R64" s="6">
        <v>0</v>
      </c>
      <c r="S64" s="5">
        <f t="shared" si="21"/>
        <v>14</v>
      </c>
    </row>
    <row r="65" spans="1:19" x14ac:dyDescent="0.4">
      <c r="A65" s="7"/>
      <c r="B65" s="46"/>
      <c r="C65" s="24" t="s">
        <v>117</v>
      </c>
      <c r="D65" s="47"/>
      <c r="E65" s="6">
        <v>6</v>
      </c>
      <c r="F65" s="6">
        <v>11</v>
      </c>
      <c r="G65" s="6">
        <v>6</v>
      </c>
      <c r="H65" s="6">
        <v>8</v>
      </c>
      <c r="I65" s="6">
        <v>24</v>
      </c>
      <c r="J65" s="6">
        <v>56</v>
      </c>
      <c r="K65" s="6">
        <v>16</v>
      </c>
      <c r="L65" s="6">
        <v>3</v>
      </c>
      <c r="M65" s="6">
        <v>1</v>
      </c>
      <c r="N65" s="6">
        <v>24</v>
      </c>
      <c r="O65" s="6">
        <v>21</v>
      </c>
      <c r="P65" s="6">
        <v>43</v>
      </c>
      <c r="Q65" s="6">
        <v>8</v>
      </c>
      <c r="R65" s="6">
        <v>19</v>
      </c>
      <c r="S65" s="5">
        <f t="shared" si="21"/>
        <v>246</v>
      </c>
    </row>
    <row r="66" spans="1:19" x14ac:dyDescent="0.4">
      <c r="A66" s="7"/>
      <c r="B66" s="46"/>
      <c r="C66" s="24" t="s">
        <v>118</v>
      </c>
      <c r="D66" s="47"/>
      <c r="E66" s="6">
        <v>0</v>
      </c>
      <c r="F66" s="6">
        <v>0</v>
      </c>
      <c r="G66" s="6">
        <v>2</v>
      </c>
      <c r="H66" s="6">
        <v>4</v>
      </c>
      <c r="I66" s="6">
        <v>4</v>
      </c>
      <c r="J66" s="6">
        <v>2</v>
      </c>
      <c r="K66" s="6">
        <v>3</v>
      </c>
      <c r="L66" s="6">
        <v>2</v>
      </c>
      <c r="M66" s="6">
        <v>0</v>
      </c>
      <c r="N66" s="6">
        <v>0</v>
      </c>
      <c r="O66" s="6">
        <v>0</v>
      </c>
      <c r="P66" s="6">
        <v>4</v>
      </c>
      <c r="Q66" s="6">
        <v>0</v>
      </c>
      <c r="R66" s="6">
        <v>1</v>
      </c>
      <c r="S66" s="5">
        <f t="shared" si="21"/>
        <v>22</v>
      </c>
    </row>
    <row r="67" spans="1:19" x14ac:dyDescent="0.4">
      <c r="A67" s="7"/>
      <c r="B67" s="46"/>
      <c r="C67" s="24" t="s">
        <v>119</v>
      </c>
      <c r="D67" s="47"/>
      <c r="E67" s="6">
        <v>12</v>
      </c>
      <c r="F67" s="6">
        <v>12</v>
      </c>
      <c r="G67" s="6">
        <v>17</v>
      </c>
      <c r="H67" s="6">
        <v>10</v>
      </c>
      <c r="I67" s="6">
        <v>19</v>
      </c>
      <c r="J67" s="6">
        <v>24</v>
      </c>
      <c r="K67" s="6">
        <v>28</v>
      </c>
      <c r="L67" s="6">
        <v>44</v>
      </c>
      <c r="M67" s="6">
        <v>4</v>
      </c>
      <c r="N67" s="6">
        <v>11</v>
      </c>
      <c r="O67" s="6">
        <v>1</v>
      </c>
      <c r="P67" s="6">
        <v>6</v>
      </c>
      <c r="Q67" s="6">
        <v>1</v>
      </c>
      <c r="R67" s="6">
        <v>0</v>
      </c>
      <c r="S67" s="5">
        <f t="shared" si="21"/>
        <v>189</v>
      </c>
    </row>
    <row r="68" spans="1:19" ht="13.15" customHeight="1" x14ac:dyDescent="0.4">
      <c r="A68" s="7"/>
      <c r="B68" s="46"/>
      <c r="C68" s="24" t="s">
        <v>120</v>
      </c>
      <c r="D68" s="47"/>
      <c r="E68" s="6">
        <v>0</v>
      </c>
      <c r="F68" s="6">
        <v>1</v>
      </c>
      <c r="G68" s="6">
        <v>0</v>
      </c>
      <c r="H68" s="6">
        <v>0</v>
      </c>
      <c r="I68" s="6">
        <v>1</v>
      </c>
      <c r="J68" s="6">
        <v>0</v>
      </c>
      <c r="K68" s="6">
        <v>8</v>
      </c>
      <c r="L68" s="6">
        <v>11</v>
      </c>
      <c r="M68" s="6">
        <v>0</v>
      </c>
      <c r="N68" s="6">
        <v>1</v>
      </c>
      <c r="O68" s="6">
        <v>1</v>
      </c>
      <c r="P68" s="6">
        <v>1</v>
      </c>
      <c r="Q68" s="6">
        <v>0</v>
      </c>
      <c r="R68" s="6">
        <v>0</v>
      </c>
      <c r="S68" s="5">
        <f t="shared" si="21"/>
        <v>24</v>
      </c>
    </row>
    <row r="69" spans="1:19" x14ac:dyDescent="0.4">
      <c r="A69" s="7"/>
      <c r="B69" s="46"/>
      <c r="C69" s="24" t="s">
        <v>121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14</v>
      </c>
      <c r="J69" s="6">
        <v>0</v>
      </c>
      <c r="K69" s="6">
        <v>5</v>
      </c>
      <c r="L69" s="6">
        <v>0</v>
      </c>
      <c r="M69" s="6">
        <v>0</v>
      </c>
      <c r="N69" s="6">
        <v>3</v>
      </c>
      <c r="O69" s="6">
        <v>0</v>
      </c>
      <c r="P69" s="6">
        <v>0</v>
      </c>
      <c r="Q69" s="6">
        <v>0</v>
      </c>
      <c r="R69" s="6">
        <v>0</v>
      </c>
      <c r="S69" s="5">
        <f t="shared" si="21"/>
        <v>22</v>
      </c>
    </row>
    <row r="70" spans="1:19" x14ac:dyDescent="0.4">
      <c r="A70" s="6" t="s">
        <v>26</v>
      </c>
      <c r="B70" s="71" t="s">
        <v>51</v>
      </c>
      <c r="C70" s="51"/>
      <c r="D70" s="52"/>
      <c r="E70" s="5">
        <f>SUM(E63:E69)</f>
        <v>25</v>
      </c>
      <c r="F70" s="5">
        <f>SUM(F63:F69)</f>
        <v>28</v>
      </c>
      <c r="G70" s="5">
        <f>SUM(G63:G69)</f>
        <v>29</v>
      </c>
      <c r="H70" s="5">
        <f>SUM(H63:H69)</f>
        <v>28</v>
      </c>
      <c r="I70" s="5">
        <f>SUM(I63:I69)</f>
        <v>71</v>
      </c>
      <c r="J70" s="5">
        <f>SUM(J63:J69)</f>
        <v>88</v>
      </c>
      <c r="K70" s="5">
        <f>SUM(K63:K69)</f>
        <v>68</v>
      </c>
      <c r="L70" s="5">
        <f>SUM(L63:L69)</f>
        <v>65</v>
      </c>
      <c r="M70" s="5">
        <f>SUM(M63:M69)</f>
        <v>7</v>
      </c>
      <c r="N70" s="5">
        <f>SUM(N63:N69)</f>
        <v>43</v>
      </c>
      <c r="O70" s="5">
        <f>SUM(O63:O69)</f>
        <v>28</v>
      </c>
      <c r="P70" s="5">
        <f>SUM(P63:P69)</f>
        <v>59</v>
      </c>
      <c r="Q70" s="5">
        <f>SUM(Q63:Q69)</f>
        <v>15</v>
      </c>
      <c r="R70" s="5">
        <f>SUM(R63:R69)</f>
        <v>22</v>
      </c>
      <c r="S70" s="5">
        <f>SUM(S63:S69)</f>
        <v>576</v>
      </c>
    </row>
    <row r="71" spans="1:19" x14ac:dyDescent="0.4">
      <c r="A71" s="77"/>
      <c r="B71" s="76"/>
      <c r="C71" s="76"/>
      <c r="D71" s="76"/>
      <c r="E71" s="76"/>
    </row>
    <row r="72" spans="1:19" x14ac:dyDescent="0.4">
      <c r="A72" s="11" t="s">
        <v>48</v>
      </c>
      <c r="B72" s="17" t="s">
        <v>34</v>
      </c>
      <c r="C72" s="79" t="s">
        <v>54</v>
      </c>
      <c r="D72" s="52"/>
      <c r="E72" s="6">
        <v>3</v>
      </c>
      <c r="F72" s="6">
        <v>0</v>
      </c>
      <c r="G72" s="6">
        <v>2</v>
      </c>
      <c r="H72" s="6">
        <v>0</v>
      </c>
      <c r="I72" s="6">
        <v>6</v>
      </c>
      <c r="J72" s="6">
        <v>0</v>
      </c>
      <c r="K72" s="6">
        <v>5</v>
      </c>
      <c r="L72" s="6">
        <v>2</v>
      </c>
      <c r="M72" s="6">
        <v>0</v>
      </c>
      <c r="N72" s="6">
        <v>1</v>
      </c>
      <c r="O72" s="6">
        <v>0</v>
      </c>
      <c r="P72" s="6">
        <v>4</v>
      </c>
      <c r="Q72" s="6">
        <v>6</v>
      </c>
      <c r="R72" s="6">
        <v>2</v>
      </c>
      <c r="S72" s="5">
        <f t="shared" ref="S72:S78" si="22">SUM(E72:R72)</f>
        <v>31</v>
      </c>
    </row>
    <row r="73" spans="1:19" x14ac:dyDescent="0.4">
      <c r="A73" s="11" t="s">
        <v>50</v>
      </c>
      <c r="B73" s="46"/>
      <c r="C73" s="24" t="s">
        <v>122</v>
      </c>
      <c r="D73" s="47"/>
      <c r="E73" s="6">
        <v>1</v>
      </c>
      <c r="F73" s="6">
        <v>1</v>
      </c>
      <c r="G73" s="6">
        <v>1</v>
      </c>
      <c r="H73" s="6">
        <v>4</v>
      </c>
      <c r="I73" s="6">
        <v>4</v>
      </c>
      <c r="J73" s="6">
        <v>0</v>
      </c>
      <c r="K73" s="6">
        <v>1</v>
      </c>
      <c r="L73" s="6">
        <v>1</v>
      </c>
      <c r="M73" s="6">
        <v>0</v>
      </c>
      <c r="N73" s="6">
        <v>3</v>
      </c>
      <c r="O73" s="6">
        <v>5</v>
      </c>
      <c r="P73" s="6">
        <v>7</v>
      </c>
      <c r="Q73" s="6">
        <v>7</v>
      </c>
      <c r="R73" s="6">
        <v>7</v>
      </c>
      <c r="S73" s="5">
        <f t="shared" si="22"/>
        <v>42</v>
      </c>
    </row>
    <row r="74" spans="1:19" x14ac:dyDescent="0.4">
      <c r="A74" s="7"/>
      <c r="B74" s="46"/>
      <c r="C74" s="24" t="s">
        <v>123</v>
      </c>
      <c r="D74" s="47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0</v>
      </c>
      <c r="L74" s="6">
        <v>1</v>
      </c>
      <c r="M74" s="6">
        <v>0</v>
      </c>
      <c r="N74" s="6">
        <v>0</v>
      </c>
      <c r="O74" s="6">
        <v>0</v>
      </c>
      <c r="P74" s="6">
        <v>1</v>
      </c>
      <c r="Q74" s="6">
        <v>2</v>
      </c>
      <c r="R74" s="6">
        <v>1</v>
      </c>
      <c r="S74" s="5">
        <f t="shared" si="22"/>
        <v>6</v>
      </c>
    </row>
    <row r="75" spans="1:19" x14ac:dyDescent="0.4">
      <c r="A75" s="7"/>
      <c r="B75" s="46"/>
      <c r="C75" s="24" t="s">
        <v>124</v>
      </c>
      <c r="D75" s="47"/>
      <c r="E75" s="6">
        <v>1</v>
      </c>
      <c r="F75" s="6">
        <v>1</v>
      </c>
      <c r="G75" s="6">
        <v>0</v>
      </c>
      <c r="H75" s="6">
        <v>3</v>
      </c>
      <c r="I75" s="6">
        <v>0</v>
      </c>
      <c r="J75" s="6">
        <v>2</v>
      </c>
      <c r="K75" s="6">
        <v>0</v>
      </c>
      <c r="L75" s="6">
        <v>7</v>
      </c>
      <c r="M75" s="6">
        <v>0</v>
      </c>
      <c r="N75" s="6">
        <v>1</v>
      </c>
      <c r="O75" s="6">
        <v>0</v>
      </c>
      <c r="P75" s="6">
        <v>0</v>
      </c>
      <c r="Q75" s="6">
        <v>1</v>
      </c>
      <c r="R75" s="6">
        <v>1</v>
      </c>
      <c r="S75" s="5">
        <f t="shared" si="22"/>
        <v>17</v>
      </c>
    </row>
    <row r="76" spans="1:19" ht="13.15" customHeight="1" x14ac:dyDescent="0.4">
      <c r="A76" s="7"/>
      <c r="B76" s="46"/>
      <c r="C76" s="24" t="s">
        <v>125</v>
      </c>
      <c r="D76" s="47"/>
      <c r="E76" s="6">
        <v>1</v>
      </c>
      <c r="F76" s="6">
        <v>0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5">
        <f t="shared" si="22"/>
        <v>2</v>
      </c>
    </row>
    <row r="77" spans="1:19" x14ac:dyDescent="0.4">
      <c r="A77" s="7"/>
      <c r="B77" s="46"/>
      <c r="C77" s="24" t="s">
        <v>126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5">
        <f t="shared" si="22"/>
        <v>0</v>
      </c>
    </row>
    <row r="78" spans="1:19" x14ac:dyDescent="0.4">
      <c r="A78" s="7"/>
      <c r="B78" s="46"/>
      <c r="C78" s="24" t="s">
        <v>127</v>
      </c>
      <c r="D78" s="47"/>
      <c r="E78" s="6">
        <v>0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5">
        <f t="shared" si="22"/>
        <v>1</v>
      </c>
    </row>
    <row r="79" spans="1:19" x14ac:dyDescent="0.4">
      <c r="A79" s="6" t="s">
        <v>26</v>
      </c>
      <c r="B79" s="71" t="s">
        <v>51</v>
      </c>
      <c r="C79" s="51"/>
      <c r="D79" s="52"/>
      <c r="E79" s="5">
        <f>SUM(E72:E78)</f>
        <v>6</v>
      </c>
      <c r="F79" s="5">
        <f>SUM(F72:F78)</f>
        <v>2</v>
      </c>
      <c r="G79" s="5">
        <f>SUM(G72:G78)</f>
        <v>4</v>
      </c>
      <c r="H79" s="5">
        <f>SUM(H72:H78)</f>
        <v>7</v>
      </c>
      <c r="I79" s="5">
        <f>SUM(I72:I78)</f>
        <v>11</v>
      </c>
      <c r="J79" s="5">
        <f>SUM(J72:J78)</f>
        <v>3</v>
      </c>
      <c r="K79" s="5">
        <f>SUM(K72:K78)</f>
        <v>6</v>
      </c>
      <c r="L79" s="5">
        <f>SUM(L72:L78)</f>
        <v>11</v>
      </c>
      <c r="M79" s="5">
        <f>SUM(M72:M78)</f>
        <v>0</v>
      </c>
      <c r="N79" s="5">
        <f>SUM(N72:N78)</f>
        <v>5</v>
      </c>
      <c r="O79" s="5">
        <f>SUM(O72:O78)</f>
        <v>5</v>
      </c>
      <c r="P79" s="5">
        <f>SUM(P72:P78)</f>
        <v>12</v>
      </c>
      <c r="Q79" s="5">
        <f>SUM(Q72:Q78)</f>
        <v>16</v>
      </c>
      <c r="R79" s="5">
        <f>SUM(R72:R78)</f>
        <v>11</v>
      </c>
      <c r="S79" s="5">
        <f>SUM(S72:S78)</f>
        <v>99</v>
      </c>
    </row>
    <row r="80" spans="1:19" x14ac:dyDescent="0.4">
      <c r="A80" s="77"/>
      <c r="B80" s="76"/>
      <c r="C80" s="76"/>
      <c r="D80" s="76"/>
      <c r="E80" s="76"/>
    </row>
    <row r="81" spans="1:19" x14ac:dyDescent="0.4">
      <c r="A81" s="11" t="s">
        <v>48</v>
      </c>
      <c r="B81" s="17" t="s">
        <v>55</v>
      </c>
      <c r="C81" s="79" t="s">
        <v>56</v>
      </c>
      <c r="D81" s="52"/>
      <c r="E81" s="6">
        <v>0</v>
      </c>
      <c r="F81" s="6">
        <v>2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1</v>
      </c>
      <c r="M81" s="6">
        <v>0</v>
      </c>
      <c r="N81" s="6">
        <v>0</v>
      </c>
      <c r="O81" s="6">
        <v>2</v>
      </c>
      <c r="P81" s="6">
        <v>1</v>
      </c>
      <c r="Q81" s="6">
        <v>0</v>
      </c>
      <c r="R81" s="6">
        <v>0</v>
      </c>
      <c r="S81" s="5">
        <f t="shared" ref="S81:S87" si="23">SUM(E81:R81)</f>
        <v>7</v>
      </c>
    </row>
    <row r="82" spans="1:19" x14ac:dyDescent="0.4">
      <c r="A82" s="11" t="s">
        <v>50</v>
      </c>
      <c r="B82" s="46"/>
      <c r="C82" s="24" t="s">
        <v>128</v>
      </c>
      <c r="D82" s="47"/>
      <c r="E82" s="6">
        <v>1</v>
      </c>
      <c r="F82" s="6">
        <v>3</v>
      </c>
      <c r="G82" s="6">
        <v>0</v>
      </c>
      <c r="H82" s="6">
        <v>0</v>
      </c>
      <c r="I82" s="6">
        <v>1</v>
      </c>
      <c r="J82" s="6">
        <v>0</v>
      </c>
      <c r="K82" s="6">
        <v>1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5">
        <f t="shared" si="23"/>
        <v>6</v>
      </c>
    </row>
    <row r="83" spans="1:19" x14ac:dyDescent="0.4">
      <c r="A83" s="7"/>
      <c r="B83" s="46"/>
      <c r="C83" s="24" t="s">
        <v>129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1</v>
      </c>
      <c r="J83" s="6">
        <v>1</v>
      </c>
      <c r="K83" s="6">
        <v>0</v>
      </c>
      <c r="L83" s="6">
        <v>1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5">
        <f t="shared" si="23"/>
        <v>4</v>
      </c>
    </row>
    <row r="84" spans="1:19" ht="13.15" customHeight="1" x14ac:dyDescent="0.4">
      <c r="A84" s="7"/>
      <c r="B84" s="46"/>
      <c r="C84" s="24" t="s">
        <v>130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2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5">
        <f t="shared" si="23"/>
        <v>3</v>
      </c>
    </row>
    <row r="85" spans="1:19" x14ac:dyDescent="0.4">
      <c r="A85" s="7"/>
      <c r="B85" s="46"/>
      <c r="C85" s="24" t="s">
        <v>131</v>
      </c>
      <c r="D85" s="47"/>
      <c r="E85" s="6">
        <v>0</v>
      </c>
      <c r="F85" s="6">
        <v>0</v>
      </c>
      <c r="G85" s="6">
        <v>1</v>
      </c>
      <c r="H85" s="6">
        <v>0</v>
      </c>
      <c r="I85" s="6">
        <v>0</v>
      </c>
      <c r="J85" s="6">
        <v>0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5">
        <f t="shared" si="23"/>
        <v>2</v>
      </c>
    </row>
    <row r="86" spans="1:19" x14ac:dyDescent="0.4">
      <c r="A86" s="7"/>
      <c r="B86" s="46"/>
      <c r="C86" s="24" t="s">
        <v>132</v>
      </c>
      <c r="D86" s="47"/>
      <c r="E86" s="6">
        <v>0</v>
      </c>
      <c r="F86" s="6">
        <v>0</v>
      </c>
      <c r="G86" s="6">
        <v>0</v>
      </c>
      <c r="H86" s="6">
        <v>8</v>
      </c>
      <c r="I86" s="6">
        <v>8</v>
      </c>
      <c r="J86" s="6">
        <v>4</v>
      </c>
      <c r="K86" s="6">
        <v>9</v>
      </c>
      <c r="L86" s="6">
        <v>17</v>
      </c>
      <c r="M86" s="6">
        <v>1</v>
      </c>
      <c r="N86" s="6">
        <v>5</v>
      </c>
      <c r="O86" s="6">
        <v>0</v>
      </c>
      <c r="P86" s="6">
        <v>0</v>
      </c>
      <c r="Q86" s="6">
        <v>0</v>
      </c>
      <c r="R86" s="6">
        <v>0</v>
      </c>
      <c r="S86" s="5">
        <f t="shared" si="23"/>
        <v>52</v>
      </c>
    </row>
    <row r="87" spans="1:19" x14ac:dyDescent="0.4">
      <c r="A87" s="7"/>
      <c r="B87" s="46"/>
      <c r="C87" s="24" t="s">
        <v>133</v>
      </c>
      <c r="D87" s="47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5">
        <f t="shared" si="23"/>
        <v>1</v>
      </c>
    </row>
    <row r="88" spans="1:19" x14ac:dyDescent="0.4">
      <c r="A88" s="6" t="s">
        <v>26</v>
      </c>
      <c r="B88" s="71" t="s">
        <v>51</v>
      </c>
      <c r="C88" s="51"/>
      <c r="D88" s="52"/>
      <c r="E88" s="5">
        <f>SUM(E81:E87)</f>
        <v>1</v>
      </c>
      <c r="F88" s="5">
        <f>SUM(F81:F87)</f>
        <v>5</v>
      </c>
      <c r="G88" s="5">
        <f>SUM(G81:G87)</f>
        <v>1</v>
      </c>
      <c r="H88" s="5">
        <f>SUM(H81:H87)</f>
        <v>8</v>
      </c>
      <c r="I88" s="5">
        <f>SUM(I81:I87)</f>
        <v>12</v>
      </c>
      <c r="J88" s="5">
        <f>SUM(J81:J87)</f>
        <v>6</v>
      </c>
      <c r="K88" s="5">
        <f>SUM(K81:K87)</f>
        <v>12</v>
      </c>
      <c r="L88" s="5">
        <f>SUM(L81:L87)</f>
        <v>20</v>
      </c>
      <c r="M88" s="5">
        <f>SUM(M81:M87)</f>
        <v>1</v>
      </c>
      <c r="N88" s="5">
        <f>SUM(N81:N87)</f>
        <v>5</v>
      </c>
      <c r="O88" s="5">
        <f>SUM(O81:O87)</f>
        <v>2</v>
      </c>
      <c r="P88" s="5">
        <f>SUM(P81:P87)</f>
        <v>1</v>
      </c>
      <c r="Q88" s="5">
        <f>SUM(Q81:Q87)</f>
        <v>1</v>
      </c>
      <c r="R88" s="5">
        <f>SUM(R81:R87)</f>
        <v>0</v>
      </c>
      <c r="S88" s="5">
        <f>SUM(S81:S87)</f>
        <v>75</v>
      </c>
    </row>
    <row r="89" spans="1:19" x14ac:dyDescent="0.4">
      <c r="A89" s="77"/>
      <c r="B89" s="76"/>
      <c r="C89" s="76"/>
      <c r="D89" s="76"/>
      <c r="E89" s="7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1:19" x14ac:dyDescent="0.4">
      <c r="A90" s="11" t="s">
        <v>48</v>
      </c>
      <c r="B90" s="17" t="s">
        <v>57</v>
      </c>
      <c r="C90" s="79" t="s">
        <v>58</v>
      </c>
      <c r="D90" s="52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5">
        <f t="shared" ref="S90" si="24">SUM(E90:R90)</f>
        <v>0</v>
      </c>
    </row>
    <row r="91" spans="1:19" ht="13.15" customHeight="1" x14ac:dyDescent="0.4">
      <c r="A91" s="6" t="s">
        <v>26</v>
      </c>
      <c r="B91" s="71" t="s">
        <v>51</v>
      </c>
      <c r="C91" s="80"/>
      <c r="D91" s="81"/>
      <c r="E91" s="5">
        <f>SUM(E90:E90)</f>
        <v>0</v>
      </c>
      <c r="F91" s="5">
        <f>SUM(F90:F90)</f>
        <v>0</v>
      </c>
      <c r="G91" s="5">
        <f>SUM(G90:G90)</f>
        <v>0</v>
      </c>
      <c r="H91" s="5">
        <f>SUM(H90:H90)</f>
        <v>0</v>
      </c>
      <c r="I91" s="5">
        <f>SUM(I90:I90)</f>
        <v>0</v>
      </c>
      <c r="J91" s="5">
        <f>SUM(J90:J90)</f>
        <v>0</v>
      </c>
      <c r="K91" s="5">
        <f>SUM(K90:K90)</f>
        <v>0</v>
      </c>
      <c r="L91" s="5">
        <f>SUM(L90:L90)</f>
        <v>0</v>
      </c>
      <c r="M91" s="5">
        <f>SUM(M90:M90)</f>
        <v>0</v>
      </c>
      <c r="N91" s="5">
        <f>SUM(N90:N90)</f>
        <v>0</v>
      </c>
      <c r="O91" s="5">
        <f>SUM(O90:O90)</f>
        <v>0</v>
      </c>
      <c r="P91" s="5">
        <f>SUM(P90:P90)</f>
        <v>0</v>
      </c>
      <c r="Q91" s="5">
        <f>SUM(Q90:Q90)</f>
        <v>0</v>
      </c>
      <c r="R91" s="5">
        <f>SUM(R90:R90)</f>
        <v>0</v>
      </c>
      <c r="S91" s="5">
        <f>SUM(S90:S90)</f>
        <v>0</v>
      </c>
    </row>
    <row r="92" spans="1:19" x14ac:dyDescent="0.4">
      <c r="A92" s="50"/>
      <c r="B92" s="82"/>
      <c r="C92" s="82"/>
      <c r="D92" s="82"/>
      <c r="E92" s="8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5"/>
    </row>
    <row r="93" spans="1:19" x14ac:dyDescent="0.4">
      <c r="A93" s="11" t="s">
        <v>48</v>
      </c>
      <c r="B93" s="17" t="s">
        <v>59</v>
      </c>
      <c r="C93" s="79" t="s">
        <v>60</v>
      </c>
      <c r="D93" s="5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5">
        <f t="shared" ref="S93:S96" si="25">SUM(E93:R93)</f>
        <v>0</v>
      </c>
    </row>
    <row r="94" spans="1:19" x14ac:dyDescent="0.4">
      <c r="A94" s="11" t="s">
        <v>50</v>
      </c>
      <c r="B94" s="46"/>
      <c r="C94" s="24" t="s">
        <v>134</v>
      </c>
      <c r="D94" s="4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5">
        <f t="shared" si="25"/>
        <v>0</v>
      </c>
    </row>
    <row r="95" spans="1:19" x14ac:dyDescent="0.4">
      <c r="A95" s="7"/>
      <c r="B95" s="46"/>
      <c r="C95" s="24" t="s">
        <v>135</v>
      </c>
      <c r="D95" s="4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5">
        <f t="shared" si="25"/>
        <v>0</v>
      </c>
    </row>
    <row r="96" spans="1:19" x14ac:dyDescent="0.4">
      <c r="A96" s="7"/>
      <c r="B96" s="46"/>
      <c r="C96" s="24" t="s">
        <v>136</v>
      </c>
      <c r="D96" s="4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5">
        <f t="shared" si="25"/>
        <v>0</v>
      </c>
    </row>
    <row r="97" spans="1:19" x14ac:dyDescent="0.4">
      <c r="A97" s="6" t="s">
        <v>26</v>
      </c>
      <c r="B97" s="71" t="s">
        <v>51</v>
      </c>
      <c r="C97" s="80"/>
      <c r="D97" s="81"/>
      <c r="E97" s="5">
        <f>SUM(E93:E96)</f>
        <v>0</v>
      </c>
      <c r="F97" s="5">
        <f>SUM(F93:F96)</f>
        <v>0</v>
      </c>
      <c r="G97" s="5">
        <f>SUM(G93:G96)</f>
        <v>0</v>
      </c>
      <c r="H97" s="5">
        <f>SUM(H93:H96)</f>
        <v>0</v>
      </c>
      <c r="I97" s="5">
        <f>SUM(I93:I96)</f>
        <v>0</v>
      </c>
      <c r="J97" s="5">
        <f>SUM(J93:J96)</f>
        <v>0</v>
      </c>
      <c r="K97" s="5">
        <f>SUM(K93:K96)</f>
        <v>0</v>
      </c>
      <c r="L97" s="5">
        <f>SUM(L93:L96)</f>
        <v>0</v>
      </c>
      <c r="M97" s="5">
        <f>SUM(M93:M96)</f>
        <v>0</v>
      </c>
      <c r="N97" s="5">
        <f>SUM(N93:N96)</f>
        <v>0</v>
      </c>
      <c r="O97" s="5">
        <f>SUM(O93:O96)</f>
        <v>0</v>
      </c>
      <c r="P97" s="5">
        <f>SUM(P93:P96)</f>
        <v>0</v>
      </c>
      <c r="Q97" s="5">
        <f>SUM(Q93:Q96)</f>
        <v>0</v>
      </c>
      <c r="R97" s="5">
        <f>SUM(R93:R96)</f>
        <v>0</v>
      </c>
      <c r="S97" s="5">
        <f>SUM(S93:S96)</f>
        <v>0</v>
      </c>
    </row>
    <row r="98" spans="1:19" x14ac:dyDescent="0.4">
      <c r="A98" s="50"/>
      <c r="B98" s="82"/>
      <c r="C98" s="82"/>
      <c r="D98" s="82"/>
      <c r="E98" s="8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1:19" x14ac:dyDescent="0.4">
      <c r="A99" s="11" t="s">
        <v>48</v>
      </c>
      <c r="B99" s="17" t="s">
        <v>61</v>
      </c>
      <c r="C99" s="79" t="s">
        <v>62</v>
      </c>
      <c r="D99" s="5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5">
        <f t="shared" ref="S99:S105" si="26">SUM(E99:R99)</f>
        <v>0</v>
      </c>
    </row>
    <row r="100" spans="1:19" ht="13.15" customHeight="1" x14ac:dyDescent="0.4">
      <c r="A100" s="11" t="s">
        <v>50</v>
      </c>
      <c r="B100" s="46"/>
      <c r="C100" s="24" t="s">
        <v>137</v>
      </c>
      <c r="D100" s="4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5">
        <f t="shared" si="26"/>
        <v>0</v>
      </c>
    </row>
    <row r="101" spans="1:19" x14ac:dyDescent="0.4">
      <c r="A101" s="7"/>
      <c r="B101" s="46"/>
      <c r="C101" s="24" t="s">
        <v>138</v>
      </c>
      <c r="D101" s="4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5">
        <f t="shared" si="26"/>
        <v>0</v>
      </c>
    </row>
    <row r="102" spans="1:19" x14ac:dyDescent="0.4">
      <c r="A102" s="7"/>
      <c r="B102" s="46"/>
      <c r="C102" s="24" t="s">
        <v>139</v>
      </c>
      <c r="D102" s="4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5">
        <f t="shared" si="26"/>
        <v>0</v>
      </c>
    </row>
    <row r="103" spans="1:19" x14ac:dyDescent="0.4">
      <c r="A103" s="7"/>
      <c r="B103" s="46"/>
      <c r="C103" s="24" t="s">
        <v>140</v>
      </c>
      <c r="D103" s="4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5">
        <f t="shared" si="26"/>
        <v>0</v>
      </c>
    </row>
    <row r="104" spans="1:19" x14ac:dyDescent="0.4">
      <c r="A104" s="7"/>
      <c r="B104" s="46"/>
      <c r="C104" s="24" t="s">
        <v>141</v>
      </c>
      <c r="D104" s="4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5">
        <f t="shared" si="26"/>
        <v>0</v>
      </c>
    </row>
    <row r="105" spans="1:19" x14ac:dyDescent="0.4">
      <c r="A105" s="7"/>
      <c r="B105" s="46"/>
      <c r="C105" s="24" t="s">
        <v>142</v>
      </c>
      <c r="D105" s="4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5">
        <f t="shared" si="26"/>
        <v>0</v>
      </c>
    </row>
    <row r="106" spans="1:19" x14ac:dyDescent="0.4">
      <c r="A106" s="6" t="s">
        <v>26</v>
      </c>
      <c r="B106" s="71" t="s">
        <v>51</v>
      </c>
      <c r="C106" s="80"/>
      <c r="D106" s="81"/>
      <c r="E106" s="5">
        <f>SUM(E99:E105)</f>
        <v>0</v>
      </c>
      <c r="F106" s="5">
        <f>SUM(F99:F105)</f>
        <v>0</v>
      </c>
      <c r="G106" s="5">
        <f>SUM(G99:G105)</f>
        <v>0</v>
      </c>
      <c r="H106" s="5">
        <f>SUM(H99:H105)</f>
        <v>0</v>
      </c>
      <c r="I106" s="5">
        <f>SUM(I99:I105)</f>
        <v>0</v>
      </c>
      <c r="J106" s="5">
        <f>SUM(J99:J105)</f>
        <v>0</v>
      </c>
      <c r="K106" s="5">
        <f>SUM(K99:K105)</f>
        <v>0</v>
      </c>
      <c r="L106" s="5">
        <f>SUM(L99:L105)</f>
        <v>0</v>
      </c>
      <c r="M106" s="5">
        <f>SUM(M99:M105)</f>
        <v>0</v>
      </c>
      <c r="N106" s="5">
        <f>SUM(N99:N105)</f>
        <v>0</v>
      </c>
      <c r="O106" s="5">
        <f>SUM(O99:O105)</f>
        <v>0</v>
      </c>
      <c r="P106" s="5">
        <f>SUM(P99:P105)</f>
        <v>0</v>
      </c>
      <c r="Q106" s="5">
        <f>SUM(Q99:Q105)</f>
        <v>0</v>
      </c>
      <c r="R106" s="5">
        <f>SUM(R99:R105)</f>
        <v>0</v>
      </c>
      <c r="S106" s="5">
        <f>SUM(S99:S105)</f>
        <v>0</v>
      </c>
    </row>
    <row r="107" spans="1:19" x14ac:dyDescent="0.4">
      <c r="A107" s="50"/>
      <c r="B107" s="82"/>
      <c r="C107" s="82"/>
      <c r="D107" s="82"/>
      <c r="E107" s="8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1:19" ht="13.15" customHeight="1" x14ac:dyDescent="0.4">
      <c r="A108" s="11" t="s">
        <v>48</v>
      </c>
      <c r="B108" s="17" t="s">
        <v>63</v>
      </c>
      <c r="C108" s="79" t="s">
        <v>64</v>
      </c>
      <c r="D108" s="5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ref="S108:S109" si="27">SUM(E108:R108)</f>
        <v>0</v>
      </c>
    </row>
    <row r="109" spans="1:19" x14ac:dyDescent="0.4">
      <c r="A109" s="11" t="s">
        <v>50</v>
      </c>
      <c r="B109" s="17"/>
      <c r="C109" s="24" t="s">
        <v>143</v>
      </c>
      <c r="D109" s="4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27"/>
        <v>0</v>
      </c>
    </row>
    <row r="110" spans="1:19" ht="13.15" customHeight="1" x14ac:dyDescent="0.4">
      <c r="A110" s="6" t="s">
        <v>26</v>
      </c>
      <c r="B110" s="71" t="s">
        <v>51</v>
      </c>
      <c r="C110" s="80"/>
      <c r="D110" s="81"/>
      <c r="E110" s="5">
        <f>SUM(E108:E109)</f>
        <v>0</v>
      </c>
      <c r="F110" s="5">
        <f>SUM(F108:F109)</f>
        <v>0</v>
      </c>
      <c r="G110" s="5">
        <f>SUM(G108:G109)</f>
        <v>0</v>
      </c>
      <c r="H110" s="5">
        <f>SUM(H108:H109)</f>
        <v>0</v>
      </c>
      <c r="I110" s="5">
        <f>SUM(I108:I109)</f>
        <v>0</v>
      </c>
      <c r="J110" s="5">
        <f>SUM(J108:J109)</f>
        <v>0</v>
      </c>
      <c r="K110" s="5">
        <f>SUM(K108:K109)</f>
        <v>0</v>
      </c>
      <c r="L110" s="5">
        <f>SUM(L108:L109)</f>
        <v>0</v>
      </c>
      <c r="M110" s="5">
        <f>SUM(M108:M109)</f>
        <v>0</v>
      </c>
      <c r="N110" s="5">
        <f>SUM(N108:N109)</f>
        <v>0</v>
      </c>
      <c r="O110" s="5">
        <f>SUM(O108:O109)</f>
        <v>0</v>
      </c>
      <c r="P110" s="5">
        <f>SUM(P108:P109)</f>
        <v>0</v>
      </c>
      <c r="Q110" s="5">
        <f>SUM(Q108:Q109)</f>
        <v>0</v>
      </c>
      <c r="R110" s="5">
        <f>SUM(R108:R109)</f>
        <v>0</v>
      </c>
      <c r="S110" s="5">
        <f>SUM(S108:S109)</f>
        <v>0</v>
      </c>
    </row>
    <row r="111" spans="1:19" x14ac:dyDescent="0.4">
      <c r="A111" s="50"/>
      <c r="B111" s="82"/>
      <c r="C111" s="82"/>
      <c r="D111" s="82"/>
      <c r="E111" s="8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5"/>
    </row>
    <row r="112" spans="1:19" x14ac:dyDescent="0.4">
      <c r="A112" s="11" t="s">
        <v>48</v>
      </c>
      <c r="B112" s="44" t="s">
        <v>65</v>
      </c>
      <c r="C112" s="84" t="s">
        <v>66</v>
      </c>
      <c r="D112" s="6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</v>
      </c>
      <c r="K112" s="6">
        <v>0</v>
      </c>
      <c r="L112" s="6">
        <v>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5">
        <f t="shared" ref="S112:S118" si="28">SUM(E112:R112)</f>
        <v>2</v>
      </c>
    </row>
    <row r="113" spans="1:19" x14ac:dyDescent="0.4">
      <c r="A113" s="48" t="s">
        <v>50</v>
      </c>
      <c r="B113" s="46"/>
      <c r="C113" s="24" t="s">
        <v>144</v>
      </c>
      <c r="D113" s="47"/>
      <c r="E113" s="49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5">
        <f t="shared" si="28"/>
        <v>0</v>
      </c>
    </row>
    <row r="114" spans="1:19" x14ac:dyDescent="0.4">
      <c r="A114" s="7"/>
      <c r="B114" s="46"/>
      <c r="C114" s="24" t="s">
        <v>145</v>
      </c>
      <c r="D114" s="47"/>
      <c r="E114" s="49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5">
        <f t="shared" si="28"/>
        <v>0</v>
      </c>
    </row>
    <row r="115" spans="1:19" x14ac:dyDescent="0.4">
      <c r="A115" s="7"/>
      <c r="B115" s="46"/>
      <c r="C115" s="24" t="s">
        <v>146</v>
      </c>
      <c r="D115" s="47"/>
      <c r="E115" s="49">
        <v>0</v>
      </c>
      <c r="F115" s="6">
        <v>0</v>
      </c>
      <c r="G115" s="6">
        <v>0</v>
      </c>
      <c r="H115" s="6">
        <v>12</v>
      </c>
      <c r="I115" s="6">
        <v>4</v>
      </c>
      <c r="J115" s="6">
        <v>11</v>
      </c>
      <c r="K115" s="6">
        <v>3</v>
      </c>
      <c r="L115" s="6">
        <v>3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1</v>
      </c>
      <c r="S115" s="5">
        <f t="shared" si="28"/>
        <v>34</v>
      </c>
    </row>
    <row r="116" spans="1:19" x14ac:dyDescent="0.4">
      <c r="A116" s="7"/>
      <c r="B116" s="46"/>
      <c r="C116" s="24" t="s">
        <v>147</v>
      </c>
      <c r="D116" s="47"/>
      <c r="E116" s="49">
        <v>0</v>
      </c>
      <c r="F116" s="6">
        <v>0</v>
      </c>
      <c r="G116" s="6">
        <v>0</v>
      </c>
      <c r="H116" s="6">
        <v>0</v>
      </c>
      <c r="I116" s="6">
        <v>0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5">
        <f t="shared" si="28"/>
        <v>1</v>
      </c>
    </row>
    <row r="117" spans="1:19" x14ac:dyDescent="0.4">
      <c r="A117" s="7"/>
      <c r="B117" s="46"/>
      <c r="C117" s="24" t="s">
        <v>148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5">
        <f t="shared" si="28"/>
        <v>0</v>
      </c>
    </row>
    <row r="118" spans="1:19" x14ac:dyDescent="0.4">
      <c r="A118" s="7"/>
      <c r="B118" s="46"/>
      <c r="C118" s="24" t="s">
        <v>149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5">
        <f t="shared" si="28"/>
        <v>0</v>
      </c>
    </row>
    <row r="119" spans="1:19" x14ac:dyDescent="0.4">
      <c r="A119" s="6" t="s">
        <v>26</v>
      </c>
      <c r="B119" s="85" t="s">
        <v>51</v>
      </c>
      <c r="C119" s="86"/>
      <c r="D119" s="87"/>
      <c r="E119" s="5">
        <f>SUM(E112:E118)</f>
        <v>0</v>
      </c>
      <c r="F119" s="5">
        <f>SUM(F112:F118)</f>
        <v>0</v>
      </c>
      <c r="G119" s="5">
        <f>SUM(G112:G118)</f>
        <v>0</v>
      </c>
      <c r="H119" s="5">
        <f>SUM(H112:H118)</f>
        <v>12</v>
      </c>
      <c r="I119" s="5">
        <f>SUM(I112:I118)</f>
        <v>4</v>
      </c>
      <c r="J119" s="5">
        <f>SUM(J112:J118)</f>
        <v>13</v>
      </c>
      <c r="K119" s="5">
        <f>SUM(K112:K118)</f>
        <v>3</v>
      </c>
      <c r="L119" s="5">
        <f>SUM(L112:L118)</f>
        <v>4</v>
      </c>
      <c r="M119" s="5">
        <f>SUM(M112:M118)</f>
        <v>0</v>
      </c>
      <c r="N119" s="5">
        <f>SUM(N112:N118)</f>
        <v>0</v>
      </c>
      <c r="O119" s="5">
        <f>SUM(O112:O118)</f>
        <v>0</v>
      </c>
      <c r="P119" s="5">
        <f>SUM(P112:P118)</f>
        <v>0</v>
      </c>
      <c r="Q119" s="5">
        <f>SUM(Q112:Q118)</f>
        <v>0</v>
      </c>
      <c r="R119" s="5">
        <f>SUM(R112:R118)</f>
        <v>1</v>
      </c>
      <c r="S119" s="5">
        <f>SUM(S112:S118)</f>
        <v>37</v>
      </c>
    </row>
    <row r="120" spans="1:19" x14ac:dyDescent="0.4">
      <c r="A120" s="50"/>
      <c r="B120" s="82"/>
      <c r="C120" s="82"/>
      <c r="D120" s="82"/>
      <c r="E120" s="8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1:19" ht="13.15" customHeight="1" x14ac:dyDescent="0.4">
      <c r="A121" s="11" t="s">
        <v>48</v>
      </c>
      <c r="B121" s="17" t="s">
        <v>67</v>
      </c>
      <c r="C121" s="79" t="s">
        <v>68</v>
      </c>
      <c r="D121" s="5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>
        <f t="shared" ref="S121" si="29">SUM(E121:R121)</f>
        <v>0</v>
      </c>
    </row>
    <row r="122" spans="1:19" x14ac:dyDescent="0.4">
      <c r="A122" s="6" t="s">
        <v>26</v>
      </c>
      <c r="B122" s="71" t="s">
        <v>51</v>
      </c>
      <c r="C122" s="80"/>
      <c r="D122" s="81"/>
      <c r="E122" s="5">
        <f>SUM(E121:E121)</f>
        <v>0</v>
      </c>
      <c r="F122" s="5">
        <f>SUM(F121:F121)</f>
        <v>0</v>
      </c>
      <c r="G122" s="5">
        <f>SUM(G121:G121)</f>
        <v>0</v>
      </c>
      <c r="H122" s="5">
        <f>SUM(H121:H121)</f>
        <v>0</v>
      </c>
      <c r="I122" s="5">
        <f>SUM(I121:I121)</f>
        <v>0</v>
      </c>
      <c r="J122" s="5">
        <f>SUM(J121:J121)</f>
        <v>0</v>
      </c>
      <c r="K122" s="5">
        <f>SUM(K121:K121)</f>
        <v>0</v>
      </c>
      <c r="L122" s="5">
        <f>SUM(L121:L121)</f>
        <v>0</v>
      </c>
      <c r="M122" s="5">
        <f>SUM(M121:M121)</f>
        <v>0</v>
      </c>
      <c r="N122" s="5">
        <f>SUM(N121:N121)</f>
        <v>0</v>
      </c>
      <c r="O122" s="5">
        <f>SUM(O121:O121)</f>
        <v>0</v>
      </c>
      <c r="P122" s="5">
        <f>SUM(P121:P121)</f>
        <v>0</v>
      </c>
      <c r="Q122" s="5">
        <f>SUM(Q121:Q121)</f>
        <v>0</v>
      </c>
      <c r="R122" s="5">
        <f>SUM(R121:R121)</f>
        <v>0</v>
      </c>
      <c r="S122" s="5">
        <f>SUM(S121:S121)</f>
        <v>0</v>
      </c>
    </row>
    <row r="123" spans="1:19" ht="13.15" customHeight="1" x14ac:dyDescent="0.4">
      <c r="A123" s="50"/>
      <c r="B123" s="82"/>
      <c r="C123" s="82"/>
      <c r="D123" s="82"/>
      <c r="E123" s="8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1:19" x14ac:dyDescent="0.4">
      <c r="A124" s="11" t="s">
        <v>48</v>
      </c>
      <c r="B124" s="17" t="s">
        <v>69</v>
      </c>
      <c r="C124" s="79" t="s">
        <v>70</v>
      </c>
      <c r="D124" s="52"/>
      <c r="E124" s="6"/>
      <c r="F124" s="6"/>
      <c r="G124" s="6"/>
      <c r="H124" s="6"/>
      <c r="I124" s="6">
        <v>1</v>
      </c>
      <c r="J124" s="6"/>
      <c r="K124" s="6"/>
      <c r="L124" s="6"/>
      <c r="M124" s="6"/>
      <c r="N124" s="6"/>
      <c r="O124" s="6"/>
      <c r="P124" s="6"/>
      <c r="Q124" s="6"/>
      <c r="R124" s="6"/>
      <c r="S124" s="5">
        <f t="shared" ref="S124:S128" si="30">SUM(E124:R124)</f>
        <v>1</v>
      </c>
    </row>
    <row r="125" spans="1:19" x14ac:dyDescent="0.4">
      <c r="A125" s="11" t="s">
        <v>50</v>
      </c>
      <c r="B125" s="46"/>
      <c r="C125" s="24" t="s">
        <v>150</v>
      </c>
      <c r="D125" s="4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5">
        <f t="shared" si="30"/>
        <v>0</v>
      </c>
    </row>
    <row r="126" spans="1:19" x14ac:dyDescent="0.4">
      <c r="A126" s="7"/>
      <c r="B126" s="46"/>
      <c r="C126" s="24" t="s">
        <v>151</v>
      </c>
      <c r="D126" s="4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5">
        <f t="shared" si="30"/>
        <v>0</v>
      </c>
    </row>
    <row r="127" spans="1:19" x14ac:dyDescent="0.4">
      <c r="A127" s="7"/>
      <c r="B127" s="46"/>
      <c r="C127" s="24" t="s">
        <v>152</v>
      </c>
      <c r="D127" s="47"/>
      <c r="E127" s="6"/>
      <c r="F127" s="6">
        <v>1</v>
      </c>
      <c r="G127" s="6">
        <v>3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5">
        <f t="shared" si="30"/>
        <v>4</v>
      </c>
    </row>
    <row r="128" spans="1:19" x14ac:dyDescent="0.4">
      <c r="A128" s="7"/>
      <c r="B128" s="46"/>
      <c r="C128" s="24" t="s">
        <v>153</v>
      </c>
      <c r="D128" s="4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5">
        <f t="shared" si="30"/>
        <v>0</v>
      </c>
    </row>
    <row r="129" spans="1:19" ht="13.15" customHeight="1" x14ac:dyDescent="0.4">
      <c r="A129" s="6" t="s">
        <v>26</v>
      </c>
      <c r="B129" s="71" t="s">
        <v>51</v>
      </c>
      <c r="C129" s="80"/>
      <c r="D129" s="81"/>
      <c r="E129" s="5">
        <f>SUM(E124:E128)</f>
        <v>0</v>
      </c>
      <c r="F129" s="5">
        <f>SUM(F124:F128)</f>
        <v>1</v>
      </c>
      <c r="G129" s="5">
        <f>SUM(G124:G128)</f>
        <v>3</v>
      </c>
      <c r="H129" s="5">
        <f>SUM(H124:H128)</f>
        <v>0</v>
      </c>
      <c r="I129" s="5">
        <f>SUM(I124:I128)</f>
        <v>1</v>
      </c>
      <c r="J129" s="5">
        <f>SUM(J124:J128)</f>
        <v>0</v>
      </c>
      <c r="K129" s="5">
        <f>SUM(K124:K128)</f>
        <v>0</v>
      </c>
      <c r="L129" s="5">
        <f>SUM(L124:L128)</f>
        <v>0</v>
      </c>
      <c r="M129" s="5">
        <f>SUM(M124:M128)</f>
        <v>0</v>
      </c>
      <c r="N129" s="5">
        <f>SUM(N124:N128)</f>
        <v>0</v>
      </c>
      <c r="O129" s="5">
        <f>SUM(O124:O128)</f>
        <v>0</v>
      </c>
      <c r="P129" s="5">
        <f>SUM(P124:P128)</f>
        <v>0</v>
      </c>
      <c r="Q129" s="5">
        <f>SUM(Q124:Q128)</f>
        <v>0</v>
      </c>
      <c r="R129" s="5">
        <f>SUM(R124:R128)</f>
        <v>0</v>
      </c>
      <c r="S129" s="5">
        <f>SUM(S124:S128)</f>
        <v>5</v>
      </c>
    </row>
    <row r="130" spans="1:19" x14ac:dyDescent="0.4">
      <c r="A130" s="50"/>
      <c r="B130" s="82"/>
      <c r="C130" s="82"/>
      <c r="D130" s="82"/>
      <c r="E130" s="83"/>
      <c r="F130" s="18"/>
      <c r="G130" s="18"/>
      <c r="H130" s="18"/>
      <c r="I130" s="18"/>
      <c r="J130" s="18"/>
      <c r="K130" s="18"/>
      <c r="L130" s="18"/>
      <c r="M130" s="18"/>
      <c r="N130" s="18"/>
      <c r="S130" s="5"/>
    </row>
    <row r="131" spans="1:19" x14ac:dyDescent="0.4">
      <c r="A131" s="11" t="s">
        <v>48</v>
      </c>
      <c r="B131" s="17" t="s">
        <v>71</v>
      </c>
      <c r="C131" s="79" t="s">
        <v>72</v>
      </c>
      <c r="D131" s="5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5">
        <f t="shared" ref="S131:S137" si="31">SUM(E131:R131)</f>
        <v>0</v>
      </c>
    </row>
    <row r="132" spans="1:19" x14ac:dyDescent="0.4">
      <c r="A132" s="11" t="s">
        <v>50</v>
      </c>
      <c r="B132" s="46"/>
      <c r="C132" s="24" t="s">
        <v>154</v>
      </c>
      <c r="D132" s="4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5">
        <f t="shared" si="31"/>
        <v>0</v>
      </c>
    </row>
    <row r="133" spans="1:19" x14ac:dyDescent="0.4">
      <c r="A133" s="7"/>
      <c r="B133" s="46"/>
      <c r="C133" s="24" t="s">
        <v>155</v>
      </c>
      <c r="D133" s="4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5">
        <f t="shared" si="31"/>
        <v>0</v>
      </c>
    </row>
    <row r="134" spans="1:19" x14ac:dyDescent="0.4">
      <c r="A134" s="7"/>
      <c r="B134" s="46"/>
      <c r="C134" s="24" t="s">
        <v>156</v>
      </c>
      <c r="D134" s="4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5">
        <f t="shared" si="31"/>
        <v>0</v>
      </c>
    </row>
    <row r="135" spans="1:19" x14ac:dyDescent="0.4">
      <c r="A135" s="7"/>
      <c r="B135" s="46"/>
      <c r="C135" s="24" t="s">
        <v>157</v>
      </c>
      <c r="D135" s="4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5">
        <f t="shared" si="31"/>
        <v>0</v>
      </c>
    </row>
    <row r="136" spans="1:19" x14ac:dyDescent="0.4">
      <c r="A136" s="7"/>
      <c r="B136" s="46"/>
      <c r="C136" s="24" t="s">
        <v>158</v>
      </c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>
        <f t="shared" si="31"/>
        <v>0</v>
      </c>
    </row>
    <row r="137" spans="1:19" x14ac:dyDescent="0.4">
      <c r="A137" s="7"/>
      <c r="B137" s="46"/>
      <c r="C137" s="24" t="s">
        <v>159</v>
      </c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>
        <f t="shared" si="31"/>
        <v>0</v>
      </c>
    </row>
    <row r="138" spans="1:19" x14ac:dyDescent="0.4">
      <c r="A138" s="6" t="s">
        <v>26</v>
      </c>
      <c r="B138" s="71" t="s">
        <v>51</v>
      </c>
      <c r="C138" s="80"/>
      <c r="D138" s="81"/>
      <c r="E138" s="5">
        <f>SUM(E131:E137)</f>
        <v>0</v>
      </c>
      <c r="F138" s="5">
        <f>SUM(F131:F137)</f>
        <v>0</v>
      </c>
      <c r="G138" s="5">
        <f>SUM(G131:G137)</f>
        <v>0</v>
      </c>
      <c r="H138" s="5">
        <f>SUM(H131:H137)</f>
        <v>0</v>
      </c>
      <c r="I138" s="5">
        <f>SUM(I131:I137)</f>
        <v>0</v>
      </c>
      <c r="J138" s="5">
        <f>SUM(J131:J137)</f>
        <v>0</v>
      </c>
      <c r="K138" s="5">
        <f>SUM(K131:K137)</f>
        <v>0</v>
      </c>
      <c r="L138" s="5">
        <f>SUM(L131:L137)</f>
        <v>0</v>
      </c>
      <c r="M138" s="5">
        <f>SUM(M131:M137)</f>
        <v>0</v>
      </c>
      <c r="N138" s="5">
        <f>SUM(N131:N137)</f>
        <v>0</v>
      </c>
      <c r="O138" s="5">
        <f>SUM(O131:O137)</f>
        <v>0</v>
      </c>
      <c r="P138" s="5">
        <f>SUM(P131:P137)</f>
        <v>0</v>
      </c>
      <c r="Q138" s="5">
        <f>SUM(Q131:Q137)</f>
        <v>0</v>
      </c>
      <c r="R138" s="5">
        <f>SUM(R131:R137)</f>
        <v>0</v>
      </c>
      <c r="S138" s="5">
        <f>SUM(S131:S137)</f>
        <v>0</v>
      </c>
    </row>
    <row r="139" spans="1:19" x14ac:dyDescent="0.4">
      <c r="A139" s="50"/>
      <c r="B139" s="82"/>
      <c r="C139" s="82"/>
      <c r="D139" s="82"/>
      <c r="E139" s="8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1:19" x14ac:dyDescent="0.4">
      <c r="A140" s="11" t="s">
        <v>48</v>
      </c>
      <c r="B140" s="17" t="s">
        <v>73</v>
      </c>
      <c r="C140" s="79" t="s">
        <v>74</v>
      </c>
      <c r="D140" s="52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5">
        <f t="shared" ref="S140:S146" si="32">SUM(E140:R140)</f>
        <v>0</v>
      </c>
    </row>
    <row r="141" spans="1:19" x14ac:dyDescent="0.4">
      <c r="A141" s="11" t="s">
        <v>50</v>
      </c>
      <c r="B141" s="46"/>
      <c r="C141" s="24" t="s">
        <v>160</v>
      </c>
      <c r="D141" s="4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5">
        <f t="shared" si="32"/>
        <v>0</v>
      </c>
    </row>
    <row r="142" spans="1:19" x14ac:dyDescent="0.4">
      <c r="A142" s="7"/>
      <c r="B142" s="46"/>
      <c r="C142" s="24" t="s">
        <v>161</v>
      </c>
      <c r="D142" s="4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>
        <f t="shared" si="32"/>
        <v>0</v>
      </c>
    </row>
    <row r="143" spans="1:19" x14ac:dyDescent="0.4">
      <c r="A143" s="7"/>
      <c r="B143" s="46"/>
      <c r="C143" s="24" t="s">
        <v>162</v>
      </c>
      <c r="D143" s="4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5">
        <f t="shared" si="32"/>
        <v>0</v>
      </c>
    </row>
    <row r="144" spans="1:19" x14ac:dyDescent="0.4">
      <c r="A144" s="7"/>
      <c r="B144" s="46"/>
      <c r="C144" s="24" t="s">
        <v>163</v>
      </c>
      <c r="D144" s="4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>
        <f t="shared" si="32"/>
        <v>0</v>
      </c>
    </row>
    <row r="145" spans="1:19" x14ac:dyDescent="0.4">
      <c r="A145" s="7"/>
      <c r="B145" s="46"/>
      <c r="C145" s="24" t="s">
        <v>164</v>
      </c>
      <c r="D145" s="4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>
        <f t="shared" si="32"/>
        <v>0</v>
      </c>
    </row>
    <row r="146" spans="1:19" ht="13.15" customHeight="1" x14ac:dyDescent="0.4">
      <c r="A146" s="7"/>
      <c r="B146" s="46"/>
      <c r="C146" s="24" t="s">
        <v>165</v>
      </c>
      <c r="D146" s="4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>
        <f t="shared" si="32"/>
        <v>0</v>
      </c>
    </row>
    <row r="147" spans="1:19" x14ac:dyDescent="0.4">
      <c r="A147" s="6" t="s">
        <v>26</v>
      </c>
      <c r="B147" s="71" t="s">
        <v>51</v>
      </c>
      <c r="C147" s="80"/>
      <c r="D147" s="81"/>
      <c r="E147" s="5">
        <f>SUM(E140:E146)</f>
        <v>0</v>
      </c>
      <c r="F147" s="5">
        <f>SUM(F140:F146)</f>
        <v>0</v>
      </c>
      <c r="G147" s="5">
        <f>SUM(G140:G146)</f>
        <v>0</v>
      </c>
      <c r="H147" s="5">
        <f>SUM(H140:H146)</f>
        <v>0</v>
      </c>
      <c r="I147" s="5">
        <f>SUM(I140:I146)</f>
        <v>0</v>
      </c>
      <c r="J147" s="5">
        <f>SUM(J140:J146)</f>
        <v>0</v>
      </c>
      <c r="K147" s="5">
        <f>SUM(K140:K146)</f>
        <v>0</v>
      </c>
      <c r="L147" s="5">
        <f>SUM(L140:L146)</f>
        <v>0</v>
      </c>
      <c r="M147" s="5">
        <f>SUM(M140:M146)</f>
        <v>0</v>
      </c>
      <c r="N147" s="5">
        <f>SUM(N140:N146)</f>
        <v>0</v>
      </c>
      <c r="O147" s="5">
        <f>SUM(O140:O146)</f>
        <v>0</v>
      </c>
      <c r="P147" s="5">
        <f>SUM(P140:P146)</f>
        <v>0</v>
      </c>
      <c r="Q147" s="5">
        <f>SUM(Q140:Q146)</f>
        <v>0</v>
      </c>
      <c r="R147" s="5">
        <f>SUM(R140:R146)</f>
        <v>0</v>
      </c>
      <c r="S147" s="5">
        <f>SUM(S140:S146)</f>
        <v>0</v>
      </c>
    </row>
    <row r="148" spans="1:19" x14ac:dyDescent="0.4">
      <c r="A148" s="50"/>
      <c r="B148" s="82"/>
      <c r="C148" s="82"/>
      <c r="D148" s="82"/>
      <c r="E148" s="8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1:19" x14ac:dyDescent="0.4">
      <c r="A149" s="11" t="s">
        <v>48</v>
      </c>
      <c r="B149" s="17" t="s">
        <v>75</v>
      </c>
      <c r="C149" s="79" t="s">
        <v>76</v>
      </c>
      <c r="D149" s="5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>
        <f t="shared" ref="S149:S150" si="33">SUM(E149:R149)</f>
        <v>0</v>
      </c>
    </row>
    <row r="150" spans="1:19" x14ac:dyDescent="0.4">
      <c r="A150" s="11" t="s">
        <v>50</v>
      </c>
      <c r="B150" s="46"/>
      <c r="C150" s="24" t="s">
        <v>166</v>
      </c>
      <c r="D150" s="4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>
        <f t="shared" si="33"/>
        <v>0</v>
      </c>
    </row>
    <row r="151" spans="1:19" x14ac:dyDescent="0.4">
      <c r="A151" s="6" t="s">
        <v>26</v>
      </c>
      <c r="B151" s="71" t="s">
        <v>51</v>
      </c>
      <c r="C151" s="80"/>
      <c r="D151" s="81"/>
      <c r="E151" s="5">
        <f>SUM(E149:E150)</f>
        <v>0</v>
      </c>
      <c r="F151" s="5">
        <f>SUM(F149:F150)</f>
        <v>0</v>
      </c>
      <c r="G151" s="5">
        <f>SUM(G149:G150)</f>
        <v>0</v>
      </c>
      <c r="H151" s="5">
        <f>SUM(H149:H150)</f>
        <v>0</v>
      </c>
      <c r="I151" s="5">
        <f>SUM(I149:I150)</f>
        <v>0</v>
      </c>
      <c r="J151" s="5">
        <f>SUM(J149:J150)</f>
        <v>0</v>
      </c>
      <c r="K151" s="5">
        <f>SUM(K149:K150)</f>
        <v>0</v>
      </c>
      <c r="L151" s="5">
        <f>SUM(L149:L150)</f>
        <v>0</v>
      </c>
      <c r="M151" s="5">
        <f>SUM(M149:M150)</f>
        <v>0</v>
      </c>
      <c r="N151" s="5">
        <f>SUM(N149:N150)</f>
        <v>0</v>
      </c>
      <c r="O151" s="5">
        <f>SUM(O149:O150)</f>
        <v>0</v>
      </c>
      <c r="P151" s="5">
        <f>SUM(P149:P150)</f>
        <v>0</v>
      </c>
      <c r="Q151" s="5">
        <f>SUM(Q149:Q150)</f>
        <v>0</v>
      </c>
      <c r="R151" s="5">
        <f>SUM(R149:R150)</f>
        <v>0</v>
      </c>
      <c r="S151" s="5">
        <f>SUM(S149:S150)</f>
        <v>0</v>
      </c>
    </row>
    <row r="152" spans="1:19" x14ac:dyDescent="0.4">
      <c r="A152" s="50"/>
      <c r="B152" s="82"/>
      <c r="C152" s="82"/>
      <c r="D152" s="82"/>
      <c r="E152" s="8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1:19" x14ac:dyDescent="0.4">
      <c r="A153" s="11" t="s">
        <v>48</v>
      </c>
      <c r="B153" s="17" t="s">
        <v>77</v>
      </c>
      <c r="C153" s="79" t="s">
        <v>78</v>
      </c>
      <c r="D153" s="5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5">
        <f t="shared" ref="S153:S156" si="34">SUM(E153:R153)</f>
        <v>0</v>
      </c>
    </row>
    <row r="154" spans="1:19" x14ac:dyDescent="0.4">
      <c r="A154" s="11" t="s">
        <v>50</v>
      </c>
      <c r="B154" s="17"/>
      <c r="C154" s="24" t="s">
        <v>167</v>
      </c>
      <c r="D154" s="4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5">
        <f t="shared" si="34"/>
        <v>0</v>
      </c>
    </row>
    <row r="155" spans="1:19" x14ac:dyDescent="0.4">
      <c r="A155" s="7"/>
      <c r="B155" s="17"/>
      <c r="C155" s="24" t="s">
        <v>168</v>
      </c>
      <c r="D155" s="4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5">
        <f t="shared" si="34"/>
        <v>0</v>
      </c>
    </row>
    <row r="156" spans="1:19" x14ac:dyDescent="0.4">
      <c r="A156" s="7"/>
      <c r="B156" s="17"/>
      <c r="C156" s="24" t="s">
        <v>169</v>
      </c>
      <c r="D156" s="4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5">
        <f t="shared" si="34"/>
        <v>0</v>
      </c>
    </row>
    <row r="157" spans="1:19" x14ac:dyDescent="0.4">
      <c r="A157" s="6" t="s">
        <v>26</v>
      </c>
      <c r="B157" s="71" t="s">
        <v>51</v>
      </c>
      <c r="C157" s="80"/>
      <c r="D157" s="81"/>
      <c r="E157" s="5">
        <f>SUM(E153:E156)</f>
        <v>0</v>
      </c>
      <c r="F157" s="5">
        <f>SUM(F153:F156)</f>
        <v>0</v>
      </c>
      <c r="G157" s="5">
        <f>SUM(G153:G156)</f>
        <v>0</v>
      </c>
      <c r="H157" s="5">
        <f>SUM(H153:H156)</f>
        <v>0</v>
      </c>
      <c r="I157" s="5">
        <f>SUM(I153:I156)</f>
        <v>0</v>
      </c>
      <c r="J157" s="5">
        <f>SUM(J153:J156)</f>
        <v>0</v>
      </c>
      <c r="K157" s="5">
        <f>SUM(K153:K156)</f>
        <v>0</v>
      </c>
      <c r="L157" s="5">
        <f>SUM(L153:L156)</f>
        <v>0</v>
      </c>
      <c r="M157" s="5">
        <f>SUM(M153:M156)</f>
        <v>0</v>
      </c>
      <c r="N157" s="5">
        <f>SUM(N153:N156)</f>
        <v>0</v>
      </c>
      <c r="O157" s="5">
        <f>SUM(O153:O156)</f>
        <v>0</v>
      </c>
      <c r="P157" s="5">
        <f>SUM(P153:P156)</f>
        <v>0</v>
      </c>
      <c r="Q157" s="5">
        <f>SUM(Q153:Q156)</f>
        <v>0</v>
      </c>
      <c r="R157" s="5">
        <f>SUM(R153:R156)</f>
        <v>0</v>
      </c>
      <c r="S157" s="5">
        <f>SUM(S153:S156)</f>
        <v>0</v>
      </c>
    </row>
    <row r="158" spans="1:19" x14ac:dyDescent="0.4">
      <c r="A158" s="50"/>
      <c r="B158" s="82"/>
      <c r="C158" s="82"/>
      <c r="D158" s="82"/>
      <c r="E158" s="8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1:19" x14ac:dyDescent="0.4">
      <c r="A159" s="11" t="s">
        <v>48</v>
      </c>
      <c r="B159" s="17" t="s">
        <v>79</v>
      </c>
      <c r="C159" s="79" t="s">
        <v>80</v>
      </c>
      <c r="D159" s="5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5">
        <f t="shared" ref="S159:S165" si="35">SUM(E159:R159)</f>
        <v>0</v>
      </c>
    </row>
    <row r="160" spans="1:19" x14ac:dyDescent="0.4">
      <c r="A160" s="11" t="s">
        <v>50</v>
      </c>
      <c r="B160" s="46"/>
      <c r="C160" s="24" t="s">
        <v>170</v>
      </c>
      <c r="D160" s="4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5">
        <f t="shared" si="35"/>
        <v>0</v>
      </c>
    </row>
    <row r="161" spans="1:19" x14ac:dyDescent="0.4">
      <c r="A161" s="7"/>
      <c r="B161" s="46"/>
      <c r="C161" s="24" t="s">
        <v>171</v>
      </c>
      <c r="D161" s="4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>
        <f t="shared" si="35"/>
        <v>0</v>
      </c>
    </row>
    <row r="162" spans="1:19" ht="13.15" customHeight="1" x14ac:dyDescent="0.4">
      <c r="A162" s="7"/>
      <c r="B162" s="46"/>
      <c r="C162" s="24" t="s">
        <v>172</v>
      </c>
      <c r="D162" s="4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>
        <f t="shared" si="35"/>
        <v>0</v>
      </c>
    </row>
    <row r="163" spans="1:19" x14ac:dyDescent="0.4">
      <c r="A163" s="7"/>
      <c r="B163" s="46"/>
      <c r="C163" s="24" t="s">
        <v>173</v>
      </c>
      <c r="D163" s="4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5">
        <f t="shared" si="35"/>
        <v>0</v>
      </c>
    </row>
    <row r="164" spans="1:19" ht="12.75" customHeight="1" x14ac:dyDescent="0.4">
      <c r="A164" s="7"/>
      <c r="B164" s="46"/>
      <c r="C164" s="24" t="s">
        <v>174</v>
      </c>
      <c r="D164" s="4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5">
        <f t="shared" si="35"/>
        <v>0</v>
      </c>
    </row>
    <row r="165" spans="1:19" x14ac:dyDescent="0.4">
      <c r="A165" s="7"/>
      <c r="B165" s="46"/>
      <c r="C165" s="24" t="s">
        <v>175</v>
      </c>
      <c r="D165" s="4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5">
        <f t="shared" si="35"/>
        <v>0</v>
      </c>
    </row>
    <row r="166" spans="1:19" ht="12.75" customHeight="1" x14ac:dyDescent="0.4">
      <c r="A166" s="6" t="s">
        <v>26</v>
      </c>
      <c r="B166" s="71" t="s">
        <v>51</v>
      </c>
      <c r="C166" s="80"/>
      <c r="D166" s="81"/>
      <c r="E166" s="5">
        <f>SUM(E159:E165)</f>
        <v>0</v>
      </c>
      <c r="F166" s="5">
        <f>SUM(F159:F165)</f>
        <v>0</v>
      </c>
      <c r="G166" s="5">
        <f>SUM(G159:G165)</f>
        <v>0</v>
      </c>
      <c r="H166" s="5">
        <f>SUM(H159:H165)</f>
        <v>0</v>
      </c>
      <c r="I166" s="5">
        <f>SUM(I159:I165)</f>
        <v>0</v>
      </c>
      <c r="J166" s="5">
        <f>SUM(J159:J165)</f>
        <v>0</v>
      </c>
      <c r="K166" s="5">
        <f>SUM(K159:K165)</f>
        <v>0</v>
      </c>
      <c r="L166" s="5">
        <f>SUM(L159:L165)</f>
        <v>0</v>
      </c>
      <c r="M166" s="5">
        <f>SUM(M159:M165)</f>
        <v>0</v>
      </c>
      <c r="N166" s="5">
        <f>SUM(N159:N165)</f>
        <v>0</v>
      </c>
      <c r="O166" s="5">
        <f>SUM(O159:O165)</f>
        <v>0</v>
      </c>
      <c r="P166" s="5">
        <f>SUM(P159:P165)</f>
        <v>0</v>
      </c>
      <c r="Q166" s="5">
        <f>SUM(Q159:Q165)</f>
        <v>0</v>
      </c>
      <c r="R166" s="5">
        <f>SUM(R159:R165)</f>
        <v>0</v>
      </c>
      <c r="S166" s="5">
        <f>SUM(S159:S165)</f>
        <v>0</v>
      </c>
    </row>
    <row r="167" spans="1:19" x14ac:dyDescent="0.4">
      <c r="A167" s="50"/>
      <c r="B167" s="82"/>
      <c r="C167" s="82"/>
      <c r="D167" s="82"/>
      <c r="E167" s="83"/>
    </row>
    <row r="168" spans="1:19" x14ac:dyDescent="0.4">
      <c r="A168" s="11" t="s">
        <v>48</v>
      </c>
      <c r="B168" s="17" t="s">
        <v>81</v>
      </c>
      <c r="C168" s="79" t="s">
        <v>82</v>
      </c>
      <c r="D168" s="5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>
        <f t="shared" ref="S168:S169" si="36">SUM(E168:R168)</f>
        <v>0</v>
      </c>
    </row>
    <row r="169" spans="1:19" x14ac:dyDescent="0.4">
      <c r="A169" s="11" t="s">
        <v>50</v>
      </c>
      <c r="B169" s="46"/>
      <c r="C169" s="24" t="s">
        <v>176</v>
      </c>
      <c r="D169" s="4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>
        <f t="shared" si="36"/>
        <v>0</v>
      </c>
    </row>
    <row r="170" spans="1:19" x14ac:dyDescent="0.4">
      <c r="A170" s="6" t="s">
        <v>26</v>
      </c>
      <c r="B170" s="71" t="s">
        <v>51</v>
      </c>
      <c r="C170" s="80"/>
      <c r="D170" s="81"/>
      <c r="E170" s="5">
        <f>SUM(E168:E169)</f>
        <v>0</v>
      </c>
      <c r="F170" s="5">
        <f>SUM(F168:F169)</f>
        <v>0</v>
      </c>
      <c r="G170" s="5">
        <f>SUM(G168:G169)</f>
        <v>0</v>
      </c>
      <c r="H170" s="5">
        <f>SUM(H168:H169)</f>
        <v>0</v>
      </c>
      <c r="I170" s="5">
        <f>SUM(I168:I169)</f>
        <v>0</v>
      </c>
      <c r="J170" s="5">
        <f>SUM(J168:J169)</f>
        <v>0</v>
      </c>
      <c r="K170" s="5">
        <f>SUM(K168:K169)</f>
        <v>0</v>
      </c>
      <c r="L170" s="5">
        <f>SUM(L168:L169)</f>
        <v>0</v>
      </c>
      <c r="M170" s="5">
        <f>SUM(M168:M169)</f>
        <v>0</v>
      </c>
      <c r="N170" s="5">
        <f>SUM(N168:N169)</f>
        <v>0</v>
      </c>
      <c r="O170" s="5">
        <f>SUM(O168:O169)</f>
        <v>0</v>
      </c>
      <c r="P170" s="5">
        <f>SUM(P168:P169)</f>
        <v>0</v>
      </c>
      <c r="Q170" s="5">
        <f>SUM(Q168:Q169)</f>
        <v>0</v>
      </c>
      <c r="R170" s="5">
        <f>SUM(R168:R169)</f>
        <v>0</v>
      </c>
      <c r="S170" s="5">
        <f>SUM(S168:S169)</f>
        <v>0</v>
      </c>
    </row>
    <row r="172" spans="1:19" x14ac:dyDescent="0.4">
      <c r="A172" s="16" t="s">
        <v>83</v>
      </c>
      <c r="B172" s="53" t="s">
        <v>84</v>
      </c>
      <c r="C172" s="90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15"/>
      <c r="O172" s="15"/>
      <c r="P172" s="15"/>
      <c r="Q172" s="15"/>
      <c r="R172" s="15"/>
      <c r="S172" s="5"/>
    </row>
    <row r="173" spans="1:19" x14ac:dyDescent="0.4">
      <c r="A173" s="16"/>
      <c r="B173" s="19" t="s">
        <v>85</v>
      </c>
      <c r="C173" s="88" t="s">
        <v>86</v>
      </c>
      <c r="D173" s="89"/>
      <c r="E173" s="6">
        <f>E52+E61+E70+E79+E88+E91+E97+E106+E110+E119+E122+E129+E138+E147+E151+E157+E166+E170</f>
        <v>119</v>
      </c>
      <c r="F173" s="6">
        <f>F52+F61+F70+F79+F88+F91+F97+F106+F110+F119+F122+F129+F138+F147+F151+F157+F166+F170</f>
        <v>117</v>
      </c>
      <c r="G173" s="6">
        <f>G52+G61+G70+G79+G88+G91+G97+G106+G110+G119+G122+G129+G138+G147+G151+G157+G166+G170</f>
        <v>106</v>
      </c>
      <c r="H173" s="6">
        <f>H52+H61+H70+H79+H88+H91+H97+H106+H110+H119+H122+H129+H138+H147+H151+H157+H166+H170</f>
        <v>167</v>
      </c>
      <c r="I173" s="6">
        <f>I52+I61+I70+I79+I88+I91+I97+I106+I110+I119+I122+I129+I138+I147+I151+I157+I166+I170</f>
        <v>178</v>
      </c>
      <c r="J173" s="6">
        <f>J52+J61+J70+J79+J88+J91+J97+J106+J110+J119+J122+J129+J138+J147+J151+J157+J166+J170</f>
        <v>164</v>
      </c>
      <c r="K173" s="6">
        <f>K52+K61+K70+K79+K88+K91+K97+K106+K110+K119+K122+K129+K138+K147+K151+K157+K166+K170</f>
        <v>181</v>
      </c>
      <c r="L173" s="6">
        <f>L52+L61+L70+L79+L88+L91+L97+L106+L110+L119+L122+L129+L138+L147+L151+L157+L166+L170</f>
        <v>190</v>
      </c>
      <c r="M173" s="6">
        <f>M52+M61+M70+M79+M88+M91+M97+M106+M110+M119+M122+M129+M138+M147+M151+M157+M166+M170</f>
        <v>175</v>
      </c>
      <c r="N173" s="6">
        <f>N52+N61+N70+N79+N88+N91+N97+N106+N110+N119+N122+N129+N138+N147+N151+N157+N166+N170</f>
        <v>168</v>
      </c>
      <c r="O173" s="6">
        <f>O52+O61+O70+O79+O88+O91+O97+O106+O110+O119+O122+O129+O138+O147+O151+O157+O166+O170</f>
        <v>137</v>
      </c>
      <c r="P173" s="6">
        <f>P52+P61+P70+P79+P88+P91+P97+P106+P110+P119+P122+P129+P138+P147+P151+P157+P166+P170</f>
        <v>131</v>
      </c>
      <c r="Q173" s="6">
        <f>Q52+Q61+Q70+Q79+Q88+Q91+Q97+Q106+Q110+Q119+Q122+Q129+Q138+Q147+Q151+Q157+Q166+Q170</f>
        <v>112</v>
      </c>
      <c r="R173" s="6">
        <f>R52+R61+R70+R79+R88+R91+R97+R106+R110+R119+R122+R129+R138+R147+R151+R157+R166+R170</f>
        <v>97</v>
      </c>
      <c r="S173" s="5">
        <f>SUM(E173:R173)</f>
        <v>2042</v>
      </c>
    </row>
    <row r="174" spans="1:19" x14ac:dyDescent="0.4">
      <c r="A174" s="13"/>
      <c r="B174" s="19" t="s">
        <v>87</v>
      </c>
      <c r="C174" s="88" t="s">
        <v>88</v>
      </c>
      <c r="D174" s="8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>
        <f>SUM(E174:R174)</f>
        <v>0</v>
      </c>
    </row>
    <row r="175" spans="1:19" x14ac:dyDescent="0.4">
      <c r="A175" s="14"/>
      <c r="B175" s="19" t="s">
        <v>89</v>
      </c>
      <c r="C175" s="88" t="s">
        <v>90</v>
      </c>
      <c r="D175" s="89"/>
      <c r="E175" s="5">
        <f>SUM(E173:E174)</f>
        <v>119</v>
      </c>
      <c r="F175" s="5">
        <f t="shared" ref="F175:N175" si="37">SUM(F173:F174)</f>
        <v>117</v>
      </c>
      <c r="G175" s="5">
        <f t="shared" si="37"/>
        <v>106</v>
      </c>
      <c r="H175" s="5">
        <f t="shared" si="37"/>
        <v>167</v>
      </c>
      <c r="I175" s="5">
        <f t="shared" si="37"/>
        <v>178</v>
      </c>
      <c r="J175" s="5">
        <f t="shared" si="37"/>
        <v>164</v>
      </c>
      <c r="K175" s="5">
        <f t="shared" si="37"/>
        <v>181</v>
      </c>
      <c r="L175" s="5">
        <f t="shared" si="37"/>
        <v>190</v>
      </c>
      <c r="M175" s="5">
        <f t="shared" si="37"/>
        <v>175</v>
      </c>
      <c r="N175" s="5">
        <f t="shared" si="37"/>
        <v>168</v>
      </c>
      <c r="O175" s="5">
        <f t="shared" ref="O175:R175" si="38">SUM(O173:O174)</f>
        <v>137</v>
      </c>
      <c r="P175" s="5">
        <f t="shared" si="38"/>
        <v>131</v>
      </c>
      <c r="Q175" s="5">
        <f t="shared" si="38"/>
        <v>112</v>
      </c>
      <c r="R175" s="5">
        <f t="shared" si="38"/>
        <v>97</v>
      </c>
      <c r="S175" s="5">
        <f>SUM(E175:R175)</f>
        <v>2042</v>
      </c>
    </row>
  </sheetData>
  <mergeCells count="86">
    <mergeCell ref="B166:D166"/>
    <mergeCell ref="A139:E139"/>
    <mergeCell ref="C140:D140"/>
    <mergeCell ref="B147:D147"/>
    <mergeCell ref="A148:E148"/>
    <mergeCell ref="C149:D149"/>
    <mergeCell ref="B151:D151"/>
    <mergeCell ref="A152:E152"/>
    <mergeCell ref="C153:D153"/>
    <mergeCell ref="B157:D157"/>
    <mergeCell ref="A158:E158"/>
    <mergeCell ref="C159:D159"/>
    <mergeCell ref="C175:D175"/>
    <mergeCell ref="A167:E167"/>
    <mergeCell ref="C168:D168"/>
    <mergeCell ref="B170:D170"/>
    <mergeCell ref="B172:D172"/>
    <mergeCell ref="C173:D173"/>
    <mergeCell ref="C174:D174"/>
    <mergeCell ref="B138:D138"/>
    <mergeCell ref="B129:D129"/>
    <mergeCell ref="A130:E130"/>
    <mergeCell ref="A111:E111"/>
    <mergeCell ref="C112:D112"/>
    <mergeCell ref="B119:D119"/>
    <mergeCell ref="A120:E120"/>
    <mergeCell ref="C121:D121"/>
    <mergeCell ref="C131:D131"/>
    <mergeCell ref="B122:D122"/>
    <mergeCell ref="A123:E123"/>
    <mergeCell ref="C124:D124"/>
    <mergeCell ref="B110:D110"/>
    <mergeCell ref="A89:E89"/>
    <mergeCell ref="C90:D90"/>
    <mergeCell ref="B91:D91"/>
    <mergeCell ref="A92:E92"/>
    <mergeCell ref="C93:D93"/>
    <mergeCell ref="B97:D97"/>
    <mergeCell ref="A98:E98"/>
    <mergeCell ref="C99:D99"/>
    <mergeCell ref="B106:D106"/>
    <mergeCell ref="A107:E107"/>
    <mergeCell ref="C108:D108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52:D52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R12"/>
    <mergeCell ref="S12:S13"/>
    <mergeCell ref="B13:D13"/>
    <mergeCell ref="B14:C16"/>
  </mergeCells>
  <phoneticPr fontId="8" type="noConversion"/>
  <conditionalFormatting sqref="E14:R15">
    <cfRule type="containsBlanks" dxfId="28" priority="20">
      <formula>LEN(TRIM(E14))=0</formula>
    </cfRule>
  </conditionalFormatting>
  <conditionalFormatting sqref="E19:R20">
    <cfRule type="containsBlanks" dxfId="27" priority="23">
      <formula>LEN(TRIM(E19))=0</formula>
    </cfRule>
  </conditionalFormatting>
  <conditionalFormatting sqref="E22:R23 E25:R26 E33:R33 E35:R35 E39:R40">
    <cfRule type="containsBlanks" dxfId="26" priority="24">
      <formula>LEN(TRIM(E22))=0</formula>
    </cfRule>
  </conditionalFormatting>
  <conditionalFormatting sqref="E30:R30">
    <cfRule type="expression" dxfId="25" priority="25">
      <formula>E30&lt;&gt;E47</formula>
    </cfRule>
    <cfRule type="expression" dxfId="24" priority="26">
      <formula>E30&lt;&gt;E34</formula>
    </cfRule>
  </conditionalFormatting>
  <conditionalFormatting sqref="E45:R51">
    <cfRule type="containsBlanks" dxfId="23" priority="19">
      <formula>LEN(TRIM(E45))=0</formula>
    </cfRule>
  </conditionalFormatting>
  <conditionalFormatting sqref="E54:R60">
    <cfRule type="containsBlanks" dxfId="22" priority="18">
      <formula>LEN(TRIM(E54))=0</formula>
    </cfRule>
  </conditionalFormatting>
  <conditionalFormatting sqref="E63:R69">
    <cfRule type="containsBlanks" dxfId="21" priority="17">
      <formula>LEN(TRIM(E63))=0</formula>
    </cfRule>
  </conditionalFormatting>
  <conditionalFormatting sqref="E72:R78">
    <cfRule type="containsBlanks" dxfId="20" priority="16">
      <formula>LEN(TRIM(E72))=0</formula>
    </cfRule>
  </conditionalFormatting>
  <conditionalFormatting sqref="E81:R87">
    <cfRule type="containsBlanks" dxfId="19" priority="15">
      <formula>LEN(TRIM(E81))=0</formula>
    </cfRule>
  </conditionalFormatting>
  <conditionalFormatting sqref="E90:R90">
    <cfRule type="containsBlanks" dxfId="18" priority="14">
      <formula>LEN(TRIM(E90))=0</formula>
    </cfRule>
  </conditionalFormatting>
  <conditionalFormatting sqref="E93:R96">
    <cfRule type="containsBlanks" dxfId="17" priority="1">
      <formula>LEN(TRIM(E93))=0</formula>
    </cfRule>
  </conditionalFormatting>
  <conditionalFormatting sqref="E99:R105">
    <cfRule type="containsBlanks" dxfId="16" priority="13">
      <formula>LEN(TRIM(E99))=0</formula>
    </cfRule>
  </conditionalFormatting>
  <conditionalFormatting sqref="E108:R109">
    <cfRule type="containsBlanks" dxfId="15" priority="12">
      <formula>LEN(TRIM(E108))=0</formula>
    </cfRule>
  </conditionalFormatting>
  <conditionalFormatting sqref="E112:R118">
    <cfRule type="containsBlanks" dxfId="14" priority="3">
      <formula>LEN(TRIM(E112))=0</formula>
    </cfRule>
  </conditionalFormatting>
  <conditionalFormatting sqref="E121:R121">
    <cfRule type="containsBlanks" dxfId="13" priority="11">
      <formula>LEN(TRIM(E121))=0</formula>
    </cfRule>
  </conditionalFormatting>
  <conditionalFormatting sqref="E124:R128">
    <cfRule type="containsBlanks" dxfId="12" priority="10">
      <formula>LEN(TRIM(E124))=0</formula>
    </cfRule>
  </conditionalFormatting>
  <conditionalFormatting sqref="E131:R137">
    <cfRule type="containsBlanks" dxfId="11" priority="9">
      <formula>LEN(TRIM(E131))=0</formula>
    </cfRule>
  </conditionalFormatting>
  <conditionalFormatting sqref="E140:R146">
    <cfRule type="containsBlanks" dxfId="10" priority="8">
      <formula>LEN(TRIM(E140))=0</formula>
    </cfRule>
  </conditionalFormatting>
  <conditionalFormatting sqref="E149:R150">
    <cfRule type="containsBlanks" dxfId="9" priority="7">
      <formula>LEN(TRIM(E149))=0</formula>
    </cfRule>
  </conditionalFormatting>
  <conditionalFormatting sqref="E153:R156">
    <cfRule type="containsBlanks" dxfId="8" priority="6">
      <formula>LEN(TRIM(E153))=0</formula>
    </cfRule>
  </conditionalFormatting>
  <conditionalFormatting sqref="E159:R165">
    <cfRule type="containsBlanks" dxfId="7" priority="5">
      <formula>LEN(TRIM(E159))=0</formula>
    </cfRule>
  </conditionalFormatting>
  <conditionalFormatting sqref="E168:R169">
    <cfRule type="containsBlanks" dxfId="6" priority="4">
      <formula>LEN(TRIM(E168))=0</formula>
    </cfRule>
  </conditionalFormatting>
  <conditionalFormatting sqref="E173:R174">
    <cfRule type="containsBlanks" dxfId="5" priority="2">
      <formula>LEN(TRIM(E173))=0</formula>
    </cfRule>
  </conditionalFormatting>
  <conditionalFormatting sqref="E34:R34">
    <cfRule type="expression" dxfId="4" priority="105">
      <formula>E30&lt;&gt;E34</formula>
    </cfRule>
    <cfRule type="expression" dxfId="3" priority="106">
      <formula>E30=E34</formula>
    </cfRule>
    <cfRule type="expression" dxfId="2" priority="107">
      <formula>E34&lt;&gt;E30</formula>
    </cfRule>
    <cfRule type="expression" dxfId="1" priority="108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DPRD KABUPATEN</vt:lpstr>
      <vt:lpstr>ALASMALANG</vt:lpstr>
      <vt:lpstr>BENELAN KIDUL</vt:lpstr>
      <vt:lpstr>CANTUK</vt:lpstr>
      <vt:lpstr>GAMBOR</vt:lpstr>
      <vt:lpstr>GUMIRIH</vt:lpstr>
      <vt:lpstr>KEMIRI</vt:lpstr>
      <vt:lpstr>LEMAHBANGKULON</vt:lpstr>
      <vt:lpstr>PADANG</vt:lpstr>
      <vt:lpstr>SINGOJURUH</vt:lpstr>
      <vt:lpstr>SINGOLATREN</vt:lpstr>
      <vt:lpstr>SUMBERBARU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dokumentasi.kpubwi@gmail.com</cp:lastModifiedBy>
  <dcterms:created xsi:type="dcterms:W3CDTF">2026-01-14T02:26:01Z</dcterms:created>
  <dcterms:modified xsi:type="dcterms:W3CDTF">2026-02-10T07:06:09Z</dcterms:modified>
</cp:coreProperties>
</file>