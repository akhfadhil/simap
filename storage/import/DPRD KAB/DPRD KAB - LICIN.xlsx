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PRD KABUPATEN" sheetId="1" r:id="rId4"/>
    <sheet state="visible" name="BANJAR" sheetId="2" r:id="rId5"/>
    <sheet state="visible" name="GUMUK" sheetId="3" r:id="rId6"/>
    <sheet state="visible" name="JELUN" sheetId="4" r:id="rId7"/>
    <sheet state="visible" name="KLUNCING" sheetId="5" r:id="rId8"/>
    <sheet state="visible" name="LICIN" sheetId="6" r:id="rId9"/>
    <sheet state="visible" name="PAKEL" sheetId="7" r:id="rId10"/>
    <sheet state="visible" name="SEGOBANG" sheetId="8" r:id="rId11"/>
    <sheet state="visible" name="TAMANSARI" sheetId="9" r:id="rId12"/>
  </sheets>
  <definedNames/>
  <calcPr/>
  <extLst>
    <ext uri="GoogleSheetsCustomDataVersion2">
      <go:sheetsCustomData xmlns:go="http://customooxmlschemas.google.com/" r:id="rId13" roundtripDataChecksum="5rOMWmYLA/A4K10VOrzi6fs0o3T/MXlmPytSWm9k9R4="/>
    </ext>
  </extLst>
</workbook>
</file>

<file path=xl/sharedStrings.xml><?xml version="1.0" encoding="utf-8"?>
<sst xmlns="http://schemas.openxmlformats.org/spreadsheetml/2006/main" count="2341" uniqueCount="193">
  <si>
    <t>Kecamatan</t>
  </si>
  <si>
    <t>LICIN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</si>
  <si>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</si>
  <si>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</si>
  <si>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</si>
  <si>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</si>
  <si>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</si>
  <si>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</si>
  <si>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</si>
  <si>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</si>
  <si>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</si>
  <si>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</si>
  <si>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</si>
  <si>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</si>
  <si>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</si>
  <si>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</si>
  <si>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</si>
  <si>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</si>
  <si>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</si>
  <si>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</si>
  <si>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</si>
  <si>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</si>
  <si>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</si>
  <si>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</si>
  <si>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</si>
  <si>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</si>
  <si>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</si>
  <si>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</si>
  <si>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</si>
  <si>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</si>
  <si>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</si>
  <si>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</si>
  <si>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</si>
  <si>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</si>
  <si>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</si>
  <si>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</si>
  <si>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</si>
  <si>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</si>
  <si>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</si>
  <si>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</si>
  <si>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HJ. SITI MAKHROCHATIN NI’MAH, S.PD., M.M.</t>
  </si>
  <si>
    <t>A. TAUFIK</t>
  </si>
  <si>
    <t>KHOIRUL FAHMI ISKANDAR, S.PD</t>
  </si>
  <si>
    <t>AKHMAD, S.PD., M.M.</t>
  </si>
  <si>
    <t>SOFI WULANDARI, S.H.</t>
  </si>
  <si>
    <t>AL MA’ARIF</t>
  </si>
  <si>
    <t>JUMLAH SUARA SAH PARTAI POLITIK DAN CALON (A1 + A2)</t>
  </si>
  <si>
    <t>Partai Gerakan Indonesia Raya</t>
  </si>
  <si>
    <t>ASRILA DISKA RIMUNDA</t>
  </si>
  <si>
    <t>ANIK MUSYAROFAH</t>
  </si>
  <si>
    <t>JOKO MISBONO</t>
  </si>
  <si>
    <t>REKTO PUSPITASARI</t>
  </si>
  <si>
    <t>AHMAD KHOMSI WAHYUDI</t>
  </si>
  <si>
    <t>ACHI RIZAL FIRDAUS</t>
  </si>
  <si>
    <t>Partai Demokrasi Indonesia Perjuangan</t>
  </si>
  <si>
    <t>I MADE CAHYANA NEGARA, S.E.</t>
  </si>
  <si>
    <t>AGUS WAHYU PANOTO, S.H.</t>
  </si>
  <si>
    <t>IIS SUMIYATI</t>
  </si>
  <si>
    <t>ACHMAD MUZAMMIL</t>
  </si>
  <si>
    <t>WENDRIAWANTO</t>
  </si>
  <si>
    <t>PUTRI MEGA AYU WIDIARTI</t>
  </si>
  <si>
    <t>Partai Golongan Karya</t>
  </si>
  <si>
    <t>UMI KULSUM, S.H.</t>
  </si>
  <si>
    <t>SONNY PRAKOSO INDRA, S.E.</t>
  </si>
  <si>
    <t>ERJUNA SITI FATIMAH</t>
  </si>
  <si>
    <t>SITI MARIYAM</t>
  </si>
  <si>
    <t>HERU SUKARNO, S.H.</t>
  </si>
  <si>
    <t>AHMAD MUZAYYIN</t>
  </si>
  <si>
    <t>5.</t>
  </si>
  <si>
    <t>Partai NasDem</t>
  </si>
  <si>
    <t>DRS. MOH. PADIL</t>
  </si>
  <si>
    <t>ALEX WIJAYA KUSUMA</t>
  </si>
  <si>
    <t>DANY FARDA MIHMDIAT</t>
  </si>
  <si>
    <t>UNTUNG AL AKBAR</t>
  </si>
  <si>
    <t>SETYO PONCO UTOMO</t>
  </si>
  <si>
    <t>LIA ALYSTIA NINGRUM, S.PD.</t>
  </si>
  <si>
    <t>6.</t>
  </si>
  <si>
    <t>Partai Buruh</t>
  </si>
  <si>
    <t>-</t>
  </si>
  <si>
    <t>7.</t>
  </si>
  <si>
    <t>Partai Gelombang Rakyat Indonesia</t>
  </si>
  <si>
    <t>ELY SODIKIN</t>
  </si>
  <si>
    <t>BAGUS WAHONO</t>
  </si>
  <si>
    <t>ARTIS YOGYA KARTIKA</t>
  </si>
  <si>
    <t>IMAM HAKTONO</t>
  </si>
  <si>
    <t>8.</t>
  </si>
  <si>
    <t>Partai Keadilan Sejahtera</t>
  </si>
  <si>
    <t>FAISOL AZZ, A.MD.</t>
  </si>
  <si>
    <t>HAYATUL MAKIN</t>
  </si>
  <si>
    <t>SAKI HANDAYANI</t>
  </si>
  <si>
    <t>ASMAWIYANTO, A.MA.</t>
  </si>
  <si>
    <t>SANTI SETYOWATI</t>
  </si>
  <si>
    <t>SUPARNO, S.T.</t>
  </si>
  <si>
    <t>9.</t>
  </si>
  <si>
    <t>Partai Kebangkitan Nusantara</t>
  </si>
  <si>
    <t>YAKUP YULIANTO</t>
  </si>
  <si>
    <t>TRIA UTAMA</t>
  </si>
  <si>
    <t>ANIS KHAFIFAH MZ</t>
  </si>
  <si>
    <t>10.</t>
  </si>
  <si>
    <t>Partai Hati Nurani Rakyat</t>
  </si>
  <si>
    <t>H. HARIONO</t>
  </si>
  <si>
    <t>GOPUR BACHITAR, S.T.</t>
  </si>
  <si>
    <t>BONIMAH</t>
  </si>
  <si>
    <t>AGUS PRAYOGI</t>
  </si>
  <si>
    <t>DWI FITRIA PRATIWI</t>
  </si>
  <si>
    <t>NURUL MAKIYAH, S.PD.</t>
  </si>
  <si>
    <t>11.</t>
  </si>
  <si>
    <t>Partai Garda Republik Indonesia</t>
  </si>
  <si>
    <t>12.</t>
  </si>
  <si>
    <t>Partai Amanat Nasional</t>
  </si>
  <si>
    <t>HJ. SUPRIYANTI, S.E.</t>
  </si>
  <si>
    <t>FIRMAN</t>
  </si>
  <si>
    <t>SAIFUL</t>
  </si>
  <si>
    <t>SULTAN BAUZIR</t>
  </si>
  <si>
    <t>PUTRI ANTARI</t>
  </si>
  <si>
    <t>TAUFIQ TANTOWI</t>
  </si>
  <si>
    <t>13.</t>
  </si>
  <si>
    <t>Partai Bulan Bintang</t>
  </si>
  <si>
    <t>SATRA BUDI UTOMO</t>
  </si>
  <si>
    <t>DEKY ZULKARNAIN</t>
  </si>
  <si>
    <t>WINARTI, S.PD.</t>
  </si>
  <si>
    <t>DIDIT HARYANTO</t>
  </si>
  <si>
    <t>H. SRI FIDIASTUTIK</t>
  </si>
  <si>
    <t>14.</t>
  </si>
  <si>
    <t>Partai Demokrat</t>
  </si>
  <si>
    <t>MOH. KHOLIL ARROSYID, S.H.</t>
  </si>
  <si>
    <t>JULISETYO PUJI RAHAYU, S.SOS., S.H., M.H.</t>
  </si>
  <si>
    <t>MOH. YANI</t>
  </si>
  <si>
    <t>YUSUF KURNIAWAN</t>
  </si>
  <si>
    <t>MASIYAH KURNIAWATI YULIATIN</t>
  </si>
  <si>
    <t>MOHAMMAD SYAFRIL</t>
  </si>
  <si>
    <t>15.</t>
  </si>
  <si>
    <t>Partai Solidaritas Indonesia</t>
  </si>
  <si>
    <t>SUKIRNO</t>
  </si>
  <si>
    <t>WINDA DWI KURNIAWATI</t>
  </si>
  <si>
    <t>16.</t>
  </si>
  <si>
    <t>PARTAI PERINDO</t>
  </si>
  <si>
    <t>RADHITYA KEMARA YUSANDHI, S.E.</t>
  </si>
  <si>
    <t>HEKSA SHINTA PRATIWI</t>
  </si>
  <si>
    <t>NADYA SHARA DIVA ROSSANO</t>
  </si>
  <si>
    <t>17.</t>
  </si>
  <si>
    <t>Partai Persatuan Pembangunan</t>
  </si>
  <si>
    <t>JAENURI, S.H., M.H.</t>
  </si>
  <si>
    <t>INDRIYANI</t>
  </si>
  <si>
    <t>AHMAD KHOIRUL ANAM</t>
  </si>
  <si>
    <t>ISLAMIYAH</t>
  </si>
  <si>
    <t>BUANG HARYANTO</t>
  </si>
  <si>
    <t>SYAIFUR ROHMAN, S.PD.</t>
  </si>
  <si>
    <t>18.</t>
  </si>
  <si>
    <t>Partai Ummat</t>
  </si>
  <si>
    <t>HADI SANTOSO</t>
  </si>
  <si>
    <t>ARRUUM WULAN ALFURQONI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</si>
  <si>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</si>
  <si>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</si>
  <si>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</si>
  <si>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</si>
  <si>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</si>
  <si>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</si>
  <si>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</si>
  <si>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</si>
  <si>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</si>
  <si>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BANJAR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</si>
  <si>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</si>
  <si>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</si>
  <si>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</si>
  <si>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</si>
  <si>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</si>
  <si>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</si>
  <si>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</si>
  <si>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</si>
  <si>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</si>
  <si>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GUMUK</t>
  </si>
  <si>
    <t>JELUN</t>
  </si>
  <si>
    <t>KLUNCING</t>
  </si>
  <si>
    <t>TPS 010</t>
  </si>
  <si>
    <t>TPS 011</t>
  </si>
  <si>
    <t>TPS 012</t>
  </si>
  <si>
    <t>TPS 013</t>
  </si>
  <si>
    <t>TPS 014</t>
  </si>
  <si>
    <t>TPS 015</t>
  </si>
  <si>
    <t>PAKEL</t>
  </si>
  <si>
    <t>SEGOBANG</t>
  </si>
  <si>
    <t>TPS 016</t>
  </si>
  <si>
    <t>TPS 017</t>
  </si>
  <si>
    <t>TPS 018</t>
  </si>
  <si>
    <t>TAMANSARI</t>
  </si>
  <si>
    <t>TPS 019</t>
  </si>
  <si>
    <t>TPS 020</t>
  </si>
  <si>
    <t>TPS 021</t>
  </si>
  <si>
    <t>TPS 022</t>
  </si>
  <si>
    <t>TPS 023</t>
  </si>
  <si>
    <t>TPS 024</t>
  </si>
  <si>
    <t>TPS 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</si>
</sst>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Calibri"/>
      <scheme val="minor"/>
    </font>
    <font>
      <sz val="10.0"/>
      <color rgb="FF000000"/>
      <name val="Bookman Old Style"/>
    </font>
    <font>
      <b/>
      <sz val="10.0"/>
      <color theme="1"/>
      <name val="Bookman Old Style"/>
    </font>
    <font>
      <sz val="10.0"/>
      <color theme="1"/>
      <name val="Arial"/>
    </font>
    <font/>
    <font>
      <sz val="10.0"/>
      <color theme="1"/>
      <name val="Bookman Old Style"/>
    </font>
    <font>
      <color theme="1"/>
      <name val="Bookman Old Style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vertical="center"/>
    </xf>
    <xf borderId="0" fillId="0" fontId="3" numFmtId="0" xfId="0" applyFont="1"/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left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0" fontId="2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vertical="center"/>
    </xf>
    <xf borderId="0" fillId="0" fontId="2" numFmtId="0" xfId="0" applyFont="1"/>
    <xf borderId="1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left" shrinkToFit="0" vertical="center" wrapText="1"/>
    </xf>
    <xf borderId="7" fillId="0" fontId="4" numFmtId="0" xfId="0" applyBorder="1" applyFont="1"/>
    <xf borderId="6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6" fillId="0" fontId="5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left" shrinkToFit="0" vertical="center" wrapText="1"/>
    </xf>
    <xf borderId="8" fillId="0" fontId="4" numFmtId="0" xfId="0" applyBorder="1" applyFont="1"/>
    <xf borderId="2" fillId="0" fontId="5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5" numFmtId="3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6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2" fillId="0" fontId="2" numFmtId="0" xfId="0" applyAlignment="1" applyBorder="1" applyFont="1">
      <alignment horizontal="center" vertical="center"/>
    </xf>
    <xf borderId="0" fillId="0" fontId="2" numFmtId="3" xfId="0" applyAlignment="1" applyFont="1" applyNumberFormat="1">
      <alignment horizontal="center"/>
    </xf>
    <xf borderId="2" fillId="0" fontId="5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3" numFmtId="3" xfId="0" applyFont="1" applyNumberFormat="1"/>
    <xf borderId="11" fillId="0" fontId="5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shrinkToFit="0" vertical="center" wrapText="1"/>
    </xf>
    <xf borderId="12" fillId="0" fontId="5" numFmtId="0" xfId="0" applyAlignment="1" applyBorder="1" applyFont="1">
      <alignment horizontal="center" vertical="center"/>
    </xf>
    <xf borderId="12" fillId="0" fontId="4" numFmtId="0" xfId="0" applyBorder="1" applyFont="1"/>
    <xf borderId="12" fillId="0" fontId="2" numFmtId="0" xfId="0" applyAlignment="1" applyBorder="1" applyFont="1">
      <alignment horizontal="center" vertical="center"/>
    </xf>
    <xf borderId="13" fillId="0" fontId="4" numFmtId="0" xfId="0" applyBorder="1" applyFont="1"/>
    <xf borderId="8" fillId="0" fontId="2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shrinkToFit="0" vertical="center" wrapText="1"/>
    </xf>
    <xf borderId="3" fillId="0" fontId="5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readingOrder="0" vertical="center"/>
    </xf>
    <xf borderId="6" fillId="0" fontId="5" numFmtId="0" xfId="0" applyAlignment="1" applyBorder="1" applyFont="1">
      <alignment vertical="center"/>
    </xf>
    <xf borderId="11" fillId="0" fontId="2" numFmtId="0" xfId="0" applyAlignment="1" applyBorder="1" applyFont="1">
      <alignment horizontal="center" vertical="center"/>
    </xf>
    <xf borderId="14" fillId="0" fontId="5" numFmtId="0" xfId="0" applyAlignment="1" applyBorder="1" applyFont="1">
      <alignment horizontal="left" shrinkToFit="0" vertical="center" wrapText="1"/>
    </xf>
    <xf borderId="15" fillId="0" fontId="4" numFmtId="0" xfId="0" applyBorder="1" applyFont="1"/>
    <xf borderId="7" fillId="0" fontId="5" numFmtId="0" xfId="0" applyAlignment="1" applyBorder="1" applyFont="1">
      <alignment horizontal="center" vertical="center"/>
    </xf>
    <xf borderId="14" fillId="0" fontId="4" numFmtId="0" xfId="0" applyBorder="1" applyFont="1"/>
    <xf borderId="2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shrinkToFit="0" vertical="center" wrapText="1"/>
    </xf>
    <xf borderId="3" fillId="0" fontId="5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shrinkToFit="0" vertical="center" wrapText="1"/>
    </xf>
    <xf borderId="4" fillId="0" fontId="5" numFmtId="0" xfId="0" applyAlignment="1" applyBorder="1" applyFont="1">
      <alignment shrinkToFit="0" vertical="center" wrapText="1"/>
    </xf>
    <xf borderId="3" fillId="0" fontId="2" numFmtId="0" xfId="0" applyAlignment="1" applyBorder="1" applyFont="1">
      <alignment horizontal="center" vertical="center"/>
    </xf>
    <xf borderId="16" fillId="2" fontId="5" numFmtId="0" xfId="0" applyAlignment="1" applyBorder="1" applyFill="1" applyFont="1">
      <alignment horizontal="center" vertical="center"/>
    </xf>
    <xf borderId="17" fillId="2" fontId="5" numFmtId="0" xfId="0" applyAlignment="1" applyBorder="1" applyFont="1">
      <alignment horizontal="center" vertical="center"/>
    </xf>
    <xf borderId="17" fillId="2" fontId="3" numFmtId="3" xfId="0" applyBorder="1" applyFont="1" applyNumberFormat="1"/>
    <xf borderId="17" fillId="2" fontId="3" numFmtId="0" xfId="0" applyBorder="1" applyFont="1"/>
    <xf borderId="3" fillId="0" fontId="2" numFmtId="0" xfId="0" applyAlignment="1" applyBorder="1" applyFont="1">
      <alignment horizontal="center" readingOrder="0" vertical="center"/>
    </xf>
    <xf borderId="4" fillId="0" fontId="3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7" fillId="0" fontId="5" numFmtId="0" xfId="0" applyAlignment="1" applyBorder="1" applyFont="1">
      <alignment vertical="center"/>
    </xf>
    <xf borderId="15" fillId="0" fontId="3" numFmtId="0" xfId="0" applyBorder="1" applyFont="1"/>
    <xf borderId="1" fillId="0" fontId="6" numFmtId="0" xfId="0" applyAlignment="1" applyBorder="1" applyFont="1">
      <alignment horizontal="center"/>
    </xf>
    <xf borderId="1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vertical="center"/>
    </xf>
    <xf borderId="2" fillId="0" fontId="5" numFmtId="0" xfId="0" applyAlignment="1" applyBorder="1" applyFont="1">
      <alignment vertical="center"/>
    </xf>
    <xf borderId="1" fillId="0" fontId="6" numFmtId="0" xfId="0" applyAlignment="1" applyBorder="1" applyFont="1">
      <alignment horizontal="center" readingOrder="0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7.14"/>
    <col customWidth="1" min="4" max="4" width="5.86"/>
    <col customWidth="1" min="5" max="5" width="21.71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0" customHeight="1"/>
    <row r="6" ht="15.0" customHeight="1"/>
    <row r="7" ht="15.0" customHeight="1"/>
    <row r="8" ht="15.0" customHeight="1">
      <c r="C8" s="1" t="s">
        <v>0</v>
      </c>
      <c r="D8" s="1" t="s">
        <v>1</v>
      </c>
    </row>
    <row r="9" ht="15.0" customHeight="1">
      <c r="C9" s="1" t="s">
        <v>2</v>
      </c>
      <c r="D9" s="1" t="s">
        <v>3</v>
      </c>
    </row>
    <row r="10" ht="15.0" customHeight="1">
      <c r="C10" s="1" t="s">
        <v>4</v>
      </c>
      <c r="D10" s="1" t="s">
        <v>5</v>
      </c>
    </row>
    <row r="11" ht="15.75" customHeight="1">
      <c r="A11" s="2"/>
      <c r="B11" s="3"/>
      <c r="C11" s="3"/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4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6" t="s">
        <v>6</v>
      </c>
      <c r="B12" s="7" t="s">
        <v>7</v>
      </c>
      <c r="C12" s="8"/>
      <c r="D12" s="9"/>
      <c r="E12" s="10" t="s">
        <v>8</v>
      </c>
      <c r="F12" s="11"/>
      <c r="G12" s="5"/>
      <c r="H12" s="5"/>
      <c r="I12" s="5"/>
      <c r="J12" s="5"/>
      <c r="K12" s="5"/>
      <c r="L12" s="5"/>
      <c r="M12" s="5"/>
      <c r="N12" s="5"/>
      <c r="O12" s="5"/>
      <c r="P12" s="12"/>
      <c r="Q12" s="5"/>
      <c r="R12" s="5"/>
      <c r="S12" s="5"/>
      <c r="T12" s="5"/>
      <c r="U12" s="5"/>
      <c r="V12" s="5"/>
      <c r="W12" s="12"/>
      <c r="X12" s="5"/>
      <c r="Y12" s="5"/>
      <c r="Z12" s="5"/>
    </row>
    <row r="13" ht="15.75" customHeight="1">
      <c r="A13" s="13" t="s">
        <v>9</v>
      </c>
      <c r="B13" s="14" t="s">
        <v>10</v>
      </c>
      <c r="C13" s="8"/>
      <c r="D13" s="9"/>
      <c r="E13" s="15"/>
      <c r="F13" s="16"/>
      <c r="G13" s="2"/>
      <c r="H13" s="2"/>
      <c r="I13" s="2"/>
      <c r="J13" s="2"/>
      <c r="K13" s="2"/>
      <c r="L13" s="2"/>
      <c r="M13" s="2"/>
      <c r="N13" s="2"/>
      <c r="O13" s="2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5.75" customHeight="1">
      <c r="A14" s="18"/>
      <c r="B14" s="19" t="s">
        <v>11</v>
      </c>
      <c r="C14" s="20"/>
      <c r="D14" s="13" t="s">
        <v>12</v>
      </c>
      <c r="E14" s="21">
        <v>11736.0</v>
      </c>
      <c r="F14" s="18"/>
      <c r="G14" s="22"/>
      <c r="H14" s="22"/>
      <c r="I14" s="22"/>
      <c r="J14" s="22"/>
      <c r="K14" s="22"/>
      <c r="L14" s="22"/>
      <c r="M14" s="22"/>
      <c r="N14" s="22"/>
      <c r="O14" s="22"/>
      <c r="P14" s="23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5.75" customHeight="1">
      <c r="A15" s="18"/>
      <c r="B15" s="25"/>
      <c r="C15" s="26"/>
      <c r="D15" s="13" t="s">
        <v>13</v>
      </c>
      <c r="E15" s="21">
        <v>11864.0</v>
      </c>
      <c r="F15" s="18"/>
      <c r="G15" s="22"/>
      <c r="H15" s="22"/>
      <c r="I15" s="22"/>
      <c r="J15" s="22"/>
      <c r="K15" s="22"/>
      <c r="L15" s="22"/>
      <c r="M15" s="22"/>
      <c r="N15" s="22"/>
      <c r="O15" s="22"/>
      <c r="P15" s="23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5.75" customHeight="1">
      <c r="A16" s="16"/>
      <c r="B16" s="15"/>
      <c r="C16" s="27"/>
      <c r="D16" s="6" t="s">
        <v>14</v>
      </c>
      <c r="E16" s="28">
        <f>SUM(E14:E15)</f>
        <v>23600</v>
      </c>
      <c r="F16" s="16"/>
      <c r="G16" s="2"/>
      <c r="H16" s="2"/>
      <c r="I16" s="2"/>
      <c r="J16" s="2"/>
      <c r="K16" s="2"/>
      <c r="L16" s="2"/>
      <c r="M16" s="2"/>
      <c r="N16" s="2"/>
      <c r="O16" s="2"/>
      <c r="P16" s="29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5.75" customHeight="1">
      <c r="A17" s="30"/>
      <c r="B17" s="8"/>
      <c r="C17" s="8"/>
      <c r="D17" s="9"/>
      <c r="E17" s="30"/>
      <c r="F17" s="18"/>
      <c r="G17" s="22"/>
      <c r="H17" s="22"/>
      <c r="I17" s="22"/>
      <c r="J17" s="22"/>
      <c r="K17" s="22"/>
      <c r="L17" s="22"/>
      <c r="M17" s="22"/>
      <c r="N17" s="22"/>
      <c r="O17" s="31"/>
      <c r="P17" s="32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33" t="s">
        <v>15</v>
      </c>
      <c r="B18" s="14" t="s">
        <v>16</v>
      </c>
      <c r="C18" s="8"/>
      <c r="D18" s="9"/>
      <c r="E18" s="30"/>
      <c r="F18" s="18"/>
      <c r="G18" s="22"/>
      <c r="H18" s="22"/>
      <c r="I18" s="22"/>
      <c r="J18" s="22"/>
      <c r="K18" s="22"/>
      <c r="L18" s="22"/>
      <c r="M18" s="22"/>
      <c r="N18" s="22"/>
      <c r="O18" s="31"/>
      <c r="P18" s="32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33"/>
      <c r="B19" s="34" t="s">
        <v>17</v>
      </c>
      <c r="C19" s="35" t="s">
        <v>18</v>
      </c>
      <c r="D19" s="13" t="s">
        <v>12</v>
      </c>
      <c r="E19" s="21">
        <v>9042.0</v>
      </c>
      <c r="F19" s="18"/>
      <c r="G19" s="22"/>
      <c r="H19" s="22"/>
      <c r="I19" s="22"/>
      <c r="J19" s="22"/>
      <c r="K19" s="22"/>
      <c r="L19" s="22"/>
      <c r="M19" s="22"/>
      <c r="N19" s="22"/>
      <c r="O19" s="22"/>
      <c r="P19" s="23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5.75" customHeight="1">
      <c r="A20" s="36"/>
      <c r="B20" s="26"/>
      <c r="C20" s="37"/>
      <c r="D20" s="13" t="s">
        <v>13</v>
      </c>
      <c r="E20" s="21">
        <v>9713.0</v>
      </c>
      <c r="F20" s="18"/>
      <c r="G20" s="22"/>
      <c r="H20" s="22"/>
      <c r="I20" s="22"/>
      <c r="J20" s="22"/>
      <c r="K20" s="22"/>
      <c r="L20" s="22"/>
      <c r="M20" s="22"/>
      <c r="N20" s="22"/>
      <c r="O20" s="22"/>
      <c r="P20" s="23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5.75" customHeight="1">
      <c r="A21" s="38"/>
      <c r="B21" s="27"/>
      <c r="C21" s="39"/>
      <c r="D21" s="6" t="s">
        <v>14</v>
      </c>
      <c r="E21" s="28">
        <f>SUM(E19:E20)</f>
        <v>18755</v>
      </c>
      <c r="F21" s="16"/>
      <c r="G21" s="2"/>
      <c r="H21" s="2"/>
      <c r="I21" s="2"/>
      <c r="J21" s="2"/>
      <c r="K21" s="2"/>
      <c r="L21" s="2"/>
      <c r="M21" s="2"/>
      <c r="N21" s="2"/>
      <c r="O21" s="2"/>
      <c r="P21" s="29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5.75" customHeight="1">
      <c r="A22" s="36"/>
      <c r="B22" s="34" t="s">
        <v>19</v>
      </c>
      <c r="C22" s="35" t="s">
        <v>20</v>
      </c>
      <c r="D22" s="13" t="s">
        <v>12</v>
      </c>
      <c r="E22" s="21">
        <v>5.0</v>
      </c>
      <c r="F22" s="18"/>
      <c r="G22" s="22"/>
      <c r="H22" s="22"/>
      <c r="I22" s="22"/>
      <c r="J22" s="22"/>
      <c r="K22" s="22"/>
      <c r="L22" s="22"/>
      <c r="M22" s="22"/>
      <c r="N22" s="22"/>
      <c r="O22" s="22"/>
      <c r="P22" s="23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5.75" customHeight="1">
      <c r="A23" s="36"/>
      <c r="B23" s="26"/>
      <c r="C23" s="37"/>
      <c r="D23" s="13" t="s">
        <v>13</v>
      </c>
      <c r="E23" s="21">
        <v>4.0</v>
      </c>
      <c r="F23" s="18"/>
      <c r="G23" s="22"/>
      <c r="H23" s="22"/>
      <c r="I23" s="22"/>
      <c r="J23" s="22"/>
      <c r="K23" s="22"/>
      <c r="L23" s="22"/>
      <c r="M23" s="22"/>
      <c r="N23" s="22"/>
      <c r="O23" s="22"/>
      <c r="P23" s="23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5.75" customHeight="1">
      <c r="A24" s="38"/>
      <c r="B24" s="27"/>
      <c r="C24" s="39"/>
      <c r="D24" s="6" t="s">
        <v>14</v>
      </c>
      <c r="E24" s="28">
        <f>SUM(E22:E23)</f>
        <v>9</v>
      </c>
      <c r="F24" s="16"/>
      <c r="G24" s="2"/>
      <c r="H24" s="2"/>
      <c r="I24" s="2"/>
      <c r="J24" s="2"/>
      <c r="K24" s="2"/>
      <c r="L24" s="2"/>
      <c r="M24" s="2"/>
      <c r="N24" s="2"/>
      <c r="O24" s="2"/>
      <c r="P24" s="29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5.75" customHeight="1">
      <c r="A25" s="36"/>
      <c r="B25" s="34" t="s">
        <v>21</v>
      </c>
      <c r="C25" s="35" t="s">
        <v>22</v>
      </c>
      <c r="D25" s="13" t="s">
        <v>12</v>
      </c>
      <c r="E25" s="21">
        <v>78.0</v>
      </c>
      <c r="F25" s="18"/>
      <c r="G25" s="22"/>
      <c r="H25" s="22"/>
      <c r="I25" s="22"/>
      <c r="J25" s="22"/>
      <c r="K25" s="22"/>
      <c r="L25" s="22"/>
      <c r="M25" s="22"/>
      <c r="N25" s="22"/>
      <c r="O25" s="22"/>
      <c r="P25" s="23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5.75" customHeight="1">
      <c r="A26" s="36"/>
      <c r="B26" s="26"/>
      <c r="C26" s="37"/>
      <c r="D26" s="13" t="s">
        <v>13</v>
      </c>
      <c r="E26" s="21">
        <v>78.0</v>
      </c>
      <c r="F26" s="18"/>
      <c r="G26" s="22"/>
      <c r="H26" s="22"/>
      <c r="I26" s="22"/>
      <c r="J26" s="22"/>
      <c r="K26" s="22"/>
      <c r="L26" s="22"/>
      <c r="M26" s="22"/>
      <c r="N26" s="22"/>
      <c r="O26" s="22"/>
      <c r="P26" s="23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5.75" customHeight="1">
      <c r="A27" s="38"/>
      <c r="B27" s="27"/>
      <c r="C27" s="39"/>
      <c r="D27" s="6" t="s">
        <v>14</v>
      </c>
      <c r="E27" s="28">
        <f>SUM(E25:E26)</f>
        <v>156</v>
      </c>
      <c r="F27" s="16"/>
      <c r="G27" s="2"/>
      <c r="H27" s="2"/>
      <c r="I27" s="2"/>
      <c r="J27" s="2"/>
      <c r="K27" s="2"/>
      <c r="L27" s="2"/>
      <c r="M27" s="2"/>
      <c r="N27" s="2"/>
      <c r="O27" s="2"/>
      <c r="P27" s="29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5.75" customHeight="1">
      <c r="A28" s="38"/>
      <c r="B28" s="40" t="s">
        <v>23</v>
      </c>
      <c r="C28" s="41" t="s">
        <v>24</v>
      </c>
      <c r="D28" s="6" t="s">
        <v>12</v>
      </c>
      <c r="E28" s="28">
        <f t="shared" ref="E28:E29" si="1">E19+E22+E25</f>
        <v>9125</v>
      </c>
      <c r="F28" s="16"/>
      <c r="G28" s="2"/>
      <c r="H28" s="2"/>
      <c r="I28" s="2"/>
      <c r="J28" s="2"/>
      <c r="K28" s="2"/>
      <c r="L28" s="2"/>
      <c r="M28" s="2"/>
      <c r="N28" s="2"/>
      <c r="O28" s="2"/>
      <c r="P28" s="29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5.75" customHeight="1">
      <c r="A29" s="38"/>
      <c r="B29" s="26"/>
      <c r="C29" s="37"/>
      <c r="D29" s="6" t="s">
        <v>13</v>
      </c>
      <c r="E29" s="28">
        <f t="shared" si="1"/>
        <v>9795</v>
      </c>
      <c r="F29" s="16"/>
      <c r="G29" s="2"/>
      <c r="H29" s="2"/>
      <c r="I29" s="2"/>
      <c r="J29" s="2"/>
      <c r="K29" s="2"/>
      <c r="L29" s="2"/>
      <c r="M29" s="2"/>
      <c r="N29" s="2"/>
      <c r="O29" s="2"/>
      <c r="P29" s="29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5.75" customHeight="1">
      <c r="A30" s="38"/>
      <c r="B30" s="27"/>
      <c r="C30" s="39"/>
      <c r="D30" s="6" t="s">
        <v>14</v>
      </c>
      <c r="E30" s="28">
        <f>SUM(E28:E29)</f>
        <v>18920</v>
      </c>
      <c r="F30" s="16"/>
      <c r="G30" s="2"/>
      <c r="H30" s="2"/>
      <c r="I30" s="2"/>
      <c r="J30" s="2"/>
      <c r="K30" s="2"/>
      <c r="L30" s="2"/>
      <c r="M30" s="2"/>
      <c r="N30" s="2"/>
      <c r="O30" s="2"/>
      <c r="P30" s="29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5.75" customHeight="1">
      <c r="A31" s="30"/>
      <c r="B31" s="8"/>
      <c r="C31" s="8"/>
      <c r="D31" s="9"/>
      <c r="E31" s="42"/>
      <c r="F31" s="18"/>
      <c r="G31" s="22"/>
      <c r="H31" s="22"/>
      <c r="I31" s="22"/>
      <c r="J31" s="22"/>
      <c r="K31" s="22"/>
      <c r="L31" s="22"/>
      <c r="M31" s="22"/>
      <c r="N31" s="22"/>
      <c r="O31" s="31"/>
      <c r="P31" s="32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43" t="s">
        <v>25</v>
      </c>
      <c r="B32" s="7" t="s">
        <v>26</v>
      </c>
      <c r="C32" s="8"/>
      <c r="D32" s="9"/>
      <c r="E32" s="28"/>
      <c r="F32" s="16"/>
      <c r="G32" s="2"/>
      <c r="H32" s="2"/>
      <c r="I32" s="2"/>
      <c r="J32" s="2"/>
      <c r="K32" s="2"/>
      <c r="L32" s="2"/>
      <c r="M32" s="2"/>
      <c r="N32" s="2"/>
      <c r="O32" s="4"/>
      <c r="P32" s="32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3">
        <v>1.0</v>
      </c>
      <c r="B33" s="14" t="s">
        <v>27</v>
      </c>
      <c r="C33" s="8"/>
      <c r="D33" s="9"/>
      <c r="E33" s="21">
        <v>23940.0</v>
      </c>
      <c r="F33" s="18"/>
      <c r="G33" s="22"/>
      <c r="H33" s="22"/>
      <c r="I33" s="22"/>
      <c r="J33" s="22"/>
      <c r="K33" s="22"/>
      <c r="L33" s="22"/>
      <c r="M33" s="22"/>
      <c r="N33" s="22"/>
      <c r="O33" s="22"/>
      <c r="P33" s="23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5.75" customHeight="1">
      <c r="A34" s="13">
        <v>2.0</v>
      </c>
      <c r="B34" s="14" t="s">
        <v>28</v>
      </c>
      <c r="C34" s="8"/>
      <c r="D34" s="9"/>
      <c r="E34" s="44">
        <v>18920.0</v>
      </c>
      <c r="F34" s="16"/>
      <c r="G34" s="2"/>
      <c r="H34" s="2"/>
      <c r="I34" s="2"/>
      <c r="J34" s="2"/>
      <c r="K34" s="2"/>
      <c r="L34" s="2"/>
      <c r="M34" s="2"/>
      <c r="N34" s="2"/>
      <c r="O34" s="2"/>
      <c r="P34" s="29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5.75" customHeight="1">
      <c r="A35" s="13">
        <v>3.0</v>
      </c>
      <c r="B35" s="14" t="s">
        <v>29</v>
      </c>
      <c r="C35" s="8"/>
      <c r="D35" s="9"/>
      <c r="E35" s="21">
        <v>64.0</v>
      </c>
      <c r="F35" s="18"/>
      <c r="G35" s="22"/>
      <c r="H35" s="22"/>
      <c r="I35" s="22"/>
      <c r="J35" s="22"/>
      <c r="K35" s="22"/>
      <c r="L35" s="22"/>
      <c r="M35" s="22"/>
      <c r="N35" s="22"/>
      <c r="O35" s="22"/>
      <c r="P35" s="23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5.75" customHeight="1">
      <c r="A36" s="13">
        <v>4.0</v>
      </c>
      <c r="B36" s="14" t="s">
        <v>30</v>
      </c>
      <c r="C36" s="8"/>
      <c r="D36" s="9"/>
      <c r="E36" s="28">
        <f>E33-(E34+E35)</f>
        <v>4956</v>
      </c>
      <c r="F36" s="16"/>
      <c r="G36" s="2"/>
      <c r="H36" s="2"/>
      <c r="I36" s="2"/>
      <c r="J36" s="2"/>
      <c r="K36" s="2"/>
      <c r="L36" s="2"/>
      <c r="M36" s="2"/>
      <c r="N36" s="2"/>
      <c r="O36" s="2"/>
      <c r="P36" s="29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5.75" customHeight="1">
      <c r="A37" s="30"/>
      <c r="B37" s="8"/>
      <c r="C37" s="8"/>
      <c r="D37" s="8"/>
      <c r="E37" s="8"/>
      <c r="F37" s="45"/>
      <c r="G37" s="5"/>
      <c r="H37" s="5"/>
      <c r="I37" s="5"/>
      <c r="J37" s="5"/>
      <c r="K37" s="22"/>
      <c r="L37" s="22"/>
      <c r="M37" s="22"/>
      <c r="N37" s="22"/>
      <c r="O37" s="31"/>
      <c r="P37" s="32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46" t="s">
        <v>31</v>
      </c>
      <c r="B38" s="7" t="s">
        <v>32</v>
      </c>
      <c r="C38" s="8"/>
      <c r="D38" s="9"/>
      <c r="E38" s="28"/>
      <c r="F38" s="16"/>
      <c r="G38" s="2"/>
      <c r="H38" s="2"/>
      <c r="I38" s="2"/>
      <c r="J38" s="2"/>
      <c r="K38" s="2"/>
      <c r="L38" s="2"/>
      <c r="M38" s="2"/>
      <c r="N38" s="2"/>
      <c r="O38" s="4"/>
      <c r="P38" s="32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33"/>
      <c r="B39" s="47" t="s">
        <v>33</v>
      </c>
      <c r="C39" s="20"/>
      <c r="D39" s="13" t="s">
        <v>12</v>
      </c>
      <c r="E39" s="21">
        <v>26.0</v>
      </c>
      <c r="F39" s="18"/>
      <c r="G39" s="22"/>
      <c r="H39" s="22"/>
      <c r="I39" s="22"/>
      <c r="J39" s="22"/>
      <c r="K39" s="22"/>
      <c r="L39" s="22"/>
      <c r="M39" s="22"/>
      <c r="N39" s="22"/>
      <c r="O39" s="22"/>
      <c r="P39" s="23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5.75" customHeight="1">
      <c r="A40" s="36"/>
      <c r="C40" s="26"/>
      <c r="D40" s="13" t="s">
        <v>13</v>
      </c>
      <c r="E40" s="21">
        <v>19.0</v>
      </c>
      <c r="F40" s="18"/>
      <c r="G40" s="22"/>
      <c r="H40" s="22"/>
      <c r="I40" s="22"/>
      <c r="J40" s="22"/>
      <c r="K40" s="22"/>
      <c r="L40" s="22"/>
      <c r="M40" s="22"/>
      <c r="N40" s="22"/>
      <c r="O40" s="22"/>
      <c r="P40" s="23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5.75" customHeight="1">
      <c r="A41" s="43"/>
      <c r="B41" s="48"/>
      <c r="C41" s="27"/>
      <c r="D41" s="6" t="s">
        <v>14</v>
      </c>
      <c r="E41" s="28">
        <f>SUM(E39:E40)</f>
        <v>45</v>
      </c>
      <c r="F41" s="16"/>
      <c r="G41" s="2"/>
      <c r="H41" s="2"/>
      <c r="I41" s="2"/>
      <c r="J41" s="2"/>
      <c r="K41" s="2"/>
      <c r="L41" s="2"/>
      <c r="M41" s="2"/>
      <c r="N41" s="2"/>
      <c r="O41" s="2"/>
      <c r="P41" s="29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5.75" customHeight="1">
      <c r="A42" s="49"/>
      <c r="B42" s="48"/>
      <c r="C42" s="48"/>
      <c r="D42" s="27"/>
      <c r="E42" s="30"/>
      <c r="F42" s="45"/>
      <c r="G42" s="5"/>
      <c r="H42" s="5"/>
      <c r="I42" s="5"/>
      <c r="J42" s="5"/>
      <c r="K42" s="22"/>
      <c r="L42" s="22"/>
      <c r="M42" s="22"/>
      <c r="N42" s="22"/>
      <c r="O42" s="31"/>
      <c r="P42" s="32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46" t="s">
        <v>34</v>
      </c>
      <c r="B43" s="7" t="s">
        <v>35</v>
      </c>
      <c r="C43" s="8"/>
      <c r="D43" s="9"/>
      <c r="E43" s="28"/>
      <c r="F43" s="16"/>
      <c r="G43" s="2"/>
      <c r="H43" s="2"/>
      <c r="I43" s="2"/>
      <c r="J43" s="2"/>
      <c r="K43" s="2"/>
      <c r="L43" s="2"/>
      <c r="M43" s="2"/>
      <c r="N43" s="2"/>
      <c r="O43" s="4"/>
      <c r="P43" s="32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47" t="s">
        <v>36</v>
      </c>
      <c r="B44" s="50"/>
      <c r="C44" s="50"/>
      <c r="D44" s="20"/>
      <c r="E44" s="30"/>
      <c r="F44" s="18"/>
      <c r="G44" s="22"/>
      <c r="H44" s="22"/>
      <c r="I44" s="22"/>
      <c r="J44" s="22"/>
      <c r="K44" s="22"/>
      <c r="L44" s="22"/>
      <c r="M44" s="22"/>
      <c r="N44" s="22"/>
      <c r="O44" s="31"/>
      <c r="P44" s="32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33" t="s">
        <v>37</v>
      </c>
      <c r="B45" s="51" t="s">
        <v>17</v>
      </c>
      <c r="C45" s="52" t="s">
        <v>38</v>
      </c>
      <c r="D45" s="9"/>
      <c r="E45" s="53">
        <v>853.0</v>
      </c>
      <c r="F45" s="18"/>
      <c r="G45" s="22"/>
      <c r="H45" s="22"/>
      <c r="I45" s="22"/>
      <c r="J45" s="22"/>
      <c r="K45" s="22"/>
      <c r="L45" s="22"/>
      <c r="M45" s="22"/>
      <c r="N45" s="22"/>
      <c r="O45" s="22"/>
      <c r="P45" s="23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5.75" customHeight="1">
      <c r="A46" s="33" t="s">
        <v>39</v>
      </c>
      <c r="B46" s="54">
        <v>1.0</v>
      </c>
      <c r="C46" s="55" t="s">
        <v>40</v>
      </c>
      <c r="D46" s="56"/>
      <c r="E46" s="53">
        <v>1355.0</v>
      </c>
      <c r="F46" s="18"/>
      <c r="G46" s="22"/>
      <c r="H46" s="22"/>
      <c r="I46" s="22"/>
      <c r="J46" s="22"/>
      <c r="K46" s="22"/>
      <c r="L46" s="22"/>
      <c r="M46" s="22"/>
      <c r="N46" s="22"/>
      <c r="O46" s="22"/>
      <c r="P46" s="23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5.75" customHeight="1">
      <c r="A47" s="18"/>
      <c r="B47" s="54">
        <v>2.0</v>
      </c>
      <c r="C47" s="55" t="s">
        <v>41</v>
      </c>
      <c r="D47" s="56"/>
      <c r="E47" s="53">
        <v>193.0</v>
      </c>
      <c r="F47" s="18"/>
      <c r="G47" s="22"/>
      <c r="H47" s="22"/>
      <c r="I47" s="22"/>
      <c r="J47" s="22"/>
      <c r="K47" s="22"/>
      <c r="L47" s="22"/>
      <c r="M47" s="22"/>
      <c r="N47" s="22"/>
      <c r="O47" s="22"/>
      <c r="P47" s="23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5.75" customHeight="1">
      <c r="A48" s="18"/>
      <c r="B48" s="54">
        <v>3.0</v>
      </c>
      <c r="C48" s="55" t="s">
        <v>42</v>
      </c>
      <c r="D48" s="56"/>
      <c r="E48" s="53">
        <v>206.0</v>
      </c>
      <c r="F48" s="18"/>
      <c r="G48" s="22"/>
      <c r="H48" s="22"/>
      <c r="I48" s="22"/>
      <c r="J48" s="22"/>
      <c r="K48" s="22"/>
      <c r="L48" s="22"/>
      <c r="M48" s="22"/>
      <c r="N48" s="22"/>
      <c r="O48" s="22"/>
      <c r="P48" s="23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5.75" customHeight="1">
      <c r="A49" s="18"/>
      <c r="B49" s="54">
        <v>4.0</v>
      </c>
      <c r="C49" s="55" t="s">
        <v>43</v>
      </c>
      <c r="D49" s="56"/>
      <c r="E49" s="53">
        <v>70.0</v>
      </c>
      <c r="F49" s="18"/>
      <c r="G49" s="22"/>
      <c r="H49" s="22"/>
      <c r="I49" s="22"/>
      <c r="J49" s="22"/>
      <c r="K49" s="22"/>
      <c r="L49" s="22"/>
      <c r="M49" s="22"/>
      <c r="N49" s="22"/>
      <c r="O49" s="22"/>
      <c r="P49" s="23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5.75" customHeight="1">
      <c r="A50" s="18"/>
      <c r="B50" s="54">
        <v>5.0</v>
      </c>
      <c r="C50" s="55" t="s">
        <v>44</v>
      </c>
      <c r="D50" s="56"/>
      <c r="E50" s="53">
        <v>21.0</v>
      </c>
      <c r="F50" s="18"/>
      <c r="G50" s="22"/>
      <c r="H50" s="22"/>
      <c r="I50" s="22"/>
      <c r="J50" s="22"/>
      <c r="K50" s="22"/>
      <c r="L50" s="22"/>
      <c r="M50" s="22"/>
      <c r="N50" s="22"/>
      <c r="O50" s="22"/>
      <c r="P50" s="23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5.75" customHeight="1">
      <c r="A51" s="18"/>
      <c r="B51" s="54">
        <v>6.0</v>
      </c>
      <c r="C51" s="55" t="s">
        <v>45</v>
      </c>
      <c r="D51" s="56"/>
      <c r="E51" s="53">
        <v>21.0</v>
      </c>
      <c r="F51" s="18"/>
      <c r="G51" s="22"/>
      <c r="H51" s="22"/>
      <c r="I51" s="22"/>
      <c r="J51" s="22"/>
      <c r="K51" s="22"/>
      <c r="L51" s="22"/>
      <c r="M51" s="22"/>
      <c r="N51" s="22"/>
      <c r="O51" s="22"/>
      <c r="P51" s="23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5.75" customHeight="1">
      <c r="A52" s="13" t="s">
        <v>15</v>
      </c>
      <c r="B52" s="51" t="s">
        <v>46</v>
      </c>
      <c r="C52" s="8"/>
      <c r="D52" s="9"/>
      <c r="E52" s="57">
        <f>SUM(E45:E51)</f>
        <v>2719</v>
      </c>
      <c r="F52" s="16"/>
      <c r="G52" s="2"/>
      <c r="H52" s="2"/>
      <c r="I52" s="2"/>
      <c r="J52" s="2"/>
      <c r="K52" s="2"/>
      <c r="L52" s="2"/>
      <c r="M52" s="2"/>
      <c r="N52" s="2"/>
      <c r="O52" s="2"/>
      <c r="P52" s="29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5.75" customHeight="1">
      <c r="A53" s="49"/>
      <c r="B53" s="48"/>
      <c r="C53" s="48"/>
      <c r="D53" s="48"/>
      <c r="E53" s="48"/>
      <c r="F53" s="58"/>
      <c r="G53" s="59"/>
      <c r="H53" s="59"/>
      <c r="I53" s="59"/>
      <c r="J53" s="59"/>
      <c r="K53" s="59"/>
      <c r="L53" s="59"/>
      <c r="M53" s="59"/>
      <c r="N53" s="59"/>
      <c r="O53" s="59"/>
      <c r="P53" s="60"/>
      <c r="Q53" s="5"/>
      <c r="R53" s="5"/>
      <c r="S53" s="5"/>
      <c r="T53" s="5"/>
      <c r="U53" s="5"/>
      <c r="V53" s="5"/>
      <c r="W53" s="61"/>
      <c r="X53" s="5"/>
      <c r="Y53" s="5"/>
      <c r="Z53" s="5"/>
    </row>
    <row r="54" ht="15.75" customHeight="1">
      <c r="A54" s="33" t="s">
        <v>37</v>
      </c>
      <c r="B54" s="51" t="s">
        <v>19</v>
      </c>
      <c r="C54" s="52" t="s">
        <v>47</v>
      </c>
      <c r="D54" s="9"/>
      <c r="E54" s="53">
        <v>1097.0</v>
      </c>
      <c r="F54" s="18"/>
      <c r="G54" s="22"/>
      <c r="H54" s="22"/>
      <c r="I54" s="22"/>
      <c r="J54" s="22"/>
      <c r="K54" s="22"/>
      <c r="L54" s="22"/>
      <c r="M54" s="22"/>
      <c r="N54" s="22"/>
      <c r="O54" s="22"/>
      <c r="P54" s="23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5.75" customHeight="1">
      <c r="A55" s="33" t="s">
        <v>39</v>
      </c>
      <c r="B55" s="54">
        <v>1.0</v>
      </c>
      <c r="C55" s="55" t="s">
        <v>48</v>
      </c>
      <c r="D55" s="56"/>
      <c r="E55" s="53">
        <v>810.0</v>
      </c>
      <c r="F55" s="18"/>
      <c r="G55" s="22"/>
      <c r="H55" s="22"/>
      <c r="I55" s="22"/>
      <c r="J55" s="22"/>
      <c r="K55" s="22"/>
      <c r="L55" s="22"/>
      <c r="M55" s="22"/>
      <c r="N55" s="22"/>
      <c r="O55" s="22"/>
      <c r="P55" s="23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5.75" customHeight="1">
      <c r="A56" s="18"/>
      <c r="B56" s="54">
        <v>2.0</v>
      </c>
      <c r="C56" s="55" t="s">
        <v>49</v>
      </c>
      <c r="D56" s="56"/>
      <c r="E56" s="53">
        <v>329.0</v>
      </c>
      <c r="F56" s="18"/>
      <c r="G56" s="22"/>
      <c r="H56" s="22"/>
      <c r="I56" s="22"/>
      <c r="J56" s="22"/>
      <c r="K56" s="22"/>
      <c r="L56" s="22"/>
      <c r="M56" s="22"/>
      <c r="N56" s="22"/>
      <c r="O56" s="22"/>
      <c r="P56" s="23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5.75" customHeight="1">
      <c r="A57" s="18"/>
      <c r="B57" s="54">
        <v>3.0</v>
      </c>
      <c r="C57" s="55" t="s">
        <v>50</v>
      </c>
      <c r="D57" s="56"/>
      <c r="E57" s="53">
        <v>76.0</v>
      </c>
      <c r="F57" s="18"/>
      <c r="G57" s="22"/>
      <c r="H57" s="22"/>
      <c r="I57" s="22"/>
      <c r="J57" s="22"/>
      <c r="K57" s="22"/>
      <c r="L57" s="22"/>
      <c r="M57" s="22"/>
      <c r="N57" s="22"/>
      <c r="O57" s="22"/>
      <c r="P57" s="23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5.75" customHeight="1">
      <c r="A58" s="18"/>
      <c r="B58" s="54">
        <v>4.0</v>
      </c>
      <c r="C58" s="55" t="s">
        <v>51</v>
      </c>
      <c r="D58" s="56"/>
      <c r="E58" s="53">
        <v>37.0</v>
      </c>
      <c r="F58" s="18"/>
      <c r="G58" s="22"/>
      <c r="H58" s="22"/>
      <c r="I58" s="22"/>
      <c r="J58" s="22"/>
      <c r="K58" s="22"/>
      <c r="L58" s="22"/>
      <c r="M58" s="22"/>
      <c r="N58" s="22"/>
      <c r="O58" s="22"/>
      <c r="P58" s="23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5.75" customHeight="1">
      <c r="A59" s="18"/>
      <c r="B59" s="54">
        <v>5.0</v>
      </c>
      <c r="C59" s="55" t="s">
        <v>52</v>
      </c>
      <c r="D59" s="56"/>
      <c r="E59" s="53">
        <v>18.0</v>
      </c>
      <c r="F59" s="18"/>
      <c r="G59" s="22"/>
      <c r="H59" s="22"/>
      <c r="I59" s="22"/>
      <c r="J59" s="22"/>
      <c r="K59" s="22"/>
      <c r="L59" s="22"/>
      <c r="M59" s="22"/>
      <c r="N59" s="22"/>
      <c r="O59" s="22"/>
      <c r="P59" s="23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5.75" customHeight="1">
      <c r="A60" s="18"/>
      <c r="B60" s="54">
        <v>6.0</v>
      </c>
      <c r="C60" s="55" t="s">
        <v>53</v>
      </c>
      <c r="D60" s="56"/>
      <c r="E60" s="53">
        <v>185.0</v>
      </c>
      <c r="F60" s="18"/>
      <c r="G60" s="22"/>
      <c r="H60" s="22"/>
      <c r="I60" s="22"/>
      <c r="J60" s="22"/>
      <c r="K60" s="22"/>
      <c r="L60" s="22"/>
      <c r="M60" s="22"/>
      <c r="N60" s="22"/>
      <c r="O60" s="22"/>
      <c r="P60" s="23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5.75" customHeight="1">
      <c r="A61" s="13" t="s">
        <v>15</v>
      </c>
      <c r="B61" s="51" t="s">
        <v>46</v>
      </c>
      <c r="C61" s="8"/>
      <c r="D61" s="9"/>
      <c r="E61" s="57">
        <f>SUM(E54:E60)</f>
        <v>2552</v>
      </c>
      <c r="F61" s="16"/>
      <c r="G61" s="2"/>
      <c r="H61" s="2"/>
      <c r="I61" s="2"/>
      <c r="J61" s="2"/>
      <c r="K61" s="2"/>
      <c r="L61" s="2"/>
      <c r="M61" s="2"/>
      <c r="N61" s="2"/>
      <c r="O61" s="2"/>
      <c r="P61" s="29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5.75" customHeight="1">
      <c r="A62" s="49"/>
      <c r="B62" s="48"/>
      <c r="C62" s="48"/>
      <c r="D62" s="48"/>
      <c r="E62" s="48"/>
      <c r="F62" s="58"/>
      <c r="G62" s="59"/>
      <c r="H62" s="59"/>
      <c r="I62" s="59"/>
      <c r="J62" s="59"/>
      <c r="K62" s="59"/>
      <c r="L62" s="59"/>
      <c r="M62" s="59"/>
      <c r="N62" s="59"/>
      <c r="O62" s="59"/>
      <c r="P62" s="60"/>
      <c r="Q62" s="5"/>
      <c r="R62" s="5"/>
      <c r="S62" s="5"/>
      <c r="T62" s="5"/>
      <c r="U62" s="5"/>
      <c r="V62" s="5"/>
      <c r="W62" s="61"/>
      <c r="X62" s="5"/>
      <c r="Y62" s="5"/>
      <c r="Z62" s="5"/>
    </row>
    <row r="63" ht="15.75" customHeight="1">
      <c r="A63" s="33" t="s">
        <v>37</v>
      </c>
      <c r="B63" s="51" t="s">
        <v>21</v>
      </c>
      <c r="C63" s="52" t="s">
        <v>54</v>
      </c>
      <c r="D63" s="9"/>
      <c r="E63" s="53">
        <v>664.0</v>
      </c>
      <c r="F63" s="18"/>
      <c r="G63" s="22"/>
      <c r="H63" s="22"/>
      <c r="I63" s="22"/>
      <c r="J63" s="22"/>
      <c r="K63" s="22"/>
      <c r="L63" s="22"/>
      <c r="M63" s="22"/>
      <c r="N63" s="22"/>
      <c r="O63" s="22"/>
      <c r="P63" s="23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5.75" customHeight="1">
      <c r="A64" s="33" t="s">
        <v>39</v>
      </c>
      <c r="B64" s="54">
        <v>1.0</v>
      </c>
      <c r="C64" s="55" t="s">
        <v>55</v>
      </c>
      <c r="D64" s="56"/>
      <c r="E64" s="53">
        <v>499.0</v>
      </c>
      <c r="F64" s="18"/>
      <c r="G64" s="22"/>
      <c r="H64" s="22"/>
      <c r="I64" s="22"/>
      <c r="J64" s="22"/>
      <c r="K64" s="22"/>
      <c r="L64" s="22"/>
      <c r="M64" s="22"/>
      <c r="N64" s="22"/>
      <c r="O64" s="22"/>
      <c r="P64" s="23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5.75" customHeight="1">
      <c r="A65" s="18"/>
      <c r="B65" s="54">
        <v>2.0</v>
      </c>
      <c r="C65" s="55" t="s">
        <v>56</v>
      </c>
      <c r="D65" s="56"/>
      <c r="E65" s="53">
        <v>111.0</v>
      </c>
      <c r="F65" s="18"/>
      <c r="G65" s="22"/>
      <c r="H65" s="22"/>
      <c r="I65" s="22"/>
      <c r="J65" s="22"/>
      <c r="K65" s="22"/>
      <c r="L65" s="22"/>
      <c r="M65" s="22"/>
      <c r="N65" s="22"/>
      <c r="O65" s="22"/>
      <c r="P65" s="23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5.75" customHeight="1">
      <c r="A66" s="18"/>
      <c r="B66" s="54">
        <v>3.0</v>
      </c>
      <c r="C66" s="55" t="s">
        <v>57</v>
      </c>
      <c r="D66" s="56"/>
      <c r="E66" s="53">
        <v>105.0</v>
      </c>
      <c r="F66" s="18"/>
      <c r="G66" s="22"/>
      <c r="H66" s="22"/>
      <c r="I66" s="22"/>
      <c r="J66" s="22"/>
      <c r="K66" s="22"/>
      <c r="L66" s="22"/>
      <c r="M66" s="22"/>
      <c r="N66" s="22"/>
      <c r="O66" s="22"/>
      <c r="P66" s="23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5.75" customHeight="1">
      <c r="A67" s="18"/>
      <c r="B67" s="54">
        <v>4.0</v>
      </c>
      <c r="C67" s="55" t="s">
        <v>58</v>
      </c>
      <c r="D67" s="56"/>
      <c r="E67" s="53">
        <v>1307.0</v>
      </c>
      <c r="F67" s="18"/>
      <c r="G67" s="22"/>
      <c r="H67" s="22"/>
      <c r="I67" s="22"/>
      <c r="J67" s="22"/>
      <c r="K67" s="22"/>
      <c r="L67" s="22"/>
      <c r="M67" s="22"/>
      <c r="N67" s="22"/>
      <c r="O67" s="22"/>
      <c r="P67" s="23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5.75" customHeight="1">
      <c r="A68" s="18"/>
      <c r="B68" s="54">
        <v>5.0</v>
      </c>
      <c r="C68" s="55" t="s">
        <v>59</v>
      </c>
      <c r="D68" s="56"/>
      <c r="E68" s="53">
        <v>435.0</v>
      </c>
      <c r="F68" s="18"/>
      <c r="G68" s="22"/>
      <c r="H68" s="22"/>
      <c r="I68" s="22"/>
      <c r="J68" s="22"/>
      <c r="K68" s="22"/>
      <c r="L68" s="22"/>
      <c r="M68" s="22"/>
      <c r="N68" s="22"/>
      <c r="O68" s="22"/>
      <c r="P68" s="23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5.75" customHeight="1">
      <c r="A69" s="18"/>
      <c r="B69" s="54">
        <v>6.0</v>
      </c>
      <c r="C69" s="55" t="s">
        <v>60</v>
      </c>
      <c r="D69" s="56"/>
      <c r="E69" s="53">
        <v>28.0</v>
      </c>
      <c r="F69" s="18"/>
      <c r="G69" s="22"/>
      <c r="H69" s="22"/>
      <c r="I69" s="22"/>
      <c r="J69" s="22"/>
      <c r="K69" s="22"/>
      <c r="L69" s="22"/>
      <c r="M69" s="22"/>
      <c r="N69" s="22"/>
      <c r="O69" s="22"/>
      <c r="P69" s="23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5.75" customHeight="1">
      <c r="A70" s="13" t="s">
        <v>15</v>
      </c>
      <c r="B70" s="51" t="s">
        <v>46</v>
      </c>
      <c r="C70" s="8"/>
      <c r="D70" s="9"/>
      <c r="E70" s="57">
        <f>SUM(E63:E69)</f>
        <v>3149</v>
      </c>
      <c r="F70" s="16"/>
      <c r="G70" s="2"/>
      <c r="H70" s="2"/>
      <c r="I70" s="2"/>
      <c r="J70" s="2"/>
      <c r="K70" s="2"/>
      <c r="L70" s="2"/>
      <c r="M70" s="2"/>
      <c r="N70" s="2"/>
      <c r="O70" s="2"/>
      <c r="P70" s="29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5.75" customHeight="1">
      <c r="A71" s="49"/>
      <c r="B71" s="48"/>
      <c r="C71" s="48"/>
      <c r="D71" s="48"/>
      <c r="E71" s="48"/>
      <c r="F71" s="58"/>
      <c r="G71" s="59"/>
      <c r="H71" s="59"/>
      <c r="I71" s="59"/>
      <c r="J71" s="59"/>
      <c r="K71" s="59"/>
      <c r="L71" s="59"/>
      <c r="M71" s="59"/>
      <c r="N71" s="59"/>
      <c r="O71" s="59"/>
      <c r="P71" s="60"/>
      <c r="Q71" s="5"/>
      <c r="R71" s="5"/>
      <c r="S71" s="5"/>
      <c r="T71" s="5"/>
      <c r="U71" s="5"/>
      <c r="V71" s="5"/>
      <c r="W71" s="61"/>
      <c r="X71" s="5"/>
      <c r="Y71" s="5"/>
      <c r="Z71" s="5"/>
    </row>
    <row r="72" ht="15.75" customHeight="1">
      <c r="A72" s="33" t="s">
        <v>37</v>
      </c>
      <c r="B72" s="51" t="s">
        <v>23</v>
      </c>
      <c r="C72" s="52" t="s">
        <v>61</v>
      </c>
      <c r="D72" s="9"/>
      <c r="E72" s="53">
        <v>616.0</v>
      </c>
      <c r="F72" s="18"/>
      <c r="G72" s="22"/>
      <c r="H72" s="22"/>
      <c r="I72" s="22"/>
      <c r="J72" s="22"/>
      <c r="K72" s="22"/>
      <c r="L72" s="22"/>
      <c r="M72" s="22"/>
      <c r="N72" s="22"/>
      <c r="O72" s="22"/>
      <c r="P72" s="23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5.75" customHeight="1">
      <c r="A73" s="33" t="s">
        <v>39</v>
      </c>
      <c r="B73" s="54">
        <v>1.0</v>
      </c>
      <c r="C73" s="55" t="s">
        <v>62</v>
      </c>
      <c r="D73" s="56"/>
      <c r="E73" s="53">
        <v>1699.0</v>
      </c>
      <c r="F73" s="18"/>
      <c r="G73" s="22"/>
      <c r="H73" s="22"/>
      <c r="I73" s="22"/>
      <c r="J73" s="22"/>
      <c r="K73" s="22"/>
      <c r="L73" s="22"/>
      <c r="M73" s="22"/>
      <c r="N73" s="22"/>
      <c r="O73" s="22"/>
      <c r="P73" s="23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15.75" customHeight="1">
      <c r="A74" s="18"/>
      <c r="B74" s="54">
        <v>2.0</v>
      </c>
      <c r="C74" s="55" t="s">
        <v>63</v>
      </c>
      <c r="D74" s="56"/>
      <c r="E74" s="53">
        <v>1056.0</v>
      </c>
      <c r="F74" s="18"/>
      <c r="G74" s="22"/>
      <c r="H74" s="22"/>
      <c r="I74" s="22"/>
      <c r="J74" s="22"/>
      <c r="K74" s="22"/>
      <c r="L74" s="22"/>
      <c r="M74" s="22"/>
      <c r="N74" s="22"/>
      <c r="O74" s="22"/>
      <c r="P74" s="23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5.75" customHeight="1">
      <c r="A75" s="18"/>
      <c r="B75" s="54">
        <v>3.0</v>
      </c>
      <c r="C75" s="55" t="s">
        <v>64</v>
      </c>
      <c r="D75" s="56"/>
      <c r="E75" s="53">
        <v>26.0</v>
      </c>
      <c r="F75" s="18"/>
      <c r="G75" s="22"/>
      <c r="H75" s="22"/>
      <c r="I75" s="22"/>
      <c r="J75" s="22"/>
      <c r="K75" s="22"/>
      <c r="L75" s="22"/>
      <c r="M75" s="22"/>
      <c r="N75" s="22"/>
      <c r="O75" s="22"/>
      <c r="P75" s="23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5.75" customHeight="1">
      <c r="A76" s="18"/>
      <c r="B76" s="54">
        <v>4.0</v>
      </c>
      <c r="C76" s="55" t="s">
        <v>65</v>
      </c>
      <c r="D76" s="56"/>
      <c r="E76" s="53">
        <v>41.0</v>
      </c>
      <c r="F76" s="18"/>
      <c r="G76" s="22"/>
      <c r="H76" s="22"/>
      <c r="I76" s="22"/>
      <c r="J76" s="22"/>
      <c r="K76" s="22"/>
      <c r="L76" s="22"/>
      <c r="M76" s="22"/>
      <c r="N76" s="22"/>
      <c r="O76" s="22"/>
      <c r="P76" s="23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5.75" customHeight="1">
      <c r="A77" s="18"/>
      <c r="B77" s="54">
        <v>5.0</v>
      </c>
      <c r="C77" s="55" t="s">
        <v>66</v>
      </c>
      <c r="D77" s="56"/>
      <c r="E77" s="53">
        <v>11.0</v>
      </c>
      <c r="F77" s="18"/>
      <c r="G77" s="22"/>
      <c r="H77" s="22"/>
      <c r="I77" s="22"/>
      <c r="J77" s="22"/>
      <c r="K77" s="22"/>
      <c r="L77" s="22"/>
      <c r="M77" s="22"/>
      <c r="N77" s="22"/>
      <c r="O77" s="22"/>
      <c r="P77" s="23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5.75" customHeight="1">
      <c r="A78" s="18"/>
      <c r="B78" s="54">
        <v>6.0</v>
      </c>
      <c r="C78" s="55" t="s">
        <v>67</v>
      </c>
      <c r="D78" s="56"/>
      <c r="E78" s="53">
        <v>8.0</v>
      </c>
      <c r="F78" s="18"/>
      <c r="G78" s="22"/>
      <c r="H78" s="22"/>
      <c r="I78" s="22"/>
      <c r="J78" s="22"/>
      <c r="K78" s="22"/>
      <c r="L78" s="22"/>
      <c r="M78" s="22"/>
      <c r="N78" s="22"/>
      <c r="O78" s="22"/>
      <c r="P78" s="23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5.75" customHeight="1">
      <c r="A79" s="13" t="s">
        <v>15</v>
      </c>
      <c r="B79" s="51" t="s">
        <v>46</v>
      </c>
      <c r="C79" s="8"/>
      <c r="D79" s="9"/>
      <c r="E79" s="57">
        <f>SUM(E72:E78)</f>
        <v>3457</v>
      </c>
      <c r="F79" s="16"/>
      <c r="G79" s="2"/>
      <c r="H79" s="2"/>
      <c r="I79" s="2"/>
      <c r="J79" s="2"/>
      <c r="K79" s="2"/>
      <c r="L79" s="2"/>
      <c r="M79" s="2"/>
      <c r="N79" s="2"/>
      <c r="O79" s="2"/>
      <c r="P79" s="29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5.75" customHeight="1">
      <c r="A80" s="49"/>
      <c r="B80" s="48"/>
      <c r="C80" s="48"/>
      <c r="D80" s="48"/>
      <c r="E80" s="48"/>
      <c r="F80" s="58"/>
      <c r="G80" s="59"/>
      <c r="H80" s="59"/>
      <c r="I80" s="59"/>
      <c r="J80" s="59"/>
      <c r="K80" s="59"/>
      <c r="L80" s="59"/>
      <c r="M80" s="59"/>
      <c r="N80" s="59"/>
      <c r="O80" s="59"/>
      <c r="P80" s="60"/>
      <c r="Q80" s="5"/>
      <c r="R80" s="5"/>
      <c r="S80" s="5"/>
      <c r="T80" s="5"/>
      <c r="U80" s="5"/>
      <c r="V80" s="5"/>
      <c r="W80" s="61"/>
      <c r="X80" s="5"/>
      <c r="Y80" s="5"/>
      <c r="Z80" s="5"/>
    </row>
    <row r="81" ht="15.75" customHeight="1">
      <c r="A81" s="33" t="s">
        <v>37</v>
      </c>
      <c r="B81" s="51" t="s">
        <v>68</v>
      </c>
      <c r="C81" s="52" t="s">
        <v>69</v>
      </c>
      <c r="D81" s="9"/>
      <c r="E81" s="53">
        <v>175.0</v>
      </c>
      <c r="F81" s="18"/>
      <c r="G81" s="22"/>
      <c r="H81" s="22"/>
      <c r="I81" s="22"/>
      <c r="J81" s="22"/>
      <c r="K81" s="22"/>
      <c r="L81" s="22"/>
      <c r="M81" s="22"/>
      <c r="N81" s="22"/>
      <c r="O81" s="22"/>
      <c r="P81" s="23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5.75" customHeight="1">
      <c r="A82" s="33" t="s">
        <v>39</v>
      </c>
      <c r="B82" s="54">
        <v>1.0</v>
      </c>
      <c r="C82" s="55" t="s">
        <v>70</v>
      </c>
      <c r="D82" s="56"/>
      <c r="E82" s="53">
        <v>549.0</v>
      </c>
      <c r="F82" s="18"/>
      <c r="G82" s="22"/>
      <c r="H82" s="22"/>
      <c r="I82" s="22"/>
      <c r="J82" s="22"/>
      <c r="K82" s="22"/>
      <c r="L82" s="22"/>
      <c r="M82" s="22"/>
      <c r="N82" s="22"/>
      <c r="O82" s="22"/>
      <c r="P82" s="23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5.75" customHeight="1">
      <c r="A83" s="18"/>
      <c r="B83" s="54">
        <v>2.0</v>
      </c>
      <c r="C83" s="55" t="s">
        <v>71</v>
      </c>
      <c r="D83" s="56"/>
      <c r="E83" s="53">
        <v>20.0</v>
      </c>
      <c r="F83" s="18"/>
      <c r="G83" s="22"/>
      <c r="H83" s="22"/>
      <c r="I83" s="22"/>
      <c r="J83" s="22"/>
      <c r="K83" s="22"/>
      <c r="L83" s="22"/>
      <c r="M83" s="22"/>
      <c r="N83" s="22"/>
      <c r="O83" s="22"/>
      <c r="P83" s="23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5.75" customHeight="1">
      <c r="A84" s="18"/>
      <c r="B84" s="54">
        <v>3.0</v>
      </c>
      <c r="C84" s="55" t="s">
        <v>72</v>
      </c>
      <c r="D84" s="56"/>
      <c r="E84" s="53">
        <v>17.0</v>
      </c>
      <c r="F84" s="18"/>
      <c r="G84" s="22"/>
      <c r="H84" s="22"/>
      <c r="I84" s="22"/>
      <c r="J84" s="22"/>
      <c r="K84" s="22"/>
      <c r="L84" s="22"/>
      <c r="M84" s="22"/>
      <c r="N84" s="22"/>
      <c r="O84" s="22"/>
      <c r="P84" s="23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5.75" customHeight="1">
      <c r="A85" s="18"/>
      <c r="B85" s="54">
        <v>4.0</v>
      </c>
      <c r="C85" s="55" t="s">
        <v>73</v>
      </c>
      <c r="D85" s="56"/>
      <c r="E85" s="53">
        <v>3.0</v>
      </c>
      <c r="F85" s="18"/>
      <c r="G85" s="22"/>
      <c r="H85" s="22"/>
      <c r="I85" s="22"/>
      <c r="J85" s="22"/>
      <c r="K85" s="22"/>
      <c r="L85" s="22"/>
      <c r="M85" s="22"/>
      <c r="N85" s="22"/>
      <c r="O85" s="22"/>
      <c r="P85" s="23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5.75" customHeight="1">
      <c r="A86" s="18"/>
      <c r="B86" s="54">
        <v>5.0</v>
      </c>
      <c r="C86" s="55" t="s">
        <v>74</v>
      </c>
      <c r="D86" s="56"/>
      <c r="E86" s="53">
        <v>85.0</v>
      </c>
      <c r="F86" s="18"/>
      <c r="G86" s="22"/>
      <c r="H86" s="22"/>
      <c r="I86" s="22"/>
      <c r="J86" s="22"/>
      <c r="K86" s="22"/>
      <c r="L86" s="22"/>
      <c r="M86" s="22"/>
      <c r="N86" s="22"/>
      <c r="O86" s="22"/>
      <c r="P86" s="23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5.75" customHeight="1">
      <c r="A87" s="18"/>
      <c r="B87" s="54">
        <v>6.0</v>
      </c>
      <c r="C87" s="55" t="s">
        <v>75</v>
      </c>
      <c r="D87" s="56"/>
      <c r="E87" s="53">
        <v>379.0</v>
      </c>
      <c r="F87" s="18"/>
      <c r="G87" s="22"/>
      <c r="H87" s="22"/>
      <c r="I87" s="22"/>
      <c r="J87" s="22"/>
      <c r="K87" s="22"/>
      <c r="L87" s="22"/>
      <c r="M87" s="22"/>
      <c r="N87" s="22"/>
      <c r="O87" s="22"/>
      <c r="P87" s="23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5.75" customHeight="1">
      <c r="A88" s="13" t="s">
        <v>15</v>
      </c>
      <c r="B88" s="51" t="s">
        <v>46</v>
      </c>
      <c r="C88" s="8"/>
      <c r="D88" s="9"/>
      <c r="E88" s="57">
        <f>SUM(E81:E87)</f>
        <v>1228</v>
      </c>
      <c r="F88" s="16"/>
      <c r="G88" s="2"/>
      <c r="H88" s="2"/>
      <c r="I88" s="2"/>
      <c r="J88" s="2"/>
      <c r="K88" s="2"/>
      <c r="L88" s="2"/>
      <c r="M88" s="2"/>
      <c r="N88" s="2"/>
      <c r="O88" s="2"/>
      <c r="P88" s="29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5.75" customHeight="1">
      <c r="A89" s="49"/>
      <c r="B89" s="48"/>
      <c r="C89" s="48"/>
      <c r="D89" s="48"/>
      <c r="E89" s="48"/>
      <c r="F89" s="58"/>
      <c r="G89" s="59"/>
      <c r="H89" s="59"/>
      <c r="I89" s="59"/>
      <c r="J89" s="59"/>
      <c r="K89" s="59"/>
      <c r="L89" s="59"/>
      <c r="M89" s="59"/>
      <c r="N89" s="59"/>
      <c r="O89" s="59"/>
      <c r="P89" s="60"/>
      <c r="Q89" s="5"/>
      <c r="R89" s="5"/>
      <c r="S89" s="5"/>
      <c r="T89" s="5"/>
      <c r="U89" s="5"/>
      <c r="V89" s="5"/>
      <c r="W89" s="61"/>
      <c r="X89" s="5"/>
      <c r="Y89" s="5"/>
      <c r="Z89" s="5"/>
    </row>
    <row r="90" ht="15.75" customHeight="1">
      <c r="A90" s="33" t="s">
        <v>37</v>
      </c>
      <c r="B90" s="51" t="s">
        <v>76</v>
      </c>
      <c r="C90" s="52" t="s">
        <v>77</v>
      </c>
      <c r="D90" s="9"/>
      <c r="E90" s="53">
        <v>66.0</v>
      </c>
      <c r="F90" s="18"/>
      <c r="G90" s="22"/>
      <c r="H90" s="22"/>
      <c r="I90" s="22"/>
      <c r="J90" s="22"/>
      <c r="K90" s="22"/>
      <c r="L90" s="22"/>
      <c r="M90" s="22"/>
      <c r="N90" s="22"/>
      <c r="O90" s="22"/>
      <c r="P90" s="23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5.75" customHeight="1">
      <c r="A91" s="33" t="s">
        <v>39</v>
      </c>
      <c r="B91" s="54"/>
      <c r="C91" s="55" t="s">
        <v>78</v>
      </c>
      <c r="D91" s="9"/>
      <c r="E91" s="42"/>
      <c r="F91" s="18"/>
      <c r="G91" s="22"/>
      <c r="H91" s="22"/>
      <c r="I91" s="22"/>
      <c r="J91" s="22"/>
      <c r="K91" s="22"/>
      <c r="L91" s="22"/>
      <c r="M91" s="22"/>
      <c r="N91" s="22"/>
      <c r="O91" s="22"/>
      <c r="P91" s="23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5.75" customHeight="1">
      <c r="A92" s="13" t="s">
        <v>15</v>
      </c>
      <c r="B92" s="51" t="s">
        <v>46</v>
      </c>
      <c r="C92" s="8"/>
      <c r="D92" s="9"/>
      <c r="E92" s="57">
        <f>SUM(E90:E91)</f>
        <v>66</v>
      </c>
      <c r="F92" s="16"/>
      <c r="G92" s="2"/>
      <c r="H92" s="2"/>
      <c r="I92" s="2"/>
      <c r="J92" s="2"/>
      <c r="K92" s="2"/>
      <c r="L92" s="2"/>
      <c r="M92" s="2"/>
      <c r="N92" s="2"/>
      <c r="O92" s="2"/>
      <c r="P92" s="29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5.75" customHeight="1">
      <c r="A93" s="49"/>
      <c r="B93" s="48"/>
      <c r="C93" s="48"/>
      <c r="D93" s="48"/>
      <c r="E93" s="48"/>
      <c r="F93" s="58"/>
      <c r="G93" s="59"/>
      <c r="H93" s="59"/>
      <c r="I93" s="59"/>
      <c r="J93" s="59"/>
      <c r="K93" s="59"/>
      <c r="L93" s="59"/>
      <c r="M93" s="59"/>
      <c r="N93" s="59"/>
      <c r="O93" s="59"/>
      <c r="P93" s="60"/>
      <c r="Q93" s="5"/>
      <c r="R93" s="5"/>
      <c r="S93" s="5"/>
      <c r="T93" s="5"/>
      <c r="U93" s="5"/>
      <c r="V93" s="5"/>
      <c r="W93" s="61"/>
      <c r="X93" s="5"/>
      <c r="Y93" s="5"/>
      <c r="Z93" s="5"/>
    </row>
    <row r="94" ht="15.75" customHeight="1">
      <c r="A94" s="33" t="s">
        <v>37</v>
      </c>
      <c r="B94" s="51" t="s">
        <v>79</v>
      </c>
      <c r="C94" s="52" t="s">
        <v>80</v>
      </c>
      <c r="D94" s="9"/>
      <c r="E94" s="53">
        <v>66.0</v>
      </c>
      <c r="F94" s="18"/>
      <c r="G94" s="22"/>
      <c r="H94" s="22"/>
      <c r="I94" s="22"/>
      <c r="J94" s="22"/>
      <c r="K94" s="22"/>
      <c r="L94" s="22"/>
      <c r="M94" s="22"/>
      <c r="N94" s="22"/>
      <c r="O94" s="22"/>
      <c r="P94" s="23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5.75" customHeight="1">
      <c r="A95" s="33" t="s">
        <v>39</v>
      </c>
      <c r="B95" s="54">
        <v>1.0</v>
      </c>
      <c r="C95" s="55" t="s">
        <v>81</v>
      </c>
      <c r="D95" s="56"/>
      <c r="E95" s="53">
        <v>15.0</v>
      </c>
      <c r="F95" s="18"/>
      <c r="G95" s="22"/>
      <c r="H95" s="22"/>
      <c r="I95" s="22"/>
      <c r="J95" s="22"/>
      <c r="K95" s="22"/>
      <c r="L95" s="22"/>
      <c r="M95" s="22"/>
      <c r="N95" s="22"/>
      <c r="O95" s="22"/>
      <c r="P95" s="23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5.75" customHeight="1">
      <c r="A96" s="33"/>
      <c r="B96" s="54">
        <v>2.0</v>
      </c>
      <c r="C96" s="55" t="s">
        <v>82</v>
      </c>
      <c r="D96" s="56"/>
      <c r="E96" s="62">
        <v>5.0</v>
      </c>
      <c r="F96" s="18"/>
      <c r="G96" s="22"/>
      <c r="H96" s="22"/>
      <c r="I96" s="22"/>
      <c r="J96" s="22"/>
      <c r="K96" s="22"/>
      <c r="L96" s="22"/>
      <c r="M96" s="22"/>
      <c r="N96" s="22"/>
      <c r="O96" s="22"/>
      <c r="P96" s="23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5.75" customHeight="1">
      <c r="A97" s="33"/>
      <c r="B97" s="54">
        <v>3.0</v>
      </c>
      <c r="C97" s="55" t="s">
        <v>83</v>
      </c>
      <c r="D97" s="56"/>
      <c r="E97" s="62">
        <v>3.0</v>
      </c>
      <c r="F97" s="18"/>
      <c r="G97" s="22"/>
      <c r="H97" s="22"/>
      <c r="I97" s="22"/>
      <c r="J97" s="22"/>
      <c r="K97" s="22"/>
      <c r="L97" s="22"/>
      <c r="M97" s="22"/>
      <c r="N97" s="22"/>
      <c r="O97" s="22"/>
      <c r="P97" s="23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5.75" customHeight="1">
      <c r="A98" s="33"/>
      <c r="B98" s="54">
        <v>4.0</v>
      </c>
      <c r="C98" s="55" t="s">
        <v>84</v>
      </c>
      <c r="D98" s="56"/>
      <c r="E98" s="62">
        <v>23.0</v>
      </c>
      <c r="F98" s="18"/>
      <c r="G98" s="22"/>
      <c r="H98" s="22"/>
      <c r="I98" s="22"/>
      <c r="J98" s="22"/>
      <c r="K98" s="22"/>
      <c r="L98" s="22"/>
      <c r="M98" s="22"/>
      <c r="N98" s="22"/>
      <c r="O98" s="22"/>
      <c r="P98" s="23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5.75" customHeight="1">
      <c r="A99" s="13" t="s">
        <v>15</v>
      </c>
      <c r="B99" s="51" t="s">
        <v>46</v>
      </c>
      <c r="C99" s="8"/>
      <c r="D99" s="9"/>
      <c r="E99" s="57">
        <f>SUM(E94:E98)</f>
        <v>112</v>
      </c>
      <c r="F99" s="16"/>
      <c r="G99" s="2"/>
      <c r="H99" s="2"/>
      <c r="I99" s="2"/>
      <c r="J99" s="2"/>
      <c r="K99" s="2"/>
      <c r="L99" s="2"/>
      <c r="M99" s="2"/>
      <c r="N99" s="2"/>
      <c r="O99" s="2"/>
      <c r="P99" s="29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5.75" customHeight="1">
      <c r="A100" s="49"/>
      <c r="B100" s="48"/>
      <c r="C100" s="48"/>
      <c r="D100" s="48"/>
      <c r="E100" s="48"/>
      <c r="F100" s="58"/>
      <c r="G100" s="59"/>
      <c r="H100" s="59"/>
      <c r="I100" s="59"/>
      <c r="J100" s="59"/>
      <c r="K100" s="59"/>
      <c r="L100" s="59"/>
      <c r="M100" s="59"/>
      <c r="N100" s="59"/>
      <c r="O100" s="59"/>
      <c r="P100" s="60"/>
      <c r="Q100" s="5"/>
      <c r="R100" s="5"/>
      <c r="S100" s="5"/>
      <c r="T100" s="5"/>
      <c r="U100" s="5"/>
      <c r="V100" s="5"/>
      <c r="W100" s="61"/>
      <c r="X100" s="5"/>
      <c r="Y100" s="5"/>
      <c r="Z100" s="5"/>
    </row>
    <row r="101" ht="15.75" customHeight="1">
      <c r="A101" s="33" t="s">
        <v>37</v>
      </c>
      <c r="B101" s="51" t="s">
        <v>85</v>
      </c>
      <c r="C101" s="52" t="s">
        <v>86</v>
      </c>
      <c r="D101" s="9"/>
      <c r="E101" s="53">
        <v>101.0</v>
      </c>
      <c r="F101" s="18"/>
      <c r="G101" s="22"/>
      <c r="H101" s="22"/>
      <c r="I101" s="22"/>
      <c r="J101" s="22"/>
      <c r="K101" s="22"/>
      <c r="L101" s="22"/>
      <c r="M101" s="22"/>
      <c r="N101" s="22"/>
      <c r="O101" s="22"/>
      <c r="P101" s="23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5.75" customHeight="1">
      <c r="A102" s="33" t="s">
        <v>39</v>
      </c>
      <c r="B102" s="54">
        <v>1.0</v>
      </c>
      <c r="C102" s="55" t="s">
        <v>87</v>
      </c>
      <c r="D102" s="56"/>
      <c r="E102" s="53">
        <v>258.0</v>
      </c>
      <c r="F102" s="18"/>
      <c r="G102" s="22"/>
      <c r="H102" s="22"/>
      <c r="I102" s="22"/>
      <c r="J102" s="22"/>
      <c r="K102" s="22"/>
      <c r="L102" s="22"/>
      <c r="M102" s="22"/>
      <c r="N102" s="22"/>
      <c r="O102" s="22"/>
      <c r="P102" s="23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15.75" customHeight="1">
      <c r="A103" s="18"/>
      <c r="B103" s="54">
        <v>2.0</v>
      </c>
      <c r="C103" s="55" t="s">
        <v>88</v>
      </c>
      <c r="D103" s="56"/>
      <c r="E103" s="53">
        <v>33.0</v>
      </c>
      <c r="F103" s="18"/>
      <c r="G103" s="22"/>
      <c r="H103" s="22"/>
      <c r="I103" s="22"/>
      <c r="J103" s="22"/>
      <c r="K103" s="22"/>
      <c r="L103" s="22"/>
      <c r="M103" s="22"/>
      <c r="N103" s="22"/>
      <c r="O103" s="22"/>
      <c r="P103" s="23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5.75" customHeight="1">
      <c r="A104" s="18"/>
      <c r="B104" s="54">
        <v>3.0</v>
      </c>
      <c r="C104" s="55" t="s">
        <v>89</v>
      </c>
      <c r="D104" s="56"/>
      <c r="E104" s="53">
        <v>11.0</v>
      </c>
      <c r="F104" s="18"/>
      <c r="G104" s="22"/>
      <c r="H104" s="22"/>
      <c r="I104" s="22"/>
      <c r="J104" s="22"/>
      <c r="K104" s="22"/>
      <c r="L104" s="22"/>
      <c r="M104" s="22"/>
      <c r="N104" s="22"/>
      <c r="O104" s="22"/>
      <c r="P104" s="23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15.75" customHeight="1">
      <c r="A105" s="18"/>
      <c r="B105" s="54">
        <v>4.0</v>
      </c>
      <c r="C105" s="55" t="s">
        <v>90</v>
      </c>
      <c r="D105" s="56"/>
      <c r="E105" s="53">
        <v>3.0</v>
      </c>
      <c r="F105" s="18"/>
      <c r="G105" s="22"/>
      <c r="H105" s="22"/>
      <c r="I105" s="22"/>
      <c r="J105" s="22"/>
      <c r="K105" s="22"/>
      <c r="L105" s="22"/>
      <c r="M105" s="22"/>
      <c r="N105" s="22"/>
      <c r="O105" s="22"/>
      <c r="P105" s="23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5.75" customHeight="1">
      <c r="A106" s="18"/>
      <c r="B106" s="54">
        <v>5.0</v>
      </c>
      <c r="C106" s="55" t="s">
        <v>91</v>
      </c>
      <c r="D106" s="56"/>
      <c r="E106" s="53">
        <v>8.0</v>
      </c>
      <c r="F106" s="18"/>
      <c r="G106" s="22"/>
      <c r="H106" s="22"/>
      <c r="I106" s="22"/>
      <c r="J106" s="22"/>
      <c r="K106" s="22"/>
      <c r="L106" s="22"/>
      <c r="M106" s="22"/>
      <c r="N106" s="22"/>
      <c r="O106" s="22"/>
      <c r="P106" s="23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5.75" customHeight="1">
      <c r="A107" s="18"/>
      <c r="B107" s="54">
        <v>6.0</v>
      </c>
      <c r="C107" s="55" t="s">
        <v>92</v>
      </c>
      <c r="D107" s="56"/>
      <c r="E107" s="53">
        <v>301.0</v>
      </c>
      <c r="F107" s="18"/>
      <c r="G107" s="22"/>
      <c r="H107" s="22"/>
      <c r="I107" s="22"/>
      <c r="J107" s="22"/>
      <c r="K107" s="22"/>
      <c r="L107" s="22"/>
      <c r="M107" s="22"/>
      <c r="N107" s="22"/>
      <c r="O107" s="22"/>
      <c r="P107" s="23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5.75" customHeight="1">
      <c r="A108" s="13" t="s">
        <v>15</v>
      </c>
      <c r="B108" s="51" t="s">
        <v>46</v>
      </c>
      <c r="C108" s="8"/>
      <c r="D108" s="9"/>
      <c r="E108" s="57">
        <f>SUM(E101:E107)</f>
        <v>715</v>
      </c>
      <c r="F108" s="16"/>
      <c r="G108" s="2"/>
      <c r="H108" s="2"/>
      <c r="I108" s="2"/>
      <c r="J108" s="2"/>
      <c r="K108" s="2"/>
      <c r="L108" s="2"/>
      <c r="M108" s="2"/>
      <c r="N108" s="2"/>
      <c r="O108" s="2"/>
      <c r="P108" s="29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5.75" customHeight="1">
      <c r="A109" s="49"/>
      <c r="B109" s="48"/>
      <c r="C109" s="48"/>
      <c r="D109" s="48"/>
      <c r="E109" s="48"/>
      <c r="F109" s="58"/>
      <c r="G109" s="59"/>
      <c r="H109" s="59"/>
      <c r="I109" s="59"/>
      <c r="J109" s="59"/>
      <c r="K109" s="59"/>
      <c r="L109" s="59"/>
      <c r="M109" s="59"/>
      <c r="N109" s="59"/>
      <c r="O109" s="59"/>
      <c r="P109" s="60"/>
      <c r="Q109" s="5"/>
      <c r="R109" s="5"/>
      <c r="S109" s="5"/>
      <c r="T109" s="5"/>
      <c r="U109" s="5"/>
      <c r="V109" s="5"/>
      <c r="W109" s="61"/>
      <c r="X109" s="5"/>
      <c r="Y109" s="5"/>
      <c r="Z109" s="5"/>
    </row>
    <row r="110" ht="15.75" customHeight="1">
      <c r="A110" s="33" t="s">
        <v>37</v>
      </c>
      <c r="B110" s="51" t="s">
        <v>93</v>
      </c>
      <c r="C110" s="52" t="s">
        <v>94</v>
      </c>
      <c r="D110" s="9"/>
      <c r="E110" s="53">
        <v>3.0</v>
      </c>
      <c r="F110" s="18"/>
      <c r="G110" s="22"/>
      <c r="H110" s="22"/>
      <c r="I110" s="22"/>
      <c r="J110" s="22"/>
      <c r="K110" s="22"/>
      <c r="L110" s="22"/>
      <c r="M110" s="22"/>
      <c r="N110" s="22"/>
      <c r="O110" s="22"/>
      <c r="P110" s="23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5.75" customHeight="1">
      <c r="A111" s="33"/>
      <c r="B111" s="54">
        <v>1.0</v>
      </c>
      <c r="C111" s="55" t="s">
        <v>95</v>
      </c>
      <c r="D111" s="63"/>
      <c r="E111" s="53">
        <v>1.0</v>
      </c>
      <c r="F111" s="18"/>
      <c r="G111" s="22"/>
      <c r="H111" s="22"/>
      <c r="I111" s="22"/>
      <c r="J111" s="22"/>
      <c r="K111" s="22"/>
      <c r="L111" s="22"/>
      <c r="M111" s="22"/>
      <c r="N111" s="22"/>
      <c r="O111" s="22"/>
      <c r="P111" s="23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5.75" customHeight="1">
      <c r="A112" s="33"/>
      <c r="B112" s="54">
        <v>2.0</v>
      </c>
      <c r="C112" s="55" t="s">
        <v>96</v>
      </c>
      <c r="D112" s="63"/>
      <c r="E112" s="53">
        <v>0.0</v>
      </c>
      <c r="F112" s="18"/>
      <c r="G112" s="22"/>
      <c r="H112" s="22"/>
      <c r="I112" s="22"/>
      <c r="J112" s="22"/>
      <c r="K112" s="22"/>
      <c r="L112" s="22"/>
      <c r="M112" s="22"/>
      <c r="N112" s="22"/>
      <c r="O112" s="22"/>
      <c r="P112" s="23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5.75" customHeight="1">
      <c r="A113" s="33"/>
      <c r="B113" s="54">
        <v>3.0</v>
      </c>
      <c r="C113" s="55" t="s">
        <v>97</v>
      </c>
      <c r="D113" s="63"/>
      <c r="E113" s="53">
        <v>0.0</v>
      </c>
      <c r="F113" s="18"/>
      <c r="G113" s="22"/>
      <c r="H113" s="22"/>
      <c r="I113" s="22"/>
      <c r="J113" s="22"/>
      <c r="K113" s="22"/>
      <c r="L113" s="22"/>
      <c r="M113" s="22"/>
      <c r="N113" s="22"/>
      <c r="O113" s="22"/>
      <c r="P113" s="23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5.75" customHeight="1">
      <c r="A114" s="13" t="s">
        <v>15</v>
      </c>
      <c r="B114" s="51" t="s">
        <v>46</v>
      </c>
      <c r="C114" s="8"/>
      <c r="D114" s="9"/>
      <c r="E114" s="57">
        <f>SUM(E110:E113)</f>
        <v>4</v>
      </c>
      <c r="F114" s="16"/>
      <c r="G114" s="2"/>
      <c r="H114" s="2"/>
      <c r="I114" s="2"/>
      <c r="J114" s="2"/>
      <c r="K114" s="2"/>
      <c r="L114" s="2"/>
      <c r="M114" s="2"/>
      <c r="N114" s="2"/>
      <c r="O114" s="2"/>
      <c r="P114" s="29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5.75" customHeight="1">
      <c r="A115" s="49"/>
      <c r="B115" s="48"/>
      <c r="C115" s="48"/>
      <c r="D115" s="48"/>
      <c r="E115" s="48"/>
      <c r="F115" s="58"/>
      <c r="G115" s="59"/>
      <c r="H115" s="59"/>
      <c r="I115" s="59"/>
      <c r="J115" s="59"/>
      <c r="K115" s="59"/>
      <c r="L115" s="59"/>
      <c r="M115" s="59"/>
      <c r="N115" s="59"/>
      <c r="O115" s="59"/>
      <c r="P115" s="60"/>
      <c r="Q115" s="5"/>
      <c r="R115" s="5"/>
      <c r="S115" s="5"/>
      <c r="T115" s="5"/>
      <c r="U115" s="5"/>
      <c r="V115" s="5"/>
      <c r="W115" s="61"/>
      <c r="X115" s="5"/>
      <c r="Y115" s="5"/>
      <c r="Z115" s="5"/>
    </row>
    <row r="116" ht="15.75" customHeight="1">
      <c r="A116" s="33" t="s">
        <v>37</v>
      </c>
      <c r="B116" s="51" t="s">
        <v>98</v>
      </c>
      <c r="C116" s="52" t="s">
        <v>99</v>
      </c>
      <c r="D116" s="9"/>
      <c r="E116" s="53">
        <v>30.0</v>
      </c>
      <c r="F116" s="18"/>
      <c r="G116" s="22"/>
      <c r="H116" s="22"/>
      <c r="I116" s="22"/>
      <c r="J116" s="22"/>
      <c r="K116" s="22"/>
      <c r="L116" s="22"/>
      <c r="M116" s="22"/>
      <c r="N116" s="22"/>
      <c r="O116" s="22"/>
      <c r="P116" s="23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5.75" customHeight="1">
      <c r="A117" s="33" t="s">
        <v>39</v>
      </c>
      <c r="B117" s="54">
        <v>1.0</v>
      </c>
      <c r="C117" s="55" t="s">
        <v>100</v>
      </c>
      <c r="D117" s="56"/>
      <c r="E117" s="53">
        <v>132.0</v>
      </c>
      <c r="F117" s="18"/>
      <c r="G117" s="22"/>
      <c r="H117" s="22"/>
      <c r="I117" s="22"/>
      <c r="J117" s="22"/>
      <c r="K117" s="22"/>
      <c r="L117" s="22"/>
      <c r="M117" s="22"/>
      <c r="N117" s="22"/>
      <c r="O117" s="22"/>
      <c r="P117" s="23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5.75" customHeight="1">
      <c r="A118" s="18"/>
      <c r="B118" s="54">
        <v>2.0</v>
      </c>
      <c r="C118" s="55" t="s">
        <v>101</v>
      </c>
      <c r="D118" s="56"/>
      <c r="E118" s="53">
        <v>65.0</v>
      </c>
      <c r="F118" s="18"/>
      <c r="G118" s="22"/>
      <c r="H118" s="22"/>
      <c r="I118" s="22"/>
      <c r="J118" s="22"/>
      <c r="K118" s="22"/>
      <c r="L118" s="22"/>
      <c r="M118" s="22"/>
      <c r="N118" s="22"/>
      <c r="O118" s="22"/>
      <c r="P118" s="23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5.75" customHeight="1">
      <c r="A119" s="18"/>
      <c r="B119" s="54">
        <v>3.0</v>
      </c>
      <c r="C119" s="55" t="s">
        <v>102</v>
      </c>
      <c r="D119" s="56"/>
      <c r="E119" s="53">
        <v>37.0</v>
      </c>
      <c r="F119" s="18"/>
      <c r="G119" s="22"/>
      <c r="H119" s="22"/>
      <c r="I119" s="22"/>
      <c r="J119" s="22"/>
      <c r="K119" s="22"/>
      <c r="L119" s="22"/>
      <c r="M119" s="22"/>
      <c r="N119" s="22"/>
      <c r="O119" s="22"/>
      <c r="P119" s="23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5.75" customHeight="1">
      <c r="A120" s="18"/>
      <c r="B120" s="54">
        <v>4.0</v>
      </c>
      <c r="C120" s="55" t="s">
        <v>103</v>
      </c>
      <c r="D120" s="56"/>
      <c r="E120" s="53">
        <v>3.0</v>
      </c>
      <c r="F120" s="18"/>
      <c r="G120" s="22"/>
      <c r="H120" s="22"/>
      <c r="I120" s="22"/>
      <c r="J120" s="22"/>
      <c r="K120" s="22"/>
      <c r="L120" s="22"/>
      <c r="M120" s="22"/>
      <c r="N120" s="22"/>
      <c r="O120" s="22"/>
      <c r="P120" s="23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5.75" customHeight="1">
      <c r="A121" s="18"/>
      <c r="B121" s="54">
        <v>5.0</v>
      </c>
      <c r="C121" s="55" t="s">
        <v>104</v>
      </c>
      <c r="D121" s="56"/>
      <c r="E121" s="53">
        <v>3.0</v>
      </c>
      <c r="F121" s="18"/>
      <c r="G121" s="22"/>
      <c r="H121" s="22"/>
      <c r="I121" s="22"/>
      <c r="J121" s="22"/>
      <c r="K121" s="22"/>
      <c r="L121" s="22"/>
      <c r="M121" s="22"/>
      <c r="N121" s="22"/>
      <c r="O121" s="22"/>
      <c r="P121" s="23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5.75" customHeight="1">
      <c r="A122" s="18"/>
      <c r="B122" s="54">
        <v>6.0</v>
      </c>
      <c r="C122" s="55" t="s">
        <v>105</v>
      </c>
      <c r="D122" s="56"/>
      <c r="E122" s="53">
        <v>4.0</v>
      </c>
      <c r="F122" s="18"/>
      <c r="G122" s="22"/>
      <c r="H122" s="22"/>
      <c r="I122" s="22"/>
      <c r="J122" s="22"/>
      <c r="K122" s="22"/>
      <c r="L122" s="22"/>
      <c r="M122" s="22"/>
      <c r="N122" s="22"/>
      <c r="O122" s="22"/>
      <c r="P122" s="23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5.75" customHeight="1">
      <c r="A123" s="13" t="s">
        <v>15</v>
      </c>
      <c r="B123" s="51" t="s">
        <v>46</v>
      </c>
      <c r="C123" s="8"/>
      <c r="D123" s="9"/>
      <c r="E123" s="57">
        <f>SUM(E116:E122)</f>
        <v>274</v>
      </c>
      <c r="F123" s="16"/>
      <c r="G123" s="2"/>
      <c r="H123" s="2"/>
      <c r="I123" s="2"/>
      <c r="J123" s="2"/>
      <c r="K123" s="2"/>
      <c r="L123" s="2"/>
      <c r="M123" s="2"/>
      <c r="N123" s="2"/>
      <c r="O123" s="2"/>
      <c r="P123" s="29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5.75" customHeight="1">
      <c r="A124" s="49"/>
      <c r="B124" s="48"/>
      <c r="C124" s="48"/>
      <c r="D124" s="48"/>
      <c r="E124" s="48"/>
      <c r="F124" s="58"/>
      <c r="G124" s="59"/>
      <c r="H124" s="59"/>
      <c r="I124" s="59"/>
      <c r="J124" s="59"/>
      <c r="K124" s="59"/>
      <c r="L124" s="59"/>
      <c r="M124" s="59"/>
      <c r="N124" s="59"/>
      <c r="O124" s="59"/>
      <c r="P124" s="60"/>
      <c r="Q124" s="5"/>
      <c r="R124" s="5"/>
      <c r="S124" s="5"/>
      <c r="T124" s="5"/>
      <c r="U124" s="5"/>
      <c r="V124" s="5"/>
      <c r="W124" s="61"/>
      <c r="X124" s="5"/>
      <c r="Y124" s="5"/>
      <c r="Z124" s="5"/>
    </row>
    <row r="125" ht="15.75" customHeight="1">
      <c r="A125" s="33" t="s">
        <v>37</v>
      </c>
      <c r="B125" s="51" t="s">
        <v>106</v>
      </c>
      <c r="C125" s="52" t="s">
        <v>107</v>
      </c>
      <c r="D125" s="9"/>
      <c r="E125" s="53">
        <v>18.0</v>
      </c>
      <c r="F125" s="18"/>
      <c r="G125" s="22"/>
      <c r="H125" s="22"/>
      <c r="I125" s="22"/>
      <c r="J125" s="22"/>
      <c r="K125" s="22"/>
      <c r="L125" s="22"/>
      <c r="M125" s="22"/>
      <c r="N125" s="22"/>
      <c r="O125" s="22"/>
      <c r="P125" s="23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5.75" customHeight="1">
      <c r="A126" s="33" t="s">
        <v>39</v>
      </c>
      <c r="B126" s="54"/>
      <c r="C126" s="55" t="s">
        <v>78</v>
      </c>
      <c r="D126" s="56"/>
      <c r="E126" s="42"/>
      <c r="F126" s="18"/>
      <c r="G126" s="22"/>
      <c r="H126" s="22"/>
      <c r="I126" s="22"/>
      <c r="J126" s="22"/>
      <c r="K126" s="22"/>
      <c r="L126" s="22"/>
      <c r="M126" s="22"/>
      <c r="N126" s="22"/>
      <c r="O126" s="22"/>
      <c r="P126" s="23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5.75" customHeight="1">
      <c r="A127" s="13" t="s">
        <v>15</v>
      </c>
      <c r="B127" s="51" t="s">
        <v>46</v>
      </c>
      <c r="C127" s="8"/>
      <c r="D127" s="9"/>
      <c r="E127" s="57">
        <f>SUM(E125:E126)</f>
        <v>18</v>
      </c>
      <c r="F127" s="16"/>
      <c r="G127" s="2"/>
      <c r="H127" s="2"/>
      <c r="I127" s="2"/>
      <c r="J127" s="2"/>
      <c r="K127" s="2"/>
      <c r="L127" s="2"/>
      <c r="M127" s="2"/>
      <c r="N127" s="2"/>
      <c r="O127" s="2"/>
      <c r="P127" s="29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5.75" customHeight="1">
      <c r="A128" s="49"/>
      <c r="B128" s="48"/>
      <c r="C128" s="48"/>
      <c r="D128" s="48"/>
      <c r="E128" s="48"/>
      <c r="F128" s="58"/>
      <c r="G128" s="59"/>
      <c r="H128" s="59"/>
      <c r="I128" s="59"/>
      <c r="J128" s="59"/>
      <c r="K128" s="59"/>
      <c r="L128" s="59"/>
      <c r="M128" s="59"/>
      <c r="N128" s="59"/>
      <c r="O128" s="59"/>
      <c r="P128" s="60"/>
      <c r="Q128" s="5"/>
      <c r="R128" s="5"/>
      <c r="S128" s="5"/>
      <c r="T128" s="5"/>
      <c r="U128" s="5"/>
      <c r="V128" s="5"/>
      <c r="W128" s="61"/>
      <c r="X128" s="5"/>
      <c r="Y128" s="5"/>
      <c r="Z128" s="5"/>
    </row>
    <row r="129" ht="15.75" customHeight="1">
      <c r="A129" s="33" t="s">
        <v>37</v>
      </c>
      <c r="B129" s="51" t="s">
        <v>108</v>
      </c>
      <c r="C129" s="52" t="s">
        <v>109</v>
      </c>
      <c r="D129" s="9"/>
      <c r="E129" s="53">
        <v>80.0</v>
      </c>
      <c r="F129" s="18"/>
      <c r="G129" s="22"/>
      <c r="H129" s="22"/>
      <c r="I129" s="22"/>
      <c r="J129" s="22"/>
      <c r="K129" s="22"/>
      <c r="L129" s="22"/>
      <c r="M129" s="22"/>
      <c r="N129" s="22"/>
      <c r="O129" s="22"/>
      <c r="P129" s="23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5.75" customHeight="1">
      <c r="A130" s="33" t="s">
        <v>39</v>
      </c>
      <c r="B130" s="54">
        <v>1.0</v>
      </c>
      <c r="C130" s="55" t="s">
        <v>110</v>
      </c>
      <c r="D130" s="56"/>
      <c r="E130" s="53">
        <v>100.0</v>
      </c>
      <c r="F130" s="18"/>
      <c r="G130" s="22"/>
      <c r="H130" s="22"/>
      <c r="I130" s="22"/>
      <c r="J130" s="22"/>
      <c r="K130" s="22"/>
      <c r="L130" s="22"/>
      <c r="M130" s="22"/>
      <c r="N130" s="22"/>
      <c r="O130" s="22"/>
      <c r="P130" s="23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5.75" customHeight="1">
      <c r="A131" s="18"/>
      <c r="B131" s="54">
        <v>2.0</v>
      </c>
      <c r="C131" s="55" t="s">
        <v>111</v>
      </c>
      <c r="D131" s="56"/>
      <c r="E131" s="53">
        <v>16.0</v>
      </c>
      <c r="F131" s="18"/>
      <c r="G131" s="22"/>
      <c r="H131" s="22"/>
      <c r="I131" s="22"/>
      <c r="J131" s="22"/>
      <c r="K131" s="22"/>
      <c r="L131" s="22"/>
      <c r="M131" s="22"/>
      <c r="N131" s="22"/>
      <c r="O131" s="22"/>
      <c r="P131" s="23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5.75" customHeight="1">
      <c r="A132" s="18"/>
      <c r="B132" s="54">
        <v>3.0</v>
      </c>
      <c r="C132" s="55" t="s">
        <v>112</v>
      </c>
      <c r="D132" s="56"/>
      <c r="E132" s="53">
        <v>7.0</v>
      </c>
      <c r="F132" s="18"/>
      <c r="G132" s="22"/>
      <c r="H132" s="22"/>
      <c r="I132" s="22"/>
      <c r="J132" s="22"/>
      <c r="K132" s="22"/>
      <c r="L132" s="22"/>
      <c r="M132" s="22"/>
      <c r="N132" s="22"/>
      <c r="O132" s="22"/>
      <c r="P132" s="23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5.75" customHeight="1">
      <c r="A133" s="18"/>
      <c r="B133" s="54">
        <v>4.0</v>
      </c>
      <c r="C133" s="55" t="s">
        <v>113</v>
      </c>
      <c r="D133" s="56"/>
      <c r="E133" s="53">
        <v>8.0</v>
      </c>
      <c r="F133" s="18"/>
      <c r="G133" s="22"/>
      <c r="H133" s="22"/>
      <c r="I133" s="22"/>
      <c r="J133" s="22"/>
      <c r="K133" s="22"/>
      <c r="L133" s="22"/>
      <c r="M133" s="22"/>
      <c r="N133" s="22"/>
      <c r="O133" s="22"/>
      <c r="P133" s="23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5.75" customHeight="1">
      <c r="A134" s="18"/>
      <c r="B134" s="54">
        <v>5.0</v>
      </c>
      <c r="C134" s="55" t="s">
        <v>114</v>
      </c>
      <c r="D134" s="56"/>
      <c r="E134" s="53">
        <v>2.0</v>
      </c>
      <c r="F134" s="18"/>
      <c r="G134" s="22"/>
      <c r="H134" s="22"/>
      <c r="I134" s="22"/>
      <c r="J134" s="22"/>
      <c r="K134" s="22"/>
      <c r="L134" s="22"/>
      <c r="M134" s="22"/>
      <c r="N134" s="22"/>
      <c r="O134" s="22"/>
      <c r="P134" s="23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5.75" customHeight="1">
      <c r="A135" s="18"/>
      <c r="B135" s="54">
        <v>6.0</v>
      </c>
      <c r="C135" s="55" t="s">
        <v>115</v>
      </c>
      <c r="D135" s="56"/>
      <c r="E135" s="53">
        <v>9.0</v>
      </c>
      <c r="F135" s="18"/>
      <c r="G135" s="22"/>
      <c r="H135" s="22"/>
      <c r="I135" s="22"/>
      <c r="J135" s="22"/>
      <c r="K135" s="22"/>
      <c r="L135" s="22"/>
      <c r="M135" s="22"/>
      <c r="N135" s="22"/>
      <c r="O135" s="22"/>
      <c r="P135" s="23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5.75" customHeight="1">
      <c r="A136" s="13" t="s">
        <v>15</v>
      </c>
      <c r="B136" s="51" t="s">
        <v>46</v>
      </c>
      <c r="C136" s="8"/>
      <c r="D136" s="9"/>
      <c r="E136" s="57">
        <f>SUM(E129:E135)</f>
        <v>222</v>
      </c>
      <c r="F136" s="16"/>
      <c r="G136" s="2"/>
      <c r="H136" s="2"/>
      <c r="I136" s="2"/>
      <c r="J136" s="2"/>
      <c r="K136" s="2"/>
      <c r="L136" s="2"/>
      <c r="M136" s="2"/>
      <c r="N136" s="2"/>
      <c r="O136" s="2"/>
      <c r="P136" s="29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5.75" customHeight="1">
      <c r="A137" s="49"/>
      <c r="B137" s="48"/>
      <c r="C137" s="48"/>
      <c r="D137" s="48"/>
      <c r="E137" s="48"/>
      <c r="F137" s="58"/>
      <c r="G137" s="59"/>
      <c r="H137" s="59"/>
      <c r="I137" s="59"/>
      <c r="J137" s="59"/>
      <c r="K137" s="59"/>
      <c r="L137" s="59"/>
      <c r="M137" s="59"/>
      <c r="N137" s="59"/>
      <c r="O137" s="59"/>
      <c r="P137" s="60"/>
      <c r="Q137" s="5"/>
      <c r="R137" s="5"/>
      <c r="S137" s="5"/>
      <c r="T137" s="5"/>
      <c r="U137" s="5"/>
      <c r="V137" s="5"/>
      <c r="W137" s="61"/>
      <c r="X137" s="5"/>
      <c r="Y137" s="5"/>
      <c r="Z137" s="5"/>
    </row>
    <row r="138" ht="15.75" customHeight="1">
      <c r="A138" s="33" t="s">
        <v>37</v>
      </c>
      <c r="B138" s="51" t="s">
        <v>116</v>
      </c>
      <c r="C138" s="52" t="s">
        <v>117</v>
      </c>
      <c r="D138" s="9"/>
      <c r="E138" s="53">
        <v>25.0</v>
      </c>
      <c r="F138" s="18"/>
      <c r="G138" s="22"/>
      <c r="H138" s="22"/>
      <c r="I138" s="22"/>
      <c r="J138" s="22"/>
      <c r="K138" s="22"/>
      <c r="L138" s="22"/>
      <c r="M138" s="22"/>
      <c r="N138" s="22"/>
      <c r="O138" s="22"/>
      <c r="P138" s="23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5.75" customHeight="1">
      <c r="A139" s="33" t="s">
        <v>39</v>
      </c>
      <c r="B139" s="54">
        <v>1.0</v>
      </c>
      <c r="C139" s="55" t="s">
        <v>118</v>
      </c>
      <c r="D139" s="56"/>
      <c r="E139" s="53">
        <v>8.0</v>
      </c>
      <c r="F139" s="18"/>
      <c r="G139" s="22"/>
      <c r="H139" s="22"/>
      <c r="I139" s="22"/>
      <c r="J139" s="22"/>
      <c r="K139" s="22"/>
      <c r="L139" s="22"/>
      <c r="M139" s="22"/>
      <c r="N139" s="22"/>
      <c r="O139" s="22"/>
      <c r="P139" s="23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5.75" customHeight="1">
      <c r="A140" s="18"/>
      <c r="B140" s="54">
        <v>2.0</v>
      </c>
      <c r="C140" s="55" t="s">
        <v>119</v>
      </c>
      <c r="D140" s="56"/>
      <c r="E140" s="53">
        <v>65.0</v>
      </c>
      <c r="F140" s="18"/>
      <c r="G140" s="22"/>
      <c r="H140" s="22"/>
      <c r="I140" s="22"/>
      <c r="J140" s="22"/>
      <c r="K140" s="22"/>
      <c r="L140" s="22"/>
      <c r="M140" s="22"/>
      <c r="N140" s="22"/>
      <c r="O140" s="22"/>
      <c r="P140" s="23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5.75" customHeight="1">
      <c r="A141" s="18"/>
      <c r="B141" s="54">
        <v>3.0</v>
      </c>
      <c r="C141" s="55" t="s">
        <v>120</v>
      </c>
      <c r="D141" s="56"/>
      <c r="E141" s="53">
        <v>5.0</v>
      </c>
      <c r="F141" s="18"/>
      <c r="G141" s="22"/>
      <c r="H141" s="22"/>
      <c r="I141" s="22"/>
      <c r="J141" s="22"/>
      <c r="K141" s="22"/>
      <c r="L141" s="22"/>
      <c r="M141" s="22"/>
      <c r="N141" s="22"/>
      <c r="O141" s="22"/>
      <c r="P141" s="23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5.75" customHeight="1">
      <c r="A142" s="18"/>
      <c r="B142" s="54">
        <v>4.0</v>
      </c>
      <c r="C142" s="55" t="s">
        <v>121</v>
      </c>
      <c r="D142" s="56"/>
      <c r="E142" s="53">
        <v>4.0</v>
      </c>
      <c r="F142" s="18"/>
      <c r="G142" s="22"/>
      <c r="H142" s="22"/>
      <c r="I142" s="22"/>
      <c r="J142" s="22"/>
      <c r="K142" s="22"/>
      <c r="L142" s="22"/>
      <c r="M142" s="22"/>
      <c r="N142" s="22"/>
      <c r="O142" s="22"/>
      <c r="P142" s="23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5.75" customHeight="1">
      <c r="A143" s="18"/>
      <c r="B143" s="54">
        <v>5.0</v>
      </c>
      <c r="C143" s="55" t="s">
        <v>122</v>
      </c>
      <c r="D143" s="56"/>
      <c r="E143" s="53">
        <v>1.0</v>
      </c>
      <c r="F143" s="18"/>
      <c r="G143" s="22"/>
      <c r="H143" s="22"/>
      <c r="I143" s="22"/>
      <c r="J143" s="22"/>
      <c r="K143" s="22"/>
      <c r="L143" s="22"/>
      <c r="M143" s="22"/>
      <c r="N143" s="22"/>
      <c r="O143" s="22"/>
      <c r="P143" s="23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5.75" customHeight="1">
      <c r="A144" s="13" t="s">
        <v>15</v>
      </c>
      <c r="B144" s="51" t="s">
        <v>46</v>
      </c>
      <c r="C144" s="8"/>
      <c r="D144" s="9"/>
      <c r="E144" s="57">
        <f>SUM(E138:E143)</f>
        <v>108</v>
      </c>
      <c r="F144" s="16"/>
      <c r="G144" s="2"/>
      <c r="H144" s="2"/>
      <c r="I144" s="2"/>
      <c r="J144" s="2"/>
      <c r="K144" s="2"/>
      <c r="L144" s="2"/>
      <c r="M144" s="2"/>
      <c r="N144" s="2"/>
      <c r="O144" s="2"/>
      <c r="P144" s="29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5.75" customHeight="1">
      <c r="A145" s="49"/>
      <c r="B145" s="48"/>
      <c r="C145" s="48"/>
      <c r="D145" s="48"/>
      <c r="E145" s="48"/>
      <c r="F145" s="58"/>
      <c r="G145" s="59"/>
      <c r="H145" s="59"/>
      <c r="I145" s="59"/>
      <c r="J145" s="59"/>
      <c r="K145" s="59"/>
      <c r="L145" s="59"/>
      <c r="M145" s="59"/>
      <c r="N145" s="59"/>
      <c r="O145" s="59"/>
      <c r="P145" s="60"/>
      <c r="Q145" s="5"/>
      <c r="R145" s="5"/>
      <c r="S145" s="5"/>
      <c r="T145" s="5"/>
      <c r="U145" s="5"/>
      <c r="V145" s="5"/>
      <c r="W145" s="61"/>
      <c r="X145" s="5"/>
      <c r="Y145" s="5"/>
      <c r="Z145" s="5"/>
    </row>
    <row r="146" ht="15.75" customHeight="1">
      <c r="A146" s="33" t="s">
        <v>37</v>
      </c>
      <c r="B146" s="51" t="s">
        <v>123</v>
      </c>
      <c r="C146" s="52" t="s">
        <v>124</v>
      </c>
      <c r="D146" s="9"/>
      <c r="E146" s="53">
        <v>171.0</v>
      </c>
      <c r="F146" s="18"/>
      <c r="G146" s="22"/>
      <c r="H146" s="22"/>
      <c r="I146" s="22"/>
      <c r="J146" s="22"/>
      <c r="K146" s="22"/>
      <c r="L146" s="22"/>
      <c r="M146" s="22"/>
      <c r="N146" s="22"/>
      <c r="O146" s="22"/>
      <c r="P146" s="23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5.75" customHeight="1">
      <c r="A147" s="33" t="s">
        <v>39</v>
      </c>
      <c r="B147" s="54">
        <v>1.0</v>
      </c>
      <c r="C147" s="55" t="s">
        <v>125</v>
      </c>
      <c r="D147" s="56"/>
      <c r="E147" s="53">
        <v>69.0</v>
      </c>
      <c r="F147" s="18"/>
      <c r="G147" s="22"/>
      <c r="H147" s="22"/>
      <c r="I147" s="22"/>
      <c r="J147" s="22"/>
      <c r="K147" s="22"/>
      <c r="L147" s="22"/>
      <c r="M147" s="22"/>
      <c r="N147" s="22"/>
      <c r="O147" s="22"/>
      <c r="P147" s="23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5.75" customHeight="1">
      <c r="A148" s="18"/>
      <c r="B148" s="54">
        <v>2.0</v>
      </c>
      <c r="C148" s="55" t="s">
        <v>126</v>
      </c>
      <c r="D148" s="56"/>
      <c r="E148" s="53">
        <v>591.0</v>
      </c>
      <c r="F148" s="18"/>
      <c r="G148" s="22"/>
      <c r="H148" s="22"/>
      <c r="I148" s="22"/>
      <c r="J148" s="22"/>
      <c r="K148" s="22"/>
      <c r="L148" s="22"/>
      <c r="M148" s="22"/>
      <c r="N148" s="22"/>
      <c r="O148" s="22"/>
      <c r="P148" s="23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5.75" customHeight="1">
      <c r="A149" s="18"/>
      <c r="B149" s="54">
        <v>3.0</v>
      </c>
      <c r="C149" s="55" t="s">
        <v>127</v>
      </c>
      <c r="D149" s="56"/>
      <c r="E149" s="53">
        <v>19.0</v>
      </c>
      <c r="F149" s="18"/>
      <c r="G149" s="22"/>
      <c r="H149" s="22"/>
      <c r="I149" s="22"/>
      <c r="J149" s="22"/>
      <c r="K149" s="22"/>
      <c r="L149" s="22"/>
      <c r="M149" s="22"/>
      <c r="N149" s="22"/>
      <c r="O149" s="22"/>
      <c r="P149" s="23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5.75" customHeight="1">
      <c r="A150" s="18"/>
      <c r="B150" s="54">
        <v>4.0</v>
      </c>
      <c r="C150" s="55" t="s">
        <v>128</v>
      </c>
      <c r="D150" s="56"/>
      <c r="E150" s="53">
        <v>16.0</v>
      </c>
      <c r="F150" s="18"/>
      <c r="G150" s="22"/>
      <c r="H150" s="22"/>
      <c r="I150" s="22"/>
      <c r="J150" s="22"/>
      <c r="K150" s="22"/>
      <c r="L150" s="22"/>
      <c r="M150" s="22"/>
      <c r="N150" s="22"/>
      <c r="O150" s="22"/>
      <c r="P150" s="23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5.75" customHeight="1">
      <c r="A151" s="18"/>
      <c r="B151" s="54">
        <v>5.0</v>
      </c>
      <c r="C151" s="55" t="s">
        <v>129</v>
      </c>
      <c r="D151" s="56"/>
      <c r="E151" s="53">
        <v>12.0</v>
      </c>
      <c r="F151" s="18"/>
      <c r="G151" s="22"/>
      <c r="H151" s="22"/>
      <c r="I151" s="22"/>
      <c r="J151" s="22"/>
      <c r="K151" s="22"/>
      <c r="L151" s="22"/>
      <c r="M151" s="22"/>
      <c r="N151" s="22"/>
      <c r="O151" s="22"/>
      <c r="P151" s="23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5.75" customHeight="1">
      <c r="A152" s="18"/>
      <c r="B152" s="54">
        <v>6.0</v>
      </c>
      <c r="C152" s="55" t="s">
        <v>130</v>
      </c>
      <c r="D152" s="56"/>
      <c r="E152" s="53">
        <v>11.0</v>
      </c>
      <c r="F152" s="18"/>
      <c r="G152" s="22"/>
      <c r="H152" s="22"/>
      <c r="I152" s="22"/>
      <c r="J152" s="22"/>
      <c r="K152" s="22"/>
      <c r="L152" s="22"/>
      <c r="M152" s="22"/>
      <c r="N152" s="22"/>
      <c r="O152" s="22"/>
      <c r="P152" s="23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5.75" customHeight="1">
      <c r="A153" s="13" t="s">
        <v>15</v>
      </c>
      <c r="B153" s="51" t="s">
        <v>46</v>
      </c>
      <c r="C153" s="8"/>
      <c r="D153" s="9"/>
      <c r="E153" s="57">
        <f>SUM(E146:E152)</f>
        <v>889</v>
      </c>
      <c r="F153" s="16"/>
      <c r="G153" s="2"/>
      <c r="H153" s="2"/>
      <c r="I153" s="2"/>
      <c r="J153" s="2"/>
      <c r="K153" s="2"/>
      <c r="L153" s="2"/>
      <c r="M153" s="2"/>
      <c r="N153" s="2"/>
      <c r="O153" s="2"/>
      <c r="P153" s="29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5.75" customHeight="1">
      <c r="A154" s="49"/>
      <c r="B154" s="48"/>
      <c r="C154" s="48"/>
      <c r="D154" s="48"/>
      <c r="E154" s="48"/>
      <c r="F154" s="58"/>
      <c r="G154" s="59"/>
      <c r="H154" s="59"/>
      <c r="I154" s="59"/>
      <c r="J154" s="59"/>
      <c r="K154" s="59"/>
      <c r="L154" s="59"/>
      <c r="M154" s="59"/>
      <c r="N154" s="59"/>
      <c r="O154" s="59"/>
      <c r="P154" s="60"/>
      <c r="Q154" s="5"/>
      <c r="R154" s="5"/>
      <c r="S154" s="5"/>
      <c r="T154" s="5"/>
      <c r="U154" s="5"/>
      <c r="V154" s="5"/>
      <c r="W154" s="61"/>
      <c r="X154" s="5"/>
      <c r="Y154" s="5"/>
      <c r="Z154" s="5"/>
    </row>
    <row r="155" ht="15.75" customHeight="1">
      <c r="A155" s="33" t="s">
        <v>37</v>
      </c>
      <c r="B155" s="51" t="s">
        <v>131</v>
      </c>
      <c r="C155" s="52" t="s">
        <v>132</v>
      </c>
      <c r="D155" s="9"/>
      <c r="E155" s="53">
        <v>97.0</v>
      </c>
      <c r="F155" s="18"/>
      <c r="G155" s="22"/>
      <c r="H155" s="22"/>
      <c r="I155" s="22"/>
      <c r="J155" s="22"/>
      <c r="K155" s="22"/>
      <c r="L155" s="22"/>
      <c r="M155" s="22"/>
      <c r="N155" s="22"/>
      <c r="O155" s="22"/>
      <c r="P155" s="23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5.75" customHeight="1">
      <c r="A156" s="33" t="s">
        <v>39</v>
      </c>
      <c r="B156" s="54">
        <v>1.0</v>
      </c>
      <c r="C156" s="55" t="s">
        <v>133</v>
      </c>
      <c r="D156" s="56"/>
      <c r="E156" s="53">
        <v>344.0</v>
      </c>
      <c r="F156" s="18"/>
      <c r="G156" s="22"/>
      <c r="H156" s="22"/>
      <c r="I156" s="22"/>
      <c r="J156" s="22"/>
      <c r="K156" s="22"/>
      <c r="L156" s="22"/>
      <c r="M156" s="22"/>
      <c r="N156" s="22"/>
      <c r="O156" s="22"/>
      <c r="P156" s="23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5.75" customHeight="1">
      <c r="A157" s="33"/>
      <c r="B157" s="54">
        <v>2.0</v>
      </c>
      <c r="C157" s="55" t="s">
        <v>134</v>
      </c>
      <c r="D157" s="56"/>
      <c r="E157" s="62">
        <v>38.0</v>
      </c>
      <c r="F157" s="18"/>
      <c r="G157" s="22"/>
      <c r="H157" s="22"/>
      <c r="I157" s="22"/>
      <c r="J157" s="22"/>
      <c r="K157" s="22"/>
      <c r="L157" s="22"/>
      <c r="M157" s="22"/>
      <c r="N157" s="22"/>
      <c r="O157" s="22"/>
      <c r="P157" s="23"/>
      <c r="Q157" s="24"/>
      <c r="R157" s="24"/>
      <c r="S157" s="24"/>
      <c r="T157" s="24"/>
      <c r="U157" s="24"/>
      <c r="V157" s="24"/>
      <c r="W157" s="17"/>
      <c r="X157" s="17"/>
      <c r="Y157" s="17"/>
      <c r="Z157" s="17"/>
    </row>
    <row r="158" ht="15.75" customHeight="1">
      <c r="A158" s="13" t="s">
        <v>15</v>
      </c>
      <c r="B158" s="51" t="s">
        <v>46</v>
      </c>
      <c r="C158" s="8"/>
      <c r="D158" s="9"/>
      <c r="E158" s="57">
        <f>SUM(E155:E157)</f>
        <v>479</v>
      </c>
      <c r="F158" s="16"/>
      <c r="G158" s="2"/>
      <c r="H158" s="2"/>
      <c r="I158" s="2"/>
      <c r="J158" s="2"/>
      <c r="K158" s="2"/>
      <c r="L158" s="2"/>
      <c r="M158" s="2"/>
      <c r="N158" s="2"/>
      <c r="O158" s="2"/>
      <c r="P158" s="29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5.75" customHeight="1">
      <c r="A159" s="49"/>
      <c r="B159" s="48"/>
      <c r="C159" s="48"/>
      <c r="D159" s="48"/>
      <c r="E159" s="48"/>
      <c r="F159" s="58"/>
      <c r="G159" s="59"/>
      <c r="H159" s="59"/>
      <c r="I159" s="59"/>
      <c r="J159" s="59"/>
      <c r="K159" s="59"/>
      <c r="L159" s="59"/>
      <c r="M159" s="59"/>
      <c r="N159" s="59"/>
      <c r="O159" s="59"/>
      <c r="P159" s="60"/>
      <c r="Q159" s="5"/>
      <c r="R159" s="5"/>
      <c r="S159" s="5"/>
      <c r="T159" s="5"/>
      <c r="U159" s="5"/>
      <c r="V159" s="5"/>
      <c r="W159" s="61"/>
      <c r="X159" s="5"/>
      <c r="Y159" s="5"/>
      <c r="Z159" s="5"/>
    </row>
    <row r="160" ht="15.75" customHeight="1">
      <c r="A160" s="33" t="s">
        <v>37</v>
      </c>
      <c r="B160" s="51" t="s">
        <v>135</v>
      </c>
      <c r="C160" s="52" t="s">
        <v>136</v>
      </c>
      <c r="D160" s="9"/>
      <c r="E160" s="53">
        <v>22.0</v>
      </c>
      <c r="F160" s="18"/>
      <c r="G160" s="22"/>
      <c r="H160" s="22"/>
      <c r="I160" s="22"/>
      <c r="J160" s="22"/>
      <c r="K160" s="22"/>
      <c r="L160" s="22"/>
      <c r="M160" s="22"/>
      <c r="N160" s="22"/>
      <c r="O160" s="22"/>
      <c r="P160" s="23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5.75" customHeight="1">
      <c r="A161" s="33"/>
      <c r="B161" s="54">
        <v>1.0</v>
      </c>
      <c r="C161" s="55" t="s">
        <v>137</v>
      </c>
      <c r="D161" s="63"/>
      <c r="E161" s="53">
        <v>11.0</v>
      </c>
      <c r="F161" s="18"/>
      <c r="G161" s="22"/>
      <c r="H161" s="22"/>
      <c r="I161" s="22"/>
      <c r="J161" s="22"/>
      <c r="K161" s="22"/>
      <c r="L161" s="22"/>
      <c r="M161" s="22"/>
      <c r="N161" s="22"/>
      <c r="O161" s="22"/>
      <c r="P161" s="23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5.75" customHeight="1">
      <c r="A162" s="33"/>
      <c r="B162" s="54">
        <v>2.0</v>
      </c>
      <c r="C162" s="55" t="s">
        <v>138</v>
      </c>
      <c r="D162" s="63"/>
      <c r="E162" s="53">
        <v>8.0</v>
      </c>
      <c r="F162" s="18"/>
      <c r="G162" s="22"/>
      <c r="H162" s="22"/>
      <c r="I162" s="22"/>
      <c r="J162" s="22"/>
      <c r="K162" s="22"/>
      <c r="L162" s="22"/>
      <c r="M162" s="22"/>
      <c r="N162" s="22"/>
      <c r="O162" s="22"/>
      <c r="P162" s="23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5.75" customHeight="1">
      <c r="A163" s="33"/>
      <c r="B163" s="54">
        <v>3.0</v>
      </c>
      <c r="C163" s="55" t="s">
        <v>139</v>
      </c>
      <c r="D163" s="63"/>
      <c r="E163" s="53">
        <v>28.0</v>
      </c>
      <c r="F163" s="18"/>
      <c r="G163" s="22"/>
      <c r="H163" s="22"/>
      <c r="I163" s="22"/>
      <c r="J163" s="22"/>
      <c r="K163" s="22"/>
      <c r="L163" s="22"/>
      <c r="M163" s="22"/>
      <c r="N163" s="22"/>
      <c r="O163" s="22"/>
      <c r="P163" s="23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5.75" customHeight="1">
      <c r="A164" s="13" t="s">
        <v>15</v>
      </c>
      <c r="B164" s="51" t="s">
        <v>46</v>
      </c>
      <c r="C164" s="8"/>
      <c r="D164" s="9"/>
      <c r="E164" s="57">
        <f>SUM(E160:E163)</f>
        <v>69</v>
      </c>
      <c r="F164" s="16"/>
      <c r="G164" s="2"/>
      <c r="H164" s="2"/>
      <c r="I164" s="2"/>
      <c r="J164" s="2"/>
      <c r="K164" s="2"/>
      <c r="L164" s="2"/>
      <c r="M164" s="2"/>
      <c r="N164" s="2"/>
      <c r="O164" s="2"/>
      <c r="P164" s="29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5.75" customHeight="1">
      <c r="A165" s="49"/>
      <c r="B165" s="48"/>
      <c r="C165" s="48"/>
      <c r="D165" s="48"/>
      <c r="E165" s="48"/>
      <c r="F165" s="58"/>
      <c r="G165" s="59"/>
      <c r="H165" s="59"/>
      <c r="I165" s="59"/>
      <c r="J165" s="59"/>
      <c r="K165" s="59"/>
      <c r="L165" s="59"/>
      <c r="M165" s="59"/>
      <c r="N165" s="59"/>
      <c r="O165" s="59"/>
      <c r="P165" s="60"/>
      <c r="Q165" s="5"/>
      <c r="R165" s="5"/>
      <c r="S165" s="5"/>
      <c r="T165" s="5"/>
      <c r="U165" s="5"/>
      <c r="V165" s="5"/>
      <c r="W165" s="61"/>
      <c r="X165" s="5"/>
      <c r="Y165" s="5"/>
      <c r="Z165" s="5"/>
    </row>
    <row r="166" ht="15.75" customHeight="1">
      <c r="A166" s="33" t="s">
        <v>37</v>
      </c>
      <c r="B166" s="51" t="s">
        <v>140</v>
      </c>
      <c r="C166" s="52" t="s">
        <v>141</v>
      </c>
      <c r="D166" s="9"/>
      <c r="E166" s="53">
        <v>147.0</v>
      </c>
      <c r="F166" s="18"/>
      <c r="G166" s="22"/>
      <c r="H166" s="22"/>
      <c r="I166" s="22"/>
      <c r="J166" s="22"/>
      <c r="K166" s="22"/>
      <c r="L166" s="22"/>
      <c r="M166" s="22"/>
      <c r="N166" s="22"/>
      <c r="O166" s="22"/>
      <c r="P166" s="23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5.75" customHeight="1">
      <c r="A167" s="33" t="s">
        <v>39</v>
      </c>
      <c r="B167" s="54">
        <v>1.0</v>
      </c>
      <c r="C167" s="55" t="s">
        <v>142</v>
      </c>
      <c r="D167" s="56"/>
      <c r="E167" s="53">
        <v>73.0</v>
      </c>
      <c r="F167" s="18"/>
      <c r="G167" s="22"/>
      <c r="H167" s="22"/>
      <c r="I167" s="22"/>
      <c r="J167" s="22"/>
      <c r="K167" s="22"/>
      <c r="L167" s="22"/>
      <c r="M167" s="22"/>
      <c r="N167" s="22"/>
      <c r="O167" s="22"/>
      <c r="P167" s="23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5.75" customHeight="1">
      <c r="A168" s="18"/>
      <c r="B168" s="54">
        <v>2.0</v>
      </c>
      <c r="C168" s="55" t="s">
        <v>143</v>
      </c>
      <c r="D168" s="56"/>
      <c r="E168" s="53">
        <v>786.0</v>
      </c>
      <c r="F168" s="18"/>
      <c r="G168" s="22"/>
      <c r="H168" s="22"/>
      <c r="I168" s="22"/>
      <c r="J168" s="22"/>
      <c r="K168" s="22"/>
      <c r="L168" s="22"/>
      <c r="M168" s="22"/>
      <c r="N168" s="22"/>
      <c r="O168" s="22"/>
      <c r="P168" s="23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5.75" customHeight="1">
      <c r="A169" s="18"/>
      <c r="B169" s="54">
        <v>3.0</v>
      </c>
      <c r="C169" s="55" t="s">
        <v>144</v>
      </c>
      <c r="D169" s="56"/>
      <c r="E169" s="53">
        <v>37.0</v>
      </c>
      <c r="F169" s="18"/>
      <c r="G169" s="22"/>
      <c r="H169" s="22"/>
      <c r="I169" s="22"/>
      <c r="J169" s="22"/>
      <c r="K169" s="22"/>
      <c r="L169" s="22"/>
      <c r="M169" s="22"/>
      <c r="N169" s="22"/>
      <c r="O169" s="22"/>
      <c r="P169" s="23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5.75" customHeight="1">
      <c r="A170" s="18"/>
      <c r="B170" s="54">
        <v>4.0</v>
      </c>
      <c r="C170" s="55" t="s">
        <v>145</v>
      </c>
      <c r="D170" s="56"/>
      <c r="E170" s="53">
        <v>18.0</v>
      </c>
      <c r="F170" s="18"/>
      <c r="G170" s="22"/>
      <c r="H170" s="22"/>
      <c r="I170" s="22"/>
      <c r="J170" s="22"/>
      <c r="K170" s="22"/>
      <c r="L170" s="22"/>
      <c r="M170" s="22"/>
      <c r="N170" s="22"/>
      <c r="O170" s="22"/>
      <c r="P170" s="23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5.75" customHeight="1">
      <c r="A171" s="18"/>
      <c r="B171" s="54">
        <v>5.0</v>
      </c>
      <c r="C171" s="55" t="s">
        <v>146</v>
      </c>
      <c r="D171" s="56"/>
      <c r="E171" s="53">
        <v>11.0</v>
      </c>
      <c r="F171" s="18"/>
      <c r="G171" s="22"/>
      <c r="H171" s="22"/>
      <c r="I171" s="22"/>
      <c r="J171" s="22"/>
      <c r="K171" s="22"/>
      <c r="L171" s="22"/>
      <c r="M171" s="22"/>
      <c r="N171" s="22"/>
      <c r="O171" s="22"/>
      <c r="P171" s="23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5.75" customHeight="1">
      <c r="A172" s="18"/>
      <c r="B172" s="54">
        <v>6.0</v>
      </c>
      <c r="C172" s="55" t="s">
        <v>147</v>
      </c>
      <c r="D172" s="56"/>
      <c r="E172" s="53">
        <v>6.0</v>
      </c>
      <c r="F172" s="18"/>
      <c r="G172" s="22"/>
      <c r="H172" s="22"/>
      <c r="I172" s="22"/>
      <c r="J172" s="22"/>
      <c r="K172" s="22"/>
      <c r="L172" s="22"/>
      <c r="M172" s="22"/>
      <c r="N172" s="22"/>
      <c r="O172" s="22"/>
      <c r="P172" s="23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5.75" customHeight="1">
      <c r="A173" s="13" t="s">
        <v>15</v>
      </c>
      <c r="B173" s="51" t="s">
        <v>46</v>
      </c>
      <c r="C173" s="8"/>
      <c r="D173" s="9"/>
      <c r="E173" s="57">
        <f>SUM(E166:E172)</f>
        <v>1078</v>
      </c>
      <c r="F173" s="16"/>
      <c r="G173" s="2"/>
      <c r="H173" s="2"/>
      <c r="I173" s="2"/>
      <c r="J173" s="2"/>
      <c r="K173" s="2"/>
      <c r="L173" s="2"/>
      <c r="M173" s="2"/>
      <c r="N173" s="2"/>
      <c r="O173" s="2"/>
      <c r="P173" s="29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5.75" customHeight="1">
      <c r="A174" s="49"/>
      <c r="B174" s="48"/>
      <c r="C174" s="48"/>
      <c r="D174" s="48"/>
      <c r="E174" s="48"/>
      <c r="F174" s="58"/>
      <c r="G174" s="59"/>
      <c r="H174" s="59"/>
      <c r="I174" s="59"/>
      <c r="J174" s="59"/>
      <c r="K174" s="59"/>
      <c r="L174" s="59"/>
      <c r="M174" s="59"/>
      <c r="N174" s="59"/>
      <c r="O174" s="59"/>
      <c r="P174" s="60"/>
      <c r="Q174" s="5"/>
      <c r="R174" s="5"/>
      <c r="S174" s="5"/>
      <c r="T174" s="5"/>
      <c r="U174" s="5"/>
      <c r="V174" s="5"/>
      <c r="W174" s="61"/>
      <c r="X174" s="5"/>
      <c r="Y174" s="5"/>
      <c r="Z174" s="5"/>
    </row>
    <row r="175" ht="15.75" customHeight="1">
      <c r="A175" s="33" t="s">
        <v>37</v>
      </c>
      <c r="B175" s="51" t="s">
        <v>148</v>
      </c>
      <c r="C175" s="52" t="s">
        <v>149</v>
      </c>
      <c r="D175" s="9"/>
      <c r="E175" s="53">
        <v>33.0</v>
      </c>
      <c r="F175" s="18"/>
      <c r="G175" s="22"/>
      <c r="H175" s="22"/>
      <c r="I175" s="22"/>
      <c r="J175" s="22"/>
      <c r="K175" s="22"/>
      <c r="L175" s="22"/>
      <c r="M175" s="22"/>
      <c r="N175" s="22"/>
      <c r="O175" s="22"/>
      <c r="P175" s="23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5.75" customHeight="1">
      <c r="A176" s="33"/>
      <c r="B176" s="54">
        <v>1.0</v>
      </c>
      <c r="C176" s="55" t="s">
        <v>150</v>
      </c>
      <c r="D176" s="63"/>
      <c r="E176" s="53">
        <v>14.0</v>
      </c>
      <c r="F176" s="18"/>
      <c r="G176" s="22"/>
      <c r="H176" s="22"/>
      <c r="I176" s="22"/>
      <c r="J176" s="22"/>
      <c r="K176" s="22"/>
      <c r="L176" s="22"/>
      <c r="M176" s="22"/>
      <c r="N176" s="22"/>
      <c r="O176" s="22"/>
      <c r="P176" s="23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5.75" customHeight="1">
      <c r="A177" s="33" t="s">
        <v>39</v>
      </c>
      <c r="B177" s="54">
        <v>2.0</v>
      </c>
      <c r="C177" s="55" t="s">
        <v>151</v>
      </c>
      <c r="D177" s="56"/>
      <c r="E177" s="53">
        <v>6.0</v>
      </c>
      <c r="F177" s="18"/>
      <c r="G177" s="22"/>
      <c r="H177" s="22"/>
      <c r="I177" s="22"/>
      <c r="J177" s="22"/>
      <c r="K177" s="22"/>
      <c r="L177" s="22"/>
      <c r="M177" s="22"/>
      <c r="N177" s="22"/>
      <c r="O177" s="22"/>
      <c r="P177" s="23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5.75" customHeight="1">
      <c r="A178" s="13" t="s">
        <v>15</v>
      </c>
      <c r="B178" s="51" t="s">
        <v>46</v>
      </c>
      <c r="C178" s="8"/>
      <c r="D178" s="9"/>
      <c r="E178" s="57">
        <f>SUM(E175:E177)</f>
        <v>53</v>
      </c>
      <c r="F178" s="16"/>
      <c r="G178" s="2"/>
      <c r="H178" s="2"/>
      <c r="I178" s="2"/>
      <c r="J178" s="2"/>
      <c r="K178" s="2"/>
      <c r="L178" s="2"/>
      <c r="M178" s="2"/>
      <c r="N178" s="2"/>
      <c r="O178" s="2"/>
      <c r="P178" s="29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5.75" customHeight="1">
      <c r="A179" s="49"/>
      <c r="B179" s="48"/>
      <c r="C179" s="48"/>
      <c r="D179" s="27"/>
      <c r="E179" s="30"/>
      <c r="F179" s="18"/>
      <c r="G179" s="22"/>
      <c r="H179" s="22"/>
      <c r="I179" s="22"/>
      <c r="J179" s="22"/>
      <c r="K179" s="22"/>
      <c r="L179" s="22"/>
      <c r="M179" s="22"/>
      <c r="N179" s="22"/>
      <c r="O179" s="31"/>
      <c r="P179" s="32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46" t="s">
        <v>152</v>
      </c>
      <c r="B180" s="7" t="s">
        <v>153</v>
      </c>
      <c r="C180" s="8"/>
      <c r="D180" s="9"/>
      <c r="E180" s="28"/>
      <c r="F180" s="16"/>
      <c r="G180" s="2"/>
      <c r="H180" s="2"/>
      <c r="I180" s="2"/>
      <c r="J180" s="2"/>
      <c r="K180" s="2"/>
      <c r="L180" s="2"/>
      <c r="M180" s="2"/>
      <c r="N180" s="2"/>
      <c r="O180" s="4"/>
      <c r="P180" s="32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46"/>
      <c r="B181" s="64" t="s">
        <v>154</v>
      </c>
      <c r="C181" s="65" t="s">
        <v>155</v>
      </c>
      <c r="D181" s="9"/>
      <c r="E181" s="44">
        <v>17192.0</v>
      </c>
      <c r="F181" s="16"/>
      <c r="G181" s="2"/>
      <c r="H181" s="2"/>
      <c r="I181" s="2"/>
      <c r="J181" s="2"/>
      <c r="K181" s="2"/>
      <c r="L181" s="2"/>
      <c r="M181" s="2"/>
      <c r="N181" s="2"/>
      <c r="O181" s="2"/>
      <c r="P181" s="29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5.75" customHeight="1">
      <c r="A182" s="38"/>
      <c r="B182" s="64" t="s">
        <v>156</v>
      </c>
      <c r="C182" s="65" t="s">
        <v>157</v>
      </c>
      <c r="D182" s="9"/>
      <c r="E182" s="44">
        <v>1728.0</v>
      </c>
      <c r="F182" s="18"/>
      <c r="G182" s="22"/>
      <c r="H182" s="22"/>
      <c r="I182" s="22"/>
      <c r="J182" s="22"/>
      <c r="K182" s="22"/>
      <c r="L182" s="22"/>
      <c r="M182" s="22"/>
      <c r="N182" s="22"/>
      <c r="O182" s="22"/>
      <c r="P182" s="23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5.75" customHeight="1">
      <c r="A183" s="43"/>
      <c r="B183" s="64" t="s">
        <v>158</v>
      </c>
      <c r="C183" s="65" t="s">
        <v>159</v>
      </c>
      <c r="D183" s="9"/>
      <c r="E183" s="28">
        <f>SUM(E181:E182)</f>
        <v>18920</v>
      </c>
      <c r="F183" s="16"/>
      <c r="G183" s="2"/>
      <c r="H183" s="2"/>
      <c r="I183" s="2"/>
      <c r="J183" s="2"/>
      <c r="K183" s="2"/>
      <c r="L183" s="2"/>
      <c r="M183" s="2"/>
      <c r="N183" s="2"/>
      <c r="O183" s="2"/>
      <c r="P183" s="29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5.75" customHeight="1">
      <c r="A184" s="22"/>
      <c r="B184" s="66"/>
      <c r="C184" s="67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31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22"/>
      <c r="B185" s="66"/>
      <c r="C185" s="67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hidden="1" customHeight="1">
      <c r="A186" s="22"/>
      <c r="B186" s="66"/>
      <c r="C186" s="67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hidden="1" customHeight="1">
      <c r="A187" s="22"/>
      <c r="B187" s="66"/>
      <c r="C187" s="67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hidden="1" customHeight="1">
      <c r="A188" s="22"/>
      <c r="B188" s="66"/>
      <c r="C188" s="67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31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hidden="1" customHeight="1">
      <c r="A189" s="22"/>
      <c r="B189" s="66"/>
      <c r="C189" s="67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31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hidden="1" customHeight="1">
      <c r="A190" s="22"/>
      <c r="B190" s="66"/>
      <c r="C190" s="67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31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hidden="1" customHeight="1">
      <c r="A191" s="22"/>
      <c r="B191" s="66"/>
      <c r="C191" s="67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31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hidden="1" customHeight="1">
      <c r="A192" s="22"/>
      <c r="B192" s="66"/>
      <c r="C192" s="67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31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hidden="1" customHeight="1">
      <c r="A193" s="22"/>
      <c r="B193" s="66"/>
      <c r="C193" s="67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31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hidden="1" customHeight="1">
      <c r="A194" s="22"/>
      <c r="B194" s="66"/>
      <c r="C194" s="67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31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hidden="1" customHeight="1">
      <c r="A195" s="22"/>
      <c r="B195" s="66"/>
      <c r="C195" s="67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31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hidden="1" customHeight="1">
      <c r="A196" s="22"/>
      <c r="B196" s="66"/>
      <c r="C196" s="67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31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hidden="1" customHeight="1">
      <c r="A197" s="22"/>
      <c r="B197" s="66"/>
      <c r="C197" s="67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31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hidden="1" customHeight="1">
      <c r="A198" s="22"/>
      <c r="B198" s="66"/>
      <c r="C198" s="67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31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hidden="1" customHeight="1">
      <c r="A199" s="22"/>
      <c r="B199" s="66"/>
      <c r="C199" s="67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31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hidden="1" customHeight="1">
      <c r="A200" s="22"/>
      <c r="B200" s="66"/>
      <c r="C200" s="67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31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hidden="1" customHeight="1">
      <c r="A201" s="22"/>
      <c r="B201" s="66"/>
      <c r="C201" s="67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31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hidden="1" customHeight="1">
      <c r="A202" s="22"/>
      <c r="B202" s="66"/>
      <c r="C202" s="67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31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hidden="1" customHeight="1">
      <c r="A203" s="22"/>
      <c r="B203" s="66"/>
      <c r="C203" s="67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31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hidden="1" customHeight="1">
      <c r="A204" s="22"/>
      <c r="B204" s="66"/>
      <c r="C204" s="67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31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hidden="1" customHeight="1">
      <c r="A205" s="22"/>
      <c r="B205" s="66"/>
      <c r="C205" s="67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31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hidden="1" customHeight="1">
      <c r="A206" s="22"/>
      <c r="B206" s="66"/>
      <c r="C206" s="67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31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hidden="1" customHeight="1">
      <c r="A207" s="22"/>
      <c r="B207" s="66"/>
      <c r="C207" s="67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31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hidden="1" customHeight="1">
      <c r="A208" s="22"/>
      <c r="B208" s="66"/>
      <c r="C208" s="67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31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hidden="1" customHeight="1">
      <c r="A209" s="22"/>
      <c r="B209" s="66"/>
      <c r="C209" s="67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31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hidden="1" customHeight="1">
      <c r="A210" s="22"/>
      <c r="B210" s="66"/>
      <c r="C210" s="67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31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hidden="1" customHeight="1">
      <c r="A211" s="22"/>
      <c r="B211" s="66"/>
      <c r="C211" s="67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31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hidden="1" customHeight="1">
      <c r="A212" s="22"/>
      <c r="B212" s="66"/>
      <c r="C212" s="67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31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hidden="1" customHeight="1">
      <c r="A213" s="22"/>
      <c r="B213" s="66"/>
      <c r="C213" s="67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31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hidden="1" customHeight="1">
      <c r="A214" s="22"/>
      <c r="B214" s="66"/>
      <c r="C214" s="67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31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hidden="1" customHeight="1">
      <c r="A215" s="22"/>
      <c r="B215" s="66"/>
      <c r="C215" s="67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31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hidden="1" customHeight="1">
      <c r="A216" s="22"/>
      <c r="B216" s="66"/>
      <c r="C216" s="67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31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hidden="1" customHeight="1">
      <c r="A217" s="22"/>
      <c r="B217" s="66"/>
      <c r="C217" s="67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31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hidden="1" customHeight="1">
      <c r="A218" s="22"/>
      <c r="B218" s="66"/>
      <c r="C218" s="67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31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hidden="1" customHeight="1">
      <c r="A219" s="22"/>
      <c r="B219" s="66"/>
      <c r="C219" s="67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31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hidden="1" customHeight="1">
      <c r="A220" s="22"/>
      <c r="B220" s="66"/>
      <c r="C220" s="67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31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hidden="1" customHeight="1">
      <c r="A221" s="22"/>
      <c r="B221" s="66"/>
      <c r="C221" s="67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31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hidden="1" customHeight="1">
      <c r="A222" s="22"/>
      <c r="B222" s="66"/>
      <c r="C222" s="67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31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hidden="1" customHeight="1">
      <c r="A223" s="22"/>
      <c r="B223" s="66"/>
      <c r="C223" s="67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31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hidden="1" customHeight="1">
      <c r="A224" s="22"/>
      <c r="B224" s="66"/>
      <c r="C224" s="67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31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hidden="1" customHeight="1">
      <c r="A225" s="22"/>
      <c r="B225" s="66"/>
      <c r="C225" s="67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31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hidden="1" customHeight="1">
      <c r="A226" s="22"/>
      <c r="B226" s="66"/>
      <c r="C226" s="67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31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hidden="1" customHeight="1">
      <c r="A227" s="22"/>
      <c r="B227" s="66"/>
      <c r="C227" s="67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31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hidden="1" customHeight="1">
      <c r="A228" s="22"/>
      <c r="B228" s="66"/>
      <c r="C228" s="67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31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hidden="1" customHeight="1">
      <c r="A229" s="22"/>
      <c r="B229" s="66"/>
      <c r="C229" s="67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31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hidden="1" customHeight="1">
      <c r="A230" s="22"/>
      <c r="B230" s="66"/>
      <c r="C230" s="67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31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hidden="1" customHeight="1">
      <c r="A231" s="22"/>
      <c r="B231" s="66"/>
      <c r="C231" s="67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31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hidden="1" customHeight="1">
      <c r="A232" s="22"/>
      <c r="B232" s="66"/>
      <c r="C232" s="67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31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hidden="1" customHeight="1">
      <c r="A233" s="22"/>
      <c r="B233" s="66"/>
      <c r="C233" s="67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31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hidden="1" customHeight="1">
      <c r="A234" s="22"/>
      <c r="B234" s="66"/>
      <c r="C234" s="67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31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hidden="1" customHeight="1">
      <c r="A235" s="22"/>
      <c r="B235" s="66"/>
      <c r="C235" s="67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31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hidden="1" customHeight="1">
      <c r="A236" s="22"/>
      <c r="B236" s="66"/>
      <c r="C236" s="67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31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hidden="1" customHeight="1">
      <c r="A237" s="22"/>
      <c r="B237" s="66"/>
      <c r="C237" s="67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31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hidden="1" customHeight="1">
      <c r="A238" s="22"/>
      <c r="B238" s="66"/>
      <c r="C238" s="67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31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hidden="1" customHeight="1">
      <c r="A239" s="22"/>
      <c r="B239" s="66"/>
      <c r="C239" s="67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31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hidden="1" customHeight="1">
      <c r="A240" s="22"/>
      <c r="B240" s="66"/>
      <c r="C240" s="67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31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hidden="1" customHeight="1">
      <c r="A241" s="22"/>
      <c r="B241" s="66"/>
      <c r="C241" s="67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31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hidden="1" customHeight="1">
      <c r="A242" s="22"/>
      <c r="B242" s="66"/>
      <c r="C242" s="67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31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hidden="1" customHeight="1">
      <c r="A243" s="22"/>
      <c r="B243" s="66"/>
      <c r="C243" s="67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31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hidden="1" customHeight="1">
      <c r="A244" s="22"/>
      <c r="B244" s="66"/>
      <c r="C244" s="67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31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hidden="1" customHeight="1">
      <c r="A245" s="22"/>
      <c r="B245" s="66"/>
      <c r="C245" s="67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31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hidden="1" customHeight="1">
      <c r="A246" s="22"/>
      <c r="B246" s="66"/>
      <c r="C246" s="67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31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hidden="1" customHeight="1">
      <c r="A247" s="22"/>
      <c r="B247" s="66"/>
      <c r="C247" s="67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31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hidden="1" customHeight="1">
      <c r="A248" s="22"/>
      <c r="B248" s="66"/>
      <c r="C248" s="67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31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hidden="1" customHeight="1">
      <c r="A249" s="22"/>
      <c r="B249" s="66"/>
      <c r="C249" s="67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31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hidden="1" customHeight="1">
      <c r="A250" s="22"/>
      <c r="B250" s="66"/>
      <c r="C250" s="67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31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hidden="1" customHeight="1">
      <c r="A251" s="22"/>
      <c r="B251" s="66"/>
      <c r="C251" s="67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31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hidden="1" customHeight="1">
      <c r="A252" s="22"/>
      <c r="B252" s="66"/>
      <c r="C252" s="67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31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hidden="1" customHeight="1">
      <c r="A253" s="22"/>
      <c r="B253" s="66"/>
      <c r="C253" s="67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31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hidden="1" customHeight="1">
      <c r="A254" s="22"/>
      <c r="B254" s="66"/>
      <c r="C254" s="67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31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hidden="1" customHeight="1">
      <c r="A255" s="22"/>
      <c r="B255" s="66"/>
      <c r="C255" s="67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31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hidden="1" customHeight="1">
      <c r="A256" s="22"/>
      <c r="B256" s="66"/>
      <c r="C256" s="67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31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hidden="1" customHeight="1">
      <c r="A257" s="22"/>
      <c r="B257" s="66"/>
      <c r="C257" s="67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31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hidden="1" customHeight="1">
      <c r="A258" s="22"/>
      <c r="B258" s="66"/>
      <c r="C258" s="67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31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hidden="1" customHeight="1">
      <c r="A259" s="22"/>
      <c r="B259" s="66"/>
      <c r="C259" s="67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31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hidden="1" customHeight="1">
      <c r="A260" s="22"/>
      <c r="B260" s="66"/>
      <c r="C260" s="67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31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hidden="1" customHeight="1">
      <c r="A261" s="22"/>
      <c r="B261" s="66"/>
      <c r="C261" s="67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31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hidden="1" customHeight="1">
      <c r="A262" s="22"/>
      <c r="B262" s="66"/>
      <c r="C262" s="67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31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hidden="1" customHeight="1">
      <c r="A263" s="22"/>
      <c r="B263" s="66"/>
      <c r="C263" s="67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31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hidden="1" customHeight="1">
      <c r="A264" s="22"/>
      <c r="B264" s="66"/>
      <c r="C264" s="67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31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hidden="1" customHeight="1">
      <c r="A265" s="22"/>
      <c r="B265" s="66"/>
      <c r="C265" s="67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31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hidden="1" customHeight="1">
      <c r="A266" s="22"/>
      <c r="B266" s="66"/>
      <c r="C266" s="67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31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hidden="1" customHeight="1">
      <c r="A267" s="22"/>
      <c r="B267" s="66"/>
      <c r="C267" s="67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31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hidden="1" customHeight="1">
      <c r="A268" s="22"/>
      <c r="B268" s="66"/>
      <c r="C268" s="67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31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hidden="1" customHeight="1">
      <c r="A269" s="22"/>
      <c r="B269" s="66"/>
      <c r="C269" s="67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31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hidden="1" customHeight="1">
      <c r="A270" s="22"/>
      <c r="B270" s="66"/>
      <c r="C270" s="67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31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hidden="1" customHeight="1">
      <c r="A271" s="22"/>
      <c r="B271" s="66"/>
      <c r="C271" s="67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31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hidden="1" customHeight="1">
      <c r="A272" s="22"/>
      <c r="B272" s="66"/>
      <c r="C272" s="67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31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hidden="1" customHeight="1">
      <c r="A273" s="22"/>
      <c r="B273" s="66"/>
      <c r="C273" s="67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31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hidden="1" customHeight="1">
      <c r="A274" s="22"/>
      <c r="B274" s="66"/>
      <c r="C274" s="67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31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hidden="1" customHeight="1">
      <c r="A275" s="22"/>
      <c r="B275" s="66"/>
      <c r="C275" s="67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31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hidden="1" customHeight="1">
      <c r="A276" s="22"/>
      <c r="B276" s="66"/>
      <c r="C276" s="67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31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hidden="1" customHeight="1">
      <c r="A277" s="22"/>
      <c r="B277" s="66"/>
      <c r="C277" s="67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31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hidden="1" customHeight="1">
      <c r="A278" s="22"/>
      <c r="B278" s="66"/>
      <c r="C278" s="67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31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hidden="1" customHeight="1">
      <c r="A279" s="22"/>
      <c r="B279" s="66"/>
      <c r="C279" s="67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31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hidden="1" customHeight="1">
      <c r="A280" s="22"/>
      <c r="B280" s="66"/>
      <c r="C280" s="67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31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hidden="1" customHeight="1">
      <c r="A281" s="22"/>
      <c r="B281" s="66"/>
      <c r="C281" s="67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31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hidden="1" customHeight="1">
      <c r="A282" s="22"/>
      <c r="B282" s="66"/>
      <c r="C282" s="67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31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hidden="1" customHeight="1">
      <c r="A283" s="22"/>
      <c r="B283" s="66"/>
      <c r="C283" s="67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31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hidden="1" customHeight="1">
      <c r="A284" s="22"/>
      <c r="B284" s="66"/>
      <c r="C284" s="67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31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hidden="1" customHeight="1">
      <c r="A285" s="22"/>
      <c r="B285" s="66"/>
      <c r="C285" s="67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31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hidden="1" customHeight="1">
      <c r="A286" s="22"/>
      <c r="B286" s="66"/>
      <c r="C286" s="67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31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hidden="1" customHeight="1">
      <c r="A287" s="22"/>
      <c r="B287" s="66"/>
      <c r="C287" s="67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31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hidden="1" customHeight="1">
      <c r="A288" s="22"/>
      <c r="B288" s="66"/>
      <c r="C288" s="67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31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hidden="1" customHeight="1">
      <c r="A289" s="22"/>
      <c r="B289" s="66"/>
      <c r="C289" s="67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31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hidden="1" customHeight="1">
      <c r="A290" s="22"/>
      <c r="B290" s="66"/>
      <c r="C290" s="67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31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hidden="1" customHeight="1">
      <c r="A291" s="22"/>
      <c r="B291" s="66"/>
      <c r="C291" s="67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31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hidden="1" customHeight="1">
      <c r="A292" s="22"/>
      <c r="B292" s="66"/>
      <c r="C292" s="67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31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hidden="1" customHeight="1">
      <c r="A293" s="22"/>
      <c r="B293" s="66"/>
      <c r="C293" s="67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31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hidden="1" customHeight="1">
      <c r="A294" s="22"/>
      <c r="B294" s="66"/>
      <c r="C294" s="67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31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hidden="1" customHeight="1">
      <c r="A295" s="22"/>
      <c r="B295" s="66"/>
      <c r="C295" s="67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31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hidden="1" customHeight="1">
      <c r="A296" s="22"/>
      <c r="B296" s="66"/>
      <c r="C296" s="67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31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hidden="1" customHeight="1">
      <c r="A297" s="22"/>
      <c r="B297" s="66"/>
      <c r="C297" s="67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31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hidden="1" customHeight="1">
      <c r="A298" s="22"/>
      <c r="B298" s="66"/>
      <c r="C298" s="67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31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hidden="1" customHeight="1">
      <c r="A299" s="22"/>
      <c r="B299" s="66"/>
      <c r="C299" s="67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31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hidden="1" customHeight="1">
      <c r="A300" s="22"/>
      <c r="B300" s="66"/>
      <c r="C300" s="67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31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hidden="1" customHeight="1">
      <c r="A301" s="22"/>
      <c r="B301" s="66"/>
      <c r="C301" s="67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31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hidden="1" customHeight="1">
      <c r="A302" s="22"/>
      <c r="B302" s="66"/>
      <c r="C302" s="67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31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hidden="1" customHeight="1">
      <c r="A303" s="22"/>
      <c r="B303" s="66"/>
      <c r="C303" s="67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31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hidden="1" customHeight="1">
      <c r="A304" s="22"/>
      <c r="B304" s="66"/>
      <c r="C304" s="67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31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hidden="1" customHeight="1">
      <c r="A305" s="22"/>
      <c r="B305" s="66"/>
      <c r="C305" s="67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31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hidden="1" customHeight="1">
      <c r="A306" s="22"/>
      <c r="B306" s="66"/>
      <c r="C306" s="67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31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hidden="1" customHeight="1">
      <c r="A307" s="22"/>
      <c r="B307" s="66"/>
      <c r="C307" s="67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31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hidden="1" customHeight="1">
      <c r="A308" s="22"/>
      <c r="B308" s="66"/>
      <c r="C308" s="67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31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hidden="1" customHeight="1">
      <c r="A309" s="22"/>
      <c r="B309" s="66"/>
      <c r="C309" s="67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31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hidden="1" customHeight="1">
      <c r="A310" s="22"/>
      <c r="B310" s="66"/>
      <c r="C310" s="67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31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hidden="1" customHeight="1">
      <c r="A311" s="22"/>
      <c r="B311" s="66"/>
      <c r="C311" s="67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31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hidden="1" customHeight="1">
      <c r="A312" s="22"/>
      <c r="B312" s="66"/>
      <c r="C312" s="67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31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hidden="1" customHeight="1">
      <c r="A313" s="22"/>
      <c r="B313" s="66"/>
      <c r="C313" s="67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31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hidden="1" customHeight="1">
      <c r="A314" s="22"/>
      <c r="B314" s="66"/>
      <c r="C314" s="67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31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hidden="1" customHeight="1">
      <c r="A315" s="22"/>
      <c r="B315" s="66"/>
      <c r="C315" s="67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31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hidden="1" customHeight="1">
      <c r="A316" s="22"/>
      <c r="B316" s="66"/>
      <c r="C316" s="67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31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hidden="1" customHeight="1">
      <c r="A317" s="22"/>
      <c r="B317" s="66"/>
      <c r="C317" s="67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31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hidden="1" customHeight="1">
      <c r="A318" s="22"/>
      <c r="B318" s="66"/>
      <c r="C318" s="67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31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hidden="1" customHeight="1">
      <c r="A319" s="22"/>
      <c r="B319" s="66"/>
      <c r="C319" s="67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31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hidden="1" customHeight="1">
      <c r="A320" s="22"/>
      <c r="B320" s="66"/>
      <c r="C320" s="67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31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hidden="1" customHeight="1">
      <c r="A321" s="22"/>
      <c r="B321" s="66"/>
      <c r="C321" s="67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31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hidden="1" customHeight="1">
      <c r="A322" s="22"/>
      <c r="B322" s="66"/>
      <c r="C322" s="67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31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hidden="1" customHeight="1">
      <c r="A323" s="22"/>
      <c r="B323" s="66"/>
      <c r="C323" s="67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31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hidden="1" customHeight="1">
      <c r="A324" s="22"/>
      <c r="B324" s="66"/>
      <c r="C324" s="67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31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hidden="1" customHeight="1">
      <c r="A325" s="22"/>
      <c r="B325" s="66"/>
      <c r="C325" s="67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31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hidden="1" customHeight="1">
      <c r="A326" s="22"/>
      <c r="B326" s="66"/>
      <c r="C326" s="67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31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hidden="1" customHeight="1">
      <c r="A327" s="22"/>
      <c r="B327" s="66"/>
      <c r="C327" s="67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31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hidden="1" customHeight="1">
      <c r="A328" s="22"/>
      <c r="B328" s="66"/>
      <c r="C328" s="67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31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hidden="1" customHeight="1">
      <c r="A329" s="22"/>
      <c r="B329" s="66"/>
      <c r="C329" s="67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31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hidden="1" customHeight="1">
      <c r="A330" s="22"/>
      <c r="B330" s="66"/>
      <c r="C330" s="67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31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hidden="1" customHeight="1">
      <c r="A331" s="22"/>
      <c r="B331" s="66"/>
      <c r="C331" s="67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31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hidden="1" customHeight="1">
      <c r="A332" s="22"/>
      <c r="B332" s="66"/>
      <c r="C332" s="67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31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hidden="1" customHeight="1">
      <c r="A333" s="22"/>
      <c r="B333" s="66"/>
      <c r="C333" s="67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31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hidden="1" customHeight="1">
      <c r="A334" s="22"/>
      <c r="B334" s="66"/>
      <c r="C334" s="67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31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hidden="1" customHeight="1">
      <c r="A335" s="22"/>
      <c r="B335" s="66"/>
      <c r="C335" s="67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31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hidden="1" customHeight="1">
      <c r="A336" s="22"/>
      <c r="B336" s="66"/>
      <c r="C336" s="67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31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hidden="1" customHeight="1">
      <c r="A337" s="22"/>
      <c r="B337" s="66"/>
      <c r="C337" s="67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31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hidden="1" customHeight="1">
      <c r="A338" s="22"/>
      <c r="B338" s="66"/>
      <c r="C338" s="67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31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hidden="1" customHeight="1">
      <c r="A339" s="22"/>
      <c r="B339" s="66"/>
      <c r="C339" s="67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31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hidden="1" customHeight="1">
      <c r="A340" s="22"/>
      <c r="B340" s="66"/>
      <c r="C340" s="67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31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hidden="1" customHeight="1">
      <c r="A341" s="22"/>
      <c r="B341" s="66"/>
      <c r="C341" s="67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31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hidden="1" customHeight="1">
      <c r="A342" s="22"/>
      <c r="B342" s="66"/>
      <c r="C342" s="67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31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hidden="1" customHeight="1">
      <c r="A343" s="22"/>
      <c r="B343" s="66"/>
      <c r="C343" s="67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31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hidden="1" customHeight="1">
      <c r="A344" s="22"/>
      <c r="B344" s="66"/>
      <c r="C344" s="67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31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hidden="1" customHeight="1">
      <c r="A345" s="22"/>
      <c r="B345" s="66"/>
      <c r="C345" s="67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31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hidden="1" customHeight="1">
      <c r="A346" s="22"/>
      <c r="B346" s="66"/>
      <c r="C346" s="67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31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hidden="1" customHeight="1">
      <c r="A347" s="22"/>
      <c r="B347" s="66"/>
      <c r="C347" s="67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31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hidden="1" customHeight="1">
      <c r="A348" s="22"/>
      <c r="B348" s="66"/>
      <c r="C348" s="67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31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hidden="1" customHeight="1">
      <c r="A349" s="22"/>
      <c r="B349" s="66"/>
      <c r="C349" s="67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31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hidden="1" customHeight="1">
      <c r="A350" s="22"/>
      <c r="B350" s="66"/>
      <c r="C350" s="67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31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hidden="1" customHeight="1">
      <c r="A351" s="22"/>
      <c r="B351" s="66"/>
      <c r="C351" s="67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31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hidden="1" customHeight="1">
      <c r="A352" s="22"/>
      <c r="B352" s="66"/>
      <c r="C352" s="67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31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hidden="1" customHeight="1">
      <c r="A353" s="22"/>
      <c r="B353" s="66"/>
      <c r="C353" s="67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31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hidden="1" customHeight="1">
      <c r="A354" s="22"/>
      <c r="B354" s="66"/>
      <c r="C354" s="67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31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hidden="1" customHeight="1">
      <c r="A355" s="22"/>
      <c r="B355" s="66"/>
      <c r="C355" s="67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31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hidden="1" customHeight="1">
      <c r="A356" s="22"/>
      <c r="B356" s="66"/>
      <c r="C356" s="67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31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hidden="1" customHeight="1">
      <c r="A357" s="22"/>
      <c r="B357" s="66"/>
      <c r="C357" s="67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31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hidden="1" customHeight="1">
      <c r="A358" s="22"/>
      <c r="B358" s="66"/>
      <c r="C358" s="67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31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hidden="1" customHeight="1">
      <c r="A359" s="22"/>
      <c r="B359" s="66"/>
      <c r="C359" s="67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31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hidden="1" customHeight="1">
      <c r="A360" s="22"/>
      <c r="B360" s="66"/>
      <c r="C360" s="67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31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hidden="1" customHeight="1">
      <c r="A361" s="22"/>
      <c r="B361" s="66"/>
      <c r="C361" s="67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31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hidden="1" customHeight="1">
      <c r="A362" s="22"/>
      <c r="B362" s="66"/>
      <c r="C362" s="67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31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hidden="1" customHeight="1">
      <c r="A363" s="22"/>
      <c r="B363" s="66"/>
      <c r="C363" s="67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31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hidden="1" customHeight="1">
      <c r="A364" s="22"/>
      <c r="B364" s="66"/>
      <c r="C364" s="67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31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hidden="1" customHeight="1">
      <c r="A365" s="22"/>
      <c r="B365" s="66"/>
      <c r="C365" s="67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31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hidden="1" customHeight="1">
      <c r="A366" s="22"/>
      <c r="B366" s="66"/>
      <c r="C366" s="67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31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hidden="1" customHeight="1">
      <c r="A367" s="22"/>
      <c r="B367" s="66"/>
      <c r="C367" s="67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31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hidden="1" customHeight="1">
      <c r="A368" s="22"/>
      <c r="B368" s="66"/>
      <c r="C368" s="67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31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hidden="1" customHeight="1">
      <c r="A369" s="22"/>
      <c r="B369" s="66"/>
      <c r="C369" s="67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31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hidden="1" customHeight="1">
      <c r="A370" s="22"/>
      <c r="B370" s="66"/>
      <c r="C370" s="67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31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hidden="1" customHeight="1">
      <c r="A371" s="22"/>
      <c r="B371" s="66"/>
      <c r="C371" s="67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31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hidden="1" customHeight="1">
      <c r="A372" s="22"/>
      <c r="B372" s="66"/>
      <c r="C372" s="67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31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hidden="1" customHeight="1">
      <c r="A373" s="22"/>
      <c r="B373" s="66"/>
      <c r="C373" s="67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31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hidden="1" customHeight="1">
      <c r="A374" s="22"/>
      <c r="B374" s="66"/>
      <c r="C374" s="67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31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hidden="1" customHeight="1">
      <c r="A375" s="22"/>
      <c r="B375" s="66"/>
      <c r="C375" s="67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31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hidden="1" customHeight="1">
      <c r="A376" s="22"/>
      <c r="B376" s="66"/>
      <c r="C376" s="67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31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hidden="1" customHeight="1">
      <c r="A377" s="22"/>
      <c r="B377" s="66"/>
      <c r="C377" s="67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31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hidden="1" customHeight="1">
      <c r="A378" s="22"/>
      <c r="B378" s="66"/>
      <c r="C378" s="67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31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hidden="1" customHeight="1">
      <c r="A379" s="22"/>
      <c r="B379" s="66"/>
      <c r="C379" s="67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31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hidden="1" customHeight="1">
      <c r="A380" s="22"/>
      <c r="B380" s="66"/>
      <c r="C380" s="67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31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hidden="1" customHeight="1">
      <c r="A381" s="22"/>
      <c r="B381" s="66"/>
      <c r="C381" s="67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31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hidden="1" customHeight="1">
      <c r="A382" s="22"/>
      <c r="B382" s="66"/>
      <c r="C382" s="67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31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hidden="1" customHeight="1">
      <c r="A383" s="22"/>
      <c r="B383" s="66"/>
      <c r="C383" s="67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31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5">
    <mergeCell ref="B108:D108"/>
    <mergeCell ref="A109:E109"/>
    <mergeCell ref="C110:D110"/>
    <mergeCell ref="B114:D114"/>
    <mergeCell ref="A115:E115"/>
    <mergeCell ref="C116:D116"/>
    <mergeCell ref="B123:D123"/>
    <mergeCell ref="A124:E124"/>
    <mergeCell ref="C125:D125"/>
    <mergeCell ref="B127:D127"/>
    <mergeCell ref="A128:E128"/>
    <mergeCell ref="C129:D129"/>
    <mergeCell ref="B136:D136"/>
    <mergeCell ref="A137:E137"/>
    <mergeCell ref="C138:D138"/>
    <mergeCell ref="B144:D144"/>
    <mergeCell ref="A145:E145"/>
    <mergeCell ref="C146:D146"/>
    <mergeCell ref="B153:D153"/>
    <mergeCell ref="A154:E154"/>
    <mergeCell ref="C155:D155"/>
    <mergeCell ref="A174:E174"/>
    <mergeCell ref="C175:D175"/>
    <mergeCell ref="B178:D178"/>
    <mergeCell ref="A179:D179"/>
    <mergeCell ref="B180:D180"/>
    <mergeCell ref="C181:D181"/>
    <mergeCell ref="C182:D182"/>
    <mergeCell ref="C183:D183"/>
    <mergeCell ref="B158:D158"/>
    <mergeCell ref="A159:E159"/>
    <mergeCell ref="C160:D160"/>
    <mergeCell ref="B164:D164"/>
    <mergeCell ref="A165:E165"/>
    <mergeCell ref="C166:D166"/>
    <mergeCell ref="B173:D173"/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B52:D52"/>
    <mergeCell ref="A53:E53"/>
    <mergeCell ref="C54:D54"/>
    <mergeCell ref="B61:D61"/>
    <mergeCell ref="A62:E62"/>
    <mergeCell ref="C63:D63"/>
    <mergeCell ref="B70:D70"/>
    <mergeCell ref="A71:E71"/>
    <mergeCell ref="C72:D72"/>
    <mergeCell ref="B79:D79"/>
    <mergeCell ref="A80:E80"/>
    <mergeCell ref="C81:D81"/>
    <mergeCell ref="B88:D88"/>
    <mergeCell ref="A89:E89"/>
    <mergeCell ref="C90:D90"/>
    <mergeCell ref="C91:D91"/>
    <mergeCell ref="B92:D92"/>
    <mergeCell ref="A93:E93"/>
    <mergeCell ref="C94:D94"/>
    <mergeCell ref="B99:D99"/>
    <mergeCell ref="A100:E100"/>
    <mergeCell ref="C101:D101"/>
  </mergeCells>
  <conditionalFormatting sqref="E30">
    <cfRule type="expression" dxfId="0" priority="1">
      <formula>E30&lt;&gt;E183</formula>
    </cfRule>
  </conditionalFormatting>
  <conditionalFormatting sqref="E30">
    <cfRule type="expression" dxfId="0" priority="2">
      <formula>E30&lt;&gt;E34</formula>
    </cfRule>
  </conditionalFormatting>
  <conditionalFormatting sqref="E34">
    <cfRule type="expression" dxfId="0" priority="3">
      <formula>E34&lt;&gt;E30</formula>
    </cfRule>
  </conditionalFormatting>
  <conditionalFormatting sqref="E34">
    <cfRule type="expression" dxfId="0" priority="4">
      <formula>E34&lt;&gt;E183</formula>
    </cfRule>
  </conditionalFormatting>
  <conditionalFormatting sqref="E183">
    <cfRule type="expression" dxfId="0" priority="5">
      <formula>E183&lt;&gt;E30</formula>
    </cfRule>
  </conditionalFormatting>
  <conditionalFormatting sqref="E183">
    <cfRule type="expression" dxfId="0" priority="6">
      <formula>E183&lt;&gt;E34</formula>
    </cfRule>
  </conditionalFormatting>
  <conditionalFormatting sqref="F185:O187">
    <cfRule type="cellIs" dxfId="0" priority="7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3" width="8.71"/>
    <col customWidth="1" min="14" max="14" width="10.43"/>
  </cols>
  <sheetData>
    <row r="1" ht="12.75" customHeight="1"/>
    <row r="2" ht="12.75" customHeight="1">
      <c r="C2" s="1" t="s">
        <v>0</v>
      </c>
      <c r="D2" s="1" t="s">
        <v>1</v>
      </c>
    </row>
    <row r="3" ht="12.75" customHeight="1">
      <c r="C3" s="1" t="s">
        <v>2</v>
      </c>
      <c r="D3" s="1" t="s">
        <v>3</v>
      </c>
    </row>
    <row r="4" ht="12.75" customHeight="1">
      <c r="C4" s="1" t="s">
        <v>4</v>
      </c>
      <c r="D4" s="1" t="s">
        <v>5</v>
      </c>
    </row>
    <row r="5" ht="12.75" customHeight="1">
      <c r="C5" s="1"/>
      <c r="D5" s="1"/>
    </row>
    <row r="6" ht="12.75" customHeight="1">
      <c r="C6" s="1"/>
      <c r="D6" s="1"/>
    </row>
    <row r="7" ht="12.75" customHeight="1">
      <c r="C7" s="1"/>
      <c r="D7" s="1"/>
    </row>
    <row r="8" ht="12.75" customHeight="1">
      <c r="C8" s="1"/>
      <c r="D8" s="1"/>
    </row>
    <row r="9" ht="12.75" customHeight="1">
      <c r="C9" s="1" t="s">
        <v>160</v>
      </c>
      <c r="D9" s="1" t="s">
        <v>161</v>
      </c>
    </row>
    <row r="10" ht="12.75" customHeight="1"/>
    <row r="11" ht="12.75" customHeight="1"/>
    <row r="12" ht="12.75" customHeight="1">
      <c r="A12" s="6" t="s">
        <v>6</v>
      </c>
      <c r="B12" s="7" t="s">
        <v>7</v>
      </c>
      <c r="C12" s="8"/>
      <c r="D12" s="8"/>
      <c r="E12" s="28"/>
      <c r="F12" s="8"/>
      <c r="G12" s="8"/>
      <c r="H12" s="8"/>
      <c r="I12" s="8"/>
      <c r="J12" s="8"/>
      <c r="K12" s="8"/>
      <c r="L12" s="8"/>
      <c r="M12" s="9"/>
      <c r="N12" s="40" t="s">
        <v>8</v>
      </c>
    </row>
    <row r="13" ht="12.75" customHeight="1">
      <c r="A13" s="13" t="s">
        <v>9</v>
      </c>
      <c r="B13" s="14" t="s">
        <v>10</v>
      </c>
      <c r="C13" s="8"/>
      <c r="D13" s="9"/>
      <c r="E13" s="43" t="s">
        <v>162</v>
      </c>
      <c r="F13" s="43" t="s">
        <v>163</v>
      </c>
      <c r="G13" s="43" t="s">
        <v>164</v>
      </c>
      <c r="H13" s="43" t="s">
        <v>165</v>
      </c>
      <c r="I13" s="43" t="s">
        <v>166</v>
      </c>
      <c r="J13" s="43" t="s">
        <v>167</v>
      </c>
      <c r="K13" s="43" t="s">
        <v>168</v>
      </c>
      <c r="L13" s="43" t="s">
        <v>169</v>
      </c>
      <c r="M13" s="43" t="s">
        <v>170</v>
      </c>
      <c r="N13" s="27"/>
    </row>
    <row r="14" ht="12.75" customHeight="1">
      <c r="A14" s="18"/>
      <c r="B14" s="19" t="s">
        <v>11</v>
      </c>
      <c r="C14" s="20"/>
      <c r="D14" s="13" t="s">
        <v>12</v>
      </c>
      <c r="E14" s="13">
        <v>123.0</v>
      </c>
      <c r="F14" s="13">
        <v>103.0</v>
      </c>
      <c r="G14" s="13">
        <v>107.0</v>
      </c>
      <c r="H14" s="13">
        <v>115.0</v>
      </c>
      <c r="I14" s="13">
        <v>81.0</v>
      </c>
      <c r="J14" s="13">
        <v>73.0</v>
      </c>
      <c r="K14" s="13">
        <v>115.0</v>
      </c>
      <c r="L14" s="13">
        <v>146.0</v>
      </c>
      <c r="M14" s="13">
        <v>132.0</v>
      </c>
      <c r="N14" s="6">
        <f t="shared" ref="N14:N16" si="1">SUM(E14:M14)</f>
        <v>995</v>
      </c>
    </row>
    <row r="15" ht="12.75" customHeight="1">
      <c r="A15" s="18"/>
      <c r="B15" s="25"/>
      <c r="C15" s="26"/>
      <c r="D15" s="13" t="s">
        <v>13</v>
      </c>
      <c r="E15" s="13">
        <v>120.0</v>
      </c>
      <c r="F15" s="13">
        <v>107.0</v>
      </c>
      <c r="G15" s="13">
        <v>116.0</v>
      </c>
      <c r="H15" s="13">
        <v>117.0</v>
      </c>
      <c r="I15" s="13">
        <v>83.0</v>
      </c>
      <c r="J15" s="13">
        <v>77.0</v>
      </c>
      <c r="K15" s="13">
        <v>131.0</v>
      </c>
      <c r="L15" s="13">
        <v>133.0</v>
      </c>
      <c r="M15" s="13">
        <v>128.0</v>
      </c>
      <c r="N15" s="6">
        <f t="shared" si="1"/>
        <v>1012</v>
      </c>
    </row>
    <row r="16" ht="12.75" customHeight="1">
      <c r="A16" s="16"/>
      <c r="B16" s="15"/>
      <c r="C16" s="27"/>
      <c r="D16" s="6" t="s">
        <v>14</v>
      </c>
      <c r="E16" s="6">
        <f t="shared" ref="E16:M16" si="2">SUM(E14:E15)</f>
        <v>243</v>
      </c>
      <c r="F16" s="6">
        <f t="shared" si="2"/>
        <v>210</v>
      </c>
      <c r="G16" s="6">
        <f t="shared" si="2"/>
        <v>223</v>
      </c>
      <c r="H16" s="6">
        <f t="shared" si="2"/>
        <v>232</v>
      </c>
      <c r="I16" s="6">
        <f t="shared" si="2"/>
        <v>164</v>
      </c>
      <c r="J16" s="6">
        <f t="shared" si="2"/>
        <v>150</v>
      </c>
      <c r="K16" s="6">
        <f t="shared" si="2"/>
        <v>246</v>
      </c>
      <c r="L16" s="6">
        <f t="shared" si="2"/>
        <v>279</v>
      </c>
      <c r="M16" s="6">
        <f t="shared" si="2"/>
        <v>260</v>
      </c>
      <c r="N16" s="6">
        <f t="shared" si="1"/>
        <v>2007</v>
      </c>
    </row>
    <row r="17" ht="12.75" customHeight="1">
      <c r="A17" s="30"/>
      <c r="B17" s="8"/>
      <c r="C17" s="8"/>
      <c r="D17" s="9"/>
      <c r="E17" s="13"/>
      <c r="F17" s="13"/>
      <c r="G17" s="13"/>
      <c r="H17" s="13"/>
      <c r="I17" s="13"/>
      <c r="J17" s="13"/>
      <c r="K17" s="13"/>
      <c r="L17" s="13"/>
      <c r="M17" s="13"/>
      <c r="N17" s="6"/>
    </row>
    <row r="18" ht="12.75" customHeight="1">
      <c r="A18" s="33" t="s">
        <v>15</v>
      </c>
      <c r="B18" s="14" t="s">
        <v>16</v>
      </c>
      <c r="C18" s="8"/>
      <c r="D18" s="9"/>
      <c r="E18" s="13"/>
      <c r="F18" s="13"/>
      <c r="G18" s="13"/>
      <c r="H18" s="13"/>
      <c r="I18" s="13"/>
      <c r="J18" s="13"/>
      <c r="K18" s="13"/>
      <c r="L18" s="13"/>
      <c r="M18" s="13"/>
      <c r="N18" s="6"/>
    </row>
    <row r="19" ht="12.75" customHeight="1">
      <c r="A19" s="33"/>
      <c r="B19" s="34" t="s">
        <v>17</v>
      </c>
      <c r="C19" s="35" t="s">
        <v>18</v>
      </c>
      <c r="D19" s="13" t="s">
        <v>12</v>
      </c>
      <c r="E19" s="13">
        <v>82.0</v>
      </c>
      <c r="F19" s="13">
        <v>78.0</v>
      </c>
      <c r="G19" s="13">
        <v>80.0</v>
      </c>
      <c r="H19" s="13">
        <v>81.0</v>
      </c>
      <c r="I19" s="13">
        <v>55.0</v>
      </c>
      <c r="J19" s="13">
        <v>61.0</v>
      </c>
      <c r="K19" s="13">
        <v>92.0</v>
      </c>
      <c r="L19" s="13">
        <v>112.0</v>
      </c>
      <c r="M19" s="13">
        <v>111.0</v>
      </c>
      <c r="N19" s="6">
        <f t="shared" ref="N19:N30" si="3">SUM(E19:M19)</f>
        <v>752</v>
      </c>
    </row>
    <row r="20" ht="12.75" customHeight="1">
      <c r="A20" s="36"/>
      <c r="B20" s="26"/>
      <c r="C20" s="37"/>
      <c r="D20" s="13" t="s">
        <v>13</v>
      </c>
      <c r="E20" s="13">
        <v>96.0</v>
      </c>
      <c r="F20" s="13">
        <v>86.0</v>
      </c>
      <c r="G20" s="13">
        <v>95.0</v>
      </c>
      <c r="H20" s="13">
        <v>92.0</v>
      </c>
      <c r="I20" s="13">
        <v>71.0</v>
      </c>
      <c r="J20" s="13">
        <v>65.0</v>
      </c>
      <c r="K20" s="13">
        <v>105.0</v>
      </c>
      <c r="L20" s="13">
        <v>101.0</v>
      </c>
      <c r="M20" s="13">
        <v>111.0</v>
      </c>
      <c r="N20" s="6">
        <f t="shared" si="3"/>
        <v>822</v>
      </c>
    </row>
    <row r="21" ht="12.75" customHeight="1">
      <c r="A21" s="38"/>
      <c r="B21" s="27"/>
      <c r="C21" s="39"/>
      <c r="D21" s="6" t="s">
        <v>14</v>
      </c>
      <c r="E21" s="6">
        <f t="shared" ref="E21:M21" si="4">SUM(E19:E20)</f>
        <v>178</v>
      </c>
      <c r="F21" s="6">
        <f t="shared" si="4"/>
        <v>164</v>
      </c>
      <c r="G21" s="6">
        <f t="shared" si="4"/>
        <v>175</v>
      </c>
      <c r="H21" s="6">
        <f t="shared" si="4"/>
        <v>173</v>
      </c>
      <c r="I21" s="6">
        <f t="shared" si="4"/>
        <v>126</v>
      </c>
      <c r="J21" s="6">
        <f t="shared" si="4"/>
        <v>126</v>
      </c>
      <c r="K21" s="6">
        <f t="shared" si="4"/>
        <v>197</v>
      </c>
      <c r="L21" s="6">
        <f t="shared" si="4"/>
        <v>213</v>
      </c>
      <c r="M21" s="6">
        <f t="shared" si="4"/>
        <v>222</v>
      </c>
      <c r="N21" s="6">
        <f t="shared" si="3"/>
        <v>1574</v>
      </c>
    </row>
    <row r="22" ht="12.75" customHeight="1">
      <c r="A22" s="36"/>
      <c r="B22" s="34" t="s">
        <v>19</v>
      </c>
      <c r="C22" s="35" t="s">
        <v>20</v>
      </c>
      <c r="D22" s="13" t="s">
        <v>12</v>
      </c>
      <c r="E22" s="13">
        <v>0.0</v>
      </c>
      <c r="F22" s="13">
        <v>0.0</v>
      </c>
      <c r="G22" s="13">
        <v>0.0</v>
      </c>
      <c r="H22" s="13">
        <v>0.0</v>
      </c>
      <c r="I22" s="13">
        <v>0.0</v>
      </c>
      <c r="J22" s="13">
        <v>0.0</v>
      </c>
      <c r="K22" s="13">
        <v>0.0</v>
      </c>
      <c r="L22" s="13">
        <v>0.0</v>
      </c>
      <c r="M22" s="13">
        <v>0.0</v>
      </c>
      <c r="N22" s="6">
        <f t="shared" si="3"/>
        <v>0</v>
      </c>
    </row>
    <row r="23" ht="12.75" customHeight="1">
      <c r="A23" s="36"/>
      <c r="B23" s="26"/>
      <c r="C23" s="37"/>
      <c r="D23" s="13" t="s">
        <v>13</v>
      </c>
      <c r="E23" s="13">
        <v>0.0</v>
      </c>
      <c r="F23" s="13">
        <v>0.0</v>
      </c>
      <c r="G23" s="13">
        <v>0.0</v>
      </c>
      <c r="H23" s="13">
        <v>0.0</v>
      </c>
      <c r="I23" s="13">
        <v>0.0</v>
      </c>
      <c r="J23" s="13">
        <v>0.0</v>
      </c>
      <c r="K23" s="13">
        <v>0.0</v>
      </c>
      <c r="L23" s="13">
        <v>0.0</v>
      </c>
      <c r="M23" s="13">
        <v>0.0</v>
      </c>
      <c r="N23" s="6">
        <f t="shared" si="3"/>
        <v>0</v>
      </c>
    </row>
    <row r="24" ht="12.75" customHeight="1">
      <c r="A24" s="38"/>
      <c r="B24" s="27"/>
      <c r="C24" s="39"/>
      <c r="D24" s="6" t="s">
        <v>14</v>
      </c>
      <c r="E24" s="6">
        <f t="shared" ref="E24:M24" si="5">SUM(E22:E23)</f>
        <v>0</v>
      </c>
      <c r="F24" s="6">
        <f t="shared" si="5"/>
        <v>0</v>
      </c>
      <c r="G24" s="6">
        <f t="shared" si="5"/>
        <v>0</v>
      </c>
      <c r="H24" s="6">
        <f t="shared" si="5"/>
        <v>0</v>
      </c>
      <c r="I24" s="6">
        <f t="shared" si="5"/>
        <v>0</v>
      </c>
      <c r="J24" s="6">
        <f t="shared" si="5"/>
        <v>0</v>
      </c>
      <c r="K24" s="6">
        <f t="shared" si="5"/>
        <v>0</v>
      </c>
      <c r="L24" s="6">
        <f t="shared" si="5"/>
        <v>0</v>
      </c>
      <c r="M24" s="6">
        <f t="shared" si="5"/>
        <v>0</v>
      </c>
      <c r="N24" s="6">
        <f t="shared" si="3"/>
        <v>0</v>
      </c>
    </row>
    <row r="25" ht="12.75" customHeight="1">
      <c r="A25" s="36"/>
      <c r="B25" s="34" t="s">
        <v>21</v>
      </c>
      <c r="C25" s="35" t="s">
        <v>22</v>
      </c>
      <c r="D25" s="13" t="s">
        <v>12</v>
      </c>
      <c r="E25" s="13">
        <v>0.0</v>
      </c>
      <c r="F25" s="13">
        <v>0.0</v>
      </c>
      <c r="G25" s="13">
        <v>0.0</v>
      </c>
      <c r="H25" s="13">
        <v>0.0</v>
      </c>
      <c r="I25" s="13">
        <v>0.0</v>
      </c>
      <c r="J25" s="13">
        <v>0.0</v>
      </c>
      <c r="K25" s="13">
        <v>0.0</v>
      </c>
      <c r="L25" s="13">
        <v>0.0</v>
      </c>
      <c r="M25" s="13">
        <v>3.0</v>
      </c>
      <c r="N25" s="6">
        <f t="shared" si="3"/>
        <v>3</v>
      </c>
    </row>
    <row r="26" ht="12.75" customHeight="1">
      <c r="A26" s="36"/>
      <c r="B26" s="26"/>
      <c r="C26" s="37"/>
      <c r="D26" s="13" t="s">
        <v>13</v>
      </c>
      <c r="E26" s="13">
        <v>0.0</v>
      </c>
      <c r="F26" s="13">
        <v>0.0</v>
      </c>
      <c r="G26" s="13">
        <v>1.0</v>
      </c>
      <c r="H26" s="13">
        <v>0.0</v>
      </c>
      <c r="I26" s="13">
        <v>0.0</v>
      </c>
      <c r="J26" s="13">
        <v>0.0</v>
      </c>
      <c r="K26" s="13">
        <v>2.0</v>
      </c>
      <c r="L26" s="13">
        <v>1.0</v>
      </c>
      <c r="M26" s="13">
        <v>1.0</v>
      </c>
      <c r="N26" s="6">
        <f t="shared" si="3"/>
        <v>5</v>
      </c>
    </row>
    <row r="27" ht="12.75" customHeight="1">
      <c r="A27" s="38"/>
      <c r="B27" s="27"/>
      <c r="C27" s="39"/>
      <c r="D27" s="6" t="s">
        <v>14</v>
      </c>
      <c r="E27" s="6">
        <f t="shared" ref="E27:M27" si="6">SUM(E25:E26)</f>
        <v>0</v>
      </c>
      <c r="F27" s="6">
        <f t="shared" si="6"/>
        <v>0</v>
      </c>
      <c r="G27" s="6">
        <f t="shared" si="6"/>
        <v>1</v>
      </c>
      <c r="H27" s="6">
        <f t="shared" si="6"/>
        <v>0</v>
      </c>
      <c r="I27" s="6">
        <f t="shared" si="6"/>
        <v>0</v>
      </c>
      <c r="J27" s="6">
        <f t="shared" si="6"/>
        <v>0</v>
      </c>
      <c r="K27" s="6">
        <f t="shared" si="6"/>
        <v>2</v>
      </c>
      <c r="L27" s="6">
        <f t="shared" si="6"/>
        <v>1</v>
      </c>
      <c r="M27" s="6">
        <f t="shared" si="6"/>
        <v>4</v>
      </c>
      <c r="N27" s="6">
        <f t="shared" si="3"/>
        <v>8</v>
      </c>
    </row>
    <row r="28" ht="12.75" customHeight="1">
      <c r="A28" s="38"/>
      <c r="B28" s="40" t="s">
        <v>23</v>
      </c>
      <c r="C28" s="41" t="s">
        <v>24</v>
      </c>
      <c r="D28" s="6" t="s">
        <v>12</v>
      </c>
      <c r="E28" s="6">
        <f t="shared" ref="E28:M28" si="7">SUM(E19,E22,E25)</f>
        <v>82</v>
      </c>
      <c r="F28" s="6">
        <f t="shared" si="7"/>
        <v>78</v>
      </c>
      <c r="G28" s="6">
        <f t="shared" si="7"/>
        <v>80</v>
      </c>
      <c r="H28" s="6">
        <f t="shared" si="7"/>
        <v>81</v>
      </c>
      <c r="I28" s="6">
        <f t="shared" si="7"/>
        <v>55</v>
      </c>
      <c r="J28" s="6">
        <f t="shared" si="7"/>
        <v>61</v>
      </c>
      <c r="K28" s="6">
        <f t="shared" si="7"/>
        <v>92</v>
      </c>
      <c r="L28" s="6">
        <f t="shared" si="7"/>
        <v>112</v>
      </c>
      <c r="M28" s="6">
        <f t="shared" si="7"/>
        <v>114</v>
      </c>
      <c r="N28" s="6">
        <f t="shared" si="3"/>
        <v>755</v>
      </c>
    </row>
    <row r="29" ht="12.75" customHeight="1">
      <c r="A29" s="38"/>
      <c r="B29" s="26"/>
      <c r="C29" s="37"/>
      <c r="D29" s="6" t="s">
        <v>13</v>
      </c>
      <c r="E29" s="6">
        <f t="shared" ref="E29:M29" si="8">SUM(E20,E23,E26)</f>
        <v>96</v>
      </c>
      <c r="F29" s="6">
        <f t="shared" si="8"/>
        <v>86</v>
      </c>
      <c r="G29" s="6">
        <f t="shared" si="8"/>
        <v>96</v>
      </c>
      <c r="H29" s="6">
        <f t="shared" si="8"/>
        <v>92</v>
      </c>
      <c r="I29" s="6">
        <f t="shared" si="8"/>
        <v>71</v>
      </c>
      <c r="J29" s="6">
        <f t="shared" si="8"/>
        <v>65</v>
      </c>
      <c r="K29" s="6">
        <f t="shared" si="8"/>
        <v>107</v>
      </c>
      <c r="L29" s="6">
        <f t="shared" si="8"/>
        <v>102</v>
      </c>
      <c r="M29" s="6">
        <f t="shared" si="8"/>
        <v>112</v>
      </c>
      <c r="N29" s="6">
        <f t="shared" si="3"/>
        <v>827</v>
      </c>
    </row>
    <row r="30" ht="12.75" customHeight="1">
      <c r="A30" s="38"/>
      <c r="B30" s="27"/>
      <c r="C30" s="39"/>
      <c r="D30" s="6" t="s">
        <v>14</v>
      </c>
      <c r="E30" s="6">
        <f t="shared" ref="E30:M30" si="9">SUM(E28:E29)</f>
        <v>178</v>
      </c>
      <c r="F30" s="6">
        <f t="shared" si="9"/>
        <v>164</v>
      </c>
      <c r="G30" s="6">
        <f t="shared" si="9"/>
        <v>176</v>
      </c>
      <c r="H30" s="6">
        <f t="shared" si="9"/>
        <v>173</v>
      </c>
      <c r="I30" s="6">
        <f t="shared" si="9"/>
        <v>126</v>
      </c>
      <c r="J30" s="6">
        <f t="shared" si="9"/>
        <v>126</v>
      </c>
      <c r="K30" s="6">
        <f t="shared" si="9"/>
        <v>199</v>
      </c>
      <c r="L30" s="6">
        <f t="shared" si="9"/>
        <v>214</v>
      </c>
      <c r="M30" s="6">
        <f t="shared" si="9"/>
        <v>226</v>
      </c>
      <c r="N30" s="6">
        <f t="shared" si="3"/>
        <v>1582</v>
      </c>
    </row>
    <row r="31" ht="12.75" customHeight="1">
      <c r="A31" s="30"/>
      <c r="B31" s="8"/>
      <c r="C31" s="8"/>
      <c r="D31" s="9"/>
      <c r="E31" s="13"/>
      <c r="F31" s="13"/>
      <c r="G31" s="13"/>
      <c r="H31" s="13"/>
      <c r="I31" s="13"/>
      <c r="J31" s="13"/>
      <c r="K31" s="13"/>
      <c r="L31" s="13"/>
      <c r="M31" s="13"/>
      <c r="N31" s="6"/>
    </row>
    <row r="32" ht="12.75" customHeight="1">
      <c r="A32" s="43" t="s">
        <v>25</v>
      </c>
      <c r="B32" s="7" t="s">
        <v>26</v>
      </c>
      <c r="C32" s="8"/>
      <c r="D32" s="9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ht="12.75" customHeight="1">
      <c r="A33" s="13">
        <v>1.0</v>
      </c>
      <c r="B33" s="14" t="s">
        <v>27</v>
      </c>
      <c r="C33" s="8"/>
      <c r="D33" s="9"/>
      <c r="E33" s="13">
        <v>246.0</v>
      </c>
      <c r="F33" s="13">
        <v>225.0</v>
      </c>
      <c r="G33" s="13">
        <v>228.0</v>
      </c>
      <c r="H33" s="13">
        <v>237.0</v>
      </c>
      <c r="I33" s="13">
        <v>168.0</v>
      </c>
      <c r="J33" s="13">
        <v>153.0</v>
      </c>
      <c r="K33" s="13">
        <v>251.0</v>
      </c>
      <c r="L33" s="13">
        <v>286.0</v>
      </c>
      <c r="M33" s="13">
        <v>266.0</v>
      </c>
      <c r="N33" s="6">
        <f t="shared" ref="N33:N36" si="10">SUM(E33:M33)</f>
        <v>2060</v>
      </c>
    </row>
    <row r="34" ht="12.75" customHeight="1">
      <c r="A34" s="13">
        <v>2.0</v>
      </c>
      <c r="B34" s="14" t="s">
        <v>28</v>
      </c>
      <c r="C34" s="8"/>
      <c r="D34" s="9"/>
      <c r="E34" s="6">
        <v>178.0</v>
      </c>
      <c r="F34" s="6">
        <v>164.0</v>
      </c>
      <c r="G34" s="6">
        <v>176.0</v>
      </c>
      <c r="H34" s="6">
        <v>173.0</v>
      </c>
      <c r="I34" s="6">
        <v>126.0</v>
      </c>
      <c r="J34" s="6">
        <v>126.0</v>
      </c>
      <c r="K34" s="6">
        <v>199.0</v>
      </c>
      <c r="L34" s="6">
        <v>214.0</v>
      </c>
      <c r="M34" s="6">
        <v>226.0</v>
      </c>
      <c r="N34" s="6">
        <f t="shared" si="10"/>
        <v>1582</v>
      </c>
    </row>
    <row r="35" ht="12.75" customHeight="1">
      <c r="A35" s="13">
        <v>3.0</v>
      </c>
      <c r="B35" s="14" t="s">
        <v>29</v>
      </c>
      <c r="C35" s="8"/>
      <c r="D35" s="9"/>
      <c r="E35" s="13">
        <v>0.0</v>
      </c>
      <c r="F35" s="13">
        <v>0.0</v>
      </c>
      <c r="G35" s="13">
        <v>0.0</v>
      </c>
      <c r="H35" s="13">
        <v>0.0</v>
      </c>
      <c r="I35" s="13">
        <v>2.0</v>
      </c>
      <c r="J35" s="13">
        <v>0.0</v>
      </c>
      <c r="K35" s="13">
        <v>0.0</v>
      </c>
      <c r="L35" s="13">
        <v>0.0</v>
      </c>
      <c r="M35" s="13">
        <v>0.0</v>
      </c>
      <c r="N35" s="6">
        <f t="shared" si="10"/>
        <v>2</v>
      </c>
    </row>
    <row r="36" ht="12.75" customHeight="1">
      <c r="A36" s="13">
        <v>4.0</v>
      </c>
      <c r="B36" s="14" t="s">
        <v>30</v>
      </c>
      <c r="C36" s="8"/>
      <c r="D36" s="9"/>
      <c r="E36" s="6">
        <f t="shared" ref="E36:M36" si="11">E33-(E34+E35)</f>
        <v>68</v>
      </c>
      <c r="F36" s="6">
        <f t="shared" si="11"/>
        <v>61</v>
      </c>
      <c r="G36" s="6">
        <f t="shared" si="11"/>
        <v>52</v>
      </c>
      <c r="H36" s="6">
        <f t="shared" si="11"/>
        <v>64</v>
      </c>
      <c r="I36" s="6">
        <f t="shared" si="11"/>
        <v>40</v>
      </c>
      <c r="J36" s="6">
        <f t="shared" si="11"/>
        <v>27</v>
      </c>
      <c r="K36" s="6">
        <f t="shared" si="11"/>
        <v>52</v>
      </c>
      <c r="L36" s="6">
        <f t="shared" si="11"/>
        <v>72</v>
      </c>
      <c r="M36" s="6">
        <f t="shared" si="11"/>
        <v>40</v>
      </c>
      <c r="N36" s="6">
        <f t="shared" si="10"/>
        <v>476</v>
      </c>
    </row>
    <row r="37" ht="12.75" customHeight="1">
      <c r="A37" s="30"/>
      <c r="B37" s="8"/>
      <c r="C37" s="8"/>
      <c r="D37" s="8"/>
      <c r="E37" s="30"/>
      <c r="F37" s="8"/>
      <c r="G37" s="8"/>
      <c r="H37" s="8"/>
      <c r="I37" s="9"/>
      <c r="J37" s="13"/>
      <c r="K37" s="13"/>
      <c r="L37" s="13"/>
      <c r="M37" s="13"/>
      <c r="N37" s="6"/>
    </row>
    <row r="38" ht="12.75" customHeight="1">
      <c r="A38" s="46" t="s">
        <v>31</v>
      </c>
      <c r="B38" s="7" t="s">
        <v>32</v>
      </c>
      <c r="C38" s="8"/>
      <c r="D38" s="9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ht="12.75" customHeight="1">
      <c r="A39" s="33"/>
      <c r="B39" s="47" t="s">
        <v>33</v>
      </c>
      <c r="C39" s="20"/>
      <c r="D39" s="13" t="s">
        <v>12</v>
      </c>
      <c r="E39" s="13">
        <v>1.0</v>
      </c>
      <c r="F39" s="13">
        <v>2.0</v>
      </c>
      <c r="G39" s="13">
        <v>3.0</v>
      </c>
      <c r="H39" s="13">
        <v>0.0</v>
      </c>
      <c r="I39" s="13">
        <v>0.0</v>
      </c>
      <c r="J39" s="13">
        <v>0.0</v>
      </c>
      <c r="K39" s="13">
        <v>0.0</v>
      </c>
      <c r="L39" s="13">
        <v>0.0</v>
      </c>
      <c r="M39" s="13">
        <v>1.0</v>
      </c>
      <c r="N39" s="6">
        <f t="shared" ref="N39:N41" si="12">SUM(E39:M39)</f>
        <v>7</v>
      </c>
    </row>
    <row r="40" ht="12.75" customHeight="1">
      <c r="A40" s="36"/>
      <c r="C40" s="26"/>
      <c r="D40" s="13" t="s">
        <v>13</v>
      </c>
      <c r="E40" s="13">
        <v>0.0</v>
      </c>
      <c r="F40" s="13">
        <v>1.0</v>
      </c>
      <c r="G40" s="13">
        <v>0.0</v>
      </c>
      <c r="H40" s="13">
        <v>0.0</v>
      </c>
      <c r="I40" s="13">
        <v>1.0</v>
      </c>
      <c r="J40" s="13">
        <v>0.0</v>
      </c>
      <c r="K40" s="13">
        <v>0.0</v>
      </c>
      <c r="L40" s="13">
        <v>0.0</v>
      </c>
      <c r="M40" s="13">
        <v>0.0</v>
      </c>
      <c r="N40" s="6">
        <f t="shared" si="12"/>
        <v>2</v>
      </c>
    </row>
    <row r="41" ht="12.75" customHeight="1">
      <c r="A41" s="43"/>
      <c r="B41" s="48"/>
      <c r="C41" s="27"/>
      <c r="D41" s="6" t="s">
        <v>14</v>
      </c>
      <c r="E41" s="6">
        <f t="shared" ref="E41:M41" si="13">SUM(E39:E40)</f>
        <v>1</v>
      </c>
      <c r="F41" s="6">
        <f t="shared" si="13"/>
        <v>3</v>
      </c>
      <c r="G41" s="6">
        <f t="shared" si="13"/>
        <v>3</v>
      </c>
      <c r="H41" s="6">
        <f t="shared" si="13"/>
        <v>0</v>
      </c>
      <c r="I41" s="6">
        <f t="shared" si="13"/>
        <v>1</v>
      </c>
      <c r="J41" s="6">
        <f t="shared" si="13"/>
        <v>0</v>
      </c>
      <c r="K41" s="6">
        <f t="shared" si="13"/>
        <v>0</v>
      </c>
      <c r="L41" s="6">
        <f t="shared" si="13"/>
        <v>0</v>
      </c>
      <c r="M41" s="6">
        <f t="shared" si="13"/>
        <v>1</v>
      </c>
      <c r="N41" s="6">
        <f t="shared" si="12"/>
        <v>9</v>
      </c>
    </row>
    <row r="42" ht="12.75" customHeight="1">
      <c r="A42" s="49"/>
      <c r="B42" s="48"/>
      <c r="C42" s="48"/>
      <c r="D42" s="27"/>
      <c r="E42" s="30"/>
      <c r="F42" s="8"/>
      <c r="G42" s="8"/>
      <c r="H42" s="8"/>
      <c r="I42" s="9"/>
      <c r="J42" s="13"/>
      <c r="K42" s="13"/>
      <c r="L42" s="13"/>
      <c r="M42" s="13"/>
      <c r="N42" s="6"/>
    </row>
    <row r="43" ht="12.75" customHeight="1">
      <c r="A43" s="46" t="s">
        <v>34</v>
      </c>
      <c r="B43" s="7" t="s">
        <v>35</v>
      </c>
      <c r="C43" s="8"/>
      <c r="D43" s="9"/>
      <c r="E43" s="28"/>
      <c r="F43" s="6"/>
      <c r="G43" s="6"/>
      <c r="H43" s="6"/>
      <c r="I43" s="6"/>
      <c r="J43" s="6"/>
      <c r="K43" s="6"/>
      <c r="L43" s="6"/>
      <c r="M43" s="6"/>
      <c r="N43" s="6"/>
    </row>
    <row r="44" ht="12.75" customHeight="1">
      <c r="A44" s="47" t="s">
        <v>36</v>
      </c>
      <c r="B44" s="50"/>
      <c r="C44" s="50"/>
      <c r="D44" s="20"/>
      <c r="E44" s="30"/>
      <c r="F44" s="13"/>
      <c r="G44" s="13"/>
      <c r="H44" s="13"/>
      <c r="I44" s="13"/>
      <c r="J44" s="13"/>
      <c r="K44" s="13"/>
      <c r="L44" s="13"/>
      <c r="M44" s="13"/>
      <c r="N44" s="6"/>
    </row>
    <row r="45" ht="12.75" customHeight="1">
      <c r="A45" s="33" t="s">
        <v>37</v>
      </c>
      <c r="B45" s="51" t="s">
        <v>17</v>
      </c>
      <c r="C45" s="52" t="s">
        <v>38</v>
      </c>
      <c r="D45" s="9"/>
      <c r="E45" s="13">
        <v>10.0</v>
      </c>
      <c r="F45" s="13">
        <v>8.0</v>
      </c>
      <c r="G45" s="13">
        <v>2.0</v>
      </c>
      <c r="H45" s="13">
        <v>10.0</v>
      </c>
      <c r="I45" s="13">
        <v>1.0</v>
      </c>
      <c r="J45" s="13">
        <v>3.0</v>
      </c>
      <c r="K45" s="13">
        <v>23.0</v>
      </c>
      <c r="L45" s="13">
        <v>10.0</v>
      </c>
      <c r="M45" s="13">
        <v>14.0</v>
      </c>
      <c r="N45" s="6">
        <f t="shared" ref="N45:N52" si="14">SUM(E45:M45)</f>
        <v>81</v>
      </c>
    </row>
    <row r="46" ht="12.75" customHeight="1">
      <c r="A46" s="33" t="s">
        <v>39</v>
      </c>
      <c r="B46" s="54">
        <v>1.0</v>
      </c>
      <c r="C46" s="55" t="s">
        <v>40</v>
      </c>
      <c r="D46" s="56"/>
      <c r="E46" s="13">
        <v>12.0</v>
      </c>
      <c r="F46" s="13">
        <v>11.0</v>
      </c>
      <c r="G46" s="13">
        <v>12.0</v>
      </c>
      <c r="H46" s="13">
        <v>10.0</v>
      </c>
      <c r="I46" s="13">
        <v>2.0</v>
      </c>
      <c r="J46" s="13">
        <v>7.0</v>
      </c>
      <c r="K46" s="13">
        <v>19.0</v>
      </c>
      <c r="L46" s="13">
        <v>5.0</v>
      </c>
      <c r="M46" s="13">
        <v>5.0</v>
      </c>
      <c r="N46" s="6">
        <f t="shared" si="14"/>
        <v>83</v>
      </c>
    </row>
    <row r="47" ht="12.75" customHeight="1">
      <c r="A47" s="18"/>
      <c r="B47" s="54">
        <v>2.0</v>
      </c>
      <c r="C47" s="55" t="s">
        <v>41</v>
      </c>
      <c r="D47" s="56"/>
      <c r="E47" s="13">
        <v>4.0</v>
      </c>
      <c r="F47" s="13">
        <v>1.0</v>
      </c>
      <c r="G47" s="13">
        <v>1.0</v>
      </c>
      <c r="H47" s="13">
        <v>0.0</v>
      </c>
      <c r="I47" s="13">
        <v>3.0</v>
      </c>
      <c r="J47" s="13">
        <v>0.0</v>
      </c>
      <c r="K47" s="13">
        <v>1.0</v>
      </c>
      <c r="L47" s="13">
        <v>2.0</v>
      </c>
      <c r="M47" s="13">
        <v>2.0</v>
      </c>
      <c r="N47" s="6">
        <f t="shared" si="14"/>
        <v>14</v>
      </c>
    </row>
    <row r="48" ht="12.75" customHeight="1">
      <c r="A48" s="18"/>
      <c r="B48" s="54">
        <v>3.0</v>
      </c>
      <c r="C48" s="55" t="s">
        <v>42</v>
      </c>
      <c r="D48" s="56"/>
      <c r="E48" s="13">
        <v>1.0</v>
      </c>
      <c r="F48" s="13">
        <v>1.0</v>
      </c>
      <c r="G48" s="13">
        <v>0.0</v>
      </c>
      <c r="H48" s="13">
        <v>0.0</v>
      </c>
      <c r="I48" s="13">
        <v>0.0</v>
      </c>
      <c r="J48" s="13">
        <v>0.0</v>
      </c>
      <c r="K48" s="13">
        <v>0.0</v>
      </c>
      <c r="L48" s="13">
        <v>4.0</v>
      </c>
      <c r="M48" s="13">
        <v>10.0</v>
      </c>
      <c r="N48" s="6">
        <f t="shared" si="14"/>
        <v>16</v>
      </c>
    </row>
    <row r="49" ht="12.75" customHeight="1">
      <c r="A49" s="18"/>
      <c r="B49" s="54">
        <v>4.0</v>
      </c>
      <c r="C49" s="55" t="s">
        <v>43</v>
      </c>
      <c r="D49" s="56"/>
      <c r="E49" s="13">
        <v>0.0</v>
      </c>
      <c r="F49" s="13">
        <v>0.0</v>
      </c>
      <c r="G49" s="13">
        <v>0.0</v>
      </c>
      <c r="H49" s="13">
        <v>0.0</v>
      </c>
      <c r="I49" s="13">
        <v>0.0</v>
      </c>
      <c r="J49" s="13">
        <v>0.0</v>
      </c>
      <c r="K49" s="13">
        <v>0.0</v>
      </c>
      <c r="L49" s="13">
        <v>0.0</v>
      </c>
      <c r="M49" s="13">
        <v>0.0</v>
      </c>
      <c r="N49" s="6">
        <f t="shared" si="14"/>
        <v>0</v>
      </c>
    </row>
    <row r="50" ht="12.75" customHeight="1">
      <c r="A50" s="18"/>
      <c r="B50" s="54">
        <v>5.0</v>
      </c>
      <c r="C50" s="55" t="s">
        <v>44</v>
      </c>
      <c r="D50" s="56"/>
      <c r="E50" s="13">
        <v>1.0</v>
      </c>
      <c r="F50" s="13">
        <v>2.0</v>
      </c>
      <c r="G50" s="13">
        <v>0.0</v>
      </c>
      <c r="H50" s="13">
        <v>0.0</v>
      </c>
      <c r="I50" s="13">
        <v>0.0</v>
      </c>
      <c r="J50" s="13">
        <v>0.0</v>
      </c>
      <c r="K50" s="13">
        <v>1.0</v>
      </c>
      <c r="L50" s="13">
        <v>0.0</v>
      </c>
      <c r="M50" s="13">
        <v>0.0</v>
      </c>
      <c r="N50" s="6">
        <f t="shared" si="14"/>
        <v>4</v>
      </c>
    </row>
    <row r="51" ht="12.75" customHeight="1">
      <c r="A51" s="18"/>
      <c r="B51" s="54">
        <v>6.0</v>
      </c>
      <c r="C51" s="55" t="s">
        <v>45</v>
      </c>
      <c r="D51" s="56"/>
      <c r="E51" s="13">
        <v>0.0</v>
      </c>
      <c r="F51" s="13">
        <v>2.0</v>
      </c>
      <c r="G51" s="13">
        <v>0.0</v>
      </c>
      <c r="H51" s="13">
        <v>0.0</v>
      </c>
      <c r="I51" s="13">
        <v>0.0</v>
      </c>
      <c r="J51" s="13">
        <v>0.0</v>
      </c>
      <c r="K51" s="13">
        <v>0.0</v>
      </c>
      <c r="L51" s="13">
        <v>0.0</v>
      </c>
      <c r="M51" s="13">
        <v>1.0</v>
      </c>
      <c r="N51" s="6">
        <f t="shared" si="14"/>
        <v>3</v>
      </c>
    </row>
    <row r="52" ht="12.75" customHeight="1">
      <c r="A52" s="13" t="s">
        <v>15</v>
      </c>
      <c r="B52" s="51" t="s">
        <v>46</v>
      </c>
      <c r="C52" s="8"/>
      <c r="D52" s="9"/>
      <c r="E52" s="57">
        <f t="shared" ref="E52:M52" si="15">SUM(E45:E51)</f>
        <v>28</v>
      </c>
      <c r="F52" s="57">
        <f t="shared" si="15"/>
        <v>25</v>
      </c>
      <c r="G52" s="57">
        <f t="shared" si="15"/>
        <v>15</v>
      </c>
      <c r="H52" s="57">
        <f t="shared" si="15"/>
        <v>20</v>
      </c>
      <c r="I52" s="57">
        <f t="shared" si="15"/>
        <v>6</v>
      </c>
      <c r="J52" s="57">
        <f t="shared" si="15"/>
        <v>10</v>
      </c>
      <c r="K52" s="57">
        <f t="shared" si="15"/>
        <v>44</v>
      </c>
      <c r="L52" s="57">
        <f t="shared" si="15"/>
        <v>21</v>
      </c>
      <c r="M52" s="57">
        <f t="shared" si="15"/>
        <v>32</v>
      </c>
      <c r="N52" s="6">
        <f t="shared" si="14"/>
        <v>201</v>
      </c>
    </row>
    <row r="53" ht="12.75" customHeight="1">
      <c r="A53" s="68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"/>
    </row>
    <row r="54" ht="12.75" customHeight="1">
      <c r="A54" s="33" t="s">
        <v>37</v>
      </c>
      <c r="B54" s="51" t="s">
        <v>19</v>
      </c>
      <c r="C54" s="52" t="s">
        <v>47</v>
      </c>
      <c r="D54" s="9"/>
      <c r="E54" s="13">
        <v>11.0</v>
      </c>
      <c r="F54" s="13">
        <v>8.0</v>
      </c>
      <c r="G54" s="13">
        <v>5.0</v>
      </c>
      <c r="H54" s="13">
        <v>6.0</v>
      </c>
      <c r="I54" s="13">
        <v>5.0</v>
      </c>
      <c r="J54" s="13">
        <v>9.0</v>
      </c>
      <c r="K54" s="13">
        <v>15.0</v>
      </c>
      <c r="L54" s="13">
        <v>8.0</v>
      </c>
      <c r="M54" s="13">
        <v>27.0</v>
      </c>
      <c r="N54" s="6">
        <f t="shared" ref="N54:N61" si="16">SUM(E54:M54)</f>
        <v>94</v>
      </c>
    </row>
    <row r="55" ht="12.75" customHeight="1">
      <c r="A55" s="33" t="s">
        <v>39</v>
      </c>
      <c r="B55" s="54">
        <v>1.0</v>
      </c>
      <c r="C55" s="55" t="s">
        <v>48</v>
      </c>
      <c r="D55" s="56"/>
      <c r="E55" s="13">
        <v>3.0</v>
      </c>
      <c r="F55" s="13">
        <v>11.0</v>
      </c>
      <c r="G55" s="13">
        <v>6.0</v>
      </c>
      <c r="H55" s="13">
        <v>8.0</v>
      </c>
      <c r="I55" s="13">
        <v>5.0</v>
      </c>
      <c r="J55" s="13">
        <v>1.0</v>
      </c>
      <c r="K55" s="13">
        <v>6.0</v>
      </c>
      <c r="L55" s="13">
        <v>27.0</v>
      </c>
      <c r="M55" s="13">
        <v>12.0</v>
      </c>
      <c r="N55" s="6">
        <f t="shared" si="16"/>
        <v>79</v>
      </c>
    </row>
    <row r="56" ht="12.75" customHeight="1">
      <c r="A56" s="18"/>
      <c r="B56" s="54">
        <v>2.0</v>
      </c>
      <c r="C56" s="55" t="s">
        <v>49</v>
      </c>
      <c r="D56" s="56"/>
      <c r="E56" s="13">
        <v>4.0</v>
      </c>
      <c r="F56" s="13">
        <v>2.0</v>
      </c>
      <c r="G56" s="13">
        <v>1.0</v>
      </c>
      <c r="H56" s="13">
        <v>3.0</v>
      </c>
      <c r="I56" s="13">
        <v>3.0</v>
      </c>
      <c r="J56" s="13">
        <v>2.0</v>
      </c>
      <c r="K56" s="13">
        <v>5.0</v>
      </c>
      <c r="L56" s="13">
        <v>3.0</v>
      </c>
      <c r="M56" s="13">
        <v>4.0</v>
      </c>
      <c r="N56" s="6">
        <f t="shared" si="16"/>
        <v>27</v>
      </c>
    </row>
    <row r="57" ht="12.75" customHeight="1">
      <c r="A57" s="18"/>
      <c r="B57" s="54">
        <v>3.0</v>
      </c>
      <c r="C57" s="55" t="s">
        <v>50</v>
      </c>
      <c r="D57" s="56"/>
      <c r="E57" s="13">
        <v>1.0</v>
      </c>
      <c r="F57" s="13">
        <v>1.0</v>
      </c>
      <c r="G57" s="13">
        <v>1.0</v>
      </c>
      <c r="H57" s="13">
        <v>1.0</v>
      </c>
      <c r="I57" s="13">
        <v>5.0</v>
      </c>
      <c r="J57" s="13">
        <v>0.0</v>
      </c>
      <c r="K57" s="13">
        <v>1.0</v>
      </c>
      <c r="L57" s="13">
        <v>1.0</v>
      </c>
      <c r="M57" s="13">
        <v>5.0</v>
      </c>
      <c r="N57" s="6">
        <f t="shared" si="16"/>
        <v>16</v>
      </c>
    </row>
    <row r="58" ht="12.75" customHeight="1">
      <c r="A58" s="18"/>
      <c r="B58" s="54">
        <v>4.0</v>
      </c>
      <c r="C58" s="55" t="s">
        <v>51</v>
      </c>
      <c r="D58" s="56"/>
      <c r="E58" s="13">
        <v>1.0</v>
      </c>
      <c r="F58" s="13">
        <v>0.0</v>
      </c>
      <c r="G58" s="13">
        <v>0.0</v>
      </c>
      <c r="H58" s="13">
        <v>0.0</v>
      </c>
      <c r="I58" s="13">
        <v>1.0</v>
      </c>
      <c r="J58" s="13">
        <v>0.0</v>
      </c>
      <c r="K58" s="13">
        <v>0.0</v>
      </c>
      <c r="L58" s="13">
        <v>1.0</v>
      </c>
      <c r="M58" s="13">
        <v>0.0</v>
      </c>
      <c r="N58" s="6">
        <f t="shared" si="16"/>
        <v>3</v>
      </c>
    </row>
    <row r="59" ht="12.75" customHeight="1">
      <c r="A59" s="18"/>
      <c r="B59" s="54">
        <v>5.0</v>
      </c>
      <c r="C59" s="55" t="s">
        <v>52</v>
      </c>
      <c r="D59" s="56"/>
      <c r="E59" s="13">
        <v>1.0</v>
      </c>
      <c r="F59" s="13">
        <v>1.0</v>
      </c>
      <c r="G59" s="13">
        <v>0.0</v>
      </c>
      <c r="H59" s="13">
        <v>1.0</v>
      </c>
      <c r="I59" s="13">
        <v>0.0</v>
      </c>
      <c r="J59" s="13">
        <v>0.0</v>
      </c>
      <c r="K59" s="13">
        <v>0.0</v>
      </c>
      <c r="L59" s="13">
        <v>0.0</v>
      </c>
      <c r="M59" s="13">
        <v>0.0</v>
      </c>
      <c r="N59" s="6">
        <f t="shared" si="16"/>
        <v>3</v>
      </c>
    </row>
    <row r="60" ht="12.75" customHeight="1">
      <c r="A60" s="18"/>
      <c r="B60" s="54">
        <v>6.0</v>
      </c>
      <c r="C60" s="55" t="s">
        <v>53</v>
      </c>
      <c r="D60" s="56"/>
      <c r="E60" s="13">
        <v>0.0</v>
      </c>
      <c r="F60" s="13">
        <v>2.0</v>
      </c>
      <c r="G60" s="13">
        <v>1.0</v>
      </c>
      <c r="H60" s="13">
        <v>0.0</v>
      </c>
      <c r="I60" s="13">
        <v>0.0</v>
      </c>
      <c r="J60" s="13">
        <v>1.0</v>
      </c>
      <c r="K60" s="13">
        <v>0.0</v>
      </c>
      <c r="L60" s="13">
        <v>0.0</v>
      </c>
      <c r="M60" s="13">
        <v>1.0</v>
      </c>
      <c r="N60" s="6">
        <f t="shared" si="16"/>
        <v>5</v>
      </c>
    </row>
    <row r="61" ht="12.75" customHeight="1">
      <c r="A61" s="13" t="s">
        <v>15</v>
      </c>
      <c r="B61" s="51" t="s">
        <v>46</v>
      </c>
      <c r="C61" s="8"/>
      <c r="D61" s="9"/>
      <c r="E61" s="57">
        <f t="shared" ref="E61:M61" si="17">SUM(E54:E60)</f>
        <v>21</v>
      </c>
      <c r="F61" s="57">
        <f t="shared" si="17"/>
        <v>25</v>
      </c>
      <c r="G61" s="57">
        <f t="shared" si="17"/>
        <v>14</v>
      </c>
      <c r="H61" s="57">
        <f t="shared" si="17"/>
        <v>19</v>
      </c>
      <c r="I61" s="57">
        <f t="shared" si="17"/>
        <v>19</v>
      </c>
      <c r="J61" s="57">
        <f t="shared" si="17"/>
        <v>13</v>
      </c>
      <c r="K61" s="57">
        <f t="shared" si="17"/>
        <v>27</v>
      </c>
      <c r="L61" s="57">
        <f t="shared" si="17"/>
        <v>40</v>
      </c>
      <c r="M61" s="57">
        <f t="shared" si="17"/>
        <v>49</v>
      </c>
      <c r="N61" s="6">
        <f t="shared" si="16"/>
        <v>227</v>
      </c>
    </row>
    <row r="62" ht="12.75" customHeight="1">
      <c r="A62" s="68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"/>
    </row>
    <row r="63" ht="12.75" customHeight="1">
      <c r="A63" s="33" t="s">
        <v>37</v>
      </c>
      <c r="B63" s="51" t="s">
        <v>21</v>
      </c>
      <c r="C63" s="52" t="s">
        <v>54</v>
      </c>
      <c r="D63" s="9"/>
      <c r="E63" s="13">
        <v>7.0</v>
      </c>
      <c r="F63" s="13">
        <v>7.0</v>
      </c>
      <c r="G63" s="13">
        <v>7.0</v>
      </c>
      <c r="H63" s="13">
        <v>4.0</v>
      </c>
      <c r="I63" s="13">
        <v>5.0</v>
      </c>
      <c r="J63" s="13">
        <v>2.0</v>
      </c>
      <c r="K63" s="13">
        <v>8.0</v>
      </c>
      <c r="L63" s="13">
        <v>10.0</v>
      </c>
      <c r="M63" s="13">
        <v>5.0</v>
      </c>
      <c r="N63" s="6">
        <f t="shared" ref="N63:N70" si="18">SUM(E63:M63)</f>
        <v>55</v>
      </c>
    </row>
    <row r="64" ht="12.75" customHeight="1">
      <c r="A64" s="33" t="s">
        <v>39</v>
      </c>
      <c r="B64" s="54">
        <v>1.0</v>
      </c>
      <c r="C64" s="55" t="s">
        <v>55</v>
      </c>
      <c r="D64" s="56"/>
      <c r="E64" s="13">
        <v>3.0</v>
      </c>
      <c r="F64" s="13">
        <v>7.0</v>
      </c>
      <c r="G64" s="13">
        <v>8.0</v>
      </c>
      <c r="H64" s="13">
        <v>8.0</v>
      </c>
      <c r="I64" s="13">
        <v>4.0</v>
      </c>
      <c r="J64" s="13">
        <v>11.0</v>
      </c>
      <c r="K64" s="13">
        <v>3.0</v>
      </c>
      <c r="L64" s="13">
        <v>9.0</v>
      </c>
      <c r="M64" s="13">
        <v>5.0</v>
      </c>
      <c r="N64" s="6">
        <f t="shared" si="18"/>
        <v>58</v>
      </c>
    </row>
    <row r="65" ht="12.75" customHeight="1">
      <c r="A65" s="18"/>
      <c r="B65" s="54">
        <v>2.0</v>
      </c>
      <c r="C65" s="55" t="s">
        <v>56</v>
      </c>
      <c r="D65" s="56"/>
      <c r="E65" s="13">
        <v>1.0</v>
      </c>
      <c r="F65" s="13">
        <v>1.0</v>
      </c>
      <c r="G65" s="13">
        <v>0.0</v>
      </c>
      <c r="H65" s="13">
        <v>0.0</v>
      </c>
      <c r="I65" s="13">
        <v>2.0</v>
      </c>
      <c r="J65" s="13">
        <v>0.0</v>
      </c>
      <c r="K65" s="13">
        <v>4.0</v>
      </c>
      <c r="L65" s="13">
        <v>1.0</v>
      </c>
      <c r="M65" s="13">
        <v>3.0</v>
      </c>
      <c r="N65" s="6">
        <f t="shared" si="18"/>
        <v>12</v>
      </c>
    </row>
    <row r="66" ht="12.75" customHeight="1">
      <c r="A66" s="18"/>
      <c r="B66" s="54">
        <v>3.0</v>
      </c>
      <c r="C66" s="55" t="s">
        <v>57</v>
      </c>
      <c r="D66" s="56"/>
      <c r="E66" s="13">
        <v>2.0</v>
      </c>
      <c r="F66" s="13">
        <v>0.0</v>
      </c>
      <c r="G66" s="13">
        <v>0.0</v>
      </c>
      <c r="H66" s="13">
        <v>0.0</v>
      </c>
      <c r="I66" s="13">
        <v>3.0</v>
      </c>
      <c r="J66" s="13">
        <v>0.0</v>
      </c>
      <c r="K66" s="13">
        <v>0.0</v>
      </c>
      <c r="L66" s="13">
        <v>3.0</v>
      </c>
      <c r="M66" s="13">
        <v>1.0</v>
      </c>
      <c r="N66" s="6">
        <f t="shared" si="18"/>
        <v>9</v>
      </c>
    </row>
    <row r="67" ht="12.75" customHeight="1">
      <c r="A67" s="18"/>
      <c r="B67" s="54">
        <v>4.0</v>
      </c>
      <c r="C67" s="55" t="s">
        <v>58</v>
      </c>
      <c r="D67" s="56"/>
      <c r="E67" s="13">
        <v>14.0</v>
      </c>
      <c r="F67" s="13">
        <v>7.0</v>
      </c>
      <c r="G67" s="13">
        <v>10.0</v>
      </c>
      <c r="H67" s="13">
        <v>7.0</v>
      </c>
      <c r="I67" s="13">
        <v>22.0</v>
      </c>
      <c r="J67" s="13">
        <v>15.0</v>
      </c>
      <c r="K67" s="13">
        <v>18.0</v>
      </c>
      <c r="L67" s="13">
        <v>61.0</v>
      </c>
      <c r="M67" s="13">
        <v>12.0</v>
      </c>
      <c r="N67" s="6">
        <f t="shared" si="18"/>
        <v>166</v>
      </c>
    </row>
    <row r="68" ht="12.75" customHeight="1">
      <c r="A68" s="18"/>
      <c r="B68" s="54">
        <v>5.0</v>
      </c>
      <c r="C68" s="55" t="s">
        <v>59</v>
      </c>
      <c r="D68" s="56"/>
      <c r="E68" s="13">
        <v>0.0</v>
      </c>
      <c r="F68" s="13">
        <v>10.0</v>
      </c>
      <c r="G68" s="13">
        <v>12.0</v>
      </c>
      <c r="H68" s="13">
        <v>11.0</v>
      </c>
      <c r="I68" s="13">
        <v>0.0</v>
      </c>
      <c r="J68" s="13">
        <v>0.0</v>
      </c>
      <c r="K68" s="13">
        <v>0.0</v>
      </c>
      <c r="L68" s="13">
        <v>1.0</v>
      </c>
      <c r="M68" s="13">
        <v>0.0</v>
      </c>
      <c r="N68" s="6">
        <f t="shared" si="18"/>
        <v>34</v>
      </c>
    </row>
    <row r="69" ht="12.75" customHeight="1">
      <c r="A69" s="18"/>
      <c r="B69" s="54">
        <v>6.0</v>
      </c>
      <c r="C69" s="55" t="s">
        <v>60</v>
      </c>
      <c r="D69" s="56"/>
      <c r="E69" s="13">
        <v>1.0</v>
      </c>
      <c r="F69" s="13">
        <v>0.0</v>
      </c>
      <c r="G69" s="13">
        <v>0.0</v>
      </c>
      <c r="H69" s="13">
        <v>1.0</v>
      </c>
      <c r="I69" s="13">
        <v>0.0</v>
      </c>
      <c r="J69" s="13">
        <v>0.0</v>
      </c>
      <c r="K69" s="13">
        <v>0.0</v>
      </c>
      <c r="L69" s="13">
        <v>1.0</v>
      </c>
      <c r="M69" s="13">
        <v>1.0</v>
      </c>
      <c r="N69" s="6">
        <f t="shared" si="18"/>
        <v>4</v>
      </c>
    </row>
    <row r="70" ht="12.75" customHeight="1">
      <c r="A70" s="13" t="s">
        <v>15</v>
      </c>
      <c r="B70" s="51" t="s">
        <v>46</v>
      </c>
      <c r="C70" s="8"/>
      <c r="D70" s="9"/>
      <c r="E70" s="57">
        <f t="shared" ref="E70:M70" si="19">SUM(E63:E69)</f>
        <v>28</v>
      </c>
      <c r="F70" s="57">
        <f t="shared" si="19"/>
        <v>32</v>
      </c>
      <c r="G70" s="57">
        <f t="shared" si="19"/>
        <v>37</v>
      </c>
      <c r="H70" s="57">
        <f t="shared" si="19"/>
        <v>31</v>
      </c>
      <c r="I70" s="57">
        <f t="shared" si="19"/>
        <v>36</v>
      </c>
      <c r="J70" s="57">
        <f t="shared" si="19"/>
        <v>28</v>
      </c>
      <c r="K70" s="57">
        <f t="shared" si="19"/>
        <v>33</v>
      </c>
      <c r="L70" s="57">
        <f t="shared" si="19"/>
        <v>86</v>
      </c>
      <c r="M70" s="57">
        <f t="shared" si="19"/>
        <v>27</v>
      </c>
      <c r="N70" s="6">
        <f t="shared" si="18"/>
        <v>338</v>
      </c>
    </row>
    <row r="71" ht="12.75" customHeight="1">
      <c r="A71" s="68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"/>
    </row>
    <row r="72" ht="12.75" customHeight="1">
      <c r="A72" s="33" t="s">
        <v>37</v>
      </c>
      <c r="B72" s="51" t="s">
        <v>23</v>
      </c>
      <c r="C72" s="52" t="s">
        <v>61</v>
      </c>
      <c r="D72" s="9"/>
      <c r="E72" s="13">
        <v>8.0</v>
      </c>
      <c r="F72" s="13">
        <v>0.0</v>
      </c>
      <c r="G72" s="13">
        <v>6.0</v>
      </c>
      <c r="H72" s="13">
        <v>7.0</v>
      </c>
      <c r="I72" s="13">
        <v>1.0</v>
      </c>
      <c r="J72" s="13">
        <v>4.0</v>
      </c>
      <c r="K72" s="13">
        <v>6.0</v>
      </c>
      <c r="L72" s="13">
        <v>6.0</v>
      </c>
      <c r="M72" s="13">
        <v>3.0</v>
      </c>
      <c r="N72" s="6">
        <f t="shared" ref="N72:N79" si="20">SUM(E72:M72)</f>
        <v>41</v>
      </c>
    </row>
    <row r="73" ht="12.75" customHeight="1">
      <c r="A73" s="33" t="s">
        <v>39</v>
      </c>
      <c r="B73" s="54">
        <v>1.0</v>
      </c>
      <c r="C73" s="55" t="s">
        <v>62</v>
      </c>
      <c r="D73" s="56"/>
      <c r="E73" s="13">
        <v>14.0</v>
      </c>
      <c r="F73" s="13">
        <v>2.0</v>
      </c>
      <c r="G73" s="13">
        <v>18.0</v>
      </c>
      <c r="H73" s="13">
        <v>30.0</v>
      </c>
      <c r="I73" s="13">
        <v>2.0</v>
      </c>
      <c r="J73" s="13">
        <v>14.0</v>
      </c>
      <c r="K73" s="13">
        <v>4.0</v>
      </c>
      <c r="L73" s="13">
        <v>14.0</v>
      </c>
      <c r="M73" s="13">
        <v>4.0</v>
      </c>
      <c r="N73" s="6">
        <f t="shared" si="20"/>
        <v>102</v>
      </c>
    </row>
    <row r="74" ht="12.75" customHeight="1">
      <c r="A74" s="18"/>
      <c r="B74" s="54">
        <v>2.0</v>
      </c>
      <c r="C74" s="55" t="s">
        <v>63</v>
      </c>
      <c r="D74" s="56"/>
      <c r="E74" s="13">
        <v>0.0</v>
      </c>
      <c r="F74" s="13">
        <v>6.0</v>
      </c>
      <c r="G74" s="13">
        <v>5.0</v>
      </c>
      <c r="H74" s="13">
        <v>0.0</v>
      </c>
      <c r="I74" s="13">
        <v>3.0</v>
      </c>
      <c r="J74" s="13">
        <v>2.0</v>
      </c>
      <c r="K74" s="13">
        <v>22.0</v>
      </c>
      <c r="L74" s="13">
        <v>0.0</v>
      </c>
      <c r="M74" s="13">
        <v>2.0</v>
      </c>
      <c r="N74" s="6">
        <f t="shared" si="20"/>
        <v>40</v>
      </c>
    </row>
    <row r="75" ht="12.75" customHeight="1">
      <c r="A75" s="18"/>
      <c r="B75" s="54">
        <v>3.0</v>
      </c>
      <c r="C75" s="55" t="s">
        <v>64</v>
      </c>
      <c r="D75" s="56"/>
      <c r="E75" s="13">
        <v>0.0</v>
      </c>
      <c r="F75" s="13">
        <v>0.0</v>
      </c>
      <c r="G75" s="13">
        <v>0.0</v>
      </c>
      <c r="H75" s="13">
        <v>2.0</v>
      </c>
      <c r="I75" s="13">
        <v>0.0</v>
      </c>
      <c r="J75" s="13">
        <v>0.0</v>
      </c>
      <c r="K75" s="13">
        <v>0.0</v>
      </c>
      <c r="L75" s="13">
        <v>0.0</v>
      </c>
      <c r="M75" s="13">
        <v>1.0</v>
      </c>
      <c r="N75" s="6">
        <f t="shared" si="20"/>
        <v>3</v>
      </c>
    </row>
    <row r="76" ht="12.75" customHeight="1">
      <c r="A76" s="18"/>
      <c r="B76" s="54">
        <v>4.0</v>
      </c>
      <c r="C76" s="55" t="s">
        <v>65</v>
      </c>
      <c r="D76" s="56"/>
      <c r="E76" s="13">
        <v>0.0</v>
      </c>
      <c r="F76" s="13">
        <v>0.0</v>
      </c>
      <c r="G76" s="13">
        <v>0.0</v>
      </c>
      <c r="H76" s="13">
        <v>0.0</v>
      </c>
      <c r="I76" s="13">
        <v>2.0</v>
      </c>
      <c r="J76" s="13">
        <v>0.0</v>
      </c>
      <c r="K76" s="13">
        <v>0.0</v>
      </c>
      <c r="L76" s="13">
        <v>0.0</v>
      </c>
      <c r="M76" s="13">
        <v>1.0</v>
      </c>
      <c r="N76" s="6">
        <f t="shared" si="20"/>
        <v>3</v>
      </c>
    </row>
    <row r="77" ht="12.75" customHeight="1">
      <c r="A77" s="18"/>
      <c r="B77" s="54">
        <v>5.0</v>
      </c>
      <c r="C77" s="55" t="s">
        <v>66</v>
      </c>
      <c r="D77" s="56"/>
      <c r="E77" s="13">
        <v>0.0</v>
      </c>
      <c r="F77" s="13">
        <v>0.0</v>
      </c>
      <c r="G77" s="13">
        <v>0.0</v>
      </c>
      <c r="H77" s="13">
        <v>0.0</v>
      </c>
      <c r="I77" s="13">
        <v>0.0</v>
      </c>
      <c r="J77" s="13">
        <v>0.0</v>
      </c>
      <c r="K77" s="13">
        <v>0.0</v>
      </c>
      <c r="L77" s="13">
        <v>0.0</v>
      </c>
      <c r="M77" s="13">
        <v>0.0</v>
      </c>
      <c r="N77" s="6">
        <f t="shared" si="20"/>
        <v>0</v>
      </c>
    </row>
    <row r="78" ht="12.75" customHeight="1">
      <c r="A78" s="18"/>
      <c r="B78" s="54">
        <v>6.0</v>
      </c>
      <c r="C78" s="55" t="s">
        <v>67</v>
      </c>
      <c r="D78" s="56"/>
      <c r="E78" s="13">
        <v>0.0</v>
      </c>
      <c r="F78" s="13">
        <v>0.0</v>
      </c>
      <c r="G78" s="13">
        <v>0.0</v>
      </c>
      <c r="H78" s="13">
        <v>0.0</v>
      </c>
      <c r="I78" s="13">
        <v>0.0</v>
      </c>
      <c r="J78" s="13">
        <v>0.0</v>
      </c>
      <c r="K78" s="13">
        <v>0.0</v>
      </c>
      <c r="L78" s="13">
        <v>0.0</v>
      </c>
      <c r="M78" s="13">
        <v>0.0</v>
      </c>
      <c r="N78" s="6">
        <f t="shared" si="20"/>
        <v>0</v>
      </c>
    </row>
    <row r="79" ht="12.75" customHeight="1">
      <c r="A79" s="13" t="s">
        <v>15</v>
      </c>
      <c r="B79" s="51" t="s">
        <v>46</v>
      </c>
      <c r="C79" s="8"/>
      <c r="D79" s="9"/>
      <c r="E79" s="57">
        <f t="shared" ref="E79:M79" si="21">SUM(E72:E78)</f>
        <v>22</v>
      </c>
      <c r="F79" s="57">
        <f t="shared" si="21"/>
        <v>8</v>
      </c>
      <c r="G79" s="57">
        <f t="shared" si="21"/>
        <v>29</v>
      </c>
      <c r="H79" s="57">
        <f t="shared" si="21"/>
        <v>39</v>
      </c>
      <c r="I79" s="57">
        <f t="shared" si="21"/>
        <v>8</v>
      </c>
      <c r="J79" s="57">
        <f t="shared" si="21"/>
        <v>20</v>
      </c>
      <c r="K79" s="57">
        <f t="shared" si="21"/>
        <v>32</v>
      </c>
      <c r="L79" s="57">
        <f t="shared" si="21"/>
        <v>20</v>
      </c>
      <c r="M79" s="57">
        <f t="shared" si="21"/>
        <v>11</v>
      </c>
      <c r="N79" s="6">
        <f t="shared" si="20"/>
        <v>189</v>
      </c>
    </row>
    <row r="80" ht="12.75" customHeight="1">
      <c r="A80" s="68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"/>
    </row>
    <row r="81" ht="12.75" customHeight="1">
      <c r="A81" s="33" t="s">
        <v>37</v>
      </c>
      <c r="B81" s="51" t="s">
        <v>68</v>
      </c>
      <c r="C81" s="52" t="s">
        <v>69</v>
      </c>
      <c r="D81" s="9"/>
      <c r="E81" s="13">
        <v>4.0</v>
      </c>
      <c r="F81" s="13">
        <v>1.0</v>
      </c>
      <c r="G81" s="13">
        <v>1.0</v>
      </c>
      <c r="H81" s="13">
        <v>1.0</v>
      </c>
      <c r="I81" s="13">
        <v>0.0</v>
      </c>
      <c r="J81" s="13">
        <v>0.0</v>
      </c>
      <c r="K81" s="13">
        <v>0.0</v>
      </c>
      <c r="L81" s="13">
        <v>1.0</v>
      </c>
      <c r="M81" s="13">
        <v>1.0</v>
      </c>
      <c r="N81" s="6">
        <f t="shared" ref="N81:N88" si="22">SUM(E81:M81)</f>
        <v>9</v>
      </c>
    </row>
    <row r="82" ht="12.75" customHeight="1">
      <c r="A82" s="33" t="s">
        <v>39</v>
      </c>
      <c r="B82" s="54">
        <v>1.0</v>
      </c>
      <c r="C82" s="55" t="s">
        <v>70</v>
      </c>
      <c r="D82" s="56"/>
      <c r="E82" s="13">
        <v>7.0</v>
      </c>
      <c r="F82" s="13">
        <v>8.0</v>
      </c>
      <c r="G82" s="13">
        <v>3.0</v>
      </c>
      <c r="H82" s="13">
        <v>0.0</v>
      </c>
      <c r="I82" s="13">
        <v>0.0</v>
      </c>
      <c r="J82" s="13">
        <v>1.0</v>
      </c>
      <c r="K82" s="13">
        <v>2.0</v>
      </c>
      <c r="L82" s="13">
        <v>1.0</v>
      </c>
      <c r="M82" s="13">
        <v>0.0</v>
      </c>
      <c r="N82" s="6">
        <f t="shared" si="22"/>
        <v>22</v>
      </c>
    </row>
    <row r="83" ht="12.75" customHeight="1">
      <c r="A83" s="18"/>
      <c r="B83" s="54">
        <v>2.0</v>
      </c>
      <c r="C83" s="55" t="s">
        <v>71</v>
      </c>
      <c r="D83" s="56"/>
      <c r="E83" s="13">
        <v>0.0</v>
      </c>
      <c r="F83" s="13">
        <v>0.0</v>
      </c>
      <c r="G83" s="13">
        <v>0.0</v>
      </c>
      <c r="H83" s="13">
        <v>0.0</v>
      </c>
      <c r="I83" s="13">
        <v>0.0</v>
      </c>
      <c r="J83" s="13">
        <v>0.0</v>
      </c>
      <c r="K83" s="13">
        <v>0.0</v>
      </c>
      <c r="L83" s="13">
        <v>0.0</v>
      </c>
      <c r="M83" s="13">
        <v>0.0</v>
      </c>
      <c r="N83" s="6">
        <f t="shared" si="22"/>
        <v>0</v>
      </c>
    </row>
    <row r="84" ht="12.75" customHeight="1">
      <c r="A84" s="18"/>
      <c r="B84" s="54">
        <v>3.0</v>
      </c>
      <c r="C84" s="55" t="s">
        <v>72</v>
      </c>
      <c r="D84" s="56"/>
      <c r="E84" s="13">
        <v>0.0</v>
      </c>
      <c r="F84" s="13">
        <v>0.0</v>
      </c>
      <c r="G84" s="13">
        <v>1.0</v>
      </c>
      <c r="H84" s="13">
        <v>0.0</v>
      </c>
      <c r="I84" s="13">
        <v>0.0</v>
      </c>
      <c r="J84" s="13">
        <v>0.0</v>
      </c>
      <c r="K84" s="13">
        <v>0.0</v>
      </c>
      <c r="L84" s="13">
        <v>0.0</v>
      </c>
      <c r="M84" s="13">
        <v>2.0</v>
      </c>
      <c r="N84" s="6">
        <f t="shared" si="22"/>
        <v>3</v>
      </c>
    </row>
    <row r="85" ht="12.75" customHeight="1">
      <c r="A85" s="18"/>
      <c r="B85" s="54">
        <v>4.0</v>
      </c>
      <c r="C85" s="55" t="s">
        <v>73</v>
      </c>
      <c r="D85" s="56"/>
      <c r="E85" s="13">
        <v>0.0</v>
      </c>
      <c r="F85" s="13">
        <v>0.0</v>
      </c>
      <c r="G85" s="13">
        <v>0.0</v>
      </c>
      <c r="H85" s="13">
        <v>0.0</v>
      </c>
      <c r="I85" s="13">
        <v>0.0</v>
      </c>
      <c r="J85" s="13">
        <v>0.0</v>
      </c>
      <c r="K85" s="13">
        <v>0.0</v>
      </c>
      <c r="L85" s="13">
        <v>0.0</v>
      </c>
      <c r="M85" s="13">
        <v>0.0</v>
      </c>
      <c r="N85" s="6">
        <f t="shared" si="22"/>
        <v>0</v>
      </c>
    </row>
    <row r="86" ht="12.75" customHeight="1">
      <c r="A86" s="18"/>
      <c r="B86" s="54">
        <v>5.0</v>
      </c>
      <c r="C86" s="55" t="s">
        <v>74</v>
      </c>
      <c r="D86" s="56"/>
      <c r="E86" s="13">
        <v>0.0</v>
      </c>
      <c r="F86" s="13">
        <v>0.0</v>
      </c>
      <c r="G86" s="13">
        <v>0.0</v>
      </c>
      <c r="H86" s="13">
        <v>0.0</v>
      </c>
      <c r="I86" s="13">
        <v>2.0</v>
      </c>
      <c r="J86" s="13">
        <v>1.0</v>
      </c>
      <c r="K86" s="13">
        <v>1.0</v>
      </c>
      <c r="L86" s="13">
        <v>0.0</v>
      </c>
      <c r="M86" s="13">
        <v>0.0</v>
      </c>
      <c r="N86" s="6">
        <f t="shared" si="22"/>
        <v>4</v>
      </c>
    </row>
    <row r="87" ht="12.75" customHeight="1">
      <c r="A87" s="18"/>
      <c r="B87" s="54">
        <v>6.0</v>
      </c>
      <c r="C87" s="55" t="s">
        <v>75</v>
      </c>
      <c r="D87" s="56"/>
      <c r="E87" s="13">
        <v>4.0</v>
      </c>
      <c r="F87" s="13">
        <v>19.0</v>
      </c>
      <c r="G87" s="13">
        <v>32.0</v>
      </c>
      <c r="H87" s="13">
        <v>7.0</v>
      </c>
      <c r="I87" s="13">
        <v>0.0</v>
      </c>
      <c r="J87" s="13">
        <v>0.0</v>
      </c>
      <c r="K87" s="13">
        <v>24.0</v>
      </c>
      <c r="L87" s="13">
        <v>6.0</v>
      </c>
      <c r="M87" s="13">
        <v>2.0</v>
      </c>
      <c r="N87" s="6">
        <f t="shared" si="22"/>
        <v>94</v>
      </c>
    </row>
    <row r="88" ht="12.75" customHeight="1">
      <c r="A88" s="13" t="s">
        <v>15</v>
      </c>
      <c r="B88" s="51" t="s">
        <v>46</v>
      </c>
      <c r="C88" s="8"/>
      <c r="D88" s="9"/>
      <c r="E88" s="57">
        <f t="shared" ref="E88:M88" si="23">SUM(E81:E87)</f>
        <v>15</v>
      </c>
      <c r="F88" s="57">
        <f t="shared" si="23"/>
        <v>28</v>
      </c>
      <c r="G88" s="57">
        <f t="shared" si="23"/>
        <v>37</v>
      </c>
      <c r="H88" s="57">
        <f t="shared" si="23"/>
        <v>8</v>
      </c>
      <c r="I88" s="57">
        <f t="shared" si="23"/>
        <v>2</v>
      </c>
      <c r="J88" s="57">
        <f t="shared" si="23"/>
        <v>2</v>
      </c>
      <c r="K88" s="57">
        <f t="shared" si="23"/>
        <v>27</v>
      </c>
      <c r="L88" s="57">
        <f t="shared" si="23"/>
        <v>8</v>
      </c>
      <c r="M88" s="57">
        <f t="shared" si="23"/>
        <v>5</v>
      </c>
      <c r="N88" s="6">
        <f t="shared" si="22"/>
        <v>132</v>
      </c>
    </row>
    <row r="89" ht="12.75" customHeight="1">
      <c r="A89" s="68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"/>
    </row>
    <row r="90" ht="12.75" customHeight="1">
      <c r="A90" s="33" t="s">
        <v>37</v>
      </c>
      <c r="B90" s="51" t="s">
        <v>76</v>
      </c>
      <c r="C90" s="52" t="s">
        <v>77</v>
      </c>
      <c r="D90" s="9"/>
      <c r="E90" s="13">
        <v>0.0</v>
      </c>
      <c r="F90" s="13">
        <v>0.0</v>
      </c>
      <c r="G90" s="13">
        <v>0.0</v>
      </c>
      <c r="H90" s="13">
        <v>1.0</v>
      </c>
      <c r="I90" s="13">
        <v>1.0</v>
      </c>
      <c r="J90" s="13">
        <v>1.0</v>
      </c>
      <c r="K90" s="13">
        <v>1.0</v>
      </c>
      <c r="L90" s="13">
        <v>0.0</v>
      </c>
      <c r="M90" s="13">
        <v>1.0</v>
      </c>
      <c r="N90" s="6">
        <f t="shared" ref="N90:N92" si="24">SUM(E90:M90)</f>
        <v>5</v>
      </c>
    </row>
    <row r="91" ht="12.75" customHeight="1">
      <c r="A91" s="33" t="s">
        <v>39</v>
      </c>
      <c r="B91" s="54"/>
      <c r="C91" s="55" t="s">
        <v>78</v>
      </c>
      <c r="D91" s="9"/>
      <c r="E91" s="13"/>
      <c r="F91" s="13"/>
      <c r="G91" s="13"/>
      <c r="H91" s="13"/>
      <c r="I91" s="13"/>
      <c r="J91" s="13"/>
      <c r="K91" s="13"/>
      <c r="L91" s="13"/>
      <c r="M91" s="13"/>
      <c r="N91" s="6">
        <f t="shared" si="24"/>
        <v>0</v>
      </c>
    </row>
    <row r="92" ht="12.75" customHeight="1">
      <c r="A92" s="13" t="s">
        <v>15</v>
      </c>
      <c r="B92" s="51" t="s">
        <v>46</v>
      </c>
      <c r="C92" s="8"/>
      <c r="D92" s="9"/>
      <c r="E92" s="57">
        <f t="shared" ref="E92:M92" si="25">SUM(E90:E91)</f>
        <v>0</v>
      </c>
      <c r="F92" s="57">
        <f t="shared" si="25"/>
        <v>0</v>
      </c>
      <c r="G92" s="57">
        <f t="shared" si="25"/>
        <v>0</v>
      </c>
      <c r="H92" s="57">
        <f t="shared" si="25"/>
        <v>1</v>
      </c>
      <c r="I92" s="57">
        <f t="shared" si="25"/>
        <v>1</v>
      </c>
      <c r="J92" s="57">
        <f t="shared" si="25"/>
        <v>1</v>
      </c>
      <c r="K92" s="57">
        <f t="shared" si="25"/>
        <v>1</v>
      </c>
      <c r="L92" s="57">
        <f t="shared" si="25"/>
        <v>0</v>
      </c>
      <c r="M92" s="57">
        <f t="shared" si="25"/>
        <v>1</v>
      </c>
      <c r="N92" s="6">
        <f t="shared" si="24"/>
        <v>5</v>
      </c>
    </row>
    <row r="93" ht="12.75" customHeight="1">
      <c r="A93" s="68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"/>
    </row>
    <row r="94" ht="12.75" customHeight="1">
      <c r="A94" s="33" t="s">
        <v>37</v>
      </c>
      <c r="B94" s="51" t="s">
        <v>79</v>
      </c>
      <c r="C94" s="52" t="s">
        <v>80</v>
      </c>
      <c r="D94" s="9"/>
      <c r="E94" s="13">
        <v>0.0</v>
      </c>
      <c r="F94" s="13">
        <v>2.0</v>
      </c>
      <c r="G94" s="13">
        <v>0.0</v>
      </c>
      <c r="H94" s="13">
        <v>0.0</v>
      </c>
      <c r="I94" s="13">
        <v>1.0</v>
      </c>
      <c r="J94" s="13">
        <v>1.0</v>
      </c>
      <c r="K94" s="13">
        <v>0.0</v>
      </c>
      <c r="L94" s="13">
        <v>1.0</v>
      </c>
      <c r="M94" s="13">
        <v>0.0</v>
      </c>
      <c r="N94" s="6">
        <f t="shared" ref="N94:N99" si="26">SUM(E94:M94)</f>
        <v>5</v>
      </c>
    </row>
    <row r="95" ht="12.75" customHeight="1">
      <c r="A95" s="33" t="s">
        <v>39</v>
      </c>
      <c r="B95" s="54">
        <v>1.0</v>
      </c>
      <c r="C95" s="55" t="s">
        <v>81</v>
      </c>
      <c r="D95" s="56"/>
      <c r="E95" s="13">
        <v>0.0</v>
      </c>
      <c r="F95" s="13">
        <v>0.0</v>
      </c>
      <c r="G95" s="13">
        <v>0.0</v>
      </c>
      <c r="H95" s="13">
        <v>0.0</v>
      </c>
      <c r="I95" s="13">
        <v>0.0</v>
      </c>
      <c r="J95" s="13">
        <v>0.0</v>
      </c>
      <c r="K95" s="13">
        <v>0.0</v>
      </c>
      <c r="L95" s="13">
        <v>0.0</v>
      </c>
      <c r="M95" s="13">
        <v>1.0</v>
      </c>
      <c r="N95" s="6">
        <f t="shared" si="26"/>
        <v>1</v>
      </c>
    </row>
    <row r="96" ht="12.75" customHeight="1">
      <c r="A96" s="33"/>
      <c r="B96" s="54">
        <v>2.0</v>
      </c>
      <c r="C96" s="55" t="s">
        <v>82</v>
      </c>
      <c r="D96" s="56"/>
      <c r="E96" s="13">
        <v>0.0</v>
      </c>
      <c r="F96" s="13">
        <v>0.0</v>
      </c>
      <c r="G96" s="13">
        <v>0.0</v>
      </c>
      <c r="H96" s="13">
        <v>0.0</v>
      </c>
      <c r="I96" s="13">
        <v>1.0</v>
      </c>
      <c r="J96" s="13">
        <v>0.0</v>
      </c>
      <c r="K96" s="13">
        <v>0.0</v>
      </c>
      <c r="L96" s="13">
        <v>0.0</v>
      </c>
      <c r="M96" s="13">
        <v>0.0</v>
      </c>
      <c r="N96" s="6">
        <f t="shared" si="26"/>
        <v>1</v>
      </c>
    </row>
    <row r="97" ht="12.75" customHeight="1">
      <c r="A97" s="33"/>
      <c r="B97" s="54">
        <v>3.0</v>
      </c>
      <c r="C97" s="55" t="s">
        <v>83</v>
      </c>
      <c r="D97" s="56"/>
      <c r="E97" s="13">
        <v>0.0</v>
      </c>
      <c r="F97" s="13">
        <v>0.0</v>
      </c>
      <c r="G97" s="13">
        <v>0.0</v>
      </c>
      <c r="H97" s="13">
        <v>0.0</v>
      </c>
      <c r="I97" s="13">
        <v>0.0</v>
      </c>
      <c r="J97" s="13">
        <v>0.0</v>
      </c>
      <c r="K97" s="13">
        <v>0.0</v>
      </c>
      <c r="L97" s="13">
        <v>0.0</v>
      </c>
      <c r="M97" s="13">
        <v>0.0</v>
      </c>
      <c r="N97" s="6">
        <f t="shared" si="26"/>
        <v>0</v>
      </c>
    </row>
    <row r="98" ht="12.75" customHeight="1">
      <c r="A98" s="33"/>
      <c r="B98" s="54">
        <v>4.0</v>
      </c>
      <c r="C98" s="55" t="s">
        <v>84</v>
      </c>
      <c r="D98" s="56"/>
      <c r="E98" s="13">
        <v>0.0</v>
      </c>
      <c r="F98" s="13">
        <v>0.0</v>
      </c>
      <c r="G98" s="13">
        <v>0.0</v>
      </c>
      <c r="H98" s="13">
        <v>0.0</v>
      </c>
      <c r="I98" s="13">
        <v>0.0</v>
      </c>
      <c r="J98" s="13">
        <v>0.0</v>
      </c>
      <c r="K98" s="13">
        <v>0.0</v>
      </c>
      <c r="L98" s="13">
        <v>0.0</v>
      </c>
      <c r="M98" s="13">
        <v>0.0</v>
      </c>
      <c r="N98" s="6">
        <f t="shared" si="26"/>
        <v>0</v>
      </c>
    </row>
    <row r="99" ht="12.75" customHeight="1">
      <c r="A99" s="13" t="s">
        <v>15</v>
      </c>
      <c r="B99" s="51" t="s">
        <v>46</v>
      </c>
      <c r="C99" s="8"/>
      <c r="D99" s="9"/>
      <c r="E99" s="57">
        <f t="shared" ref="E99:M99" si="27">SUM(E94:E98)</f>
        <v>0</v>
      </c>
      <c r="F99" s="57">
        <f t="shared" si="27"/>
        <v>2</v>
      </c>
      <c r="G99" s="57">
        <f t="shared" si="27"/>
        <v>0</v>
      </c>
      <c r="H99" s="57">
        <f t="shared" si="27"/>
        <v>0</v>
      </c>
      <c r="I99" s="57">
        <f t="shared" si="27"/>
        <v>2</v>
      </c>
      <c r="J99" s="57">
        <f t="shared" si="27"/>
        <v>1</v>
      </c>
      <c r="K99" s="57">
        <f t="shared" si="27"/>
        <v>0</v>
      </c>
      <c r="L99" s="57">
        <f t="shared" si="27"/>
        <v>1</v>
      </c>
      <c r="M99" s="57">
        <f t="shared" si="27"/>
        <v>1</v>
      </c>
      <c r="N99" s="6">
        <f t="shared" si="26"/>
        <v>7</v>
      </c>
    </row>
    <row r="100" ht="12.75" customHeight="1">
      <c r="A100" s="68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"/>
    </row>
    <row r="101" ht="12.75" customHeight="1">
      <c r="A101" s="33" t="s">
        <v>37</v>
      </c>
      <c r="B101" s="51" t="s">
        <v>85</v>
      </c>
      <c r="C101" s="52" t="s">
        <v>86</v>
      </c>
      <c r="D101" s="9"/>
      <c r="E101" s="13">
        <v>0.0</v>
      </c>
      <c r="F101" s="13">
        <v>2.0</v>
      </c>
      <c r="G101" s="13">
        <v>0.0</v>
      </c>
      <c r="H101" s="13">
        <v>0.0</v>
      </c>
      <c r="I101" s="13">
        <v>2.0</v>
      </c>
      <c r="J101" s="13">
        <v>0.0</v>
      </c>
      <c r="K101" s="13">
        <v>1.0</v>
      </c>
      <c r="L101" s="13">
        <v>2.0</v>
      </c>
      <c r="M101" s="13">
        <v>6.0</v>
      </c>
      <c r="N101" s="6">
        <f t="shared" ref="N101:N108" si="28">SUM(E101:M101)</f>
        <v>13</v>
      </c>
    </row>
    <row r="102" ht="12.75" customHeight="1">
      <c r="A102" s="33" t="s">
        <v>39</v>
      </c>
      <c r="B102" s="54">
        <v>1.0</v>
      </c>
      <c r="C102" s="55" t="s">
        <v>87</v>
      </c>
      <c r="D102" s="56"/>
      <c r="E102" s="13">
        <v>0.0</v>
      </c>
      <c r="F102" s="13">
        <v>0.0</v>
      </c>
      <c r="G102" s="13">
        <v>2.0</v>
      </c>
      <c r="H102" s="13">
        <v>0.0</v>
      </c>
      <c r="I102" s="13">
        <v>4.0</v>
      </c>
      <c r="J102" s="13">
        <v>0.0</v>
      </c>
      <c r="K102" s="13">
        <v>0.0</v>
      </c>
      <c r="L102" s="13">
        <v>0.0</v>
      </c>
      <c r="M102" s="13">
        <v>11.0</v>
      </c>
      <c r="N102" s="6">
        <f t="shared" si="28"/>
        <v>17</v>
      </c>
    </row>
    <row r="103" ht="12.75" customHeight="1">
      <c r="A103" s="18"/>
      <c r="B103" s="54">
        <v>2.0</v>
      </c>
      <c r="C103" s="55" t="s">
        <v>88</v>
      </c>
      <c r="D103" s="56"/>
      <c r="E103" s="13">
        <v>0.0</v>
      </c>
      <c r="F103" s="13">
        <v>0.0</v>
      </c>
      <c r="G103" s="13">
        <v>0.0</v>
      </c>
      <c r="H103" s="13">
        <v>0.0</v>
      </c>
      <c r="I103" s="13">
        <v>0.0</v>
      </c>
      <c r="J103" s="13">
        <v>0.0</v>
      </c>
      <c r="K103" s="13">
        <v>1.0</v>
      </c>
      <c r="L103" s="13">
        <v>0.0</v>
      </c>
      <c r="M103" s="13">
        <v>0.0</v>
      </c>
      <c r="N103" s="6">
        <f t="shared" si="28"/>
        <v>1</v>
      </c>
    </row>
    <row r="104" ht="12.75" customHeight="1">
      <c r="A104" s="18"/>
      <c r="B104" s="54">
        <v>3.0</v>
      </c>
      <c r="C104" s="55" t="s">
        <v>89</v>
      </c>
      <c r="D104" s="56"/>
      <c r="E104" s="13">
        <v>0.0</v>
      </c>
      <c r="F104" s="13">
        <v>0.0</v>
      </c>
      <c r="G104" s="13">
        <v>0.0</v>
      </c>
      <c r="H104" s="13">
        <v>0.0</v>
      </c>
      <c r="I104" s="13">
        <v>0.0</v>
      </c>
      <c r="J104" s="13">
        <v>0.0</v>
      </c>
      <c r="K104" s="13">
        <v>0.0</v>
      </c>
      <c r="L104" s="13">
        <v>0.0</v>
      </c>
      <c r="M104" s="13">
        <v>0.0</v>
      </c>
      <c r="N104" s="6">
        <f t="shared" si="28"/>
        <v>0</v>
      </c>
    </row>
    <row r="105" ht="12.75" customHeight="1">
      <c r="A105" s="18"/>
      <c r="B105" s="54">
        <v>4.0</v>
      </c>
      <c r="C105" s="55" t="s">
        <v>90</v>
      </c>
      <c r="D105" s="56"/>
      <c r="E105" s="13">
        <v>0.0</v>
      </c>
      <c r="F105" s="13">
        <v>0.0</v>
      </c>
      <c r="G105" s="13">
        <v>0.0</v>
      </c>
      <c r="H105" s="13">
        <v>0.0</v>
      </c>
      <c r="I105" s="13">
        <v>0.0</v>
      </c>
      <c r="J105" s="13">
        <v>0.0</v>
      </c>
      <c r="K105" s="13">
        <v>0.0</v>
      </c>
      <c r="L105" s="13">
        <v>0.0</v>
      </c>
      <c r="M105" s="13">
        <v>0.0</v>
      </c>
      <c r="N105" s="6">
        <f t="shared" si="28"/>
        <v>0</v>
      </c>
    </row>
    <row r="106" ht="12.75" customHeight="1">
      <c r="A106" s="18"/>
      <c r="B106" s="54">
        <v>5.0</v>
      </c>
      <c r="C106" s="55" t="s">
        <v>91</v>
      </c>
      <c r="D106" s="56"/>
      <c r="E106" s="13">
        <v>0.0</v>
      </c>
      <c r="F106" s="13">
        <v>0.0</v>
      </c>
      <c r="G106" s="13">
        <v>0.0</v>
      </c>
      <c r="H106" s="13">
        <v>0.0</v>
      </c>
      <c r="I106" s="13">
        <v>0.0</v>
      </c>
      <c r="J106" s="13">
        <v>0.0</v>
      </c>
      <c r="K106" s="13">
        <v>0.0</v>
      </c>
      <c r="L106" s="13">
        <v>0.0</v>
      </c>
      <c r="M106" s="13">
        <v>1.0</v>
      </c>
      <c r="N106" s="6">
        <f t="shared" si="28"/>
        <v>1</v>
      </c>
    </row>
    <row r="107" ht="12.75" customHeight="1">
      <c r="A107" s="18"/>
      <c r="B107" s="54">
        <v>6.0</v>
      </c>
      <c r="C107" s="55" t="s">
        <v>92</v>
      </c>
      <c r="D107" s="56"/>
      <c r="E107" s="13">
        <v>1.0</v>
      </c>
      <c r="F107" s="13">
        <v>1.0</v>
      </c>
      <c r="G107" s="13">
        <v>4.0</v>
      </c>
      <c r="H107" s="13">
        <v>1.0</v>
      </c>
      <c r="I107" s="13">
        <v>0.0</v>
      </c>
      <c r="J107" s="13">
        <v>0.0</v>
      </c>
      <c r="K107" s="13">
        <v>1.0</v>
      </c>
      <c r="L107" s="13">
        <v>0.0</v>
      </c>
      <c r="M107" s="13">
        <v>3.0</v>
      </c>
      <c r="N107" s="6">
        <f t="shared" si="28"/>
        <v>11</v>
      </c>
    </row>
    <row r="108" ht="12.75" customHeight="1">
      <c r="A108" s="13" t="s">
        <v>15</v>
      </c>
      <c r="B108" s="51" t="s">
        <v>46</v>
      </c>
      <c r="C108" s="8"/>
      <c r="D108" s="9"/>
      <c r="E108" s="57">
        <f t="shared" ref="E108:M108" si="29">SUM(E101:E107)</f>
        <v>1</v>
      </c>
      <c r="F108" s="57">
        <f t="shared" si="29"/>
        <v>3</v>
      </c>
      <c r="G108" s="57">
        <f t="shared" si="29"/>
        <v>6</v>
      </c>
      <c r="H108" s="57">
        <f t="shared" si="29"/>
        <v>1</v>
      </c>
      <c r="I108" s="57">
        <f t="shared" si="29"/>
        <v>6</v>
      </c>
      <c r="J108" s="57">
        <f t="shared" si="29"/>
        <v>0</v>
      </c>
      <c r="K108" s="57">
        <f t="shared" si="29"/>
        <v>3</v>
      </c>
      <c r="L108" s="57">
        <f t="shared" si="29"/>
        <v>2</v>
      </c>
      <c r="M108" s="57">
        <f t="shared" si="29"/>
        <v>21</v>
      </c>
      <c r="N108" s="6">
        <f t="shared" si="28"/>
        <v>43</v>
      </c>
    </row>
    <row r="109" ht="12.75" customHeight="1">
      <c r="A109" s="68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"/>
    </row>
    <row r="110" ht="12.75" customHeight="1">
      <c r="A110" s="33" t="s">
        <v>37</v>
      </c>
      <c r="B110" s="51" t="s">
        <v>93</v>
      </c>
      <c r="C110" s="52" t="s">
        <v>94</v>
      </c>
      <c r="D110" s="9"/>
      <c r="E110" s="13">
        <v>0.0</v>
      </c>
      <c r="F110" s="13">
        <v>0.0</v>
      </c>
      <c r="G110" s="13">
        <v>0.0</v>
      </c>
      <c r="H110" s="13">
        <v>0.0</v>
      </c>
      <c r="I110" s="13">
        <v>0.0</v>
      </c>
      <c r="J110" s="13">
        <v>0.0</v>
      </c>
      <c r="K110" s="13">
        <v>0.0</v>
      </c>
      <c r="L110" s="13">
        <v>0.0</v>
      </c>
      <c r="M110" s="13">
        <v>0.0</v>
      </c>
      <c r="N110" s="6">
        <f t="shared" ref="N110:N114" si="30">SUM(E110:M110)</f>
        <v>0</v>
      </c>
    </row>
    <row r="111" ht="12.75" customHeight="1">
      <c r="A111" s="33"/>
      <c r="B111" s="54">
        <v>1.0</v>
      </c>
      <c r="C111" s="55" t="s">
        <v>95</v>
      </c>
      <c r="D111" s="63"/>
      <c r="E111" s="13">
        <v>0.0</v>
      </c>
      <c r="F111" s="13">
        <v>0.0</v>
      </c>
      <c r="G111" s="13">
        <v>0.0</v>
      </c>
      <c r="H111" s="13">
        <v>0.0</v>
      </c>
      <c r="I111" s="13">
        <v>0.0</v>
      </c>
      <c r="J111" s="13">
        <v>0.0</v>
      </c>
      <c r="K111" s="13">
        <v>0.0</v>
      </c>
      <c r="L111" s="13">
        <v>1.0</v>
      </c>
      <c r="M111" s="13">
        <v>0.0</v>
      </c>
      <c r="N111" s="6">
        <f t="shared" si="30"/>
        <v>1</v>
      </c>
    </row>
    <row r="112" ht="12.75" customHeight="1">
      <c r="A112" s="33"/>
      <c r="B112" s="54">
        <v>2.0</v>
      </c>
      <c r="C112" s="55" t="s">
        <v>96</v>
      </c>
      <c r="D112" s="63"/>
      <c r="E112" s="13">
        <v>0.0</v>
      </c>
      <c r="F112" s="13">
        <v>0.0</v>
      </c>
      <c r="G112" s="13">
        <v>0.0</v>
      </c>
      <c r="H112" s="13">
        <v>0.0</v>
      </c>
      <c r="I112" s="13">
        <v>0.0</v>
      </c>
      <c r="J112" s="13">
        <v>0.0</v>
      </c>
      <c r="K112" s="13">
        <v>0.0</v>
      </c>
      <c r="L112" s="13">
        <v>0.0</v>
      </c>
      <c r="M112" s="13">
        <v>0.0</v>
      </c>
      <c r="N112" s="6">
        <f t="shared" si="30"/>
        <v>0</v>
      </c>
    </row>
    <row r="113" ht="12.75" customHeight="1">
      <c r="A113" s="33"/>
      <c r="B113" s="54">
        <v>3.0</v>
      </c>
      <c r="C113" s="55" t="s">
        <v>97</v>
      </c>
      <c r="D113" s="63"/>
      <c r="E113" s="13">
        <v>0.0</v>
      </c>
      <c r="F113" s="13">
        <v>0.0</v>
      </c>
      <c r="G113" s="13">
        <v>0.0</v>
      </c>
      <c r="H113" s="13">
        <v>0.0</v>
      </c>
      <c r="I113" s="13">
        <v>0.0</v>
      </c>
      <c r="J113" s="13">
        <v>0.0</v>
      </c>
      <c r="K113" s="13">
        <v>0.0</v>
      </c>
      <c r="L113" s="13">
        <v>0.0</v>
      </c>
      <c r="M113" s="13">
        <v>0.0</v>
      </c>
      <c r="N113" s="6">
        <f t="shared" si="30"/>
        <v>0</v>
      </c>
    </row>
    <row r="114" ht="12.75" customHeight="1">
      <c r="A114" s="13" t="s">
        <v>15</v>
      </c>
      <c r="B114" s="51" t="s">
        <v>46</v>
      </c>
      <c r="C114" s="8"/>
      <c r="D114" s="9"/>
      <c r="E114" s="57">
        <f t="shared" ref="E114:M114" si="31">SUM(E110:E113)</f>
        <v>0</v>
      </c>
      <c r="F114" s="57">
        <f t="shared" si="31"/>
        <v>0</v>
      </c>
      <c r="G114" s="57">
        <f t="shared" si="31"/>
        <v>0</v>
      </c>
      <c r="H114" s="57">
        <f t="shared" si="31"/>
        <v>0</v>
      </c>
      <c r="I114" s="57">
        <f t="shared" si="31"/>
        <v>0</v>
      </c>
      <c r="J114" s="57">
        <f t="shared" si="31"/>
        <v>0</v>
      </c>
      <c r="K114" s="57">
        <f t="shared" si="31"/>
        <v>0</v>
      </c>
      <c r="L114" s="57">
        <f t="shared" si="31"/>
        <v>1</v>
      </c>
      <c r="M114" s="57">
        <f t="shared" si="31"/>
        <v>0</v>
      </c>
      <c r="N114" s="6">
        <f t="shared" si="30"/>
        <v>1</v>
      </c>
    </row>
    <row r="115" ht="12.75" customHeight="1">
      <c r="A115" s="68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"/>
    </row>
    <row r="116" ht="12.75" customHeight="1">
      <c r="A116" s="33" t="s">
        <v>37</v>
      </c>
      <c r="B116" s="51" t="s">
        <v>98</v>
      </c>
      <c r="C116" s="52" t="s">
        <v>99</v>
      </c>
      <c r="D116" s="9"/>
      <c r="E116" s="13">
        <v>0.0</v>
      </c>
      <c r="F116" s="13">
        <v>0.0</v>
      </c>
      <c r="G116" s="13">
        <v>1.0</v>
      </c>
      <c r="H116" s="13">
        <v>0.0</v>
      </c>
      <c r="I116" s="13">
        <v>0.0</v>
      </c>
      <c r="J116" s="13">
        <v>0.0</v>
      </c>
      <c r="K116" s="13">
        <v>0.0</v>
      </c>
      <c r="L116" s="13">
        <v>0.0</v>
      </c>
      <c r="M116" s="13">
        <v>0.0</v>
      </c>
      <c r="N116" s="6">
        <f t="shared" ref="N116:N123" si="32">SUM(E116:M116)</f>
        <v>1</v>
      </c>
    </row>
    <row r="117" ht="12.75" customHeight="1">
      <c r="A117" s="33" t="s">
        <v>39</v>
      </c>
      <c r="B117" s="54">
        <v>1.0</v>
      </c>
      <c r="C117" s="55" t="s">
        <v>100</v>
      </c>
      <c r="D117" s="56"/>
      <c r="E117" s="13">
        <v>0.0</v>
      </c>
      <c r="F117" s="13">
        <v>0.0</v>
      </c>
      <c r="G117" s="13">
        <v>0.0</v>
      </c>
      <c r="H117" s="13">
        <v>0.0</v>
      </c>
      <c r="I117" s="13">
        <v>0.0</v>
      </c>
      <c r="J117" s="13">
        <v>0.0</v>
      </c>
      <c r="K117" s="13">
        <v>0.0</v>
      </c>
      <c r="L117" s="13">
        <v>0.0</v>
      </c>
      <c r="M117" s="13">
        <v>5.0</v>
      </c>
      <c r="N117" s="6">
        <f t="shared" si="32"/>
        <v>5</v>
      </c>
    </row>
    <row r="118" ht="12.75" customHeight="1">
      <c r="A118" s="18"/>
      <c r="B118" s="54">
        <v>2.0</v>
      </c>
      <c r="C118" s="55" t="s">
        <v>101</v>
      </c>
      <c r="D118" s="56"/>
      <c r="E118" s="13">
        <v>2.0</v>
      </c>
      <c r="F118" s="13">
        <v>0.0</v>
      </c>
      <c r="G118" s="13">
        <v>1.0</v>
      </c>
      <c r="H118" s="13">
        <v>6.0</v>
      </c>
      <c r="I118" s="13">
        <v>30.0</v>
      </c>
      <c r="J118" s="13">
        <v>0.0</v>
      </c>
      <c r="K118" s="13">
        <v>2.0</v>
      </c>
      <c r="L118" s="13">
        <v>0.0</v>
      </c>
      <c r="M118" s="13">
        <v>2.0</v>
      </c>
      <c r="N118" s="6">
        <f t="shared" si="32"/>
        <v>43</v>
      </c>
    </row>
    <row r="119" ht="12.75" customHeight="1">
      <c r="A119" s="18"/>
      <c r="B119" s="54">
        <v>3.0</v>
      </c>
      <c r="C119" s="55" t="s">
        <v>102</v>
      </c>
      <c r="D119" s="56"/>
      <c r="E119" s="13">
        <v>0.0</v>
      </c>
      <c r="F119" s="13">
        <v>0.0</v>
      </c>
      <c r="G119" s="13">
        <v>0.0</v>
      </c>
      <c r="H119" s="13">
        <v>0.0</v>
      </c>
      <c r="I119" s="13">
        <v>0.0</v>
      </c>
      <c r="J119" s="13">
        <v>0.0</v>
      </c>
      <c r="K119" s="13">
        <v>0.0</v>
      </c>
      <c r="L119" s="13">
        <v>0.0</v>
      </c>
      <c r="M119" s="13">
        <v>0.0</v>
      </c>
      <c r="N119" s="6">
        <f t="shared" si="32"/>
        <v>0</v>
      </c>
    </row>
    <row r="120" ht="12.75" customHeight="1">
      <c r="A120" s="18"/>
      <c r="B120" s="54">
        <v>4.0</v>
      </c>
      <c r="C120" s="55" t="s">
        <v>103</v>
      </c>
      <c r="D120" s="56"/>
      <c r="E120" s="13">
        <v>0.0</v>
      </c>
      <c r="F120" s="13">
        <v>0.0</v>
      </c>
      <c r="G120" s="13">
        <v>1.0</v>
      </c>
      <c r="H120" s="13">
        <v>0.0</v>
      </c>
      <c r="I120" s="13">
        <v>0.0</v>
      </c>
      <c r="J120" s="13">
        <v>0.0</v>
      </c>
      <c r="K120" s="13">
        <v>0.0</v>
      </c>
      <c r="L120" s="13">
        <v>0.0</v>
      </c>
      <c r="M120" s="13">
        <v>0.0</v>
      </c>
      <c r="N120" s="6">
        <f t="shared" si="32"/>
        <v>1</v>
      </c>
    </row>
    <row r="121" ht="12.75" customHeight="1">
      <c r="A121" s="18"/>
      <c r="B121" s="54">
        <v>5.0</v>
      </c>
      <c r="C121" s="55" t="s">
        <v>104</v>
      </c>
      <c r="D121" s="56"/>
      <c r="E121" s="13">
        <v>0.0</v>
      </c>
      <c r="F121" s="13">
        <v>0.0</v>
      </c>
      <c r="G121" s="13">
        <v>0.0</v>
      </c>
      <c r="H121" s="13">
        <v>0.0</v>
      </c>
      <c r="I121" s="13">
        <v>0.0</v>
      </c>
      <c r="J121" s="13">
        <v>0.0</v>
      </c>
      <c r="K121" s="13">
        <v>0.0</v>
      </c>
      <c r="L121" s="13">
        <v>0.0</v>
      </c>
      <c r="M121" s="13">
        <v>0.0</v>
      </c>
      <c r="N121" s="6">
        <f t="shared" si="32"/>
        <v>0</v>
      </c>
    </row>
    <row r="122" ht="12.75" customHeight="1">
      <c r="A122" s="18"/>
      <c r="B122" s="54">
        <v>6.0</v>
      </c>
      <c r="C122" s="55" t="s">
        <v>105</v>
      </c>
      <c r="D122" s="56"/>
      <c r="E122" s="13">
        <v>0.0</v>
      </c>
      <c r="F122" s="13">
        <v>0.0</v>
      </c>
      <c r="G122" s="13">
        <v>0.0</v>
      </c>
      <c r="H122" s="13">
        <v>0.0</v>
      </c>
      <c r="I122" s="13">
        <v>0.0</v>
      </c>
      <c r="J122" s="13">
        <v>0.0</v>
      </c>
      <c r="K122" s="13">
        <v>0.0</v>
      </c>
      <c r="L122" s="13">
        <v>0.0</v>
      </c>
      <c r="M122" s="13">
        <v>0.0</v>
      </c>
      <c r="N122" s="6">
        <f t="shared" si="32"/>
        <v>0</v>
      </c>
    </row>
    <row r="123" ht="12.75" customHeight="1">
      <c r="A123" s="13" t="s">
        <v>15</v>
      </c>
      <c r="B123" s="51" t="s">
        <v>46</v>
      </c>
      <c r="C123" s="8"/>
      <c r="D123" s="9"/>
      <c r="E123" s="57">
        <f t="shared" ref="E123:M123" si="33">SUM(E116:E122)</f>
        <v>2</v>
      </c>
      <c r="F123" s="57">
        <f t="shared" si="33"/>
        <v>0</v>
      </c>
      <c r="G123" s="57">
        <f t="shared" si="33"/>
        <v>3</v>
      </c>
      <c r="H123" s="57">
        <f t="shared" si="33"/>
        <v>6</v>
      </c>
      <c r="I123" s="57">
        <f t="shared" si="33"/>
        <v>30</v>
      </c>
      <c r="J123" s="57">
        <f t="shared" si="33"/>
        <v>0</v>
      </c>
      <c r="K123" s="57">
        <f t="shared" si="33"/>
        <v>2</v>
      </c>
      <c r="L123" s="57">
        <f t="shared" si="33"/>
        <v>0</v>
      </c>
      <c r="M123" s="57">
        <f t="shared" si="33"/>
        <v>7</v>
      </c>
      <c r="N123" s="6">
        <f t="shared" si="32"/>
        <v>50</v>
      </c>
    </row>
    <row r="124" ht="12.75" customHeight="1">
      <c r="A124" s="68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"/>
    </row>
    <row r="125" ht="12.75" customHeight="1">
      <c r="A125" s="33" t="s">
        <v>37</v>
      </c>
      <c r="B125" s="51" t="s">
        <v>106</v>
      </c>
      <c r="C125" s="52" t="s">
        <v>107</v>
      </c>
      <c r="D125" s="9"/>
      <c r="E125" s="13">
        <v>0.0</v>
      </c>
      <c r="F125" s="13">
        <v>1.0</v>
      </c>
      <c r="G125" s="13">
        <v>0.0</v>
      </c>
      <c r="H125" s="13">
        <v>0.0</v>
      </c>
      <c r="I125" s="13">
        <v>0.0</v>
      </c>
      <c r="J125" s="13">
        <v>0.0</v>
      </c>
      <c r="K125" s="13">
        <v>0.0</v>
      </c>
      <c r="L125" s="13">
        <v>1.0</v>
      </c>
      <c r="M125" s="13">
        <v>0.0</v>
      </c>
      <c r="N125" s="6">
        <f t="shared" ref="N125:N127" si="34">SUM(E125:M125)</f>
        <v>2</v>
      </c>
    </row>
    <row r="126" ht="12.75" customHeight="1">
      <c r="A126" s="33" t="s">
        <v>39</v>
      </c>
      <c r="B126" s="54"/>
      <c r="C126" s="55" t="s">
        <v>78</v>
      </c>
      <c r="D126" s="56"/>
      <c r="E126" s="13"/>
      <c r="F126" s="13"/>
      <c r="G126" s="13"/>
      <c r="H126" s="13"/>
      <c r="I126" s="13"/>
      <c r="J126" s="13"/>
      <c r="K126" s="13"/>
      <c r="L126" s="13"/>
      <c r="M126" s="13"/>
      <c r="N126" s="6">
        <f t="shared" si="34"/>
        <v>0</v>
      </c>
    </row>
    <row r="127" ht="12.75" customHeight="1">
      <c r="A127" s="13" t="s">
        <v>15</v>
      </c>
      <c r="B127" s="51" t="s">
        <v>46</v>
      </c>
      <c r="C127" s="8"/>
      <c r="D127" s="9"/>
      <c r="E127" s="57">
        <f t="shared" ref="E127:M127" si="35">SUM(E125:E126)</f>
        <v>0</v>
      </c>
      <c r="F127" s="57">
        <f t="shared" si="35"/>
        <v>1</v>
      </c>
      <c r="G127" s="57">
        <f t="shared" si="35"/>
        <v>0</v>
      </c>
      <c r="H127" s="57">
        <f t="shared" si="35"/>
        <v>0</v>
      </c>
      <c r="I127" s="57">
        <f t="shared" si="35"/>
        <v>0</v>
      </c>
      <c r="J127" s="57">
        <f t="shared" si="35"/>
        <v>0</v>
      </c>
      <c r="K127" s="57">
        <f t="shared" si="35"/>
        <v>0</v>
      </c>
      <c r="L127" s="57">
        <f t="shared" si="35"/>
        <v>1</v>
      </c>
      <c r="M127" s="57">
        <f t="shared" si="35"/>
        <v>0</v>
      </c>
      <c r="N127" s="6">
        <f t="shared" si="34"/>
        <v>2</v>
      </c>
    </row>
    <row r="128" ht="12.75" customHeight="1">
      <c r="A128" s="68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"/>
    </row>
    <row r="129" ht="12.75" customHeight="1">
      <c r="A129" s="33" t="s">
        <v>37</v>
      </c>
      <c r="B129" s="51" t="s">
        <v>108</v>
      </c>
      <c r="C129" s="52" t="s">
        <v>109</v>
      </c>
      <c r="D129" s="9"/>
      <c r="E129" s="13">
        <v>3.0</v>
      </c>
      <c r="F129" s="13">
        <v>2.0</v>
      </c>
      <c r="G129" s="13">
        <v>2.0</v>
      </c>
      <c r="H129" s="13">
        <v>1.0</v>
      </c>
      <c r="I129" s="13">
        <v>2.0</v>
      </c>
      <c r="J129" s="13">
        <v>1.0</v>
      </c>
      <c r="K129" s="13">
        <v>1.0</v>
      </c>
      <c r="L129" s="13">
        <v>2.0</v>
      </c>
      <c r="M129" s="13">
        <v>12.0</v>
      </c>
      <c r="N129" s="6">
        <f t="shared" ref="N129:N136" si="36">SUM(E129:M129)</f>
        <v>26</v>
      </c>
    </row>
    <row r="130" ht="12.75" customHeight="1">
      <c r="A130" s="33" t="s">
        <v>39</v>
      </c>
      <c r="B130" s="54">
        <v>1.0</v>
      </c>
      <c r="C130" s="55" t="s">
        <v>110</v>
      </c>
      <c r="D130" s="56"/>
      <c r="E130" s="13">
        <v>1.0</v>
      </c>
      <c r="F130" s="13">
        <v>0.0</v>
      </c>
      <c r="G130" s="13">
        <v>0.0</v>
      </c>
      <c r="H130" s="13">
        <v>0.0</v>
      </c>
      <c r="I130" s="13">
        <v>0.0</v>
      </c>
      <c r="J130" s="13">
        <v>0.0</v>
      </c>
      <c r="K130" s="13">
        <v>0.0</v>
      </c>
      <c r="L130" s="13">
        <v>5.0</v>
      </c>
      <c r="M130" s="13">
        <v>19.0</v>
      </c>
      <c r="N130" s="6">
        <f t="shared" si="36"/>
        <v>25</v>
      </c>
    </row>
    <row r="131" ht="12.75" customHeight="1">
      <c r="A131" s="18"/>
      <c r="B131" s="54">
        <v>2.0</v>
      </c>
      <c r="C131" s="55" t="s">
        <v>111</v>
      </c>
      <c r="D131" s="56"/>
      <c r="E131" s="13">
        <v>0.0</v>
      </c>
      <c r="F131" s="13">
        <v>0.0</v>
      </c>
      <c r="G131" s="13">
        <v>0.0</v>
      </c>
      <c r="H131" s="13">
        <v>1.0</v>
      </c>
      <c r="I131" s="13">
        <v>0.0</v>
      </c>
      <c r="J131" s="13">
        <v>0.0</v>
      </c>
      <c r="K131" s="13">
        <v>0.0</v>
      </c>
      <c r="L131" s="13">
        <v>0.0</v>
      </c>
      <c r="M131" s="13">
        <v>1.0</v>
      </c>
      <c r="N131" s="6">
        <f t="shared" si="36"/>
        <v>2</v>
      </c>
    </row>
    <row r="132" ht="12.75" customHeight="1">
      <c r="A132" s="18"/>
      <c r="B132" s="54">
        <v>3.0</v>
      </c>
      <c r="C132" s="55" t="s">
        <v>112</v>
      </c>
      <c r="D132" s="56"/>
      <c r="E132" s="13">
        <v>0.0</v>
      </c>
      <c r="F132" s="13">
        <v>0.0</v>
      </c>
      <c r="G132" s="13">
        <v>0.0</v>
      </c>
      <c r="H132" s="13">
        <v>0.0</v>
      </c>
      <c r="I132" s="13">
        <v>1.0</v>
      </c>
      <c r="J132" s="13">
        <v>0.0</v>
      </c>
      <c r="K132" s="13">
        <v>0.0</v>
      </c>
      <c r="L132" s="13">
        <v>0.0</v>
      </c>
      <c r="M132" s="13">
        <v>0.0</v>
      </c>
      <c r="N132" s="6">
        <f t="shared" si="36"/>
        <v>1</v>
      </c>
    </row>
    <row r="133" ht="12.75" customHeight="1">
      <c r="A133" s="18"/>
      <c r="B133" s="54">
        <v>4.0</v>
      </c>
      <c r="C133" s="55" t="s">
        <v>113</v>
      </c>
      <c r="D133" s="56"/>
      <c r="E133" s="13">
        <v>0.0</v>
      </c>
      <c r="F133" s="13">
        <v>0.0</v>
      </c>
      <c r="G133" s="13">
        <v>1.0</v>
      </c>
      <c r="H133" s="13">
        <v>0.0</v>
      </c>
      <c r="I133" s="13">
        <v>1.0</v>
      </c>
      <c r="J133" s="13">
        <v>0.0</v>
      </c>
      <c r="K133" s="13">
        <v>0.0</v>
      </c>
      <c r="L133" s="13">
        <v>1.0</v>
      </c>
      <c r="M133" s="13">
        <v>1.0</v>
      </c>
      <c r="N133" s="6">
        <f t="shared" si="36"/>
        <v>4</v>
      </c>
    </row>
    <row r="134" ht="12.75" customHeight="1">
      <c r="A134" s="18"/>
      <c r="B134" s="54">
        <v>5.0</v>
      </c>
      <c r="C134" s="55" t="s">
        <v>114</v>
      </c>
      <c r="D134" s="56"/>
      <c r="E134" s="13">
        <v>0.0</v>
      </c>
      <c r="F134" s="13">
        <v>0.0</v>
      </c>
      <c r="G134" s="13">
        <v>0.0</v>
      </c>
      <c r="H134" s="13">
        <v>0.0</v>
      </c>
      <c r="I134" s="13">
        <v>0.0</v>
      </c>
      <c r="J134" s="13">
        <v>0.0</v>
      </c>
      <c r="K134" s="13">
        <v>0.0</v>
      </c>
      <c r="L134" s="13">
        <v>0.0</v>
      </c>
      <c r="M134" s="13">
        <v>0.0</v>
      </c>
      <c r="N134" s="6">
        <f t="shared" si="36"/>
        <v>0</v>
      </c>
    </row>
    <row r="135" ht="12.75" customHeight="1">
      <c r="A135" s="18"/>
      <c r="B135" s="54">
        <v>6.0</v>
      </c>
      <c r="C135" s="55" t="s">
        <v>115</v>
      </c>
      <c r="D135" s="56"/>
      <c r="E135" s="13">
        <v>0.0</v>
      </c>
      <c r="F135" s="13">
        <v>0.0</v>
      </c>
      <c r="G135" s="13">
        <v>0.0</v>
      </c>
      <c r="H135" s="13">
        <v>0.0</v>
      </c>
      <c r="I135" s="13">
        <v>0.0</v>
      </c>
      <c r="J135" s="13">
        <v>0.0</v>
      </c>
      <c r="K135" s="13">
        <v>0.0</v>
      </c>
      <c r="L135" s="13">
        <v>0.0</v>
      </c>
      <c r="M135" s="13">
        <v>0.0</v>
      </c>
      <c r="N135" s="6">
        <f t="shared" si="36"/>
        <v>0</v>
      </c>
    </row>
    <row r="136" ht="12.75" customHeight="1">
      <c r="A136" s="13" t="s">
        <v>15</v>
      </c>
      <c r="B136" s="51" t="s">
        <v>46</v>
      </c>
      <c r="C136" s="8"/>
      <c r="D136" s="9"/>
      <c r="E136" s="57">
        <f t="shared" ref="E136:M136" si="37">SUM(E129:E135)</f>
        <v>4</v>
      </c>
      <c r="F136" s="57">
        <f t="shared" si="37"/>
        <v>2</v>
      </c>
      <c r="G136" s="57">
        <f t="shared" si="37"/>
        <v>3</v>
      </c>
      <c r="H136" s="57">
        <f t="shared" si="37"/>
        <v>2</v>
      </c>
      <c r="I136" s="57">
        <f t="shared" si="37"/>
        <v>4</v>
      </c>
      <c r="J136" s="57">
        <f t="shared" si="37"/>
        <v>1</v>
      </c>
      <c r="K136" s="57">
        <f t="shared" si="37"/>
        <v>1</v>
      </c>
      <c r="L136" s="57">
        <f t="shared" si="37"/>
        <v>8</v>
      </c>
      <c r="M136" s="57">
        <f t="shared" si="37"/>
        <v>33</v>
      </c>
      <c r="N136" s="6">
        <f t="shared" si="36"/>
        <v>58</v>
      </c>
    </row>
    <row r="137" ht="12.75" customHeight="1">
      <c r="A137" s="68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"/>
    </row>
    <row r="138" ht="12.75" customHeight="1">
      <c r="A138" s="33" t="s">
        <v>37</v>
      </c>
      <c r="B138" s="51" t="s">
        <v>116</v>
      </c>
      <c r="C138" s="52" t="s">
        <v>117</v>
      </c>
      <c r="D138" s="9"/>
      <c r="E138" s="13">
        <v>0.0</v>
      </c>
      <c r="F138" s="13">
        <v>0.0</v>
      </c>
      <c r="G138" s="13">
        <v>0.0</v>
      </c>
      <c r="H138" s="13">
        <v>0.0</v>
      </c>
      <c r="I138" s="70">
        <v>0.0</v>
      </c>
      <c r="J138" s="70">
        <v>0.0</v>
      </c>
      <c r="K138" s="70">
        <v>0.0</v>
      </c>
      <c r="L138" s="70">
        <v>0.0</v>
      </c>
      <c r="M138" s="70">
        <v>2.0</v>
      </c>
      <c r="N138" s="6">
        <f t="shared" ref="N138:N144" si="38">SUM(E138:M138)</f>
        <v>2</v>
      </c>
    </row>
    <row r="139" ht="12.75" customHeight="1">
      <c r="A139" s="33" t="s">
        <v>39</v>
      </c>
      <c r="B139" s="54">
        <v>1.0</v>
      </c>
      <c r="C139" s="55" t="s">
        <v>118</v>
      </c>
      <c r="D139" s="56"/>
      <c r="E139" s="13">
        <v>0.0</v>
      </c>
      <c r="F139" s="13">
        <v>0.0</v>
      </c>
      <c r="G139" s="13">
        <v>0.0</v>
      </c>
      <c r="H139" s="13">
        <v>0.0</v>
      </c>
      <c r="I139" s="70">
        <v>0.0</v>
      </c>
      <c r="J139" s="70">
        <v>0.0</v>
      </c>
      <c r="K139" s="70">
        <v>0.0</v>
      </c>
      <c r="L139" s="70">
        <v>0.0</v>
      </c>
      <c r="M139" s="70">
        <v>0.0</v>
      </c>
      <c r="N139" s="6">
        <f t="shared" si="38"/>
        <v>0</v>
      </c>
    </row>
    <row r="140" ht="12.75" customHeight="1">
      <c r="A140" s="18"/>
      <c r="B140" s="54">
        <v>2.0</v>
      </c>
      <c r="C140" s="55" t="s">
        <v>119</v>
      </c>
      <c r="D140" s="56"/>
      <c r="E140" s="13">
        <v>0.0</v>
      </c>
      <c r="F140" s="13">
        <v>0.0</v>
      </c>
      <c r="G140" s="13">
        <v>0.0</v>
      </c>
      <c r="H140" s="13">
        <v>1.0</v>
      </c>
      <c r="I140" s="70">
        <v>0.0</v>
      </c>
      <c r="J140" s="70">
        <v>0.0</v>
      </c>
      <c r="K140" s="70">
        <v>0.0</v>
      </c>
      <c r="L140" s="70">
        <v>0.0</v>
      </c>
      <c r="M140" s="70">
        <v>0.0</v>
      </c>
      <c r="N140" s="6">
        <f t="shared" si="38"/>
        <v>1</v>
      </c>
    </row>
    <row r="141" ht="12.75" customHeight="1">
      <c r="A141" s="18"/>
      <c r="B141" s="54">
        <v>3.0</v>
      </c>
      <c r="C141" s="55" t="s">
        <v>120</v>
      </c>
      <c r="D141" s="56"/>
      <c r="E141" s="13">
        <v>0.0</v>
      </c>
      <c r="F141" s="13">
        <v>0.0</v>
      </c>
      <c r="G141" s="13">
        <v>0.0</v>
      </c>
      <c r="H141" s="13">
        <v>0.0</v>
      </c>
      <c r="I141" s="70">
        <v>0.0</v>
      </c>
      <c r="J141" s="70">
        <v>0.0</v>
      </c>
      <c r="K141" s="70">
        <v>0.0</v>
      </c>
      <c r="L141" s="70">
        <v>0.0</v>
      </c>
      <c r="M141" s="70">
        <v>0.0</v>
      </c>
      <c r="N141" s="6">
        <f t="shared" si="38"/>
        <v>0</v>
      </c>
    </row>
    <row r="142" ht="12.75" customHeight="1">
      <c r="A142" s="18"/>
      <c r="B142" s="54">
        <v>4.0</v>
      </c>
      <c r="C142" s="55" t="s">
        <v>121</v>
      </c>
      <c r="D142" s="56"/>
      <c r="E142" s="13">
        <v>0.0</v>
      </c>
      <c r="F142" s="13">
        <v>0.0</v>
      </c>
      <c r="G142" s="13">
        <v>0.0</v>
      </c>
      <c r="H142" s="13">
        <v>0.0</v>
      </c>
      <c r="I142" s="70">
        <v>0.0</v>
      </c>
      <c r="J142" s="70">
        <v>0.0</v>
      </c>
      <c r="K142" s="70">
        <v>0.0</v>
      </c>
      <c r="L142" s="70">
        <v>0.0</v>
      </c>
      <c r="M142" s="70">
        <v>0.0</v>
      </c>
      <c r="N142" s="6">
        <f t="shared" si="38"/>
        <v>0</v>
      </c>
    </row>
    <row r="143" ht="12.75" customHeight="1">
      <c r="A143" s="18"/>
      <c r="B143" s="54">
        <v>5.0</v>
      </c>
      <c r="C143" s="55" t="s">
        <v>122</v>
      </c>
      <c r="D143" s="56"/>
      <c r="E143" s="13">
        <v>0.0</v>
      </c>
      <c r="F143" s="13">
        <v>0.0</v>
      </c>
      <c r="G143" s="13">
        <v>0.0</v>
      </c>
      <c r="H143" s="13">
        <v>0.0</v>
      </c>
      <c r="I143" s="70">
        <v>0.0</v>
      </c>
      <c r="J143" s="70">
        <v>0.0</v>
      </c>
      <c r="K143" s="70">
        <v>0.0</v>
      </c>
      <c r="L143" s="70">
        <v>0.0</v>
      </c>
      <c r="M143" s="70">
        <v>0.0</v>
      </c>
      <c r="N143" s="6">
        <f t="shared" si="38"/>
        <v>0</v>
      </c>
    </row>
    <row r="144" ht="12.75" customHeight="1">
      <c r="A144" s="13" t="s">
        <v>15</v>
      </c>
      <c r="B144" s="51" t="s">
        <v>46</v>
      </c>
      <c r="C144" s="8"/>
      <c r="D144" s="9"/>
      <c r="E144" s="57">
        <f t="shared" ref="E144:H144" si="39">SUM(E138:E143)</f>
        <v>0</v>
      </c>
      <c r="F144" s="57">
        <f t="shared" si="39"/>
        <v>0</v>
      </c>
      <c r="G144" s="57">
        <f t="shared" si="39"/>
        <v>0</v>
      </c>
      <c r="H144" s="57">
        <f t="shared" si="39"/>
        <v>1</v>
      </c>
      <c r="I144" s="57">
        <f>SUM(I139:I143)</f>
        <v>0</v>
      </c>
      <c r="J144" s="57">
        <f t="shared" ref="J144:M144" si="40">SUM(J138:J143)</f>
        <v>0</v>
      </c>
      <c r="K144" s="57">
        <f t="shared" si="40"/>
        <v>0</v>
      </c>
      <c r="L144" s="57">
        <f t="shared" si="40"/>
        <v>0</v>
      </c>
      <c r="M144" s="57">
        <f t="shared" si="40"/>
        <v>2</v>
      </c>
      <c r="N144" s="6">
        <f t="shared" si="38"/>
        <v>3</v>
      </c>
    </row>
    <row r="145" ht="12.75" customHeight="1">
      <c r="A145" s="68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"/>
    </row>
    <row r="146" ht="12.75" customHeight="1">
      <c r="A146" s="33" t="s">
        <v>37</v>
      </c>
      <c r="B146" s="51" t="s">
        <v>123</v>
      </c>
      <c r="C146" s="52" t="s">
        <v>124</v>
      </c>
      <c r="D146" s="9"/>
      <c r="E146" s="13">
        <v>3.0</v>
      </c>
      <c r="F146" s="13">
        <v>2.0</v>
      </c>
      <c r="G146" s="13">
        <v>1.0</v>
      </c>
      <c r="H146" s="13">
        <v>4.0</v>
      </c>
      <c r="I146" s="13">
        <v>0.0</v>
      </c>
      <c r="J146" s="13">
        <v>1.0</v>
      </c>
      <c r="K146" s="13">
        <v>2.0</v>
      </c>
      <c r="L146" s="13">
        <v>0.0</v>
      </c>
      <c r="M146" s="13">
        <v>3.0</v>
      </c>
      <c r="N146" s="6">
        <f t="shared" ref="N146:N153" si="41">SUM(E146:M146)</f>
        <v>16</v>
      </c>
    </row>
    <row r="147" ht="12.75" customHeight="1">
      <c r="A147" s="33" t="s">
        <v>39</v>
      </c>
      <c r="B147" s="54">
        <v>1.0</v>
      </c>
      <c r="C147" s="55" t="s">
        <v>125</v>
      </c>
      <c r="D147" s="56"/>
      <c r="E147" s="13">
        <v>4.0</v>
      </c>
      <c r="F147" s="13">
        <v>1.0</v>
      </c>
      <c r="G147" s="13">
        <v>0.0</v>
      </c>
      <c r="H147" s="13">
        <v>0.0</v>
      </c>
      <c r="I147" s="13">
        <v>0.0</v>
      </c>
      <c r="J147" s="13">
        <v>0.0</v>
      </c>
      <c r="K147" s="13">
        <v>1.0</v>
      </c>
      <c r="L147" s="13">
        <v>0.0</v>
      </c>
      <c r="M147" s="13">
        <v>2.0</v>
      </c>
      <c r="N147" s="6">
        <f t="shared" si="41"/>
        <v>8</v>
      </c>
    </row>
    <row r="148" ht="12.75" customHeight="1">
      <c r="A148" s="18"/>
      <c r="B148" s="54">
        <v>2.0</v>
      </c>
      <c r="C148" s="55" t="s">
        <v>126</v>
      </c>
      <c r="D148" s="56"/>
      <c r="E148" s="13">
        <v>11.0</v>
      </c>
      <c r="F148" s="13">
        <v>4.0</v>
      </c>
      <c r="G148" s="13">
        <v>8.0</v>
      </c>
      <c r="H148" s="13">
        <v>14.0</v>
      </c>
      <c r="I148" s="13">
        <v>1.0</v>
      </c>
      <c r="J148" s="13">
        <v>0.0</v>
      </c>
      <c r="K148" s="13">
        <v>10.0</v>
      </c>
      <c r="L148" s="13">
        <v>0.0</v>
      </c>
      <c r="M148" s="13">
        <v>1.0</v>
      </c>
      <c r="N148" s="6">
        <f t="shared" si="41"/>
        <v>49</v>
      </c>
    </row>
    <row r="149" ht="12.75" customHeight="1">
      <c r="A149" s="18"/>
      <c r="B149" s="54">
        <v>3.0</v>
      </c>
      <c r="C149" s="55" t="s">
        <v>127</v>
      </c>
      <c r="D149" s="56"/>
      <c r="E149" s="13">
        <v>0.0</v>
      </c>
      <c r="F149" s="13">
        <v>2.0</v>
      </c>
      <c r="G149" s="13">
        <v>1.0</v>
      </c>
      <c r="H149" s="13">
        <v>0.0</v>
      </c>
      <c r="I149" s="13">
        <v>1.0</v>
      </c>
      <c r="J149" s="13">
        <v>0.0</v>
      </c>
      <c r="K149" s="13">
        <v>0.0</v>
      </c>
      <c r="L149" s="13">
        <v>0.0</v>
      </c>
      <c r="M149" s="13">
        <v>0.0</v>
      </c>
      <c r="N149" s="6">
        <f t="shared" si="41"/>
        <v>4</v>
      </c>
    </row>
    <row r="150" ht="12.75" customHeight="1">
      <c r="A150" s="18"/>
      <c r="B150" s="54">
        <v>4.0</v>
      </c>
      <c r="C150" s="55" t="s">
        <v>128</v>
      </c>
      <c r="D150" s="56"/>
      <c r="E150" s="13">
        <v>0.0</v>
      </c>
      <c r="F150" s="13">
        <v>0.0</v>
      </c>
      <c r="G150" s="13">
        <v>3.0</v>
      </c>
      <c r="H150" s="13">
        <v>0.0</v>
      </c>
      <c r="I150" s="13">
        <v>0.0</v>
      </c>
      <c r="J150" s="13">
        <v>0.0</v>
      </c>
      <c r="K150" s="13">
        <v>1.0</v>
      </c>
      <c r="L150" s="13">
        <v>0.0</v>
      </c>
      <c r="M150" s="13">
        <v>0.0</v>
      </c>
      <c r="N150" s="6">
        <f t="shared" si="41"/>
        <v>4</v>
      </c>
    </row>
    <row r="151" ht="12.75" customHeight="1">
      <c r="A151" s="18"/>
      <c r="B151" s="54">
        <v>5.0</v>
      </c>
      <c r="C151" s="55" t="s">
        <v>129</v>
      </c>
      <c r="D151" s="56"/>
      <c r="E151" s="13">
        <v>0.0</v>
      </c>
      <c r="F151" s="13">
        <v>1.0</v>
      </c>
      <c r="G151" s="13">
        <v>0.0</v>
      </c>
      <c r="H151" s="13">
        <v>0.0</v>
      </c>
      <c r="I151" s="13">
        <v>0.0</v>
      </c>
      <c r="J151" s="13">
        <v>0.0</v>
      </c>
      <c r="K151" s="13">
        <v>0.0</v>
      </c>
      <c r="L151" s="13">
        <v>0.0</v>
      </c>
      <c r="M151" s="13">
        <v>0.0</v>
      </c>
      <c r="N151" s="6">
        <f t="shared" si="41"/>
        <v>1</v>
      </c>
    </row>
    <row r="152" ht="12.75" customHeight="1">
      <c r="A152" s="18"/>
      <c r="B152" s="54">
        <v>6.0</v>
      </c>
      <c r="C152" s="55" t="s">
        <v>130</v>
      </c>
      <c r="D152" s="56"/>
      <c r="E152" s="13">
        <v>0.0</v>
      </c>
      <c r="F152" s="13">
        <v>0.0</v>
      </c>
      <c r="G152" s="13">
        <v>0.0</v>
      </c>
      <c r="H152" s="13">
        <v>0.0</v>
      </c>
      <c r="I152" s="13">
        <v>0.0</v>
      </c>
      <c r="J152" s="13">
        <v>0.0</v>
      </c>
      <c r="K152" s="13">
        <v>0.0</v>
      </c>
      <c r="L152" s="13">
        <v>0.0</v>
      </c>
      <c r="M152" s="13">
        <v>0.0</v>
      </c>
      <c r="N152" s="6">
        <f t="shared" si="41"/>
        <v>0</v>
      </c>
    </row>
    <row r="153" ht="12.75" customHeight="1">
      <c r="A153" s="13" t="s">
        <v>15</v>
      </c>
      <c r="B153" s="51" t="s">
        <v>46</v>
      </c>
      <c r="C153" s="8"/>
      <c r="D153" s="9"/>
      <c r="E153" s="57">
        <f t="shared" ref="E153:M153" si="42">SUM(E146:E152)</f>
        <v>18</v>
      </c>
      <c r="F153" s="57">
        <f t="shared" si="42"/>
        <v>10</v>
      </c>
      <c r="G153" s="57">
        <f t="shared" si="42"/>
        <v>13</v>
      </c>
      <c r="H153" s="57">
        <f t="shared" si="42"/>
        <v>18</v>
      </c>
      <c r="I153" s="57">
        <f t="shared" si="42"/>
        <v>2</v>
      </c>
      <c r="J153" s="57">
        <f t="shared" si="42"/>
        <v>1</v>
      </c>
      <c r="K153" s="57">
        <f t="shared" si="42"/>
        <v>14</v>
      </c>
      <c r="L153" s="57">
        <f t="shared" si="42"/>
        <v>0</v>
      </c>
      <c r="M153" s="57">
        <f t="shared" si="42"/>
        <v>6</v>
      </c>
      <c r="N153" s="6">
        <f t="shared" si="41"/>
        <v>82</v>
      </c>
    </row>
    <row r="154" ht="12.75" customHeight="1">
      <c r="A154" s="68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"/>
    </row>
    <row r="155" ht="12.75" customHeight="1">
      <c r="A155" s="33" t="s">
        <v>37</v>
      </c>
      <c r="B155" s="51" t="s">
        <v>131</v>
      </c>
      <c r="C155" s="52" t="s">
        <v>132</v>
      </c>
      <c r="D155" s="9"/>
      <c r="E155" s="13">
        <v>1.0</v>
      </c>
      <c r="F155" s="13">
        <v>4.0</v>
      </c>
      <c r="G155" s="13">
        <v>2.0</v>
      </c>
      <c r="H155" s="13">
        <v>0.0</v>
      </c>
      <c r="I155" s="13">
        <v>1.0</v>
      </c>
      <c r="J155" s="13">
        <v>0.0</v>
      </c>
      <c r="K155" s="13">
        <v>0.0</v>
      </c>
      <c r="L155" s="13">
        <v>1.0</v>
      </c>
      <c r="M155" s="13">
        <v>1.0</v>
      </c>
      <c r="N155" s="6">
        <f t="shared" ref="N155:N158" si="43">SUM(E155:M155)</f>
        <v>10</v>
      </c>
    </row>
    <row r="156" ht="12.75" customHeight="1">
      <c r="A156" s="33" t="s">
        <v>39</v>
      </c>
      <c r="B156" s="54">
        <v>1.0</v>
      </c>
      <c r="C156" s="55" t="s">
        <v>133</v>
      </c>
      <c r="D156" s="56"/>
      <c r="E156" s="13">
        <v>7.0</v>
      </c>
      <c r="F156" s="13">
        <v>0.0</v>
      </c>
      <c r="G156" s="13">
        <v>0.0</v>
      </c>
      <c r="H156" s="13">
        <v>0.0</v>
      </c>
      <c r="I156" s="13">
        <v>0.0</v>
      </c>
      <c r="J156" s="13">
        <v>36.0</v>
      </c>
      <c r="K156" s="13">
        <v>3.0</v>
      </c>
      <c r="L156" s="13">
        <v>5.0</v>
      </c>
      <c r="M156" s="13">
        <v>9.0</v>
      </c>
      <c r="N156" s="6">
        <f t="shared" si="43"/>
        <v>60</v>
      </c>
    </row>
    <row r="157" ht="12.75" customHeight="1">
      <c r="A157" s="33"/>
      <c r="B157" s="54">
        <v>2.0</v>
      </c>
      <c r="C157" s="55" t="s">
        <v>134</v>
      </c>
      <c r="D157" s="56"/>
      <c r="E157" s="13">
        <v>0.0</v>
      </c>
      <c r="F157" s="13">
        <v>1.0</v>
      </c>
      <c r="G157" s="13">
        <v>0.0</v>
      </c>
      <c r="H157" s="13">
        <v>0.0</v>
      </c>
      <c r="I157" s="13">
        <v>1.0</v>
      </c>
      <c r="J157" s="13">
        <v>0.0</v>
      </c>
      <c r="K157" s="13">
        <v>0.0</v>
      </c>
      <c r="L157" s="13">
        <v>1.0</v>
      </c>
      <c r="M157" s="13">
        <v>0.0</v>
      </c>
      <c r="N157" s="6">
        <f t="shared" si="43"/>
        <v>3</v>
      </c>
    </row>
    <row r="158" ht="12.75" customHeight="1">
      <c r="A158" s="13" t="s">
        <v>15</v>
      </c>
      <c r="B158" s="51" t="s">
        <v>46</v>
      </c>
      <c r="C158" s="8"/>
      <c r="D158" s="9"/>
      <c r="E158" s="57">
        <f t="shared" ref="E158:M158" si="44">SUM(E155:E157)</f>
        <v>8</v>
      </c>
      <c r="F158" s="57">
        <f t="shared" si="44"/>
        <v>5</v>
      </c>
      <c r="G158" s="57">
        <f t="shared" si="44"/>
        <v>2</v>
      </c>
      <c r="H158" s="57">
        <f t="shared" si="44"/>
        <v>0</v>
      </c>
      <c r="I158" s="57">
        <f t="shared" si="44"/>
        <v>2</v>
      </c>
      <c r="J158" s="57">
        <f t="shared" si="44"/>
        <v>36</v>
      </c>
      <c r="K158" s="57">
        <f t="shared" si="44"/>
        <v>3</v>
      </c>
      <c r="L158" s="57">
        <f t="shared" si="44"/>
        <v>7</v>
      </c>
      <c r="M158" s="57">
        <f t="shared" si="44"/>
        <v>10</v>
      </c>
      <c r="N158" s="6">
        <f t="shared" si="43"/>
        <v>73</v>
      </c>
    </row>
    <row r="159" ht="12.75" customHeight="1">
      <c r="A159" s="68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"/>
    </row>
    <row r="160" ht="12.75" customHeight="1">
      <c r="A160" s="33" t="s">
        <v>37</v>
      </c>
      <c r="B160" s="51" t="s">
        <v>135</v>
      </c>
      <c r="C160" s="52" t="s">
        <v>136</v>
      </c>
      <c r="D160" s="9"/>
      <c r="E160" s="13">
        <v>0.0</v>
      </c>
      <c r="F160" s="13">
        <v>0.0</v>
      </c>
      <c r="G160" s="13">
        <v>0.0</v>
      </c>
      <c r="H160" s="13">
        <v>0.0</v>
      </c>
      <c r="I160" s="13">
        <v>0.0</v>
      </c>
      <c r="J160" s="13">
        <v>0.0</v>
      </c>
      <c r="K160" s="13">
        <v>1.0</v>
      </c>
      <c r="L160" s="13">
        <v>0.0</v>
      </c>
      <c r="M160" s="13">
        <v>0.0</v>
      </c>
      <c r="N160" s="6">
        <f t="shared" ref="N160:N164" si="45">SUM(E160:M160)</f>
        <v>1</v>
      </c>
    </row>
    <row r="161" ht="12.75" customHeight="1">
      <c r="A161" s="33"/>
      <c r="B161" s="54">
        <v>1.0</v>
      </c>
      <c r="C161" s="55" t="s">
        <v>137</v>
      </c>
      <c r="D161" s="63"/>
      <c r="E161" s="13">
        <v>0.0</v>
      </c>
      <c r="F161" s="13">
        <v>0.0</v>
      </c>
      <c r="G161" s="13">
        <v>1.0</v>
      </c>
      <c r="H161" s="13">
        <v>0.0</v>
      </c>
      <c r="I161" s="13">
        <v>0.0</v>
      </c>
      <c r="J161" s="13">
        <v>0.0</v>
      </c>
      <c r="K161" s="13">
        <v>0.0</v>
      </c>
      <c r="L161" s="13">
        <v>0.0</v>
      </c>
      <c r="M161" s="13">
        <v>0.0</v>
      </c>
      <c r="N161" s="6">
        <f t="shared" si="45"/>
        <v>1</v>
      </c>
    </row>
    <row r="162" ht="12.75" customHeight="1">
      <c r="A162" s="33"/>
      <c r="B162" s="54">
        <v>2.0</v>
      </c>
      <c r="C162" s="55" t="s">
        <v>138</v>
      </c>
      <c r="D162" s="63"/>
      <c r="E162" s="13">
        <v>0.0</v>
      </c>
      <c r="F162" s="13">
        <v>0.0</v>
      </c>
      <c r="G162" s="13">
        <v>0.0</v>
      </c>
      <c r="H162" s="13">
        <v>1.0</v>
      </c>
      <c r="I162" s="13">
        <v>0.0</v>
      </c>
      <c r="J162" s="13">
        <v>0.0</v>
      </c>
      <c r="K162" s="13">
        <v>0.0</v>
      </c>
      <c r="L162" s="13">
        <v>0.0</v>
      </c>
      <c r="M162" s="13">
        <v>0.0</v>
      </c>
      <c r="N162" s="6">
        <f t="shared" si="45"/>
        <v>1</v>
      </c>
    </row>
    <row r="163" ht="12.75" customHeight="1">
      <c r="A163" s="33"/>
      <c r="B163" s="54">
        <v>3.0</v>
      </c>
      <c r="C163" s="55" t="s">
        <v>139</v>
      </c>
      <c r="D163" s="63"/>
      <c r="E163" s="13">
        <v>0.0</v>
      </c>
      <c r="F163" s="13">
        <v>0.0</v>
      </c>
      <c r="G163" s="13">
        <v>0.0</v>
      </c>
      <c r="H163" s="13">
        <v>0.0</v>
      </c>
      <c r="I163" s="13">
        <v>0.0</v>
      </c>
      <c r="J163" s="13">
        <v>0.0</v>
      </c>
      <c r="K163" s="13">
        <v>0.0</v>
      </c>
      <c r="L163" s="13">
        <v>0.0</v>
      </c>
      <c r="M163" s="13">
        <v>0.0</v>
      </c>
      <c r="N163" s="6">
        <f t="shared" si="45"/>
        <v>0</v>
      </c>
    </row>
    <row r="164" ht="12.75" customHeight="1">
      <c r="A164" s="13" t="s">
        <v>15</v>
      </c>
      <c r="B164" s="51" t="s">
        <v>46</v>
      </c>
      <c r="C164" s="8"/>
      <c r="D164" s="9"/>
      <c r="E164" s="57">
        <f t="shared" ref="E164:M164" si="46">SUM(E160:E163)</f>
        <v>0</v>
      </c>
      <c r="F164" s="57">
        <f t="shared" si="46"/>
        <v>0</v>
      </c>
      <c r="G164" s="57">
        <f t="shared" si="46"/>
        <v>1</v>
      </c>
      <c r="H164" s="57">
        <f t="shared" si="46"/>
        <v>1</v>
      </c>
      <c r="I164" s="57">
        <f t="shared" si="46"/>
        <v>0</v>
      </c>
      <c r="J164" s="57">
        <f t="shared" si="46"/>
        <v>0</v>
      </c>
      <c r="K164" s="57">
        <f t="shared" si="46"/>
        <v>1</v>
      </c>
      <c r="L164" s="57">
        <f t="shared" si="46"/>
        <v>0</v>
      </c>
      <c r="M164" s="57">
        <f t="shared" si="46"/>
        <v>0</v>
      </c>
      <c r="N164" s="6">
        <f t="shared" si="45"/>
        <v>3</v>
      </c>
    </row>
    <row r="165" ht="12.75" customHeight="1">
      <c r="A165" s="68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"/>
    </row>
    <row r="166" ht="12.75" customHeight="1">
      <c r="A166" s="33" t="s">
        <v>37</v>
      </c>
      <c r="B166" s="51" t="s">
        <v>140</v>
      </c>
      <c r="C166" s="52" t="s">
        <v>141</v>
      </c>
      <c r="D166" s="9"/>
      <c r="E166" s="13">
        <v>0.0</v>
      </c>
      <c r="F166" s="13">
        <v>1.0</v>
      </c>
      <c r="G166" s="13">
        <v>1.0</v>
      </c>
      <c r="H166" s="13">
        <v>0.0</v>
      </c>
      <c r="I166" s="13">
        <v>0.0</v>
      </c>
      <c r="J166" s="13">
        <v>0.0</v>
      </c>
      <c r="K166" s="13">
        <v>0.0</v>
      </c>
      <c r="L166" s="13">
        <v>1.0</v>
      </c>
      <c r="M166" s="13">
        <v>1.0</v>
      </c>
      <c r="N166" s="6">
        <f t="shared" ref="N166:N173" si="47">SUM(E166:M166)</f>
        <v>4</v>
      </c>
    </row>
    <row r="167" ht="12.75" customHeight="1">
      <c r="A167" s="33" t="s">
        <v>39</v>
      </c>
      <c r="B167" s="54">
        <v>1.0</v>
      </c>
      <c r="C167" s="55" t="s">
        <v>142</v>
      </c>
      <c r="D167" s="56"/>
      <c r="E167" s="13">
        <v>1.0</v>
      </c>
      <c r="F167" s="13">
        <v>0.0</v>
      </c>
      <c r="G167" s="13">
        <v>0.0</v>
      </c>
      <c r="H167" s="13">
        <v>0.0</v>
      </c>
      <c r="I167" s="13">
        <v>0.0</v>
      </c>
      <c r="J167" s="13">
        <v>0.0</v>
      </c>
      <c r="K167" s="13">
        <v>0.0</v>
      </c>
      <c r="L167" s="13">
        <v>0.0</v>
      </c>
      <c r="M167" s="13">
        <v>0.0</v>
      </c>
      <c r="N167" s="6">
        <f t="shared" si="47"/>
        <v>1</v>
      </c>
    </row>
    <row r="168" ht="12.75" customHeight="1">
      <c r="A168" s="18"/>
      <c r="B168" s="54">
        <v>2.0</v>
      </c>
      <c r="C168" s="55" t="s">
        <v>143</v>
      </c>
      <c r="D168" s="56"/>
      <c r="E168" s="13">
        <v>0.0</v>
      </c>
      <c r="F168" s="13">
        <v>0.0</v>
      </c>
      <c r="G168" s="13">
        <v>1.0</v>
      </c>
      <c r="H168" s="13">
        <v>0.0</v>
      </c>
      <c r="I168" s="13">
        <v>0.0</v>
      </c>
      <c r="J168" s="13">
        <v>0.0</v>
      </c>
      <c r="K168" s="13">
        <v>0.0</v>
      </c>
      <c r="L168" s="13">
        <v>2.0</v>
      </c>
      <c r="M168" s="13">
        <v>0.0</v>
      </c>
      <c r="N168" s="6">
        <f t="shared" si="47"/>
        <v>3</v>
      </c>
    </row>
    <row r="169" ht="12.75" customHeight="1">
      <c r="A169" s="18"/>
      <c r="B169" s="54">
        <v>3.0</v>
      </c>
      <c r="C169" s="55" t="s">
        <v>144</v>
      </c>
      <c r="D169" s="56"/>
      <c r="E169" s="13">
        <v>2.0</v>
      </c>
      <c r="F169" s="13">
        <v>0.0</v>
      </c>
      <c r="G169" s="13">
        <v>0.0</v>
      </c>
      <c r="H169" s="13">
        <v>0.0</v>
      </c>
      <c r="I169" s="13">
        <v>0.0</v>
      </c>
      <c r="J169" s="13">
        <v>0.0</v>
      </c>
      <c r="K169" s="13">
        <v>0.0</v>
      </c>
      <c r="L169" s="13">
        <v>0.0</v>
      </c>
      <c r="M169" s="13">
        <v>0.0</v>
      </c>
      <c r="N169" s="6">
        <f t="shared" si="47"/>
        <v>2</v>
      </c>
    </row>
    <row r="170" ht="12.75" customHeight="1">
      <c r="A170" s="18"/>
      <c r="B170" s="54">
        <v>4.0</v>
      </c>
      <c r="C170" s="55" t="s">
        <v>145</v>
      </c>
      <c r="D170" s="56"/>
      <c r="E170" s="13">
        <v>1.0</v>
      </c>
      <c r="F170" s="13">
        <v>0.0</v>
      </c>
      <c r="G170" s="13">
        <v>0.0</v>
      </c>
      <c r="H170" s="13">
        <v>0.0</v>
      </c>
      <c r="I170" s="13">
        <v>0.0</v>
      </c>
      <c r="J170" s="13">
        <v>0.0</v>
      </c>
      <c r="K170" s="13">
        <v>0.0</v>
      </c>
      <c r="L170" s="13">
        <v>0.0</v>
      </c>
      <c r="M170" s="13">
        <v>0.0</v>
      </c>
      <c r="N170" s="6">
        <f t="shared" si="47"/>
        <v>1</v>
      </c>
    </row>
    <row r="171" ht="12.75" customHeight="1">
      <c r="A171" s="18"/>
      <c r="B171" s="54">
        <v>5.0</v>
      </c>
      <c r="C171" s="55" t="s">
        <v>146</v>
      </c>
      <c r="D171" s="56"/>
      <c r="E171" s="13">
        <v>0.0</v>
      </c>
      <c r="F171" s="13">
        <v>0.0</v>
      </c>
      <c r="G171" s="13">
        <v>0.0</v>
      </c>
      <c r="H171" s="13">
        <v>0.0</v>
      </c>
      <c r="I171" s="13">
        <v>0.0</v>
      </c>
      <c r="J171" s="13">
        <v>0.0</v>
      </c>
      <c r="K171" s="13">
        <v>0.0</v>
      </c>
      <c r="L171" s="13">
        <v>0.0</v>
      </c>
      <c r="M171" s="13">
        <v>0.0</v>
      </c>
      <c r="N171" s="6">
        <f t="shared" si="47"/>
        <v>0</v>
      </c>
    </row>
    <row r="172" ht="12.75" customHeight="1">
      <c r="A172" s="18"/>
      <c r="B172" s="54">
        <v>6.0</v>
      </c>
      <c r="C172" s="55" t="s">
        <v>147</v>
      </c>
      <c r="D172" s="56"/>
      <c r="E172" s="13">
        <v>0.0</v>
      </c>
      <c r="F172" s="13">
        <v>0.0</v>
      </c>
      <c r="G172" s="13">
        <v>1.0</v>
      </c>
      <c r="H172" s="13">
        <v>0.0</v>
      </c>
      <c r="I172" s="13">
        <v>0.0</v>
      </c>
      <c r="J172" s="13">
        <v>0.0</v>
      </c>
      <c r="K172" s="13">
        <v>0.0</v>
      </c>
      <c r="L172" s="13">
        <v>0.0</v>
      </c>
      <c r="M172" s="13">
        <v>0.0</v>
      </c>
      <c r="N172" s="6">
        <f t="shared" si="47"/>
        <v>1</v>
      </c>
    </row>
    <row r="173" ht="12.75" customHeight="1">
      <c r="A173" s="13" t="s">
        <v>15</v>
      </c>
      <c r="B173" s="51" t="s">
        <v>46</v>
      </c>
      <c r="C173" s="8"/>
      <c r="D173" s="9"/>
      <c r="E173" s="57">
        <f t="shared" ref="E173:M173" si="48">SUM(E166:E172)</f>
        <v>4</v>
      </c>
      <c r="F173" s="57">
        <f t="shared" si="48"/>
        <v>1</v>
      </c>
      <c r="G173" s="57">
        <f t="shared" si="48"/>
        <v>3</v>
      </c>
      <c r="H173" s="57">
        <f t="shared" si="48"/>
        <v>0</v>
      </c>
      <c r="I173" s="57">
        <f t="shared" si="48"/>
        <v>0</v>
      </c>
      <c r="J173" s="57">
        <f t="shared" si="48"/>
        <v>0</v>
      </c>
      <c r="K173" s="57">
        <f t="shared" si="48"/>
        <v>0</v>
      </c>
      <c r="L173" s="57">
        <f t="shared" si="48"/>
        <v>3</v>
      </c>
      <c r="M173" s="57">
        <f t="shared" si="48"/>
        <v>1</v>
      </c>
      <c r="N173" s="6">
        <f t="shared" si="47"/>
        <v>12</v>
      </c>
    </row>
    <row r="174" ht="12.75" customHeight="1">
      <c r="A174" s="68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"/>
    </row>
    <row r="175" ht="12.75" customHeight="1">
      <c r="A175" s="33" t="s">
        <v>37</v>
      </c>
      <c r="B175" s="51" t="s">
        <v>148</v>
      </c>
      <c r="C175" s="52" t="s">
        <v>149</v>
      </c>
      <c r="D175" s="9"/>
      <c r="E175" s="13">
        <v>0.0</v>
      </c>
      <c r="F175" s="13">
        <v>0.0</v>
      </c>
      <c r="G175" s="13">
        <v>0.0</v>
      </c>
      <c r="H175" s="13">
        <v>2.0</v>
      </c>
      <c r="I175" s="13">
        <v>0.0</v>
      </c>
      <c r="J175" s="13">
        <v>0.0</v>
      </c>
      <c r="K175" s="13">
        <v>0.0</v>
      </c>
      <c r="L175" s="13">
        <v>0.0</v>
      </c>
      <c r="M175" s="13">
        <v>0.0</v>
      </c>
      <c r="N175" s="6">
        <f t="shared" ref="N175:N178" si="49">SUM(E175:M175)</f>
        <v>2</v>
      </c>
    </row>
    <row r="176" ht="12.75" customHeight="1">
      <c r="A176" s="33"/>
      <c r="B176" s="51">
        <v>1.0</v>
      </c>
      <c r="C176" s="52" t="s">
        <v>150</v>
      </c>
      <c r="D176" s="63"/>
      <c r="E176" s="13">
        <v>3.0</v>
      </c>
      <c r="F176" s="13">
        <v>1.0</v>
      </c>
      <c r="G176" s="13">
        <v>0.0</v>
      </c>
      <c r="H176" s="13">
        <v>0.0</v>
      </c>
      <c r="I176" s="13">
        <v>2.0</v>
      </c>
      <c r="J176" s="13">
        <v>0.0</v>
      </c>
      <c r="K176" s="13">
        <v>0.0</v>
      </c>
      <c r="L176" s="13">
        <v>0.0</v>
      </c>
      <c r="M176" s="13">
        <v>0.0</v>
      </c>
      <c r="N176" s="6">
        <f t="shared" si="49"/>
        <v>6</v>
      </c>
    </row>
    <row r="177" ht="12.75" customHeight="1">
      <c r="A177" s="33" t="s">
        <v>39</v>
      </c>
      <c r="B177" s="54">
        <v>2.0</v>
      </c>
      <c r="C177" s="55" t="s">
        <v>151</v>
      </c>
      <c r="D177" s="56"/>
      <c r="E177" s="13">
        <v>0.0</v>
      </c>
      <c r="F177" s="13">
        <v>0.0</v>
      </c>
      <c r="G177" s="13">
        <v>0.0</v>
      </c>
      <c r="H177" s="13">
        <v>0.0</v>
      </c>
      <c r="I177" s="13">
        <v>0.0</v>
      </c>
      <c r="J177" s="13">
        <v>0.0</v>
      </c>
      <c r="K177" s="13">
        <v>0.0</v>
      </c>
      <c r="L177" s="13">
        <v>0.0</v>
      </c>
      <c r="M177" s="13">
        <v>0.0</v>
      </c>
      <c r="N177" s="6">
        <f t="shared" si="49"/>
        <v>0</v>
      </c>
    </row>
    <row r="178" ht="12.75" customHeight="1">
      <c r="A178" s="13" t="s">
        <v>15</v>
      </c>
      <c r="B178" s="51" t="s">
        <v>46</v>
      </c>
      <c r="C178" s="8"/>
      <c r="D178" s="9"/>
      <c r="E178" s="57">
        <f t="shared" ref="E178:M178" si="50">SUM(E175:E177)</f>
        <v>3</v>
      </c>
      <c r="F178" s="57">
        <f t="shared" si="50"/>
        <v>1</v>
      </c>
      <c r="G178" s="57">
        <f t="shared" si="50"/>
        <v>0</v>
      </c>
      <c r="H178" s="57">
        <f t="shared" si="50"/>
        <v>2</v>
      </c>
      <c r="I178" s="57">
        <f t="shared" si="50"/>
        <v>2</v>
      </c>
      <c r="J178" s="57">
        <f t="shared" si="50"/>
        <v>0</v>
      </c>
      <c r="K178" s="57">
        <f t="shared" si="50"/>
        <v>0</v>
      </c>
      <c r="L178" s="57">
        <f t="shared" si="50"/>
        <v>0</v>
      </c>
      <c r="M178" s="57">
        <f t="shared" si="50"/>
        <v>0</v>
      </c>
      <c r="N178" s="6">
        <f t="shared" si="49"/>
        <v>8</v>
      </c>
    </row>
    <row r="179" ht="12.75" customHeight="1">
      <c r="A179" s="49"/>
      <c r="B179" s="48"/>
      <c r="C179" s="48"/>
      <c r="D179" s="27"/>
      <c r="E179" s="30"/>
      <c r="F179" s="30"/>
      <c r="G179" s="30"/>
      <c r="H179" s="30"/>
      <c r="I179" s="30"/>
      <c r="J179" s="30"/>
      <c r="K179" s="30"/>
      <c r="L179" s="30"/>
      <c r="M179" s="30"/>
      <c r="N179" s="6"/>
    </row>
    <row r="180" ht="12.75" customHeight="1">
      <c r="A180" s="46" t="s">
        <v>152</v>
      </c>
      <c r="B180" s="7" t="s">
        <v>153</v>
      </c>
      <c r="C180" s="8"/>
      <c r="D180" s="9"/>
      <c r="E180" s="28"/>
      <c r="F180" s="28"/>
      <c r="G180" s="28"/>
      <c r="H180" s="28"/>
      <c r="I180" s="28"/>
      <c r="J180" s="28"/>
      <c r="K180" s="28"/>
      <c r="L180" s="28"/>
      <c r="M180" s="28"/>
      <c r="N180" s="6"/>
    </row>
    <row r="181" ht="12.75" customHeight="1">
      <c r="A181" s="46"/>
      <c r="B181" s="64" t="s">
        <v>154</v>
      </c>
      <c r="C181" s="65" t="s">
        <v>155</v>
      </c>
      <c r="D181" s="9"/>
      <c r="E181" s="13">
        <v>163.0</v>
      </c>
      <c r="F181" s="13">
        <v>149.0</v>
      </c>
      <c r="G181" s="13">
        <v>163.0</v>
      </c>
      <c r="H181" s="13">
        <v>149.0</v>
      </c>
      <c r="I181" s="13">
        <v>120.0</v>
      </c>
      <c r="J181" s="13">
        <v>113.0</v>
      </c>
      <c r="K181" s="13">
        <v>188.0</v>
      </c>
      <c r="L181" s="13">
        <v>198.0</v>
      </c>
      <c r="M181" s="13">
        <v>206.0</v>
      </c>
      <c r="N181" s="6">
        <f t="shared" ref="N181:N183" si="51">SUM(E181:M181)</f>
        <v>1449</v>
      </c>
    </row>
    <row r="182" ht="12.75" customHeight="1">
      <c r="A182" s="38"/>
      <c r="B182" s="64" t="s">
        <v>156</v>
      </c>
      <c r="C182" s="65" t="s">
        <v>157</v>
      </c>
      <c r="D182" s="9"/>
      <c r="E182" s="13">
        <v>15.0</v>
      </c>
      <c r="F182" s="13">
        <v>15.0</v>
      </c>
      <c r="G182" s="13">
        <v>13.0</v>
      </c>
      <c r="H182" s="13">
        <v>24.0</v>
      </c>
      <c r="I182" s="13">
        <v>6.0</v>
      </c>
      <c r="J182" s="13">
        <v>13.0</v>
      </c>
      <c r="K182" s="13">
        <v>11.0</v>
      </c>
      <c r="L182" s="13">
        <v>16.0</v>
      </c>
      <c r="M182" s="13">
        <v>20.0</v>
      </c>
      <c r="N182" s="6">
        <f t="shared" si="51"/>
        <v>133</v>
      </c>
    </row>
    <row r="183" ht="12.75" customHeight="1">
      <c r="A183" s="43"/>
      <c r="B183" s="64" t="s">
        <v>158</v>
      </c>
      <c r="C183" s="65" t="s">
        <v>159</v>
      </c>
      <c r="D183" s="9"/>
      <c r="E183" s="28">
        <f t="shared" ref="E183:M183" si="52">SUM(E181:E182)</f>
        <v>178</v>
      </c>
      <c r="F183" s="28">
        <f t="shared" si="52"/>
        <v>164</v>
      </c>
      <c r="G183" s="28">
        <f t="shared" si="52"/>
        <v>176</v>
      </c>
      <c r="H183" s="28">
        <f t="shared" si="52"/>
        <v>173</v>
      </c>
      <c r="I183" s="28">
        <f t="shared" si="52"/>
        <v>126</v>
      </c>
      <c r="J183" s="28">
        <f t="shared" si="52"/>
        <v>126</v>
      </c>
      <c r="K183" s="28">
        <f t="shared" si="52"/>
        <v>199</v>
      </c>
      <c r="L183" s="28">
        <f t="shared" si="52"/>
        <v>214</v>
      </c>
      <c r="M183" s="28">
        <f t="shared" si="52"/>
        <v>226</v>
      </c>
      <c r="N183" s="6">
        <f t="shared" si="51"/>
        <v>1582</v>
      </c>
    </row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1">
    <mergeCell ref="C101:D101"/>
    <mergeCell ref="B108:D108"/>
    <mergeCell ref="C110:D110"/>
    <mergeCell ref="B114:D114"/>
    <mergeCell ref="C116:D116"/>
    <mergeCell ref="B123:D123"/>
    <mergeCell ref="C125:D125"/>
    <mergeCell ref="B127:D127"/>
    <mergeCell ref="C129:D129"/>
    <mergeCell ref="B136:D136"/>
    <mergeCell ref="C138:D138"/>
    <mergeCell ref="B144:D144"/>
    <mergeCell ref="C146:D146"/>
    <mergeCell ref="B153:D153"/>
    <mergeCell ref="B178:D178"/>
    <mergeCell ref="A179:D179"/>
    <mergeCell ref="B180:D180"/>
    <mergeCell ref="C181:D181"/>
    <mergeCell ref="C182:D182"/>
    <mergeCell ref="C183:D183"/>
    <mergeCell ref="C155:D155"/>
    <mergeCell ref="B158:D158"/>
    <mergeCell ref="C160:D160"/>
    <mergeCell ref="B164:D164"/>
    <mergeCell ref="C166:D166"/>
    <mergeCell ref="B173:D173"/>
    <mergeCell ref="C175:D175"/>
    <mergeCell ref="B12:D12"/>
    <mergeCell ref="E12:M12"/>
    <mergeCell ref="N12:N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C91:D91"/>
    <mergeCell ref="B92:D92"/>
    <mergeCell ref="C94:D94"/>
    <mergeCell ref="B99:D99"/>
  </mergeCells>
  <conditionalFormatting sqref="E30:M30">
    <cfRule type="expression" dxfId="0" priority="1">
      <formula>E30&lt;&gt;E62</formula>
    </cfRule>
  </conditionalFormatting>
  <conditionalFormatting sqref="E34:M34">
    <cfRule type="expression" dxfId="0" priority="2">
      <formula>E34&lt;&gt;E62</formula>
    </cfRule>
  </conditionalFormatting>
  <conditionalFormatting sqref="E14:M15">
    <cfRule type="containsBlanks" dxfId="1" priority="3">
      <formula>LEN(TRIM(E14))=0</formula>
    </cfRule>
  </conditionalFormatting>
  <conditionalFormatting sqref="E19:M20">
    <cfRule type="containsBlanks" dxfId="1" priority="4">
      <formula>LEN(TRIM(E19))=0</formula>
    </cfRule>
  </conditionalFormatting>
  <conditionalFormatting sqref="E22:M23 E25:M26 E33:M33 E35:M35 E39:M40">
    <cfRule type="containsBlanks" dxfId="1" priority="5">
      <formula>LEN(TRIM(E22))=0</formula>
    </cfRule>
  </conditionalFormatting>
  <conditionalFormatting sqref="E30:M30">
    <cfRule type="expression" dxfId="0" priority="6">
      <formula>E30&lt;&gt;E34</formula>
    </cfRule>
  </conditionalFormatting>
  <conditionalFormatting sqref="E34:M34">
    <cfRule type="expression" dxfId="2" priority="7">
      <formula>E30&lt;&gt;E34</formula>
    </cfRule>
  </conditionalFormatting>
  <conditionalFormatting sqref="E34:M34">
    <cfRule type="expression" dxfId="3" priority="8">
      <formula>E30=E34</formula>
    </cfRule>
  </conditionalFormatting>
  <conditionalFormatting sqref="E34:M34">
    <cfRule type="expression" dxfId="0" priority="9">
      <formula>E34&lt;&gt;E30</formula>
    </cfRule>
  </conditionalFormatting>
  <conditionalFormatting sqref="E45:M51">
    <cfRule type="containsBlanks" dxfId="1" priority="10">
      <formula>LEN(TRIM(E45))=0</formula>
    </cfRule>
  </conditionalFormatting>
  <conditionalFormatting sqref="E54:M60">
    <cfRule type="containsBlanks" dxfId="1" priority="11">
      <formula>LEN(TRIM(E54))=0</formula>
    </cfRule>
  </conditionalFormatting>
  <conditionalFormatting sqref="E63:M69">
    <cfRule type="containsBlanks" dxfId="1" priority="12">
      <formula>LEN(TRIM(E63))=0</formula>
    </cfRule>
  </conditionalFormatting>
  <conditionalFormatting sqref="E72:M78">
    <cfRule type="containsBlanks" dxfId="1" priority="13">
      <formula>LEN(TRIM(E72))=0</formula>
    </cfRule>
  </conditionalFormatting>
  <conditionalFormatting sqref="E81:M87">
    <cfRule type="containsBlanks" dxfId="1" priority="14">
      <formula>LEN(TRIM(E81))=0</formula>
    </cfRule>
  </conditionalFormatting>
  <conditionalFormatting sqref="E90:M91">
    <cfRule type="containsBlanks" dxfId="1" priority="15">
      <formula>LEN(TRIM(E90))=0</formula>
    </cfRule>
  </conditionalFormatting>
  <conditionalFormatting sqref="E94:M98">
    <cfRule type="containsBlanks" dxfId="1" priority="16">
      <formula>LEN(TRIM(E94))=0</formula>
    </cfRule>
  </conditionalFormatting>
  <conditionalFormatting sqref="E101:M107">
    <cfRule type="containsBlanks" dxfId="1" priority="17">
      <formula>LEN(TRIM(E101))=0</formula>
    </cfRule>
  </conditionalFormatting>
  <conditionalFormatting sqref="E110:M113">
    <cfRule type="containsBlanks" dxfId="1" priority="18">
      <formula>LEN(TRIM(E110))=0</formula>
    </cfRule>
  </conditionalFormatting>
  <conditionalFormatting sqref="E116:M122">
    <cfRule type="containsBlanks" dxfId="1" priority="19">
      <formula>LEN(TRIM(E116))=0</formula>
    </cfRule>
  </conditionalFormatting>
  <conditionalFormatting sqref="E125:M126">
    <cfRule type="containsBlanks" dxfId="1" priority="20">
      <formula>LEN(TRIM(E125))=0</formula>
    </cfRule>
  </conditionalFormatting>
  <conditionalFormatting sqref="E129:M135">
    <cfRule type="containsBlanks" dxfId="1" priority="21">
      <formula>LEN(TRIM(E129))=0</formula>
    </cfRule>
  </conditionalFormatting>
  <conditionalFormatting sqref="E138:M143">
    <cfRule type="containsBlanks" dxfId="1" priority="22">
      <formula>LEN(TRIM(E138))=0</formula>
    </cfRule>
  </conditionalFormatting>
  <conditionalFormatting sqref="E146:M152">
    <cfRule type="containsBlanks" dxfId="1" priority="23">
      <formula>LEN(TRIM(E146))=0</formula>
    </cfRule>
  </conditionalFormatting>
  <conditionalFormatting sqref="E155:M157">
    <cfRule type="containsBlanks" dxfId="1" priority="24">
      <formula>LEN(TRIM(E155))=0</formula>
    </cfRule>
  </conditionalFormatting>
  <conditionalFormatting sqref="E160:M163">
    <cfRule type="containsBlanks" dxfId="1" priority="25">
      <formula>LEN(TRIM(E160))=0</formula>
    </cfRule>
  </conditionalFormatting>
  <conditionalFormatting sqref="E166:M172">
    <cfRule type="containsBlanks" dxfId="1" priority="26">
      <formula>LEN(TRIM(E166))=0</formula>
    </cfRule>
  </conditionalFormatting>
  <conditionalFormatting sqref="E175:M177">
    <cfRule type="containsBlanks" dxfId="1" priority="27">
      <formula>LEN(TRIM(E175))=0</formula>
    </cfRule>
  </conditionalFormatting>
  <conditionalFormatting sqref="E181:M182">
    <cfRule type="containsBlanks" dxfId="1" priority="28">
      <formula>LEN(TRIM(E181))=0</formula>
    </cfRule>
  </conditionalFormatting>
  <conditionalFormatting sqref="E183:M183">
    <cfRule type="expression" dxfId="0" priority="29">
      <formula>E183&lt;&gt;E30</formula>
    </cfRule>
  </conditionalFormatting>
  <conditionalFormatting sqref="E183:M183">
    <cfRule type="expression" dxfId="0" priority="30">
      <formula>E183&lt;&gt;E34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2" width="8.71"/>
    <col customWidth="1" min="13" max="13" width="10.43"/>
  </cols>
  <sheetData>
    <row r="1" ht="12.75" customHeight="1"/>
    <row r="2" ht="12.75" customHeight="1">
      <c r="C2" s="1" t="s">
        <v>0</v>
      </c>
      <c r="D2" s="1" t="s">
        <v>1</v>
      </c>
    </row>
    <row r="3" ht="12.75" customHeight="1">
      <c r="C3" s="1" t="s">
        <v>2</v>
      </c>
      <c r="D3" s="1" t="s">
        <v>3</v>
      </c>
    </row>
    <row r="4" ht="12.75" customHeight="1">
      <c r="C4" s="1" t="s">
        <v>4</v>
      </c>
      <c r="D4" s="1" t="s">
        <v>5</v>
      </c>
    </row>
    <row r="5" ht="12.75" customHeight="1">
      <c r="C5" s="1"/>
      <c r="D5" s="1"/>
    </row>
    <row r="6" ht="12.75" customHeight="1">
      <c r="C6" s="1"/>
      <c r="D6" s="1"/>
    </row>
    <row r="7" ht="12.75" customHeight="1">
      <c r="C7" s="1"/>
      <c r="D7" s="1"/>
    </row>
    <row r="8" ht="12.75" customHeight="1">
      <c r="C8" s="1"/>
      <c r="D8" s="1"/>
    </row>
    <row r="9" ht="12.75" customHeight="1">
      <c r="C9" s="1" t="s">
        <v>160</v>
      </c>
      <c r="D9" s="1" t="s">
        <v>171</v>
      </c>
    </row>
    <row r="10" ht="12.75" customHeight="1"/>
    <row r="11" ht="12.75" customHeight="1"/>
    <row r="12" ht="12.75" customHeight="1">
      <c r="A12" s="6" t="s">
        <v>6</v>
      </c>
      <c r="B12" s="7" t="s">
        <v>7</v>
      </c>
      <c r="C12" s="8"/>
      <c r="D12" s="8"/>
      <c r="E12" s="28"/>
      <c r="F12" s="8"/>
      <c r="G12" s="8"/>
      <c r="H12" s="8"/>
      <c r="I12" s="8"/>
      <c r="J12" s="8"/>
      <c r="K12" s="8"/>
      <c r="L12" s="9"/>
      <c r="M12" s="40" t="s">
        <v>8</v>
      </c>
    </row>
    <row r="13" ht="12.75" customHeight="1">
      <c r="A13" s="13" t="s">
        <v>9</v>
      </c>
      <c r="B13" s="14" t="s">
        <v>10</v>
      </c>
      <c r="C13" s="8"/>
      <c r="D13" s="9"/>
      <c r="E13" s="43" t="s">
        <v>162</v>
      </c>
      <c r="F13" s="43" t="s">
        <v>163</v>
      </c>
      <c r="G13" s="43" t="s">
        <v>164</v>
      </c>
      <c r="H13" s="43" t="s">
        <v>165</v>
      </c>
      <c r="I13" s="43" t="s">
        <v>166</v>
      </c>
      <c r="J13" s="43" t="s">
        <v>167</v>
      </c>
      <c r="K13" s="43" t="s">
        <v>168</v>
      </c>
      <c r="L13" s="43" t="s">
        <v>169</v>
      </c>
      <c r="M13" s="27"/>
    </row>
    <row r="14" ht="12.75" customHeight="1">
      <c r="A14" s="18"/>
      <c r="B14" s="19" t="s">
        <v>11</v>
      </c>
      <c r="C14" s="20"/>
      <c r="D14" s="13" t="s">
        <v>12</v>
      </c>
      <c r="E14" s="13">
        <v>129.0</v>
      </c>
      <c r="F14" s="13">
        <v>145.0</v>
      </c>
      <c r="G14" s="13">
        <v>133.0</v>
      </c>
      <c r="H14" s="13">
        <v>108.0</v>
      </c>
      <c r="I14" s="13">
        <v>127.0</v>
      </c>
      <c r="J14" s="13">
        <v>110.0</v>
      </c>
      <c r="K14" s="13">
        <v>99.0</v>
      </c>
      <c r="L14" s="13">
        <v>106.0</v>
      </c>
      <c r="M14" s="6">
        <f t="shared" ref="M14:M16" si="1">SUM(E14:L14)</f>
        <v>957</v>
      </c>
    </row>
    <row r="15" ht="12.75" customHeight="1">
      <c r="A15" s="18"/>
      <c r="B15" s="25"/>
      <c r="C15" s="26"/>
      <c r="D15" s="13" t="s">
        <v>13</v>
      </c>
      <c r="E15" s="13">
        <v>131.0</v>
      </c>
      <c r="F15" s="13">
        <v>129.0</v>
      </c>
      <c r="G15" s="13">
        <v>139.0</v>
      </c>
      <c r="H15" s="13">
        <v>112.0</v>
      </c>
      <c r="I15" s="13">
        <v>133.0</v>
      </c>
      <c r="J15" s="13">
        <v>115.0</v>
      </c>
      <c r="K15" s="13">
        <v>111.0</v>
      </c>
      <c r="L15" s="13">
        <v>109.0</v>
      </c>
      <c r="M15" s="6">
        <f t="shared" si="1"/>
        <v>979</v>
      </c>
    </row>
    <row r="16" ht="12.75" customHeight="1">
      <c r="A16" s="16"/>
      <c r="B16" s="15"/>
      <c r="C16" s="27"/>
      <c r="D16" s="6" t="s">
        <v>14</v>
      </c>
      <c r="E16" s="6">
        <f t="shared" ref="E16:L16" si="2">SUM(E14:E15)</f>
        <v>260</v>
      </c>
      <c r="F16" s="6">
        <f t="shared" si="2"/>
        <v>274</v>
      </c>
      <c r="G16" s="6">
        <f t="shared" si="2"/>
        <v>272</v>
      </c>
      <c r="H16" s="6">
        <f t="shared" si="2"/>
        <v>220</v>
      </c>
      <c r="I16" s="6">
        <f t="shared" si="2"/>
        <v>260</v>
      </c>
      <c r="J16" s="6">
        <f t="shared" si="2"/>
        <v>225</v>
      </c>
      <c r="K16" s="6">
        <f t="shared" si="2"/>
        <v>210</v>
      </c>
      <c r="L16" s="6">
        <f t="shared" si="2"/>
        <v>215</v>
      </c>
      <c r="M16" s="6">
        <f t="shared" si="1"/>
        <v>1936</v>
      </c>
    </row>
    <row r="17" ht="12.75" customHeight="1">
      <c r="A17" s="30"/>
      <c r="B17" s="8"/>
      <c r="C17" s="8"/>
      <c r="D17" s="9"/>
      <c r="E17" s="13"/>
      <c r="F17" s="13"/>
      <c r="G17" s="13"/>
      <c r="H17" s="13"/>
      <c r="I17" s="13"/>
      <c r="J17" s="13"/>
      <c r="K17" s="13"/>
      <c r="L17" s="13"/>
      <c r="M17" s="6"/>
    </row>
    <row r="18" ht="12.75" customHeight="1">
      <c r="A18" s="33" t="s">
        <v>15</v>
      </c>
      <c r="B18" s="14" t="s">
        <v>16</v>
      </c>
      <c r="C18" s="8"/>
      <c r="D18" s="9"/>
      <c r="E18" s="13"/>
      <c r="F18" s="13"/>
      <c r="G18" s="13"/>
      <c r="H18" s="13"/>
      <c r="I18" s="13"/>
      <c r="J18" s="13"/>
      <c r="K18" s="13"/>
      <c r="L18" s="13"/>
      <c r="M18" s="6"/>
    </row>
    <row r="19" ht="12.75" customHeight="1">
      <c r="A19" s="33"/>
      <c r="B19" s="34" t="s">
        <v>17</v>
      </c>
      <c r="C19" s="35" t="s">
        <v>18</v>
      </c>
      <c r="D19" s="13" t="s">
        <v>12</v>
      </c>
      <c r="E19" s="13">
        <v>107.0</v>
      </c>
      <c r="F19" s="13">
        <v>113.0</v>
      </c>
      <c r="G19" s="13">
        <v>102.0</v>
      </c>
      <c r="H19" s="13">
        <v>76.0</v>
      </c>
      <c r="I19" s="13">
        <v>100.0</v>
      </c>
      <c r="J19" s="13">
        <v>99.0</v>
      </c>
      <c r="K19" s="13">
        <v>79.0</v>
      </c>
      <c r="L19" s="13">
        <v>90.0</v>
      </c>
      <c r="M19" s="6">
        <f t="shared" ref="M19:M30" si="3">SUM(E19:L19)</f>
        <v>766</v>
      </c>
    </row>
    <row r="20" ht="12.75" customHeight="1">
      <c r="A20" s="36"/>
      <c r="B20" s="26"/>
      <c r="C20" s="37"/>
      <c r="D20" s="13" t="s">
        <v>13</v>
      </c>
      <c r="E20" s="13">
        <v>96.0</v>
      </c>
      <c r="F20" s="13">
        <v>101.0</v>
      </c>
      <c r="G20" s="13">
        <v>113.0</v>
      </c>
      <c r="H20" s="13">
        <v>86.0</v>
      </c>
      <c r="I20" s="13">
        <v>112.0</v>
      </c>
      <c r="J20" s="13">
        <v>97.0</v>
      </c>
      <c r="K20" s="13">
        <v>89.0</v>
      </c>
      <c r="L20" s="13">
        <v>98.0</v>
      </c>
      <c r="M20" s="6">
        <f t="shared" si="3"/>
        <v>792</v>
      </c>
    </row>
    <row r="21" ht="12.75" customHeight="1">
      <c r="A21" s="38"/>
      <c r="B21" s="27"/>
      <c r="C21" s="39"/>
      <c r="D21" s="6" t="s">
        <v>14</v>
      </c>
      <c r="E21" s="6">
        <f t="shared" ref="E21:F21" si="4">SUM(E19:E20)</f>
        <v>203</v>
      </c>
      <c r="F21" s="6">
        <f t="shared" si="4"/>
        <v>214</v>
      </c>
      <c r="G21" s="6">
        <v>215.0</v>
      </c>
      <c r="H21" s="6">
        <f t="shared" ref="H21:L21" si="5">SUM(H19:H20)</f>
        <v>162</v>
      </c>
      <c r="I21" s="6">
        <f t="shared" si="5"/>
        <v>212</v>
      </c>
      <c r="J21" s="6">
        <f t="shared" si="5"/>
        <v>196</v>
      </c>
      <c r="K21" s="6">
        <f t="shared" si="5"/>
        <v>168</v>
      </c>
      <c r="L21" s="6">
        <f t="shared" si="5"/>
        <v>188</v>
      </c>
      <c r="M21" s="6">
        <f t="shared" si="3"/>
        <v>1558</v>
      </c>
    </row>
    <row r="22" ht="12.75" customHeight="1">
      <c r="A22" s="36"/>
      <c r="B22" s="34" t="s">
        <v>19</v>
      </c>
      <c r="C22" s="35" t="s">
        <v>20</v>
      </c>
      <c r="D22" s="13" t="s">
        <v>12</v>
      </c>
      <c r="E22" s="13">
        <v>0.0</v>
      </c>
      <c r="F22" s="13">
        <v>2.0</v>
      </c>
      <c r="G22" s="13">
        <v>0.0</v>
      </c>
      <c r="H22" s="13">
        <v>0.0</v>
      </c>
      <c r="I22" s="13">
        <v>0.0</v>
      </c>
      <c r="J22" s="13">
        <v>1.0</v>
      </c>
      <c r="K22" s="13">
        <v>0.0</v>
      </c>
      <c r="L22" s="13">
        <v>0.0</v>
      </c>
      <c r="M22" s="6">
        <f t="shared" si="3"/>
        <v>3</v>
      </c>
    </row>
    <row r="23" ht="12.75" customHeight="1">
      <c r="A23" s="36"/>
      <c r="B23" s="26"/>
      <c r="C23" s="37"/>
      <c r="D23" s="13" t="s">
        <v>13</v>
      </c>
      <c r="E23" s="13">
        <v>0.0</v>
      </c>
      <c r="F23" s="13">
        <v>0.0</v>
      </c>
      <c r="G23" s="13">
        <v>0.0</v>
      </c>
      <c r="H23" s="13">
        <v>0.0</v>
      </c>
      <c r="I23" s="13">
        <v>0.0</v>
      </c>
      <c r="J23" s="13">
        <v>0.0</v>
      </c>
      <c r="K23" s="13">
        <v>0.0</v>
      </c>
      <c r="L23" s="13">
        <v>0.0</v>
      </c>
      <c r="M23" s="6">
        <f t="shared" si="3"/>
        <v>0</v>
      </c>
    </row>
    <row r="24" ht="12.75" customHeight="1">
      <c r="A24" s="38"/>
      <c r="B24" s="27"/>
      <c r="C24" s="39"/>
      <c r="D24" s="6" t="s">
        <v>14</v>
      </c>
      <c r="E24" s="6">
        <f t="shared" ref="E24:L24" si="6">SUM(E22:E23)</f>
        <v>0</v>
      </c>
      <c r="F24" s="6">
        <f t="shared" si="6"/>
        <v>2</v>
      </c>
      <c r="G24" s="6">
        <f t="shared" si="6"/>
        <v>0</v>
      </c>
      <c r="H24" s="6">
        <f t="shared" si="6"/>
        <v>0</v>
      </c>
      <c r="I24" s="6">
        <f t="shared" si="6"/>
        <v>0</v>
      </c>
      <c r="J24" s="6">
        <f t="shared" si="6"/>
        <v>1</v>
      </c>
      <c r="K24" s="6">
        <f t="shared" si="6"/>
        <v>0</v>
      </c>
      <c r="L24" s="6">
        <f t="shared" si="6"/>
        <v>0</v>
      </c>
      <c r="M24" s="6">
        <f t="shared" si="3"/>
        <v>3</v>
      </c>
    </row>
    <row r="25" ht="12.75" customHeight="1">
      <c r="A25" s="36"/>
      <c r="B25" s="34" t="s">
        <v>21</v>
      </c>
      <c r="C25" s="35" t="s">
        <v>22</v>
      </c>
      <c r="D25" s="13" t="s">
        <v>12</v>
      </c>
      <c r="E25" s="13">
        <v>0.0</v>
      </c>
      <c r="F25" s="13">
        <v>0.0</v>
      </c>
      <c r="G25" s="13">
        <v>0.0</v>
      </c>
      <c r="H25" s="13">
        <v>0.0</v>
      </c>
      <c r="I25" s="13">
        <v>1.0</v>
      </c>
      <c r="J25" s="13">
        <v>4.0</v>
      </c>
      <c r="K25" s="13">
        <v>1.0</v>
      </c>
      <c r="L25" s="13">
        <v>2.0</v>
      </c>
      <c r="M25" s="6">
        <f t="shared" si="3"/>
        <v>8</v>
      </c>
    </row>
    <row r="26" ht="12.75" customHeight="1">
      <c r="A26" s="36"/>
      <c r="B26" s="26"/>
      <c r="C26" s="37"/>
      <c r="D26" s="13" t="s">
        <v>13</v>
      </c>
      <c r="E26" s="13">
        <v>0.0</v>
      </c>
      <c r="F26" s="13">
        <v>1.0</v>
      </c>
      <c r="G26" s="13">
        <v>1.0</v>
      </c>
      <c r="H26" s="13">
        <v>0.0</v>
      </c>
      <c r="I26" s="13">
        <v>2.0</v>
      </c>
      <c r="J26" s="13">
        <v>2.0</v>
      </c>
      <c r="K26" s="13">
        <v>1.0</v>
      </c>
      <c r="L26" s="13">
        <v>0.0</v>
      </c>
      <c r="M26" s="6">
        <f t="shared" si="3"/>
        <v>7</v>
      </c>
    </row>
    <row r="27" ht="12.75" customHeight="1">
      <c r="A27" s="38"/>
      <c r="B27" s="27"/>
      <c r="C27" s="39"/>
      <c r="D27" s="6" t="s">
        <v>14</v>
      </c>
      <c r="E27" s="6">
        <f t="shared" ref="E27:L27" si="7">SUM(E25:E26)</f>
        <v>0</v>
      </c>
      <c r="F27" s="6">
        <f t="shared" si="7"/>
        <v>1</v>
      </c>
      <c r="G27" s="6">
        <f t="shared" si="7"/>
        <v>1</v>
      </c>
      <c r="H27" s="6">
        <f t="shared" si="7"/>
        <v>0</v>
      </c>
      <c r="I27" s="6">
        <f t="shared" si="7"/>
        <v>3</v>
      </c>
      <c r="J27" s="6">
        <f t="shared" si="7"/>
        <v>6</v>
      </c>
      <c r="K27" s="6">
        <f t="shared" si="7"/>
        <v>2</v>
      </c>
      <c r="L27" s="6">
        <f t="shared" si="7"/>
        <v>2</v>
      </c>
      <c r="M27" s="6">
        <f t="shared" si="3"/>
        <v>15</v>
      </c>
    </row>
    <row r="28" ht="12.75" customHeight="1">
      <c r="A28" s="38"/>
      <c r="B28" s="40" t="s">
        <v>23</v>
      </c>
      <c r="C28" s="41" t="s">
        <v>24</v>
      </c>
      <c r="D28" s="6" t="s">
        <v>12</v>
      </c>
      <c r="E28" s="6">
        <f t="shared" ref="E28:L28" si="8">SUM(E19,E22,E25)</f>
        <v>107</v>
      </c>
      <c r="F28" s="6">
        <f t="shared" si="8"/>
        <v>115</v>
      </c>
      <c r="G28" s="6">
        <f t="shared" si="8"/>
        <v>102</v>
      </c>
      <c r="H28" s="6">
        <f t="shared" si="8"/>
        <v>76</v>
      </c>
      <c r="I28" s="6">
        <f t="shared" si="8"/>
        <v>101</v>
      </c>
      <c r="J28" s="6">
        <f t="shared" si="8"/>
        <v>104</v>
      </c>
      <c r="K28" s="6">
        <f t="shared" si="8"/>
        <v>80</v>
      </c>
      <c r="L28" s="6">
        <f t="shared" si="8"/>
        <v>92</v>
      </c>
      <c r="M28" s="6">
        <f t="shared" si="3"/>
        <v>777</v>
      </c>
    </row>
    <row r="29" ht="12.75" customHeight="1">
      <c r="A29" s="38"/>
      <c r="B29" s="26"/>
      <c r="C29" s="37"/>
      <c r="D29" s="6" t="s">
        <v>13</v>
      </c>
      <c r="E29" s="6">
        <f t="shared" ref="E29:L29" si="9">SUM(E20,E23,E26)</f>
        <v>96</v>
      </c>
      <c r="F29" s="6">
        <f t="shared" si="9"/>
        <v>102</v>
      </c>
      <c r="G29" s="6">
        <f t="shared" si="9"/>
        <v>114</v>
      </c>
      <c r="H29" s="6">
        <f t="shared" si="9"/>
        <v>86</v>
      </c>
      <c r="I29" s="6">
        <f t="shared" si="9"/>
        <v>114</v>
      </c>
      <c r="J29" s="6">
        <f t="shared" si="9"/>
        <v>99</v>
      </c>
      <c r="K29" s="6">
        <f t="shared" si="9"/>
        <v>90</v>
      </c>
      <c r="L29" s="6">
        <f t="shared" si="9"/>
        <v>98</v>
      </c>
      <c r="M29" s="6">
        <f t="shared" si="3"/>
        <v>799</v>
      </c>
    </row>
    <row r="30" ht="12.75" customHeight="1">
      <c r="A30" s="38"/>
      <c r="B30" s="27"/>
      <c r="C30" s="39"/>
      <c r="D30" s="6" t="s">
        <v>14</v>
      </c>
      <c r="E30" s="6">
        <f t="shared" ref="E30:L30" si="10">SUM(E28:E29)</f>
        <v>203</v>
      </c>
      <c r="F30" s="6">
        <f t="shared" si="10"/>
        <v>217</v>
      </c>
      <c r="G30" s="6">
        <f t="shared" si="10"/>
        <v>216</v>
      </c>
      <c r="H30" s="6">
        <f t="shared" si="10"/>
        <v>162</v>
      </c>
      <c r="I30" s="6">
        <f t="shared" si="10"/>
        <v>215</v>
      </c>
      <c r="J30" s="6">
        <f t="shared" si="10"/>
        <v>203</v>
      </c>
      <c r="K30" s="6">
        <f t="shared" si="10"/>
        <v>170</v>
      </c>
      <c r="L30" s="6">
        <f t="shared" si="10"/>
        <v>190</v>
      </c>
      <c r="M30" s="6">
        <f t="shared" si="3"/>
        <v>1576</v>
      </c>
    </row>
    <row r="31" ht="12.75" customHeight="1">
      <c r="A31" s="30"/>
      <c r="B31" s="8"/>
      <c r="C31" s="8"/>
      <c r="D31" s="9"/>
      <c r="E31" s="13"/>
      <c r="F31" s="13"/>
      <c r="G31" s="13"/>
      <c r="H31" s="13"/>
      <c r="I31" s="13"/>
      <c r="J31" s="13"/>
      <c r="K31" s="13"/>
      <c r="L31" s="13"/>
      <c r="M31" s="6"/>
    </row>
    <row r="32" ht="12.75" customHeight="1">
      <c r="A32" s="43" t="s">
        <v>25</v>
      </c>
      <c r="B32" s="7" t="s">
        <v>26</v>
      </c>
      <c r="C32" s="8"/>
      <c r="D32" s="9"/>
      <c r="E32" s="6"/>
      <c r="F32" s="6"/>
      <c r="G32" s="6"/>
      <c r="H32" s="6"/>
      <c r="I32" s="6"/>
      <c r="J32" s="6"/>
      <c r="K32" s="6"/>
      <c r="L32" s="6"/>
      <c r="M32" s="6"/>
    </row>
    <row r="33" ht="12.75" customHeight="1">
      <c r="A33" s="13">
        <v>1.0</v>
      </c>
      <c r="B33" s="14" t="s">
        <v>27</v>
      </c>
      <c r="C33" s="8"/>
      <c r="D33" s="9"/>
      <c r="E33" s="13">
        <v>266.0</v>
      </c>
      <c r="F33" s="13">
        <v>280.0</v>
      </c>
      <c r="G33" s="13">
        <v>279.0</v>
      </c>
      <c r="H33" s="13">
        <v>224.0</v>
      </c>
      <c r="I33" s="13">
        <v>256.0</v>
      </c>
      <c r="J33" s="13">
        <v>211.0</v>
      </c>
      <c r="K33" s="13">
        <v>205.0</v>
      </c>
      <c r="L33" s="13">
        <v>220.0</v>
      </c>
      <c r="M33" s="6">
        <f t="shared" ref="M33:M36" si="11">SUM(E33:L33)</f>
        <v>1941</v>
      </c>
    </row>
    <row r="34" ht="12.75" customHeight="1">
      <c r="A34" s="13">
        <v>2.0</v>
      </c>
      <c r="B34" s="14" t="s">
        <v>28</v>
      </c>
      <c r="C34" s="8"/>
      <c r="D34" s="9"/>
      <c r="E34" s="6">
        <v>203.0</v>
      </c>
      <c r="F34" s="6">
        <v>217.0</v>
      </c>
      <c r="G34" s="6">
        <v>216.0</v>
      </c>
      <c r="H34" s="6">
        <v>162.0</v>
      </c>
      <c r="I34" s="6">
        <v>215.0</v>
      </c>
      <c r="J34" s="6">
        <v>203.0</v>
      </c>
      <c r="K34" s="6">
        <v>170.0</v>
      </c>
      <c r="L34" s="6">
        <v>190.0</v>
      </c>
      <c r="M34" s="6">
        <f t="shared" si="11"/>
        <v>1576</v>
      </c>
    </row>
    <row r="35" ht="12.75" customHeight="1">
      <c r="A35" s="13">
        <v>3.0</v>
      </c>
      <c r="B35" s="14" t="s">
        <v>29</v>
      </c>
      <c r="C35" s="8"/>
      <c r="D35" s="9"/>
      <c r="E35" s="13">
        <v>0.0</v>
      </c>
      <c r="F35" s="13">
        <v>0.0</v>
      </c>
      <c r="G35" s="13">
        <v>0.0</v>
      </c>
      <c r="H35" s="13">
        <v>0.0</v>
      </c>
      <c r="I35" s="13">
        <v>0.0</v>
      </c>
      <c r="J35" s="13">
        <v>3.0</v>
      </c>
      <c r="K35" s="13">
        <v>0.0</v>
      </c>
      <c r="L35" s="13">
        <v>0.0</v>
      </c>
      <c r="M35" s="6">
        <f t="shared" si="11"/>
        <v>3</v>
      </c>
    </row>
    <row r="36" ht="12.75" customHeight="1">
      <c r="A36" s="13">
        <v>4.0</v>
      </c>
      <c r="B36" s="14" t="s">
        <v>30</v>
      </c>
      <c r="C36" s="8"/>
      <c r="D36" s="9"/>
      <c r="E36" s="6">
        <f t="shared" ref="E36:L36" si="12">E33-(E34+E35)</f>
        <v>63</v>
      </c>
      <c r="F36" s="6">
        <f t="shared" si="12"/>
        <v>63</v>
      </c>
      <c r="G36" s="6">
        <f t="shared" si="12"/>
        <v>63</v>
      </c>
      <c r="H36" s="6">
        <f t="shared" si="12"/>
        <v>62</v>
      </c>
      <c r="I36" s="6">
        <f t="shared" si="12"/>
        <v>41</v>
      </c>
      <c r="J36" s="6">
        <f t="shared" si="12"/>
        <v>5</v>
      </c>
      <c r="K36" s="6">
        <f t="shared" si="12"/>
        <v>35</v>
      </c>
      <c r="L36" s="6">
        <f t="shared" si="12"/>
        <v>30</v>
      </c>
      <c r="M36" s="6">
        <f t="shared" si="11"/>
        <v>362</v>
      </c>
    </row>
    <row r="37" ht="12.75" customHeight="1">
      <c r="A37" s="30"/>
      <c r="B37" s="8"/>
      <c r="C37" s="8"/>
      <c r="D37" s="8"/>
      <c r="E37" s="30"/>
      <c r="F37" s="8"/>
      <c r="G37" s="8"/>
      <c r="H37" s="8"/>
      <c r="I37" s="9"/>
      <c r="J37" s="13"/>
      <c r="K37" s="13"/>
      <c r="L37" s="13"/>
      <c r="M37" s="6"/>
    </row>
    <row r="38" ht="12.75" customHeight="1">
      <c r="A38" s="46" t="s">
        <v>31</v>
      </c>
      <c r="B38" s="7" t="s">
        <v>32</v>
      </c>
      <c r="C38" s="8"/>
      <c r="D38" s="9"/>
      <c r="E38" s="6"/>
      <c r="F38" s="6"/>
      <c r="G38" s="6"/>
      <c r="H38" s="6"/>
      <c r="I38" s="6"/>
      <c r="J38" s="6"/>
      <c r="K38" s="6"/>
      <c r="L38" s="6"/>
      <c r="M38" s="6"/>
    </row>
    <row r="39" ht="12.75" customHeight="1">
      <c r="A39" s="33"/>
      <c r="B39" s="47" t="s">
        <v>33</v>
      </c>
      <c r="C39" s="20"/>
      <c r="D39" s="13" t="s">
        <v>12</v>
      </c>
      <c r="E39" s="13">
        <v>0.0</v>
      </c>
      <c r="F39" s="13">
        <v>0.0</v>
      </c>
      <c r="G39" s="13">
        <v>0.0</v>
      </c>
      <c r="H39" s="13">
        <v>0.0</v>
      </c>
      <c r="I39" s="13">
        <v>2.0</v>
      </c>
      <c r="J39" s="13">
        <v>0.0</v>
      </c>
      <c r="K39" s="13">
        <v>0.0</v>
      </c>
      <c r="L39" s="13">
        <v>0.0</v>
      </c>
      <c r="M39" s="6">
        <f t="shared" ref="M39:M41" si="13">SUM(E39:L39)</f>
        <v>2</v>
      </c>
    </row>
    <row r="40" ht="12.75" customHeight="1">
      <c r="A40" s="36"/>
      <c r="C40" s="26"/>
      <c r="D40" s="13" t="s">
        <v>13</v>
      </c>
      <c r="E40" s="13">
        <v>0.0</v>
      </c>
      <c r="F40" s="13">
        <v>0.0</v>
      </c>
      <c r="G40" s="13">
        <v>0.0</v>
      </c>
      <c r="H40" s="13">
        <v>0.0</v>
      </c>
      <c r="I40" s="13">
        <v>0.0</v>
      </c>
      <c r="J40" s="13">
        <v>0.0</v>
      </c>
      <c r="K40" s="13">
        <v>0.0</v>
      </c>
      <c r="L40" s="13">
        <v>0.0</v>
      </c>
      <c r="M40" s="6">
        <f t="shared" si="13"/>
        <v>0</v>
      </c>
    </row>
    <row r="41" ht="12.75" customHeight="1">
      <c r="A41" s="43"/>
      <c r="B41" s="48"/>
      <c r="C41" s="27"/>
      <c r="D41" s="6" t="s">
        <v>14</v>
      </c>
      <c r="E41" s="6">
        <f t="shared" ref="E41:L41" si="14">SUM(E39:E40)</f>
        <v>0</v>
      </c>
      <c r="F41" s="6">
        <f t="shared" si="14"/>
        <v>0</v>
      </c>
      <c r="G41" s="6">
        <f t="shared" si="14"/>
        <v>0</v>
      </c>
      <c r="H41" s="6">
        <f t="shared" si="14"/>
        <v>0</v>
      </c>
      <c r="I41" s="6">
        <f t="shared" si="14"/>
        <v>2</v>
      </c>
      <c r="J41" s="6">
        <f t="shared" si="14"/>
        <v>0</v>
      </c>
      <c r="K41" s="6">
        <f t="shared" si="14"/>
        <v>0</v>
      </c>
      <c r="L41" s="6">
        <f t="shared" si="14"/>
        <v>0</v>
      </c>
      <c r="M41" s="6">
        <f t="shared" si="13"/>
        <v>2</v>
      </c>
    </row>
    <row r="42" ht="12.75" customHeight="1">
      <c r="A42" s="49"/>
      <c r="B42" s="48"/>
      <c r="C42" s="48"/>
      <c r="D42" s="27"/>
      <c r="E42" s="30"/>
      <c r="F42" s="8"/>
      <c r="G42" s="8"/>
      <c r="H42" s="8"/>
      <c r="I42" s="9"/>
      <c r="J42" s="13"/>
      <c r="K42" s="13"/>
      <c r="L42" s="13"/>
      <c r="M42" s="6"/>
    </row>
    <row r="43" ht="12.75" customHeight="1">
      <c r="A43" s="46" t="s">
        <v>34</v>
      </c>
      <c r="B43" s="7" t="s">
        <v>35</v>
      </c>
      <c r="C43" s="8"/>
      <c r="D43" s="9"/>
      <c r="E43" s="28"/>
      <c r="F43" s="6"/>
      <c r="G43" s="6"/>
      <c r="H43" s="6"/>
      <c r="I43" s="6"/>
      <c r="J43" s="6"/>
      <c r="K43" s="6"/>
      <c r="L43" s="6"/>
      <c r="M43" s="6"/>
    </row>
    <row r="44" ht="12.75" customHeight="1">
      <c r="A44" s="47" t="s">
        <v>36</v>
      </c>
      <c r="B44" s="50"/>
      <c r="C44" s="50"/>
      <c r="D44" s="20"/>
      <c r="E44" s="30"/>
      <c r="F44" s="13"/>
      <c r="G44" s="13"/>
      <c r="H44" s="13"/>
      <c r="I44" s="13"/>
      <c r="J44" s="13"/>
      <c r="K44" s="13"/>
      <c r="L44" s="13"/>
      <c r="M44" s="6"/>
    </row>
    <row r="45" ht="12.75" customHeight="1">
      <c r="A45" s="33" t="s">
        <v>37</v>
      </c>
      <c r="B45" s="51" t="s">
        <v>17</v>
      </c>
      <c r="C45" s="52" t="s">
        <v>38</v>
      </c>
      <c r="D45" s="9"/>
      <c r="E45" s="13">
        <v>8.0</v>
      </c>
      <c r="F45" s="13">
        <v>11.0</v>
      </c>
      <c r="G45" s="13">
        <v>3.0</v>
      </c>
      <c r="H45" s="13">
        <v>7.0</v>
      </c>
      <c r="I45" s="13">
        <v>8.0</v>
      </c>
      <c r="J45" s="13">
        <v>10.0</v>
      </c>
      <c r="K45" s="13">
        <v>1.0</v>
      </c>
      <c r="L45" s="13">
        <v>3.0</v>
      </c>
      <c r="M45" s="6">
        <f t="shared" ref="M45:M52" si="15">SUM(E45:L45)</f>
        <v>51</v>
      </c>
    </row>
    <row r="46" ht="12.75" customHeight="1">
      <c r="A46" s="33" t="s">
        <v>39</v>
      </c>
      <c r="B46" s="54">
        <v>1.0</v>
      </c>
      <c r="C46" s="55" t="s">
        <v>40</v>
      </c>
      <c r="D46" s="56"/>
      <c r="E46" s="13">
        <v>18.0</v>
      </c>
      <c r="F46" s="13">
        <v>12.0</v>
      </c>
      <c r="G46" s="13">
        <v>7.0</v>
      </c>
      <c r="H46" s="13">
        <v>4.0</v>
      </c>
      <c r="I46" s="13">
        <v>8.0</v>
      </c>
      <c r="J46" s="13">
        <v>4.0</v>
      </c>
      <c r="K46" s="13">
        <v>5.0</v>
      </c>
      <c r="L46" s="13">
        <v>11.0</v>
      </c>
      <c r="M46" s="6">
        <f t="shared" si="15"/>
        <v>69</v>
      </c>
    </row>
    <row r="47" ht="12.75" customHeight="1">
      <c r="A47" s="18"/>
      <c r="B47" s="54">
        <v>2.0</v>
      </c>
      <c r="C47" s="55" t="s">
        <v>41</v>
      </c>
      <c r="D47" s="56"/>
      <c r="E47" s="13">
        <v>1.0</v>
      </c>
      <c r="F47" s="13">
        <v>1.0</v>
      </c>
      <c r="G47" s="13">
        <v>0.0</v>
      </c>
      <c r="H47" s="13">
        <v>1.0</v>
      </c>
      <c r="I47" s="13">
        <v>0.0</v>
      </c>
      <c r="J47" s="13">
        <v>0.0</v>
      </c>
      <c r="K47" s="13">
        <v>1.0</v>
      </c>
      <c r="L47" s="13">
        <v>1.0</v>
      </c>
      <c r="M47" s="6">
        <f t="shared" si="15"/>
        <v>5</v>
      </c>
    </row>
    <row r="48" ht="12.75" customHeight="1">
      <c r="A48" s="18"/>
      <c r="B48" s="54">
        <v>3.0</v>
      </c>
      <c r="C48" s="55" t="s">
        <v>42</v>
      </c>
      <c r="D48" s="56"/>
      <c r="E48" s="13">
        <v>0.0</v>
      </c>
      <c r="F48" s="13">
        <v>1.0</v>
      </c>
      <c r="G48" s="13">
        <v>3.0</v>
      </c>
      <c r="H48" s="13">
        <v>0.0</v>
      </c>
      <c r="I48" s="13">
        <v>1.0</v>
      </c>
      <c r="J48" s="13">
        <v>4.0</v>
      </c>
      <c r="K48" s="13">
        <v>1.0</v>
      </c>
      <c r="L48" s="13">
        <v>0.0</v>
      </c>
      <c r="M48" s="6">
        <f t="shared" si="15"/>
        <v>10</v>
      </c>
    </row>
    <row r="49" ht="12.75" customHeight="1">
      <c r="A49" s="18"/>
      <c r="B49" s="54">
        <v>4.0</v>
      </c>
      <c r="C49" s="55" t="s">
        <v>43</v>
      </c>
      <c r="D49" s="56"/>
      <c r="E49" s="13">
        <v>0.0</v>
      </c>
      <c r="F49" s="13">
        <v>0.0</v>
      </c>
      <c r="G49" s="13">
        <v>0.0</v>
      </c>
      <c r="H49" s="13">
        <v>0.0</v>
      </c>
      <c r="I49" s="13">
        <v>0.0</v>
      </c>
      <c r="J49" s="13">
        <v>0.0</v>
      </c>
      <c r="K49" s="13">
        <v>0.0</v>
      </c>
      <c r="L49" s="13">
        <v>0.0</v>
      </c>
      <c r="M49" s="6">
        <f t="shared" si="15"/>
        <v>0</v>
      </c>
    </row>
    <row r="50" ht="12.75" customHeight="1">
      <c r="A50" s="18"/>
      <c r="B50" s="54">
        <v>5.0</v>
      </c>
      <c r="C50" s="55" t="s">
        <v>44</v>
      </c>
      <c r="D50" s="56"/>
      <c r="E50" s="13">
        <v>0.0</v>
      </c>
      <c r="F50" s="13">
        <v>0.0</v>
      </c>
      <c r="G50" s="13">
        <v>0.0</v>
      </c>
      <c r="H50" s="13">
        <v>0.0</v>
      </c>
      <c r="I50" s="13">
        <v>0.0</v>
      </c>
      <c r="J50" s="13">
        <v>0.0</v>
      </c>
      <c r="K50" s="13">
        <v>0.0</v>
      </c>
      <c r="L50" s="13">
        <v>0.0</v>
      </c>
      <c r="M50" s="6">
        <f t="shared" si="15"/>
        <v>0</v>
      </c>
    </row>
    <row r="51" ht="12.75" customHeight="1">
      <c r="A51" s="18"/>
      <c r="B51" s="54">
        <v>6.0</v>
      </c>
      <c r="C51" s="55" t="s">
        <v>45</v>
      </c>
      <c r="D51" s="56"/>
      <c r="E51" s="13">
        <v>0.0</v>
      </c>
      <c r="F51" s="13">
        <v>0.0</v>
      </c>
      <c r="G51" s="13">
        <v>0.0</v>
      </c>
      <c r="H51" s="13">
        <v>0.0</v>
      </c>
      <c r="I51" s="13">
        <v>0.0</v>
      </c>
      <c r="J51" s="13">
        <v>0.0</v>
      </c>
      <c r="K51" s="13">
        <v>0.0</v>
      </c>
      <c r="L51" s="13">
        <v>0.0</v>
      </c>
      <c r="M51" s="6">
        <f t="shared" si="15"/>
        <v>0</v>
      </c>
    </row>
    <row r="52" ht="12.75" customHeight="1">
      <c r="A52" s="13" t="s">
        <v>15</v>
      </c>
      <c r="B52" s="51" t="s">
        <v>46</v>
      </c>
      <c r="C52" s="8"/>
      <c r="D52" s="9"/>
      <c r="E52" s="57">
        <f t="shared" ref="E52:L52" si="16">SUM(E45:E51)</f>
        <v>27</v>
      </c>
      <c r="F52" s="57">
        <f t="shared" si="16"/>
        <v>25</v>
      </c>
      <c r="G52" s="57">
        <f t="shared" si="16"/>
        <v>13</v>
      </c>
      <c r="H52" s="57">
        <f t="shared" si="16"/>
        <v>12</v>
      </c>
      <c r="I52" s="57">
        <f t="shared" si="16"/>
        <v>17</v>
      </c>
      <c r="J52" s="57">
        <f t="shared" si="16"/>
        <v>18</v>
      </c>
      <c r="K52" s="57">
        <f t="shared" si="16"/>
        <v>8</v>
      </c>
      <c r="L52" s="57">
        <f t="shared" si="16"/>
        <v>15</v>
      </c>
      <c r="M52" s="6">
        <f t="shared" si="15"/>
        <v>135</v>
      </c>
    </row>
    <row r="53" ht="12.75" customHeight="1">
      <c r="A53" s="68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"/>
    </row>
    <row r="54" ht="12.75" customHeight="1">
      <c r="A54" s="33" t="s">
        <v>37</v>
      </c>
      <c r="B54" s="51" t="s">
        <v>19</v>
      </c>
      <c r="C54" s="52" t="s">
        <v>47</v>
      </c>
      <c r="D54" s="9"/>
      <c r="E54" s="13">
        <v>17.0</v>
      </c>
      <c r="F54" s="13">
        <v>20.0</v>
      </c>
      <c r="G54" s="13">
        <v>10.0</v>
      </c>
      <c r="H54" s="13">
        <v>10.0</v>
      </c>
      <c r="I54" s="13">
        <v>26.0</v>
      </c>
      <c r="J54" s="13">
        <v>23.0</v>
      </c>
      <c r="K54" s="13">
        <v>12.0</v>
      </c>
      <c r="L54" s="13">
        <v>13.0</v>
      </c>
      <c r="M54" s="6">
        <f t="shared" ref="M54:M61" si="17">SUM(E54:L54)</f>
        <v>131</v>
      </c>
    </row>
    <row r="55" ht="12.75" customHeight="1">
      <c r="A55" s="33" t="s">
        <v>39</v>
      </c>
      <c r="B55" s="54">
        <v>1.0</v>
      </c>
      <c r="C55" s="55" t="s">
        <v>48</v>
      </c>
      <c r="D55" s="56"/>
      <c r="E55" s="13">
        <v>3.0</v>
      </c>
      <c r="F55" s="13">
        <v>3.0</v>
      </c>
      <c r="G55" s="13">
        <v>3.0</v>
      </c>
      <c r="H55" s="13">
        <v>2.0</v>
      </c>
      <c r="I55" s="13">
        <v>10.0</v>
      </c>
      <c r="J55" s="13">
        <v>21.0</v>
      </c>
      <c r="K55" s="13">
        <v>10.0</v>
      </c>
      <c r="L55" s="13">
        <v>17.0</v>
      </c>
      <c r="M55" s="6">
        <f t="shared" si="17"/>
        <v>69</v>
      </c>
    </row>
    <row r="56" ht="12.75" customHeight="1">
      <c r="A56" s="18"/>
      <c r="B56" s="54">
        <v>2.0</v>
      </c>
      <c r="C56" s="55" t="s">
        <v>49</v>
      </c>
      <c r="D56" s="56"/>
      <c r="E56" s="13">
        <v>5.0</v>
      </c>
      <c r="F56" s="13">
        <v>3.0</v>
      </c>
      <c r="G56" s="13">
        <v>0.0</v>
      </c>
      <c r="H56" s="13">
        <v>2.0</v>
      </c>
      <c r="I56" s="13">
        <v>3.0</v>
      </c>
      <c r="J56" s="13">
        <v>5.0</v>
      </c>
      <c r="K56" s="13">
        <v>7.0</v>
      </c>
      <c r="L56" s="13">
        <v>11.0</v>
      </c>
      <c r="M56" s="6">
        <f t="shared" si="17"/>
        <v>36</v>
      </c>
    </row>
    <row r="57" ht="12.75" customHeight="1">
      <c r="A57" s="18"/>
      <c r="B57" s="54">
        <v>3.0</v>
      </c>
      <c r="C57" s="55" t="s">
        <v>50</v>
      </c>
      <c r="D57" s="56"/>
      <c r="E57" s="13">
        <v>0.0</v>
      </c>
      <c r="F57" s="13">
        <v>1.0</v>
      </c>
      <c r="G57" s="13">
        <v>1.0</v>
      </c>
      <c r="H57" s="13">
        <v>0.0</v>
      </c>
      <c r="I57" s="13">
        <v>1.0</v>
      </c>
      <c r="J57" s="13">
        <v>0.0</v>
      </c>
      <c r="K57" s="13">
        <v>0.0</v>
      </c>
      <c r="L57" s="13">
        <v>3.0</v>
      </c>
      <c r="M57" s="6">
        <f t="shared" si="17"/>
        <v>6</v>
      </c>
    </row>
    <row r="58" ht="12.75" customHeight="1">
      <c r="A58" s="18"/>
      <c r="B58" s="54">
        <v>4.0</v>
      </c>
      <c r="C58" s="55" t="s">
        <v>51</v>
      </c>
      <c r="D58" s="56"/>
      <c r="E58" s="13">
        <v>0.0</v>
      </c>
      <c r="F58" s="13">
        <v>0.0</v>
      </c>
      <c r="G58" s="13">
        <v>0.0</v>
      </c>
      <c r="H58" s="13">
        <v>0.0</v>
      </c>
      <c r="I58" s="13">
        <v>1.0</v>
      </c>
      <c r="J58" s="13">
        <v>0.0</v>
      </c>
      <c r="K58" s="13">
        <v>2.0</v>
      </c>
      <c r="L58" s="13">
        <v>1.0</v>
      </c>
      <c r="M58" s="6">
        <f t="shared" si="17"/>
        <v>4</v>
      </c>
    </row>
    <row r="59" ht="12.75" customHeight="1">
      <c r="A59" s="18"/>
      <c r="B59" s="54">
        <v>5.0</v>
      </c>
      <c r="C59" s="55" t="s">
        <v>52</v>
      </c>
      <c r="D59" s="56"/>
      <c r="E59" s="13">
        <v>0.0</v>
      </c>
      <c r="F59" s="13">
        <v>0.0</v>
      </c>
      <c r="G59" s="13">
        <v>0.0</v>
      </c>
      <c r="H59" s="13">
        <v>0.0</v>
      </c>
      <c r="I59" s="13">
        <v>0.0</v>
      </c>
      <c r="J59" s="13">
        <v>0.0</v>
      </c>
      <c r="K59" s="13">
        <v>0.0</v>
      </c>
      <c r="L59" s="13">
        <v>0.0</v>
      </c>
      <c r="M59" s="6">
        <f t="shared" si="17"/>
        <v>0</v>
      </c>
    </row>
    <row r="60" ht="12.75" customHeight="1">
      <c r="A60" s="18"/>
      <c r="B60" s="54">
        <v>6.0</v>
      </c>
      <c r="C60" s="55" t="s">
        <v>53</v>
      </c>
      <c r="D60" s="56"/>
      <c r="E60" s="13">
        <v>0.0</v>
      </c>
      <c r="F60" s="13">
        <v>0.0</v>
      </c>
      <c r="G60" s="13">
        <v>0.0</v>
      </c>
      <c r="H60" s="13">
        <v>0.0</v>
      </c>
      <c r="I60" s="13">
        <v>0.0</v>
      </c>
      <c r="J60" s="13">
        <v>3.0</v>
      </c>
      <c r="K60" s="13">
        <v>4.0</v>
      </c>
      <c r="L60" s="13">
        <v>0.0</v>
      </c>
      <c r="M60" s="6">
        <f t="shared" si="17"/>
        <v>7</v>
      </c>
    </row>
    <row r="61" ht="12.75" customHeight="1">
      <c r="A61" s="13" t="s">
        <v>15</v>
      </c>
      <c r="B61" s="51" t="s">
        <v>46</v>
      </c>
      <c r="C61" s="8"/>
      <c r="D61" s="9"/>
      <c r="E61" s="57">
        <f t="shared" ref="E61:L61" si="18">SUM(E54:E60)</f>
        <v>25</v>
      </c>
      <c r="F61" s="57">
        <f t="shared" si="18"/>
        <v>27</v>
      </c>
      <c r="G61" s="57">
        <f t="shared" si="18"/>
        <v>14</v>
      </c>
      <c r="H61" s="57">
        <f t="shared" si="18"/>
        <v>14</v>
      </c>
      <c r="I61" s="57">
        <f t="shared" si="18"/>
        <v>41</v>
      </c>
      <c r="J61" s="57">
        <f t="shared" si="18"/>
        <v>52</v>
      </c>
      <c r="K61" s="57">
        <f t="shared" si="18"/>
        <v>35</v>
      </c>
      <c r="L61" s="57">
        <f t="shared" si="18"/>
        <v>45</v>
      </c>
      <c r="M61" s="6">
        <f t="shared" si="17"/>
        <v>253</v>
      </c>
    </row>
    <row r="62" ht="12.75" customHeight="1">
      <c r="A62" s="68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"/>
    </row>
    <row r="63" ht="12.75" customHeight="1">
      <c r="A63" s="33" t="s">
        <v>37</v>
      </c>
      <c r="B63" s="51" t="s">
        <v>21</v>
      </c>
      <c r="C63" s="52" t="s">
        <v>54</v>
      </c>
      <c r="D63" s="9"/>
      <c r="E63" s="13">
        <v>20.0</v>
      </c>
      <c r="F63" s="13">
        <v>12.0</v>
      </c>
      <c r="G63" s="13">
        <v>11.0</v>
      </c>
      <c r="H63" s="13">
        <v>6.0</v>
      </c>
      <c r="I63" s="13">
        <v>10.0</v>
      </c>
      <c r="J63" s="13">
        <v>5.0</v>
      </c>
      <c r="K63" s="13">
        <v>6.0</v>
      </c>
      <c r="L63" s="13">
        <v>1.0</v>
      </c>
      <c r="M63" s="6">
        <f t="shared" ref="M63:M70" si="19">SUM(E63:L63)</f>
        <v>71</v>
      </c>
    </row>
    <row r="64" ht="12.75" customHeight="1">
      <c r="A64" s="33" t="s">
        <v>39</v>
      </c>
      <c r="B64" s="54">
        <v>1.0</v>
      </c>
      <c r="C64" s="55" t="s">
        <v>55</v>
      </c>
      <c r="D64" s="56"/>
      <c r="E64" s="13">
        <v>10.0</v>
      </c>
      <c r="F64" s="13">
        <v>11.0</v>
      </c>
      <c r="G64" s="13">
        <v>11.0</v>
      </c>
      <c r="H64" s="13">
        <v>12.0</v>
      </c>
      <c r="I64" s="13">
        <v>6.0</v>
      </c>
      <c r="J64" s="13">
        <v>1.0</v>
      </c>
      <c r="K64" s="13">
        <v>3.0</v>
      </c>
      <c r="L64" s="13">
        <v>2.0</v>
      </c>
      <c r="M64" s="6">
        <f t="shared" si="19"/>
        <v>56</v>
      </c>
    </row>
    <row r="65" ht="12.75" customHeight="1">
      <c r="A65" s="18"/>
      <c r="B65" s="54">
        <v>2.0</v>
      </c>
      <c r="C65" s="55" t="s">
        <v>56</v>
      </c>
      <c r="D65" s="56"/>
      <c r="E65" s="13">
        <v>0.0</v>
      </c>
      <c r="F65" s="13">
        <v>0.0</v>
      </c>
      <c r="G65" s="13">
        <v>3.0</v>
      </c>
      <c r="H65" s="13">
        <v>0.0</v>
      </c>
      <c r="I65" s="13">
        <v>0.0</v>
      </c>
      <c r="J65" s="13">
        <v>1.0</v>
      </c>
      <c r="K65" s="13">
        <v>3.0</v>
      </c>
      <c r="L65" s="13">
        <v>0.0</v>
      </c>
      <c r="M65" s="6">
        <f t="shared" si="19"/>
        <v>7</v>
      </c>
    </row>
    <row r="66" ht="12.75" customHeight="1">
      <c r="A66" s="18"/>
      <c r="B66" s="54">
        <v>3.0</v>
      </c>
      <c r="C66" s="55" t="s">
        <v>57</v>
      </c>
      <c r="D66" s="56"/>
      <c r="E66" s="13">
        <v>3.0</v>
      </c>
      <c r="F66" s="13">
        <v>2.0</v>
      </c>
      <c r="G66" s="13">
        <v>1.0</v>
      </c>
      <c r="H66" s="13">
        <v>3.0</v>
      </c>
      <c r="I66" s="13">
        <v>2.0</v>
      </c>
      <c r="J66" s="13">
        <v>1.0</v>
      </c>
      <c r="K66" s="13">
        <v>3.0</v>
      </c>
      <c r="L66" s="13">
        <v>0.0</v>
      </c>
      <c r="M66" s="6">
        <f t="shared" si="19"/>
        <v>15</v>
      </c>
    </row>
    <row r="67" ht="12.75" customHeight="1">
      <c r="A67" s="18"/>
      <c r="B67" s="54">
        <v>4.0</v>
      </c>
      <c r="C67" s="55" t="s">
        <v>58</v>
      </c>
      <c r="D67" s="56"/>
      <c r="E67" s="13">
        <v>3.0</v>
      </c>
      <c r="F67" s="13">
        <v>4.0</v>
      </c>
      <c r="G67" s="13">
        <v>2.0</v>
      </c>
      <c r="H67" s="13">
        <v>6.0</v>
      </c>
      <c r="I67" s="13">
        <v>29.0</v>
      </c>
      <c r="J67" s="13">
        <v>9.0</v>
      </c>
      <c r="K67" s="13">
        <v>48.0</v>
      </c>
      <c r="L67" s="13">
        <v>19.0</v>
      </c>
      <c r="M67" s="6">
        <f t="shared" si="19"/>
        <v>120</v>
      </c>
    </row>
    <row r="68" ht="12.75" customHeight="1">
      <c r="A68" s="18"/>
      <c r="B68" s="54">
        <v>5.0</v>
      </c>
      <c r="C68" s="55" t="s">
        <v>59</v>
      </c>
      <c r="D68" s="56"/>
      <c r="E68" s="13">
        <v>1.0</v>
      </c>
      <c r="F68" s="13">
        <v>3.0</v>
      </c>
      <c r="G68" s="13">
        <v>1.0</v>
      </c>
      <c r="H68" s="13">
        <v>5.0</v>
      </c>
      <c r="I68" s="13">
        <v>2.0</v>
      </c>
      <c r="J68" s="13">
        <v>1.0</v>
      </c>
      <c r="K68" s="13">
        <v>1.0</v>
      </c>
      <c r="L68" s="13">
        <v>3.0</v>
      </c>
      <c r="M68" s="6">
        <f t="shared" si="19"/>
        <v>17</v>
      </c>
    </row>
    <row r="69" ht="12.75" customHeight="1">
      <c r="A69" s="18"/>
      <c r="B69" s="54">
        <v>6.0</v>
      </c>
      <c r="C69" s="55" t="s">
        <v>60</v>
      </c>
      <c r="D69" s="56"/>
      <c r="E69" s="13">
        <v>1.0</v>
      </c>
      <c r="F69" s="13">
        <v>0.0</v>
      </c>
      <c r="G69" s="13">
        <v>0.0</v>
      </c>
      <c r="H69" s="13">
        <v>1.0</v>
      </c>
      <c r="I69" s="13">
        <v>1.0</v>
      </c>
      <c r="J69" s="13">
        <v>0.0</v>
      </c>
      <c r="K69" s="13">
        <v>0.0</v>
      </c>
      <c r="L69" s="13">
        <v>0.0</v>
      </c>
      <c r="M69" s="6">
        <f t="shared" si="19"/>
        <v>3</v>
      </c>
    </row>
    <row r="70" ht="12.75" customHeight="1">
      <c r="A70" s="13" t="s">
        <v>15</v>
      </c>
      <c r="B70" s="51" t="s">
        <v>46</v>
      </c>
      <c r="C70" s="8"/>
      <c r="D70" s="9"/>
      <c r="E70" s="57">
        <f t="shared" ref="E70:L70" si="20">SUM(E63:E69)</f>
        <v>38</v>
      </c>
      <c r="F70" s="57">
        <f t="shared" si="20"/>
        <v>32</v>
      </c>
      <c r="G70" s="57">
        <f t="shared" si="20"/>
        <v>29</v>
      </c>
      <c r="H70" s="57">
        <f t="shared" si="20"/>
        <v>33</v>
      </c>
      <c r="I70" s="57">
        <f t="shared" si="20"/>
        <v>50</v>
      </c>
      <c r="J70" s="57">
        <f t="shared" si="20"/>
        <v>18</v>
      </c>
      <c r="K70" s="57">
        <f t="shared" si="20"/>
        <v>64</v>
      </c>
      <c r="L70" s="57">
        <f t="shared" si="20"/>
        <v>25</v>
      </c>
      <c r="M70" s="6">
        <f t="shared" si="19"/>
        <v>289</v>
      </c>
    </row>
    <row r="71" ht="12.75" customHeight="1">
      <c r="A71" s="68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"/>
    </row>
    <row r="72" ht="12.75" customHeight="1">
      <c r="A72" s="33" t="s">
        <v>37</v>
      </c>
      <c r="B72" s="51" t="s">
        <v>23</v>
      </c>
      <c r="C72" s="52" t="s">
        <v>61</v>
      </c>
      <c r="D72" s="9"/>
      <c r="E72" s="13">
        <v>4.0</v>
      </c>
      <c r="F72" s="13">
        <v>13.0</v>
      </c>
      <c r="G72" s="13">
        <v>9.0</v>
      </c>
      <c r="H72" s="13">
        <v>8.0</v>
      </c>
      <c r="I72" s="13">
        <v>13.0</v>
      </c>
      <c r="J72" s="13">
        <v>10.0</v>
      </c>
      <c r="K72" s="13">
        <v>6.0</v>
      </c>
      <c r="L72" s="13">
        <v>7.0</v>
      </c>
      <c r="M72" s="6">
        <f t="shared" ref="M72:M79" si="21">SUM(E72:L72)</f>
        <v>70</v>
      </c>
    </row>
    <row r="73" ht="12.75" customHeight="1">
      <c r="A73" s="33" t="s">
        <v>39</v>
      </c>
      <c r="B73" s="54">
        <v>1.0</v>
      </c>
      <c r="C73" s="55" t="s">
        <v>62</v>
      </c>
      <c r="D73" s="56"/>
      <c r="E73" s="13">
        <v>24.0</v>
      </c>
      <c r="F73" s="13">
        <v>30.0</v>
      </c>
      <c r="G73" s="13">
        <v>56.0</v>
      </c>
      <c r="H73" s="13">
        <v>26.0</v>
      </c>
      <c r="I73" s="13">
        <v>30.0</v>
      </c>
      <c r="J73" s="13">
        <v>34.0</v>
      </c>
      <c r="K73" s="13">
        <v>8.0</v>
      </c>
      <c r="L73" s="13">
        <v>27.0</v>
      </c>
      <c r="M73" s="6">
        <f t="shared" si="21"/>
        <v>235</v>
      </c>
    </row>
    <row r="74" ht="12.75" customHeight="1">
      <c r="A74" s="18"/>
      <c r="B74" s="54">
        <v>2.0</v>
      </c>
      <c r="C74" s="55" t="s">
        <v>63</v>
      </c>
      <c r="D74" s="56"/>
      <c r="E74" s="13">
        <v>19.0</v>
      </c>
      <c r="F74" s="13">
        <v>29.0</v>
      </c>
      <c r="G74" s="13">
        <v>32.0</v>
      </c>
      <c r="H74" s="13">
        <v>22.0</v>
      </c>
      <c r="I74" s="13">
        <v>11.0</v>
      </c>
      <c r="J74" s="13">
        <v>33.0</v>
      </c>
      <c r="K74" s="13">
        <v>11.0</v>
      </c>
      <c r="L74" s="13">
        <v>16.0</v>
      </c>
      <c r="M74" s="6">
        <f t="shared" si="21"/>
        <v>173</v>
      </c>
    </row>
    <row r="75" ht="12.75" customHeight="1">
      <c r="A75" s="18"/>
      <c r="B75" s="54">
        <v>3.0</v>
      </c>
      <c r="C75" s="55" t="s">
        <v>64</v>
      </c>
      <c r="D75" s="56"/>
      <c r="E75" s="13">
        <v>0.0</v>
      </c>
      <c r="F75" s="13">
        <v>0.0</v>
      </c>
      <c r="G75" s="13">
        <v>0.0</v>
      </c>
      <c r="H75" s="13">
        <v>0.0</v>
      </c>
      <c r="I75" s="13">
        <v>1.0</v>
      </c>
      <c r="J75" s="13">
        <v>1.0</v>
      </c>
      <c r="K75" s="13">
        <v>2.0</v>
      </c>
      <c r="L75" s="13">
        <v>1.0</v>
      </c>
      <c r="M75" s="6">
        <f t="shared" si="21"/>
        <v>5</v>
      </c>
    </row>
    <row r="76" ht="12.75" customHeight="1">
      <c r="A76" s="18"/>
      <c r="B76" s="54">
        <v>4.0</v>
      </c>
      <c r="C76" s="55" t="s">
        <v>65</v>
      </c>
      <c r="D76" s="56"/>
      <c r="E76" s="13">
        <v>0.0</v>
      </c>
      <c r="F76" s="13">
        <v>1.0</v>
      </c>
      <c r="G76" s="13">
        <v>0.0</v>
      </c>
      <c r="H76" s="13">
        <v>1.0</v>
      </c>
      <c r="I76" s="13">
        <v>0.0</v>
      </c>
      <c r="J76" s="13">
        <v>0.0</v>
      </c>
      <c r="K76" s="13">
        <v>1.0</v>
      </c>
      <c r="L76" s="13">
        <v>1.0</v>
      </c>
      <c r="M76" s="6">
        <f t="shared" si="21"/>
        <v>4</v>
      </c>
    </row>
    <row r="77" ht="12.75" customHeight="1">
      <c r="A77" s="18"/>
      <c r="B77" s="54">
        <v>5.0</v>
      </c>
      <c r="C77" s="55" t="s">
        <v>66</v>
      </c>
      <c r="D77" s="56"/>
      <c r="E77" s="13">
        <v>0.0</v>
      </c>
      <c r="F77" s="13">
        <v>1.0</v>
      </c>
      <c r="G77" s="13">
        <v>0.0</v>
      </c>
      <c r="H77" s="13">
        <v>0.0</v>
      </c>
      <c r="I77" s="13">
        <v>0.0</v>
      </c>
      <c r="J77" s="13">
        <v>0.0</v>
      </c>
      <c r="K77" s="13">
        <v>0.0</v>
      </c>
      <c r="L77" s="13">
        <v>0.0</v>
      </c>
      <c r="M77" s="6">
        <f t="shared" si="21"/>
        <v>1</v>
      </c>
    </row>
    <row r="78" ht="12.75" customHeight="1">
      <c r="A78" s="18"/>
      <c r="B78" s="54">
        <v>6.0</v>
      </c>
      <c r="C78" s="55" t="s">
        <v>67</v>
      </c>
      <c r="D78" s="56"/>
      <c r="E78" s="13">
        <v>0.0</v>
      </c>
      <c r="F78" s="13">
        <v>0.0</v>
      </c>
      <c r="G78" s="13">
        <v>0.0</v>
      </c>
      <c r="H78" s="13">
        <v>0.0</v>
      </c>
      <c r="I78" s="13">
        <v>0.0</v>
      </c>
      <c r="J78" s="13">
        <v>0.0</v>
      </c>
      <c r="K78" s="13">
        <v>0.0</v>
      </c>
      <c r="L78" s="13">
        <v>0.0</v>
      </c>
      <c r="M78" s="6">
        <f t="shared" si="21"/>
        <v>0</v>
      </c>
    </row>
    <row r="79" ht="12.75" customHeight="1">
      <c r="A79" s="13" t="s">
        <v>15</v>
      </c>
      <c r="B79" s="51" t="s">
        <v>46</v>
      </c>
      <c r="C79" s="8"/>
      <c r="D79" s="9"/>
      <c r="E79" s="57">
        <f t="shared" ref="E79:L79" si="22">SUM(E72:E78)</f>
        <v>47</v>
      </c>
      <c r="F79" s="57">
        <f t="shared" si="22"/>
        <v>74</v>
      </c>
      <c r="G79" s="57">
        <f t="shared" si="22"/>
        <v>97</v>
      </c>
      <c r="H79" s="57">
        <f t="shared" si="22"/>
        <v>57</v>
      </c>
      <c r="I79" s="57">
        <f t="shared" si="22"/>
        <v>55</v>
      </c>
      <c r="J79" s="57">
        <f t="shared" si="22"/>
        <v>78</v>
      </c>
      <c r="K79" s="57">
        <f t="shared" si="22"/>
        <v>28</v>
      </c>
      <c r="L79" s="57">
        <f t="shared" si="22"/>
        <v>52</v>
      </c>
      <c r="M79" s="6">
        <f t="shared" si="21"/>
        <v>488</v>
      </c>
    </row>
    <row r="80" ht="12.75" customHeight="1">
      <c r="A80" s="68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"/>
    </row>
    <row r="81" ht="12.75" customHeight="1">
      <c r="A81" s="33" t="s">
        <v>37</v>
      </c>
      <c r="B81" s="51" t="s">
        <v>68</v>
      </c>
      <c r="C81" s="52" t="s">
        <v>69</v>
      </c>
      <c r="D81" s="9"/>
      <c r="E81" s="13">
        <v>0.0</v>
      </c>
      <c r="F81" s="13">
        <v>1.0</v>
      </c>
      <c r="G81" s="13">
        <v>1.0</v>
      </c>
      <c r="H81" s="13">
        <v>1.0</v>
      </c>
      <c r="I81" s="13">
        <v>1.0</v>
      </c>
      <c r="J81" s="13">
        <v>0.0</v>
      </c>
      <c r="K81" s="13">
        <v>0.0</v>
      </c>
      <c r="L81" s="13">
        <v>0.0</v>
      </c>
      <c r="M81" s="6">
        <f t="shared" ref="M81:M88" si="23">SUM(E81:L81)</f>
        <v>4</v>
      </c>
    </row>
    <row r="82" ht="12.75" customHeight="1">
      <c r="A82" s="33" t="s">
        <v>39</v>
      </c>
      <c r="B82" s="54">
        <v>1.0</v>
      </c>
      <c r="C82" s="55" t="s">
        <v>70</v>
      </c>
      <c r="D82" s="56"/>
      <c r="E82" s="13">
        <v>0.0</v>
      </c>
      <c r="F82" s="13">
        <v>0.0</v>
      </c>
      <c r="G82" s="13">
        <v>2.0</v>
      </c>
      <c r="H82" s="13">
        <v>3.0</v>
      </c>
      <c r="I82" s="13">
        <v>0.0</v>
      </c>
      <c r="J82" s="13">
        <v>0.0</v>
      </c>
      <c r="K82" s="13">
        <v>0.0</v>
      </c>
      <c r="L82" s="13">
        <v>0.0</v>
      </c>
      <c r="M82" s="6">
        <f t="shared" si="23"/>
        <v>5</v>
      </c>
    </row>
    <row r="83" ht="12.75" customHeight="1">
      <c r="A83" s="18"/>
      <c r="B83" s="54">
        <v>2.0</v>
      </c>
      <c r="C83" s="55" t="s">
        <v>71</v>
      </c>
      <c r="D83" s="56"/>
      <c r="E83" s="13">
        <v>0.0</v>
      </c>
      <c r="F83" s="13">
        <v>0.0</v>
      </c>
      <c r="G83" s="13">
        <v>0.0</v>
      </c>
      <c r="H83" s="13">
        <v>0.0</v>
      </c>
      <c r="I83" s="13">
        <v>0.0</v>
      </c>
      <c r="J83" s="13">
        <v>0.0</v>
      </c>
      <c r="K83" s="13">
        <v>0.0</v>
      </c>
      <c r="L83" s="13">
        <v>0.0</v>
      </c>
      <c r="M83" s="6">
        <f t="shared" si="23"/>
        <v>0</v>
      </c>
    </row>
    <row r="84" ht="12.75" customHeight="1">
      <c r="A84" s="18"/>
      <c r="B84" s="54">
        <v>3.0</v>
      </c>
      <c r="C84" s="55" t="s">
        <v>72</v>
      </c>
      <c r="D84" s="56"/>
      <c r="E84" s="13">
        <v>0.0</v>
      </c>
      <c r="F84" s="13">
        <v>0.0</v>
      </c>
      <c r="G84" s="13">
        <v>0.0</v>
      </c>
      <c r="H84" s="13">
        <v>0.0</v>
      </c>
      <c r="I84" s="13">
        <v>0.0</v>
      </c>
      <c r="J84" s="13">
        <v>1.0</v>
      </c>
      <c r="K84" s="13">
        <v>0.0</v>
      </c>
      <c r="L84" s="13">
        <v>0.0</v>
      </c>
      <c r="M84" s="6">
        <f t="shared" si="23"/>
        <v>1</v>
      </c>
    </row>
    <row r="85" ht="12.75" customHeight="1">
      <c r="A85" s="18"/>
      <c r="B85" s="54">
        <v>4.0</v>
      </c>
      <c r="C85" s="55" t="s">
        <v>73</v>
      </c>
      <c r="D85" s="56"/>
      <c r="E85" s="13">
        <v>0.0</v>
      </c>
      <c r="F85" s="13">
        <v>0.0</v>
      </c>
      <c r="G85" s="13">
        <v>0.0</v>
      </c>
      <c r="H85" s="13">
        <v>0.0</v>
      </c>
      <c r="I85" s="13">
        <v>0.0</v>
      </c>
      <c r="J85" s="13">
        <v>0.0</v>
      </c>
      <c r="K85" s="13">
        <v>0.0</v>
      </c>
      <c r="L85" s="13">
        <v>0.0</v>
      </c>
      <c r="M85" s="6">
        <f t="shared" si="23"/>
        <v>0</v>
      </c>
    </row>
    <row r="86" ht="12.75" customHeight="1">
      <c r="A86" s="18"/>
      <c r="B86" s="54">
        <v>5.0</v>
      </c>
      <c r="C86" s="55" t="s">
        <v>74</v>
      </c>
      <c r="D86" s="56"/>
      <c r="E86" s="13">
        <v>0.0</v>
      </c>
      <c r="F86" s="13">
        <v>0.0</v>
      </c>
      <c r="G86" s="13">
        <v>0.0</v>
      </c>
      <c r="H86" s="13">
        <v>0.0</v>
      </c>
      <c r="I86" s="13">
        <v>1.0</v>
      </c>
      <c r="J86" s="13">
        <v>0.0</v>
      </c>
      <c r="K86" s="13">
        <v>0.0</v>
      </c>
      <c r="L86" s="13">
        <v>0.0</v>
      </c>
      <c r="M86" s="6">
        <f t="shared" si="23"/>
        <v>1</v>
      </c>
    </row>
    <row r="87" ht="12.75" customHeight="1">
      <c r="A87" s="18"/>
      <c r="B87" s="54">
        <v>6.0</v>
      </c>
      <c r="C87" s="55" t="s">
        <v>75</v>
      </c>
      <c r="D87" s="56"/>
      <c r="E87" s="13">
        <v>0.0</v>
      </c>
      <c r="F87" s="13">
        <v>0.0</v>
      </c>
      <c r="G87" s="13">
        <v>0.0</v>
      </c>
      <c r="H87" s="13">
        <v>0.0</v>
      </c>
      <c r="I87" s="13">
        <v>2.0</v>
      </c>
      <c r="J87" s="13">
        <v>0.0</v>
      </c>
      <c r="K87" s="13">
        <v>0.0</v>
      </c>
      <c r="L87" s="13">
        <v>8.0</v>
      </c>
      <c r="M87" s="6">
        <f t="shared" si="23"/>
        <v>10</v>
      </c>
    </row>
    <row r="88" ht="12.75" customHeight="1">
      <c r="A88" s="13" t="s">
        <v>15</v>
      </c>
      <c r="B88" s="51" t="s">
        <v>46</v>
      </c>
      <c r="C88" s="8"/>
      <c r="D88" s="9"/>
      <c r="E88" s="57">
        <f t="shared" ref="E88:L88" si="24">SUM(E81:E87)</f>
        <v>0</v>
      </c>
      <c r="F88" s="57">
        <f t="shared" si="24"/>
        <v>1</v>
      </c>
      <c r="G88" s="57">
        <f t="shared" si="24"/>
        <v>3</v>
      </c>
      <c r="H88" s="57">
        <f t="shared" si="24"/>
        <v>4</v>
      </c>
      <c r="I88" s="57">
        <f t="shared" si="24"/>
        <v>4</v>
      </c>
      <c r="J88" s="57">
        <f t="shared" si="24"/>
        <v>1</v>
      </c>
      <c r="K88" s="57">
        <f t="shared" si="24"/>
        <v>0</v>
      </c>
      <c r="L88" s="57">
        <f t="shared" si="24"/>
        <v>8</v>
      </c>
      <c r="M88" s="6">
        <f t="shared" si="23"/>
        <v>21</v>
      </c>
    </row>
    <row r="89" ht="12.75" customHeight="1">
      <c r="A89" s="68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"/>
    </row>
    <row r="90" ht="12.75" customHeight="1">
      <c r="A90" s="33" t="s">
        <v>37</v>
      </c>
      <c r="B90" s="51" t="s">
        <v>76</v>
      </c>
      <c r="C90" s="52" t="s">
        <v>77</v>
      </c>
      <c r="D90" s="9"/>
      <c r="E90" s="13">
        <v>1.0</v>
      </c>
      <c r="F90" s="13">
        <v>0.0</v>
      </c>
      <c r="G90" s="13">
        <v>0.0</v>
      </c>
      <c r="H90" s="13">
        <v>0.0</v>
      </c>
      <c r="I90" s="13">
        <v>2.0</v>
      </c>
      <c r="J90" s="13">
        <v>0.0</v>
      </c>
      <c r="K90" s="13">
        <v>0.0</v>
      </c>
      <c r="L90" s="13">
        <v>1.0</v>
      </c>
      <c r="M90" s="6">
        <f t="shared" ref="M90:M92" si="25">SUM(E90:L90)</f>
        <v>4</v>
      </c>
    </row>
    <row r="91" ht="12.75" customHeight="1">
      <c r="A91" s="33" t="s">
        <v>39</v>
      </c>
      <c r="B91" s="54"/>
      <c r="C91" s="55" t="s">
        <v>78</v>
      </c>
      <c r="D91" s="9"/>
      <c r="E91" s="13"/>
      <c r="F91" s="13"/>
      <c r="G91" s="13"/>
      <c r="H91" s="13"/>
      <c r="I91" s="13"/>
      <c r="J91" s="13"/>
      <c r="K91" s="13"/>
      <c r="L91" s="13"/>
      <c r="M91" s="6">
        <f t="shared" si="25"/>
        <v>0</v>
      </c>
    </row>
    <row r="92" ht="12.75" customHeight="1">
      <c r="A92" s="13" t="s">
        <v>15</v>
      </c>
      <c r="B92" s="51" t="s">
        <v>46</v>
      </c>
      <c r="C92" s="8"/>
      <c r="D92" s="9"/>
      <c r="E92" s="57">
        <f t="shared" ref="E92:L92" si="26">SUM(E90:E91)</f>
        <v>1</v>
      </c>
      <c r="F92" s="57">
        <f t="shared" si="26"/>
        <v>0</v>
      </c>
      <c r="G92" s="57">
        <f t="shared" si="26"/>
        <v>0</v>
      </c>
      <c r="H92" s="57">
        <f t="shared" si="26"/>
        <v>0</v>
      </c>
      <c r="I92" s="57">
        <f t="shared" si="26"/>
        <v>2</v>
      </c>
      <c r="J92" s="57">
        <f t="shared" si="26"/>
        <v>0</v>
      </c>
      <c r="K92" s="57">
        <f t="shared" si="26"/>
        <v>0</v>
      </c>
      <c r="L92" s="57">
        <f t="shared" si="26"/>
        <v>1</v>
      </c>
      <c r="M92" s="6">
        <f t="shared" si="25"/>
        <v>4</v>
      </c>
    </row>
    <row r="93" ht="12.75" customHeight="1">
      <c r="A93" s="68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"/>
    </row>
    <row r="94" ht="12.75" customHeight="1">
      <c r="A94" s="33" t="s">
        <v>37</v>
      </c>
      <c r="B94" s="51" t="s">
        <v>79</v>
      </c>
      <c r="C94" s="52" t="s">
        <v>80</v>
      </c>
      <c r="D94" s="9"/>
      <c r="E94" s="13">
        <v>0.0</v>
      </c>
      <c r="F94" s="13">
        <v>0.0</v>
      </c>
      <c r="G94" s="13">
        <v>0.0</v>
      </c>
      <c r="H94" s="13">
        <v>0.0</v>
      </c>
      <c r="I94" s="13">
        <v>3.0</v>
      </c>
      <c r="J94" s="13">
        <v>1.0</v>
      </c>
      <c r="K94" s="13">
        <v>1.0</v>
      </c>
      <c r="L94" s="13">
        <v>2.0</v>
      </c>
      <c r="M94" s="6">
        <f t="shared" ref="M94:M99" si="27">SUM(E94:L94)</f>
        <v>7</v>
      </c>
    </row>
    <row r="95" ht="12.75" customHeight="1">
      <c r="A95" s="33" t="s">
        <v>39</v>
      </c>
      <c r="B95" s="54">
        <v>1.0</v>
      </c>
      <c r="C95" s="55" t="s">
        <v>81</v>
      </c>
      <c r="D95" s="56"/>
      <c r="E95" s="13">
        <v>0.0</v>
      </c>
      <c r="F95" s="13">
        <v>0.0</v>
      </c>
      <c r="G95" s="13">
        <v>0.0</v>
      </c>
      <c r="H95" s="13">
        <v>0.0</v>
      </c>
      <c r="I95" s="13">
        <v>0.0</v>
      </c>
      <c r="J95" s="13">
        <v>0.0</v>
      </c>
      <c r="K95" s="13">
        <v>0.0</v>
      </c>
      <c r="L95" s="13">
        <v>0.0</v>
      </c>
      <c r="M95" s="6">
        <f t="shared" si="27"/>
        <v>0</v>
      </c>
    </row>
    <row r="96" ht="12.75" customHeight="1">
      <c r="A96" s="33"/>
      <c r="B96" s="54">
        <v>2.0</v>
      </c>
      <c r="C96" s="55" t="s">
        <v>82</v>
      </c>
      <c r="D96" s="56"/>
      <c r="E96" s="13">
        <v>0.0</v>
      </c>
      <c r="F96" s="13">
        <v>0.0</v>
      </c>
      <c r="G96" s="13">
        <v>0.0</v>
      </c>
      <c r="H96" s="13">
        <v>0.0</v>
      </c>
      <c r="I96" s="13">
        <v>1.0</v>
      </c>
      <c r="J96" s="13">
        <v>0.0</v>
      </c>
      <c r="K96" s="13">
        <v>0.0</v>
      </c>
      <c r="L96" s="13">
        <v>0.0</v>
      </c>
      <c r="M96" s="6">
        <f t="shared" si="27"/>
        <v>1</v>
      </c>
    </row>
    <row r="97" ht="12.75" customHeight="1">
      <c r="A97" s="33"/>
      <c r="B97" s="54">
        <v>3.0</v>
      </c>
      <c r="C97" s="55" t="s">
        <v>83</v>
      </c>
      <c r="D97" s="56"/>
      <c r="E97" s="13">
        <v>0.0</v>
      </c>
      <c r="F97" s="13">
        <v>0.0</v>
      </c>
      <c r="G97" s="13">
        <v>0.0</v>
      </c>
      <c r="H97" s="13">
        <v>0.0</v>
      </c>
      <c r="I97" s="13">
        <v>0.0</v>
      </c>
      <c r="J97" s="13">
        <v>0.0</v>
      </c>
      <c r="K97" s="13">
        <v>0.0</v>
      </c>
      <c r="L97" s="13">
        <v>0.0</v>
      </c>
      <c r="M97" s="6">
        <f t="shared" si="27"/>
        <v>0</v>
      </c>
    </row>
    <row r="98" ht="12.75" customHeight="1">
      <c r="A98" s="33"/>
      <c r="B98" s="54">
        <v>4.0</v>
      </c>
      <c r="C98" s="55" t="s">
        <v>84</v>
      </c>
      <c r="D98" s="56"/>
      <c r="E98" s="13">
        <v>0.0</v>
      </c>
      <c r="F98" s="13">
        <v>0.0</v>
      </c>
      <c r="G98" s="13">
        <v>0.0</v>
      </c>
      <c r="H98" s="13">
        <v>0.0</v>
      </c>
      <c r="I98" s="13">
        <v>0.0</v>
      </c>
      <c r="J98" s="13">
        <v>0.0</v>
      </c>
      <c r="K98" s="13">
        <v>0.0</v>
      </c>
      <c r="L98" s="13">
        <v>0.0</v>
      </c>
      <c r="M98" s="6">
        <f t="shared" si="27"/>
        <v>0</v>
      </c>
    </row>
    <row r="99" ht="12.75" customHeight="1">
      <c r="A99" s="13" t="s">
        <v>15</v>
      </c>
      <c r="B99" s="51" t="s">
        <v>46</v>
      </c>
      <c r="C99" s="8"/>
      <c r="D99" s="9"/>
      <c r="E99" s="57">
        <f t="shared" ref="E99:L99" si="28">SUM(E94:E98)</f>
        <v>0</v>
      </c>
      <c r="F99" s="57">
        <f t="shared" si="28"/>
        <v>0</v>
      </c>
      <c r="G99" s="57">
        <f t="shared" si="28"/>
        <v>0</v>
      </c>
      <c r="H99" s="57">
        <f t="shared" si="28"/>
        <v>0</v>
      </c>
      <c r="I99" s="57">
        <f t="shared" si="28"/>
        <v>4</v>
      </c>
      <c r="J99" s="57">
        <f t="shared" si="28"/>
        <v>1</v>
      </c>
      <c r="K99" s="57">
        <f t="shared" si="28"/>
        <v>1</v>
      </c>
      <c r="L99" s="57">
        <f t="shared" si="28"/>
        <v>2</v>
      </c>
      <c r="M99" s="6">
        <f t="shared" si="27"/>
        <v>8</v>
      </c>
    </row>
    <row r="100" ht="12.75" customHeight="1">
      <c r="A100" s="68"/>
      <c r="B100" s="69"/>
      <c r="C100" s="69"/>
      <c r="D100" s="69"/>
      <c r="E100" s="69"/>
      <c r="F100" s="69">
        <v>1.0</v>
      </c>
      <c r="G100" s="69"/>
      <c r="H100" s="69"/>
      <c r="I100" s="69"/>
      <c r="J100" s="69"/>
      <c r="K100" s="69"/>
      <c r="L100" s="69"/>
      <c r="M100" s="6"/>
    </row>
    <row r="101" ht="12.75" customHeight="1">
      <c r="A101" s="33" t="s">
        <v>37</v>
      </c>
      <c r="B101" s="51" t="s">
        <v>85</v>
      </c>
      <c r="C101" s="52" t="s">
        <v>86</v>
      </c>
      <c r="D101" s="9"/>
      <c r="E101" s="13">
        <v>0.0</v>
      </c>
      <c r="F101" s="13">
        <v>1.0</v>
      </c>
      <c r="G101" s="13">
        <v>0.0</v>
      </c>
      <c r="H101" s="13">
        <v>0.0</v>
      </c>
      <c r="I101" s="13">
        <v>1.0</v>
      </c>
      <c r="J101" s="13">
        <v>0.0</v>
      </c>
      <c r="K101" s="13">
        <v>0.0</v>
      </c>
      <c r="L101" s="13">
        <v>0.0</v>
      </c>
      <c r="M101" s="6">
        <f t="shared" ref="M101:M108" si="29">SUM(E101:L101)</f>
        <v>2</v>
      </c>
    </row>
    <row r="102" ht="12.75" customHeight="1">
      <c r="A102" s="33" t="s">
        <v>39</v>
      </c>
      <c r="B102" s="54">
        <v>1.0</v>
      </c>
      <c r="C102" s="55" t="s">
        <v>87</v>
      </c>
      <c r="D102" s="56"/>
      <c r="E102" s="13">
        <v>0.0</v>
      </c>
      <c r="F102" s="13">
        <v>0.0</v>
      </c>
      <c r="G102" s="13">
        <v>0.0</v>
      </c>
      <c r="H102" s="13">
        <v>2.0</v>
      </c>
      <c r="I102" s="13">
        <v>0.0</v>
      </c>
      <c r="J102" s="13">
        <v>1.0</v>
      </c>
      <c r="K102" s="13">
        <v>0.0</v>
      </c>
      <c r="L102" s="13">
        <v>0.0</v>
      </c>
      <c r="M102" s="6">
        <f t="shared" si="29"/>
        <v>3</v>
      </c>
    </row>
    <row r="103" ht="12.75" customHeight="1">
      <c r="A103" s="18"/>
      <c r="B103" s="54">
        <v>2.0</v>
      </c>
      <c r="C103" s="55" t="s">
        <v>88</v>
      </c>
      <c r="D103" s="56"/>
      <c r="E103" s="13">
        <v>0.0</v>
      </c>
      <c r="F103" s="13">
        <v>0.0</v>
      </c>
      <c r="G103" s="13">
        <v>0.0</v>
      </c>
      <c r="H103" s="13">
        <v>0.0</v>
      </c>
      <c r="I103" s="13">
        <v>0.0</v>
      </c>
      <c r="J103" s="13">
        <v>0.0</v>
      </c>
      <c r="K103" s="13">
        <v>0.0</v>
      </c>
      <c r="L103" s="13">
        <v>0.0</v>
      </c>
      <c r="M103" s="6">
        <f t="shared" si="29"/>
        <v>0</v>
      </c>
    </row>
    <row r="104" ht="12.75" customHeight="1">
      <c r="A104" s="18"/>
      <c r="B104" s="54">
        <v>3.0</v>
      </c>
      <c r="C104" s="55" t="s">
        <v>89</v>
      </c>
      <c r="D104" s="56"/>
      <c r="E104" s="13">
        <v>0.0</v>
      </c>
      <c r="F104" s="13">
        <v>0.0</v>
      </c>
      <c r="G104" s="13">
        <v>0.0</v>
      </c>
      <c r="H104" s="13">
        <v>0.0</v>
      </c>
      <c r="I104" s="13">
        <v>0.0</v>
      </c>
      <c r="J104" s="13">
        <v>0.0</v>
      </c>
      <c r="K104" s="13">
        <v>0.0</v>
      </c>
      <c r="L104" s="13">
        <v>0.0</v>
      </c>
      <c r="M104" s="6">
        <f t="shared" si="29"/>
        <v>0</v>
      </c>
    </row>
    <row r="105" ht="12.75" customHeight="1">
      <c r="A105" s="18"/>
      <c r="B105" s="54">
        <v>4.0</v>
      </c>
      <c r="C105" s="55" t="s">
        <v>90</v>
      </c>
      <c r="D105" s="56"/>
      <c r="E105" s="13">
        <v>0.0</v>
      </c>
      <c r="F105" s="13">
        <v>0.0</v>
      </c>
      <c r="G105" s="13">
        <v>0.0</v>
      </c>
      <c r="H105" s="13">
        <v>0.0</v>
      </c>
      <c r="I105" s="13">
        <v>0.0</v>
      </c>
      <c r="J105" s="13">
        <v>0.0</v>
      </c>
      <c r="K105" s="13">
        <v>0.0</v>
      </c>
      <c r="L105" s="13">
        <v>0.0</v>
      </c>
      <c r="M105" s="6">
        <f t="shared" si="29"/>
        <v>0</v>
      </c>
    </row>
    <row r="106" ht="12.75" customHeight="1">
      <c r="A106" s="18"/>
      <c r="B106" s="54">
        <v>5.0</v>
      </c>
      <c r="C106" s="55" t="s">
        <v>91</v>
      </c>
      <c r="D106" s="56"/>
      <c r="E106" s="13">
        <v>0.0</v>
      </c>
      <c r="F106" s="13">
        <v>0.0</v>
      </c>
      <c r="G106" s="13">
        <v>0.0</v>
      </c>
      <c r="H106" s="13">
        <v>0.0</v>
      </c>
      <c r="I106" s="13">
        <v>0.0</v>
      </c>
      <c r="J106" s="13">
        <v>0.0</v>
      </c>
      <c r="K106" s="13">
        <v>0.0</v>
      </c>
      <c r="L106" s="13">
        <v>0.0</v>
      </c>
      <c r="M106" s="6">
        <f t="shared" si="29"/>
        <v>0</v>
      </c>
    </row>
    <row r="107" ht="12.75" customHeight="1">
      <c r="A107" s="18"/>
      <c r="B107" s="54">
        <v>6.0</v>
      </c>
      <c r="C107" s="55" t="s">
        <v>92</v>
      </c>
      <c r="D107" s="56"/>
      <c r="E107" s="13">
        <v>1.0</v>
      </c>
      <c r="F107" s="13">
        <v>1.0</v>
      </c>
      <c r="G107" s="13">
        <v>1.0</v>
      </c>
      <c r="H107" s="13">
        <v>0.0</v>
      </c>
      <c r="I107" s="13">
        <v>3.0</v>
      </c>
      <c r="J107" s="13">
        <v>0.0</v>
      </c>
      <c r="K107" s="13">
        <v>0.0</v>
      </c>
      <c r="L107" s="13">
        <v>0.0</v>
      </c>
      <c r="M107" s="6">
        <f t="shared" si="29"/>
        <v>6</v>
      </c>
    </row>
    <row r="108" ht="12.75" customHeight="1">
      <c r="A108" s="13" t="s">
        <v>15</v>
      </c>
      <c r="B108" s="51" t="s">
        <v>46</v>
      </c>
      <c r="C108" s="8"/>
      <c r="D108" s="9"/>
      <c r="E108" s="57">
        <f t="shared" ref="E108:L108" si="30">SUM(E101:E107)</f>
        <v>1</v>
      </c>
      <c r="F108" s="57">
        <f t="shared" si="30"/>
        <v>2</v>
      </c>
      <c r="G108" s="57">
        <f t="shared" si="30"/>
        <v>1</v>
      </c>
      <c r="H108" s="57">
        <f t="shared" si="30"/>
        <v>2</v>
      </c>
      <c r="I108" s="57">
        <f t="shared" si="30"/>
        <v>4</v>
      </c>
      <c r="J108" s="57">
        <f t="shared" si="30"/>
        <v>1</v>
      </c>
      <c r="K108" s="57">
        <f t="shared" si="30"/>
        <v>0</v>
      </c>
      <c r="L108" s="57">
        <f t="shared" si="30"/>
        <v>0</v>
      </c>
      <c r="M108" s="6">
        <f t="shared" si="29"/>
        <v>11</v>
      </c>
    </row>
    <row r="109" ht="12.75" customHeight="1">
      <c r="A109" s="68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"/>
    </row>
    <row r="110" ht="12.75" customHeight="1">
      <c r="A110" s="33" t="s">
        <v>37</v>
      </c>
      <c r="B110" s="51" t="s">
        <v>93</v>
      </c>
      <c r="C110" s="52" t="s">
        <v>94</v>
      </c>
      <c r="D110" s="9"/>
      <c r="E110" s="13">
        <v>0.0</v>
      </c>
      <c r="F110" s="13">
        <v>0.0</v>
      </c>
      <c r="G110" s="13">
        <v>0.0</v>
      </c>
      <c r="H110" s="13">
        <v>0.0</v>
      </c>
      <c r="I110" s="13">
        <v>0.0</v>
      </c>
      <c r="J110" s="13">
        <v>0.0</v>
      </c>
      <c r="K110" s="13">
        <v>0.0</v>
      </c>
      <c r="L110" s="13">
        <v>0.0</v>
      </c>
      <c r="M110" s="6">
        <f t="shared" ref="M110:M114" si="31">SUM(E110:L110)</f>
        <v>0</v>
      </c>
    </row>
    <row r="111" ht="12.75" customHeight="1">
      <c r="A111" s="33"/>
      <c r="B111" s="54">
        <v>1.0</v>
      </c>
      <c r="C111" s="55" t="s">
        <v>95</v>
      </c>
      <c r="D111" s="63"/>
      <c r="E111" s="13">
        <v>0.0</v>
      </c>
      <c r="F111" s="13">
        <v>0.0</v>
      </c>
      <c r="G111" s="13">
        <v>0.0</v>
      </c>
      <c r="H111" s="13">
        <v>0.0</v>
      </c>
      <c r="I111" s="13">
        <v>0.0</v>
      </c>
      <c r="J111" s="13">
        <v>0.0</v>
      </c>
      <c r="K111" s="13">
        <v>0.0</v>
      </c>
      <c r="L111" s="13">
        <v>0.0</v>
      </c>
      <c r="M111" s="6">
        <f t="shared" si="31"/>
        <v>0</v>
      </c>
    </row>
    <row r="112" ht="12.75" customHeight="1">
      <c r="A112" s="33"/>
      <c r="B112" s="54">
        <v>2.0</v>
      </c>
      <c r="C112" s="55" t="s">
        <v>96</v>
      </c>
      <c r="D112" s="63"/>
      <c r="E112" s="13">
        <v>0.0</v>
      </c>
      <c r="F112" s="13">
        <v>0.0</v>
      </c>
      <c r="G112" s="13">
        <v>0.0</v>
      </c>
      <c r="H112" s="13">
        <v>0.0</v>
      </c>
      <c r="I112" s="13">
        <v>0.0</v>
      </c>
      <c r="J112" s="13">
        <v>0.0</v>
      </c>
      <c r="K112" s="13">
        <v>0.0</v>
      </c>
      <c r="L112" s="13">
        <v>0.0</v>
      </c>
      <c r="M112" s="6">
        <f t="shared" si="31"/>
        <v>0</v>
      </c>
    </row>
    <row r="113" ht="12.75" customHeight="1">
      <c r="A113" s="33"/>
      <c r="B113" s="54">
        <v>3.0</v>
      </c>
      <c r="C113" s="55" t="s">
        <v>97</v>
      </c>
      <c r="D113" s="63"/>
      <c r="E113" s="13">
        <v>0.0</v>
      </c>
      <c r="F113" s="13">
        <v>0.0</v>
      </c>
      <c r="G113" s="13">
        <v>0.0</v>
      </c>
      <c r="H113" s="13">
        <v>0.0</v>
      </c>
      <c r="I113" s="13">
        <v>0.0</v>
      </c>
      <c r="J113" s="13">
        <v>0.0</v>
      </c>
      <c r="K113" s="13">
        <v>0.0</v>
      </c>
      <c r="L113" s="13">
        <v>0.0</v>
      </c>
      <c r="M113" s="6">
        <f t="shared" si="31"/>
        <v>0</v>
      </c>
    </row>
    <row r="114" ht="12.75" customHeight="1">
      <c r="A114" s="13" t="s">
        <v>15</v>
      </c>
      <c r="B114" s="51" t="s">
        <v>46</v>
      </c>
      <c r="C114" s="8"/>
      <c r="D114" s="9"/>
      <c r="E114" s="57">
        <f t="shared" ref="E114:L114" si="32">SUM(E110:E113)</f>
        <v>0</v>
      </c>
      <c r="F114" s="57">
        <f t="shared" si="32"/>
        <v>0</v>
      </c>
      <c r="G114" s="57">
        <f t="shared" si="32"/>
        <v>0</v>
      </c>
      <c r="H114" s="57">
        <f t="shared" si="32"/>
        <v>0</v>
      </c>
      <c r="I114" s="57">
        <f t="shared" si="32"/>
        <v>0</v>
      </c>
      <c r="J114" s="57">
        <f t="shared" si="32"/>
        <v>0</v>
      </c>
      <c r="K114" s="57">
        <f t="shared" si="32"/>
        <v>0</v>
      </c>
      <c r="L114" s="57">
        <f t="shared" si="32"/>
        <v>0</v>
      </c>
      <c r="M114" s="6">
        <f t="shared" si="31"/>
        <v>0</v>
      </c>
    </row>
    <row r="115" ht="12.75" customHeight="1">
      <c r="A115" s="68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"/>
    </row>
    <row r="116" ht="12.75" customHeight="1">
      <c r="A116" s="33" t="s">
        <v>37</v>
      </c>
      <c r="B116" s="51" t="s">
        <v>98</v>
      </c>
      <c r="C116" s="52" t="s">
        <v>99</v>
      </c>
      <c r="D116" s="9"/>
      <c r="E116" s="13">
        <v>0.0</v>
      </c>
      <c r="F116" s="13">
        <v>0.0</v>
      </c>
      <c r="G116" s="13">
        <v>0.0</v>
      </c>
      <c r="H116" s="13">
        <v>0.0</v>
      </c>
      <c r="I116" s="13">
        <v>0.0</v>
      </c>
      <c r="J116" s="13">
        <v>0.0</v>
      </c>
      <c r="K116" s="13">
        <v>0.0</v>
      </c>
      <c r="L116" s="13">
        <v>0.0</v>
      </c>
      <c r="M116" s="6">
        <f t="shared" ref="M116:M123" si="33">SUM(E116:L116)</f>
        <v>0</v>
      </c>
    </row>
    <row r="117" ht="12.75" customHeight="1">
      <c r="A117" s="33" t="s">
        <v>39</v>
      </c>
      <c r="B117" s="54">
        <v>1.0</v>
      </c>
      <c r="C117" s="55" t="s">
        <v>100</v>
      </c>
      <c r="D117" s="56"/>
      <c r="E117" s="13">
        <v>0.0</v>
      </c>
      <c r="F117" s="13">
        <v>0.0</v>
      </c>
      <c r="G117" s="13">
        <v>0.0</v>
      </c>
      <c r="H117" s="13">
        <v>0.0</v>
      </c>
      <c r="I117" s="13">
        <v>2.0</v>
      </c>
      <c r="J117" s="13">
        <v>0.0</v>
      </c>
      <c r="K117" s="13">
        <v>0.0</v>
      </c>
      <c r="L117" s="13">
        <v>0.0</v>
      </c>
      <c r="M117" s="6">
        <f t="shared" si="33"/>
        <v>2</v>
      </c>
    </row>
    <row r="118" ht="12.75" customHeight="1">
      <c r="A118" s="18"/>
      <c r="B118" s="54">
        <v>2.0</v>
      </c>
      <c r="C118" s="55" t="s">
        <v>101</v>
      </c>
      <c r="D118" s="56"/>
      <c r="E118" s="13">
        <v>0.0</v>
      </c>
      <c r="F118" s="13">
        <v>0.0</v>
      </c>
      <c r="G118" s="13">
        <v>0.0</v>
      </c>
      <c r="H118" s="13">
        <v>0.0</v>
      </c>
      <c r="I118" s="13">
        <v>0.0</v>
      </c>
      <c r="J118" s="13">
        <v>0.0</v>
      </c>
      <c r="K118" s="13">
        <v>0.0</v>
      </c>
      <c r="L118" s="13">
        <v>0.0</v>
      </c>
      <c r="M118" s="6">
        <f t="shared" si="33"/>
        <v>0</v>
      </c>
    </row>
    <row r="119" ht="12.75" customHeight="1">
      <c r="A119" s="18"/>
      <c r="B119" s="54">
        <v>3.0</v>
      </c>
      <c r="C119" s="55" t="s">
        <v>102</v>
      </c>
      <c r="D119" s="56"/>
      <c r="E119" s="13">
        <v>0.0</v>
      </c>
      <c r="F119" s="13">
        <v>0.0</v>
      </c>
      <c r="G119" s="13">
        <v>0.0</v>
      </c>
      <c r="H119" s="13">
        <v>0.0</v>
      </c>
      <c r="I119" s="13">
        <v>0.0</v>
      </c>
      <c r="J119" s="13">
        <v>0.0</v>
      </c>
      <c r="K119" s="13">
        <v>0.0</v>
      </c>
      <c r="L119" s="13">
        <v>0.0</v>
      </c>
      <c r="M119" s="6">
        <f t="shared" si="33"/>
        <v>0</v>
      </c>
    </row>
    <row r="120" ht="12.75" customHeight="1">
      <c r="A120" s="18"/>
      <c r="B120" s="54">
        <v>4.0</v>
      </c>
      <c r="C120" s="55" t="s">
        <v>103</v>
      </c>
      <c r="D120" s="56"/>
      <c r="E120" s="13">
        <v>0.0</v>
      </c>
      <c r="F120" s="13">
        <v>0.0</v>
      </c>
      <c r="G120" s="13">
        <v>0.0</v>
      </c>
      <c r="H120" s="13">
        <v>0.0</v>
      </c>
      <c r="I120" s="13">
        <v>0.0</v>
      </c>
      <c r="J120" s="13">
        <v>0.0</v>
      </c>
      <c r="K120" s="13">
        <v>0.0</v>
      </c>
      <c r="L120" s="13">
        <v>0.0</v>
      </c>
      <c r="M120" s="6">
        <f t="shared" si="33"/>
        <v>0</v>
      </c>
    </row>
    <row r="121" ht="12.75" customHeight="1">
      <c r="A121" s="18"/>
      <c r="B121" s="54">
        <v>5.0</v>
      </c>
      <c r="C121" s="55" t="s">
        <v>104</v>
      </c>
      <c r="D121" s="56"/>
      <c r="E121" s="13">
        <v>0.0</v>
      </c>
      <c r="F121" s="13">
        <v>0.0</v>
      </c>
      <c r="G121" s="13">
        <v>0.0</v>
      </c>
      <c r="H121" s="13">
        <v>0.0</v>
      </c>
      <c r="I121" s="13">
        <v>0.0</v>
      </c>
      <c r="J121" s="13">
        <v>0.0</v>
      </c>
      <c r="K121" s="13">
        <v>0.0</v>
      </c>
      <c r="L121" s="13">
        <v>0.0</v>
      </c>
      <c r="M121" s="6">
        <f t="shared" si="33"/>
        <v>0</v>
      </c>
    </row>
    <row r="122" ht="12.75" customHeight="1">
      <c r="A122" s="18"/>
      <c r="B122" s="54">
        <v>6.0</v>
      </c>
      <c r="C122" s="55" t="s">
        <v>105</v>
      </c>
      <c r="D122" s="56"/>
      <c r="E122" s="13">
        <v>0.0</v>
      </c>
      <c r="F122" s="13">
        <v>0.0</v>
      </c>
      <c r="G122" s="13">
        <v>2.0</v>
      </c>
      <c r="H122" s="13">
        <v>0.0</v>
      </c>
      <c r="I122" s="13">
        <v>0.0</v>
      </c>
      <c r="J122" s="13">
        <v>0.0</v>
      </c>
      <c r="K122" s="13">
        <v>0.0</v>
      </c>
      <c r="L122" s="13">
        <v>0.0</v>
      </c>
      <c r="M122" s="6">
        <f t="shared" si="33"/>
        <v>2</v>
      </c>
    </row>
    <row r="123" ht="12.75" customHeight="1">
      <c r="A123" s="13" t="s">
        <v>15</v>
      </c>
      <c r="B123" s="51" t="s">
        <v>46</v>
      </c>
      <c r="C123" s="8"/>
      <c r="D123" s="9"/>
      <c r="E123" s="57">
        <f t="shared" ref="E123:L123" si="34">SUM(E116:E122)</f>
        <v>0</v>
      </c>
      <c r="F123" s="57">
        <f t="shared" si="34"/>
        <v>0</v>
      </c>
      <c r="G123" s="57">
        <f t="shared" si="34"/>
        <v>2</v>
      </c>
      <c r="H123" s="57">
        <f t="shared" si="34"/>
        <v>0</v>
      </c>
      <c r="I123" s="57">
        <f t="shared" si="34"/>
        <v>2</v>
      </c>
      <c r="J123" s="57">
        <f t="shared" si="34"/>
        <v>0</v>
      </c>
      <c r="K123" s="57">
        <f t="shared" si="34"/>
        <v>0</v>
      </c>
      <c r="L123" s="57">
        <f t="shared" si="34"/>
        <v>0</v>
      </c>
      <c r="M123" s="6">
        <f t="shared" si="33"/>
        <v>4</v>
      </c>
    </row>
    <row r="124" ht="12.75" customHeight="1">
      <c r="A124" s="68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"/>
    </row>
    <row r="125" ht="12.75" customHeight="1">
      <c r="A125" s="33" t="s">
        <v>37</v>
      </c>
      <c r="B125" s="51" t="s">
        <v>106</v>
      </c>
      <c r="C125" s="52" t="s">
        <v>107</v>
      </c>
      <c r="D125" s="9"/>
      <c r="E125" s="13">
        <v>0.0</v>
      </c>
      <c r="F125" s="13">
        <v>0.0</v>
      </c>
      <c r="G125" s="13">
        <v>0.0</v>
      </c>
      <c r="H125" s="13">
        <v>0.0</v>
      </c>
      <c r="I125" s="13">
        <v>0.0</v>
      </c>
      <c r="J125" s="13">
        <v>1.0</v>
      </c>
      <c r="K125" s="13">
        <v>0.0</v>
      </c>
      <c r="L125" s="13">
        <v>1.0</v>
      </c>
      <c r="M125" s="6">
        <f t="shared" ref="M125:M127" si="35">SUM(E125:L125)</f>
        <v>2</v>
      </c>
    </row>
    <row r="126" ht="12.75" customHeight="1">
      <c r="A126" s="33" t="s">
        <v>39</v>
      </c>
      <c r="B126" s="54"/>
      <c r="C126" s="55" t="s">
        <v>78</v>
      </c>
      <c r="D126" s="56"/>
      <c r="E126" s="13"/>
      <c r="F126" s="13"/>
      <c r="G126" s="13"/>
      <c r="H126" s="13"/>
      <c r="I126" s="13"/>
      <c r="J126" s="13"/>
      <c r="K126" s="13"/>
      <c r="L126" s="13"/>
      <c r="M126" s="6">
        <f t="shared" si="35"/>
        <v>0</v>
      </c>
    </row>
    <row r="127" ht="12.75" customHeight="1">
      <c r="A127" s="13" t="s">
        <v>15</v>
      </c>
      <c r="B127" s="51" t="s">
        <v>46</v>
      </c>
      <c r="C127" s="8"/>
      <c r="D127" s="9"/>
      <c r="E127" s="57">
        <f t="shared" ref="E127:L127" si="36">SUM(E125:E126)</f>
        <v>0</v>
      </c>
      <c r="F127" s="57">
        <f t="shared" si="36"/>
        <v>0</v>
      </c>
      <c r="G127" s="57">
        <f t="shared" si="36"/>
        <v>0</v>
      </c>
      <c r="H127" s="57">
        <f t="shared" si="36"/>
        <v>0</v>
      </c>
      <c r="I127" s="57">
        <f t="shared" si="36"/>
        <v>0</v>
      </c>
      <c r="J127" s="57">
        <f t="shared" si="36"/>
        <v>1</v>
      </c>
      <c r="K127" s="57">
        <f t="shared" si="36"/>
        <v>0</v>
      </c>
      <c r="L127" s="57">
        <f t="shared" si="36"/>
        <v>1</v>
      </c>
      <c r="M127" s="6">
        <f t="shared" si="35"/>
        <v>2</v>
      </c>
    </row>
    <row r="128" ht="12.75" customHeight="1">
      <c r="A128" s="68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"/>
    </row>
    <row r="129" ht="12.75" customHeight="1">
      <c r="A129" s="33" t="s">
        <v>37</v>
      </c>
      <c r="B129" s="51" t="s">
        <v>108</v>
      </c>
      <c r="C129" s="52" t="s">
        <v>109</v>
      </c>
      <c r="D129" s="9"/>
      <c r="E129" s="13">
        <v>1.0</v>
      </c>
      <c r="F129" s="13">
        <v>1.0</v>
      </c>
      <c r="G129" s="13">
        <v>3.0</v>
      </c>
      <c r="H129" s="13">
        <v>0.0</v>
      </c>
      <c r="I129" s="13">
        <v>0.0</v>
      </c>
      <c r="J129" s="13">
        <v>0.0</v>
      </c>
      <c r="K129" s="13">
        <v>0.0</v>
      </c>
      <c r="L129" s="13">
        <v>1.0</v>
      </c>
      <c r="M129" s="6">
        <f t="shared" ref="M129:M136" si="37">SUM(E129:L129)</f>
        <v>6</v>
      </c>
    </row>
    <row r="130" ht="12.75" customHeight="1">
      <c r="A130" s="33" t="s">
        <v>39</v>
      </c>
      <c r="B130" s="54">
        <v>1.0</v>
      </c>
      <c r="C130" s="55" t="s">
        <v>110</v>
      </c>
      <c r="D130" s="56"/>
      <c r="E130" s="13">
        <v>5.0</v>
      </c>
      <c r="F130" s="13">
        <v>2.0</v>
      </c>
      <c r="G130" s="13">
        <v>0.0</v>
      </c>
      <c r="H130" s="13">
        <v>3.0</v>
      </c>
      <c r="I130" s="13">
        <v>1.0</v>
      </c>
      <c r="J130" s="13">
        <v>3.0</v>
      </c>
      <c r="K130" s="13">
        <v>0.0</v>
      </c>
      <c r="L130" s="13">
        <v>2.0</v>
      </c>
      <c r="M130" s="6">
        <f t="shared" si="37"/>
        <v>16</v>
      </c>
    </row>
    <row r="131" ht="12.75" customHeight="1">
      <c r="A131" s="18"/>
      <c r="B131" s="54">
        <v>2.0</v>
      </c>
      <c r="C131" s="55" t="s">
        <v>111</v>
      </c>
      <c r="D131" s="56"/>
      <c r="E131" s="13">
        <v>1.0</v>
      </c>
      <c r="F131" s="13">
        <v>0.0</v>
      </c>
      <c r="G131" s="13">
        <v>0.0</v>
      </c>
      <c r="H131" s="13">
        <v>0.0</v>
      </c>
      <c r="I131" s="13">
        <v>0.0</v>
      </c>
      <c r="J131" s="13">
        <v>0.0</v>
      </c>
      <c r="K131" s="13">
        <v>0.0</v>
      </c>
      <c r="L131" s="13">
        <v>0.0</v>
      </c>
      <c r="M131" s="6">
        <f t="shared" si="37"/>
        <v>1</v>
      </c>
    </row>
    <row r="132" ht="12.75" customHeight="1">
      <c r="A132" s="18"/>
      <c r="B132" s="54">
        <v>3.0</v>
      </c>
      <c r="C132" s="55" t="s">
        <v>112</v>
      </c>
      <c r="D132" s="56"/>
      <c r="E132" s="13">
        <v>0.0</v>
      </c>
      <c r="F132" s="13">
        <v>0.0</v>
      </c>
      <c r="G132" s="13">
        <v>0.0</v>
      </c>
      <c r="H132" s="13">
        <v>0.0</v>
      </c>
      <c r="I132" s="13">
        <v>0.0</v>
      </c>
      <c r="J132" s="13">
        <v>0.0</v>
      </c>
      <c r="K132" s="13">
        <v>0.0</v>
      </c>
      <c r="L132" s="13">
        <v>0.0</v>
      </c>
      <c r="M132" s="6">
        <f t="shared" si="37"/>
        <v>0</v>
      </c>
    </row>
    <row r="133" ht="12.75" customHeight="1">
      <c r="A133" s="18"/>
      <c r="B133" s="54">
        <v>4.0</v>
      </c>
      <c r="C133" s="55" t="s">
        <v>113</v>
      </c>
      <c r="D133" s="56"/>
      <c r="E133" s="13">
        <v>1.0</v>
      </c>
      <c r="F133" s="13">
        <v>0.0</v>
      </c>
      <c r="G133" s="13">
        <v>0.0</v>
      </c>
      <c r="H133" s="13">
        <v>0.0</v>
      </c>
      <c r="I133" s="13">
        <v>0.0</v>
      </c>
      <c r="J133" s="13">
        <v>0.0</v>
      </c>
      <c r="K133" s="13">
        <v>0.0</v>
      </c>
      <c r="L133" s="13">
        <v>0.0</v>
      </c>
      <c r="M133" s="6">
        <f t="shared" si="37"/>
        <v>1</v>
      </c>
    </row>
    <row r="134" ht="12.75" customHeight="1">
      <c r="A134" s="18"/>
      <c r="B134" s="54">
        <v>5.0</v>
      </c>
      <c r="C134" s="55" t="s">
        <v>114</v>
      </c>
      <c r="D134" s="56"/>
      <c r="E134" s="13">
        <v>0.0</v>
      </c>
      <c r="F134" s="13">
        <v>0.0</v>
      </c>
      <c r="G134" s="13">
        <v>0.0</v>
      </c>
      <c r="H134" s="13">
        <v>0.0</v>
      </c>
      <c r="I134" s="13">
        <v>0.0</v>
      </c>
      <c r="J134" s="13">
        <v>0.0</v>
      </c>
      <c r="K134" s="13">
        <v>0.0</v>
      </c>
      <c r="L134" s="13">
        <v>0.0</v>
      </c>
      <c r="M134" s="6">
        <f t="shared" si="37"/>
        <v>0</v>
      </c>
    </row>
    <row r="135" ht="12.75" customHeight="1">
      <c r="A135" s="18"/>
      <c r="B135" s="54">
        <v>6.0</v>
      </c>
      <c r="C135" s="55" t="s">
        <v>115</v>
      </c>
      <c r="D135" s="56"/>
      <c r="E135" s="13">
        <v>0.0</v>
      </c>
      <c r="F135" s="13">
        <v>0.0</v>
      </c>
      <c r="G135" s="13">
        <v>0.0</v>
      </c>
      <c r="H135" s="13">
        <v>1.0</v>
      </c>
      <c r="I135" s="13">
        <v>0.0</v>
      </c>
      <c r="J135" s="13">
        <v>0.0</v>
      </c>
      <c r="K135" s="13">
        <v>0.0</v>
      </c>
      <c r="L135" s="13">
        <v>1.0</v>
      </c>
      <c r="M135" s="6">
        <f t="shared" si="37"/>
        <v>2</v>
      </c>
    </row>
    <row r="136" ht="12.75" customHeight="1">
      <c r="A136" s="13" t="s">
        <v>15</v>
      </c>
      <c r="B136" s="51" t="s">
        <v>46</v>
      </c>
      <c r="C136" s="8"/>
      <c r="D136" s="9"/>
      <c r="E136" s="57">
        <f t="shared" ref="E136:L136" si="38">SUM(E129:E135)</f>
        <v>8</v>
      </c>
      <c r="F136" s="57">
        <f t="shared" si="38"/>
        <v>3</v>
      </c>
      <c r="G136" s="57">
        <f t="shared" si="38"/>
        <v>3</v>
      </c>
      <c r="H136" s="57">
        <f t="shared" si="38"/>
        <v>4</v>
      </c>
      <c r="I136" s="57">
        <f t="shared" si="38"/>
        <v>1</v>
      </c>
      <c r="J136" s="57">
        <f t="shared" si="38"/>
        <v>3</v>
      </c>
      <c r="K136" s="57">
        <f t="shared" si="38"/>
        <v>0</v>
      </c>
      <c r="L136" s="57">
        <f t="shared" si="38"/>
        <v>4</v>
      </c>
      <c r="M136" s="6">
        <f t="shared" si="37"/>
        <v>26</v>
      </c>
    </row>
    <row r="137" ht="12.75" customHeight="1">
      <c r="A137" s="68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"/>
    </row>
    <row r="138" ht="12.75" customHeight="1">
      <c r="A138" s="33" t="s">
        <v>37</v>
      </c>
      <c r="B138" s="51" t="s">
        <v>116</v>
      </c>
      <c r="C138" s="52" t="s">
        <v>117</v>
      </c>
      <c r="D138" s="9"/>
      <c r="E138" s="13">
        <v>0.0</v>
      </c>
      <c r="F138" s="13">
        <v>0.0</v>
      </c>
      <c r="G138" s="13">
        <v>0.0</v>
      </c>
      <c r="H138" s="13">
        <v>0.0</v>
      </c>
      <c r="I138" s="13">
        <v>0.0</v>
      </c>
      <c r="J138" s="13">
        <v>1.0</v>
      </c>
      <c r="K138" s="13">
        <v>0.0</v>
      </c>
      <c r="L138" s="13">
        <v>0.0</v>
      </c>
      <c r="M138" s="6">
        <f t="shared" ref="M138:M144" si="39">SUM(E138:L138)</f>
        <v>1</v>
      </c>
    </row>
    <row r="139" ht="12.75" customHeight="1">
      <c r="A139" s="33" t="s">
        <v>39</v>
      </c>
      <c r="B139" s="54">
        <v>1.0</v>
      </c>
      <c r="C139" s="55" t="s">
        <v>118</v>
      </c>
      <c r="D139" s="56"/>
      <c r="E139" s="13">
        <v>0.0</v>
      </c>
      <c r="F139" s="13">
        <v>0.0</v>
      </c>
      <c r="G139" s="13">
        <v>0.0</v>
      </c>
      <c r="H139" s="13">
        <v>0.0</v>
      </c>
      <c r="I139" s="13">
        <v>0.0</v>
      </c>
      <c r="J139" s="13">
        <v>0.0</v>
      </c>
      <c r="K139" s="13">
        <v>0.0</v>
      </c>
      <c r="L139" s="13">
        <v>0.0</v>
      </c>
      <c r="M139" s="6">
        <f t="shared" si="39"/>
        <v>0</v>
      </c>
    </row>
    <row r="140" ht="12.75" customHeight="1">
      <c r="A140" s="18"/>
      <c r="B140" s="54">
        <v>2.0</v>
      </c>
      <c r="C140" s="55" t="s">
        <v>119</v>
      </c>
      <c r="D140" s="56"/>
      <c r="E140" s="13">
        <v>0.0</v>
      </c>
      <c r="F140" s="13">
        <v>0.0</v>
      </c>
      <c r="G140" s="13">
        <v>0.0</v>
      </c>
      <c r="H140" s="13">
        <v>0.0</v>
      </c>
      <c r="I140" s="13">
        <v>0.0</v>
      </c>
      <c r="J140" s="13">
        <v>0.0</v>
      </c>
      <c r="K140" s="13">
        <v>0.0</v>
      </c>
      <c r="L140" s="13">
        <v>0.0</v>
      </c>
      <c r="M140" s="6">
        <f t="shared" si="39"/>
        <v>0</v>
      </c>
    </row>
    <row r="141" ht="12.75" customHeight="1">
      <c r="A141" s="18"/>
      <c r="B141" s="54">
        <v>3.0</v>
      </c>
      <c r="C141" s="55" t="s">
        <v>120</v>
      </c>
      <c r="D141" s="56"/>
      <c r="E141" s="13">
        <v>0.0</v>
      </c>
      <c r="F141" s="13">
        <v>0.0</v>
      </c>
      <c r="G141" s="13">
        <v>0.0</v>
      </c>
      <c r="H141" s="13">
        <v>0.0</v>
      </c>
      <c r="I141" s="13">
        <v>0.0</v>
      </c>
      <c r="J141" s="13">
        <v>0.0</v>
      </c>
      <c r="K141" s="13">
        <v>0.0</v>
      </c>
      <c r="L141" s="13">
        <v>0.0</v>
      </c>
      <c r="M141" s="6">
        <f t="shared" si="39"/>
        <v>0</v>
      </c>
    </row>
    <row r="142" ht="12.75" customHeight="1">
      <c r="A142" s="18"/>
      <c r="B142" s="54">
        <v>4.0</v>
      </c>
      <c r="C142" s="55" t="s">
        <v>121</v>
      </c>
      <c r="D142" s="56"/>
      <c r="E142" s="13">
        <v>0.0</v>
      </c>
      <c r="F142" s="13">
        <v>0.0</v>
      </c>
      <c r="G142" s="13">
        <v>0.0</v>
      </c>
      <c r="H142" s="13">
        <v>0.0</v>
      </c>
      <c r="I142" s="13">
        <v>0.0</v>
      </c>
      <c r="J142" s="13">
        <v>0.0</v>
      </c>
      <c r="K142" s="13">
        <v>0.0</v>
      </c>
      <c r="L142" s="13">
        <v>0.0</v>
      </c>
      <c r="M142" s="6">
        <f t="shared" si="39"/>
        <v>0</v>
      </c>
    </row>
    <row r="143" ht="12.75" customHeight="1">
      <c r="A143" s="18"/>
      <c r="B143" s="54">
        <v>5.0</v>
      </c>
      <c r="C143" s="55" t="s">
        <v>122</v>
      </c>
      <c r="D143" s="56"/>
      <c r="E143" s="13">
        <v>0.0</v>
      </c>
      <c r="F143" s="13">
        <v>0.0</v>
      </c>
      <c r="G143" s="13">
        <v>0.0</v>
      </c>
      <c r="H143" s="13">
        <v>0.0</v>
      </c>
      <c r="I143" s="13">
        <v>0.0</v>
      </c>
      <c r="J143" s="13">
        <v>0.0</v>
      </c>
      <c r="K143" s="13">
        <v>0.0</v>
      </c>
      <c r="L143" s="13">
        <v>0.0</v>
      </c>
      <c r="M143" s="6">
        <f t="shared" si="39"/>
        <v>0</v>
      </c>
    </row>
    <row r="144" ht="12.75" customHeight="1">
      <c r="A144" s="13" t="s">
        <v>15</v>
      </c>
      <c r="B144" s="51" t="s">
        <v>46</v>
      </c>
      <c r="C144" s="8"/>
      <c r="D144" s="9"/>
      <c r="E144" s="57">
        <f t="shared" ref="E144:L144" si="40">SUM(E138:E143)</f>
        <v>0</v>
      </c>
      <c r="F144" s="57">
        <f t="shared" si="40"/>
        <v>0</v>
      </c>
      <c r="G144" s="57">
        <f t="shared" si="40"/>
        <v>0</v>
      </c>
      <c r="H144" s="57">
        <f t="shared" si="40"/>
        <v>0</v>
      </c>
      <c r="I144" s="57">
        <f t="shared" si="40"/>
        <v>0</v>
      </c>
      <c r="J144" s="57">
        <f t="shared" si="40"/>
        <v>1</v>
      </c>
      <c r="K144" s="57">
        <f t="shared" si="40"/>
        <v>0</v>
      </c>
      <c r="L144" s="57">
        <f t="shared" si="40"/>
        <v>0</v>
      </c>
      <c r="M144" s="6">
        <f t="shared" si="39"/>
        <v>1</v>
      </c>
    </row>
    <row r="145" ht="12.75" customHeight="1">
      <c r="A145" s="68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"/>
    </row>
    <row r="146" ht="12.75" customHeight="1">
      <c r="A146" s="33" t="s">
        <v>37</v>
      </c>
      <c r="B146" s="51" t="s">
        <v>123</v>
      </c>
      <c r="C146" s="52" t="s">
        <v>124</v>
      </c>
      <c r="D146" s="9"/>
      <c r="E146" s="13">
        <v>2.0</v>
      </c>
      <c r="F146" s="13">
        <v>1.0</v>
      </c>
      <c r="G146" s="13">
        <v>6.0</v>
      </c>
      <c r="H146" s="13">
        <v>2.0</v>
      </c>
      <c r="I146" s="13">
        <v>1.0</v>
      </c>
      <c r="J146" s="13">
        <v>0.0</v>
      </c>
      <c r="K146" s="13">
        <v>3.0</v>
      </c>
      <c r="L146" s="13">
        <v>1.0</v>
      </c>
      <c r="M146" s="6">
        <f t="shared" ref="M146:M153" si="41">SUM(E146:L146)</f>
        <v>16</v>
      </c>
    </row>
    <row r="147" ht="12.75" customHeight="1">
      <c r="A147" s="33" t="s">
        <v>39</v>
      </c>
      <c r="B147" s="54">
        <v>1.0</v>
      </c>
      <c r="C147" s="55" t="s">
        <v>125</v>
      </c>
      <c r="D147" s="56"/>
      <c r="E147" s="13">
        <v>4.0</v>
      </c>
      <c r="F147" s="13">
        <v>0.0</v>
      </c>
      <c r="G147" s="13">
        <v>1.0</v>
      </c>
      <c r="H147" s="13">
        <v>0.0</v>
      </c>
      <c r="I147" s="13">
        <v>1.0</v>
      </c>
      <c r="J147" s="13">
        <v>0.0</v>
      </c>
      <c r="K147" s="13">
        <v>1.0</v>
      </c>
      <c r="L147" s="13">
        <v>1.0</v>
      </c>
      <c r="M147" s="6">
        <f t="shared" si="41"/>
        <v>8</v>
      </c>
    </row>
    <row r="148" ht="12.75" customHeight="1">
      <c r="A148" s="18"/>
      <c r="B148" s="54">
        <v>2.0</v>
      </c>
      <c r="C148" s="55" t="s">
        <v>126</v>
      </c>
      <c r="D148" s="56"/>
      <c r="E148" s="13">
        <v>14.0</v>
      </c>
      <c r="F148" s="13">
        <v>9.0</v>
      </c>
      <c r="G148" s="13">
        <v>4.0</v>
      </c>
      <c r="H148" s="13">
        <v>1.0</v>
      </c>
      <c r="I148" s="13">
        <v>5.0</v>
      </c>
      <c r="J148" s="13">
        <v>4.0</v>
      </c>
      <c r="K148" s="13">
        <v>10.0</v>
      </c>
      <c r="L148" s="13">
        <v>11.0</v>
      </c>
      <c r="M148" s="6">
        <f t="shared" si="41"/>
        <v>58</v>
      </c>
    </row>
    <row r="149" ht="12.75" customHeight="1">
      <c r="A149" s="18"/>
      <c r="B149" s="54">
        <v>3.0</v>
      </c>
      <c r="C149" s="55" t="s">
        <v>127</v>
      </c>
      <c r="D149" s="56"/>
      <c r="E149" s="13">
        <v>0.0</v>
      </c>
      <c r="F149" s="13">
        <v>0.0</v>
      </c>
      <c r="G149" s="13">
        <v>0.0</v>
      </c>
      <c r="H149" s="13">
        <v>0.0</v>
      </c>
      <c r="I149" s="13">
        <v>0.0</v>
      </c>
      <c r="J149" s="13">
        <v>0.0</v>
      </c>
      <c r="K149" s="13">
        <v>0.0</v>
      </c>
      <c r="L149" s="13">
        <v>0.0</v>
      </c>
      <c r="M149" s="6">
        <f t="shared" si="41"/>
        <v>0</v>
      </c>
    </row>
    <row r="150" ht="12.75" customHeight="1">
      <c r="A150" s="18"/>
      <c r="B150" s="54">
        <v>4.0</v>
      </c>
      <c r="C150" s="55" t="s">
        <v>128</v>
      </c>
      <c r="D150" s="56"/>
      <c r="E150" s="13">
        <v>0.0</v>
      </c>
      <c r="F150" s="13">
        <v>0.0</v>
      </c>
      <c r="G150" s="13">
        <v>0.0</v>
      </c>
      <c r="H150" s="13">
        <v>0.0</v>
      </c>
      <c r="I150" s="13">
        <v>0.0</v>
      </c>
      <c r="J150" s="13">
        <v>0.0</v>
      </c>
      <c r="K150" s="13">
        <v>1.0</v>
      </c>
      <c r="L150" s="13">
        <v>0.0</v>
      </c>
      <c r="M150" s="6">
        <f t="shared" si="41"/>
        <v>1</v>
      </c>
    </row>
    <row r="151" ht="12.75" customHeight="1">
      <c r="A151" s="18"/>
      <c r="B151" s="54">
        <v>5.0</v>
      </c>
      <c r="C151" s="55" t="s">
        <v>129</v>
      </c>
      <c r="D151" s="56"/>
      <c r="E151" s="13">
        <v>0.0</v>
      </c>
      <c r="F151" s="13">
        <v>0.0</v>
      </c>
      <c r="G151" s="13">
        <v>0.0</v>
      </c>
      <c r="H151" s="13">
        <v>1.0</v>
      </c>
      <c r="I151" s="13">
        <v>0.0</v>
      </c>
      <c r="J151" s="13">
        <v>0.0</v>
      </c>
      <c r="K151" s="13">
        <v>0.0</v>
      </c>
      <c r="L151" s="13">
        <v>1.0</v>
      </c>
      <c r="M151" s="6">
        <f t="shared" si="41"/>
        <v>2</v>
      </c>
    </row>
    <row r="152" ht="12.75" customHeight="1">
      <c r="A152" s="18"/>
      <c r="B152" s="54">
        <v>6.0</v>
      </c>
      <c r="C152" s="55" t="s">
        <v>130</v>
      </c>
      <c r="D152" s="56"/>
      <c r="E152" s="13">
        <v>0.0</v>
      </c>
      <c r="F152" s="13">
        <v>0.0</v>
      </c>
      <c r="G152" s="13">
        <v>0.0</v>
      </c>
      <c r="H152" s="13">
        <v>0.0</v>
      </c>
      <c r="I152" s="13">
        <v>0.0</v>
      </c>
      <c r="J152" s="13">
        <v>0.0</v>
      </c>
      <c r="K152" s="13">
        <v>0.0</v>
      </c>
      <c r="L152" s="13">
        <v>0.0</v>
      </c>
      <c r="M152" s="6">
        <f t="shared" si="41"/>
        <v>0</v>
      </c>
    </row>
    <row r="153" ht="12.75" customHeight="1">
      <c r="A153" s="13" t="s">
        <v>15</v>
      </c>
      <c r="B153" s="51" t="s">
        <v>46</v>
      </c>
      <c r="C153" s="8"/>
      <c r="D153" s="9"/>
      <c r="E153" s="57">
        <f t="shared" ref="E153:L153" si="42">SUM(E146:E152)</f>
        <v>20</v>
      </c>
      <c r="F153" s="57">
        <f t="shared" si="42"/>
        <v>10</v>
      </c>
      <c r="G153" s="57">
        <f t="shared" si="42"/>
        <v>11</v>
      </c>
      <c r="H153" s="57">
        <f t="shared" si="42"/>
        <v>4</v>
      </c>
      <c r="I153" s="57">
        <f t="shared" si="42"/>
        <v>7</v>
      </c>
      <c r="J153" s="57">
        <f t="shared" si="42"/>
        <v>4</v>
      </c>
      <c r="K153" s="57">
        <f t="shared" si="42"/>
        <v>15</v>
      </c>
      <c r="L153" s="57">
        <f t="shared" si="42"/>
        <v>14</v>
      </c>
      <c r="M153" s="6">
        <f t="shared" si="41"/>
        <v>85</v>
      </c>
    </row>
    <row r="154" ht="12.75" customHeight="1">
      <c r="A154" s="68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"/>
    </row>
    <row r="155" ht="12.75" customHeight="1">
      <c r="A155" s="33" t="s">
        <v>37</v>
      </c>
      <c r="B155" s="51" t="s">
        <v>131</v>
      </c>
      <c r="C155" s="52" t="s">
        <v>132</v>
      </c>
      <c r="D155" s="9"/>
      <c r="E155" s="13">
        <v>0.0</v>
      </c>
      <c r="F155" s="13">
        <v>2.0</v>
      </c>
      <c r="G155" s="13">
        <v>0.0</v>
      </c>
      <c r="H155" s="13">
        <v>0.0</v>
      </c>
      <c r="I155" s="13">
        <v>0.0</v>
      </c>
      <c r="J155" s="13">
        <v>1.0</v>
      </c>
      <c r="K155" s="13">
        <v>0.0</v>
      </c>
      <c r="L155" s="13">
        <v>0.0</v>
      </c>
      <c r="M155" s="6">
        <f t="shared" ref="M155:M158" si="43">SUM(E155:L155)</f>
        <v>3</v>
      </c>
    </row>
    <row r="156" ht="12.75" customHeight="1">
      <c r="A156" s="33" t="s">
        <v>39</v>
      </c>
      <c r="B156" s="54">
        <v>1.0</v>
      </c>
      <c r="C156" s="55" t="s">
        <v>133</v>
      </c>
      <c r="D156" s="56"/>
      <c r="E156" s="13">
        <v>1.0</v>
      </c>
      <c r="F156" s="13">
        <v>4.0</v>
      </c>
      <c r="G156" s="13">
        <v>0.0</v>
      </c>
      <c r="H156" s="13">
        <v>0.0</v>
      </c>
      <c r="I156" s="13">
        <v>3.0</v>
      </c>
      <c r="J156" s="13">
        <v>1.0</v>
      </c>
      <c r="K156" s="13">
        <v>0.0</v>
      </c>
      <c r="L156" s="13">
        <v>3.0</v>
      </c>
      <c r="M156" s="6">
        <f t="shared" si="43"/>
        <v>12</v>
      </c>
    </row>
    <row r="157" ht="12.75" customHeight="1">
      <c r="A157" s="33"/>
      <c r="B157" s="54">
        <v>2.0</v>
      </c>
      <c r="C157" s="55" t="s">
        <v>134</v>
      </c>
      <c r="D157" s="56"/>
      <c r="E157" s="13">
        <v>1.0</v>
      </c>
      <c r="F157" s="13">
        <v>0.0</v>
      </c>
      <c r="G157" s="13">
        <v>0.0</v>
      </c>
      <c r="H157" s="13">
        <v>0.0</v>
      </c>
      <c r="I157" s="13">
        <v>0.0</v>
      </c>
      <c r="J157" s="13">
        <v>0.0</v>
      </c>
      <c r="K157" s="13">
        <v>0.0</v>
      </c>
      <c r="L157" s="13">
        <v>0.0</v>
      </c>
      <c r="M157" s="6">
        <f t="shared" si="43"/>
        <v>1</v>
      </c>
    </row>
    <row r="158" ht="12.75" customHeight="1">
      <c r="A158" s="13" t="s">
        <v>15</v>
      </c>
      <c r="B158" s="51" t="s">
        <v>46</v>
      </c>
      <c r="C158" s="8"/>
      <c r="D158" s="9"/>
      <c r="E158" s="57">
        <f t="shared" ref="E158:L158" si="44">SUM(E155:E157)</f>
        <v>2</v>
      </c>
      <c r="F158" s="57">
        <f t="shared" si="44"/>
        <v>6</v>
      </c>
      <c r="G158" s="57">
        <f t="shared" si="44"/>
        <v>0</v>
      </c>
      <c r="H158" s="57">
        <f t="shared" si="44"/>
        <v>0</v>
      </c>
      <c r="I158" s="57">
        <f t="shared" si="44"/>
        <v>3</v>
      </c>
      <c r="J158" s="57">
        <f t="shared" si="44"/>
        <v>2</v>
      </c>
      <c r="K158" s="57">
        <f t="shared" si="44"/>
        <v>0</v>
      </c>
      <c r="L158" s="57">
        <f t="shared" si="44"/>
        <v>3</v>
      </c>
      <c r="M158" s="6">
        <f t="shared" si="43"/>
        <v>16</v>
      </c>
    </row>
    <row r="159" ht="12.75" customHeight="1">
      <c r="A159" s="68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"/>
    </row>
    <row r="160" ht="12.75" customHeight="1">
      <c r="A160" s="33" t="s">
        <v>37</v>
      </c>
      <c r="B160" s="51" t="s">
        <v>135</v>
      </c>
      <c r="C160" s="52" t="s">
        <v>136</v>
      </c>
      <c r="D160" s="9"/>
      <c r="E160" s="13">
        <v>0.0</v>
      </c>
      <c r="F160" s="13">
        <v>0.0</v>
      </c>
      <c r="G160" s="13">
        <v>0.0</v>
      </c>
      <c r="H160" s="13">
        <v>0.0</v>
      </c>
      <c r="I160" s="13">
        <v>0.0</v>
      </c>
      <c r="J160" s="13">
        <v>0.0</v>
      </c>
      <c r="K160" s="13">
        <v>0.0</v>
      </c>
      <c r="L160" s="13">
        <v>0.0</v>
      </c>
      <c r="M160" s="6">
        <f t="shared" ref="M160:M164" si="45">SUM(E160:L160)</f>
        <v>0</v>
      </c>
    </row>
    <row r="161" ht="12.75" customHeight="1">
      <c r="A161" s="33"/>
      <c r="B161" s="54">
        <v>1.0</v>
      </c>
      <c r="C161" s="55" t="s">
        <v>137</v>
      </c>
      <c r="D161" s="63"/>
      <c r="E161" s="13">
        <v>0.0</v>
      </c>
      <c r="F161" s="13">
        <v>0.0</v>
      </c>
      <c r="G161" s="13">
        <v>0.0</v>
      </c>
      <c r="H161" s="13">
        <v>0.0</v>
      </c>
      <c r="I161" s="13">
        <v>0.0</v>
      </c>
      <c r="J161" s="13">
        <v>0.0</v>
      </c>
      <c r="K161" s="13">
        <v>0.0</v>
      </c>
      <c r="L161" s="13">
        <v>0.0</v>
      </c>
      <c r="M161" s="6">
        <f t="shared" si="45"/>
        <v>0</v>
      </c>
    </row>
    <row r="162" ht="12.75" customHeight="1">
      <c r="A162" s="33"/>
      <c r="B162" s="54">
        <v>2.0</v>
      </c>
      <c r="C162" s="55" t="s">
        <v>138</v>
      </c>
      <c r="D162" s="63"/>
      <c r="E162" s="13">
        <v>0.0</v>
      </c>
      <c r="F162" s="13">
        <v>0.0</v>
      </c>
      <c r="G162" s="13">
        <v>0.0</v>
      </c>
      <c r="H162" s="13">
        <v>0.0</v>
      </c>
      <c r="I162" s="13">
        <v>0.0</v>
      </c>
      <c r="J162" s="13">
        <v>0.0</v>
      </c>
      <c r="K162" s="13">
        <v>0.0</v>
      </c>
      <c r="L162" s="13">
        <v>0.0</v>
      </c>
      <c r="M162" s="6">
        <f t="shared" si="45"/>
        <v>0</v>
      </c>
    </row>
    <row r="163" ht="12.75" customHeight="1">
      <c r="A163" s="33"/>
      <c r="B163" s="54">
        <v>3.0</v>
      </c>
      <c r="C163" s="55" t="s">
        <v>139</v>
      </c>
      <c r="D163" s="63"/>
      <c r="E163" s="13">
        <v>0.0</v>
      </c>
      <c r="F163" s="13">
        <v>0.0</v>
      </c>
      <c r="G163" s="13">
        <v>0.0</v>
      </c>
      <c r="H163" s="13">
        <v>0.0</v>
      </c>
      <c r="I163" s="13">
        <v>0.0</v>
      </c>
      <c r="J163" s="13">
        <v>0.0</v>
      </c>
      <c r="K163" s="13">
        <v>0.0</v>
      </c>
      <c r="L163" s="13">
        <v>0.0</v>
      </c>
      <c r="M163" s="6">
        <f t="shared" si="45"/>
        <v>0</v>
      </c>
    </row>
    <row r="164" ht="12.75" customHeight="1">
      <c r="A164" s="13" t="s">
        <v>15</v>
      </c>
      <c r="B164" s="51" t="s">
        <v>46</v>
      </c>
      <c r="C164" s="8"/>
      <c r="D164" s="9"/>
      <c r="E164" s="57">
        <f t="shared" ref="E164:L164" si="46">SUM(E160:E163)</f>
        <v>0</v>
      </c>
      <c r="F164" s="57">
        <f t="shared" si="46"/>
        <v>0</v>
      </c>
      <c r="G164" s="57">
        <f t="shared" si="46"/>
        <v>0</v>
      </c>
      <c r="H164" s="57">
        <f t="shared" si="46"/>
        <v>0</v>
      </c>
      <c r="I164" s="57">
        <f t="shared" si="46"/>
        <v>0</v>
      </c>
      <c r="J164" s="57">
        <f t="shared" si="46"/>
        <v>0</v>
      </c>
      <c r="K164" s="57">
        <f t="shared" si="46"/>
        <v>0</v>
      </c>
      <c r="L164" s="57">
        <f t="shared" si="46"/>
        <v>0</v>
      </c>
      <c r="M164" s="6">
        <f t="shared" si="45"/>
        <v>0</v>
      </c>
    </row>
    <row r="165" ht="12.75" customHeight="1">
      <c r="A165" s="68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"/>
    </row>
    <row r="166" ht="12.75" customHeight="1">
      <c r="A166" s="33" t="s">
        <v>37</v>
      </c>
      <c r="B166" s="51" t="s">
        <v>140</v>
      </c>
      <c r="C166" s="52" t="s">
        <v>141</v>
      </c>
      <c r="D166" s="9"/>
      <c r="E166" s="13">
        <v>1.0</v>
      </c>
      <c r="F166" s="13">
        <v>0.0</v>
      </c>
      <c r="G166" s="13">
        <v>0.0</v>
      </c>
      <c r="H166" s="13">
        <v>2.0</v>
      </c>
      <c r="I166" s="13">
        <v>1.0</v>
      </c>
      <c r="J166" s="13">
        <v>1.0</v>
      </c>
      <c r="K166" s="13">
        <v>1.0</v>
      </c>
      <c r="L166" s="13">
        <v>0.0</v>
      </c>
      <c r="M166" s="6">
        <f t="shared" ref="M166:M173" si="47">SUM(E166:L166)</f>
        <v>6</v>
      </c>
    </row>
    <row r="167" ht="12.75" customHeight="1">
      <c r="A167" s="33" t="s">
        <v>39</v>
      </c>
      <c r="B167" s="54">
        <v>1.0</v>
      </c>
      <c r="C167" s="55" t="s">
        <v>142</v>
      </c>
      <c r="D167" s="56"/>
      <c r="E167" s="13">
        <v>0.0</v>
      </c>
      <c r="F167" s="13">
        <v>1.0</v>
      </c>
      <c r="G167" s="13">
        <v>0.0</v>
      </c>
      <c r="H167" s="13">
        <v>1.0</v>
      </c>
      <c r="I167" s="13">
        <v>0.0</v>
      </c>
      <c r="J167" s="13">
        <v>0.0</v>
      </c>
      <c r="K167" s="13">
        <v>0.0</v>
      </c>
      <c r="L167" s="13">
        <v>0.0</v>
      </c>
      <c r="M167" s="6">
        <f t="shared" si="47"/>
        <v>2</v>
      </c>
    </row>
    <row r="168" ht="12.75" customHeight="1">
      <c r="A168" s="18"/>
      <c r="B168" s="54">
        <v>2.0</v>
      </c>
      <c r="C168" s="55" t="s">
        <v>143</v>
      </c>
      <c r="D168" s="56"/>
      <c r="E168" s="13">
        <v>1.0</v>
      </c>
      <c r="F168" s="13">
        <v>0.0</v>
      </c>
      <c r="G168" s="13">
        <v>0.0</v>
      </c>
      <c r="H168" s="13">
        <v>1.0</v>
      </c>
      <c r="I168" s="13">
        <v>0.0</v>
      </c>
      <c r="J168" s="13">
        <v>0.0</v>
      </c>
      <c r="K168" s="13">
        <v>1.0</v>
      </c>
      <c r="L168" s="13">
        <v>0.0</v>
      </c>
      <c r="M168" s="6">
        <f t="shared" si="47"/>
        <v>3</v>
      </c>
    </row>
    <row r="169" ht="12.75" customHeight="1">
      <c r="A169" s="18"/>
      <c r="B169" s="54">
        <v>3.0</v>
      </c>
      <c r="C169" s="55" t="s">
        <v>144</v>
      </c>
      <c r="D169" s="56"/>
      <c r="E169" s="13">
        <v>0.0</v>
      </c>
      <c r="F169" s="13">
        <v>1.0</v>
      </c>
      <c r="G169" s="13">
        <v>0.0</v>
      </c>
      <c r="H169" s="13">
        <v>0.0</v>
      </c>
      <c r="I169" s="13">
        <v>0.0</v>
      </c>
      <c r="J169" s="13">
        <v>0.0</v>
      </c>
      <c r="K169" s="13">
        <v>0.0</v>
      </c>
      <c r="L169" s="13">
        <v>0.0</v>
      </c>
      <c r="M169" s="6">
        <f t="shared" si="47"/>
        <v>1</v>
      </c>
    </row>
    <row r="170" ht="12.75" customHeight="1">
      <c r="A170" s="18"/>
      <c r="B170" s="54">
        <v>4.0</v>
      </c>
      <c r="C170" s="55" t="s">
        <v>145</v>
      </c>
      <c r="D170" s="56"/>
      <c r="E170" s="13">
        <v>1.0</v>
      </c>
      <c r="F170" s="13">
        <v>0.0</v>
      </c>
      <c r="G170" s="13">
        <v>0.0</v>
      </c>
      <c r="H170" s="13">
        <v>0.0</v>
      </c>
      <c r="I170" s="13">
        <v>0.0</v>
      </c>
      <c r="J170" s="13">
        <v>0.0</v>
      </c>
      <c r="K170" s="13">
        <v>0.0</v>
      </c>
      <c r="L170" s="13">
        <v>0.0</v>
      </c>
      <c r="M170" s="6">
        <f t="shared" si="47"/>
        <v>1</v>
      </c>
    </row>
    <row r="171" ht="12.75" customHeight="1">
      <c r="A171" s="18"/>
      <c r="B171" s="54">
        <v>5.0</v>
      </c>
      <c r="C171" s="55" t="s">
        <v>146</v>
      </c>
      <c r="D171" s="56"/>
      <c r="E171" s="13">
        <v>2.0</v>
      </c>
      <c r="F171" s="13">
        <v>0.0</v>
      </c>
      <c r="G171" s="13">
        <v>0.0</v>
      </c>
      <c r="H171" s="13">
        <v>1.0</v>
      </c>
      <c r="I171" s="13">
        <v>0.0</v>
      </c>
      <c r="J171" s="13">
        <v>0.0</v>
      </c>
      <c r="K171" s="13">
        <v>0.0</v>
      </c>
      <c r="L171" s="13">
        <v>1.0</v>
      </c>
      <c r="M171" s="6">
        <f t="shared" si="47"/>
        <v>4</v>
      </c>
    </row>
    <row r="172" ht="12.75" customHeight="1">
      <c r="A172" s="18"/>
      <c r="B172" s="54">
        <v>6.0</v>
      </c>
      <c r="C172" s="55" t="s">
        <v>147</v>
      </c>
      <c r="D172" s="56"/>
      <c r="E172" s="13">
        <v>0.0</v>
      </c>
      <c r="F172" s="13">
        <v>0.0</v>
      </c>
      <c r="G172" s="13">
        <v>0.0</v>
      </c>
      <c r="H172" s="13">
        <v>0.0</v>
      </c>
      <c r="I172" s="13">
        <v>0.0</v>
      </c>
      <c r="J172" s="13">
        <v>0.0</v>
      </c>
      <c r="K172" s="13">
        <v>0.0</v>
      </c>
      <c r="L172" s="13">
        <v>0.0</v>
      </c>
      <c r="M172" s="6">
        <f t="shared" si="47"/>
        <v>0</v>
      </c>
    </row>
    <row r="173" ht="12.75" customHeight="1">
      <c r="A173" s="13" t="s">
        <v>15</v>
      </c>
      <c r="B173" s="51" t="s">
        <v>46</v>
      </c>
      <c r="C173" s="8"/>
      <c r="D173" s="9"/>
      <c r="E173" s="57">
        <f t="shared" ref="E173:L173" si="48">SUM(E166:E172)</f>
        <v>5</v>
      </c>
      <c r="F173" s="57">
        <f t="shared" si="48"/>
        <v>2</v>
      </c>
      <c r="G173" s="57">
        <f t="shared" si="48"/>
        <v>0</v>
      </c>
      <c r="H173" s="57">
        <f t="shared" si="48"/>
        <v>5</v>
      </c>
      <c r="I173" s="57">
        <f t="shared" si="48"/>
        <v>1</v>
      </c>
      <c r="J173" s="57">
        <f t="shared" si="48"/>
        <v>1</v>
      </c>
      <c r="K173" s="57">
        <f t="shared" si="48"/>
        <v>2</v>
      </c>
      <c r="L173" s="57">
        <f t="shared" si="48"/>
        <v>1</v>
      </c>
      <c r="M173" s="6">
        <f t="shared" si="47"/>
        <v>17</v>
      </c>
    </row>
    <row r="174" ht="12.75" customHeight="1">
      <c r="A174" s="68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"/>
    </row>
    <row r="175" ht="12.75" customHeight="1">
      <c r="A175" s="33" t="s">
        <v>37</v>
      </c>
      <c r="B175" s="51" t="s">
        <v>148</v>
      </c>
      <c r="C175" s="52" t="s">
        <v>149</v>
      </c>
      <c r="D175" s="9"/>
      <c r="E175" s="13">
        <v>1.0</v>
      </c>
      <c r="F175" s="13">
        <v>0.0</v>
      </c>
      <c r="G175" s="13">
        <v>0.0</v>
      </c>
      <c r="H175" s="13">
        <v>0.0</v>
      </c>
      <c r="I175" s="13">
        <v>1.0</v>
      </c>
      <c r="J175" s="13">
        <v>0.0</v>
      </c>
      <c r="K175" s="13">
        <v>0.0</v>
      </c>
      <c r="L175" s="13">
        <v>0.0</v>
      </c>
      <c r="M175" s="6">
        <f t="shared" ref="M175:M178" si="49">SUM(E175:L175)</f>
        <v>2</v>
      </c>
    </row>
    <row r="176" ht="12.75" customHeight="1">
      <c r="A176" s="33"/>
      <c r="B176" s="51">
        <v>1.0</v>
      </c>
      <c r="C176" s="52" t="s">
        <v>150</v>
      </c>
      <c r="D176" s="63"/>
      <c r="E176" s="13">
        <v>0.0</v>
      </c>
      <c r="F176" s="13">
        <v>0.0</v>
      </c>
      <c r="G176" s="13">
        <v>0.0</v>
      </c>
      <c r="H176" s="13">
        <v>0.0</v>
      </c>
      <c r="I176" s="13">
        <v>0.0</v>
      </c>
      <c r="J176" s="13">
        <v>0.0</v>
      </c>
      <c r="K176" s="13">
        <v>0.0</v>
      </c>
      <c r="L176" s="13">
        <v>0.0</v>
      </c>
      <c r="M176" s="6">
        <f t="shared" si="49"/>
        <v>0</v>
      </c>
    </row>
    <row r="177" ht="12.75" customHeight="1">
      <c r="A177" s="33" t="s">
        <v>39</v>
      </c>
      <c r="B177" s="54">
        <v>2.0</v>
      </c>
      <c r="C177" s="55" t="s">
        <v>151</v>
      </c>
      <c r="D177" s="56"/>
      <c r="E177" s="13">
        <v>0.0</v>
      </c>
      <c r="F177" s="13">
        <v>0.0</v>
      </c>
      <c r="G177" s="13">
        <v>0.0</v>
      </c>
      <c r="H177" s="13">
        <v>0.0</v>
      </c>
      <c r="I177" s="13">
        <v>0.0</v>
      </c>
      <c r="J177" s="13">
        <v>0.0</v>
      </c>
      <c r="K177" s="13">
        <v>0.0</v>
      </c>
      <c r="L177" s="13">
        <v>0.0</v>
      </c>
      <c r="M177" s="6">
        <f t="shared" si="49"/>
        <v>0</v>
      </c>
    </row>
    <row r="178" ht="12.75" customHeight="1">
      <c r="A178" s="13" t="s">
        <v>15</v>
      </c>
      <c r="B178" s="51" t="s">
        <v>46</v>
      </c>
      <c r="C178" s="8"/>
      <c r="D178" s="9"/>
      <c r="E178" s="57">
        <f t="shared" ref="E178:L178" si="50">SUM(E175:E177)</f>
        <v>1</v>
      </c>
      <c r="F178" s="57">
        <f t="shared" si="50"/>
        <v>0</v>
      </c>
      <c r="G178" s="57">
        <f t="shared" si="50"/>
        <v>0</v>
      </c>
      <c r="H178" s="57">
        <f t="shared" si="50"/>
        <v>0</v>
      </c>
      <c r="I178" s="57">
        <f t="shared" si="50"/>
        <v>1</v>
      </c>
      <c r="J178" s="57">
        <f t="shared" si="50"/>
        <v>0</v>
      </c>
      <c r="K178" s="57">
        <f t="shared" si="50"/>
        <v>0</v>
      </c>
      <c r="L178" s="57">
        <f t="shared" si="50"/>
        <v>0</v>
      </c>
      <c r="M178" s="6">
        <f t="shared" si="49"/>
        <v>2</v>
      </c>
    </row>
    <row r="179" ht="12.75" customHeight="1">
      <c r="A179" s="49"/>
      <c r="B179" s="48"/>
      <c r="C179" s="48"/>
      <c r="D179" s="27"/>
      <c r="E179" s="30"/>
      <c r="F179" s="30"/>
      <c r="G179" s="30"/>
      <c r="H179" s="30"/>
      <c r="I179" s="30"/>
      <c r="J179" s="30"/>
      <c r="K179" s="30"/>
      <c r="L179" s="30"/>
      <c r="M179" s="6"/>
    </row>
    <row r="180" ht="12.75" customHeight="1">
      <c r="A180" s="46" t="s">
        <v>152</v>
      </c>
      <c r="B180" s="7" t="s">
        <v>153</v>
      </c>
      <c r="C180" s="8"/>
      <c r="D180" s="9"/>
      <c r="E180" s="28"/>
      <c r="F180" s="28"/>
      <c r="G180" s="28"/>
      <c r="H180" s="28"/>
      <c r="I180" s="28"/>
      <c r="J180" s="28"/>
      <c r="K180" s="28"/>
      <c r="L180" s="28"/>
      <c r="M180" s="6"/>
    </row>
    <row r="181" ht="12.75" customHeight="1">
      <c r="A181" s="46"/>
      <c r="B181" s="64" t="s">
        <v>154</v>
      </c>
      <c r="C181" s="65" t="s">
        <v>155</v>
      </c>
      <c r="D181" s="9"/>
      <c r="E181" s="13">
        <v>175.0</v>
      </c>
      <c r="F181" s="13">
        <v>182.0</v>
      </c>
      <c r="G181" s="13">
        <v>173.0</v>
      </c>
      <c r="H181" s="13">
        <v>135.0</v>
      </c>
      <c r="I181" s="13">
        <v>192.0</v>
      </c>
      <c r="J181" s="13">
        <v>181.0</v>
      </c>
      <c r="K181" s="13">
        <v>153.0</v>
      </c>
      <c r="L181" s="13">
        <v>171.0</v>
      </c>
      <c r="M181" s="6">
        <f t="shared" ref="M181:M183" si="51">SUM(E181:L181)</f>
        <v>1362</v>
      </c>
    </row>
    <row r="182" ht="12.75" customHeight="1">
      <c r="A182" s="38"/>
      <c r="B182" s="64" t="s">
        <v>156</v>
      </c>
      <c r="C182" s="65" t="s">
        <v>157</v>
      </c>
      <c r="D182" s="9"/>
      <c r="E182" s="13">
        <v>28.0</v>
      </c>
      <c r="F182" s="13">
        <v>35.0</v>
      </c>
      <c r="G182" s="13">
        <v>43.0</v>
      </c>
      <c r="H182" s="13">
        <v>27.0</v>
      </c>
      <c r="I182" s="13">
        <v>23.0</v>
      </c>
      <c r="J182" s="13">
        <v>22.0</v>
      </c>
      <c r="K182" s="13">
        <v>17.0</v>
      </c>
      <c r="L182" s="13">
        <v>19.0</v>
      </c>
      <c r="M182" s="6">
        <f t="shared" si="51"/>
        <v>214</v>
      </c>
    </row>
    <row r="183" ht="12.75" customHeight="1">
      <c r="A183" s="43"/>
      <c r="B183" s="64" t="s">
        <v>158</v>
      </c>
      <c r="C183" s="65" t="s">
        <v>159</v>
      </c>
      <c r="D183" s="9"/>
      <c r="E183" s="28">
        <f t="shared" ref="E183:L183" si="52">SUM(E181:E182)</f>
        <v>203</v>
      </c>
      <c r="F183" s="28">
        <f t="shared" si="52"/>
        <v>217</v>
      </c>
      <c r="G183" s="28">
        <f t="shared" si="52"/>
        <v>216</v>
      </c>
      <c r="H183" s="28">
        <f t="shared" si="52"/>
        <v>162</v>
      </c>
      <c r="I183" s="28">
        <f t="shared" si="52"/>
        <v>215</v>
      </c>
      <c r="J183" s="28">
        <f t="shared" si="52"/>
        <v>203</v>
      </c>
      <c r="K183" s="28">
        <f t="shared" si="52"/>
        <v>170</v>
      </c>
      <c r="L183" s="28">
        <f t="shared" si="52"/>
        <v>190</v>
      </c>
      <c r="M183" s="6">
        <f t="shared" si="51"/>
        <v>1576</v>
      </c>
    </row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1">
    <mergeCell ref="C101:D101"/>
    <mergeCell ref="B108:D108"/>
    <mergeCell ref="C110:D110"/>
    <mergeCell ref="B114:D114"/>
    <mergeCell ref="C116:D116"/>
    <mergeCell ref="B123:D123"/>
    <mergeCell ref="C125:D125"/>
    <mergeCell ref="B127:D127"/>
    <mergeCell ref="C129:D129"/>
    <mergeCell ref="B136:D136"/>
    <mergeCell ref="C138:D138"/>
    <mergeCell ref="B144:D144"/>
    <mergeCell ref="C146:D146"/>
    <mergeCell ref="B153:D153"/>
    <mergeCell ref="B178:D178"/>
    <mergeCell ref="A179:D179"/>
    <mergeCell ref="B180:D180"/>
    <mergeCell ref="C181:D181"/>
    <mergeCell ref="C182:D182"/>
    <mergeCell ref="C183:D183"/>
    <mergeCell ref="C155:D155"/>
    <mergeCell ref="B158:D158"/>
    <mergeCell ref="C160:D160"/>
    <mergeCell ref="B164:D164"/>
    <mergeCell ref="C166:D166"/>
    <mergeCell ref="B173:D173"/>
    <mergeCell ref="C175:D175"/>
    <mergeCell ref="B12:D12"/>
    <mergeCell ref="E12:L12"/>
    <mergeCell ref="M12:M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C91:D91"/>
    <mergeCell ref="B92:D92"/>
    <mergeCell ref="C94:D94"/>
    <mergeCell ref="B99:D99"/>
  </mergeCells>
  <conditionalFormatting sqref="E30:L30">
    <cfRule type="expression" dxfId="0" priority="1">
      <formula>E30&lt;&gt;E62</formula>
    </cfRule>
  </conditionalFormatting>
  <conditionalFormatting sqref="E34:L34">
    <cfRule type="expression" dxfId="0" priority="2">
      <formula>E34&lt;&gt;E62</formula>
    </cfRule>
  </conditionalFormatting>
  <conditionalFormatting sqref="E14:L15">
    <cfRule type="containsBlanks" dxfId="1" priority="3">
      <formula>LEN(TRIM(E14))=0</formula>
    </cfRule>
  </conditionalFormatting>
  <conditionalFormatting sqref="E19:L20">
    <cfRule type="containsBlanks" dxfId="1" priority="4">
      <formula>LEN(TRIM(E19))=0</formula>
    </cfRule>
  </conditionalFormatting>
  <conditionalFormatting sqref="E22:L23 E25:L26 E33:L33 E35:L35 E39:L40">
    <cfRule type="containsBlanks" dxfId="1" priority="5">
      <formula>LEN(TRIM(E22))=0</formula>
    </cfRule>
  </conditionalFormatting>
  <conditionalFormatting sqref="E30:L30">
    <cfRule type="expression" dxfId="0" priority="6">
      <formula>E30&lt;&gt;E34</formula>
    </cfRule>
  </conditionalFormatting>
  <conditionalFormatting sqref="E34:L34">
    <cfRule type="expression" dxfId="2" priority="7">
      <formula>E30&lt;&gt;E34</formula>
    </cfRule>
  </conditionalFormatting>
  <conditionalFormatting sqref="E34:L34">
    <cfRule type="expression" dxfId="3" priority="8">
      <formula>E30=E34</formula>
    </cfRule>
  </conditionalFormatting>
  <conditionalFormatting sqref="E34:L34">
    <cfRule type="expression" dxfId="0" priority="9">
      <formula>E34&lt;&gt;E30</formula>
    </cfRule>
  </conditionalFormatting>
  <conditionalFormatting sqref="E45:L51">
    <cfRule type="containsBlanks" dxfId="1" priority="10">
      <formula>LEN(TRIM(E45))=0</formula>
    </cfRule>
  </conditionalFormatting>
  <conditionalFormatting sqref="E54:L60">
    <cfRule type="containsBlanks" dxfId="1" priority="11">
      <formula>LEN(TRIM(E54))=0</formula>
    </cfRule>
  </conditionalFormatting>
  <conditionalFormatting sqref="E63:L69">
    <cfRule type="containsBlanks" dxfId="1" priority="12">
      <formula>LEN(TRIM(E63))=0</formula>
    </cfRule>
  </conditionalFormatting>
  <conditionalFormatting sqref="E72:L78">
    <cfRule type="containsBlanks" dxfId="1" priority="13">
      <formula>LEN(TRIM(E72))=0</formula>
    </cfRule>
  </conditionalFormatting>
  <conditionalFormatting sqref="E81:L87">
    <cfRule type="containsBlanks" dxfId="1" priority="14">
      <formula>LEN(TRIM(E81))=0</formula>
    </cfRule>
  </conditionalFormatting>
  <conditionalFormatting sqref="E90:L91">
    <cfRule type="containsBlanks" dxfId="1" priority="15">
      <formula>LEN(TRIM(E90))=0</formula>
    </cfRule>
  </conditionalFormatting>
  <conditionalFormatting sqref="E94:L98">
    <cfRule type="containsBlanks" dxfId="1" priority="16">
      <formula>LEN(TRIM(E94))=0</formula>
    </cfRule>
  </conditionalFormatting>
  <conditionalFormatting sqref="E101:L107">
    <cfRule type="containsBlanks" dxfId="1" priority="17">
      <formula>LEN(TRIM(E101))=0</formula>
    </cfRule>
  </conditionalFormatting>
  <conditionalFormatting sqref="E110:L113">
    <cfRule type="containsBlanks" dxfId="1" priority="18">
      <formula>LEN(TRIM(E110))=0</formula>
    </cfRule>
  </conditionalFormatting>
  <conditionalFormatting sqref="E116:L122">
    <cfRule type="containsBlanks" dxfId="1" priority="19">
      <formula>LEN(TRIM(E116))=0</formula>
    </cfRule>
  </conditionalFormatting>
  <conditionalFormatting sqref="E125:L126">
    <cfRule type="containsBlanks" dxfId="1" priority="20">
      <formula>LEN(TRIM(E125))=0</formula>
    </cfRule>
  </conditionalFormatting>
  <conditionalFormatting sqref="E129:L135">
    <cfRule type="containsBlanks" dxfId="1" priority="21">
      <formula>LEN(TRIM(E129))=0</formula>
    </cfRule>
  </conditionalFormatting>
  <conditionalFormatting sqref="E138:L143">
    <cfRule type="containsBlanks" dxfId="1" priority="22">
      <formula>LEN(TRIM(E138))=0</formula>
    </cfRule>
  </conditionalFormatting>
  <conditionalFormatting sqref="E146:L152">
    <cfRule type="containsBlanks" dxfId="1" priority="23">
      <formula>LEN(TRIM(E146))=0</formula>
    </cfRule>
  </conditionalFormatting>
  <conditionalFormatting sqref="E155:L157">
    <cfRule type="containsBlanks" dxfId="1" priority="24">
      <formula>LEN(TRIM(E155))=0</formula>
    </cfRule>
  </conditionalFormatting>
  <conditionalFormatting sqref="E160:L163">
    <cfRule type="containsBlanks" dxfId="1" priority="25">
      <formula>LEN(TRIM(E160))=0</formula>
    </cfRule>
  </conditionalFormatting>
  <conditionalFormatting sqref="E166:L172">
    <cfRule type="containsBlanks" dxfId="1" priority="26">
      <formula>LEN(TRIM(E166))=0</formula>
    </cfRule>
  </conditionalFormatting>
  <conditionalFormatting sqref="E175:L177">
    <cfRule type="containsBlanks" dxfId="1" priority="27">
      <formula>LEN(TRIM(E175))=0</formula>
    </cfRule>
  </conditionalFormatting>
  <conditionalFormatting sqref="E181:L182">
    <cfRule type="containsBlanks" dxfId="1" priority="28">
      <formula>LEN(TRIM(E181))=0</formula>
    </cfRule>
  </conditionalFormatting>
  <conditionalFormatting sqref="E183:L183">
    <cfRule type="expression" dxfId="0" priority="29">
      <formula>E183&lt;&gt;E30</formula>
    </cfRule>
  </conditionalFormatting>
  <conditionalFormatting sqref="E183:L183">
    <cfRule type="expression" dxfId="0" priority="30">
      <formula>E183&lt;&gt;E34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2" width="8.71"/>
    <col customWidth="1" min="13" max="13" width="10.43"/>
  </cols>
  <sheetData>
    <row r="1" ht="12.75" customHeight="1"/>
    <row r="2" ht="12.75" customHeight="1">
      <c r="C2" s="1" t="s">
        <v>0</v>
      </c>
      <c r="D2" s="1" t="s">
        <v>1</v>
      </c>
    </row>
    <row r="3" ht="12.75" customHeight="1">
      <c r="C3" s="1" t="s">
        <v>2</v>
      </c>
      <c r="D3" s="1" t="s">
        <v>3</v>
      </c>
    </row>
    <row r="4" ht="12.75" customHeight="1">
      <c r="C4" s="1" t="s">
        <v>4</v>
      </c>
      <c r="D4" s="1" t="s">
        <v>5</v>
      </c>
    </row>
    <row r="5" ht="12.75" customHeight="1">
      <c r="C5" s="1"/>
      <c r="D5" s="1"/>
    </row>
    <row r="6" ht="12.75" customHeight="1">
      <c r="C6" s="1"/>
      <c r="D6" s="1"/>
    </row>
    <row r="7" ht="12.75" customHeight="1">
      <c r="C7" s="1"/>
      <c r="D7" s="1"/>
    </row>
    <row r="8" ht="12.75" customHeight="1">
      <c r="C8" s="1"/>
      <c r="D8" s="1"/>
    </row>
    <row r="9" ht="12.75" customHeight="1">
      <c r="C9" s="1" t="s">
        <v>160</v>
      </c>
      <c r="D9" s="1" t="s">
        <v>172</v>
      </c>
    </row>
    <row r="10" ht="12.75" customHeight="1"/>
    <row r="11" ht="12.75" customHeight="1"/>
    <row r="12" ht="12.75" customHeight="1">
      <c r="A12" s="6" t="s">
        <v>6</v>
      </c>
      <c r="B12" s="7" t="s">
        <v>7</v>
      </c>
      <c r="C12" s="8"/>
      <c r="D12" s="8"/>
      <c r="E12" s="28"/>
      <c r="F12" s="8"/>
      <c r="G12" s="8"/>
      <c r="H12" s="8"/>
      <c r="I12" s="8"/>
      <c r="J12" s="8"/>
      <c r="K12" s="8"/>
      <c r="L12" s="9"/>
      <c r="M12" s="40" t="s">
        <v>8</v>
      </c>
    </row>
    <row r="13" ht="12.75" customHeight="1">
      <c r="A13" s="13" t="s">
        <v>9</v>
      </c>
      <c r="B13" s="14" t="s">
        <v>10</v>
      </c>
      <c r="C13" s="8"/>
      <c r="D13" s="9"/>
      <c r="E13" s="43" t="s">
        <v>162</v>
      </c>
      <c r="F13" s="43" t="s">
        <v>163</v>
      </c>
      <c r="G13" s="43" t="s">
        <v>164</v>
      </c>
      <c r="H13" s="43" t="s">
        <v>165</v>
      </c>
      <c r="I13" s="43" t="s">
        <v>166</v>
      </c>
      <c r="J13" s="43" t="s">
        <v>167</v>
      </c>
      <c r="K13" s="43" t="s">
        <v>168</v>
      </c>
      <c r="L13" s="43" t="s">
        <v>169</v>
      </c>
      <c r="M13" s="27"/>
    </row>
    <row r="14" ht="12.75" customHeight="1">
      <c r="A14" s="18"/>
      <c r="B14" s="19" t="s">
        <v>11</v>
      </c>
      <c r="C14" s="20"/>
      <c r="D14" s="13" t="s">
        <v>12</v>
      </c>
      <c r="E14" s="13">
        <v>148.0</v>
      </c>
      <c r="F14" s="13">
        <v>107.0</v>
      </c>
      <c r="G14" s="13">
        <v>123.0</v>
      </c>
      <c r="H14" s="13">
        <v>127.0</v>
      </c>
      <c r="I14" s="13">
        <v>129.0</v>
      </c>
      <c r="J14" s="13">
        <v>119.0</v>
      </c>
      <c r="K14" s="13">
        <v>115.0</v>
      </c>
      <c r="L14" s="13">
        <v>110.0</v>
      </c>
      <c r="M14" s="6">
        <f t="shared" ref="M14:M16" si="1">SUM(E14:L14)</f>
        <v>978</v>
      </c>
    </row>
    <row r="15" ht="12.75" customHeight="1">
      <c r="A15" s="18"/>
      <c r="B15" s="25"/>
      <c r="C15" s="26"/>
      <c r="D15" s="13" t="s">
        <v>13</v>
      </c>
      <c r="E15" s="13">
        <v>141.0</v>
      </c>
      <c r="F15" s="13">
        <v>121.0</v>
      </c>
      <c r="G15" s="13">
        <v>105.0</v>
      </c>
      <c r="H15" s="13">
        <v>132.0</v>
      </c>
      <c r="I15" s="13">
        <v>132.0</v>
      </c>
      <c r="J15" s="13">
        <v>134.0</v>
      </c>
      <c r="K15" s="13">
        <v>115.0</v>
      </c>
      <c r="L15" s="13">
        <v>106.0</v>
      </c>
      <c r="M15" s="6">
        <f t="shared" si="1"/>
        <v>986</v>
      </c>
    </row>
    <row r="16" ht="12.75" customHeight="1">
      <c r="A16" s="16"/>
      <c r="B16" s="15"/>
      <c r="C16" s="27"/>
      <c r="D16" s="6" t="s">
        <v>14</v>
      </c>
      <c r="E16" s="6">
        <f t="shared" ref="E16:L16" si="2">SUM(E14:E15)</f>
        <v>289</v>
      </c>
      <c r="F16" s="6">
        <f t="shared" si="2"/>
        <v>228</v>
      </c>
      <c r="G16" s="6">
        <f t="shared" si="2"/>
        <v>228</v>
      </c>
      <c r="H16" s="6">
        <f t="shared" si="2"/>
        <v>259</v>
      </c>
      <c r="I16" s="6">
        <f t="shared" si="2"/>
        <v>261</v>
      </c>
      <c r="J16" s="6">
        <f t="shared" si="2"/>
        <v>253</v>
      </c>
      <c r="K16" s="6">
        <f t="shared" si="2"/>
        <v>230</v>
      </c>
      <c r="L16" s="6">
        <f t="shared" si="2"/>
        <v>216</v>
      </c>
      <c r="M16" s="6">
        <f t="shared" si="1"/>
        <v>1964</v>
      </c>
    </row>
    <row r="17" ht="12.75" customHeight="1">
      <c r="A17" s="30"/>
      <c r="B17" s="8"/>
      <c r="C17" s="8"/>
      <c r="D17" s="9"/>
      <c r="E17" s="13"/>
      <c r="F17" s="13"/>
      <c r="G17" s="13"/>
      <c r="H17" s="13"/>
      <c r="I17" s="13"/>
      <c r="J17" s="13"/>
      <c r="K17" s="13"/>
      <c r="L17" s="13"/>
      <c r="M17" s="6"/>
    </row>
    <row r="18" ht="12.75" customHeight="1">
      <c r="A18" s="33" t="s">
        <v>15</v>
      </c>
      <c r="B18" s="14" t="s">
        <v>16</v>
      </c>
      <c r="C18" s="8"/>
      <c r="D18" s="9"/>
      <c r="E18" s="13"/>
      <c r="F18" s="13"/>
      <c r="G18" s="13"/>
      <c r="H18" s="13"/>
      <c r="I18" s="13"/>
      <c r="J18" s="13"/>
      <c r="K18" s="13"/>
      <c r="L18" s="13"/>
      <c r="M18" s="6"/>
    </row>
    <row r="19" ht="12.75" customHeight="1">
      <c r="A19" s="33"/>
      <c r="B19" s="34" t="s">
        <v>17</v>
      </c>
      <c r="C19" s="35" t="s">
        <v>18</v>
      </c>
      <c r="D19" s="13" t="s">
        <v>12</v>
      </c>
      <c r="E19" s="13">
        <v>100.0</v>
      </c>
      <c r="F19" s="13">
        <v>83.0</v>
      </c>
      <c r="G19" s="13">
        <v>101.0</v>
      </c>
      <c r="H19" s="13">
        <v>95.0</v>
      </c>
      <c r="I19" s="13">
        <v>108.0</v>
      </c>
      <c r="J19" s="13">
        <v>95.0</v>
      </c>
      <c r="K19" s="13">
        <v>78.0</v>
      </c>
      <c r="L19" s="13">
        <v>84.0</v>
      </c>
      <c r="M19" s="6">
        <f t="shared" ref="M19:M30" si="3">SUM(E19:L19)</f>
        <v>744</v>
      </c>
    </row>
    <row r="20" ht="12.75" customHeight="1">
      <c r="A20" s="36"/>
      <c r="B20" s="26"/>
      <c r="C20" s="37"/>
      <c r="D20" s="13" t="s">
        <v>13</v>
      </c>
      <c r="E20" s="13">
        <v>118.0</v>
      </c>
      <c r="F20" s="13">
        <v>100.0</v>
      </c>
      <c r="G20" s="13">
        <v>83.0</v>
      </c>
      <c r="H20" s="13">
        <v>101.0</v>
      </c>
      <c r="I20" s="13">
        <v>114.0</v>
      </c>
      <c r="J20" s="13">
        <v>109.0</v>
      </c>
      <c r="K20" s="13">
        <v>85.0</v>
      </c>
      <c r="L20" s="13">
        <v>78.0</v>
      </c>
      <c r="M20" s="6">
        <f t="shared" si="3"/>
        <v>788</v>
      </c>
    </row>
    <row r="21" ht="12.75" customHeight="1">
      <c r="A21" s="38"/>
      <c r="B21" s="27"/>
      <c r="C21" s="39"/>
      <c r="D21" s="6" t="s">
        <v>14</v>
      </c>
      <c r="E21" s="6">
        <f t="shared" ref="E21:L21" si="4">SUM(E19:E20)</f>
        <v>218</v>
      </c>
      <c r="F21" s="6">
        <f t="shared" si="4"/>
        <v>183</v>
      </c>
      <c r="G21" s="6">
        <f t="shared" si="4"/>
        <v>184</v>
      </c>
      <c r="H21" s="6">
        <f t="shared" si="4"/>
        <v>196</v>
      </c>
      <c r="I21" s="6">
        <f t="shared" si="4"/>
        <v>222</v>
      </c>
      <c r="J21" s="6">
        <f t="shared" si="4"/>
        <v>204</v>
      </c>
      <c r="K21" s="6">
        <f t="shared" si="4"/>
        <v>163</v>
      </c>
      <c r="L21" s="6">
        <f t="shared" si="4"/>
        <v>162</v>
      </c>
      <c r="M21" s="6">
        <f t="shared" si="3"/>
        <v>1532</v>
      </c>
    </row>
    <row r="22" ht="12.75" customHeight="1">
      <c r="A22" s="36"/>
      <c r="B22" s="34" t="s">
        <v>19</v>
      </c>
      <c r="C22" s="35" t="s">
        <v>20</v>
      </c>
      <c r="D22" s="13" t="s">
        <v>12</v>
      </c>
      <c r="E22" s="13">
        <v>0.0</v>
      </c>
      <c r="F22" s="13">
        <v>0.0</v>
      </c>
      <c r="G22" s="13">
        <v>0.0</v>
      </c>
      <c r="H22" s="13">
        <v>0.0</v>
      </c>
      <c r="I22" s="13">
        <v>0.0</v>
      </c>
      <c r="J22" s="13">
        <v>0.0</v>
      </c>
      <c r="K22" s="13">
        <v>0.0</v>
      </c>
      <c r="L22" s="13">
        <v>0.0</v>
      </c>
      <c r="M22" s="6">
        <f t="shared" si="3"/>
        <v>0</v>
      </c>
    </row>
    <row r="23" ht="12.75" customHeight="1">
      <c r="A23" s="36"/>
      <c r="B23" s="26"/>
      <c r="C23" s="37"/>
      <c r="D23" s="13" t="s">
        <v>13</v>
      </c>
      <c r="E23" s="13">
        <v>1.0</v>
      </c>
      <c r="F23" s="13">
        <v>0.0</v>
      </c>
      <c r="G23" s="13">
        <v>0.0</v>
      </c>
      <c r="H23" s="13">
        <v>0.0</v>
      </c>
      <c r="I23" s="13">
        <v>0.0</v>
      </c>
      <c r="J23" s="13">
        <v>0.0</v>
      </c>
      <c r="K23" s="13">
        <v>0.0</v>
      </c>
      <c r="L23" s="13">
        <v>0.0</v>
      </c>
      <c r="M23" s="6">
        <f t="shared" si="3"/>
        <v>1</v>
      </c>
    </row>
    <row r="24" ht="12.75" customHeight="1">
      <c r="A24" s="38"/>
      <c r="B24" s="27"/>
      <c r="C24" s="39"/>
      <c r="D24" s="6" t="s">
        <v>14</v>
      </c>
      <c r="E24" s="6">
        <f t="shared" ref="E24:L24" si="5">SUM(E22:E23)</f>
        <v>1</v>
      </c>
      <c r="F24" s="6">
        <f t="shared" si="5"/>
        <v>0</v>
      </c>
      <c r="G24" s="6">
        <f t="shared" si="5"/>
        <v>0</v>
      </c>
      <c r="H24" s="6">
        <f t="shared" si="5"/>
        <v>0</v>
      </c>
      <c r="I24" s="6">
        <f t="shared" si="5"/>
        <v>0</v>
      </c>
      <c r="J24" s="6">
        <f t="shared" si="5"/>
        <v>0</v>
      </c>
      <c r="K24" s="6">
        <f t="shared" si="5"/>
        <v>0</v>
      </c>
      <c r="L24" s="6">
        <f t="shared" si="5"/>
        <v>0</v>
      </c>
      <c r="M24" s="6">
        <f t="shared" si="3"/>
        <v>1</v>
      </c>
    </row>
    <row r="25" ht="12.75" customHeight="1">
      <c r="A25" s="36"/>
      <c r="B25" s="34" t="s">
        <v>21</v>
      </c>
      <c r="C25" s="35" t="s">
        <v>22</v>
      </c>
      <c r="D25" s="13" t="s">
        <v>12</v>
      </c>
      <c r="E25" s="13">
        <v>0.0</v>
      </c>
      <c r="F25" s="13">
        <v>0.0</v>
      </c>
      <c r="G25" s="13">
        <v>0.0</v>
      </c>
      <c r="H25" s="13">
        <v>0.0</v>
      </c>
      <c r="I25" s="13">
        <v>1.0</v>
      </c>
      <c r="J25" s="13">
        <v>0.0</v>
      </c>
      <c r="K25" s="13">
        <v>0.0</v>
      </c>
      <c r="L25" s="13">
        <v>0.0</v>
      </c>
      <c r="M25" s="6">
        <f t="shared" si="3"/>
        <v>1</v>
      </c>
    </row>
    <row r="26" ht="12.75" customHeight="1">
      <c r="A26" s="36"/>
      <c r="B26" s="26"/>
      <c r="C26" s="37"/>
      <c r="D26" s="13" t="s">
        <v>13</v>
      </c>
      <c r="E26" s="13">
        <v>2.0</v>
      </c>
      <c r="F26" s="13">
        <v>0.0</v>
      </c>
      <c r="G26" s="13">
        <v>0.0</v>
      </c>
      <c r="H26" s="13">
        <v>1.0</v>
      </c>
      <c r="I26" s="13">
        <v>0.0</v>
      </c>
      <c r="J26" s="13">
        <v>0.0</v>
      </c>
      <c r="K26" s="13">
        <v>0.0</v>
      </c>
      <c r="L26" s="13">
        <v>0.0</v>
      </c>
      <c r="M26" s="6">
        <f t="shared" si="3"/>
        <v>3</v>
      </c>
    </row>
    <row r="27" ht="12.75" customHeight="1">
      <c r="A27" s="38"/>
      <c r="B27" s="27"/>
      <c r="C27" s="39"/>
      <c r="D27" s="6" t="s">
        <v>14</v>
      </c>
      <c r="E27" s="6">
        <f t="shared" ref="E27:L27" si="6">SUM(E25:E26)</f>
        <v>2</v>
      </c>
      <c r="F27" s="6">
        <f t="shared" si="6"/>
        <v>0</v>
      </c>
      <c r="G27" s="6">
        <f t="shared" si="6"/>
        <v>0</v>
      </c>
      <c r="H27" s="6">
        <f t="shared" si="6"/>
        <v>1</v>
      </c>
      <c r="I27" s="6">
        <f t="shared" si="6"/>
        <v>1</v>
      </c>
      <c r="J27" s="6">
        <f t="shared" si="6"/>
        <v>0</v>
      </c>
      <c r="K27" s="6">
        <f t="shared" si="6"/>
        <v>0</v>
      </c>
      <c r="L27" s="6">
        <f t="shared" si="6"/>
        <v>0</v>
      </c>
      <c r="M27" s="6">
        <f t="shared" si="3"/>
        <v>4</v>
      </c>
    </row>
    <row r="28" ht="12.75" customHeight="1">
      <c r="A28" s="38"/>
      <c r="B28" s="40" t="s">
        <v>23</v>
      </c>
      <c r="C28" s="41" t="s">
        <v>24</v>
      </c>
      <c r="D28" s="6" t="s">
        <v>12</v>
      </c>
      <c r="E28" s="6">
        <f t="shared" ref="E28:L28" si="7">SUM(E19,E22,E25)</f>
        <v>100</v>
      </c>
      <c r="F28" s="6">
        <f t="shared" si="7"/>
        <v>83</v>
      </c>
      <c r="G28" s="6">
        <f t="shared" si="7"/>
        <v>101</v>
      </c>
      <c r="H28" s="6">
        <f t="shared" si="7"/>
        <v>95</v>
      </c>
      <c r="I28" s="6">
        <f t="shared" si="7"/>
        <v>109</v>
      </c>
      <c r="J28" s="6">
        <f t="shared" si="7"/>
        <v>95</v>
      </c>
      <c r="K28" s="6">
        <f t="shared" si="7"/>
        <v>78</v>
      </c>
      <c r="L28" s="6">
        <f t="shared" si="7"/>
        <v>84</v>
      </c>
      <c r="M28" s="6">
        <f t="shared" si="3"/>
        <v>745</v>
      </c>
    </row>
    <row r="29" ht="12.75" customHeight="1">
      <c r="A29" s="38"/>
      <c r="B29" s="26"/>
      <c r="C29" s="37"/>
      <c r="D29" s="6" t="s">
        <v>13</v>
      </c>
      <c r="E29" s="6">
        <f t="shared" ref="E29:L29" si="8">SUM(E20,E23,E26)</f>
        <v>121</v>
      </c>
      <c r="F29" s="6">
        <f t="shared" si="8"/>
        <v>100</v>
      </c>
      <c r="G29" s="6">
        <f t="shared" si="8"/>
        <v>83</v>
      </c>
      <c r="H29" s="6">
        <f t="shared" si="8"/>
        <v>102</v>
      </c>
      <c r="I29" s="6">
        <f t="shared" si="8"/>
        <v>114</v>
      </c>
      <c r="J29" s="6">
        <f t="shared" si="8"/>
        <v>109</v>
      </c>
      <c r="K29" s="6">
        <f t="shared" si="8"/>
        <v>85</v>
      </c>
      <c r="L29" s="6">
        <f t="shared" si="8"/>
        <v>78</v>
      </c>
      <c r="M29" s="6">
        <f t="shared" si="3"/>
        <v>792</v>
      </c>
    </row>
    <row r="30" ht="12.75" customHeight="1">
      <c r="A30" s="38"/>
      <c r="B30" s="27"/>
      <c r="C30" s="39"/>
      <c r="D30" s="6" t="s">
        <v>14</v>
      </c>
      <c r="E30" s="6">
        <f t="shared" ref="E30:L30" si="9">SUM(E28:E29)</f>
        <v>221</v>
      </c>
      <c r="F30" s="6">
        <f t="shared" si="9"/>
        <v>183</v>
      </c>
      <c r="G30" s="6">
        <f t="shared" si="9"/>
        <v>184</v>
      </c>
      <c r="H30" s="6">
        <f t="shared" si="9"/>
        <v>197</v>
      </c>
      <c r="I30" s="6">
        <f t="shared" si="9"/>
        <v>223</v>
      </c>
      <c r="J30" s="6">
        <f t="shared" si="9"/>
        <v>204</v>
      </c>
      <c r="K30" s="6">
        <f t="shared" si="9"/>
        <v>163</v>
      </c>
      <c r="L30" s="6">
        <f t="shared" si="9"/>
        <v>162</v>
      </c>
      <c r="M30" s="6">
        <f t="shared" si="3"/>
        <v>1537</v>
      </c>
    </row>
    <row r="31" ht="12.75" customHeight="1">
      <c r="A31" s="30"/>
      <c r="B31" s="8"/>
      <c r="C31" s="8"/>
      <c r="D31" s="9"/>
      <c r="E31" s="13"/>
      <c r="F31" s="13"/>
      <c r="G31" s="13"/>
      <c r="H31" s="13"/>
      <c r="I31" s="13"/>
      <c r="J31" s="13"/>
      <c r="K31" s="13"/>
      <c r="L31" s="13"/>
      <c r="M31" s="6"/>
    </row>
    <row r="32" ht="12.75" customHeight="1">
      <c r="A32" s="43" t="s">
        <v>25</v>
      </c>
      <c r="B32" s="7" t="s">
        <v>26</v>
      </c>
      <c r="C32" s="8"/>
      <c r="D32" s="9"/>
      <c r="E32" s="6"/>
      <c r="F32" s="6"/>
      <c r="G32" s="6"/>
      <c r="H32" s="6"/>
      <c r="I32" s="6"/>
      <c r="J32" s="6"/>
      <c r="K32" s="6"/>
      <c r="L32" s="6"/>
      <c r="M32" s="6"/>
    </row>
    <row r="33" ht="12.75" customHeight="1">
      <c r="A33" s="13">
        <v>1.0</v>
      </c>
      <c r="B33" s="14" t="s">
        <v>27</v>
      </c>
      <c r="C33" s="8"/>
      <c r="D33" s="9"/>
      <c r="E33" s="13">
        <v>294.0</v>
      </c>
      <c r="F33" s="13">
        <v>223.0</v>
      </c>
      <c r="G33" s="13">
        <v>233.0</v>
      </c>
      <c r="H33" s="13">
        <v>265.0</v>
      </c>
      <c r="I33" s="13">
        <v>267.0</v>
      </c>
      <c r="J33" s="13">
        <v>259.0</v>
      </c>
      <c r="K33" s="13">
        <v>234.0</v>
      </c>
      <c r="L33" s="13">
        <v>221.0</v>
      </c>
      <c r="M33" s="6">
        <f t="shared" ref="M33:M36" si="10">SUM(E33:L33)</f>
        <v>1996</v>
      </c>
    </row>
    <row r="34" ht="12.75" customHeight="1">
      <c r="A34" s="13">
        <v>2.0</v>
      </c>
      <c r="B34" s="14" t="s">
        <v>28</v>
      </c>
      <c r="C34" s="8"/>
      <c r="D34" s="9"/>
      <c r="E34" s="6">
        <v>221.0</v>
      </c>
      <c r="F34" s="6">
        <v>183.0</v>
      </c>
      <c r="G34" s="6">
        <v>184.0</v>
      </c>
      <c r="H34" s="6">
        <v>197.0</v>
      </c>
      <c r="I34" s="6">
        <v>223.0</v>
      </c>
      <c r="J34" s="6">
        <v>204.0</v>
      </c>
      <c r="K34" s="6">
        <v>163.0</v>
      </c>
      <c r="L34" s="6">
        <v>162.0</v>
      </c>
      <c r="M34" s="6">
        <f t="shared" si="10"/>
        <v>1537</v>
      </c>
    </row>
    <row r="35" ht="12.75" customHeight="1">
      <c r="A35" s="13">
        <v>3.0</v>
      </c>
      <c r="B35" s="14" t="s">
        <v>29</v>
      </c>
      <c r="C35" s="8"/>
      <c r="D35" s="9"/>
      <c r="E35" s="13">
        <v>0.0</v>
      </c>
      <c r="F35" s="13">
        <v>1.0</v>
      </c>
      <c r="G35" s="13">
        <v>1.0</v>
      </c>
      <c r="H35" s="13">
        <v>0.0</v>
      </c>
      <c r="I35" s="13">
        <v>1.0</v>
      </c>
      <c r="J35" s="13">
        <v>0.0</v>
      </c>
      <c r="K35" s="13">
        <v>0.0</v>
      </c>
      <c r="L35" s="13">
        <v>0.0</v>
      </c>
      <c r="M35" s="6">
        <f t="shared" si="10"/>
        <v>3</v>
      </c>
    </row>
    <row r="36" ht="12.75" customHeight="1">
      <c r="A36" s="13">
        <v>4.0</v>
      </c>
      <c r="B36" s="14" t="s">
        <v>30</v>
      </c>
      <c r="C36" s="8"/>
      <c r="D36" s="9"/>
      <c r="E36" s="6">
        <f t="shared" ref="E36:L36" si="11">E33-(E34+E35)</f>
        <v>73</v>
      </c>
      <c r="F36" s="6">
        <f t="shared" si="11"/>
        <v>39</v>
      </c>
      <c r="G36" s="6">
        <f t="shared" si="11"/>
        <v>48</v>
      </c>
      <c r="H36" s="6">
        <f t="shared" si="11"/>
        <v>68</v>
      </c>
      <c r="I36" s="6">
        <f t="shared" si="11"/>
        <v>43</v>
      </c>
      <c r="J36" s="6">
        <f t="shared" si="11"/>
        <v>55</v>
      </c>
      <c r="K36" s="6">
        <f t="shared" si="11"/>
        <v>71</v>
      </c>
      <c r="L36" s="6">
        <f t="shared" si="11"/>
        <v>59</v>
      </c>
      <c r="M36" s="6">
        <f t="shared" si="10"/>
        <v>456</v>
      </c>
    </row>
    <row r="37" ht="12.75" customHeight="1">
      <c r="A37" s="30"/>
      <c r="B37" s="8"/>
      <c r="C37" s="8"/>
      <c r="D37" s="8"/>
      <c r="E37" s="30"/>
      <c r="F37" s="8"/>
      <c r="G37" s="8"/>
      <c r="H37" s="8"/>
      <c r="I37" s="9"/>
      <c r="J37" s="13"/>
      <c r="K37" s="13"/>
      <c r="L37" s="13"/>
      <c r="M37" s="6"/>
    </row>
    <row r="38" ht="12.75" customHeight="1">
      <c r="A38" s="46" t="s">
        <v>31</v>
      </c>
      <c r="B38" s="7" t="s">
        <v>32</v>
      </c>
      <c r="C38" s="8"/>
      <c r="D38" s="9"/>
      <c r="E38" s="6"/>
      <c r="F38" s="6"/>
      <c r="G38" s="6"/>
      <c r="H38" s="6"/>
      <c r="I38" s="6"/>
      <c r="J38" s="6"/>
      <c r="K38" s="6"/>
      <c r="L38" s="6"/>
      <c r="M38" s="6"/>
    </row>
    <row r="39" ht="12.75" customHeight="1">
      <c r="A39" s="33"/>
      <c r="B39" s="47" t="s">
        <v>33</v>
      </c>
      <c r="C39" s="20"/>
      <c r="D39" s="13" t="s">
        <v>12</v>
      </c>
      <c r="E39" s="13">
        <v>0.0</v>
      </c>
      <c r="F39" s="13">
        <v>0.0</v>
      </c>
      <c r="G39" s="13">
        <v>0.0</v>
      </c>
      <c r="H39" s="13">
        <v>0.0</v>
      </c>
      <c r="I39" s="13">
        <v>0.0</v>
      </c>
      <c r="J39" s="13">
        <v>1.0</v>
      </c>
      <c r="K39" s="13">
        <v>1.0</v>
      </c>
      <c r="L39" s="13">
        <v>0.0</v>
      </c>
      <c r="M39" s="6">
        <f t="shared" ref="M39:M41" si="12">SUM(E39:L39)</f>
        <v>2</v>
      </c>
    </row>
    <row r="40" ht="12.75" customHeight="1">
      <c r="A40" s="36"/>
      <c r="C40" s="26"/>
      <c r="D40" s="13" t="s">
        <v>13</v>
      </c>
      <c r="E40" s="13">
        <v>0.0</v>
      </c>
      <c r="F40" s="13">
        <v>0.0</v>
      </c>
      <c r="G40" s="13">
        <v>0.0</v>
      </c>
      <c r="H40" s="13">
        <v>0.0</v>
      </c>
      <c r="I40" s="13">
        <v>0.0</v>
      </c>
      <c r="J40" s="13">
        <v>1.0</v>
      </c>
      <c r="K40" s="13">
        <v>0.0</v>
      </c>
      <c r="L40" s="13">
        <v>0.0</v>
      </c>
      <c r="M40" s="6">
        <f t="shared" si="12"/>
        <v>1</v>
      </c>
    </row>
    <row r="41" ht="12.75" customHeight="1">
      <c r="A41" s="43"/>
      <c r="B41" s="48"/>
      <c r="C41" s="27"/>
      <c r="D41" s="6" t="s">
        <v>14</v>
      </c>
      <c r="E41" s="6">
        <f t="shared" ref="E41:L41" si="13">SUM(E39:E40)</f>
        <v>0</v>
      </c>
      <c r="F41" s="6">
        <f t="shared" si="13"/>
        <v>0</v>
      </c>
      <c r="G41" s="6">
        <f t="shared" si="13"/>
        <v>0</v>
      </c>
      <c r="H41" s="6">
        <f t="shared" si="13"/>
        <v>0</v>
      </c>
      <c r="I41" s="6">
        <f t="shared" si="13"/>
        <v>0</v>
      </c>
      <c r="J41" s="6">
        <f t="shared" si="13"/>
        <v>2</v>
      </c>
      <c r="K41" s="6">
        <f t="shared" si="13"/>
        <v>1</v>
      </c>
      <c r="L41" s="6">
        <f t="shared" si="13"/>
        <v>0</v>
      </c>
      <c r="M41" s="6">
        <f t="shared" si="12"/>
        <v>3</v>
      </c>
    </row>
    <row r="42" ht="12.75" customHeight="1">
      <c r="A42" s="49"/>
      <c r="B42" s="48"/>
      <c r="C42" s="48"/>
      <c r="D42" s="27"/>
      <c r="E42" s="30"/>
      <c r="F42" s="8"/>
      <c r="G42" s="8"/>
      <c r="H42" s="8"/>
      <c r="I42" s="9"/>
      <c r="J42" s="13"/>
      <c r="K42" s="13"/>
      <c r="L42" s="13"/>
      <c r="M42" s="6"/>
    </row>
    <row r="43" ht="12.75" customHeight="1">
      <c r="A43" s="46" t="s">
        <v>34</v>
      </c>
      <c r="B43" s="7" t="s">
        <v>35</v>
      </c>
      <c r="C43" s="8"/>
      <c r="D43" s="9"/>
      <c r="E43" s="28"/>
      <c r="F43" s="6"/>
      <c r="G43" s="6"/>
      <c r="H43" s="6"/>
      <c r="I43" s="6"/>
      <c r="J43" s="6"/>
      <c r="K43" s="6"/>
      <c r="L43" s="6"/>
      <c r="M43" s="6"/>
    </row>
    <row r="44" ht="12.75" customHeight="1">
      <c r="A44" s="47" t="s">
        <v>36</v>
      </c>
      <c r="B44" s="50"/>
      <c r="C44" s="50"/>
      <c r="D44" s="20"/>
      <c r="E44" s="30"/>
      <c r="F44" s="13"/>
      <c r="G44" s="13"/>
      <c r="H44" s="13"/>
      <c r="I44" s="13"/>
      <c r="J44" s="13"/>
      <c r="K44" s="13"/>
      <c r="L44" s="13"/>
      <c r="M44" s="6"/>
    </row>
    <row r="45" ht="12.75" customHeight="1">
      <c r="A45" s="33" t="s">
        <v>37</v>
      </c>
      <c r="B45" s="51" t="s">
        <v>17</v>
      </c>
      <c r="C45" s="52" t="s">
        <v>38</v>
      </c>
      <c r="D45" s="9"/>
      <c r="E45" s="13">
        <v>7.0</v>
      </c>
      <c r="F45" s="13">
        <v>8.0</v>
      </c>
      <c r="G45" s="13">
        <v>4.0</v>
      </c>
      <c r="H45" s="13">
        <v>3.0</v>
      </c>
      <c r="I45" s="13">
        <v>5.0</v>
      </c>
      <c r="J45" s="13">
        <v>6.0</v>
      </c>
      <c r="K45" s="13">
        <v>9.0</v>
      </c>
      <c r="L45" s="13">
        <v>6.0</v>
      </c>
      <c r="M45" s="6">
        <f t="shared" ref="M45:M52" si="14">SUM(E45:L45)</f>
        <v>48</v>
      </c>
    </row>
    <row r="46" ht="12.75" customHeight="1">
      <c r="A46" s="33" t="s">
        <v>39</v>
      </c>
      <c r="B46" s="54">
        <v>1.0</v>
      </c>
      <c r="C46" s="55" t="s">
        <v>40</v>
      </c>
      <c r="D46" s="56"/>
      <c r="E46" s="13">
        <v>8.0</v>
      </c>
      <c r="F46" s="13">
        <v>6.0</v>
      </c>
      <c r="G46" s="13">
        <v>12.0</v>
      </c>
      <c r="H46" s="13">
        <v>7.0</v>
      </c>
      <c r="I46" s="13">
        <v>7.0</v>
      </c>
      <c r="J46" s="13">
        <v>4.0</v>
      </c>
      <c r="K46" s="13">
        <v>8.0</v>
      </c>
      <c r="L46" s="13">
        <v>7.0</v>
      </c>
      <c r="M46" s="6">
        <f t="shared" si="14"/>
        <v>59</v>
      </c>
    </row>
    <row r="47" ht="12.75" customHeight="1">
      <c r="A47" s="18"/>
      <c r="B47" s="54">
        <v>2.0</v>
      </c>
      <c r="C47" s="55" t="s">
        <v>41</v>
      </c>
      <c r="D47" s="56"/>
      <c r="E47" s="13">
        <v>0.0</v>
      </c>
      <c r="F47" s="13">
        <v>0.0</v>
      </c>
      <c r="G47" s="13">
        <v>2.0</v>
      </c>
      <c r="H47" s="13">
        <v>0.0</v>
      </c>
      <c r="I47" s="13">
        <v>1.0</v>
      </c>
      <c r="J47" s="13">
        <v>1.0</v>
      </c>
      <c r="K47" s="13">
        <v>2.0</v>
      </c>
      <c r="L47" s="13">
        <v>1.0</v>
      </c>
      <c r="M47" s="6">
        <f t="shared" si="14"/>
        <v>7</v>
      </c>
    </row>
    <row r="48" ht="12.75" customHeight="1">
      <c r="A48" s="18"/>
      <c r="B48" s="54">
        <v>3.0</v>
      </c>
      <c r="C48" s="55" t="s">
        <v>42</v>
      </c>
      <c r="D48" s="56"/>
      <c r="E48" s="13">
        <v>9.0</v>
      </c>
      <c r="F48" s="13">
        <v>23.0</v>
      </c>
      <c r="G48" s="13">
        <v>14.0</v>
      </c>
      <c r="H48" s="13">
        <v>9.0</v>
      </c>
      <c r="I48" s="13">
        <v>14.0</v>
      </c>
      <c r="J48" s="13">
        <v>4.0</v>
      </c>
      <c r="K48" s="13">
        <v>0.0</v>
      </c>
      <c r="L48" s="13">
        <v>0.0</v>
      </c>
      <c r="M48" s="6">
        <f t="shared" si="14"/>
        <v>73</v>
      </c>
    </row>
    <row r="49" ht="12.75" customHeight="1">
      <c r="A49" s="18"/>
      <c r="B49" s="54">
        <v>4.0</v>
      </c>
      <c r="C49" s="55" t="s">
        <v>43</v>
      </c>
      <c r="D49" s="56"/>
      <c r="E49" s="13">
        <v>0.0</v>
      </c>
      <c r="F49" s="13">
        <v>0.0</v>
      </c>
      <c r="G49" s="13">
        <v>0.0</v>
      </c>
      <c r="H49" s="13">
        <v>1.0</v>
      </c>
      <c r="I49" s="13">
        <v>0.0</v>
      </c>
      <c r="J49" s="13">
        <v>0.0</v>
      </c>
      <c r="K49" s="13">
        <v>0.0</v>
      </c>
      <c r="L49" s="13">
        <v>0.0</v>
      </c>
      <c r="M49" s="6">
        <f t="shared" si="14"/>
        <v>1</v>
      </c>
    </row>
    <row r="50" ht="12.75" customHeight="1">
      <c r="A50" s="18"/>
      <c r="B50" s="54">
        <v>5.0</v>
      </c>
      <c r="C50" s="55" t="s">
        <v>44</v>
      </c>
      <c r="D50" s="56"/>
      <c r="E50" s="13">
        <v>1.0</v>
      </c>
      <c r="F50" s="13">
        <v>0.0</v>
      </c>
      <c r="G50" s="13">
        <v>0.0</v>
      </c>
      <c r="H50" s="13">
        <v>1.0</v>
      </c>
      <c r="I50" s="13">
        <v>0.0</v>
      </c>
      <c r="J50" s="13">
        <v>0.0</v>
      </c>
      <c r="K50" s="13">
        <v>0.0</v>
      </c>
      <c r="L50" s="13">
        <v>0.0</v>
      </c>
      <c r="M50" s="6">
        <f t="shared" si="14"/>
        <v>2</v>
      </c>
    </row>
    <row r="51" ht="12.75" customHeight="1">
      <c r="A51" s="18"/>
      <c r="B51" s="54">
        <v>6.0</v>
      </c>
      <c r="C51" s="55" t="s">
        <v>45</v>
      </c>
      <c r="D51" s="56"/>
      <c r="E51" s="13">
        <v>0.0</v>
      </c>
      <c r="F51" s="13">
        <v>0.0</v>
      </c>
      <c r="G51" s="13">
        <v>0.0</v>
      </c>
      <c r="H51" s="13">
        <v>0.0</v>
      </c>
      <c r="I51" s="13">
        <v>0.0</v>
      </c>
      <c r="J51" s="13">
        <v>0.0</v>
      </c>
      <c r="K51" s="13">
        <v>0.0</v>
      </c>
      <c r="L51" s="13">
        <v>0.0</v>
      </c>
      <c r="M51" s="6">
        <f t="shared" si="14"/>
        <v>0</v>
      </c>
    </row>
    <row r="52" ht="12.75" customHeight="1">
      <c r="A52" s="13" t="s">
        <v>15</v>
      </c>
      <c r="B52" s="51" t="s">
        <v>46</v>
      </c>
      <c r="C52" s="8"/>
      <c r="D52" s="9"/>
      <c r="E52" s="57">
        <f t="shared" ref="E52:L52" si="15">SUM(E45:E51)</f>
        <v>25</v>
      </c>
      <c r="F52" s="57">
        <f t="shared" si="15"/>
        <v>37</v>
      </c>
      <c r="G52" s="57">
        <f t="shared" si="15"/>
        <v>32</v>
      </c>
      <c r="H52" s="57">
        <f t="shared" si="15"/>
        <v>21</v>
      </c>
      <c r="I52" s="57">
        <f t="shared" si="15"/>
        <v>27</v>
      </c>
      <c r="J52" s="57">
        <f t="shared" si="15"/>
        <v>15</v>
      </c>
      <c r="K52" s="57">
        <f t="shared" si="15"/>
        <v>19</v>
      </c>
      <c r="L52" s="57">
        <f t="shared" si="15"/>
        <v>14</v>
      </c>
      <c r="M52" s="6">
        <f t="shared" si="14"/>
        <v>190</v>
      </c>
    </row>
    <row r="53" ht="12.75" customHeight="1">
      <c r="A53" s="68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"/>
    </row>
    <row r="54" ht="12.75" customHeight="1">
      <c r="A54" s="33" t="s">
        <v>37</v>
      </c>
      <c r="B54" s="51" t="s">
        <v>19</v>
      </c>
      <c r="C54" s="52" t="s">
        <v>47</v>
      </c>
      <c r="D54" s="9"/>
      <c r="E54" s="13">
        <v>22.0</v>
      </c>
      <c r="F54" s="13">
        <v>6.0</v>
      </c>
      <c r="G54" s="13">
        <v>8.0</v>
      </c>
      <c r="H54" s="13">
        <v>11.0</v>
      </c>
      <c r="I54" s="13">
        <v>13.0</v>
      </c>
      <c r="J54" s="13">
        <v>24.0</v>
      </c>
      <c r="K54" s="13">
        <v>26.0</v>
      </c>
      <c r="L54" s="13">
        <v>19.0</v>
      </c>
      <c r="M54" s="6">
        <f t="shared" ref="M54:M61" si="16">SUM(E54:L54)</f>
        <v>129</v>
      </c>
    </row>
    <row r="55" ht="12.75" customHeight="1">
      <c r="A55" s="33" t="s">
        <v>39</v>
      </c>
      <c r="B55" s="54">
        <v>1.0</v>
      </c>
      <c r="C55" s="55" t="s">
        <v>48</v>
      </c>
      <c r="D55" s="56"/>
      <c r="E55" s="13">
        <v>12.0</v>
      </c>
      <c r="F55" s="13">
        <v>3.0</v>
      </c>
      <c r="G55" s="13">
        <v>2.0</v>
      </c>
      <c r="H55" s="13">
        <v>7.0</v>
      </c>
      <c r="I55" s="13">
        <v>1.0</v>
      </c>
      <c r="J55" s="13">
        <v>1.0</v>
      </c>
      <c r="K55" s="13">
        <v>11.0</v>
      </c>
      <c r="L55" s="13">
        <v>9.0</v>
      </c>
      <c r="M55" s="6">
        <f t="shared" si="16"/>
        <v>46</v>
      </c>
    </row>
    <row r="56" ht="12.75" customHeight="1">
      <c r="A56" s="18"/>
      <c r="B56" s="54">
        <v>2.0</v>
      </c>
      <c r="C56" s="55" t="s">
        <v>49</v>
      </c>
      <c r="D56" s="56"/>
      <c r="E56" s="13">
        <v>4.0</v>
      </c>
      <c r="F56" s="13">
        <v>3.0</v>
      </c>
      <c r="G56" s="13">
        <v>3.0</v>
      </c>
      <c r="H56" s="13">
        <v>2.0</v>
      </c>
      <c r="I56" s="13">
        <v>4.0</v>
      </c>
      <c r="J56" s="13">
        <v>2.0</v>
      </c>
      <c r="K56" s="13">
        <v>3.0</v>
      </c>
      <c r="L56" s="13">
        <v>8.0</v>
      </c>
      <c r="M56" s="6">
        <f t="shared" si="16"/>
        <v>29</v>
      </c>
    </row>
    <row r="57" ht="12.75" customHeight="1">
      <c r="A57" s="18"/>
      <c r="B57" s="54">
        <v>3.0</v>
      </c>
      <c r="C57" s="55" t="s">
        <v>50</v>
      </c>
      <c r="D57" s="56"/>
      <c r="E57" s="13">
        <v>0.0</v>
      </c>
      <c r="F57" s="13">
        <v>2.0</v>
      </c>
      <c r="G57" s="13">
        <v>0.0</v>
      </c>
      <c r="H57" s="13">
        <v>0.0</v>
      </c>
      <c r="I57" s="13">
        <v>3.0</v>
      </c>
      <c r="J57" s="13">
        <v>1.0</v>
      </c>
      <c r="K57" s="13">
        <v>0.0</v>
      </c>
      <c r="L57" s="13">
        <v>0.0</v>
      </c>
      <c r="M57" s="6">
        <f t="shared" si="16"/>
        <v>6</v>
      </c>
    </row>
    <row r="58" ht="12.75" customHeight="1">
      <c r="A58" s="18"/>
      <c r="B58" s="54">
        <v>4.0</v>
      </c>
      <c r="C58" s="55" t="s">
        <v>51</v>
      </c>
      <c r="D58" s="56"/>
      <c r="E58" s="13">
        <v>0.0</v>
      </c>
      <c r="F58" s="13">
        <v>0.0</v>
      </c>
      <c r="G58" s="13">
        <v>0.0</v>
      </c>
      <c r="H58" s="13">
        <v>2.0</v>
      </c>
      <c r="I58" s="13">
        <v>1.0</v>
      </c>
      <c r="J58" s="13">
        <v>0.0</v>
      </c>
      <c r="K58" s="13">
        <v>1.0</v>
      </c>
      <c r="L58" s="13">
        <v>1.0</v>
      </c>
      <c r="M58" s="6">
        <f t="shared" si="16"/>
        <v>5</v>
      </c>
    </row>
    <row r="59" ht="12.75" customHeight="1">
      <c r="A59" s="18"/>
      <c r="B59" s="54">
        <v>5.0</v>
      </c>
      <c r="C59" s="55" t="s">
        <v>52</v>
      </c>
      <c r="D59" s="56"/>
      <c r="E59" s="13">
        <v>0.0</v>
      </c>
      <c r="F59" s="13">
        <v>0.0</v>
      </c>
      <c r="G59" s="13">
        <v>0.0</v>
      </c>
      <c r="H59" s="13">
        <v>0.0</v>
      </c>
      <c r="I59" s="13">
        <v>0.0</v>
      </c>
      <c r="J59" s="13">
        <v>0.0</v>
      </c>
      <c r="K59" s="13">
        <v>2.0</v>
      </c>
      <c r="L59" s="13">
        <v>0.0</v>
      </c>
      <c r="M59" s="6">
        <f t="shared" si="16"/>
        <v>2</v>
      </c>
    </row>
    <row r="60" ht="12.75" customHeight="1">
      <c r="A60" s="18"/>
      <c r="B60" s="54">
        <v>6.0</v>
      </c>
      <c r="C60" s="55" t="s">
        <v>53</v>
      </c>
      <c r="D60" s="56"/>
      <c r="E60" s="13">
        <v>0.0</v>
      </c>
      <c r="F60" s="13">
        <v>1.0</v>
      </c>
      <c r="G60" s="13">
        <v>1.0</v>
      </c>
      <c r="H60" s="13">
        <v>0.0</v>
      </c>
      <c r="I60" s="13">
        <v>0.0</v>
      </c>
      <c r="J60" s="13">
        <v>0.0</v>
      </c>
      <c r="K60" s="13">
        <v>1.0</v>
      </c>
      <c r="L60" s="13">
        <v>0.0</v>
      </c>
      <c r="M60" s="6">
        <f t="shared" si="16"/>
        <v>3</v>
      </c>
    </row>
    <row r="61" ht="12.75" customHeight="1">
      <c r="A61" s="13" t="s">
        <v>15</v>
      </c>
      <c r="B61" s="51" t="s">
        <v>46</v>
      </c>
      <c r="C61" s="8"/>
      <c r="D61" s="9"/>
      <c r="E61" s="57">
        <f t="shared" ref="E61:L61" si="17">SUM(E54:E60)</f>
        <v>38</v>
      </c>
      <c r="F61" s="57">
        <f t="shared" si="17"/>
        <v>15</v>
      </c>
      <c r="G61" s="57">
        <f t="shared" si="17"/>
        <v>14</v>
      </c>
      <c r="H61" s="57">
        <f t="shared" si="17"/>
        <v>22</v>
      </c>
      <c r="I61" s="57">
        <f t="shared" si="17"/>
        <v>22</v>
      </c>
      <c r="J61" s="57">
        <f t="shared" si="17"/>
        <v>28</v>
      </c>
      <c r="K61" s="57">
        <f t="shared" si="17"/>
        <v>44</v>
      </c>
      <c r="L61" s="57">
        <f t="shared" si="17"/>
        <v>37</v>
      </c>
      <c r="M61" s="6">
        <f t="shared" si="16"/>
        <v>220</v>
      </c>
    </row>
    <row r="62" ht="12.75" customHeight="1">
      <c r="A62" s="68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"/>
    </row>
    <row r="63" ht="12.75" customHeight="1">
      <c r="A63" s="33" t="s">
        <v>37</v>
      </c>
      <c r="B63" s="51" t="s">
        <v>21</v>
      </c>
      <c r="C63" s="52" t="s">
        <v>54</v>
      </c>
      <c r="D63" s="9"/>
      <c r="E63" s="13">
        <v>9.0</v>
      </c>
      <c r="F63" s="13">
        <v>3.0</v>
      </c>
      <c r="G63" s="13">
        <v>8.0</v>
      </c>
      <c r="H63" s="13">
        <v>7.0</v>
      </c>
      <c r="I63" s="13">
        <v>8.0</v>
      </c>
      <c r="J63" s="13">
        <v>9.0</v>
      </c>
      <c r="K63" s="13">
        <v>6.0</v>
      </c>
      <c r="L63" s="13">
        <v>7.0</v>
      </c>
      <c r="M63" s="6">
        <f t="shared" ref="M63:M70" si="18">SUM(E63:L63)</f>
        <v>57</v>
      </c>
    </row>
    <row r="64" ht="12.75" customHeight="1">
      <c r="A64" s="33" t="s">
        <v>39</v>
      </c>
      <c r="B64" s="54">
        <v>1.0</v>
      </c>
      <c r="C64" s="55" t="s">
        <v>55</v>
      </c>
      <c r="D64" s="56"/>
      <c r="E64" s="13">
        <v>6.0</v>
      </c>
      <c r="F64" s="13">
        <v>1.0</v>
      </c>
      <c r="G64" s="13">
        <v>2.0</v>
      </c>
      <c r="H64" s="13">
        <v>3.0</v>
      </c>
      <c r="I64" s="13">
        <v>3.0</v>
      </c>
      <c r="J64" s="13">
        <v>1.0</v>
      </c>
      <c r="K64" s="13">
        <v>0.0</v>
      </c>
      <c r="L64" s="13">
        <v>3.0</v>
      </c>
      <c r="M64" s="6">
        <f t="shared" si="18"/>
        <v>19</v>
      </c>
    </row>
    <row r="65" ht="12.75" customHeight="1">
      <c r="A65" s="18"/>
      <c r="B65" s="54">
        <v>2.0</v>
      </c>
      <c r="C65" s="55" t="s">
        <v>56</v>
      </c>
      <c r="D65" s="56"/>
      <c r="E65" s="13">
        <v>1.0</v>
      </c>
      <c r="F65" s="13">
        <v>0.0</v>
      </c>
      <c r="G65" s="13">
        <v>1.0</v>
      </c>
      <c r="H65" s="13">
        <v>1.0</v>
      </c>
      <c r="I65" s="13">
        <v>0.0</v>
      </c>
      <c r="J65" s="13">
        <v>3.0</v>
      </c>
      <c r="K65" s="13">
        <v>2.0</v>
      </c>
      <c r="L65" s="13">
        <v>2.0</v>
      </c>
      <c r="M65" s="6">
        <f t="shared" si="18"/>
        <v>10</v>
      </c>
    </row>
    <row r="66" ht="12.75" customHeight="1">
      <c r="A66" s="18"/>
      <c r="B66" s="54">
        <v>3.0</v>
      </c>
      <c r="C66" s="55" t="s">
        <v>57</v>
      </c>
      <c r="D66" s="56"/>
      <c r="E66" s="13">
        <v>2.0</v>
      </c>
      <c r="F66" s="13">
        <v>0.0</v>
      </c>
      <c r="G66" s="13">
        <v>0.0</v>
      </c>
      <c r="H66" s="13">
        <v>2.0</v>
      </c>
      <c r="I66" s="13">
        <v>1.0</v>
      </c>
      <c r="J66" s="13">
        <v>0.0</v>
      </c>
      <c r="K66" s="13">
        <v>0.0</v>
      </c>
      <c r="L66" s="13">
        <v>0.0</v>
      </c>
      <c r="M66" s="6">
        <f t="shared" si="18"/>
        <v>5</v>
      </c>
    </row>
    <row r="67" ht="12.75" customHeight="1">
      <c r="A67" s="18"/>
      <c r="B67" s="54">
        <v>4.0</v>
      </c>
      <c r="C67" s="55" t="s">
        <v>58</v>
      </c>
      <c r="D67" s="56"/>
      <c r="E67" s="13">
        <v>20.0</v>
      </c>
      <c r="F67" s="13">
        <v>21.0</v>
      </c>
      <c r="G67" s="13">
        <v>22.0</v>
      </c>
      <c r="H67" s="13">
        <v>33.0</v>
      </c>
      <c r="I67" s="13">
        <v>40.0</v>
      </c>
      <c r="J67" s="13">
        <v>29.0</v>
      </c>
      <c r="K67" s="13">
        <v>26.0</v>
      </c>
      <c r="L67" s="13">
        <v>15.0</v>
      </c>
      <c r="M67" s="6">
        <f t="shared" si="18"/>
        <v>206</v>
      </c>
    </row>
    <row r="68" ht="12.75" customHeight="1">
      <c r="A68" s="18"/>
      <c r="B68" s="54">
        <v>5.0</v>
      </c>
      <c r="C68" s="55" t="s">
        <v>59</v>
      </c>
      <c r="D68" s="56"/>
      <c r="E68" s="13">
        <v>3.0</v>
      </c>
      <c r="F68" s="13">
        <v>9.0</v>
      </c>
      <c r="G68" s="13">
        <v>0.0</v>
      </c>
      <c r="H68" s="13">
        <v>0.0</v>
      </c>
      <c r="I68" s="13">
        <v>0.0</v>
      </c>
      <c r="J68" s="13">
        <v>0.0</v>
      </c>
      <c r="K68" s="13">
        <v>3.0</v>
      </c>
      <c r="L68" s="13">
        <v>16.0</v>
      </c>
      <c r="M68" s="6">
        <f t="shared" si="18"/>
        <v>31</v>
      </c>
    </row>
    <row r="69" ht="12.75" customHeight="1">
      <c r="A69" s="18"/>
      <c r="B69" s="54">
        <v>6.0</v>
      </c>
      <c r="C69" s="55" t="s">
        <v>60</v>
      </c>
      <c r="D69" s="56"/>
      <c r="E69" s="13">
        <v>0.0</v>
      </c>
      <c r="F69" s="13">
        <v>0.0</v>
      </c>
      <c r="G69" s="13">
        <v>0.0</v>
      </c>
      <c r="H69" s="13">
        <v>0.0</v>
      </c>
      <c r="I69" s="13">
        <v>0.0</v>
      </c>
      <c r="J69" s="13">
        <v>0.0</v>
      </c>
      <c r="K69" s="13">
        <v>0.0</v>
      </c>
      <c r="L69" s="13">
        <v>1.0</v>
      </c>
      <c r="M69" s="6">
        <f t="shared" si="18"/>
        <v>1</v>
      </c>
    </row>
    <row r="70" ht="12.75" customHeight="1">
      <c r="A70" s="13" t="s">
        <v>15</v>
      </c>
      <c r="B70" s="51" t="s">
        <v>46</v>
      </c>
      <c r="C70" s="8"/>
      <c r="D70" s="9"/>
      <c r="E70" s="57">
        <f t="shared" ref="E70:L70" si="19">SUM(E63:E69)</f>
        <v>41</v>
      </c>
      <c r="F70" s="57">
        <f t="shared" si="19"/>
        <v>34</v>
      </c>
      <c r="G70" s="57">
        <f t="shared" si="19"/>
        <v>33</v>
      </c>
      <c r="H70" s="57">
        <f t="shared" si="19"/>
        <v>46</v>
      </c>
      <c r="I70" s="57">
        <f t="shared" si="19"/>
        <v>52</v>
      </c>
      <c r="J70" s="57">
        <f t="shared" si="19"/>
        <v>42</v>
      </c>
      <c r="K70" s="57">
        <f t="shared" si="19"/>
        <v>37</v>
      </c>
      <c r="L70" s="57">
        <f t="shared" si="19"/>
        <v>44</v>
      </c>
      <c r="M70" s="6">
        <f t="shared" si="18"/>
        <v>329</v>
      </c>
    </row>
    <row r="71" ht="12.75" customHeight="1">
      <c r="A71" s="68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"/>
    </row>
    <row r="72" ht="12.75" customHeight="1">
      <c r="A72" s="33" t="s">
        <v>37</v>
      </c>
      <c r="B72" s="51" t="s">
        <v>23</v>
      </c>
      <c r="C72" s="52" t="s">
        <v>61</v>
      </c>
      <c r="D72" s="9"/>
      <c r="E72" s="13">
        <v>9.0</v>
      </c>
      <c r="F72" s="13">
        <v>4.0</v>
      </c>
      <c r="G72" s="13">
        <v>9.0</v>
      </c>
      <c r="H72" s="13">
        <v>1.0</v>
      </c>
      <c r="I72" s="13">
        <v>5.0</v>
      </c>
      <c r="J72" s="13">
        <v>15.0</v>
      </c>
      <c r="K72" s="13">
        <v>10.0</v>
      </c>
      <c r="L72" s="13">
        <v>13.0</v>
      </c>
      <c r="M72" s="6">
        <f t="shared" ref="M72:M79" si="20">SUM(E72:L72)</f>
        <v>66</v>
      </c>
    </row>
    <row r="73" ht="12.75" customHeight="1">
      <c r="A73" s="33" t="s">
        <v>39</v>
      </c>
      <c r="B73" s="54">
        <v>1.0</v>
      </c>
      <c r="C73" s="55" t="s">
        <v>62</v>
      </c>
      <c r="D73" s="56"/>
      <c r="E73" s="13">
        <v>24.0</v>
      </c>
      <c r="F73" s="13">
        <v>8.0</v>
      </c>
      <c r="G73" s="13">
        <v>30.0</v>
      </c>
      <c r="H73" s="13">
        <v>8.0</v>
      </c>
      <c r="I73" s="13">
        <v>13.0</v>
      </c>
      <c r="J73" s="13">
        <v>6.0</v>
      </c>
      <c r="K73" s="13">
        <v>11.0</v>
      </c>
      <c r="L73" s="13">
        <v>15.0</v>
      </c>
      <c r="M73" s="6">
        <f t="shared" si="20"/>
        <v>115</v>
      </c>
    </row>
    <row r="74" ht="12.75" customHeight="1">
      <c r="A74" s="18"/>
      <c r="B74" s="54">
        <v>2.0</v>
      </c>
      <c r="C74" s="55" t="s">
        <v>63</v>
      </c>
      <c r="D74" s="56"/>
      <c r="E74" s="13">
        <v>12.0</v>
      </c>
      <c r="F74" s="13">
        <v>12.0</v>
      </c>
      <c r="G74" s="13">
        <v>10.0</v>
      </c>
      <c r="H74" s="13">
        <v>28.0</v>
      </c>
      <c r="I74" s="13">
        <v>19.0</v>
      </c>
      <c r="J74" s="13">
        <v>31.0</v>
      </c>
      <c r="K74" s="13">
        <v>4.0</v>
      </c>
      <c r="L74" s="13">
        <v>1.0</v>
      </c>
      <c r="M74" s="6">
        <f t="shared" si="20"/>
        <v>117</v>
      </c>
    </row>
    <row r="75" ht="12.75" customHeight="1">
      <c r="A75" s="18"/>
      <c r="B75" s="54">
        <v>3.0</v>
      </c>
      <c r="C75" s="55" t="s">
        <v>64</v>
      </c>
      <c r="D75" s="56"/>
      <c r="E75" s="13">
        <v>0.0</v>
      </c>
      <c r="F75" s="13">
        <v>0.0</v>
      </c>
      <c r="G75" s="13">
        <v>0.0</v>
      </c>
      <c r="H75" s="13">
        <v>0.0</v>
      </c>
      <c r="I75" s="13">
        <v>1.0</v>
      </c>
      <c r="J75" s="13">
        <v>0.0</v>
      </c>
      <c r="K75" s="13">
        <v>0.0</v>
      </c>
      <c r="L75" s="13">
        <v>0.0</v>
      </c>
      <c r="M75" s="6">
        <f t="shared" si="20"/>
        <v>1</v>
      </c>
    </row>
    <row r="76" ht="12.75" customHeight="1">
      <c r="A76" s="18"/>
      <c r="B76" s="54">
        <v>4.0</v>
      </c>
      <c r="C76" s="55" t="s">
        <v>65</v>
      </c>
      <c r="D76" s="56"/>
      <c r="E76" s="13">
        <v>1.0</v>
      </c>
      <c r="F76" s="13">
        <v>2.0</v>
      </c>
      <c r="G76" s="13">
        <v>1.0</v>
      </c>
      <c r="H76" s="13">
        <v>1.0</v>
      </c>
      <c r="I76" s="13">
        <v>1.0</v>
      </c>
      <c r="J76" s="13">
        <v>0.0</v>
      </c>
      <c r="K76" s="13">
        <v>0.0</v>
      </c>
      <c r="L76" s="13">
        <v>1.0</v>
      </c>
      <c r="M76" s="6">
        <f t="shared" si="20"/>
        <v>7</v>
      </c>
    </row>
    <row r="77" ht="12.75" customHeight="1">
      <c r="A77" s="18"/>
      <c r="B77" s="54">
        <v>5.0</v>
      </c>
      <c r="C77" s="55" t="s">
        <v>66</v>
      </c>
      <c r="D77" s="56"/>
      <c r="E77" s="13">
        <v>0.0</v>
      </c>
      <c r="F77" s="13">
        <v>0.0</v>
      </c>
      <c r="G77" s="13">
        <v>0.0</v>
      </c>
      <c r="H77" s="13">
        <v>1.0</v>
      </c>
      <c r="I77" s="13">
        <v>0.0</v>
      </c>
      <c r="J77" s="13">
        <v>0.0</v>
      </c>
      <c r="K77" s="13">
        <v>0.0</v>
      </c>
      <c r="L77" s="13">
        <v>1.0</v>
      </c>
      <c r="M77" s="6">
        <f t="shared" si="20"/>
        <v>2</v>
      </c>
    </row>
    <row r="78" ht="12.75" customHeight="1">
      <c r="A78" s="18"/>
      <c r="B78" s="54">
        <v>6.0</v>
      </c>
      <c r="C78" s="55" t="s">
        <v>67</v>
      </c>
      <c r="D78" s="56"/>
      <c r="E78" s="13">
        <v>0.0</v>
      </c>
      <c r="F78" s="13">
        <v>0.0</v>
      </c>
      <c r="G78" s="13">
        <v>1.0</v>
      </c>
      <c r="H78" s="13">
        <v>0.0</v>
      </c>
      <c r="I78" s="13">
        <v>1.0</v>
      </c>
      <c r="J78" s="13">
        <v>0.0</v>
      </c>
      <c r="K78" s="13">
        <v>0.0</v>
      </c>
      <c r="L78" s="13">
        <v>0.0</v>
      </c>
      <c r="M78" s="6">
        <f t="shared" si="20"/>
        <v>2</v>
      </c>
    </row>
    <row r="79" ht="12.75" customHeight="1">
      <c r="A79" s="13" t="s">
        <v>15</v>
      </c>
      <c r="B79" s="51" t="s">
        <v>46</v>
      </c>
      <c r="C79" s="8"/>
      <c r="D79" s="9"/>
      <c r="E79" s="57">
        <f t="shared" ref="E79:L79" si="21">SUM(E72:E78)</f>
        <v>46</v>
      </c>
      <c r="F79" s="57">
        <f t="shared" si="21"/>
        <v>26</v>
      </c>
      <c r="G79" s="57">
        <f t="shared" si="21"/>
        <v>51</v>
      </c>
      <c r="H79" s="57">
        <f t="shared" si="21"/>
        <v>39</v>
      </c>
      <c r="I79" s="57">
        <f t="shared" si="21"/>
        <v>40</v>
      </c>
      <c r="J79" s="57">
        <f t="shared" si="21"/>
        <v>52</v>
      </c>
      <c r="K79" s="57">
        <f t="shared" si="21"/>
        <v>25</v>
      </c>
      <c r="L79" s="57">
        <f t="shared" si="21"/>
        <v>31</v>
      </c>
      <c r="M79" s="6">
        <f t="shared" si="20"/>
        <v>310</v>
      </c>
    </row>
    <row r="80" ht="12.75" customHeight="1">
      <c r="A80" s="68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"/>
    </row>
    <row r="81" ht="12.75" customHeight="1">
      <c r="A81" s="33" t="s">
        <v>37</v>
      </c>
      <c r="B81" s="51" t="s">
        <v>68</v>
      </c>
      <c r="C81" s="52" t="s">
        <v>69</v>
      </c>
      <c r="D81" s="9"/>
      <c r="E81" s="13">
        <v>6.0</v>
      </c>
      <c r="F81" s="13">
        <v>7.0</v>
      </c>
      <c r="G81" s="13">
        <v>0.0</v>
      </c>
      <c r="H81" s="13">
        <v>2.0</v>
      </c>
      <c r="I81" s="13">
        <v>1.0</v>
      </c>
      <c r="J81" s="13">
        <v>1.0</v>
      </c>
      <c r="K81" s="13">
        <v>0.0</v>
      </c>
      <c r="L81" s="13">
        <v>1.0</v>
      </c>
      <c r="M81" s="6">
        <f t="shared" ref="M81:M88" si="22">SUM(E81:L81)</f>
        <v>18</v>
      </c>
    </row>
    <row r="82" ht="12.75" customHeight="1">
      <c r="A82" s="33" t="s">
        <v>39</v>
      </c>
      <c r="B82" s="54">
        <v>1.0</v>
      </c>
      <c r="C82" s="55" t="s">
        <v>70</v>
      </c>
      <c r="D82" s="56"/>
      <c r="E82" s="13">
        <v>19.0</v>
      </c>
      <c r="F82" s="13">
        <v>25.0</v>
      </c>
      <c r="G82" s="13">
        <v>2.0</v>
      </c>
      <c r="H82" s="13">
        <v>2.0</v>
      </c>
      <c r="I82" s="13">
        <v>2.0</v>
      </c>
      <c r="J82" s="13">
        <v>0.0</v>
      </c>
      <c r="K82" s="13">
        <v>2.0</v>
      </c>
      <c r="L82" s="13">
        <v>5.0</v>
      </c>
      <c r="M82" s="6">
        <f t="shared" si="22"/>
        <v>57</v>
      </c>
    </row>
    <row r="83" ht="12.75" customHeight="1">
      <c r="A83" s="18"/>
      <c r="B83" s="54">
        <v>2.0</v>
      </c>
      <c r="C83" s="55" t="s">
        <v>71</v>
      </c>
      <c r="D83" s="56"/>
      <c r="E83" s="13">
        <v>0.0</v>
      </c>
      <c r="F83" s="13">
        <v>0.0</v>
      </c>
      <c r="G83" s="13">
        <v>1.0</v>
      </c>
      <c r="H83" s="13">
        <v>1.0</v>
      </c>
      <c r="I83" s="13">
        <v>0.0</v>
      </c>
      <c r="J83" s="13">
        <v>1.0</v>
      </c>
      <c r="K83" s="13">
        <v>0.0</v>
      </c>
      <c r="L83" s="13">
        <v>0.0</v>
      </c>
      <c r="M83" s="6">
        <f t="shared" si="22"/>
        <v>3</v>
      </c>
    </row>
    <row r="84" ht="12.75" customHeight="1">
      <c r="A84" s="18"/>
      <c r="B84" s="54">
        <v>3.0</v>
      </c>
      <c r="C84" s="55" t="s">
        <v>72</v>
      </c>
      <c r="D84" s="56"/>
      <c r="E84" s="13">
        <v>0.0</v>
      </c>
      <c r="F84" s="13">
        <v>0.0</v>
      </c>
      <c r="G84" s="13">
        <v>0.0</v>
      </c>
      <c r="H84" s="13">
        <v>0.0</v>
      </c>
      <c r="I84" s="13">
        <v>0.0</v>
      </c>
      <c r="J84" s="13">
        <v>0.0</v>
      </c>
      <c r="K84" s="13">
        <v>0.0</v>
      </c>
      <c r="L84" s="13">
        <v>0.0</v>
      </c>
      <c r="M84" s="6">
        <f t="shared" si="22"/>
        <v>0</v>
      </c>
    </row>
    <row r="85" ht="12.75" customHeight="1">
      <c r="A85" s="18"/>
      <c r="B85" s="54">
        <v>4.0</v>
      </c>
      <c r="C85" s="55" t="s">
        <v>73</v>
      </c>
      <c r="D85" s="56"/>
      <c r="E85" s="13">
        <v>0.0</v>
      </c>
      <c r="F85" s="13">
        <v>0.0</v>
      </c>
      <c r="G85" s="13">
        <v>0.0</v>
      </c>
      <c r="H85" s="13">
        <v>0.0</v>
      </c>
      <c r="I85" s="13">
        <v>0.0</v>
      </c>
      <c r="J85" s="13">
        <v>0.0</v>
      </c>
      <c r="K85" s="13">
        <v>0.0</v>
      </c>
      <c r="L85" s="13">
        <v>0.0</v>
      </c>
      <c r="M85" s="6">
        <f t="shared" si="22"/>
        <v>0</v>
      </c>
    </row>
    <row r="86" ht="12.75" customHeight="1">
      <c r="A86" s="18"/>
      <c r="B86" s="54">
        <v>5.0</v>
      </c>
      <c r="C86" s="55" t="s">
        <v>74</v>
      </c>
      <c r="D86" s="56"/>
      <c r="E86" s="13">
        <v>0.0</v>
      </c>
      <c r="F86" s="13">
        <v>1.0</v>
      </c>
      <c r="G86" s="13">
        <v>0.0</v>
      </c>
      <c r="H86" s="13">
        <v>5.0</v>
      </c>
      <c r="I86" s="13">
        <v>0.0</v>
      </c>
      <c r="J86" s="13">
        <v>1.0</v>
      </c>
      <c r="K86" s="13">
        <v>0.0</v>
      </c>
      <c r="L86" s="13">
        <v>0.0</v>
      </c>
      <c r="M86" s="6">
        <f t="shared" si="22"/>
        <v>7</v>
      </c>
    </row>
    <row r="87" ht="12.75" customHeight="1">
      <c r="A87" s="18"/>
      <c r="B87" s="54">
        <v>6.0</v>
      </c>
      <c r="C87" s="55" t="s">
        <v>75</v>
      </c>
      <c r="D87" s="56"/>
      <c r="E87" s="13">
        <v>3.0</v>
      </c>
      <c r="F87" s="13">
        <v>6.0</v>
      </c>
      <c r="G87" s="13">
        <v>12.0</v>
      </c>
      <c r="H87" s="13">
        <v>4.0</v>
      </c>
      <c r="I87" s="13">
        <v>13.0</v>
      </c>
      <c r="J87" s="13">
        <v>4.0</v>
      </c>
      <c r="K87" s="13">
        <v>3.0</v>
      </c>
      <c r="L87" s="13">
        <v>0.0</v>
      </c>
      <c r="M87" s="6">
        <f t="shared" si="22"/>
        <v>45</v>
      </c>
    </row>
    <row r="88" ht="12.75" customHeight="1">
      <c r="A88" s="13" t="s">
        <v>15</v>
      </c>
      <c r="B88" s="51" t="s">
        <v>46</v>
      </c>
      <c r="C88" s="8"/>
      <c r="D88" s="9"/>
      <c r="E88" s="57">
        <f t="shared" ref="E88:L88" si="23">SUM(E81:E87)</f>
        <v>28</v>
      </c>
      <c r="F88" s="57">
        <f t="shared" si="23"/>
        <v>39</v>
      </c>
      <c r="G88" s="57">
        <f t="shared" si="23"/>
        <v>15</v>
      </c>
      <c r="H88" s="57">
        <f t="shared" si="23"/>
        <v>14</v>
      </c>
      <c r="I88" s="57">
        <f t="shared" si="23"/>
        <v>16</v>
      </c>
      <c r="J88" s="57">
        <f t="shared" si="23"/>
        <v>7</v>
      </c>
      <c r="K88" s="57">
        <f t="shared" si="23"/>
        <v>5</v>
      </c>
      <c r="L88" s="57">
        <f t="shared" si="23"/>
        <v>6</v>
      </c>
      <c r="M88" s="6">
        <f t="shared" si="22"/>
        <v>130</v>
      </c>
    </row>
    <row r="89" ht="12.75" customHeight="1">
      <c r="A89" s="68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"/>
    </row>
    <row r="90" ht="12.75" customHeight="1">
      <c r="A90" s="33" t="s">
        <v>37</v>
      </c>
      <c r="B90" s="51" t="s">
        <v>76</v>
      </c>
      <c r="C90" s="52" t="s">
        <v>77</v>
      </c>
      <c r="D90" s="9"/>
      <c r="E90" s="13">
        <v>1.0</v>
      </c>
      <c r="F90" s="13">
        <v>0.0</v>
      </c>
      <c r="G90" s="13">
        <v>1.0</v>
      </c>
      <c r="H90" s="13">
        <v>0.0</v>
      </c>
      <c r="I90" s="13">
        <v>1.0</v>
      </c>
      <c r="J90" s="13">
        <v>0.0</v>
      </c>
      <c r="K90" s="13">
        <v>2.0</v>
      </c>
      <c r="L90" s="13">
        <v>0.0</v>
      </c>
      <c r="M90" s="6">
        <f t="shared" ref="M90:M92" si="24">SUM(E90:L90)</f>
        <v>5</v>
      </c>
    </row>
    <row r="91" ht="12.75" customHeight="1">
      <c r="A91" s="33" t="s">
        <v>39</v>
      </c>
      <c r="B91" s="54"/>
      <c r="C91" s="55" t="s">
        <v>78</v>
      </c>
      <c r="D91" s="9"/>
      <c r="E91" s="13"/>
      <c r="F91" s="13"/>
      <c r="G91" s="13"/>
      <c r="H91" s="13"/>
      <c r="I91" s="13"/>
      <c r="J91" s="13"/>
      <c r="K91" s="13"/>
      <c r="L91" s="13"/>
      <c r="M91" s="6">
        <f t="shared" si="24"/>
        <v>0</v>
      </c>
    </row>
    <row r="92" ht="12.75" customHeight="1">
      <c r="A92" s="13" t="s">
        <v>15</v>
      </c>
      <c r="B92" s="51" t="s">
        <v>46</v>
      </c>
      <c r="C92" s="8"/>
      <c r="D92" s="9"/>
      <c r="E92" s="57">
        <f t="shared" ref="E92:L92" si="25">SUM(E90:E91)</f>
        <v>1</v>
      </c>
      <c r="F92" s="57">
        <f t="shared" si="25"/>
        <v>0</v>
      </c>
      <c r="G92" s="57">
        <f t="shared" si="25"/>
        <v>1</v>
      </c>
      <c r="H92" s="57">
        <f t="shared" si="25"/>
        <v>0</v>
      </c>
      <c r="I92" s="57">
        <f t="shared" si="25"/>
        <v>1</v>
      </c>
      <c r="J92" s="57">
        <f t="shared" si="25"/>
        <v>0</v>
      </c>
      <c r="K92" s="57">
        <f t="shared" si="25"/>
        <v>2</v>
      </c>
      <c r="L92" s="57">
        <f t="shared" si="25"/>
        <v>0</v>
      </c>
      <c r="M92" s="6">
        <f t="shared" si="24"/>
        <v>5</v>
      </c>
    </row>
    <row r="93" ht="12.75" customHeight="1">
      <c r="A93" s="68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"/>
    </row>
    <row r="94" ht="12.75" customHeight="1">
      <c r="A94" s="33" t="s">
        <v>37</v>
      </c>
      <c r="B94" s="51" t="s">
        <v>79</v>
      </c>
      <c r="C94" s="52" t="s">
        <v>80</v>
      </c>
      <c r="D94" s="9"/>
      <c r="E94" s="13">
        <v>0.0</v>
      </c>
      <c r="F94" s="13">
        <v>0.0</v>
      </c>
      <c r="G94" s="13">
        <v>0.0</v>
      </c>
      <c r="H94" s="13">
        <v>2.0</v>
      </c>
      <c r="I94" s="13">
        <v>2.0</v>
      </c>
      <c r="J94" s="13">
        <v>0.0</v>
      </c>
      <c r="K94" s="13">
        <v>1.0</v>
      </c>
      <c r="L94" s="13">
        <v>0.0</v>
      </c>
      <c r="M94" s="6">
        <f t="shared" ref="M94:M99" si="26">SUM(E94:L94)</f>
        <v>5</v>
      </c>
    </row>
    <row r="95" ht="12.75" customHeight="1">
      <c r="A95" s="33" t="s">
        <v>39</v>
      </c>
      <c r="B95" s="54">
        <v>1.0</v>
      </c>
      <c r="C95" s="55" t="s">
        <v>81</v>
      </c>
      <c r="D95" s="56"/>
      <c r="E95" s="13">
        <v>0.0</v>
      </c>
      <c r="F95" s="13">
        <v>0.0</v>
      </c>
      <c r="G95" s="13">
        <v>1.0</v>
      </c>
      <c r="H95" s="13">
        <v>0.0</v>
      </c>
      <c r="I95" s="13">
        <v>0.0</v>
      </c>
      <c r="J95" s="13">
        <v>1.0</v>
      </c>
      <c r="K95" s="13">
        <v>1.0</v>
      </c>
      <c r="L95" s="13">
        <v>1.0</v>
      </c>
      <c r="M95" s="6">
        <f t="shared" si="26"/>
        <v>4</v>
      </c>
    </row>
    <row r="96" ht="12.75" customHeight="1">
      <c r="A96" s="33"/>
      <c r="B96" s="54">
        <v>2.0</v>
      </c>
      <c r="C96" s="55" t="s">
        <v>82</v>
      </c>
      <c r="D96" s="56"/>
      <c r="E96" s="13">
        <v>0.0</v>
      </c>
      <c r="F96" s="13">
        <v>0.0</v>
      </c>
      <c r="G96" s="13">
        <v>0.0</v>
      </c>
      <c r="H96" s="13">
        <v>0.0</v>
      </c>
      <c r="I96" s="13">
        <v>0.0</v>
      </c>
      <c r="J96" s="13">
        <v>0.0</v>
      </c>
      <c r="K96" s="13">
        <v>0.0</v>
      </c>
      <c r="L96" s="13">
        <v>0.0</v>
      </c>
      <c r="M96" s="6">
        <f t="shared" si="26"/>
        <v>0</v>
      </c>
    </row>
    <row r="97" ht="12.75" customHeight="1">
      <c r="A97" s="33"/>
      <c r="B97" s="54">
        <v>3.0</v>
      </c>
      <c r="C97" s="55" t="s">
        <v>83</v>
      </c>
      <c r="D97" s="56"/>
      <c r="E97" s="13">
        <v>0.0</v>
      </c>
      <c r="F97" s="13">
        <v>0.0</v>
      </c>
      <c r="G97" s="13">
        <v>0.0</v>
      </c>
      <c r="H97" s="13">
        <v>1.0</v>
      </c>
      <c r="I97" s="13">
        <v>1.0</v>
      </c>
      <c r="J97" s="13">
        <v>0.0</v>
      </c>
      <c r="K97" s="13">
        <v>0.0</v>
      </c>
      <c r="L97" s="13">
        <v>0.0</v>
      </c>
      <c r="M97" s="6">
        <f t="shared" si="26"/>
        <v>2</v>
      </c>
    </row>
    <row r="98" ht="12.75" customHeight="1">
      <c r="A98" s="33"/>
      <c r="B98" s="54">
        <v>4.0</v>
      </c>
      <c r="C98" s="55" t="s">
        <v>84</v>
      </c>
      <c r="D98" s="56"/>
      <c r="E98" s="13">
        <v>0.0</v>
      </c>
      <c r="F98" s="13">
        <v>0.0</v>
      </c>
      <c r="G98" s="13">
        <v>0.0</v>
      </c>
      <c r="H98" s="13">
        <v>0.0</v>
      </c>
      <c r="I98" s="13">
        <v>0.0</v>
      </c>
      <c r="J98" s="13">
        <v>0.0</v>
      </c>
      <c r="K98" s="13">
        <v>0.0</v>
      </c>
      <c r="L98" s="13">
        <v>0.0</v>
      </c>
      <c r="M98" s="6">
        <f t="shared" si="26"/>
        <v>0</v>
      </c>
    </row>
    <row r="99" ht="12.75" customHeight="1">
      <c r="A99" s="13" t="s">
        <v>15</v>
      </c>
      <c r="B99" s="51" t="s">
        <v>46</v>
      </c>
      <c r="C99" s="8"/>
      <c r="D99" s="9"/>
      <c r="E99" s="57">
        <f t="shared" ref="E99:L99" si="27">SUM(E94:E98)</f>
        <v>0</v>
      </c>
      <c r="F99" s="57">
        <f t="shared" si="27"/>
        <v>0</v>
      </c>
      <c r="G99" s="57">
        <f t="shared" si="27"/>
        <v>1</v>
      </c>
      <c r="H99" s="57">
        <f t="shared" si="27"/>
        <v>3</v>
      </c>
      <c r="I99" s="57">
        <f t="shared" si="27"/>
        <v>3</v>
      </c>
      <c r="J99" s="57">
        <f t="shared" si="27"/>
        <v>1</v>
      </c>
      <c r="K99" s="57">
        <f t="shared" si="27"/>
        <v>2</v>
      </c>
      <c r="L99" s="57">
        <f t="shared" si="27"/>
        <v>1</v>
      </c>
      <c r="M99" s="6">
        <f t="shared" si="26"/>
        <v>11</v>
      </c>
    </row>
    <row r="100" ht="12.75" customHeight="1">
      <c r="A100" s="68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"/>
    </row>
    <row r="101" ht="12.75" customHeight="1">
      <c r="A101" s="33" t="s">
        <v>37</v>
      </c>
      <c r="B101" s="51" t="s">
        <v>85</v>
      </c>
      <c r="C101" s="52" t="s">
        <v>86</v>
      </c>
      <c r="D101" s="9"/>
      <c r="E101" s="13">
        <v>0.0</v>
      </c>
      <c r="F101" s="13">
        <v>0.0</v>
      </c>
      <c r="G101" s="13">
        <v>0.0</v>
      </c>
      <c r="H101" s="13">
        <v>0.0</v>
      </c>
      <c r="I101" s="13">
        <v>0.0</v>
      </c>
      <c r="J101" s="13">
        <v>0.0</v>
      </c>
      <c r="K101" s="13">
        <v>0.0</v>
      </c>
      <c r="L101" s="13">
        <v>0.0</v>
      </c>
      <c r="M101" s="6">
        <f t="shared" ref="M101:M108" si="28">SUM(E101:L101)</f>
        <v>0</v>
      </c>
    </row>
    <row r="102" ht="12.75" customHeight="1">
      <c r="A102" s="33" t="s">
        <v>39</v>
      </c>
      <c r="B102" s="54">
        <v>1.0</v>
      </c>
      <c r="C102" s="55" t="s">
        <v>87</v>
      </c>
      <c r="D102" s="56"/>
      <c r="E102" s="13">
        <v>0.0</v>
      </c>
      <c r="F102" s="13">
        <v>0.0</v>
      </c>
      <c r="G102" s="13">
        <v>0.0</v>
      </c>
      <c r="H102" s="13">
        <v>0.0</v>
      </c>
      <c r="I102" s="13">
        <v>0.0</v>
      </c>
      <c r="J102" s="13">
        <v>0.0</v>
      </c>
      <c r="K102" s="13">
        <v>4.0</v>
      </c>
      <c r="L102" s="13">
        <v>1.0</v>
      </c>
      <c r="M102" s="6">
        <f t="shared" si="28"/>
        <v>5</v>
      </c>
    </row>
    <row r="103" ht="12.75" customHeight="1">
      <c r="A103" s="18"/>
      <c r="B103" s="54">
        <v>2.0</v>
      </c>
      <c r="C103" s="55" t="s">
        <v>88</v>
      </c>
      <c r="D103" s="56"/>
      <c r="E103" s="13">
        <v>0.0</v>
      </c>
      <c r="F103" s="13">
        <v>1.0</v>
      </c>
      <c r="G103" s="13">
        <v>0.0</v>
      </c>
      <c r="H103" s="13">
        <v>0.0</v>
      </c>
      <c r="I103" s="13">
        <v>0.0</v>
      </c>
      <c r="J103" s="13">
        <v>0.0</v>
      </c>
      <c r="K103" s="13">
        <v>0.0</v>
      </c>
      <c r="L103" s="13">
        <v>0.0</v>
      </c>
      <c r="M103" s="6">
        <f t="shared" si="28"/>
        <v>1</v>
      </c>
    </row>
    <row r="104" ht="12.75" customHeight="1">
      <c r="A104" s="18"/>
      <c r="B104" s="54">
        <v>3.0</v>
      </c>
      <c r="C104" s="55" t="s">
        <v>89</v>
      </c>
      <c r="D104" s="56"/>
      <c r="E104" s="13">
        <v>0.0</v>
      </c>
      <c r="F104" s="13">
        <v>0.0</v>
      </c>
      <c r="G104" s="13">
        <v>0.0</v>
      </c>
      <c r="H104" s="13">
        <v>0.0</v>
      </c>
      <c r="I104" s="13">
        <v>0.0</v>
      </c>
      <c r="J104" s="13">
        <v>0.0</v>
      </c>
      <c r="K104" s="13">
        <v>0.0</v>
      </c>
      <c r="L104" s="13">
        <v>0.0</v>
      </c>
      <c r="M104" s="6">
        <f t="shared" si="28"/>
        <v>0</v>
      </c>
    </row>
    <row r="105" ht="12.75" customHeight="1">
      <c r="A105" s="18"/>
      <c r="B105" s="54">
        <v>4.0</v>
      </c>
      <c r="C105" s="55" t="s">
        <v>90</v>
      </c>
      <c r="D105" s="56"/>
      <c r="E105" s="13">
        <v>0.0</v>
      </c>
      <c r="F105" s="13">
        <v>0.0</v>
      </c>
      <c r="G105" s="13">
        <v>0.0</v>
      </c>
      <c r="H105" s="13">
        <v>0.0</v>
      </c>
      <c r="I105" s="13">
        <v>0.0</v>
      </c>
      <c r="J105" s="13">
        <v>0.0</v>
      </c>
      <c r="K105" s="13">
        <v>0.0</v>
      </c>
      <c r="L105" s="13">
        <v>0.0</v>
      </c>
      <c r="M105" s="6">
        <f t="shared" si="28"/>
        <v>0</v>
      </c>
    </row>
    <row r="106" ht="12.75" customHeight="1">
      <c r="A106" s="18"/>
      <c r="B106" s="54">
        <v>5.0</v>
      </c>
      <c r="C106" s="55" t="s">
        <v>91</v>
      </c>
      <c r="D106" s="56"/>
      <c r="E106" s="13">
        <v>0.0</v>
      </c>
      <c r="F106" s="13">
        <v>0.0</v>
      </c>
      <c r="G106" s="13">
        <v>0.0</v>
      </c>
      <c r="H106" s="13">
        <v>0.0</v>
      </c>
      <c r="I106" s="13">
        <v>0.0</v>
      </c>
      <c r="J106" s="13">
        <v>0.0</v>
      </c>
      <c r="K106" s="13">
        <v>0.0</v>
      </c>
      <c r="L106" s="13">
        <v>0.0</v>
      </c>
      <c r="M106" s="6">
        <f t="shared" si="28"/>
        <v>0</v>
      </c>
    </row>
    <row r="107" ht="12.75" customHeight="1">
      <c r="A107" s="18"/>
      <c r="B107" s="54">
        <v>6.0</v>
      </c>
      <c r="C107" s="55" t="s">
        <v>92</v>
      </c>
      <c r="D107" s="56"/>
      <c r="E107" s="13">
        <v>3.0</v>
      </c>
      <c r="F107" s="13">
        <v>1.0</v>
      </c>
      <c r="G107" s="13">
        <v>0.0</v>
      </c>
      <c r="H107" s="13">
        <v>2.0</v>
      </c>
      <c r="I107" s="13">
        <v>1.0</v>
      </c>
      <c r="J107" s="13">
        <v>2.0</v>
      </c>
      <c r="K107" s="13">
        <v>1.0</v>
      </c>
      <c r="L107" s="13">
        <v>0.0</v>
      </c>
      <c r="M107" s="6">
        <f t="shared" si="28"/>
        <v>10</v>
      </c>
    </row>
    <row r="108" ht="12.75" customHeight="1">
      <c r="A108" s="13" t="s">
        <v>15</v>
      </c>
      <c r="B108" s="51" t="s">
        <v>46</v>
      </c>
      <c r="C108" s="8"/>
      <c r="D108" s="9"/>
      <c r="E108" s="57">
        <f t="shared" ref="E108:L108" si="29">SUM(E101:E107)</f>
        <v>3</v>
      </c>
      <c r="F108" s="57">
        <f t="shared" si="29"/>
        <v>2</v>
      </c>
      <c r="G108" s="57">
        <f t="shared" si="29"/>
        <v>0</v>
      </c>
      <c r="H108" s="57">
        <f t="shared" si="29"/>
        <v>2</v>
      </c>
      <c r="I108" s="57">
        <f t="shared" si="29"/>
        <v>1</v>
      </c>
      <c r="J108" s="57">
        <f t="shared" si="29"/>
        <v>2</v>
      </c>
      <c r="K108" s="57">
        <f t="shared" si="29"/>
        <v>5</v>
      </c>
      <c r="L108" s="57">
        <f t="shared" si="29"/>
        <v>1</v>
      </c>
      <c r="M108" s="6">
        <f t="shared" si="28"/>
        <v>16</v>
      </c>
    </row>
    <row r="109" ht="12.75" customHeight="1">
      <c r="A109" s="68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"/>
    </row>
    <row r="110" ht="12.75" customHeight="1">
      <c r="A110" s="33" t="s">
        <v>37</v>
      </c>
      <c r="B110" s="51" t="s">
        <v>93</v>
      </c>
      <c r="C110" s="52" t="s">
        <v>94</v>
      </c>
      <c r="D110" s="9"/>
      <c r="E110" s="13">
        <v>0.0</v>
      </c>
      <c r="F110" s="13">
        <v>0.0</v>
      </c>
      <c r="G110" s="13">
        <v>0.0</v>
      </c>
      <c r="H110" s="13">
        <v>0.0</v>
      </c>
      <c r="I110" s="13">
        <v>0.0</v>
      </c>
      <c r="J110" s="13">
        <v>0.0</v>
      </c>
      <c r="K110" s="13">
        <v>0.0</v>
      </c>
      <c r="L110" s="13">
        <v>0.0</v>
      </c>
      <c r="M110" s="6">
        <f t="shared" ref="M110:M114" si="30">SUM(E110:L110)</f>
        <v>0</v>
      </c>
    </row>
    <row r="111" ht="12.75" customHeight="1">
      <c r="A111" s="33"/>
      <c r="B111" s="54">
        <v>1.0</v>
      </c>
      <c r="C111" s="55" t="s">
        <v>95</v>
      </c>
      <c r="D111" s="63"/>
      <c r="E111" s="13">
        <v>0.0</v>
      </c>
      <c r="F111" s="13">
        <v>0.0</v>
      </c>
      <c r="G111" s="13">
        <v>0.0</v>
      </c>
      <c r="H111" s="13">
        <v>0.0</v>
      </c>
      <c r="I111" s="13">
        <v>0.0</v>
      </c>
      <c r="J111" s="13">
        <v>0.0</v>
      </c>
      <c r="K111" s="13">
        <v>0.0</v>
      </c>
      <c r="L111" s="13">
        <v>0.0</v>
      </c>
      <c r="M111" s="6">
        <f t="shared" si="30"/>
        <v>0</v>
      </c>
    </row>
    <row r="112" ht="12.75" customHeight="1">
      <c r="A112" s="33"/>
      <c r="B112" s="54">
        <v>2.0</v>
      </c>
      <c r="C112" s="55" t="s">
        <v>96</v>
      </c>
      <c r="D112" s="63"/>
      <c r="E112" s="13">
        <v>0.0</v>
      </c>
      <c r="F112" s="13">
        <v>0.0</v>
      </c>
      <c r="G112" s="13">
        <v>0.0</v>
      </c>
      <c r="H112" s="13">
        <v>0.0</v>
      </c>
      <c r="I112" s="13">
        <v>0.0</v>
      </c>
      <c r="J112" s="13">
        <v>0.0</v>
      </c>
      <c r="K112" s="13">
        <v>0.0</v>
      </c>
      <c r="L112" s="13">
        <v>0.0</v>
      </c>
      <c r="M112" s="6">
        <f t="shared" si="30"/>
        <v>0</v>
      </c>
    </row>
    <row r="113" ht="12.75" customHeight="1">
      <c r="A113" s="33"/>
      <c r="B113" s="54">
        <v>3.0</v>
      </c>
      <c r="C113" s="55" t="s">
        <v>97</v>
      </c>
      <c r="D113" s="63"/>
      <c r="E113" s="13">
        <v>0.0</v>
      </c>
      <c r="F113" s="13">
        <v>0.0</v>
      </c>
      <c r="G113" s="13">
        <v>0.0</v>
      </c>
      <c r="H113" s="13">
        <v>0.0</v>
      </c>
      <c r="I113" s="13">
        <v>0.0</v>
      </c>
      <c r="J113" s="13">
        <v>0.0</v>
      </c>
      <c r="K113" s="13">
        <v>0.0</v>
      </c>
      <c r="L113" s="13">
        <v>0.0</v>
      </c>
      <c r="M113" s="6">
        <f t="shared" si="30"/>
        <v>0</v>
      </c>
    </row>
    <row r="114" ht="12.75" customHeight="1">
      <c r="A114" s="13" t="s">
        <v>15</v>
      </c>
      <c r="B114" s="51" t="s">
        <v>46</v>
      </c>
      <c r="C114" s="8"/>
      <c r="D114" s="9"/>
      <c r="E114" s="57">
        <f t="shared" ref="E114:L114" si="31">SUM(E110:E113)</f>
        <v>0</v>
      </c>
      <c r="F114" s="57">
        <f t="shared" si="31"/>
        <v>0</v>
      </c>
      <c r="G114" s="57">
        <f t="shared" si="31"/>
        <v>0</v>
      </c>
      <c r="H114" s="57">
        <f t="shared" si="31"/>
        <v>0</v>
      </c>
      <c r="I114" s="57">
        <f t="shared" si="31"/>
        <v>0</v>
      </c>
      <c r="J114" s="57">
        <f t="shared" si="31"/>
        <v>0</v>
      </c>
      <c r="K114" s="57">
        <f t="shared" si="31"/>
        <v>0</v>
      </c>
      <c r="L114" s="57">
        <f t="shared" si="31"/>
        <v>0</v>
      </c>
      <c r="M114" s="6">
        <f t="shared" si="30"/>
        <v>0</v>
      </c>
    </row>
    <row r="115" ht="12.75" customHeight="1">
      <c r="A115" s="68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"/>
    </row>
    <row r="116" ht="12.75" customHeight="1">
      <c r="A116" s="33" t="s">
        <v>37</v>
      </c>
      <c r="B116" s="51" t="s">
        <v>98</v>
      </c>
      <c r="C116" s="52" t="s">
        <v>99</v>
      </c>
      <c r="D116" s="9"/>
      <c r="E116" s="13">
        <v>1.0</v>
      </c>
      <c r="F116" s="13">
        <v>0.0</v>
      </c>
      <c r="G116" s="13">
        <v>0.0</v>
      </c>
      <c r="H116" s="13">
        <v>1.0</v>
      </c>
      <c r="I116" s="13">
        <v>0.0</v>
      </c>
      <c r="J116" s="13">
        <v>0.0</v>
      </c>
      <c r="K116" s="13">
        <v>0.0</v>
      </c>
      <c r="L116" s="13">
        <v>0.0</v>
      </c>
      <c r="M116" s="6">
        <f t="shared" ref="M116:M123" si="32">SUM(E116:L116)</f>
        <v>2</v>
      </c>
    </row>
    <row r="117" ht="12.75" customHeight="1">
      <c r="A117" s="33" t="s">
        <v>39</v>
      </c>
      <c r="B117" s="54">
        <v>1.0</v>
      </c>
      <c r="C117" s="55" t="s">
        <v>100</v>
      </c>
      <c r="D117" s="56"/>
      <c r="E117" s="13">
        <v>0.0</v>
      </c>
      <c r="F117" s="13">
        <v>0.0</v>
      </c>
      <c r="G117" s="13">
        <v>0.0</v>
      </c>
      <c r="H117" s="13">
        <v>0.0</v>
      </c>
      <c r="I117" s="13">
        <v>0.0</v>
      </c>
      <c r="J117" s="13">
        <v>0.0</v>
      </c>
      <c r="K117" s="13">
        <v>0.0</v>
      </c>
      <c r="L117" s="13">
        <v>1.0</v>
      </c>
      <c r="M117" s="6">
        <f t="shared" si="32"/>
        <v>1</v>
      </c>
    </row>
    <row r="118" ht="12.75" customHeight="1">
      <c r="A118" s="18"/>
      <c r="B118" s="54">
        <v>2.0</v>
      </c>
      <c r="C118" s="55" t="s">
        <v>101</v>
      </c>
      <c r="D118" s="56"/>
      <c r="E118" s="13">
        <v>0.0</v>
      </c>
      <c r="F118" s="13">
        <v>1.0</v>
      </c>
      <c r="G118" s="13">
        <v>0.0</v>
      </c>
      <c r="H118" s="13">
        <v>0.0</v>
      </c>
      <c r="I118" s="13">
        <v>0.0</v>
      </c>
      <c r="J118" s="13">
        <v>0.0</v>
      </c>
      <c r="K118" s="13">
        <v>0.0</v>
      </c>
      <c r="L118" s="13">
        <v>0.0</v>
      </c>
      <c r="M118" s="6">
        <f t="shared" si="32"/>
        <v>1</v>
      </c>
    </row>
    <row r="119" ht="12.75" customHeight="1">
      <c r="A119" s="18"/>
      <c r="B119" s="54">
        <v>3.0</v>
      </c>
      <c r="C119" s="55" t="s">
        <v>102</v>
      </c>
      <c r="D119" s="56"/>
      <c r="E119" s="13">
        <v>0.0</v>
      </c>
      <c r="F119" s="13">
        <v>0.0</v>
      </c>
      <c r="G119" s="13">
        <v>0.0</v>
      </c>
      <c r="H119" s="13">
        <v>0.0</v>
      </c>
      <c r="I119" s="13">
        <v>0.0</v>
      </c>
      <c r="J119" s="13">
        <v>0.0</v>
      </c>
      <c r="K119" s="13">
        <v>0.0</v>
      </c>
      <c r="L119" s="13">
        <v>0.0</v>
      </c>
      <c r="M119" s="6">
        <f t="shared" si="32"/>
        <v>0</v>
      </c>
    </row>
    <row r="120" ht="12.75" customHeight="1">
      <c r="A120" s="18"/>
      <c r="B120" s="54">
        <v>4.0</v>
      </c>
      <c r="C120" s="55" t="s">
        <v>103</v>
      </c>
      <c r="D120" s="56"/>
      <c r="E120" s="13">
        <v>0.0</v>
      </c>
      <c r="F120" s="13">
        <v>0.0</v>
      </c>
      <c r="G120" s="13">
        <v>0.0</v>
      </c>
      <c r="H120" s="13">
        <v>0.0</v>
      </c>
      <c r="I120" s="13">
        <v>0.0</v>
      </c>
      <c r="J120" s="13">
        <v>0.0</v>
      </c>
      <c r="K120" s="13">
        <v>0.0</v>
      </c>
      <c r="L120" s="13">
        <v>0.0</v>
      </c>
      <c r="M120" s="6">
        <f t="shared" si="32"/>
        <v>0</v>
      </c>
    </row>
    <row r="121" ht="12.75" customHeight="1">
      <c r="A121" s="18"/>
      <c r="B121" s="54">
        <v>5.0</v>
      </c>
      <c r="C121" s="55" t="s">
        <v>104</v>
      </c>
      <c r="D121" s="56"/>
      <c r="E121" s="13">
        <v>0.0</v>
      </c>
      <c r="F121" s="13">
        <v>0.0</v>
      </c>
      <c r="G121" s="13">
        <v>0.0</v>
      </c>
      <c r="H121" s="13">
        <v>0.0</v>
      </c>
      <c r="I121" s="13">
        <v>0.0</v>
      </c>
      <c r="J121" s="13">
        <v>0.0</v>
      </c>
      <c r="K121" s="13">
        <v>0.0</v>
      </c>
      <c r="L121" s="13">
        <v>0.0</v>
      </c>
      <c r="M121" s="6">
        <f t="shared" si="32"/>
        <v>0</v>
      </c>
    </row>
    <row r="122" ht="12.75" customHeight="1">
      <c r="A122" s="18"/>
      <c r="B122" s="54">
        <v>6.0</v>
      </c>
      <c r="C122" s="55" t="s">
        <v>105</v>
      </c>
      <c r="D122" s="56"/>
      <c r="E122" s="13">
        <v>0.0</v>
      </c>
      <c r="F122" s="13">
        <v>0.0</v>
      </c>
      <c r="G122" s="13">
        <v>0.0</v>
      </c>
      <c r="H122" s="13">
        <v>0.0</v>
      </c>
      <c r="I122" s="13">
        <v>0.0</v>
      </c>
      <c r="J122" s="13">
        <v>0.0</v>
      </c>
      <c r="K122" s="13">
        <v>0.0</v>
      </c>
      <c r="L122" s="13">
        <v>0.0</v>
      </c>
      <c r="M122" s="6">
        <f t="shared" si="32"/>
        <v>0</v>
      </c>
    </row>
    <row r="123" ht="12.75" customHeight="1">
      <c r="A123" s="13" t="s">
        <v>15</v>
      </c>
      <c r="B123" s="51" t="s">
        <v>46</v>
      </c>
      <c r="C123" s="8"/>
      <c r="D123" s="9"/>
      <c r="E123" s="57">
        <f t="shared" ref="E123:L123" si="33">SUM(E116:E122)</f>
        <v>1</v>
      </c>
      <c r="F123" s="57">
        <f t="shared" si="33"/>
        <v>1</v>
      </c>
      <c r="G123" s="57">
        <f t="shared" si="33"/>
        <v>0</v>
      </c>
      <c r="H123" s="57">
        <f t="shared" si="33"/>
        <v>1</v>
      </c>
      <c r="I123" s="57">
        <f t="shared" si="33"/>
        <v>0</v>
      </c>
      <c r="J123" s="57">
        <f t="shared" si="33"/>
        <v>0</v>
      </c>
      <c r="K123" s="57">
        <f t="shared" si="33"/>
        <v>0</v>
      </c>
      <c r="L123" s="57">
        <f t="shared" si="33"/>
        <v>1</v>
      </c>
      <c r="M123" s="6">
        <f t="shared" si="32"/>
        <v>4</v>
      </c>
    </row>
    <row r="124" ht="12.75" customHeight="1">
      <c r="A124" s="68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"/>
    </row>
    <row r="125" ht="12.75" customHeight="1">
      <c r="A125" s="33" t="s">
        <v>37</v>
      </c>
      <c r="B125" s="51" t="s">
        <v>106</v>
      </c>
      <c r="C125" s="52" t="s">
        <v>107</v>
      </c>
      <c r="D125" s="9"/>
      <c r="E125" s="13">
        <v>1.0</v>
      </c>
      <c r="F125" s="13">
        <v>0.0</v>
      </c>
      <c r="G125" s="13">
        <v>0.0</v>
      </c>
      <c r="H125" s="13">
        <v>1.0</v>
      </c>
      <c r="I125" s="13">
        <v>0.0</v>
      </c>
      <c r="J125" s="13">
        <v>0.0</v>
      </c>
      <c r="K125" s="13">
        <v>0.0</v>
      </c>
      <c r="L125" s="13">
        <v>0.0</v>
      </c>
      <c r="M125" s="6">
        <f t="shared" ref="M125:M127" si="34">SUM(E125:L125)</f>
        <v>2</v>
      </c>
    </row>
    <row r="126" ht="12.75" customHeight="1">
      <c r="A126" s="33" t="s">
        <v>39</v>
      </c>
      <c r="B126" s="54"/>
      <c r="C126" s="55" t="s">
        <v>78</v>
      </c>
      <c r="D126" s="56"/>
      <c r="E126" s="13"/>
      <c r="F126" s="13"/>
      <c r="G126" s="13"/>
      <c r="H126" s="13"/>
      <c r="I126" s="13"/>
      <c r="J126" s="13"/>
      <c r="K126" s="13"/>
      <c r="L126" s="13"/>
      <c r="M126" s="6">
        <f t="shared" si="34"/>
        <v>0</v>
      </c>
    </row>
    <row r="127" ht="12.75" customHeight="1">
      <c r="A127" s="13" t="s">
        <v>15</v>
      </c>
      <c r="B127" s="51" t="s">
        <v>46</v>
      </c>
      <c r="C127" s="8"/>
      <c r="D127" s="9"/>
      <c r="E127" s="57">
        <f t="shared" ref="E127:L127" si="35">SUM(E125:E126)</f>
        <v>1</v>
      </c>
      <c r="F127" s="57">
        <f t="shared" si="35"/>
        <v>0</v>
      </c>
      <c r="G127" s="57">
        <f t="shared" si="35"/>
        <v>0</v>
      </c>
      <c r="H127" s="57">
        <f t="shared" si="35"/>
        <v>1</v>
      </c>
      <c r="I127" s="57">
        <f t="shared" si="35"/>
        <v>0</v>
      </c>
      <c r="J127" s="57">
        <f t="shared" si="35"/>
        <v>0</v>
      </c>
      <c r="K127" s="57">
        <f t="shared" si="35"/>
        <v>0</v>
      </c>
      <c r="L127" s="57">
        <f t="shared" si="35"/>
        <v>0</v>
      </c>
      <c r="M127" s="6">
        <f t="shared" si="34"/>
        <v>2</v>
      </c>
    </row>
    <row r="128" ht="12.75" customHeight="1">
      <c r="A128" s="68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"/>
    </row>
    <row r="129" ht="12.75" customHeight="1">
      <c r="A129" s="33" t="s">
        <v>37</v>
      </c>
      <c r="B129" s="51" t="s">
        <v>108</v>
      </c>
      <c r="C129" s="52" t="s">
        <v>109</v>
      </c>
      <c r="D129" s="9"/>
      <c r="E129" s="13">
        <v>2.0</v>
      </c>
      <c r="F129" s="13">
        <v>1.0</v>
      </c>
      <c r="G129" s="13">
        <v>0.0</v>
      </c>
      <c r="H129" s="13">
        <v>2.0</v>
      </c>
      <c r="I129" s="13">
        <v>2.0</v>
      </c>
      <c r="J129" s="13">
        <v>0.0</v>
      </c>
      <c r="K129" s="13">
        <v>4.0</v>
      </c>
      <c r="L129" s="13">
        <v>2.0</v>
      </c>
      <c r="M129" s="6">
        <f t="shared" ref="M129:M136" si="36">SUM(E129:L129)</f>
        <v>13</v>
      </c>
    </row>
    <row r="130" ht="12.75" customHeight="1">
      <c r="A130" s="33" t="s">
        <v>39</v>
      </c>
      <c r="B130" s="54">
        <v>1.0</v>
      </c>
      <c r="C130" s="55" t="s">
        <v>110</v>
      </c>
      <c r="D130" s="56"/>
      <c r="E130" s="13">
        <v>0.0</v>
      </c>
      <c r="F130" s="13">
        <v>0.0</v>
      </c>
      <c r="G130" s="13">
        <v>0.0</v>
      </c>
      <c r="H130" s="13">
        <v>1.0</v>
      </c>
      <c r="I130" s="13">
        <v>0.0</v>
      </c>
      <c r="J130" s="13">
        <v>0.0</v>
      </c>
      <c r="K130" s="13">
        <v>0.0</v>
      </c>
      <c r="L130" s="13">
        <v>0.0</v>
      </c>
      <c r="M130" s="6">
        <f t="shared" si="36"/>
        <v>1</v>
      </c>
    </row>
    <row r="131" ht="12.75" customHeight="1">
      <c r="A131" s="18"/>
      <c r="B131" s="54">
        <v>2.0</v>
      </c>
      <c r="C131" s="55" t="s">
        <v>111</v>
      </c>
      <c r="D131" s="56"/>
      <c r="E131" s="13">
        <v>1.0</v>
      </c>
      <c r="F131" s="13">
        <v>0.0</v>
      </c>
      <c r="G131" s="13">
        <v>1.0</v>
      </c>
      <c r="H131" s="13">
        <v>1.0</v>
      </c>
      <c r="I131" s="13">
        <v>0.0</v>
      </c>
      <c r="J131" s="13">
        <v>0.0</v>
      </c>
      <c r="K131" s="13">
        <v>0.0</v>
      </c>
      <c r="L131" s="13">
        <v>0.0</v>
      </c>
      <c r="M131" s="6">
        <f t="shared" si="36"/>
        <v>3</v>
      </c>
    </row>
    <row r="132" ht="12.75" customHeight="1">
      <c r="A132" s="18"/>
      <c r="B132" s="54">
        <v>3.0</v>
      </c>
      <c r="C132" s="55" t="s">
        <v>112</v>
      </c>
      <c r="D132" s="56"/>
      <c r="E132" s="13">
        <v>0.0</v>
      </c>
      <c r="F132" s="13">
        <v>0.0</v>
      </c>
      <c r="G132" s="13">
        <v>1.0</v>
      </c>
      <c r="H132" s="13">
        <v>1.0</v>
      </c>
      <c r="I132" s="13">
        <v>0.0</v>
      </c>
      <c r="J132" s="13">
        <v>1.0</v>
      </c>
      <c r="K132" s="13">
        <v>0.0</v>
      </c>
      <c r="L132" s="13">
        <v>1.0</v>
      </c>
      <c r="M132" s="6">
        <f t="shared" si="36"/>
        <v>4</v>
      </c>
    </row>
    <row r="133" ht="12.75" customHeight="1">
      <c r="A133" s="18"/>
      <c r="B133" s="54">
        <v>4.0</v>
      </c>
      <c r="C133" s="55" t="s">
        <v>113</v>
      </c>
      <c r="D133" s="56"/>
      <c r="E133" s="13">
        <v>0.0</v>
      </c>
      <c r="F133" s="13">
        <v>0.0</v>
      </c>
      <c r="G133" s="13">
        <v>0.0</v>
      </c>
      <c r="H133" s="13">
        <v>0.0</v>
      </c>
      <c r="I133" s="13">
        <v>0.0</v>
      </c>
      <c r="J133" s="13">
        <v>0.0</v>
      </c>
      <c r="K133" s="13">
        <v>1.0</v>
      </c>
      <c r="L133" s="13">
        <v>0.0</v>
      </c>
      <c r="M133" s="6">
        <f t="shared" si="36"/>
        <v>1</v>
      </c>
    </row>
    <row r="134" ht="12.75" customHeight="1">
      <c r="A134" s="18"/>
      <c r="B134" s="54">
        <v>5.0</v>
      </c>
      <c r="C134" s="55" t="s">
        <v>114</v>
      </c>
      <c r="D134" s="56"/>
      <c r="E134" s="13">
        <v>0.0</v>
      </c>
      <c r="F134" s="13">
        <v>0.0</v>
      </c>
      <c r="G134" s="13">
        <v>1.0</v>
      </c>
      <c r="H134" s="13">
        <v>0.0</v>
      </c>
      <c r="I134" s="13">
        <v>0.0</v>
      </c>
      <c r="J134" s="13">
        <v>0.0</v>
      </c>
      <c r="K134" s="13">
        <v>0.0</v>
      </c>
      <c r="L134" s="13">
        <v>0.0</v>
      </c>
      <c r="M134" s="6">
        <f t="shared" si="36"/>
        <v>1</v>
      </c>
    </row>
    <row r="135" ht="12.75" customHeight="1">
      <c r="A135" s="18"/>
      <c r="B135" s="54">
        <v>6.0</v>
      </c>
      <c r="C135" s="55" t="s">
        <v>115</v>
      </c>
      <c r="D135" s="56"/>
      <c r="E135" s="13">
        <v>0.0</v>
      </c>
      <c r="F135" s="13">
        <v>0.0</v>
      </c>
      <c r="G135" s="13">
        <v>0.0</v>
      </c>
      <c r="H135" s="13">
        <v>1.0</v>
      </c>
      <c r="I135" s="13">
        <v>0.0</v>
      </c>
      <c r="J135" s="13">
        <v>0.0</v>
      </c>
      <c r="K135" s="13">
        <v>0.0</v>
      </c>
      <c r="L135" s="13">
        <v>0.0</v>
      </c>
      <c r="M135" s="6">
        <f t="shared" si="36"/>
        <v>1</v>
      </c>
    </row>
    <row r="136" ht="12.75" customHeight="1">
      <c r="A136" s="13" t="s">
        <v>15</v>
      </c>
      <c r="B136" s="51" t="s">
        <v>46</v>
      </c>
      <c r="C136" s="8"/>
      <c r="D136" s="9"/>
      <c r="E136" s="57">
        <f t="shared" ref="E136:L136" si="37">SUM(E129:E135)</f>
        <v>3</v>
      </c>
      <c r="F136" s="57">
        <f t="shared" si="37"/>
        <v>1</v>
      </c>
      <c r="G136" s="57">
        <f t="shared" si="37"/>
        <v>3</v>
      </c>
      <c r="H136" s="57">
        <f t="shared" si="37"/>
        <v>6</v>
      </c>
      <c r="I136" s="57">
        <f t="shared" si="37"/>
        <v>2</v>
      </c>
      <c r="J136" s="57">
        <f t="shared" si="37"/>
        <v>1</v>
      </c>
      <c r="K136" s="57">
        <f t="shared" si="37"/>
        <v>5</v>
      </c>
      <c r="L136" s="57">
        <f t="shared" si="37"/>
        <v>3</v>
      </c>
      <c r="M136" s="6">
        <f t="shared" si="36"/>
        <v>24</v>
      </c>
    </row>
    <row r="137" ht="12.75" customHeight="1">
      <c r="A137" s="68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"/>
    </row>
    <row r="138" ht="12.75" customHeight="1">
      <c r="A138" s="33" t="s">
        <v>37</v>
      </c>
      <c r="B138" s="51" t="s">
        <v>116</v>
      </c>
      <c r="C138" s="52" t="s">
        <v>117</v>
      </c>
      <c r="D138" s="9"/>
      <c r="E138" s="13">
        <v>0.0</v>
      </c>
      <c r="F138" s="13">
        <v>0.0</v>
      </c>
      <c r="G138" s="13">
        <v>0.0</v>
      </c>
      <c r="H138" s="13">
        <v>0.0</v>
      </c>
      <c r="I138" s="13">
        <v>0.0</v>
      </c>
      <c r="J138" s="13">
        <v>0.0</v>
      </c>
      <c r="K138" s="13">
        <v>0.0</v>
      </c>
      <c r="L138" s="13">
        <v>0.0</v>
      </c>
      <c r="M138" s="6">
        <f t="shared" ref="M138:M144" si="38">SUM(E138:L138)</f>
        <v>0</v>
      </c>
    </row>
    <row r="139" ht="12.75" customHeight="1">
      <c r="A139" s="33" t="s">
        <v>39</v>
      </c>
      <c r="B139" s="54">
        <v>1.0</v>
      </c>
      <c r="C139" s="55" t="s">
        <v>118</v>
      </c>
      <c r="D139" s="56"/>
      <c r="E139" s="13">
        <v>0.0</v>
      </c>
      <c r="F139" s="13">
        <v>0.0</v>
      </c>
      <c r="G139" s="13">
        <v>0.0</v>
      </c>
      <c r="H139" s="13">
        <v>0.0</v>
      </c>
      <c r="I139" s="13">
        <v>0.0</v>
      </c>
      <c r="J139" s="13">
        <v>1.0</v>
      </c>
      <c r="K139" s="13">
        <v>0.0</v>
      </c>
      <c r="L139" s="13">
        <v>0.0</v>
      </c>
      <c r="M139" s="6">
        <f t="shared" si="38"/>
        <v>1</v>
      </c>
    </row>
    <row r="140" ht="12.75" customHeight="1">
      <c r="A140" s="18"/>
      <c r="B140" s="54">
        <v>2.0</v>
      </c>
      <c r="C140" s="55" t="s">
        <v>119</v>
      </c>
      <c r="D140" s="56"/>
      <c r="E140" s="13">
        <v>0.0</v>
      </c>
      <c r="F140" s="13">
        <v>0.0</v>
      </c>
      <c r="G140" s="13">
        <v>0.0</v>
      </c>
      <c r="H140" s="13">
        <v>0.0</v>
      </c>
      <c r="I140" s="13">
        <v>0.0</v>
      </c>
      <c r="J140" s="13">
        <v>0.0</v>
      </c>
      <c r="K140" s="13">
        <v>0.0</v>
      </c>
      <c r="L140" s="13">
        <v>0.0</v>
      </c>
      <c r="M140" s="6">
        <f t="shared" si="38"/>
        <v>0</v>
      </c>
    </row>
    <row r="141" ht="12.75" customHeight="1">
      <c r="A141" s="18"/>
      <c r="B141" s="54">
        <v>3.0</v>
      </c>
      <c r="C141" s="55" t="s">
        <v>120</v>
      </c>
      <c r="D141" s="56"/>
      <c r="E141" s="13">
        <v>0.0</v>
      </c>
      <c r="F141" s="13">
        <v>0.0</v>
      </c>
      <c r="G141" s="13">
        <v>0.0</v>
      </c>
      <c r="H141" s="13">
        <v>0.0</v>
      </c>
      <c r="I141" s="13">
        <v>0.0</v>
      </c>
      <c r="J141" s="13">
        <v>0.0</v>
      </c>
      <c r="K141" s="13">
        <v>0.0</v>
      </c>
      <c r="L141" s="13">
        <v>0.0</v>
      </c>
      <c r="M141" s="6">
        <f t="shared" si="38"/>
        <v>0</v>
      </c>
    </row>
    <row r="142" ht="12.75" customHeight="1">
      <c r="A142" s="18"/>
      <c r="B142" s="54">
        <v>4.0</v>
      </c>
      <c r="C142" s="55" t="s">
        <v>121</v>
      </c>
      <c r="D142" s="56"/>
      <c r="E142" s="13">
        <v>0.0</v>
      </c>
      <c r="F142" s="13">
        <v>0.0</v>
      </c>
      <c r="G142" s="13">
        <v>0.0</v>
      </c>
      <c r="H142" s="13">
        <v>0.0</v>
      </c>
      <c r="I142" s="13">
        <v>0.0</v>
      </c>
      <c r="J142" s="13">
        <v>0.0</v>
      </c>
      <c r="K142" s="13">
        <v>0.0</v>
      </c>
      <c r="L142" s="13">
        <v>0.0</v>
      </c>
      <c r="M142" s="6">
        <f t="shared" si="38"/>
        <v>0</v>
      </c>
    </row>
    <row r="143" ht="12.75" customHeight="1">
      <c r="A143" s="18"/>
      <c r="B143" s="54">
        <v>5.0</v>
      </c>
      <c r="C143" s="55" t="s">
        <v>122</v>
      </c>
      <c r="D143" s="56"/>
      <c r="E143" s="13">
        <v>0.0</v>
      </c>
      <c r="F143" s="13">
        <v>0.0</v>
      </c>
      <c r="G143" s="13">
        <v>0.0</v>
      </c>
      <c r="H143" s="13">
        <v>0.0</v>
      </c>
      <c r="I143" s="13">
        <v>0.0</v>
      </c>
      <c r="J143" s="13">
        <v>0.0</v>
      </c>
      <c r="K143" s="13">
        <v>0.0</v>
      </c>
      <c r="L143" s="13">
        <v>0.0</v>
      </c>
      <c r="M143" s="6">
        <f t="shared" si="38"/>
        <v>0</v>
      </c>
    </row>
    <row r="144" ht="12.75" customHeight="1">
      <c r="A144" s="13" t="s">
        <v>15</v>
      </c>
      <c r="B144" s="51" t="s">
        <v>46</v>
      </c>
      <c r="C144" s="8"/>
      <c r="D144" s="9"/>
      <c r="E144" s="57">
        <f t="shared" ref="E144:L144" si="39">SUM(E138:E143)</f>
        <v>0</v>
      </c>
      <c r="F144" s="57">
        <f t="shared" si="39"/>
        <v>0</v>
      </c>
      <c r="G144" s="57">
        <f t="shared" si="39"/>
        <v>0</v>
      </c>
      <c r="H144" s="57">
        <f t="shared" si="39"/>
        <v>0</v>
      </c>
      <c r="I144" s="57">
        <f t="shared" si="39"/>
        <v>0</v>
      </c>
      <c r="J144" s="57">
        <f t="shared" si="39"/>
        <v>1</v>
      </c>
      <c r="K144" s="57">
        <f t="shared" si="39"/>
        <v>0</v>
      </c>
      <c r="L144" s="57">
        <f t="shared" si="39"/>
        <v>0</v>
      </c>
      <c r="M144" s="6">
        <f t="shared" si="38"/>
        <v>1</v>
      </c>
    </row>
    <row r="145" ht="12.75" customHeight="1">
      <c r="A145" s="68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"/>
    </row>
    <row r="146" ht="12.75" customHeight="1">
      <c r="A146" s="33" t="s">
        <v>37</v>
      </c>
      <c r="B146" s="51" t="s">
        <v>123</v>
      </c>
      <c r="C146" s="52" t="s">
        <v>124</v>
      </c>
      <c r="D146" s="9"/>
      <c r="E146" s="13">
        <v>1.0</v>
      </c>
      <c r="F146" s="13">
        <v>1.0</v>
      </c>
      <c r="G146" s="13">
        <v>2.0</v>
      </c>
      <c r="H146" s="13">
        <v>2.0</v>
      </c>
      <c r="I146" s="13">
        <v>0.0</v>
      </c>
      <c r="J146" s="13">
        <v>2.0</v>
      </c>
      <c r="K146" s="13">
        <v>1.0</v>
      </c>
      <c r="L146" s="13">
        <v>4.0</v>
      </c>
      <c r="M146" s="6">
        <f t="shared" ref="M146:M153" si="40">SUM(E146:L146)</f>
        <v>13</v>
      </c>
    </row>
    <row r="147" ht="12.75" customHeight="1">
      <c r="A147" s="33" t="s">
        <v>39</v>
      </c>
      <c r="B147" s="54">
        <v>1.0</v>
      </c>
      <c r="C147" s="55" t="s">
        <v>125</v>
      </c>
      <c r="D147" s="56"/>
      <c r="E147" s="13">
        <v>0.0</v>
      </c>
      <c r="F147" s="13">
        <v>2.0</v>
      </c>
      <c r="G147" s="13">
        <v>2.0</v>
      </c>
      <c r="H147" s="13">
        <v>1.0</v>
      </c>
      <c r="I147" s="13">
        <v>1.0</v>
      </c>
      <c r="J147" s="13">
        <v>0.0</v>
      </c>
      <c r="K147" s="13">
        <v>0.0</v>
      </c>
      <c r="L147" s="13">
        <v>0.0</v>
      </c>
      <c r="M147" s="6">
        <f t="shared" si="40"/>
        <v>6</v>
      </c>
    </row>
    <row r="148" ht="12.75" customHeight="1">
      <c r="A148" s="18"/>
      <c r="B148" s="54">
        <v>2.0</v>
      </c>
      <c r="C148" s="55" t="s">
        <v>126</v>
      </c>
      <c r="D148" s="56"/>
      <c r="E148" s="13">
        <v>5.0</v>
      </c>
      <c r="F148" s="13">
        <v>9.0</v>
      </c>
      <c r="G148" s="13">
        <v>5.0</v>
      </c>
      <c r="H148" s="13">
        <v>13.0</v>
      </c>
      <c r="I148" s="13">
        <v>6.0</v>
      </c>
      <c r="J148" s="13">
        <v>0.0</v>
      </c>
      <c r="K148" s="13">
        <v>2.0</v>
      </c>
      <c r="L148" s="13">
        <v>6.0</v>
      </c>
      <c r="M148" s="6">
        <f t="shared" si="40"/>
        <v>46</v>
      </c>
    </row>
    <row r="149" ht="12.75" customHeight="1">
      <c r="A149" s="18"/>
      <c r="B149" s="54">
        <v>3.0</v>
      </c>
      <c r="C149" s="55" t="s">
        <v>127</v>
      </c>
      <c r="D149" s="56"/>
      <c r="E149" s="13">
        <v>0.0</v>
      </c>
      <c r="F149" s="13">
        <v>0.0</v>
      </c>
      <c r="G149" s="13">
        <v>0.0</v>
      </c>
      <c r="H149" s="13">
        <v>0.0</v>
      </c>
      <c r="I149" s="13">
        <v>1.0</v>
      </c>
      <c r="J149" s="13">
        <v>0.0</v>
      </c>
      <c r="K149" s="13">
        <v>0.0</v>
      </c>
      <c r="L149" s="13">
        <v>0.0</v>
      </c>
      <c r="M149" s="6">
        <f t="shared" si="40"/>
        <v>1</v>
      </c>
    </row>
    <row r="150" ht="12.75" customHeight="1">
      <c r="A150" s="18"/>
      <c r="B150" s="54">
        <v>4.0</v>
      </c>
      <c r="C150" s="55" t="s">
        <v>128</v>
      </c>
      <c r="D150" s="56"/>
      <c r="E150" s="13">
        <v>0.0</v>
      </c>
      <c r="F150" s="13">
        <v>0.0</v>
      </c>
      <c r="G150" s="13">
        <v>0.0</v>
      </c>
      <c r="H150" s="13">
        <v>0.0</v>
      </c>
      <c r="I150" s="13">
        <v>1.0</v>
      </c>
      <c r="J150" s="13">
        <v>0.0</v>
      </c>
      <c r="K150" s="13">
        <v>0.0</v>
      </c>
      <c r="L150" s="13">
        <v>0.0</v>
      </c>
      <c r="M150" s="6">
        <f t="shared" si="40"/>
        <v>1</v>
      </c>
    </row>
    <row r="151" ht="12.75" customHeight="1">
      <c r="A151" s="18"/>
      <c r="B151" s="54">
        <v>5.0</v>
      </c>
      <c r="C151" s="55" t="s">
        <v>129</v>
      </c>
      <c r="D151" s="56"/>
      <c r="E151" s="13">
        <v>0.0</v>
      </c>
      <c r="F151" s="13">
        <v>0.0</v>
      </c>
      <c r="G151" s="13">
        <v>0.0</v>
      </c>
      <c r="H151" s="13">
        <v>0.0</v>
      </c>
      <c r="I151" s="13">
        <v>0.0</v>
      </c>
      <c r="J151" s="13">
        <v>0.0</v>
      </c>
      <c r="K151" s="13">
        <v>0.0</v>
      </c>
      <c r="L151" s="13">
        <v>0.0</v>
      </c>
      <c r="M151" s="6">
        <f t="shared" si="40"/>
        <v>0</v>
      </c>
    </row>
    <row r="152" ht="12.75" customHeight="1">
      <c r="A152" s="18"/>
      <c r="B152" s="54">
        <v>6.0</v>
      </c>
      <c r="C152" s="55" t="s">
        <v>130</v>
      </c>
      <c r="D152" s="56"/>
      <c r="E152" s="13">
        <v>0.0</v>
      </c>
      <c r="F152" s="13">
        <v>0.0</v>
      </c>
      <c r="G152" s="13">
        <v>1.0</v>
      </c>
      <c r="H152" s="13">
        <v>0.0</v>
      </c>
      <c r="I152" s="13">
        <v>1.0</v>
      </c>
      <c r="J152" s="13">
        <v>0.0</v>
      </c>
      <c r="K152" s="13">
        <v>0.0</v>
      </c>
      <c r="L152" s="13">
        <v>0.0</v>
      </c>
      <c r="M152" s="6">
        <f t="shared" si="40"/>
        <v>2</v>
      </c>
    </row>
    <row r="153" ht="12.75" customHeight="1">
      <c r="A153" s="13" t="s">
        <v>15</v>
      </c>
      <c r="B153" s="51" t="s">
        <v>46</v>
      </c>
      <c r="C153" s="8"/>
      <c r="D153" s="9"/>
      <c r="E153" s="57">
        <f t="shared" ref="E153:L153" si="41">SUM(E146:E152)</f>
        <v>6</v>
      </c>
      <c r="F153" s="57">
        <f t="shared" si="41"/>
        <v>12</v>
      </c>
      <c r="G153" s="57">
        <f t="shared" si="41"/>
        <v>10</v>
      </c>
      <c r="H153" s="57">
        <f t="shared" si="41"/>
        <v>16</v>
      </c>
      <c r="I153" s="57">
        <f t="shared" si="41"/>
        <v>10</v>
      </c>
      <c r="J153" s="57">
        <f t="shared" si="41"/>
        <v>2</v>
      </c>
      <c r="K153" s="57">
        <f t="shared" si="41"/>
        <v>3</v>
      </c>
      <c r="L153" s="57">
        <f t="shared" si="41"/>
        <v>10</v>
      </c>
      <c r="M153" s="6">
        <f t="shared" si="40"/>
        <v>69</v>
      </c>
    </row>
    <row r="154" ht="12.75" customHeight="1">
      <c r="A154" s="68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"/>
    </row>
    <row r="155" ht="12.75" customHeight="1">
      <c r="A155" s="33" t="s">
        <v>37</v>
      </c>
      <c r="B155" s="51" t="s">
        <v>131</v>
      </c>
      <c r="C155" s="52" t="s">
        <v>132</v>
      </c>
      <c r="D155" s="9"/>
      <c r="E155" s="13">
        <v>1.0</v>
      </c>
      <c r="F155" s="13">
        <v>2.0</v>
      </c>
      <c r="G155" s="13">
        <v>1.0</v>
      </c>
      <c r="H155" s="13">
        <v>2.0</v>
      </c>
      <c r="I155" s="13">
        <v>4.0</v>
      </c>
      <c r="J155" s="13">
        <v>3.0</v>
      </c>
      <c r="K155" s="13">
        <v>0.0</v>
      </c>
      <c r="L155" s="13">
        <v>1.0</v>
      </c>
      <c r="M155" s="6">
        <f t="shared" ref="M155:M158" si="42">SUM(E155:L155)</f>
        <v>14</v>
      </c>
    </row>
    <row r="156" ht="12.75" customHeight="1">
      <c r="A156" s="33" t="s">
        <v>39</v>
      </c>
      <c r="B156" s="54">
        <v>1.0</v>
      </c>
      <c r="C156" s="55" t="s">
        <v>133</v>
      </c>
      <c r="D156" s="56"/>
      <c r="E156" s="13">
        <v>3.0</v>
      </c>
      <c r="F156" s="13">
        <v>1.0</v>
      </c>
      <c r="G156" s="13">
        <v>4.0</v>
      </c>
      <c r="H156" s="13">
        <v>0.0</v>
      </c>
      <c r="I156" s="13">
        <v>11.0</v>
      </c>
      <c r="J156" s="13">
        <v>8.0</v>
      </c>
      <c r="K156" s="13">
        <v>0.0</v>
      </c>
      <c r="L156" s="13">
        <v>0.0</v>
      </c>
      <c r="M156" s="6">
        <f t="shared" si="42"/>
        <v>27</v>
      </c>
    </row>
    <row r="157" ht="12.75" customHeight="1">
      <c r="A157" s="33"/>
      <c r="B157" s="54">
        <v>2.0</v>
      </c>
      <c r="C157" s="55" t="s">
        <v>134</v>
      </c>
      <c r="D157" s="56"/>
      <c r="E157" s="13">
        <v>0.0</v>
      </c>
      <c r="F157" s="13">
        <v>0.0</v>
      </c>
      <c r="G157" s="13">
        <v>0.0</v>
      </c>
      <c r="H157" s="13">
        <v>0.0</v>
      </c>
      <c r="I157" s="13">
        <v>2.0</v>
      </c>
      <c r="J157" s="13">
        <v>1.0</v>
      </c>
      <c r="K157" s="13">
        <v>0.0</v>
      </c>
      <c r="L157" s="13">
        <v>0.0</v>
      </c>
      <c r="M157" s="6">
        <f t="shared" si="42"/>
        <v>3</v>
      </c>
    </row>
    <row r="158" ht="12.75" customHeight="1">
      <c r="A158" s="13" t="s">
        <v>15</v>
      </c>
      <c r="B158" s="51" t="s">
        <v>46</v>
      </c>
      <c r="C158" s="8"/>
      <c r="D158" s="9"/>
      <c r="E158" s="57">
        <f t="shared" ref="E158:L158" si="43">SUM(E155:E157)</f>
        <v>4</v>
      </c>
      <c r="F158" s="57">
        <f t="shared" si="43"/>
        <v>3</v>
      </c>
      <c r="G158" s="57">
        <f t="shared" si="43"/>
        <v>5</v>
      </c>
      <c r="H158" s="57">
        <f t="shared" si="43"/>
        <v>2</v>
      </c>
      <c r="I158" s="57">
        <f t="shared" si="43"/>
        <v>17</v>
      </c>
      <c r="J158" s="57">
        <f t="shared" si="43"/>
        <v>12</v>
      </c>
      <c r="K158" s="57">
        <f t="shared" si="43"/>
        <v>0</v>
      </c>
      <c r="L158" s="57">
        <f t="shared" si="43"/>
        <v>1</v>
      </c>
      <c r="M158" s="6">
        <f t="shared" si="42"/>
        <v>44</v>
      </c>
    </row>
    <row r="159" ht="12.75" customHeight="1">
      <c r="A159" s="68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"/>
    </row>
    <row r="160" ht="12.75" customHeight="1">
      <c r="A160" s="33" t="s">
        <v>37</v>
      </c>
      <c r="B160" s="51" t="s">
        <v>135</v>
      </c>
      <c r="C160" s="52" t="s">
        <v>136</v>
      </c>
      <c r="D160" s="9"/>
      <c r="E160" s="13">
        <v>0.0</v>
      </c>
      <c r="F160" s="13">
        <v>0.0</v>
      </c>
      <c r="G160" s="13">
        <v>0.0</v>
      </c>
      <c r="H160" s="13">
        <v>2.0</v>
      </c>
      <c r="I160" s="13">
        <v>0.0</v>
      </c>
      <c r="J160" s="13">
        <v>0.0</v>
      </c>
      <c r="K160" s="13">
        <v>1.0</v>
      </c>
      <c r="L160" s="13">
        <v>0.0</v>
      </c>
      <c r="M160" s="6">
        <f t="shared" ref="M160:M164" si="44">SUM(E160:L160)</f>
        <v>3</v>
      </c>
    </row>
    <row r="161" ht="12.75" customHeight="1">
      <c r="A161" s="33"/>
      <c r="B161" s="54">
        <v>1.0</v>
      </c>
      <c r="C161" s="55" t="s">
        <v>137</v>
      </c>
      <c r="D161" s="63"/>
      <c r="E161" s="13">
        <v>0.0</v>
      </c>
      <c r="F161" s="13">
        <v>0.0</v>
      </c>
      <c r="G161" s="13">
        <v>0.0</v>
      </c>
      <c r="H161" s="13">
        <v>0.0</v>
      </c>
      <c r="I161" s="13">
        <v>0.0</v>
      </c>
      <c r="J161" s="13">
        <v>0.0</v>
      </c>
      <c r="K161" s="13">
        <v>0.0</v>
      </c>
      <c r="L161" s="13">
        <v>0.0</v>
      </c>
      <c r="M161" s="6">
        <f t="shared" si="44"/>
        <v>0</v>
      </c>
    </row>
    <row r="162" ht="12.75" customHeight="1">
      <c r="A162" s="33"/>
      <c r="B162" s="54">
        <v>2.0</v>
      </c>
      <c r="C162" s="55" t="s">
        <v>138</v>
      </c>
      <c r="D162" s="63"/>
      <c r="E162" s="13">
        <v>0.0</v>
      </c>
      <c r="F162" s="13">
        <v>0.0</v>
      </c>
      <c r="G162" s="13">
        <v>0.0</v>
      </c>
      <c r="H162" s="13">
        <v>1.0</v>
      </c>
      <c r="I162" s="13">
        <v>0.0</v>
      </c>
      <c r="J162" s="13">
        <v>0.0</v>
      </c>
      <c r="K162" s="13">
        <v>0.0</v>
      </c>
      <c r="L162" s="13">
        <v>0.0</v>
      </c>
      <c r="M162" s="6">
        <f t="shared" si="44"/>
        <v>1</v>
      </c>
    </row>
    <row r="163" ht="12.75" customHeight="1">
      <c r="A163" s="33"/>
      <c r="B163" s="54">
        <v>3.0</v>
      </c>
      <c r="C163" s="55" t="s">
        <v>139</v>
      </c>
      <c r="D163" s="63"/>
      <c r="E163" s="13">
        <v>0.0</v>
      </c>
      <c r="F163" s="13">
        <v>0.0</v>
      </c>
      <c r="G163" s="13">
        <v>0.0</v>
      </c>
      <c r="H163" s="13">
        <v>0.0</v>
      </c>
      <c r="I163" s="13">
        <v>0.0</v>
      </c>
      <c r="J163" s="13">
        <v>0.0</v>
      </c>
      <c r="K163" s="13">
        <v>0.0</v>
      </c>
      <c r="L163" s="13">
        <v>0.0</v>
      </c>
      <c r="M163" s="6">
        <f t="shared" si="44"/>
        <v>0</v>
      </c>
    </row>
    <row r="164" ht="12.75" customHeight="1">
      <c r="A164" s="13" t="s">
        <v>15</v>
      </c>
      <c r="B164" s="51" t="s">
        <v>46</v>
      </c>
      <c r="C164" s="8"/>
      <c r="D164" s="9"/>
      <c r="E164" s="57">
        <f t="shared" ref="E164:L164" si="45">SUM(E160:E163)</f>
        <v>0</v>
      </c>
      <c r="F164" s="57">
        <f t="shared" si="45"/>
        <v>0</v>
      </c>
      <c r="G164" s="57">
        <f t="shared" si="45"/>
        <v>0</v>
      </c>
      <c r="H164" s="57">
        <f t="shared" si="45"/>
        <v>3</v>
      </c>
      <c r="I164" s="57">
        <f t="shared" si="45"/>
        <v>0</v>
      </c>
      <c r="J164" s="57">
        <f t="shared" si="45"/>
        <v>0</v>
      </c>
      <c r="K164" s="57">
        <f t="shared" si="45"/>
        <v>1</v>
      </c>
      <c r="L164" s="57">
        <f t="shared" si="45"/>
        <v>0</v>
      </c>
      <c r="M164" s="6">
        <f t="shared" si="44"/>
        <v>4</v>
      </c>
    </row>
    <row r="165" ht="12.75" customHeight="1">
      <c r="A165" s="68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"/>
    </row>
    <row r="166" ht="12.75" customHeight="1">
      <c r="A166" s="33" t="s">
        <v>37</v>
      </c>
      <c r="B166" s="51" t="s">
        <v>140</v>
      </c>
      <c r="C166" s="52" t="s">
        <v>141</v>
      </c>
      <c r="D166" s="9"/>
      <c r="E166" s="13">
        <v>1.0</v>
      </c>
      <c r="F166" s="13">
        <v>0.0</v>
      </c>
      <c r="G166" s="13">
        <v>0.0</v>
      </c>
      <c r="H166" s="13">
        <v>0.0</v>
      </c>
      <c r="I166" s="13">
        <v>0.0</v>
      </c>
      <c r="J166" s="13">
        <v>1.0</v>
      </c>
      <c r="K166" s="13">
        <v>0.0</v>
      </c>
      <c r="L166" s="13">
        <v>3.0</v>
      </c>
      <c r="M166" s="6">
        <f t="shared" ref="M166:M173" si="46">SUM(E166:L166)</f>
        <v>5</v>
      </c>
    </row>
    <row r="167" ht="12.75" customHeight="1">
      <c r="A167" s="33" t="s">
        <v>39</v>
      </c>
      <c r="B167" s="54">
        <v>1.0</v>
      </c>
      <c r="C167" s="55" t="s">
        <v>142</v>
      </c>
      <c r="D167" s="56"/>
      <c r="E167" s="13">
        <v>0.0</v>
      </c>
      <c r="F167" s="13">
        <v>0.0</v>
      </c>
      <c r="G167" s="13">
        <v>0.0</v>
      </c>
      <c r="H167" s="13">
        <v>2.0</v>
      </c>
      <c r="I167" s="13">
        <v>0.0</v>
      </c>
      <c r="J167" s="13">
        <v>0.0</v>
      </c>
      <c r="K167" s="13">
        <v>0.0</v>
      </c>
      <c r="L167" s="13">
        <v>0.0</v>
      </c>
      <c r="M167" s="6">
        <f t="shared" si="46"/>
        <v>2</v>
      </c>
    </row>
    <row r="168" ht="12.75" customHeight="1">
      <c r="A168" s="18"/>
      <c r="B168" s="54">
        <v>2.0</v>
      </c>
      <c r="C168" s="55" t="s">
        <v>143</v>
      </c>
      <c r="D168" s="56"/>
      <c r="E168" s="13">
        <v>0.0</v>
      </c>
      <c r="F168" s="13">
        <v>0.0</v>
      </c>
      <c r="G168" s="13">
        <v>0.0</v>
      </c>
      <c r="H168" s="13">
        <v>0.0</v>
      </c>
      <c r="I168" s="13">
        <v>0.0</v>
      </c>
      <c r="J168" s="13">
        <v>0.0</v>
      </c>
      <c r="K168" s="13">
        <v>0.0</v>
      </c>
      <c r="L168" s="13">
        <v>0.0</v>
      </c>
      <c r="M168" s="6">
        <f t="shared" si="46"/>
        <v>0</v>
      </c>
    </row>
    <row r="169" ht="12.75" customHeight="1">
      <c r="A169" s="18"/>
      <c r="B169" s="54">
        <v>3.0</v>
      </c>
      <c r="C169" s="55" t="s">
        <v>144</v>
      </c>
      <c r="D169" s="56"/>
      <c r="E169" s="13">
        <v>0.0</v>
      </c>
      <c r="F169" s="13">
        <v>0.0</v>
      </c>
      <c r="G169" s="13">
        <v>0.0</v>
      </c>
      <c r="H169" s="13">
        <v>1.0</v>
      </c>
      <c r="I169" s="13">
        <v>0.0</v>
      </c>
      <c r="J169" s="13">
        <v>0.0</v>
      </c>
      <c r="K169" s="13">
        <v>0.0</v>
      </c>
      <c r="L169" s="13">
        <v>0.0</v>
      </c>
      <c r="M169" s="6">
        <f t="shared" si="46"/>
        <v>1</v>
      </c>
    </row>
    <row r="170" ht="12.75" customHeight="1">
      <c r="A170" s="18"/>
      <c r="B170" s="54">
        <v>4.0</v>
      </c>
      <c r="C170" s="55" t="s">
        <v>145</v>
      </c>
      <c r="D170" s="56"/>
      <c r="E170" s="13">
        <v>0.0</v>
      </c>
      <c r="F170" s="13">
        <v>0.0</v>
      </c>
      <c r="G170" s="13">
        <v>0.0</v>
      </c>
      <c r="H170" s="13">
        <v>0.0</v>
      </c>
      <c r="I170" s="13">
        <v>0.0</v>
      </c>
      <c r="J170" s="13">
        <v>0.0</v>
      </c>
      <c r="K170" s="13">
        <v>0.0</v>
      </c>
      <c r="L170" s="13">
        <v>0.0</v>
      </c>
      <c r="M170" s="6">
        <f t="shared" si="46"/>
        <v>0</v>
      </c>
    </row>
    <row r="171" ht="12.75" customHeight="1">
      <c r="A171" s="18"/>
      <c r="B171" s="54">
        <v>5.0</v>
      </c>
      <c r="C171" s="55" t="s">
        <v>146</v>
      </c>
      <c r="D171" s="56"/>
      <c r="E171" s="13">
        <v>0.0</v>
      </c>
      <c r="F171" s="13">
        <v>0.0</v>
      </c>
      <c r="G171" s="13">
        <v>0.0</v>
      </c>
      <c r="H171" s="13">
        <v>0.0</v>
      </c>
      <c r="I171" s="13">
        <v>0.0</v>
      </c>
      <c r="J171" s="13">
        <v>0.0</v>
      </c>
      <c r="K171" s="13">
        <v>0.0</v>
      </c>
      <c r="L171" s="13">
        <v>0.0</v>
      </c>
      <c r="M171" s="6">
        <f t="shared" si="46"/>
        <v>0</v>
      </c>
    </row>
    <row r="172" ht="12.75" customHeight="1">
      <c r="A172" s="18"/>
      <c r="B172" s="54">
        <v>6.0</v>
      </c>
      <c r="C172" s="55" t="s">
        <v>147</v>
      </c>
      <c r="D172" s="56"/>
      <c r="E172" s="13">
        <v>0.0</v>
      </c>
      <c r="F172" s="13">
        <v>0.0</v>
      </c>
      <c r="G172" s="13">
        <v>0.0</v>
      </c>
      <c r="H172" s="13">
        <v>0.0</v>
      </c>
      <c r="I172" s="13">
        <v>0.0</v>
      </c>
      <c r="J172" s="13">
        <v>0.0</v>
      </c>
      <c r="K172" s="13">
        <v>0.0</v>
      </c>
      <c r="L172" s="13">
        <v>0.0</v>
      </c>
      <c r="M172" s="6">
        <f t="shared" si="46"/>
        <v>0</v>
      </c>
    </row>
    <row r="173" ht="12.75" customHeight="1">
      <c r="A173" s="13" t="s">
        <v>15</v>
      </c>
      <c r="B173" s="51" t="s">
        <v>46</v>
      </c>
      <c r="C173" s="8"/>
      <c r="D173" s="9"/>
      <c r="E173" s="57">
        <f t="shared" ref="E173:L173" si="47">SUM(E166:E172)</f>
        <v>1</v>
      </c>
      <c r="F173" s="57">
        <f t="shared" si="47"/>
        <v>0</v>
      </c>
      <c r="G173" s="57">
        <f t="shared" si="47"/>
        <v>0</v>
      </c>
      <c r="H173" s="57">
        <f t="shared" si="47"/>
        <v>3</v>
      </c>
      <c r="I173" s="57">
        <f t="shared" si="47"/>
        <v>0</v>
      </c>
      <c r="J173" s="57">
        <f t="shared" si="47"/>
        <v>1</v>
      </c>
      <c r="K173" s="57">
        <f t="shared" si="47"/>
        <v>0</v>
      </c>
      <c r="L173" s="57">
        <f t="shared" si="47"/>
        <v>3</v>
      </c>
      <c r="M173" s="6">
        <f t="shared" si="46"/>
        <v>8</v>
      </c>
    </row>
    <row r="174" ht="12.75" customHeight="1">
      <c r="A174" s="68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"/>
    </row>
    <row r="175" ht="12.75" customHeight="1">
      <c r="A175" s="33" t="s">
        <v>37</v>
      </c>
      <c r="B175" s="51" t="s">
        <v>148</v>
      </c>
      <c r="C175" s="52" t="s">
        <v>149</v>
      </c>
      <c r="D175" s="9"/>
      <c r="E175" s="13">
        <v>0.0</v>
      </c>
      <c r="F175" s="13">
        <v>0.0</v>
      </c>
      <c r="G175" s="13">
        <v>0.0</v>
      </c>
      <c r="H175" s="13">
        <v>0.0</v>
      </c>
      <c r="I175" s="13">
        <v>0.0</v>
      </c>
      <c r="J175" s="13">
        <v>0.0</v>
      </c>
      <c r="K175" s="13">
        <v>0.0</v>
      </c>
      <c r="L175" s="13">
        <v>0.0</v>
      </c>
      <c r="M175" s="6">
        <f t="shared" ref="M175:M178" si="48">SUM(E175:L175)</f>
        <v>0</v>
      </c>
    </row>
    <row r="176" ht="12.75" customHeight="1">
      <c r="A176" s="33"/>
      <c r="B176" s="51">
        <v>1.0</v>
      </c>
      <c r="C176" s="52" t="s">
        <v>150</v>
      </c>
      <c r="D176" s="63"/>
      <c r="E176" s="13">
        <v>0.0</v>
      </c>
      <c r="F176" s="13">
        <v>0.0</v>
      </c>
      <c r="G176" s="13">
        <v>0.0</v>
      </c>
      <c r="H176" s="13">
        <v>0.0</v>
      </c>
      <c r="I176" s="13">
        <v>0.0</v>
      </c>
      <c r="J176" s="13">
        <v>0.0</v>
      </c>
      <c r="K176" s="13">
        <v>0.0</v>
      </c>
      <c r="L176" s="13">
        <v>0.0</v>
      </c>
      <c r="M176" s="6">
        <f t="shared" si="48"/>
        <v>0</v>
      </c>
    </row>
    <row r="177" ht="12.75" customHeight="1">
      <c r="A177" s="33" t="s">
        <v>39</v>
      </c>
      <c r="B177" s="54">
        <v>2.0</v>
      </c>
      <c r="C177" s="55" t="s">
        <v>151</v>
      </c>
      <c r="D177" s="56"/>
      <c r="E177" s="13">
        <v>0.0</v>
      </c>
      <c r="F177" s="13">
        <v>0.0</v>
      </c>
      <c r="G177" s="13">
        <v>0.0</v>
      </c>
      <c r="H177" s="13">
        <v>1.0</v>
      </c>
      <c r="I177" s="13">
        <v>0.0</v>
      </c>
      <c r="J177" s="13">
        <v>1.0</v>
      </c>
      <c r="K177" s="13">
        <v>0.0</v>
      </c>
      <c r="L177" s="13">
        <v>0.0</v>
      </c>
      <c r="M177" s="6">
        <f t="shared" si="48"/>
        <v>2</v>
      </c>
    </row>
    <row r="178" ht="12.75" customHeight="1">
      <c r="A178" s="13" t="s">
        <v>15</v>
      </c>
      <c r="B178" s="51" t="s">
        <v>46</v>
      </c>
      <c r="C178" s="8"/>
      <c r="D178" s="9"/>
      <c r="E178" s="57">
        <f t="shared" ref="E178:L178" si="49">SUM(E175:E177)</f>
        <v>0</v>
      </c>
      <c r="F178" s="57">
        <f t="shared" si="49"/>
        <v>0</v>
      </c>
      <c r="G178" s="57">
        <f t="shared" si="49"/>
        <v>0</v>
      </c>
      <c r="H178" s="57">
        <f t="shared" si="49"/>
        <v>1</v>
      </c>
      <c r="I178" s="57">
        <f t="shared" si="49"/>
        <v>0</v>
      </c>
      <c r="J178" s="57">
        <f t="shared" si="49"/>
        <v>1</v>
      </c>
      <c r="K178" s="57">
        <f t="shared" si="49"/>
        <v>0</v>
      </c>
      <c r="L178" s="57">
        <f t="shared" si="49"/>
        <v>0</v>
      </c>
      <c r="M178" s="6">
        <f t="shared" si="48"/>
        <v>2</v>
      </c>
    </row>
    <row r="179" ht="12.75" customHeight="1">
      <c r="A179" s="49"/>
      <c r="B179" s="48"/>
      <c r="C179" s="48"/>
      <c r="D179" s="27"/>
      <c r="E179" s="30"/>
      <c r="F179" s="30"/>
      <c r="G179" s="30"/>
      <c r="H179" s="30"/>
      <c r="I179" s="30"/>
      <c r="J179" s="30"/>
      <c r="K179" s="30"/>
      <c r="L179" s="30"/>
      <c r="M179" s="6"/>
    </row>
    <row r="180" ht="12.75" customHeight="1">
      <c r="A180" s="46" t="s">
        <v>152</v>
      </c>
      <c r="B180" s="7" t="s">
        <v>153</v>
      </c>
      <c r="C180" s="8"/>
      <c r="D180" s="9"/>
      <c r="E180" s="28"/>
      <c r="F180" s="28"/>
      <c r="G180" s="28"/>
      <c r="H180" s="28"/>
      <c r="I180" s="28"/>
      <c r="J180" s="28"/>
      <c r="K180" s="28"/>
      <c r="L180" s="28"/>
      <c r="M180" s="6"/>
    </row>
    <row r="181" ht="12.75" customHeight="1">
      <c r="A181" s="46"/>
      <c r="B181" s="64" t="s">
        <v>154</v>
      </c>
      <c r="C181" s="65" t="s">
        <v>155</v>
      </c>
      <c r="D181" s="9"/>
      <c r="E181" s="13">
        <v>197.0</v>
      </c>
      <c r="F181" s="13">
        <v>170.0</v>
      </c>
      <c r="G181" s="13">
        <v>165.0</v>
      </c>
      <c r="H181" s="13">
        <v>180.0</v>
      </c>
      <c r="I181" s="13">
        <v>191.0</v>
      </c>
      <c r="J181" s="13">
        <v>165.0</v>
      </c>
      <c r="K181" s="13">
        <v>148.0</v>
      </c>
      <c r="L181" s="13">
        <v>152.0</v>
      </c>
      <c r="M181" s="6">
        <f t="shared" ref="M181:M183" si="50">SUM(E181:L181)</f>
        <v>1368</v>
      </c>
    </row>
    <row r="182" ht="12.75" customHeight="1">
      <c r="A182" s="38"/>
      <c r="B182" s="64" t="s">
        <v>156</v>
      </c>
      <c r="C182" s="65" t="s">
        <v>157</v>
      </c>
      <c r="D182" s="9"/>
      <c r="E182" s="13">
        <v>24.0</v>
      </c>
      <c r="F182" s="13">
        <v>13.0</v>
      </c>
      <c r="G182" s="13">
        <v>19.0</v>
      </c>
      <c r="H182" s="13">
        <v>17.0</v>
      </c>
      <c r="I182" s="13">
        <v>32.0</v>
      </c>
      <c r="J182" s="13">
        <v>39.0</v>
      </c>
      <c r="K182" s="13">
        <v>15.0</v>
      </c>
      <c r="L182" s="13">
        <v>10.0</v>
      </c>
      <c r="M182" s="6">
        <f t="shared" si="50"/>
        <v>169</v>
      </c>
    </row>
    <row r="183" ht="12.75" customHeight="1">
      <c r="A183" s="43"/>
      <c r="B183" s="64" t="s">
        <v>158</v>
      </c>
      <c r="C183" s="65" t="s">
        <v>159</v>
      </c>
      <c r="D183" s="9"/>
      <c r="E183" s="28">
        <f t="shared" ref="E183:L183" si="51">SUM(E181:E182)</f>
        <v>221</v>
      </c>
      <c r="F183" s="28">
        <f t="shared" si="51"/>
        <v>183</v>
      </c>
      <c r="G183" s="28">
        <f t="shared" si="51"/>
        <v>184</v>
      </c>
      <c r="H183" s="28">
        <f t="shared" si="51"/>
        <v>197</v>
      </c>
      <c r="I183" s="28">
        <f t="shared" si="51"/>
        <v>223</v>
      </c>
      <c r="J183" s="28">
        <f t="shared" si="51"/>
        <v>204</v>
      </c>
      <c r="K183" s="28">
        <f t="shared" si="51"/>
        <v>163</v>
      </c>
      <c r="L183" s="28">
        <f t="shared" si="51"/>
        <v>162</v>
      </c>
      <c r="M183" s="6">
        <f t="shared" si="50"/>
        <v>1537</v>
      </c>
    </row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1">
    <mergeCell ref="C101:D101"/>
    <mergeCell ref="B108:D108"/>
    <mergeCell ref="C110:D110"/>
    <mergeCell ref="B114:D114"/>
    <mergeCell ref="C116:D116"/>
    <mergeCell ref="B123:D123"/>
    <mergeCell ref="C125:D125"/>
    <mergeCell ref="B127:D127"/>
    <mergeCell ref="C129:D129"/>
    <mergeCell ref="B136:D136"/>
    <mergeCell ref="C138:D138"/>
    <mergeCell ref="B144:D144"/>
    <mergeCell ref="C146:D146"/>
    <mergeCell ref="B153:D153"/>
    <mergeCell ref="B178:D178"/>
    <mergeCell ref="A179:D179"/>
    <mergeCell ref="B180:D180"/>
    <mergeCell ref="C181:D181"/>
    <mergeCell ref="C182:D182"/>
    <mergeCell ref="C183:D183"/>
    <mergeCell ref="C155:D155"/>
    <mergeCell ref="B158:D158"/>
    <mergeCell ref="C160:D160"/>
    <mergeCell ref="B164:D164"/>
    <mergeCell ref="C166:D166"/>
    <mergeCell ref="B173:D173"/>
    <mergeCell ref="C175:D175"/>
    <mergeCell ref="B12:D12"/>
    <mergeCell ref="E12:L12"/>
    <mergeCell ref="M12:M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C91:D91"/>
    <mergeCell ref="B92:D92"/>
    <mergeCell ref="C94:D94"/>
    <mergeCell ref="B99:D99"/>
  </mergeCells>
  <conditionalFormatting sqref="E30:L30">
    <cfRule type="expression" dxfId="0" priority="1">
      <formula>E30&lt;&gt;E62</formula>
    </cfRule>
  </conditionalFormatting>
  <conditionalFormatting sqref="E34:L34">
    <cfRule type="expression" dxfId="0" priority="2">
      <formula>E34&lt;&gt;E62</formula>
    </cfRule>
  </conditionalFormatting>
  <conditionalFormatting sqref="E14:L15">
    <cfRule type="containsBlanks" dxfId="1" priority="3">
      <formula>LEN(TRIM(E14))=0</formula>
    </cfRule>
  </conditionalFormatting>
  <conditionalFormatting sqref="E19:L20">
    <cfRule type="containsBlanks" dxfId="1" priority="4">
      <formula>LEN(TRIM(E19))=0</formula>
    </cfRule>
  </conditionalFormatting>
  <conditionalFormatting sqref="E22:L23 E25:L26 E33:L33 E35:L35 E39:L40">
    <cfRule type="containsBlanks" dxfId="1" priority="5">
      <formula>LEN(TRIM(E22))=0</formula>
    </cfRule>
  </conditionalFormatting>
  <conditionalFormatting sqref="E30:L30">
    <cfRule type="expression" dxfId="0" priority="6">
      <formula>E30&lt;&gt;E34</formula>
    </cfRule>
  </conditionalFormatting>
  <conditionalFormatting sqref="E34:L34">
    <cfRule type="expression" dxfId="2" priority="7">
      <formula>E30&lt;&gt;E34</formula>
    </cfRule>
  </conditionalFormatting>
  <conditionalFormatting sqref="E34:L34">
    <cfRule type="expression" dxfId="3" priority="8">
      <formula>E30=E34</formula>
    </cfRule>
  </conditionalFormatting>
  <conditionalFormatting sqref="E34:L34">
    <cfRule type="expression" dxfId="0" priority="9">
      <formula>E34&lt;&gt;E30</formula>
    </cfRule>
  </conditionalFormatting>
  <conditionalFormatting sqref="E45:L51">
    <cfRule type="containsBlanks" dxfId="1" priority="10">
      <formula>LEN(TRIM(E45))=0</formula>
    </cfRule>
  </conditionalFormatting>
  <conditionalFormatting sqref="E54:L60">
    <cfRule type="containsBlanks" dxfId="1" priority="11">
      <formula>LEN(TRIM(E54))=0</formula>
    </cfRule>
  </conditionalFormatting>
  <conditionalFormatting sqref="E63:L69">
    <cfRule type="containsBlanks" dxfId="1" priority="12">
      <formula>LEN(TRIM(E63))=0</formula>
    </cfRule>
  </conditionalFormatting>
  <conditionalFormatting sqref="E72:L78">
    <cfRule type="containsBlanks" dxfId="1" priority="13">
      <formula>LEN(TRIM(E72))=0</formula>
    </cfRule>
  </conditionalFormatting>
  <conditionalFormatting sqref="E81:L87">
    <cfRule type="containsBlanks" dxfId="1" priority="14">
      <formula>LEN(TRIM(E81))=0</formula>
    </cfRule>
  </conditionalFormatting>
  <conditionalFormatting sqref="E90:L91">
    <cfRule type="containsBlanks" dxfId="1" priority="15">
      <formula>LEN(TRIM(E90))=0</formula>
    </cfRule>
  </conditionalFormatting>
  <conditionalFormatting sqref="E94:L98">
    <cfRule type="containsBlanks" dxfId="1" priority="16">
      <formula>LEN(TRIM(E94))=0</formula>
    </cfRule>
  </conditionalFormatting>
  <conditionalFormatting sqref="E101:L107">
    <cfRule type="containsBlanks" dxfId="1" priority="17">
      <formula>LEN(TRIM(E101))=0</formula>
    </cfRule>
  </conditionalFormatting>
  <conditionalFormatting sqref="E110:L113">
    <cfRule type="containsBlanks" dxfId="1" priority="18">
      <formula>LEN(TRIM(E110))=0</formula>
    </cfRule>
  </conditionalFormatting>
  <conditionalFormatting sqref="E116:L122">
    <cfRule type="containsBlanks" dxfId="1" priority="19">
      <formula>LEN(TRIM(E116))=0</formula>
    </cfRule>
  </conditionalFormatting>
  <conditionalFormatting sqref="E125:L126">
    <cfRule type="containsBlanks" dxfId="1" priority="20">
      <formula>LEN(TRIM(E125))=0</formula>
    </cfRule>
  </conditionalFormatting>
  <conditionalFormatting sqref="E129:L135">
    <cfRule type="containsBlanks" dxfId="1" priority="21">
      <formula>LEN(TRIM(E129))=0</formula>
    </cfRule>
  </conditionalFormatting>
  <conditionalFormatting sqref="E138:L143">
    <cfRule type="containsBlanks" dxfId="1" priority="22">
      <formula>LEN(TRIM(E138))=0</formula>
    </cfRule>
  </conditionalFormatting>
  <conditionalFormatting sqref="E146:L152">
    <cfRule type="containsBlanks" dxfId="1" priority="23">
      <formula>LEN(TRIM(E146))=0</formula>
    </cfRule>
  </conditionalFormatting>
  <conditionalFormatting sqref="E155:L157">
    <cfRule type="containsBlanks" dxfId="1" priority="24">
      <formula>LEN(TRIM(E155))=0</formula>
    </cfRule>
  </conditionalFormatting>
  <conditionalFormatting sqref="E160:L163">
    <cfRule type="containsBlanks" dxfId="1" priority="25">
      <formula>LEN(TRIM(E160))=0</formula>
    </cfRule>
  </conditionalFormatting>
  <conditionalFormatting sqref="E166:L172">
    <cfRule type="containsBlanks" dxfId="1" priority="26">
      <formula>LEN(TRIM(E166))=0</formula>
    </cfRule>
  </conditionalFormatting>
  <conditionalFormatting sqref="E175:L177">
    <cfRule type="containsBlanks" dxfId="1" priority="27">
      <formula>LEN(TRIM(E175))=0</formula>
    </cfRule>
  </conditionalFormatting>
  <conditionalFormatting sqref="E181:L182">
    <cfRule type="containsBlanks" dxfId="1" priority="28">
      <formula>LEN(TRIM(E181))=0</formula>
    </cfRule>
  </conditionalFormatting>
  <conditionalFormatting sqref="E183:L183">
    <cfRule type="expression" dxfId="0" priority="29">
      <formula>E183&lt;&gt;E30</formula>
    </cfRule>
  </conditionalFormatting>
  <conditionalFormatting sqref="E183:L183">
    <cfRule type="expression" dxfId="0" priority="30">
      <formula>E183&lt;&gt;E34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4" width="8.71"/>
    <col customWidth="1" min="15" max="15" width="10.43"/>
  </cols>
  <sheetData>
    <row r="1" ht="12.75" customHeight="1"/>
    <row r="2" ht="12.75" customHeight="1">
      <c r="C2" s="1" t="s">
        <v>0</v>
      </c>
      <c r="D2" s="1" t="s">
        <v>1</v>
      </c>
    </row>
    <row r="3" ht="12.75" customHeight="1">
      <c r="C3" s="1" t="s">
        <v>2</v>
      </c>
      <c r="D3" s="1" t="s">
        <v>3</v>
      </c>
    </row>
    <row r="4" ht="12.75" customHeight="1">
      <c r="C4" s="1" t="s">
        <v>4</v>
      </c>
      <c r="D4" s="1" t="s">
        <v>5</v>
      </c>
    </row>
    <row r="5" ht="12.75" customHeight="1">
      <c r="C5" s="1"/>
      <c r="D5" s="1"/>
    </row>
    <row r="6" ht="12.75" customHeight="1">
      <c r="C6" s="1"/>
      <c r="D6" s="1"/>
    </row>
    <row r="7" ht="12.75" customHeight="1">
      <c r="C7" s="1"/>
      <c r="D7" s="1"/>
    </row>
    <row r="8" ht="12.75" customHeight="1">
      <c r="C8" s="1"/>
      <c r="D8" s="1"/>
    </row>
    <row r="9" ht="12.75" customHeight="1">
      <c r="C9" s="1" t="s">
        <v>160</v>
      </c>
      <c r="D9" s="1" t="s">
        <v>173</v>
      </c>
    </row>
    <row r="10" ht="12.75" customHeight="1"/>
    <row r="11" ht="12.75" customHeight="1"/>
    <row r="12" ht="12.75" customHeight="1">
      <c r="A12" s="6" t="s">
        <v>6</v>
      </c>
      <c r="B12" s="7" t="s">
        <v>7</v>
      </c>
      <c r="C12" s="8"/>
      <c r="D12" s="8"/>
      <c r="E12" s="28"/>
      <c r="F12" s="8"/>
      <c r="G12" s="8"/>
      <c r="H12" s="8"/>
      <c r="I12" s="8"/>
      <c r="J12" s="8"/>
      <c r="K12" s="8"/>
      <c r="L12" s="8"/>
      <c r="M12" s="8"/>
      <c r="N12" s="9"/>
      <c r="O12" s="40" t="s">
        <v>8</v>
      </c>
    </row>
    <row r="13" ht="12.75" customHeight="1">
      <c r="A13" s="13" t="s">
        <v>9</v>
      </c>
      <c r="B13" s="14" t="s">
        <v>10</v>
      </c>
      <c r="C13" s="8"/>
      <c r="D13" s="9"/>
      <c r="E13" s="43" t="s">
        <v>162</v>
      </c>
      <c r="F13" s="43" t="s">
        <v>163</v>
      </c>
      <c r="G13" s="43" t="s">
        <v>164</v>
      </c>
      <c r="H13" s="43" t="s">
        <v>165</v>
      </c>
      <c r="I13" s="43" t="s">
        <v>166</v>
      </c>
      <c r="J13" s="43" t="s">
        <v>167</v>
      </c>
      <c r="K13" s="43" t="s">
        <v>168</v>
      </c>
      <c r="L13" s="43" t="s">
        <v>169</v>
      </c>
      <c r="M13" s="43" t="s">
        <v>170</v>
      </c>
      <c r="N13" s="43" t="s">
        <v>174</v>
      </c>
      <c r="O13" s="27"/>
    </row>
    <row r="14" ht="12.75" customHeight="1">
      <c r="A14" s="18"/>
      <c r="B14" s="19" t="s">
        <v>11</v>
      </c>
      <c r="C14" s="20"/>
      <c r="D14" s="13" t="s">
        <v>12</v>
      </c>
      <c r="E14" s="71">
        <v>124.0</v>
      </c>
      <c r="F14" s="71">
        <v>106.0</v>
      </c>
      <c r="G14" s="71">
        <v>134.0</v>
      </c>
      <c r="H14" s="71">
        <v>146.0</v>
      </c>
      <c r="I14" s="71">
        <v>146.0</v>
      </c>
      <c r="J14" s="71">
        <v>132.0</v>
      </c>
      <c r="K14" s="71">
        <v>138.0</v>
      </c>
      <c r="L14" s="71">
        <v>116.0</v>
      </c>
      <c r="M14" s="71">
        <v>145.0</v>
      </c>
      <c r="N14" s="71">
        <v>148.0</v>
      </c>
      <c r="O14" s="6">
        <f t="shared" ref="O14:O16" si="1">SUM(E14:N14)</f>
        <v>1335</v>
      </c>
    </row>
    <row r="15" ht="12.75" customHeight="1">
      <c r="A15" s="18"/>
      <c r="B15" s="25"/>
      <c r="C15" s="26"/>
      <c r="D15" s="13" t="s">
        <v>13</v>
      </c>
      <c r="E15" s="71">
        <v>136.0</v>
      </c>
      <c r="F15" s="71">
        <v>108.0</v>
      </c>
      <c r="G15" s="71">
        <v>147.0</v>
      </c>
      <c r="H15" s="71">
        <v>145.0</v>
      </c>
      <c r="I15" s="71">
        <v>136.0</v>
      </c>
      <c r="J15" s="71">
        <v>134.0</v>
      </c>
      <c r="K15" s="71">
        <v>144.0</v>
      </c>
      <c r="L15" s="71">
        <v>105.0</v>
      </c>
      <c r="M15" s="71">
        <v>138.0</v>
      </c>
      <c r="N15" s="71">
        <v>128.0</v>
      </c>
      <c r="O15" s="6">
        <f t="shared" si="1"/>
        <v>1321</v>
      </c>
    </row>
    <row r="16" ht="12.75" customHeight="1">
      <c r="A16" s="16"/>
      <c r="B16" s="15"/>
      <c r="C16" s="27"/>
      <c r="D16" s="6" t="s">
        <v>14</v>
      </c>
      <c r="E16" s="6">
        <f t="shared" ref="E16:N16" si="2">SUM(E14:E15)</f>
        <v>260</v>
      </c>
      <c r="F16" s="6">
        <f t="shared" si="2"/>
        <v>214</v>
      </c>
      <c r="G16" s="6">
        <f t="shared" si="2"/>
        <v>281</v>
      </c>
      <c r="H16" s="6">
        <f t="shared" si="2"/>
        <v>291</v>
      </c>
      <c r="I16" s="6">
        <f t="shared" si="2"/>
        <v>282</v>
      </c>
      <c r="J16" s="6">
        <f t="shared" si="2"/>
        <v>266</v>
      </c>
      <c r="K16" s="6">
        <f t="shared" si="2"/>
        <v>282</v>
      </c>
      <c r="L16" s="6">
        <f t="shared" si="2"/>
        <v>221</v>
      </c>
      <c r="M16" s="6">
        <f t="shared" si="2"/>
        <v>283</v>
      </c>
      <c r="N16" s="6">
        <f t="shared" si="2"/>
        <v>276</v>
      </c>
      <c r="O16" s="6">
        <f t="shared" si="1"/>
        <v>2656</v>
      </c>
    </row>
    <row r="17" ht="12.75" customHeight="1">
      <c r="A17" s="30"/>
      <c r="B17" s="8"/>
      <c r="C17" s="8"/>
      <c r="D17" s="9"/>
      <c r="E17" s="13"/>
      <c r="F17" s="13"/>
      <c r="G17" s="13"/>
      <c r="H17" s="13"/>
      <c r="I17" s="13"/>
      <c r="J17" s="13"/>
      <c r="K17" s="13"/>
      <c r="L17" s="13"/>
      <c r="M17" s="13"/>
      <c r="N17" s="72"/>
      <c r="O17" s="6"/>
    </row>
    <row r="18" ht="12.75" customHeight="1">
      <c r="A18" s="33" t="s">
        <v>15</v>
      </c>
      <c r="B18" s="14" t="s">
        <v>16</v>
      </c>
      <c r="C18" s="8"/>
      <c r="D18" s="9"/>
      <c r="E18" s="13"/>
      <c r="F18" s="13"/>
      <c r="G18" s="13"/>
      <c r="H18" s="13"/>
      <c r="I18" s="13"/>
      <c r="J18" s="13"/>
      <c r="K18" s="13"/>
      <c r="L18" s="13"/>
      <c r="M18" s="13"/>
      <c r="N18" s="72"/>
      <c r="O18" s="6"/>
    </row>
    <row r="19" ht="12.75" customHeight="1">
      <c r="A19" s="33"/>
      <c r="B19" s="34" t="s">
        <v>17</v>
      </c>
      <c r="C19" s="35" t="s">
        <v>18</v>
      </c>
      <c r="D19" s="13" t="s">
        <v>12</v>
      </c>
      <c r="E19" s="71">
        <v>90.0</v>
      </c>
      <c r="F19" s="71">
        <v>83.0</v>
      </c>
      <c r="G19" s="71">
        <v>120.0</v>
      </c>
      <c r="H19" s="71">
        <v>112.0</v>
      </c>
      <c r="I19" s="71">
        <v>114.0</v>
      </c>
      <c r="J19" s="71">
        <v>110.0</v>
      </c>
      <c r="K19" s="71">
        <v>111.0</v>
      </c>
      <c r="L19" s="71">
        <v>96.0</v>
      </c>
      <c r="M19" s="71">
        <v>113.0</v>
      </c>
      <c r="N19" s="71">
        <v>115.0</v>
      </c>
      <c r="O19" s="6">
        <f t="shared" ref="O19:O30" si="3">SUM(E19:N19)</f>
        <v>1064</v>
      </c>
    </row>
    <row r="20" ht="12.75" customHeight="1">
      <c r="A20" s="36"/>
      <c r="B20" s="26"/>
      <c r="C20" s="37"/>
      <c r="D20" s="13" t="s">
        <v>13</v>
      </c>
      <c r="E20" s="71">
        <v>116.0</v>
      </c>
      <c r="F20" s="71">
        <v>97.0</v>
      </c>
      <c r="G20" s="71">
        <v>126.0</v>
      </c>
      <c r="H20" s="71">
        <v>125.0</v>
      </c>
      <c r="I20" s="71">
        <v>115.0</v>
      </c>
      <c r="J20" s="71">
        <v>112.0</v>
      </c>
      <c r="K20" s="71">
        <v>130.0</v>
      </c>
      <c r="L20" s="71">
        <v>93.0</v>
      </c>
      <c r="M20" s="71">
        <v>123.0</v>
      </c>
      <c r="N20" s="71">
        <v>100.0</v>
      </c>
      <c r="O20" s="6">
        <f t="shared" si="3"/>
        <v>1137</v>
      </c>
    </row>
    <row r="21" ht="12.75" customHeight="1">
      <c r="A21" s="38"/>
      <c r="B21" s="27"/>
      <c r="C21" s="39"/>
      <c r="D21" s="6" t="s">
        <v>14</v>
      </c>
      <c r="E21" s="6">
        <f t="shared" ref="E21:G21" si="4">SUM(E19:E20)</f>
        <v>206</v>
      </c>
      <c r="F21" s="6">
        <f t="shared" si="4"/>
        <v>180</v>
      </c>
      <c r="G21" s="6">
        <f t="shared" si="4"/>
        <v>246</v>
      </c>
      <c r="H21" s="73">
        <v>237.0</v>
      </c>
      <c r="I21" s="6">
        <f t="shared" ref="I21:N21" si="5">SUM(I19:I20)</f>
        <v>229</v>
      </c>
      <c r="J21" s="6">
        <f t="shared" si="5"/>
        <v>222</v>
      </c>
      <c r="K21" s="6">
        <f t="shared" si="5"/>
        <v>241</v>
      </c>
      <c r="L21" s="6">
        <f t="shared" si="5"/>
        <v>189</v>
      </c>
      <c r="M21" s="6">
        <f t="shared" si="5"/>
        <v>236</v>
      </c>
      <c r="N21" s="6">
        <f t="shared" si="5"/>
        <v>215</v>
      </c>
      <c r="O21" s="6">
        <f t="shared" si="3"/>
        <v>2201</v>
      </c>
    </row>
    <row r="22" ht="12.75" customHeight="1">
      <c r="A22" s="36"/>
      <c r="B22" s="34" t="s">
        <v>19</v>
      </c>
      <c r="C22" s="35" t="s">
        <v>20</v>
      </c>
      <c r="D22" s="13" t="s">
        <v>12</v>
      </c>
      <c r="E22" s="71">
        <v>0.0</v>
      </c>
      <c r="F22" s="71">
        <v>0.0</v>
      </c>
      <c r="G22" s="71">
        <v>0.0</v>
      </c>
      <c r="H22" s="71">
        <v>0.0</v>
      </c>
      <c r="I22" s="71">
        <v>0.0</v>
      </c>
      <c r="J22" s="71">
        <v>0.0</v>
      </c>
      <c r="K22" s="71">
        <v>0.0</v>
      </c>
      <c r="L22" s="71">
        <v>0.0</v>
      </c>
      <c r="M22" s="71">
        <v>0.0</v>
      </c>
      <c r="N22" s="71">
        <v>0.0</v>
      </c>
      <c r="O22" s="6">
        <f t="shared" si="3"/>
        <v>0</v>
      </c>
    </row>
    <row r="23" ht="12.75" customHeight="1">
      <c r="A23" s="36"/>
      <c r="B23" s="26"/>
      <c r="C23" s="37"/>
      <c r="D23" s="13" t="s">
        <v>13</v>
      </c>
      <c r="E23" s="71">
        <v>0.0</v>
      </c>
      <c r="F23" s="71">
        <v>0.0</v>
      </c>
      <c r="G23" s="71">
        <v>0.0</v>
      </c>
      <c r="H23" s="71">
        <v>1.0</v>
      </c>
      <c r="I23" s="71">
        <v>0.0</v>
      </c>
      <c r="J23" s="71">
        <v>0.0</v>
      </c>
      <c r="K23" s="71">
        <v>0.0</v>
      </c>
      <c r="L23" s="71">
        <v>0.0</v>
      </c>
      <c r="M23" s="71">
        <v>0.0</v>
      </c>
      <c r="N23" s="71">
        <v>0.0</v>
      </c>
      <c r="O23" s="6">
        <f t="shared" si="3"/>
        <v>1</v>
      </c>
    </row>
    <row r="24" ht="12.75" customHeight="1">
      <c r="A24" s="38"/>
      <c r="B24" s="27"/>
      <c r="C24" s="39"/>
      <c r="D24" s="6" t="s">
        <v>14</v>
      </c>
      <c r="E24" s="6">
        <f t="shared" ref="E24:N24" si="6">SUM(E22:E23)</f>
        <v>0</v>
      </c>
      <c r="F24" s="6">
        <f t="shared" si="6"/>
        <v>0</v>
      </c>
      <c r="G24" s="6">
        <f t="shared" si="6"/>
        <v>0</v>
      </c>
      <c r="H24" s="6">
        <f t="shared" si="6"/>
        <v>1</v>
      </c>
      <c r="I24" s="6">
        <f t="shared" si="6"/>
        <v>0</v>
      </c>
      <c r="J24" s="6">
        <f t="shared" si="6"/>
        <v>0</v>
      </c>
      <c r="K24" s="6">
        <f t="shared" si="6"/>
        <v>0</v>
      </c>
      <c r="L24" s="6">
        <f t="shared" si="6"/>
        <v>0</v>
      </c>
      <c r="M24" s="6">
        <f t="shared" si="6"/>
        <v>0</v>
      </c>
      <c r="N24" s="6">
        <f t="shared" si="6"/>
        <v>0</v>
      </c>
      <c r="O24" s="6">
        <f t="shared" si="3"/>
        <v>1</v>
      </c>
    </row>
    <row r="25" ht="12.75" customHeight="1">
      <c r="A25" s="36"/>
      <c r="B25" s="34" t="s">
        <v>21</v>
      </c>
      <c r="C25" s="35" t="s">
        <v>22</v>
      </c>
      <c r="D25" s="13" t="s">
        <v>12</v>
      </c>
      <c r="E25" s="71">
        <v>0.0</v>
      </c>
      <c r="F25" s="71">
        <v>0.0</v>
      </c>
      <c r="G25" s="71">
        <v>0.0</v>
      </c>
      <c r="H25" s="71">
        <v>0.0</v>
      </c>
      <c r="I25" s="71">
        <v>0.0</v>
      </c>
      <c r="J25" s="71">
        <v>3.0</v>
      </c>
      <c r="K25" s="71">
        <v>0.0</v>
      </c>
      <c r="L25" s="71">
        <v>0.0</v>
      </c>
      <c r="M25" s="71">
        <v>0.0</v>
      </c>
      <c r="N25" s="71">
        <v>0.0</v>
      </c>
      <c r="O25" s="6">
        <f t="shared" si="3"/>
        <v>3</v>
      </c>
    </row>
    <row r="26" ht="12.75" customHeight="1">
      <c r="A26" s="36"/>
      <c r="B26" s="26"/>
      <c r="C26" s="37"/>
      <c r="D26" s="13" t="s">
        <v>13</v>
      </c>
      <c r="E26" s="71">
        <v>0.0</v>
      </c>
      <c r="F26" s="71">
        <v>0.0</v>
      </c>
      <c r="G26" s="71">
        <v>0.0</v>
      </c>
      <c r="H26" s="71">
        <v>0.0</v>
      </c>
      <c r="I26" s="71">
        <v>0.0</v>
      </c>
      <c r="J26" s="71">
        <v>1.0</v>
      </c>
      <c r="K26" s="71">
        <v>0.0</v>
      </c>
      <c r="L26" s="71">
        <v>0.0</v>
      </c>
      <c r="M26" s="71">
        <v>0.0</v>
      </c>
      <c r="N26" s="71">
        <v>0.0</v>
      </c>
      <c r="O26" s="6">
        <f t="shared" si="3"/>
        <v>1</v>
      </c>
    </row>
    <row r="27" ht="12.75" customHeight="1">
      <c r="A27" s="38"/>
      <c r="B27" s="27"/>
      <c r="C27" s="39"/>
      <c r="D27" s="6" t="s">
        <v>14</v>
      </c>
      <c r="E27" s="6">
        <f t="shared" ref="E27:N27" si="7">SUM(E25:E26)</f>
        <v>0</v>
      </c>
      <c r="F27" s="6">
        <f t="shared" si="7"/>
        <v>0</v>
      </c>
      <c r="G27" s="6">
        <f t="shared" si="7"/>
        <v>0</v>
      </c>
      <c r="H27" s="6">
        <f t="shared" si="7"/>
        <v>0</v>
      </c>
      <c r="I27" s="6">
        <f t="shared" si="7"/>
        <v>0</v>
      </c>
      <c r="J27" s="6">
        <f t="shared" si="7"/>
        <v>4</v>
      </c>
      <c r="K27" s="6">
        <f t="shared" si="7"/>
        <v>0</v>
      </c>
      <c r="L27" s="6">
        <f t="shared" si="7"/>
        <v>0</v>
      </c>
      <c r="M27" s="6">
        <f t="shared" si="7"/>
        <v>0</v>
      </c>
      <c r="N27" s="6">
        <f t="shared" si="7"/>
        <v>0</v>
      </c>
      <c r="O27" s="6">
        <f t="shared" si="3"/>
        <v>4</v>
      </c>
    </row>
    <row r="28" ht="12.75" customHeight="1">
      <c r="A28" s="38"/>
      <c r="B28" s="40" t="s">
        <v>23</v>
      </c>
      <c r="C28" s="41" t="s">
        <v>24</v>
      </c>
      <c r="D28" s="6" t="s">
        <v>12</v>
      </c>
      <c r="E28" s="6">
        <f t="shared" ref="E28:N28" si="8">SUM(E19,E22,E25)</f>
        <v>90</v>
      </c>
      <c r="F28" s="6">
        <f t="shared" si="8"/>
        <v>83</v>
      </c>
      <c r="G28" s="6">
        <f t="shared" si="8"/>
        <v>120</v>
      </c>
      <c r="H28" s="6">
        <f t="shared" si="8"/>
        <v>112</v>
      </c>
      <c r="I28" s="6">
        <f t="shared" si="8"/>
        <v>114</v>
      </c>
      <c r="J28" s="6">
        <f t="shared" si="8"/>
        <v>113</v>
      </c>
      <c r="K28" s="6">
        <f t="shared" si="8"/>
        <v>111</v>
      </c>
      <c r="L28" s="6">
        <f t="shared" si="8"/>
        <v>96</v>
      </c>
      <c r="M28" s="6">
        <f t="shared" si="8"/>
        <v>113</v>
      </c>
      <c r="N28" s="6">
        <f t="shared" si="8"/>
        <v>115</v>
      </c>
      <c r="O28" s="6">
        <f t="shared" si="3"/>
        <v>1067</v>
      </c>
    </row>
    <row r="29" ht="12.75" customHeight="1">
      <c r="A29" s="38"/>
      <c r="B29" s="26"/>
      <c r="C29" s="37"/>
      <c r="D29" s="6" t="s">
        <v>13</v>
      </c>
      <c r="E29" s="6">
        <f t="shared" ref="E29:N29" si="9">SUM(E20,E23,E26)</f>
        <v>116</v>
      </c>
      <c r="F29" s="6">
        <f t="shared" si="9"/>
        <v>97</v>
      </c>
      <c r="G29" s="6">
        <f t="shared" si="9"/>
        <v>126</v>
      </c>
      <c r="H29" s="6">
        <f t="shared" si="9"/>
        <v>126</v>
      </c>
      <c r="I29" s="6">
        <f t="shared" si="9"/>
        <v>115</v>
      </c>
      <c r="J29" s="6">
        <f t="shared" si="9"/>
        <v>113</v>
      </c>
      <c r="K29" s="6">
        <f t="shared" si="9"/>
        <v>130</v>
      </c>
      <c r="L29" s="6">
        <f t="shared" si="9"/>
        <v>93</v>
      </c>
      <c r="M29" s="6">
        <f t="shared" si="9"/>
        <v>123</v>
      </c>
      <c r="N29" s="6">
        <f t="shared" si="9"/>
        <v>100</v>
      </c>
      <c r="O29" s="6">
        <f t="shared" si="3"/>
        <v>1139</v>
      </c>
    </row>
    <row r="30" ht="12.75" customHeight="1">
      <c r="A30" s="38"/>
      <c r="B30" s="27"/>
      <c r="C30" s="39"/>
      <c r="D30" s="6" t="s">
        <v>14</v>
      </c>
      <c r="E30" s="6">
        <f t="shared" ref="E30:N30" si="10">SUM(E28:E29)</f>
        <v>206</v>
      </c>
      <c r="F30" s="6">
        <f t="shared" si="10"/>
        <v>180</v>
      </c>
      <c r="G30" s="6">
        <f t="shared" si="10"/>
        <v>246</v>
      </c>
      <c r="H30" s="6">
        <f t="shared" si="10"/>
        <v>238</v>
      </c>
      <c r="I30" s="6">
        <f t="shared" si="10"/>
        <v>229</v>
      </c>
      <c r="J30" s="6">
        <f t="shared" si="10"/>
        <v>226</v>
      </c>
      <c r="K30" s="6">
        <f t="shared" si="10"/>
        <v>241</v>
      </c>
      <c r="L30" s="6">
        <f t="shared" si="10"/>
        <v>189</v>
      </c>
      <c r="M30" s="6">
        <f t="shared" si="10"/>
        <v>236</v>
      </c>
      <c r="N30" s="6">
        <f t="shared" si="10"/>
        <v>215</v>
      </c>
      <c r="O30" s="6">
        <f t="shared" si="3"/>
        <v>2206</v>
      </c>
    </row>
    <row r="31" ht="12.75" customHeight="1">
      <c r="A31" s="30"/>
      <c r="B31" s="8"/>
      <c r="C31" s="8"/>
      <c r="D31" s="9"/>
      <c r="E31" s="13"/>
      <c r="F31" s="13"/>
      <c r="G31" s="13"/>
      <c r="H31" s="13"/>
      <c r="I31" s="13"/>
      <c r="J31" s="13"/>
      <c r="K31" s="13"/>
      <c r="L31" s="13"/>
      <c r="M31" s="13"/>
      <c r="N31" s="72"/>
      <c r="O31" s="6"/>
    </row>
    <row r="32" ht="12.75" customHeight="1">
      <c r="A32" s="43" t="s">
        <v>25</v>
      </c>
      <c r="B32" s="7" t="s">
        <v>26</v>
      </c>
      <c r="C32" s="8"/>
      <c r="D32" s="9"/>
      <c r="E32" s="6"/>
      <c r="F32" s="6"/>
      <c r="G32" s="6"/>
      <c r="H32" s="6"/>
      <c r="I32" s="6"/>
      <c r="J32" s="6"/>
      <c r="K32" s="6"/>
      <c r="L32" s="6"/>
      <c r="M32" s="6"/>
      <c r="N32" s="74"/>
      <c r="O32" s="6"/>
    </row>
    <row r="33" ht="12.75" customHeight="1">
      <c r="A33" s="13">
        <v>1.0</v>
      </c>
      <c r="B33" s="14" t="s">
        <v>27</v>
      </c>
      <c r="C33" s="8"/>
      <c r="D33" s="9"/>
      <c r="E33" s="71">
        <v>260.0</v>
      </c>
      <c r="F33" s="71">
        <v>218.0</v>
      </c>
      <c r="G33" s="71">
        <v>284.0</v>
      </c>
      <c r="H33" s="71">
        <v>295.0</v>
      </c>
      <c r="I33" s="71">
        <v>288.0</v>
      </c>
      <c r="J33" s="71">
        <v>272.0</v>
      </c>
      <c r="K33" s="71">
        <v>288.0</v>
      </c>
      <c r="L33" s="71">
        <v>225.0</v>
      </c>
      <c r="M33" s="71">
        <v>289.0</v>
      </c>
      <c r="N33" s="71">
        <v>271.0</v>
      </c>
      <c r="O33" s="6">
        <f t="shared" ref="O33:O36" si="11">SUM(E33:N33)</f>
        <v>2690</v>
      </c>
    </row>
    <row r="34" ht="12.75" customHeight="1">
      <c r="A34" s="13">
        <v>2.0</v>
      </c>
      <c r="B34" s="14" t="s">
        <v>28</v>
      </c>
      <c r="C34" s="8"/>
      <c r="D34" s="9"/>
      <c r="E34" s="73">
        <v>206.0</v>
      </c>
      <c r="F34" s="73">
        <v>180.0</v>
      </c>
      <c r="G34" s="73">
        <v>246.0</v>
      </c>
      <c r="H34" s="73">
        <v>238.0</v>
      </c>
      <c r="I34" s="73">
        <v>229.0</v>
      </c>
      <c r="J34" s="73">
        <v>226.0</v>
      </c>
      <c r="K34" s="73">
        <v>241.0</v>
      </c>
      <c r="L34" s="73">
        <v>189.0</v>
      </c>
      <c r="M34" s="73">
        <v>236.0</v>
      </c>
      <c r="N34" s="73">
        <v>215.0</v>
      </c>
      <c r="O34" s="6">
        <f t="shared" si="11"/>
        <v>2206</v>
      </c>
    </row>
    <row r="35" ht="12.75" customHeight="1">
      <c r="A35" s="13">
        <v>3.0</v>
      </c>
      <c r="B35" s="14" t="s">
        <v>29</v>
      </c>
      <c r="C35" s="8"/>
      <c r="D35" s="9"/>
      <c r="E35" s="71">
        <v>0.0</v>
      </c>
      <c r="F35" s="71">
        <v>2.0</v>
      </c>
      <c r="G35" s="71">
        <v>0.0</v>
      </c>
      <c r="H35" s="71">
        <v>0.0</v>
      </c>
      <c r="I35" s="71">
        <v>4.0</v>
      </c>
      <c r="J35" s="71">
        <v>11.0</v>
      </c>
      <c r="K35" s="71">
        <v>14.0</v>
      </c>
      <c r="L35" s="71">
        <v>0.0</v>
      </c>
      <c r="M35" s="71">
        <v>0.0</v>
      </c>
      <c r="N35" s="71">
        <v>1.0</v>
      </c>
      <c r="O35" s="6">
        <f t="shared" si="11"/>
        <v>32</v>
      </c>
    </row>
    <row r="36" ht="12.75" customHeight="1">
      <c r="A36" s="13">
        <v>4.0</v>
      </c>
      <c r="B36" s="14" t="s">
        <v>30</v>
      </c>
      <c r="C36" s="8"/>
      <c r="D36" s="9"/>
      <c r="E36" s="6">
        <f t="shared" ref="E36:N36" si="12">E33-(E34+E35)</f>
        <v>54</v>
      </c>
      <c r="F36" s="6">
        <f t="shared" si="12"/>
        <v>36</v>
      </c>
      <c r="G36" s="6">
        <f t="shared" si="12"/>
        <v>38</v>
      </c>
      <c r="H36" s="6">
        <f t="shared" si="12"/>
        <v>57</v>
      </c>
      <c r="I36" s="6">
        <f t="shared" si="12"/>
        <v>55</v>
      </c>
      <c r="J36" s="6">
        <f t="shared" si="12"/>
        <v>35</v>
      </c>
      <c r="K36" s="6">
        <f t="shared" si="12"/>
        <v>33</v>
      </c>
      <c r="L36" s="6">
        <f t="shared" si="12"/>
        <v>36</v>
      </c>
      <c r="M36" s="6">
        <f t="shared" si="12"/>
        <v>53</v>
      </c>
      <c r="N36" s="6">
        <f t="shared" si="12"/>
        <v>55</v>
      </c>
      <c r="O36" s="6">
        <f t="shared" si="11"/>
        <v>452</v>
      </c>
    </row>
    <row r="37" ht="12.75" customHeight="1">
      <c r="A37" s="30"/>
      <c r="B37" s="8"/>
      <c r="C37" s="8"/>
      <c r="D37" s="8"/>
      <c r="E37" s="30"/>
      <c r="F37" s="8"/>
      <c r="G37" s="8"/>
      <c r="H37" s="8"/>
      <c r="I37" s="9"/>
      <c r="J37" s="13"/>
      <c r="K37" s="13"/>
      <c r="L37" s="13"/>
      <c r="M37" s="13"/>
      <c r="N37" s="72"/>
      <c r="O37" s="6"/>
    </row>
    <row r="38" ht="12.75" customHeight="1">
      <c r="A38" s="46" t="s">
        <v>31</v>
      </c>
      <c r="B38" s="7" t="s">
        <v>32</v>
      </c>
      <c r="C38" s="8"/>
      <c r="D38" s="9"/>
      <c r="E38" s="6"/>
      <c r="F38" s="6"/>
      <c r="G38" s="6"/>
      <c r="H38" s="6"/>
      <c r="I38" s="6"/>
      <c r="J38" s="6"/>
      <c r="K38" s="6"/>
      <c r="L38" s="6"/>
      <c r="M38" s="6"/>
      <c r="N38" s="74"/>
      <c r="O38" s="6"/>
    </row>
    <row r="39" ht="12.75" customHeight="1">
      <c r="A39" s="33"/>
      <c r="B39" s="47" t="s">
        <v>33</v>
      </c>
      <c r="C39" s="20"/>
      <c r="D39" s="13" t="s">
        <v>12</v>
      </c>
      <c r="E39" s="71">
        <v>0.0</v>
      </c>
      <c r="F39" s="71">
        <v>0.0</v>
      </c>
      <c r="G39" s="71">
        <v>0.0</v>
      </c>
      <c r="H39" s="71">
        <v>0.0</v>
      </c>
      <c r="I39" s="71">
        <v>0.0</v>
      </c>
      <c r="J39" s="71">
        <v>0.0</v>
      </c>
      <c r="K39" s="71">
        <v>1.0</v>
      </c>
      <c r="L39" s="71">
        <v>0.0</v>
      </c>
      <c r="M39" s="71">
        <v>0.0</v>
      </c>
      <c r="N39" s="71">
        <v>0.0</v>
      </c>
      <c r="O39" s="6">
        <f t="shared" ref="O39:O41" si="13">SUM(E39:N39)</f>
        <v>1</v>
      </c>
    </row>
    <row r="40" ht="12.75" customHeight="1">
      <c r="A40" s="36"/>
      <c r="C40" s="26"/>
      <c r="D40" s="13" t="s">
        <v>13</v>
      </c>
      <c r="E40" s="71">
        <v>0.0</v>
      </c>
      <c r="F40" s="71">
        <v>0.0</v>
      </c>
      <c r="G40" s="71">
        <v>0.0</v>
      </c>
      <c r="H40" s="71">
        <v>0.0</v>
      </c>
      <c r="I40" s="71">
        <v>0.0</v>
      </c>
      <c r="J40" s="71">
        <v>0.0</v>
      </c>
      <c r="K40" s="71">
        <v>0.0</v>
      </c>
      <c r="L40" s="71">
        <v>0.0</v>
      </c>
      <c r="M40" s="71">
        <v>0.0</v>
      </c>
      <c r="N40" s="71">
        <v>0.0</v>
      </c>
      <c r="O40" s="6">
        <f t="shared" si="13"/>
        <v>0</v>
      </c>
    </row>
    <row r="41" ht="12.75" customHeight="1">
      <c r="A41" s="43"/>
      <c r="B41" s="48"/>
      <c r="C41" s="27"/>
      <c r="D41" s="6" t="s">
        <v>14</v>
      </c>
      <c r="E41" s="6">
        <f t="shared" ref="E41:N41" si="14">SUM(E39:E40)</f>
        <v>0</v>
      </c>
      <c r="F41" s="6">
        <f t="shared" si="14"/>
        <v>0</v>
      </c>
      <c r="G41" s="6">
        <f t="shared" si="14"/>
        <v>0</v>
      </c>
      <c r="H41" s="6">
        <f t="shared" si="14"/>
        <v>0</v>
      </c>
      <c r="I41" s="6">
        <f t="shared" si="14"/>
        <v>0</v>
      </c>
      <c r="J41" s="6">
        <f t="shared" si="14"/>
        <v>0</v>
      </c>
      <c r="K41" s="6">
        <f t="shared" si="14"/>
        <v>1</v>
      </c>
      <c r="L41" s="6">
        <f t="shared" si="14"/>
        <v>0</v>
      </c>
      <c r="M41" s="6">
        <f t="shared" si="14"/>
        <v>0</v>
      </c>
      <c r="N41" s="6">
        <f t="shared" si="14"/>
        <v>0</v>
      </c>
      <c r="O41" s="6">
        <f t="shared" si="13"/>
        <v>1</v>
      </c>
    </row>
    <row r="42" ht="12.75" customHeight="1">
      <c r="A42" s="49"/>
      <c r="B42" s="48"/>
      <c r="C42" s="48"/>
      <c r="D42" s="27"/>
      <c r="E42" s="30"/>
      <c r="F42" s="8"/>
      <c r="G42" s="8"/>
      <c r="H42" s="8"/>
      <c r="I42" s="9"/>
      <c r="J42" s="13"/>
      <c r="K42" s="13"/>
      <c r="L42" s="13"/>
      <c r="M42" s="13"/>
      <c r="N42" s="72"/>
      <c r="O42" s="6"/>
    </row>
    <row r="43" ht="12.75" customHeight="1">
      <c r="A43" s="46" t="s">
        <v>34</v>
      </c>
      <c r="B43" s="7" t="s">
        <v>35</v>
      </c>
      <c r="C43" s="8"/>
      <c r="D43" s="9"/>
      <c r="E43" s="28"/>
      <c r="F43" s="6"/>
      <c r="G43" s="6"/>
      <c r="H43" s="6"/>
      <c r="I43" s="6"/>
      <c r="J43" s="6"/>
      <c r="K43" s="6"/>
      <c r="L43" s="6"/>
      <c r="M43" s="6"/>
      <c r="N43" s="74"/>
      <c r="O43" s="6"/>
    </row>
    <row r="44" ht="12.75" customHeight="1">
      <c r="A44" s="47" t="s">
        <v>36</v>
      </c>
      <c r="B44" s="50"/>
      <c r="C44" s="50"/>
      <c r="D44" s="20"/>
      <c r="E44" s="30"/>
      <c r="F44" s="13"/>
      <c r="G44" s="13"/>
      <c r="H44" s="13"/>
      <c r="I44" s="13"/>
      <c r="J44" s="13"/>
      <c r="K44" s="13"/>
      <c r="L44" s="13"/>
      <c r="M44" s="13"/>
      <c r="N44" s="72"/>
      <c r="O44" s="6"/>
    </row>
    <row r="45" ht="12.75" customHeight="1">
      <c r="A45" s="33" t="s">
        <v>37</v>
      </c>
      <c r="B45" s="51" t="s">
        <v>17</v>
      </c>
      <c r="C45" s="52" t="s">
        <v>38</v>
      </c>
      <c r="D45" s="9"/>
      <c r="E45" s="71">
        <v>10.0</v>
      </c>
      <c r="F45" s="71">
        <v>8.0</v>
      </c>
      <c r="G45" s="71">
        <v>17.0</v>
      </c>
      <c r="H45" s="71">
        <v>8.0</v>
      </c>
      <c r="I45" s="71">
        <v>9.0</v>
      </c>
      <c r="J45" s="71">
        <v>1.0</v>
      </c>
      <c r="K45" s="71">
        <v>3.0</v>
      </c>
      <c r="L45" s="71">
        <v>7.0</v>
      </c>
      <c r="M45" s="71">
        <v>7.0</v>
      </c>
      <c r="N45" s="71">
        <v>9.0</v>
      </c>
      <c r="O45" s="6">
        <f t="shared" ref="O45:O52" si="15">SUM(E45:N45)</f>
        <v>79</v>
      </c>
    </row>
    <row r="46" ht="12.75" customHeight="1">
      <c r="A46" s="33" t="s">
        <v>39</v>
      </c>
      <c r="B46" s="54">
        <v>1.0</v>
      </c>
      <c r="C46" s="55" t="s">
        <v>40</v>
      </c>
      <c r="D46" s="56"/>
      <c r="E46" s="71">
        <v>23.0</v>
      </c>
      <c r="F46" s="71">
        <v>4.0</v>
      </c>
      <c r="G46" s="71">
        <v>17.0</v>
      </c>
      <c r="H46" s="71">
        <v>14.0</v>
      </c>
      <c r="I46" s="71">
        <v>16.0</v>
      </c>
      <c r="J46" s="71">
        <v>5.0</v>
      </c>
      <c r="K46" s="71">
        <v>0.0</v>
      </c>
      <c r="L46" s="71">
        <v>8.0</v>
      </c>
      <c r="M46" s="71">
        <v>15.0</v>
      </c>
      <c r="N46" s="71">
        <v>19.0</v>
      </c>
      <c r="O46" s="6">
        <f t="shared" si="15"/>
        <v>121</v>
      </c>
    </row>
    <row r="47" ht="12.75" customHeight="1">
      <c r="A47" s="18"/>
      <c r="B47" s="54">
        <v>2.0</v>
      </c>
      <c r="C47" s="55" t="s">
        <v>41</v>
      </c>
      <c r="D47" s="56"/>
      <c r="E47" s="71">
        <v>2.0</v>
      </c>
      <c r="F47" s="71">
        <v>1.0</v>
      </c>
      <c r="G47" s="71">
        <v>0.0</v>
      </c>
      <c r="H47" s="71">
        <v>0.0</v>
      </c>
      <c r="I47" s="71">
        <v>0.0</v>
      </c>
      <c r="J47" s="71">
        <v>0.0</v>
      </c>
      <c r="K47" s="71">
        <v>1.0</v>
      </c>
      <c r="L47" s="71">
        <v>3.0</v>
      </c>
      <c r="M47" s="71">
        <v>1.0</v>
      </c>
      <c r="N47" s="71">
        <v>4.0</v>
      </c>
      <c r="O47" s="6">
        <f t="shared" si="15"/>
        <v>12</v>
      </c>
    </row>
    <row r="48" ht="12.75" customHeight="1">
      <c r="A48" s="18"/>
      <c r="B48" s="54">
        <v>3.0</v>
      </c>
      <c r="C48" s="55" t="s">
        <v>42</v>
      </c>
      <c r="D48" s="56"/>
      <c r="E48" s="71">
        <v>1.0</v>
      </c>
      <c r="F48" s="71">
        <v>0.0</v>
      </c>
      <c r="G48" s="71">
        <v>6.0</v>
      </c>
      <c r="H48" s="71">
        <v>1.0</v>
      </c>
      <c r="I48" s="71">
        <v>2.0</v>
      </c>
      <c r="J48" s="71">
        <v>0.0</v>
      </c>
      <c r="K48" s="71">
        <v>0.0</v>
      </c>
      <c r="L48" s="71">
        <v>0.0</v>
      </c>
      <c r="M48" s="71">
        <v>1.0</v>
      </c>
      <c r="N48" s="71">
        <v>2.0</v>
      </c>
      <c r="O48" s="6">
        <f t="shared" si="15"/>
        <v>13</v>
      </c>
    </row>
    <row r="49" ht="12.75" customHeight="1">
      <c r="A49" s="18"/>
      <c r="B49" s="54">
        <v>4.0</v>
      </c>
      <c r="C49" s="55" t="s">
        <v>43</v>
      </c>
      <c r="D49" s="56"/>
      <c r="E49" s="71">
        <v>1.0</v>
      </c>
      <c r="F49" s="71">
        <v>0.0</v>
      </c>
      <c r="G49" s="71">
        <v>1.0</v>
      </c>
      <c r="H49" s="71">
        <v>0.0</v>
      </c>
      <c r="I49" s="71">
        <v>1.0</v>
      </c>
      <c r="J49" s="71">
        <v>0.0</v>
      </c>
      <c r="K49" s="71">
        <v>0.0</v>
      </c>
      <c r="L49" s="71">
        <v>0.0</v>
      </c>
      <c r="M49" s="71">
        <v>0.0</v>
      </c>
      <c r="N49" s="71">
        <v>0.0</v>
      </c>
      <c r="O49" s="6">
        <f t="shared" si="15"/>
        <v>3</v>
      </c>
    </row>
    <row r="50" ht="12.75" customHeight="1">
      <c r="A50" s="18"/>
      <c r="B50" s="54">
        <v>5.0</v>
      </c>
      <c r="C50" s="55" t="s">
        <v>44</v>
      </c>
      <c r="D50" s="56"/>
      <c r="E50" s="71">
        <v>1.0</v>
      </c>
      <c r="F50" s="71">
        <v>0.0</v>
      </c>
      <c r="G50" s="71">
        <v>1.0</v>
      </c>
      <c r="H50" s="71">
        <v>0.0</v>
      </c>
      <c r="I50" s="71">
        <v>0.0</v>
      </c>
      <c r="J50" s="71">
        <v>0.0</v>
      </c>
      <c r="K50" s="71">
        <v>0.0</v>
      </c>
      <c r="L50" s="71">
        <v>0.0</v>
      </c>
      <c r="M50" s="71">
        <v>1.0</v>
      </c>
      <c r="N50" s="71">
        <v>0.0</v>
      </c>
      <c r="O50" s="6">
        <f t="shared" si="15"/>
        <v>3</v>
      </c>
    </row>
    <row r="51" ht="12.75" customHeight="1">
      <c r="A51" s="18"/>
      <c r="B51" s="54">
        <v>6.0</v>
      </c>
      <c r="C51" s="55" t="s">
        <v>45</v>
      </c>
      <c r="D51" s="56"/>
      <c r="E51" s="71">
        <v>0.0</v>
      </c>
      <c r="F51" s="71">
        <v>0.0</v>
      </c>
      <c r="G51" s="71">
        <v>0.0</v>
      </c>
      <c r="H51" s="71">
        <v>1.0</v>
      </c>
      <c r="I51" s="71">
        <v>0.0</v>
      </c>
      <c r="J51" s="71">
        <v>0.0</v>
      </c>
      <c r="K51" s="71">
        <v>0.0</v>
      </c>
      <c r="L51" s="71">
        <v>0.0</v>
      </c>
      <c r="M51" s="71">
        <v>0.0</v>
      </c>
      <c r="N51" s="71">
        <v>1.0</v>
      </c>
      <c r="O51" s="6">
        <f t="shared" si="15"/>
        <v>2</v>
      </c>
    </row>
    <row r="52" ht="12.75" customHeight="1">
      <c r="A52" s="13" t="s">
        <v>15</v>
      </c>
      <c r="B52" s="51" t="s">
        <v>46</v>
      </c>
      <c r="C52" s="8"/>
      <c r="D52" s="9"/>
      <c r="E52" s="57">
        <f t="shared" ref="E52:N52" si="16">SUM(E45:E51)</f>
        <v>38</v>
      </c>
      <c r="F52" s="57">
        <f t="shared" si="16"/>
        <v>13</v>
      </c>
      <c r="G52" s="57">
        <f t="shared" si="16"/>
        <v>42</v>
      </c>
      <c r="H52" s="57">
        <f t="shared" si="16"/>
        <v>24</v>
      </c>
      <c r="I52" s="57">
        <f t="shared" si="16"/>
        <v>28</v>
      </c>
      <c r="J52" s="57">
        <f t="shared" si="16"/>
        <v>6</v>
      </c>
      <c r="K52" s="57">
        <f t="shared" si="16"/>
        <v>4</v>
      </c>
      <c r="L52" s="57">
        <f t="shared" si="16"/>
        <v>18</v>
      </c>
      <c r="M52" s="57">
        <f t="shared" si="16"/>
        <v>25</v>
      </c>
      <c r="N52" s="57">
        <f t="shared" si="16"/>
        <v>35</v>
      </c>
      <c r="O52" s="6">
        <f t="shared" si="15"/>
        <v>233</v>
      </c>
    </row>
    <row r="53" ht="12.75" customHeight="1">
      <c r="A53" s="68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"/>
    </row>
    <row r="54" ht="12.75" customHeight="1">
      <c r="A54" s="33" t="s">
        <v>37</v>
      </c>
      <c r="B54" s="51" t="s">
        <v>19</v>
      </c>
      <c r="C54" s="52" t="s">
        <v>47</v>
      </c>
      <c r="D54" s="9"/>
      <c r="E54" s="71">
        <v>10.0</v>
      </c>
      <c r="F54" s="71">
        <v>21.0</v>
      </c>
      <c r="G54" s="71">
        <v>16.0</v>
      </c>
      <c r="H54" s="71">
        <v>18.0</v>
      </c>
      <c r="I54" s="71">
        <v>13.0</v>
      </c>
      <c r="J54" s="71">
        <v>2.0</v>
      </c>
      <c r="K54" s="71">
        <v>12.0</v>
      </c>
      <c r="L54" s="71">
        <v>5.0</v>
      </c>
      <c r="M54" s="71">
        <v>32.0</v>
      </c>
      <c r="N54" s="71">
        <v>17.0</v>
      </c>
      <c r="O54" s="6">
        <f t="shared" ref="O54:O61" si="17">SUM(E54:N54)</f>
        <v>146</v>
      </c>
    </row>
    <row r="55" ht="12.75" customHeight="1">
      <c r="A55" s="33" t="s">
        <v>39</v>
      </c>
      <c r="B55" s="54">
        <v>1.0</v>
      </c>
      <c r="C55" s="55" t="s">
        <v>48</v>
      </c>
      <c r="D55" s="56"/>
      <c r="E55" s="71">
        <v>11.0</v>
      </c>
      <c r="F55" s="71">
        <v>10.0</v>
      </c>
      <c r="G55" s="71">
        <v>13.0</v>
      </c>
      <c r="H55" s="71">
        <v>13.0</v>
      </c>
      <c r="I55" s="71">
        <v>5.0</v>
      </c>
      <c r="J55" s="71">
        <v>1.0</v>
      </c>
      <c r="K55" s="71">
        <v>10.0</v>
      </c>
      <c r="L55" s="71">
        <v>7.0</v>
      </c>
      <c r="M55" s="71">
        <v>13.0</v>
      </c>
      <c r="N55" s="71">
        <v>7.0</v>
      </c>
      <c r="O55" s="6">
        <f t="shared" si="17"/>
        <v>90</v>
      </c>
    </row>
    <row r="56" ht="12.75" customHeight="1">
      <c r="A56" s="18"/>
      <c r="B56" s="54">
        <v>2.0</v>
      </c>
      <c r="C56" s="55" t="s">
        <v>49</v>
      </c>
      <c r="D56" s="56"/>
      <c r="E56" s="71">
        <v>9.0</v>
      </c>
      <c r="F56" s="71">
        <v>11.0</v>
      </c>
      <c r="G56" s="71">
        <v>12.0</v>
      </c>
      <c r="H56" s="71">
        <v>5.0</v>
      </c>
      <c r="I56" s="71">
        <v>5.0</v>
      </c>
      <c r="J56" s="71">
        <v>0.0</v>
      </c>
      <c r="K56" s="71">
        <v>2.0</v>
      </c>
      <c r="L56" s="71">
        <v>1.0</v>
      </c>
      <c r="M56" s="71">
        <v>3.0</v>
      </c>
      <c r="N56" s="71">
        <v>3.0</v>
      </c>
      <c r="O56" s="6">
        <f t="shared" si="17"/>
        <v>51</v>
      </c>
    </row>
    <row r="57" ht="12.75" customHeight="1">
      <c r="A57" s="18"/>
      <c r="B57" s="54">
        <v>3.0</v>
      </c>
      <c r="C57" s="55" t="s">
        <v>50</v>
      </c>
      <c r="D57" s="56"/>
      <c r="E57" s="71">
        <v>0.0</v>
      </c>
      <c r="F57" s="71">
        <v>0.0</v>
      </c>
      <c r="G57" s="71">
        <v>0.0</v>
      </c>
      <c r="H57" s="71">
        <v>1.0</v>
      </c>
      <c r="I57" s="71">
        <v>1.0</v>
      </c>
      <c r="J57" s="71">
        <v>0.0</v>
      </c>
      <c r="K57" s="71">
        <v>1.0</v>
      </c>
      <c r="L57" s="71">
        <v>0.0</v>
      </c>
      <c r="M57" s="71">
        <v>0.0</v>
      </c>
      <c r="N57" s="71">
        <v>3.0</v>
      </c>
      <c r="O57" s="6">
        <f t="shared" si="17"/>
        <v>6</v>
      </c>
    </row>
    <row r="58" ht="12.75" customHeight="1">
      <c r="A58" s="18"/>
      <c r="B58" s="54">
        <v>4.0</v>
      </c>
      <c r="C58" s="55" t="s">
        <v>51</v>
      </c>
      <c r="D58" s="56"/>
      <c r="E58" s="71">
        <v>1.0</v>
      </c>
      <c r="F58" s="71">
        <v>0.0</v>
      </c>
      <c r="G58" s="71">
        <v>0.0</v>
      </c>
      <c r="H58" s="71">
        <v>1.0</v>
      </c>
      <c r="I58" s="71">
        <v>0.0</v>
      </c>
      <c r="J58" s="71">
        <v>1.0</v>
      </c>
      <c r="K58" s="71">
        <v>1.0</v>
      </c>
      <c r="L58" s="71">
        <v>0.0</v>
      </c>
      <c r="M58" s="71">
        <v>1.0</v>
      </c>
      <c r="N58" s="71">
        <v>0.0</v>
      </c>
      <c r="O58" s="6">
        <f t="shared" si="17"/>
        <v>5</v>
      </c>
    </row>
    <row r="59" ht="12.75" customHeight="1">
      <c r="A59" s="18"/>
      <c r="B59" s="54">
        <v>5.0</v>
      </c>
      <c r="C59" s="55" t="s">
        <v>52</v>
      </c>
      <c r="D59" s="56"/>
      <c r="E59" s="71">
        <v>0.0</v>
      </c>
      <c r="F59" s="71">
        <v>0.0</v>
      </c>
      <c r="G59" s="71">
        <v>0.0</v>
      </c>
      <c r="H59" s="71">
        <v>0.0</v>
      </c>
      <c r="I59" s="71">
        <v>0.0</v>
      </c>
      <c r="J59" s="71">
        <v>0.0</v>
      </c>
      <c r="K59" s="71">
        <v>1.0</v>
      </c>
      <c r="L59" s="71">
        <v>0.0</v>
      </c>
      <c r="M59" s="71">
        <v>1.0</v>
      </c>
      <c r="N59" s="71">
        <v>0.0</v>
      </c>
      <c r="O59" s="6">
        <f t="shared" si="17"/>
        <v>2</v>
      </c>
    </row>
    <row r="60" ht="12.75" customHeight="1">
      <c r="A60" s="18"/>
      <c r="B60" s="54">
        <v>6.0</v>
      </c>
      <c r="C60" s="55" t="s">
        <v>53</v>
      </c>
      <c r="D60" s="56"/>
      <c r="E60" s="71">
        <v>2.0</v>
      </c>
      <c r="F60" s="71">
        <v>4.0</v>
      </c>
      <c r="G60" s="71">
        <v>0.0</v>
      </c>
      <c r="H60" s="71">
        <v>1.0</v>
      </c>
      <c r="I60" s="71">
        <v>0.0</v>
      </c>
      <c r="J60" s="71">
        <v>0.0</v>
      </c>
      <c r="K60" s="71">
        <v>13.0</v>
      </c>
      <c r="L60" s="71">
        <v>0.0</v>
      </c>
      <c r="M60" s="71">
        <v>10.0</v>
      </c>
      <c r="N60" s="71">
        <v>0.0</v>
      </c>
      <c r="O60" s="6">
        <f t="shared" si="17"/>
        <v>30</v>
      </c>
    </row>
    <row r="61" ht="12.75" customHeight="1">
      <c r="A61" s="13" t="s">
        <v>15</v>
      </c>
      <c r="B61" s="51" t="s">
        <v>46</v>
      </c>
      <c r="C61" s="8"/>
      <c r="D61" s="9"/>
      <c r="E61" s="57">
        <f t="shared" ref="E61:N61" si="18">SUM(E54:E60)</f>
        <v>33</v>
      </c>
      <c r="F61" s="57">
        <f t="shared" si="18"/>
        <v>46</v>
      </c>
      <c r="G61" s="57">
        <f t="shared" si="18"/>
        <v>41</v>
      </c>
      <c r="H61" s="57">
        <f t="shared" si="18"/>
        <v>39</v>
      </c>
      <c r="I61" s="57">
        <f t="shared" si="18"/>
        <v>24</v>
      </c>
      <c r="J61" s="57">
        <f t="shared" si="18"/>
        <v>4</v>
      </c>
      <c r="K61" s="57">
        <f t="shared" si="18"/>
        <v>40</v>
      </c>
      <c r="L61" s="57">
        <f t="shared" si="18"/>
        <v>13</v>
      </c>
      <c r="M61" s="57">
        <f t="shared" si="18"/>
        <v>60</v>
      </c>
      <c r="N61" s="57">
        <f t="shared" si="18"/>
        <v>30</v>
      </c>
      <c r="O61" s="6">
        <f t="shared" si="17"/>
        <v>330</v>
      </c>
    </row>
    <row r="62" ht="12.75" customHeight="1">
      <c r="A62" s="68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"/>
    </row>
    <row r="63" ht="12.75" customHeight="1">
      <c r="A63" s="33" t="s">
        <v>37</v>
      </c>
      <c r="B63" s="51" t="s">
        <v>21</v>
      </c>
      <c r="C63" s="52" t="s">
        <v>54</v>
      </c>
      <c r="D63" s="9"/>
      <c r="E63" s="71">
        <v>11.0</v>
      </c>
      <c r="F63" s="71">
        <v>2.0</v>
      </c>
      <c r="G63" s="71">
        <v>9.0</v>
      </c>
      <c r="H63" s="71">
        <v>5.0</v>
      </c>
      <c r="I63" s="71">
        <v>4.0</v>
      </c>
      <c r="J63" s="71">
        <v>6.0</v>
      </c>
      <c r="K63" s="71">
        <v>8.0</v>
      </c>
      <c r="L63" s="71">
        <v>1.0</v>
      </c>
      <c r="M63" s="71">
        <v>4.0</v>
      </c>
      <c r="N63" s="71">
        <v>3.0</v>
      </c>
      <c r="O63" s="6">
        <f t="shared" ref="O63:O70" si="19">SUM(E63:N63)</f>
        <v>53</v>
      </c>
    </row>
    <row r="64" ht="12.75" customHeight="1">
      <c r="A64" s="33" t="s">
        <v>39</v>
      </c>
      <c r="B64" s="54">
        <v>1.0</v>
      </c>
      <c r="C64" s="55" t="s">
        <v>55</v>
      </c>
      <c r="D64" s="56"/>
      <c r="E64" s="71">
        <v>8.0</v>
      </c>
      <c r="F64" s="71">
        <v>2.0</v>
      </c>
      <c r="G64" s="71">
        <v>5.0</v>
      </c>
      <c r="H64" s="71">
        <v>28.0</v>
      </c>
      <c r="I64" s="71">
        <v>7.0</v>
      </c>
      <c r="J64" s="71">
        <v>31.0</v>
      </c>
      <c r="K64" s="71">
        <v>31.0</v>
      </c>
      <c r="L64" s="71">
        <v>20.0</v>
      </c>
      <c r="M64" s="71">
        <v>1.0</v>
      </c>
      <c r="N64" s="71">
        <v>2.0</v>
      </c>
      <c r="O64" s="6">
        <f t="shared" si="19"/>
        <v>135</v>
      </c>
    </row>
    <row r="65" ht="12.75" customHeight="1">
      <c r="A65" s="18"/>
      <c r="B65" s="54">
        <v>2.0</v>
      </c>
      <c r="C65" s="55" t="s">
        <v>56</v>
      </c>
      <c r="D65" s="56"/>
      <c r="E65" s="71">
        <v>1.0</v>
      </c>
      <c r="F65" s="71">
        <v>1.0</v>
      </c>
      <c r="G65" s="71">
        <v>0.0</v>
      </c>
      <c r="H65" s="71">
        <v>1.0</v>
      </c>
      <c r="I65" s="71">
        <v>0.0</v>
      </c>
      <c r="J65" s="71">
        <v>1.0</v>
      </c>
      <c r="K65" s="71">
        <v>3.0</v>
      </c>
      <c r="L65" s="71">
        <v>2.0</v>
      </c>
      <c r="M65" s="71">
        <v>0.0</v>
      </c>
      <c r="N65" s="71">
        <v>0.0</v>
      </c>
      <c r="O65" s="6">
        <f t="shared" si="19"/>
        <v>9</v>
      </c>
    </row>
    <row r="66" ht="12.75" customHeight="1">
      <c r="A66" s="18"/>
      <c r="B66" s="54">
        <v>3.0</v>
      </c>
      <c r="C66" s="55" t="s">
        <v>57</v>
      </c>
      <c r="D66" s="56"/>
      <c r="E66" s="71">
        <v>0.0</v>
      </c>
      <c r="F66" s="71">
        <v>2.0</v>
      </c>
      <c r="G66" s="71">
        <v>2.0</v>
      </c>
      <c r="H66" s="71">
        <v>0.0</v>
      </c>
      <c r="I66" s="71">
        <v>1.0</v>
      </c>
      <c r="J66" s="71">
        <v>0.0</v>
      </c>
      <c r="K66" s="71">
        <v>0.0</v>
      </c>
      <c r="L66" s="71">
        <v>0.0</v>
      </c>
      <c r="M66" s="71">
        <v>1.0</v>
      </c>
      <c r="N66" s="71">
        <v>0.0</v>
      </c>
      <c r="O66" s="6">
        <f t="shared" si="19"/>
        <v>6</v>
      </c>
    </row>
    <row r="67" ht="12.75" customHeight="1">
      <c r="A67" s="18"/>
      <c r="B67" s="54">
        <v>4.0</v>
      </c>
      <c r="C67" s="55" t="s">
        <v>58</v>
      </c>
      <c r="D67" s="56"/>
      <c r="E67" s="71">
        <v>5.0</v>
      </c>
      <c r="F67" s="71">
        <v>1.0</v>
      </c>
      <c r="G67" s="71">
        <v>2.0</v>
      </c>
      <c r="H67" s="71">
        <v>6.0</v>
      </c>
      <c r="I67" s="71">
        <v>0.0</v>
      </c>
      <c r="J67" s="71">
        <v>0.0</v>
      </c>
      <c r="K67" s="71">
        <v>2.0</v>
      </c>
      <c r="L67" s="71">
        <v>0.0</v>
      </c>
      <c r="M67" s="71">
        <v>2.0</v>
      </c>
      <c r="N67" s="71">
        <v>2.0</v>
      </c>
      <c r="O67" s="6">
        <f t="shared" si="19"/>
        <v>20</v>
      </c>
    </row>
    <row r="68" ht="12.75" customHeight="1">
      <c r="A68" s="18"/>
      <c r="B68" s="54">
        <v>5.0</v>
      </c>
      <c r="C68" s="55" t="s">
        <v>59</v>
      </c>
      <c r="D68" s="56"/>
      <c r="E68" s="71">
        <v>1.0</v>
      </c>
      <c r="F68" s="71">
        <v>0.0</v>
      </c>
      <c r="G68" s="71">
        <v>1.0</v>
      </c>
      <c r="H68" s="71">
        <v>1.0</v>
      </c>
      <c r="I68" s="71">
        <v>0.0</v>
      </c>
      <c r="J68" s="71">
        <v>0.0</v>
      </c>
      <c r="K68" s="71">
        <v>0.0</v>
      </c>
      <c r="L68" s="71">
        <v>0.0</v>
      </c>
      <c r="M68" s="71">
        <v>3.0</v>
      </c>
      <c r="N68" s="71">
        <v>0.0</v>
      </c>
      <c r="O68" s="6">
        <f t="shared" si="19"/>
        <v>6</v>
      </c>
    </row>
    <row r="69" ht="12.75" customHeight="1">
      <c r="A69" s="18"/>
      <c r="B69" s="54">
        <v>6.0</v>
      </c>
      <c r="C69" s="55" t="s">
        <v>60</v>
      </c>
      <c r="D69" s="56"/>
      <c r="E69" s="71">
        <v>0.0</v>
      </c>
      <c r="F69" s="71">
        <v>0.0</v>
      </c>
      <c r="G69" s="71">
        <v>0.0</v>
      </c>
      <c r="H69" s="71">
        <v>0.0</v>
      </c>
      <c r="I69" s="71">
        <v>1.0</v>
      </c>
      <c r="J69" s="71">
        <v>0.0</v>
      </c>
      <c r="K69" s="71">
        <v>0.0</v>
      </c>
      <c r="L69" s="71">
        <v>0.0</v>
      </c>
      <c r="M69" s="71">
        <v>0.0</v>
      </c>
      <c r="N69" s="71">
        <v>0.0</v>
      </c>
      <c r="O69" s="6">
        <f t="shared" si="19"/>
        <v>1</v>
      </c>
    </row>
    <row r="70" ht="12.75" customHeight="1">
      <c r="A70" s="13" t="s">
        <v>15</v>
      </c>
      <c r="B70" s="51" t="s">
        <v>46</v>
      </c>
      <c r="C70" s="8"/>
      <c r="D70" s="9"/>
      <c r="E70" s="57">
        <f t="shared" ref="E70:N70" si="20">SUM(E63:E69)</f>
        <v>26</v>
      </c>
      <c r="F70" s="57">
        <f t="shared" si="20"/>
        <v>8</v>
      </c>
      <c r="G70" s="57">
        <f t="shared" si="20"/>
        <v>19</v>
      </c>
      <c r="H70" s="57">
        <f t="shared" si="20"/>
        <v>41</v>
      </c>
      <c r="I70" s="57">
        <f t="shared" si="20"/>
        <v>13</v>
      </c>
      <c r="J70" s="57">
        <f t="shared" si="20"/>
        <v>38</v>
      </c>
      <c r="K70" s="57">
        <f t="shared" si="20"/>
        <v>44</v>
      </c>
      <c r="L70" s="57">
        <f t="shared" si="20"/>
        <v>23</v>
      </c>
      <c r="M70" s="57">
        <f t="shared" si="20"/>
        <v>11</v>
      </c>
      <c r="N70" s="57">
        <f t="shared" si="20"/>
        <v>7</v>
      </c>
      <c r="O70" s="6">
        <f t="shared" si="19"/>
        <v>230</v>
      </c>
    </row>
    <row r="71" ht="12.75" customHeight="1">
      <c r="A71" s="68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"/>
    </row>
    <row r="72" ht="12.75" customHeight="1">
      <c r="A72" s="33" t="s">
        <v>37</v>
      </c>
      <c r="B72" s="51" t="s">
        <v>23</v>
      </c>
      <c r="C72" s="52" t="s">
        <v>61</v>
      </c>
      <c r="D72" s="9"/>
      <c r="E72" s="71">
        <v>3.0</v>
      </c>
      <c r="F72" s="71">
        <v>4.0</v>
      </c>
      <c r="G72" s="71">
        <v>4.0</v>
      </c>
      <c r="H72" s="71">
        <v>8.0</v>
      </c>
      <c r="I72" s="71">
        <v>5.0</v>
      </c>
      <c r="J72" s="71">
        <v>0.0</v>
      </c>
      <c r="K72" s="71">
        <v>5.0</v>
      </c>
      <c r="L72" s="71">
        <v>5.0</v>
      </c>
      <c r="M72" s="71">
        <v>7.0</v>
      </c>
      <c r="N72" s="71">
        <v>2.0</v>
      </c>
      <c r="O72" s="6">
        <f t="shared" ref="O72:O79" si="21">SUM(E72:N72)</f>
        <v>43</v>
      </c>
    </row>
    <row r="73" ht="12.75" customHeight="1">
      <c r="A73" s="33" t="s">
        <v>39</v>
      </c>
      <c r="B73" s="54">
        <v>1.0</v>
      </c>
      <c r="C73" s="55" t="s">
        <v>62</v>
      </c>
      <c r="D73" s="56"/>
      <c r="E73" s="71">
        <v>6.0</v>
      </c>
      <c r="F73" s="71">
        <v>5.0</v>
      </c>
      <c r="G73" s="71">
        <v>19.0</v>
      </c>
      <c r="H73" s="71">
        <v>28.0</v>
      </c>
      <c r="I73" s="71">
        <v>52.0</v>
      </c>
      <c r="J73" s="71">
        <v>1.0</v>
      </c>
      <c r="K73" s="71">
        <v>16.0</v>
      </c>
      <c r="L73" s="71">
        <v>26.0</v>
      </c>
      <c r="M73" s="71">
        <v>3.0</v>
      </c>
      <c r="N73" s="71">
        <v>6.0</v>
      </c>
      <c r="O73" s="6">
        <f t="shared" si="21"/>
        <v>162</v>
      </c>
    </row>
    <row r="74" ht="12.75" customHeight="1">
      <c r="A74" s="18"/>
      <c r="B74" s="54">
        <v>2.0</v>
      </c>
      <c r="C74" s="55" t="s">
        <v>63</v>
      </c>
      <c r="D74" s="56"/>
      <c r="E74" s="71">
        <v>7.0</v>
      </c>
      <c r="F74" s="71">
        <v>5.0</v>
      </c>
      <c r="G74" s="71">
        <v>5.0</v>
      </c>
      <c r="H74" s="71">
        <v>12.0</v>
      </c>
      <c r="I74" s="71">
        <v>0.0</v>
      </c>
      <c r="J74" s="71">
        <v>0.0</v>
      </c>
      <c r="K74" s="71">
        <v>0.0</v>
      </c>
      <c r="L74" s="71">
        <v>39.0</v>
      </c>
      <c r="M74" s="71">
        <v>0.0</v>
      </c>
      <c r="N74" s="71">
        <v>0.0</v>
      </c>
      <c r="O74" s="6">
        <f t="shared" si="21"/>
        <v>68</v>
      </c>
    </row>
    <row r="75" ht="12.75" customHeight="1">
      <c r="A75" s="18"/>
      <c r="B75" s="54">
        <v>3.0</v>
      </c>
      <c r="C75" s="55" t="s">
        <v>64</v>
      </c>
      <c r="D75" s="56"/>
      <c r="E75" s="71">
        <v>0.0</v>
      </c>
      <c r="F75" s="71">
        <v>0.0</v>
      </c>
      <c r="G75" s="71">
        <v>0.0</v>
      </c>
      <c r="H75" s="71">
        <v>0.0</v>
      </c>
      <c r="I75" s="71">
        <v>0.0</v>
      </c>
      <c r="J75" s="71">
        <v>0.0</v>
      </c>
      <c r="K75" s="71">
        <v>0.0</v>
      </c>
      <c r="L75" s="71">
        <v>0.0</v>
      </c>
      <c r="M75" s="71">
        <v>0.0</v>
      </c>
      <c r="N75" s="71">
        <v>0.0</v>
      </c>
      <c r="O75" s="6">
        <f t="shared" si="21"/>
        <v>0</v>
      </c>
    </row>
    <row r="76" ht="12.75" customHeight="1">
      <c r="A76" s="18"/>
      <c r="B76" s="54">
        <v>4.0</v>
      </c>
      <c r="C76" s="55" t="s">
        <v>65</v>
      </c>
      <c r="D76" s="56"/>
      <c r="E76" s="71">
        <v>0.0</v>
      </c>
      <c r="F76" s="71">
        <v>0.0</v>
      </c>
      <c r="G76" s="71">
        <v>0.0</v>
      </c>
      <c r="H76" s="71">
        <v>0.0</v>
      </c>
      <c r="I76" s="71">
        <v>0.0</v>
      </c>
      <c r="J76" s="71">
        <v>0.0</v>
      </c>
      <c r="K76" s="71">
        <v>1.0</v>
      </c>
      <c r="L76" s="71">
        <v>0.0</v>
      </c>
      <c r="M76" s="71">
        <v>1.0</v>
      </c>
      <c r="N76" s="71">
        <v>0.0</v>
      </c>
      <c r="O76" s="6">
        <f t="shared" si="21"/>
        <v>2</v>
      </c>
    </row>
    <row r="77" ht="12.75" customHeight="1">
      <c r="A77" s="18"/>
      <c r="B77" s="54">
        <v>5.0</v>
      </c>
      <c r="C77" s="55" t="s">
        <v>66</v>
      </c>
      <c r="D77" s="56"/>
      <c r="E77" s="71">
        <v>0.0</v>
      </c>
      <c r="F77" s="71">
        <v>0.0</v>
      </c>
      <c r="G77" s="71">
        <v>1.0</v>
      </c>
      <c r="H77" s="71">
        <v>0.0</v>
      </c>
      <c r="I77" s="71">
        <v>0.0</v>
      </c>
      <c r="J77" s="71">
        <v>0.0</v>
      </c>
      <c r="K77" s="71">
        <v>0.0</v>
      </c>
      <c r="L77" s="71">
        <v>0.0</v>
      </c>
      <c r="M77" s="71">
        <v>0.0</v>
      </c>
      <c r="N77" s="71">
        <v>0.0</v>
      </c>
      <c r="O77" s="6">
        <f t="shared" si="21"/>
        <v>1</v>
      </c>
    </row>
    <row r="78" ht="12.75" customHeight="1">
      <c r="A78" s="18"/>
      <c r="B78" s="54">
        <v>6.0</v>
      </c>
      <c r="C78" s="55" t="s">
        <v>67</v>
      </c>
      <c r="D78" s="56"/>
      <c r="E78" s="71">
        <v>0.0</v>
      </c>
      <c r="F78" s="71">
        <v>0.0</v>
      </c>
      <c r="G78" s="71">
        <v>0.0</v>
      </c>
      <c r="H78" s="71">
        <v>0.0</v>
      </c>
      <c r="I78" s="71">
        <v>0.0</v>
      </c>
      <c r="J78" s="71">
        <v>0.0</v>
      </c>
      <c r="K78" s="71">
        <v>0.0</v>
      </c>
      <c r="L78" s="71">
        <v>0.0</v>
      </c>
      <c r="M78" s="71">
        <v>1.0</v>
      </c>
      <c r="N78" s="71">
        <v>0.0</v>
      </c>
      <c r="O78" s="6">
        <f t="shared" si="21"/>
        <v>1</v>
      </c>
    </row>
    <row r="79" ht="12.75" customHeight="1">
      <c r="A79" s="13" t="s">
        <v>15</v>
      </c>
      <c r="B79" s="51" t="s">
        <v>46</v>
      </c>
      <c r="C79" s="8"/>
      <c r="D79" s="9"/>
      <c r="E79" s="57">
        <f t="shared" ref="E79:N79" si="22">SUM(E72:E78)</f>
        <v>16</v>
      </c>
      <c r="F79" s="57">
        <f t="shared" si="22"/>
        <v>14</v>
      </c>
      <c r="G79" s="57">
        <f t="shared" si="22"/>
        <v>29</v>
      </c>
      <c r="H79" s="57">
        <f t="shared" si="22"/>
        <v>48</v>
      </c>
      <c r="I79" s="57">
        <f t="shared" si="22"/>
        <v>57</v>
      </c>
      <c r="J79" s="57">
        <f t="shared" si="22"/>
        <v>1</v>
      </c>
      <c r="K79" s="57">
        <f t="shared" si="22"/>
        <v>22</v>
      </c>
      <c r="L79" s="57">
        <f t="shared" si="22"/>
        <v>70</v>
      </c>
      <c r="M79" s="57">
        <f t="shared" si="22"/>
        <v>12</v>
      </c>
      <c r="N79" s="57">
        <f t="shared" si="22"/>
        <v>8</v>
      </c>
      <c r="O79" s="6">
        <f t="shared" si="21"/>
        <v>277</v>
      </c>
    </row>
    <row r="80" ht="12.75" customHeight="1">
      <c r="A80" s="68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"/>
    </row>
    <row r="81" ht="12.75" customHeight="1">
      <c r="A81" s="33" t="s">
        <v>37</v>
      </c>
      <c r="B81" s="51" t="s">
        <v>68</v>
      </c>
      <c r="C81" s="52" t="s">
        <v>69</v>
      </c>
      <c r="D81" s="9"/>
      <c r="E81" s="71">
        <v>1.0</v>
      </c>
      <c r="F81" s="71">
        <v>0.0</v>
      </c>
      <c r="G81" s="71">
        <v>5.0</v>
      </c>
      <c r="H81" s="71">
        <v>5.0</v>
      </c>
      <c r="I81" s="71">
        <v>5.0</v>
      </c>
      <c r="J81" s="71">
        <v>0.0</v>
      </c>
      <c r="K81" s="71">
        <v>0.0</v>
      </c>
      <c r="L81" s="71">
        <v>0.0</v>
      </c>
      <c r="M81" s="71">
        <v>4.0</v>
      </c>
      <c r="N81" s="71">
        <v>1.0</v>
      </c>
      <c r="O81" s="6">
        <f t="shared" ref="O81:O88" si="23">SUM(E81:N81)</f>
        <v>21</v>
      </c>
    </row>
    <row r="82" ht="12.75" customHeight="1">
      <c r="A82" s="33" t="s">
        <v>39</v>
      </c>
      <c r="B82" s="54">
        <v>1.0</v>
      </c>
      <c r="C82" s="55" t="s">
        <v>70</v>
      </c>
      <c r="D82" s="56"/>
      <c r="E82" s="71">
        <v>9.0</v>
      </c>
      <c r="F82" s="71">
        <v>5.0</v>
      </c>
      <c r="G82" s="71">
        <v>41.0</v>
      </c>
      <c r="H82" s="71">
        <v>19.0</v>
      </c>
      <c r="I82" s="71">
        <v>28.0</v>
      </c>
      <c r="J82" s="71">
        <v>1.0</v>
      </c>
      <c r="K82" s="71">
        <v>0.0</v>
      </c>
      <c r="L82" s="71">
        <v>5.0</v>
      </c>
      <c r="M82" s="71">
        <v>0.0</v>
      </c>
      <c r="N82" s="71">
        <v>0.0</v>
      </c>
      <c r="O82" s="6">
        <f t="shared" si="23"/>
        <v>108</v>
      </c>
    </row>
    <row r="83" ht="12.75" customHeight="1">
      <c r="A83" s="18"/>
      <c r="B83" s="54">
        <v>2.0</v>
      </c>
      <c r="C83" s="55" t="s">
        <v>71</v>
      </c>
      <c r="D83" s="56"/>
      <c r="E83" s="71">
        <v>1.0</v>
      </c>
      <c r="F83" s="71">
        <v>0.0</v>
      </c>
      <c r="G83" s="71">
        <v>1.0</v>
      </c>
      <c r="H83" s="71">
        <v>0.0</v>
      </c>
      <c r="I83" s="71">
        <v>0.0</v>
      </c>
      <c r="J83" s="71">
        <v>0.0</v>
      </c>
      <c r="K83" s="71">
        <v>0.0</v>
      </c>
      <c r="L83" s="71">
        <v>0.0</v>
      </c>
      <c r="M83" s="71">
        <v>0.0</v>
      </c>
      <c r="N83" s="71">
        <v>0.0</v>
      </c>
      <c r="O83" s="6">
        <f t="shared" si="23"/>
        <v>2</v>
      </c>
    </row>
    <row r="84" ht="12.75" customHeight="1">
      <c r="A84" s="18"/>
      <c r="B84" s="54">
        <v>3.0</v>
      </c>
      <c r="C84" s="55" t="s">
        <v>72</v>
      </c>
      <c r="D84" s="56"/>
      <c r="E84" s="71">
        <v>0.0</v>
      </c>
      <c r="F84" s="71">
        <v>0.0</v>
      </c>
      <c r="G84" s="71">
        <v>0.0</v>
      </c>
      <c r="H84" s="71">
        <v>0.0</v>
      </c>
      <c r="I84" s="71">
        <v>0.0</v>
      </c>
      <c r="J84" s="71">
        <v>0.0</v>
      </c>
      <c r="K84" s="71">
        <v>0.0</v>
      </c>
      <c r="L84" s="71">
        <v>0.0</v>
      </c>
      <c r="M84" s="71">
        <v>0.0</v>
      </c>
      <c r="N84" s="71">
        <v>0.0</v>
      </c>
      <c r="O84" s="6">
        <f t="shared" si="23"/>
        <v>0</v>
      </c>
    </row>
    <row r="85" ht="12.75" customHeight="1">
      <c r="A85" s="18"/>
      <c r="B85" s="54">
        <v>4.0</v>
      </c>
      <c r="C85" s="55" t="s">
        <v>73</v>
      </c>
      <c r="D85" s="56"/>
      <c r="E85" s="71">
        <v>0.0</v>
      </c>
      <c r="F85" s="71">
        <v>0.0</v>
      </c>
      <c r="G85" s="71">
        <v>1.0</v>
      </c>
      <c r="H85" s="71">
        <v>0.0</v>
      </c>
      <c r="I85" s="71">
        <v>0.0</v>
      </c>
      <c r="J85" s="71">
        <v>0.0</v>
      </c>
      <c r="K85" s="71">
        <v>0.0</v>
      </c>
      <c r="L85" s="71">
        <v>0.0</v>
      </c>
      <c r="M85" s="71">
        <v>0.0</v>
      </c>
      <c r="N85" s="71">
        <v>0.0</v>
      </c>
      <c r="O85" s="6">
        <f t="shared" si="23"/>
        <v>1</v>
      </c>
    </row>
    <row r="86" ht="12.75" customHeight="1">
      <c r="A86" s="18"/>
      <c r="B86" s="54">
        <v>5.0</v>
      </c>
      <c r="C86" s="55" t="s">
        <v>74</v>
      </c>
      <c r="D86" s="56"/>
      <c r="E86" s="71">
        <v>0.0</v>
      </c>
      <c r="F86" s="71">
        <v>0.0</v>
      </c>
      <c r="G86" s="71">
        <v>0.0</v>
      </c>
      <c r="H86" s="71">
        <v>0.0</v>
      </c>
      <c r="I86" s="71">
        <v>0.0</v>
      </c>
      <c r="J86" s="71">
        <v>0.0</v>
      </c>
      <c r="K86" s="71">
        <v>0.0</v>
      </c>
      <c r="L86" s="71">
        <v>0.0</v>
      </c>
      <c r="M86" s="71">
        <v>0.0</v>
      </c>
      <c r="N86" s="71">
        <v>0.0</v>
      </c>
      <c r="O86" s="6">
        <f t="shared" si="23"/>
        <v>0</v>
      </c>
    </row>
    <row r="87" ht="12.75" customHeight="1">
      <c r="A87" s="18"/>
      <c r="B87" s="54">
        <v>6.0</v>
      </c>
      <c r="C87" s="55" t="s">
        <v>75</v>
      </c>
      <c r="D87" s="56"/>
      <c r="E87" s="71">
        <v>4.0</v>
      </c>
      <c r="F87" s="71">
        <v>2.0</v>
      </c>
      <c r="G87" s="71">
        <v>5.0</v>
      </c>
      <c r="H87" s="71">
        <v>6.0</v>
      </c>
      <c r="I87" s="71">
        <v>0.0</v>
      </c>
      <c r="J87" s="71">
        <v>0.0</v>
      </c>
      <c r="K87" s="71">
        <v>0.0</v>
      </c>
      <c r="L87" s="71">
        <v>0.0</v>
      </c>
      <c r="M87" s="71">
        <v>0.0</v>
      </c>
      <c r="N87" s="71">
        <v>0.0</v>
      </c>
      <c r="O87" s="6">
        <f t="shared" si="23"/>
        <v>17</v>
      </c>
    </row>
    <row r="88" ht="12.75" customHeight="1">
      <c r="A88" s="13" t="s">
        <v>15</v>
      </c>
      <c r="B88" s="51" t="s">
        <v>46</v>
      </c>
      <c r="C88" s="8"/>
      <c r="D88" s="9"/>
      <c r="E88" s="57">
        <f t="shared" ref="E88:N88" si="24">SUM(E81:E87)</f>
        <v>15</v>
      </c>
      <c r="F88" s="57">
        <f t="shared" si="24"/>
        <v>7</v>
      </c>
      <c r="G88" s="57">
        <f t="shared" si="24"/>
        <v>53</v>
      </c>
      <c r="H88" s="57">
        <f t="shared" si="24"/>
        <v>30</v>
      </c>
      <c r="I88" s="57">
        <f t="shared" si="24"/>
        <v>33</v>
      </c>
      <c r="J88" s="57">
        <f t="shared" si="24"/>
        <v>1</v>
      </c>
      <c r="K88" s="57">
        <f t="shared" si="24"/>
        <v>0</v>
      </c>
      <c r="L88" s="57">
        <f t="shared" si="24"/>
        <v>5</v>
      </c>
      <c r="M88" s="57">
        <f t="shared" si="24"/>
        <v>4</v>
      </c>
      <c r="N88" s="57">
        <f t="shared" si="24"/>
        <v>1</v>
      </c>
      <c r="O88" s="6">
        <f t="shared" si="23"/>
        <v>149</v>
      </c>
    </row>
    <row r="89" ht="12.75" customHeight="1">
      <c r="A89" s="68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"/>
    </row>
    <row r="90" ht="12.75" customHeight="1">
      <c r="A90" s="33" t="s">
        <v>37</v>
      </c>
      <c r="B90" s="51" t="s">
        <v>76</v>
      </c>
      <c r="C90" s="52" t="s">
        <v>77</v>
      </c>
      <c r="D90" s="9"/>
      <c r="E90" s="71">
        <v>0.0</v>
      </c>
      <c r="F90" s="71">
        <v>0.0</v>
      </c>
      <c r="G90" s="71">
        <v>0.0</v>
      </c>
      <c r="H90" s="71">
        <v>1.0</v>
      </c>
      <c r="I90" s="71">
        <v>0.0</v>
      </c>
      <c r="J90" s="71">
        <v>0.0</v>
      </c>
      <c r="K90" s="71">
        <v>0.0</v>
      </c>
      <c r="L90" s="71">
        <v>1.0</v>
      </c>
      <c r="M90" s="71">
        <v>0.0</v>
      </c>
      <c r="N90" s="71">
        <v>7.0</v>
      </c>
      <c r="O90" s="6">
        <f t="shared" ref="O90:O92" si="25">SUM(E90:N90)</f>
        <v>9</v>
      </c>
    </row>
    <row r="91" ht="12.75" customHeight="1">
      <c r="A91" s="33" t="s">
        <v>39</v>
      </c>
      <c r="B91" s="54"/>
      <c r="C91" s="55" t="s">
        <v>78</v>
      </c>
      <c r="D91" s="9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6">
        <f t="shared" si="25"/>
        <v>0</v>
      </c>
    </row>
    <row r="92" ht="12.75" customHeight="1">
      <c r="A92" s="13" t="s">
        <v>15</v>
      </c>
      <c r="B92" s="51" t="s">
        <v>46</v>
      </c>
      <c r="C92" s="8"/>
      <c r="D92" s="9"/>
      <c r="E92" s="57">
        <f t="shared" ref="E92:N92" si="26">SUM(E90:E91)</f>
        <v>0</v>
      </c>
      <c r="F92" s="57">
        <f t="shared" si="26"/>
        <v>0</v>
      </c>
      <c r="G92" s="57">
        <f t="shared" si="26"/>
        <v>0</v>
      </c>
      <c r="H92" s="57">
        <f t="shared" si="26"/>
        <v>1</v>
      </c>
      <c r="I92" s="57">
        <f t="shared" si="26"/>
        <v>0</v>
      </c>
      <c r="J92" s="57">
        <f t="shared" si="26"/>
        <v>0</v>
      </c>
      <c r="K92" s="57">
        <f t="shared" si="26"/>
        <v>0</v>
      </c>
      <c r="L92" s="57">
        <f t="shared" si="26"/>
        <v>1</v>
      </c>
      <c r="M92" s="57">
        <f t="shared" si="26"/>
        <v>0</v>
      </c>
      <c r="N92" s="57">
        <f t="shared" si="26"/>
        <v>7</v>
      </c>
      <c r="O92" s="6">
        <f t="shared" si="25"/>
        <v>9</v>
      </c>
    </row>
    <row r="93" ht="12.75" customHeight="1">
      <c r="A93" s="68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"/>
    </row>
    <row r="94" ht="12.75" customHeight="1">
      <c r="A94" s="33" t="s">
        <v>37</v>
      </c>
      <c r="B94" s="51" t="s">
        <v>79</v>
      </c>
      <c r="C94" s="52" t="s">
        <v>80</v>
      </c>
      <c r="D94" s="9"/>
      <c r="E94" s="71">
        <v>0.0</v>
      </c>
      <c r="F94" s="71">
        <v>0.0</v>
      </c>
      <c r="G94" s="71">
        <v>0.0</v>
      </c>
      <c r="H94" s="71">
        <v>0.0</v>
      </c>
      <c r="I94" s="71">
        <v>0.0</v>
      </c>
      <c r="J94" s="71">
        <v>1.0</v>
      </c>
      <c r="K94" s="71">
        <v>0.0</v>
      </c>
      <c r="L94" s="71">
        <v>0.0</v>
      </c>
      <c r="M94" s="71">
        <v>11.0</v>
      </c>
      <c r="N94" s="71">
        <v>5.0</v>
      </c>
      <c r="O94" s="6">
        <f t="shared" ref="O94:O99" si="27">SUM(E94:N94)</f>
        <v>17</v>
      </c>
    </row>
    <row r="95" ht="12.75" customHeight="1">
      <c r="A95" s="33" t="s">
        <v>39</v>
      </c>
      <c r="B95" s="54">
        <v>1.0</v>
      </c>
      <c r="C95" s="55" t="s">
        <v>81</v>
      </c>
      <c r="D95" s="56"/>
      <c r="E95" s="71">
        <v>1.0</v>
      </c>
      <c r="F95" s="71">
        <v>0.0</v>
      </c>
      <c r="G95" s="71">
        <v>0.0</v>
      </c>
      <c r="H95" s="71">
        <v>0.0</v>
      </c>
      <c r="I95" s="71">
        <v>0.0</v>
      </c>
      <c r="J95" s="71">
        <v>0.0</v>
      </c>
      <c r="K95" s="71">
        <v>0.0</v>
      </c>
      <c r="L95" s="71">
        <v>0.0</v>
      </c>
      <c r="M95" s="71">
        <v>2.0</v>
      </c>
      <c r="N95" s="71">
        <v>0.0</v>
      </c>
      <c r="O95" s="6">
        <f t="shared" si="27"/>
        <v>3</v>
      </c>
    </row>
    <row r="96" ht="12.75" customHeight="1">
      <c r="A96" s="33"/>
      <c r="B96" s="54">
        <v>2.0</v>
      </c>
      <c r="C96" s="55" t="s">
        <v>82</v>
      </c>
      <c r="D96" s="56"/>
      <c r="E96" s="71">
        <v>0.0</v>
      </c>
      <c r="F96" s="71">
        <v>0.0</v>
      </c>
      <c r="G96" s="71">
        <v>0.0</v>
      </c>
      <c r="H96" s="71">
        <v>0.0</v>
      </c>
      <c r="I96" s="71">
        <v>0.0</v>
      </c>
      <c r="J96" s="71">
        <v>0.0</v>
      </c>
      <c r="K96" s="71">
        <v>1.0</v>
      </c>
      <c r="L96" s="71">
        <v>0.0</v>
      </c>
      <c r="M96" s="71">
        <v>0.0</v>
      </c>
      <c r="N96" s="71">
        <v>0.0</v>
      </c>
      <c r="O96" s="6">
        <f t="shared" si="27"/>
        <v>1</v>
      </c>
    </row>
    <row r="97" ht="12.75" customHeight="1">
      <c r="A97" s="33"/>
      <c r="B97" s="54">
        <v>3.0</v>
      </c>
      <c r="C97" s="55" t="s">
        <v>83</v>
      </c>
      <c r="D97" s="56"/>
      <c r="E97" s="71">
        <v>0.0</v>
      </c>
      <c r="F97" s="71">
        <v>0.0</v>
      </c>
      <c r="G97" s="71">
        <v>0.0</v>
      </c>
      <c r="H97" s="71">
        <v>0.0</v>
      </c>
      <c r="I97" s="71">
        <v>0.0</v>
      </c>
      <c r="J97" s="71">
        <v>0.0</v>
      </c>
      <c r="K97" s="71">
        <v>0.0</v>
      </c>
      <c r="L97" s="71">
        <v>0.0</v>
      </c>
      <c r="M97" s="71">
        <v>0.0</v>
      </c>
      <c r="N97" s="71">
        <v>0.0</v>
      </c>
      <c r="O97" s="6">
        <f t="shared" si="27"/>
        <v>0</v>
      </c>
    </row>
    <row r="98" ht="12.75" customHeight="1">
      <c r="A98" s="33"/>
      <c r="B98" s="54">
        <v>4.0</v>
      </c>
      <c r="C98" s="55" t="s">
        <v>84</v>
      </c>
      <c r="D98" s="56"/>
      <c r="E98" s="71">
        <v>0.0</v>
      </c>
      <c r="F98" s="71">
        <v>0.0</v>
      </c>
      <c r="G98" s="71">
        <v>0.0</v>
      </c>
      <c r="H98" s="71">
        <v>0.0</v>
      </c>
      <c r="I98" s="71">
        <v>0.0</v>
      </c>
      <c r="J98" s="71">
        <v>0.0</v>
      </c>
      <c r="K98" s="71">
        <v>0.0</v>
      </c>
      <c r="L98" s="71">
        <v>0.0</v>
      </c>
      <c r="M98" s="71">
        <v>18.0</v>
      </c>
      <c r="N98" s="71">
        <v>1.0</v>
      </c>
      <c r="O98" s="6">
        <f t="shared" si="27"/>
        <v>19</v>
      </c>
    </row>
    <row r="99" ht="12.75" customHeight="1">
      <c r="A99" s="13" t="s">
        <v>15</v>
      </c>
      <c r="B99" s="51" t="s">
        <v>46</v>
      </c>
      <c r="C99" s="8"/>
      <c r="D99" s="9"/>
      <c r="E99" s="57">
        <f t="shared" ref="E99:N99" si="28">SUM(E94:E98)</f>
        <v>1</v>
      </c>
      <c r="F99" s="57">
        <f t="shared" si="28"/>
        <v>0</v>
      </c>
      <c r="G99" s="57">
        <f t="shared" si="28"/>
        <v>0</v>
      </c>
      <c r="H99" s="57">
        <f t="shared" si="28"/>
        <v>0</v>
      </c>
      <c r="I99" s="57">
        <f t="shared" si="28"/>
        <v>0</v>
      </c>
      <c r="J99" s="57">
        <f t="shared" si="28"/>
        <v>1</v>
      </c>
      <c r="K99" s="57">
        <f t="shared" si="28"/>
        <v>1</v>
      </c>
      <c r="L99" s="57">
        <f t="shared" si="28"/>
        <v>0</v>
      </c>
      <c r="M99" s="57">
        <f t="shared" si="28"/>
        <v>31</v>
      </c>
      <c r="N99" s="57">
        <f t="shared" si="28"/>
        <v>6</v>
      </c>
      <c r="O99" s="6">
        <f t="shared" si="27"/>
        <v>40</v>
      </c>
    </row>
    <row r="100" ht="12.75" customHeight="1">
      <c r="A100" s="68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"/>
    </row>
    <row r="101" ht="12.75" customHeight="1">
      <c r="A101" s="33" t="s">
        <v>37</v>
      </c>
      <c r="B101" s="51" t="s">
        <v>85</v>
      </c>
      <c r="C101" s="52" t="s">
        <v>86</v>
      </c>
      <c r="D101" s="9"/>
      <c r="E101" s="71">
        <v>1.0</v>
      </c>
      <c r="F101" s="71">
        <v>0.0</v>
      </c>
      <c r="G101" s="71">
        <v>1.0</v>
      </c>
      <c r="H101" s="71">
        <v>0.0</v>
      </c>
      <c r="I101" s="71">
        <v>0.0</v>
      </c>
      <c r="J101" s="71">
        <v>0.0</v>
      </c>
      <c r="K101" s="71">
        <v>2.0</v>
      </c>
      <c r="L101" s="71">
        <v>0.0</v>
      </c>
      <c r="M101" s="71">
        <v>3.0</v>
      </c>
      <c r="N101" s="71">
        <v>7.0</v>
      </c>
      <c r="O101" s="6">
        <f t="shared" ref="O101:O108" si="29">SUM(E101:N101)</f>
        <v>14</v>
      </c>
    </row>
    <row r="102" ht="12.75" customHeight="1">
      <c r="A102" s="33" t="s">
        <v>39</v>
      </c>
      <c r="B102" s="54">
        <v>1.0</v>
      </c>
      <c r="C102" s="55" t="s">
        <v>87</v>
      </c>
      <c r="D102" s="56"/>
      <c r="E102" s="71">
        <v>0.0</v>
      </c>
      <c r="F102" s="71">
        <v>0.0</v>
      </c>
      <c r="G102" s="71">
        <v>0.0</v>
      </c>
      <c r="H102" s="71">
        <v>0.0</v>
      </c>
      <c r="I102" s="71">
        <v>0.0</v>
      </c>
      <c r="J102" s="71">
        <v>0.0</v>
      </c>
      <c r="K102" s="71">
        <v>2.0</v>
      </c>
      <c r="L102" s="71">
        <v>1.0</v>
      </c>
      <c r="M102" s="71">
        <v>1.0</v>
      </c>
      <c r="N102" s="71">
        <v>2.0</v>
      </c>
      <c r="O102" s="6">
        <f t="shared" si="29"/>
        <v>6</v>
      </c>
    </row>
    <row r="103" ht="12.75" customHeight="1">
      <c r="A103" s="18"/>
      <c r="B103" s="54">
        <v>2.0</v>
      </c>
      <c r="C103" s="55" t="s">
        <v>88</v>
      </c>
      <c r="D103" s="56"/>
      <c r="E103" s="71">
        <v>0.0</v>
      </c>
      <c r="F103" s="71">
        <v>0.0</v>
      </c>
      <c r="G103" s="71">
        <v>0.0</v>
      </c>
      <c r="H103" s="71">
        <v>1.0</v>
      </c>
      <c r="I103" s="71">
        <v>0.0</v>
      </c>
      <c r="J103" s="71">
        <v>5.0</v>
      </c>
      <c r="K103" s="71">
        <v>0.0</v>
      </c>
      <c r="L103" s="71">
        <v>0.0</v>
      </c>
      <c r="M103" s="71">
        <v>0.0</v>
      </c>
      <c r="N103" s="71">
        <v>3.0</v>
      </c>
      <c r="O103" s="6">
        <f t="shared" si="29"/>
        <v>9</v>
      </c>
    </row>
    <row r="104" ht="12.75" customHeight="1">
      <c r="A104" s="18"/>
      <c r="B104" s="54">
        <v>3.0</v>
      </c>
      <c r="C104" s="55" t="s">
        <v>89</v>
      </c>
      <c r="D104" s="56"/>
      <c r="E104" s="71">
        <v>0.0</v>
      </c>
      <c r="F104" s="71">
        <v>0.0</v>
      </c>
      <c r="G104" s="71">
        <v>0.0</v>
      </c>
      <c r="H104" s="71">
        <v>0.0</v>
      </c>
      <c r="I104" s="71">
        <v>0.0</v>
      </c>
      <c r="J104" s="71">
        <v>0.0</v>
      </c>
      <c r="K104" s="71">
        <v>0.0</v>
      </c>
      <c r="L104" s="71">
        <v>0.0</v>
      </c>
      <c r="M104" s="71">
        <v>0.0</v>
      </c>
      <c r="N104" s="71">
        <v>2.0</v>
      </c>
      <c r="O104" s="6">
        <f t="shared" si="29"/>
        <v>2</v>
      </c>
    </row>
    <row r="105" ht="12.75" customHeight="1">
      <c r="A105" s="18"/>
      <c r="B105" s="54">
        <v>4.0</v>
      </c>
      <c r="C105" s="55" t="s">
        <v>90</v>
      </c>
      <c r="D105" s="56"/>
      <c r="E105" s="71">
        <v>0.0</v>
      </c>
      <c r="F105" s="71">
        <v>1.0</v>
      </c>
      <c r="G105" s="71">
        <v>0.0</v>
      </c>
      <c r="H105" s="71">
        <v>0.0</v>
      </c>
      <c r="I105" s="71">
        <v>0.0</v>
      </c>
      <c r="J105" s="71">
        <v>0.0</v>
      </c>
      <c r="K105" s="71">
        <v>0.0</v>
      </c>
      <c r="L105" s="71">
        <v>0.0</v>
      </c>
      <c r="M105" s="71">
        <v>0.0</v>
      </c>
      <c r="N105" s="71">
        <v>0.0</v>
      </c>
      <c r="O105" s="6">
        <f t="shared" si="29"/>
        <v>1</v>
      </c>
    </row>
    <row r="106" ht="12.75" customHeight="1">
      <c r="A106" s="18"/>
      <c r="B106" s="54">
        <v>5.0</v>
      </c>
      <c r="C106" s="55" t="s">
        <v>91</v>
      </c>
      <c r="D106" s="56"/>
      <c r="E106" s="71">
        <v>0.0</v>
      </c>
      <c r="F106" s="71">
        <v>0.0</v>
      </c>
      <c r="G106" s="71">
        <v>0.0</v>
      </c>
      <c r="H106" s="71">
        <v>0.0</v>
      </c>
      <c r="I106" s="71">
        <v>0.0</v>
      </c>
      <c r="J106" s="71">
        <v>0.0</v>
      </c>
      <c r="K106" s="71">
        <v>0.0</v>
      </c>
      <c r="L106" s="71">
        <v>0.0</v>
      </c>
      <c r="M106" s="71">
        <v>0.0</v>
      </c>
      <c r="N106" s="71">
        <v>3.0</v>
      </c>
      <c r="O106" s="6">
        <f t="shared" si="29"/>
        <v>3</v>
      </c>
    </row>
    <row r="107" ht="12.75" customHeight="1">
      <c r="A107" s="18"/>
      <c r="B107" s="54">
        <v>6.0</v>
      </c>
      <c r="C107" s="55" t="s">
        <v>92</v>
      </c>
      <c r="D107" s="56"/>
      <c r="E107" s="71">
        <v>0.0</v>
      </c>
      <c r="F107" s="71">
        <v>0.0</v>
      </c>
      <c r="G107" s="71">
        <v>1.0</v>
      </c>
      <c r="H107" s="71">
        <v>3.0</v>
      </c>
      <c r="I107" s="71">
        <v>0.0</v>
      </c>
      <c r="J107" s="71">
        <v>0.0</v>
      </c>
      <c r="K107" s="71">
        <v>2.0</v>
      </c>
      <c r="L107" s="71">
        <v>0.0</v>
      </c>
      <c r="M107" s="71">
        <v>1.0</v>
      </c>
      <c r="N107" s="71">
        <v>35.0</v>
      </c>
      <c r="O107" s="6">
        <f t="shared" si="29"/>
        <v>42</v>
      </c>
    </row>
    <row r="108" ht="12.75" customHeight="1">
      <c r="A108" s="13" t="s">
        <v>15</v>
      </c>
      <c r="B108" s="51" t="s">
        <v>46</v>
      </c>
      <c r="C108" s="8"/>
      <c r="D108" s="9"/>
      <c r="E108" s="57">
        <f t="shared" ref="E108:N108" si="30">SUM(E101:E107)</f>
        <v>1</v>
      </c>
      <c r="F108" s="57">
        <f t="shared" si="30"/>
        <v>1</v>
      </c>
      <c r="G108" s="57">
        <f t="shared" si="30"/>
        <v>2</v>
      </c>
      <c r="H108" s="57">
        <f t="shared" si="30"/>
        <v>4</v>
      </c>
      <c r="I108" s="57">
        <f t="shared" si="30"/>
        <v>0</v>
      </c>
      <c r="J108" s="57">
        <f t="shared" si="30"/>
        <v>5</v>
      </c>
      <c r="K108" s="57">
        <f t="shared" si="30"/>
        <v>6</v>
      </c>
      <c r="L108" s="57">
        <f t="shared" si="30"/>
        <v>1</v>
      </c>
      <c r="M108" s="57">
        <f t="shared" si="30"/>
        <v>5</v>
      </c>
      <c r="N108" s="57">
        <f t="shared" si="30"/>
        <v>52</v>
      </c>
      <c r="O108" s="6">
        <f t="shared" si="29"/>
        <v>77</v>
      </c>
    </row>
    <row r="109" ht="12.75" customHeight="1">
      <c r="A109" s="68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"/>
    </row>
    <row r="110" ht="12.75" customHeight="1">
      <c r="A110" s="33" t="s">
        <v>37</v>
      </c>
      <c r="B110" s="51" t="s">
        <v>93</v>
      </c>
      <c r="C110" s="52" t="s">
        <v>94</v>
      </c>
      <c r="D110" s="9"/>
      <c r="E110" s="71">
        <v>0.0</v>
      </c>
      <c r="F110" s="71">
        <v>0.0</v>
      </c>
      <c r="G110" s="71">
        <v>0.0</v>
      </c>
      <c r="H110" s="71">
        <v>0.0</v>
      </c>
      <c r="I110" s="71">
        <v>0.0</v>
      </c>
      <c r="J110" s="71">
        <v>0.0</v>
      </c>
      <c r="K110" s="71">
        <v>0.0</v>
      </c>
      <c r="L110" s="71">
        <v>0.0</v>
      </c>
      <c r="M110" s="71">
        <v>1.0</v>
      </c>
      <c r="N110" s="71">
        <v>0.0</v>
      </c>
      <c r="O110" s="6">
        <f t="shared" ref="O110:O114" si="31">SUM(E110:N110)</f>
        <v>1</v>
      </c>
    </row>
    <row r="111" ht="12.75" customHeight="1">
      <c r="A111" s="33"/>
      <c r="B111" s="54">
        <v>1.0</v>
      </c>
      <c r="C111" s="55" t="s">
        <v>95</v>
      </c>
      <c r="D111" s="63"/>
      <c r="E111" s="71">
        <v>0.0</v>
      </c>
      <c r="F111" s="71">
        <v>0.0</v>
      </c>
      <c r="G111" s="71">
        <v>0.0</v>
      </c>
      <c r="H111" s="71">
        <v>0.0</v>
      </c>
      <c r="I111" s="71">
        <v>0.0</v>
      </c>
      <c r="J111" s="71">
        <v>0.0</v>
      </c>
      <c r="K111" s="71">
        <v>0.0</v>
      </c>
      <c r="L111" s="71">
        <v>0.0</v>
      </c>
      <c r="M111" s="71">
        <v>0.0</v>
      </c>
      <c r="N111" s="71">
        <v>0.0</v>
      </c>
      <c r="O111" s="6">
        <f t="shared" si="31"/>
        <v>0</v>
      </c>
    </row>
    <row r="112" ht="12.75" customHeight="1">
      <c r="A112" s="33"/>
      <c r="B112" s="54">
        <v>2.0</v>
      </c>
      <c r="C112" s="55" t="s">
        <v>96</v>
      </c>
      <c r="D112" s="63"/>
      <c r="E112" s="71">
        <v>0.0</v>
      </c>
      <c r="F112" s="71">
        <v>0.0</v>
      </c>
      <c r="G112" s="71">
        <v>0.0</v>
      </c>
      <c r="H112" s="71">
        <v>0.0</v>
      </c>
      <c r="I112" s="71">
        <v>0.0</v>
      </c>
      <c r="J112" s="71">
        <v>0.0</v>
      </c>
      <c r="K112" s="71">
        <v>0.0</v>
      </c>
      <c r="L112" s="71">
        <v>0.0</v>
      </c>
      <c r="M112" s="71">
        <v>0.0</v>
      </c>
      <c r="N112" s="71">
        <v>0.0</v>
      </c>
      <c r="O112" s="6">
        <f t="shared" si="31"/>
        <v>0</v>
      </c>
    </row>
    <row r="113" ht="12.75" customHeight="1">
      <c r="A113" s="33"/>
      <c r="B113" s="54">
        <v>3.0</v>
      </c>
      <c r="C113" s="55" t="s">
        <v>97</v>
      </c>
      <c r="D113" s="63"/>
      <c r="E113" s="71">
        <v>0.0</v>
      </c>
      <c r="F113" s="71">
        <v>0.0</v>
      </c>
      <c r="G113" s="71">
        <v>0.0</v>
      </c>
      <c r="H113" s="71">
        <v>0.0</v>
      </c>
      <c r="I113" s="71">
        <v>0.0</v>
      </c>
      <c r="J113" s="71">
        <v>0.0</v>
      </c>
      <c r="K113" s="71">
        <v>0.0</v>
      </c>
      <c r="L113" s="71">
        <v>0.0</v>
      </c>
      <c r="M113" s="71">
        <v>0.0</v>
      </c>
      <c r="N113" s="71">
        <v>0.0</v>
      </c>
      <c r="O113" s="6">
        <f t="shared" si="31"/>
        <v>0</v>
      </c>
    </row>
    <row r="114" ht="12.75" customHeight="1">
      <c r="A114" s="13" t="s">
        <v>15</v>
      </c>
      <c r="B114" s="51" t="s">
        <v>46</v>
      </c>
      <c r="C114" s="8"/>
      <c r="D114" s="9"/>
      <c r="E114" s="57">
        <f t="shared" ref="E114:N114" si="32">SUM(E110:E113)</f>
        <v>0</v>
      </c>
      <c r="F114" s="57">
        <f t="shared" si="32"/>
        <v>0</v>
      </c>
      <c r="G114" s="57">
        <f t="shared" si="32"/>
        <v>0</v>
      </c>
      <c r="H114" s="57">
        <f t="shared" si="32"/>
        <v>0</v>
      </c>
      <c r="I114" s="57">
        <f t="shared" si="32"/>
        <v>0</v>
      </c>
      <c r="J114" s="57">
        <f t="shared" si="32"/>
        <v>0</v>
      </c>
      <c r="K114" s="57">
        <f t="shared" si="32"/>
        <v>0</v>
      </c>
      <c r="L114" s="57">
        <f t="shared" si="32"/>
        <v>0</v>
      </c>
      <c r="M114" s="57">
        <f t="shared" si="32"/>
        <v>1</v>
      </c>
      <c r="N114" s="57">
        <f t="shared" si="32"/>
        <v>0</v>
      </c>
      <c r="O114" s="6">
        <f t="shared" si="31"/>
        <v>1</v>
      </c>
    </row>
    <row r="115" ht="12.75" customHeight="1">
      <c r="A115" s="68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"/>
    </row>
    <row r="116" ht="12.75" customHeight="1">
      <c r="A116" s="33" t="s">
        <v>37</v>
      </c>
      <c r="B116" s="51" t="s">
        <v>98</v>
      </c>
      <c r="C116" s="52" t="s">
        <v>99</v>
      </c>
      <c r="D116" s="9"/>
      <c r="E116" s="71">
        <v>0.0</v>
      </c>
      <c r="F116" s="71">
        <v>6.0</v>
      </c>
      <c r="G116" s="71">
        <v>2.0</v>
      </c>
      <c r="H116" s="71">
        <v>0.0</v>
      </c>
      <c r="I116" s="71">
        <v>0.0</v>
      </c>
      <c r="J116" s="71">
        <v>0.0</v>
      </c>
      <c r="K116" s="71">
        <v>0.0</v>
      </c>
      <c r="L116" s="71">
        <v>0.0</v>
      </c>
      <c r="M116" s="71">
        <v>3.0</v>
      </c>
      <c r="N116" s="71">
        <v>0.0</v>
      </c>
      <c r="O116" s="6">
        <f t="shared" ref="O116:O123" si="33">SUM(E116:N116)</f>
        <v>11</v>
      </c>
    </row>
    <row r="117" ht="12.75" customHeight="1">
      <c r="A117" s="33" t="s">
        <v>39</v>
      </c>
      <c r="B117" s="54">
        <v>1.0</v>
      </c>
      <c r="C117" s="55" t="s">
        <v>100</v>
      </c>
      <c r="D117" s="56"/>
      <c r="E117" s="71">
        <v>1.0</v>
      </c>
      <c r="F117" s="71">
        <v>28.0</v>
      </c>
      <c r="G117" s="71">
        <v>8.0</v>
      </c>
      <c r="H117" s="71">
        <v>0.0</v>
      </c>
      <c r="I117" s="71">
        <v>0.0</v>
      </c>
      <c r="J117" s="71">
        <v>0.0</v>
      </c>
      <c r="K117" s="71">
        <v>0.0</v>
      </c>
      <c r="L117" s="71">
        <v>0.0</v>
      </c>
      <c r="M117" s="71">
        <v>21.0</v>
      </c>
      <c r="N117" s="71">
        <v>0.0</v>
      </c>
      <c r="O117" s="6">
        <f t="shared" si="33"/>
        <v>58</v>
      </c>
    </row>
    <row r="118" ht="12.75" customHeight="1">
      <c r="A118" s="18"/>
      <c r="B118" s="54">
        <v>2.0</v>
      </c>
      <c r="C118" s="55" t="s">
        <v>101</v>
      </c>
      <c r="D118" s="56"/>
      <c r="E118" s="71">
        <v>0.0</v>
      </c>
      <c r="F118" s="71">
        <v>1.0</v>
      </c>
      <c r="G118" s="71">
        <v>0.0</v>
      </c>
      <c r="H118" s="71">
        <v>0.0</v>
      </c>
      <c r="I118" s="71">
        <v>0.0</v>
      </c>
      <c r="J118" s="71">
        <v>0.0</v>
      </c>
      <c r="K118" s="71">
        <v>0.0</v>
      </c>
      <c r="L118" s="71">
        <v>0.0</v>
      </c>
      <c r="M118" s="71">
        <v>2.0</v>
      </c>
      <c r="N118" s="71">
        <v>0.0</v>
      </c>
      <c r="O118" s="6">
        <f t="shared" si="33"/>
        <v>3</v>
      </c>
    </row>
    <row r="119" ht="12.75" customHeight="1">
      <c r="A119" s="18"/>
      <c r="B119" s="54">
        <v>3.0</v>
      </c>
      <c r="C119" s="55" t="s">
        <v>102</v>
      </c>
      <c r="D119" s="56"/>
      <c r="E119" s="71">
        <v>6.0</v>
      </c>
      <c r="F119" s="71">
        <v>0.0</v>
      </c>
      <c r="G119" s="71">
        <v>1.0</v>
      </c>
      <c r="H119" s="71">
        <v>4.0</v>
      </c>
      <c r="I119" s="71">
        <v>1.0</v>
      </c>
      <c r="J119" s="71">
        <v>11.0</v>
      </c>
      <c r="K119" s="71">
        <v>1.0</v>
      </c>
      <c r="L119" s="71">
        <v>4.0</v>
      </c>
      <c r="M119" s="71">
        <v>1.0</v>
      </c>
      <c r="N119" s="71">
        <v>2.0</v>
      </c>
      <c r="O119" s="6">
        <f t="shared" si="33"/>
        <v>31</v>
      </c>
    </row>
    <row r="120" ht="12.75" customHeight="1">
      <c r="A120" s="18"/>
      <c r="B120" s="54">
        <v>4.0</v>
      </c>
      <c r="C120" s="55" t="s">
        <v>103</v>
      </c>
      <c r="D120" s="56"/>
      <c r="E120" s="71">
        <v>0.0</v>
      </c>
      <c r="F120" s="71">
        <v>0.0</v>
      </c>
      <c r="G120" s="71">
        <v>0.0</v>
      </c>
      <c r="H120" s="71">
        <v>0.0</v>
      </c>
      <c r="I120" s="71">
        <v>0.0</v>
      </c>
      <c r="J120" s="71">
        <v>0.0</v>
      </c>
      <c r="K120" s="71">
        <v>0.0</v>
      </c>
      <c r="L120" s="71">
        <v>0.0</v>
      </c>
      <c r="M120" s="71">
        <v>0.0</v>
      </c>
      <c r="N120" s="71">
        <v>0.0</v>
      </c>
      <c r="O120" s="6">
        <f t="shared" si="33"/>
        <v>0</v>
      </c>
    </row>
    <row r="121" ht="12.75" customHeight="1">
      <c r="A121" s="18"/>
      <c r="B121" s="54">
        <v>5.0</v>
      </c>
      <c r="C121" s="55" t="s">
        <v>104</v>
      </c>
      <c r="D121" s="56"/>
      <c r="E121" s="71">
        <v>0.0</v>
      </c>
      <c r="F121" s="71">
        <v>0.0</v>
      </c>
      <c r="G121" s="71">
        <v>0.0</v>
      </c>
      <c r="H121" s="71">
        <v>1.0</v>
      </c>
      <c r="I121" s="71">
        <v>0.0</v>
      </c>
      <c r="J121" s="71">
        <v>0.0</v>
      </c>
      <c r="K121" s="71">
        <v>0.0</v>
      </c>
      <c r="L121" s="71">
        <v>0.0</v>
      </c>
      <c r="M121" s="71">
        <v>1.0</v>
      </c>
      <c r="N121" s="71">
        <v>0.0</v>
      </c>
      <c r="O121" s="6">
        <f t="shared" si="33"/>
        <v>2</v>
      </c>
    </row>
    <row r="122" ht="12.75" customHeight="1">
      <c r="A122" s="18"/>
      <c r="B122" s="54">
        <v>6.0</v>
      </c>
      <c r="C122" s="55" t="s">
        <v>105</v>
      </c>
      <c r="D122" s="56"/>
      <c r="E122" s="71">
        <v>0.0</v>
      </c>
      <c r="F122" s="71">
        <v>0.0</v>
      </c>
      <c r="G122" s="71">
        <v>0.0</v>
      </c>
      <c r="H122" s="71">
        <v>0.0</v>
      </c>
      <c r="I122" s="71">
        <v>0.0</v>
      </c>
      <c r="J122" s="71">
        <v>0.0</v>
      </c>
      <c r="K122" s="71">
        <v>0.0</v>
      </c>
      <c r="L122" s="71">
        <v>0.0</v>
      </c>
      <c r="M122" s="71">
        <v>0.0</v>
      </c>
      <c r="N122" s="71">
        <v>0.0</v>
      </c>
      <c r="O122" s="6">
        <f t="shared" si="33"/>
        <v>0</v>
      </c>
    </row>
    <row r="123" ht="12.75" customHeight="1">
      <c r="A123" s="13" t="s">
        <v>15</v>
      </c>
      <c r="B123" s="51" t="s">
        <v>46</v>
      </c>
      <c r="C123" s="8"/>
      <c r="D123" s="9"/>
      <c r="E123" s="57">
        <f t="shared" ref="E123:N123" si="34">SUM(E116:E122)</f>
        <v>7</v>
      </c>
      <c r="F123" s="57">
        <f t="shared" si="34"/>
        <v>35</v>
      </c>
      <c r="G123" s="57">
        <f t="shared" si="34"/>
        <v>11</v>
      </c>
      <c r="H123" s="57">
        <f t="shared" si="34"/>
        <v>5</v>
      </c>
      <c r="I123" s="57">
        <f t="shared" si="34"/>
        <v>1</v>
      </c>
      <c r="J123" s="57">
        <f t="shared" si="34"/>
        <v>11</v>
      </c>
      <c r="K123" s="57">
        <f t="shared" si="34"/>
        <v>1</v>
      </c>
      <c r="L123" s="57">
        <f t="shared" si="34"/>
        <v>4</v>
      </c>
      <c r="M123" s="57">
        <f t="shared" si="34"/>
        <v>28</v>
      </c>
      <c r="N123" s="57">
        <f t="shared" si="34"/>
        <v>2</v>
      </c>
      <c r="O123" s="6">
        <f t="shared" si="33"/>
        <v>105</v>
      </c>
    </row>
    <row r="124" ht="12.75" customHeight="1">
      <c r="A124" s="68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"/>
    </row>
    <row r="125" ht="12.75" customHeight="1">
      <c r="A125" s="33" t="s">
        <v>37</v>
      </c>
      <c r="B125" s="51" t="s">
        <v>106</v>
      </c>
      <c r="C125" s="52" t="s">
        <v>107</v>
      </c>
      <c r="D125" s="9"/>
      <c r="E125" s="71">
        <v>0.0</v>
      </c>
      <c r="F125" s="71">
        <v>1.0</v>
      </c>
      <c r="G125" s="71">
        <v>0.0</v>
      </c>
      <c r="H125" s="71">
        <v>0.0</v>
      </c>
      <c r="I125" s="71">
        <v>0.0</v>
      </c>
      <c r="J125" s="71">
        <v>0.0</v>
      </c>
      <c r="K125" s="71">
        <v>0.0</v>
      </c>
      <c r="L125" s="71">
        <v>0.0</v>
      </c>
      <c r="M125" s="71">
        <v>0.0</v>
      </c>
      <c r="N125" s="71">
        <v>1.0</v>
      </c>
      <c r="O125" s="6">
        <f t="shared" ref="O125:O127" si="35">SUM(E125:N125)</f>
        <v>2</v>
      </c>
    </row>
    <row r="126" ht="12.75" customHeight="1">
      <c r="A126" s="33" t="s">
        <v>39</v>
      </c>
      <c r="B126" s="54"/>
      <c r="C126" s="55" t="s">
        <v>78</v>
      </c>
      <c r="D126" s="56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6">
        <f t="shared" si="35"/>
        <v>0</v>
      </c>
    </row>
    <row r="127" ht="12.75" customHeight="1">
      <c r="A127" s="13" t="s">
        <v>15</v>
      </c>
      <c r="B127" s="51" t="s">
        <v>46</v>
      </c>
      <c r="C127" s="8"/>
      <c r="D127" s="9"/>
      <c r="E127" s="57">
        <f t="shared" ref="E127:N127" si="36">SUM(E125:E126)</f>
        <v>0</v>
      </c>
      <c r="F127" s="57">
        <f t="shared" si="36"/>
        <v>1</v>
      </c>
      <c r="G127" s="57">
        <f t="shared" si="36"/>
        <v>0</v>
      </c>
      <c r="H127" s="57">
        <f t="shared" si="36"/>
        <v>0</v>
      </c>
      <c r="I127" s="57">
        <f t="shared" si="36"/>
        <v>0</v>
      </c>
      <c r="J127" s="57">
        <f t="shared" si="36"/>
        <v>0</v>
      </c>
      <c r="K127" s="57">
        <f t="shared" si="36"/>
        <v>0</v>
      </c>
      <c r="L127" s="57">
        <f t="shared" si="36"/>
        <v>0</v>
      </c>
      <c r="M127" s="57">
        <f t="shared" si="36"/>
        <v>0</v>
      </c>
      <c r="N127" s="57">
        <f t="shared" si="36"/>
        <v>1</v>
      </c>
      <c r="O127" s="6">
        <f t="shared" si="35"/>
        <v>2</v>
      </c>
    </row>
    <row r="128" ht="12.75" customHeight="1">
      <c r="A128" s="68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"/>
    </row>
    <row r="129" ht="12.75" customHeight="1">
      <c r="A129" s="33" t="s">
        <v>37</v>
      </c>
      <c r="B129" s="51" t="s">
        <v>108</v>
      </c>
      <c r="C129" s="52" t="s">
        <v>109</v>
      </c>
      <c r="D129" s="9"/>
      <c r="E129" s="71">
        <v>0.0</v>
      </c>
      <c r="F129" s="71">
        <v>1.0</v>
      </c>
      <c r="G129" s="71">
        <v>0.0</v>
      </c>
      <c r="H129" s="71">
        <v>0.0</v>
      </c>
      <c r="I129" s="71">
        <v>0.0</v>
      </c>
      <c r="J129" s="71">
        <v>0.0</v>
      </c>
      <c r="K129" s="71">
        <v>0.0</v>
      </c>
      <c r="L129" s="71">
        <v>0.0</v>
      </c>
      <c r="M129" s="71">
        <v>1.0</v>
      </c>
      <c r="N129" s="71">
        <v>1.0</v>
      </c>
      <c r="O129" s="6">
        <f t="shared" ref="O129:O136" si="37">SUM(E129:N129)</f>
        <v>3</v>
      </c>
    </row>
    <row r="130" ht="12.75" customHeight="1">
      <c r="A130" s="33" t="s">
        <v>39</v>
      </c>
      <c r="B130" s="54">
        <v>1.0</v>
      </c>
      <c r="C130" s="55" t="s">
        <v>110</v>
      </c>
      <c r="D130" s="56"/>
      <c r="E130" s="71">
        <v>0.0</v>
      </c>
      <c r="F130" s="71">
        <v>0.0</v>
      </c>
      <c r="G130" s="71">
        <v>0.0</v>
      </c>
      <c r="H130" s="71">
        <v>0.0</v>
      </c>
      <c r="I130" s="71">
        <v>0.0</v>
      </c>
      <c r="J130" s="71">
        <v>1.0</v>
      </c>
      <c r="K130" s="71">
        <v>0.0</v>
      </c>
      <c r="L130" s="71">
        <v>0.0</v>
      </c>
      <c r="M130" s="71">
        <v>0.0</v>
      </c>
      <c r="N130" s="71">
        <v>1.0</v>
      </c>
      <c r="O130" s="6">
        <f t="shared" si="37"/>
        <v>2</v>
      </c>
    </row>
    <row r="131" ht="12.75" customHeight="1">
      <c r="A131" s="18"/>
      <c r="B131" s="54">
        <v>2.0</v>
      </c>
      <c r="C131" s="55" t="s">
        <v>111</v>
      </c>
      <c r="D131" s="56"/>
      <c r="E131" s="71">
        <v>0.0</v>
      </c>
      <c r="F131" s="71">
        <v>0.0</v>
      </c>
      <c r="G131" s="71">
        <v>0.0</v>
      </c>
      <c r="H131" s="71">
        <v>0.0</v>
      </c>
      <c r="I131" s="71">
        <v>0.0</v>
      </c>
      <c r="J131" s="71">
        <v>0.0</v>
      </c>
      <c r="K131" s="71">
        <v>0.0</v>
      </c>
      <c r="L131" s="71">
        <v>0.0</v>
      </c>
      <c r="M131" s="71">
        <v>0.0</v>
      </c>
      <c r="N131" s="71">
        <v>1.0</v>
      </c>
      <c r="O131" s="6">
        <f t="shared" si="37"/>
        <v>1</v>
      </c>
    </row>
    <row r="132" ht="12.75" customHeight="1">
      <c r="A132" s="18"/>
      <c r="B132" s="54">
        <v>3.0</v>
      </c>
      <c r="C132" s="55" t="s">
        <v>112</v>
      </c>
      <c r="D132" s="56"/>
      <c r="E132" s="71">
        <v>0.0</v>
      </c>
      <c r="F132" s="71">
        <v>1.0</v>
      </c>
      <c r="G132" s="71">
        <v>0.0</v>
      </c>
      <c r="H132" s="71">
        <v>0.0</v>
      </c>
      <c r="I132" s="71">
        <v>0.0</v>
      </c>
      <c r="J132" s="71">
        <v>0.0</v>
      </c>
      <c r="K132" s="71">
        <v>0.0</v>
      </c>
      <c r="L132" s="71">
        <v>0.0</v>
      </c>
      <c r="M132" s="71">
        <v>0.0</v>
      </c>
      <c r="N132" s="71">
        <v>0.0</v>
      </c>
      <c r="O132" s="6">
        <f t="shared" si="37"/>
        <v>1</v>
      </c>
    </row>
    <row r="133" ht="12.75" customHeight="1">
      <c r="A133" s="18"/>
      <c r="B133" s="54">
        <v>4.0</v>
      </c>
      <c r="C133" s="55" t="s">
        <v>113</v>
      </c>
      <c r="D133" s="56"/>
      <c r="E133" s="71">
        <v>0.0</v>
      </c>
      <c r="F133" s="71">
        <v>0.0</v>
      </c>
      <c r="G133" s="71">
        <v>0.0</v>
      </c>
      <c r="H133" s="71">
        <v>0.0</v>
      </c>
      <c r="I133" s="71">
        <v>1.0</v>
      </c>
      <c r="J133" s="71">
        <v>0.0</v>
      </c>
      <c r="K133" s="71">
        <v>0.0</v>
      </c>
      <c r="L133" s="71">
        <v>0.0</v>
      </c>
      <c r="M133" s="71">
        <v>0.0</v>
      </c>
      <c r="N133" s="71">
        <v>0.0</v>
      </c>
      <c r="O133" s="6">
        <f t="shared" si="37"/>
        <v>1</v>
      </c>
    </row>
    <row r="134" ht="12.75" customHeight="1">
      <c r="A134" s="18"/>
      <c r="B134" s="54">
        <v>5.0</v>
      </c>
      <c r="C134" s="55" t="s">
        <v>114</v>
      </c>
      <c r="D134" s="56"/>
      <c r="E134" s="71">
        <v>0.0</v>
      </c>
      <c r="F134" s="71">
        <v>0.0</v>
      </c>
      <c r="G134" s="71">
        <v>0.0</v>
      </c>
      <c r="H134" s="71">
        <v>0.0</v>
      </c>
      <c r="I134" s="71">
        <v>0.0</v>
      </c>
      <c r="J134" s="71">
        <v>0.0</v>
      </c>
      <c r="K134" s="71">
        <v>0.0</v>
      </c>
      <c r="L134" s="71">
        <v>0.0</v>
      </c>
      <c r="M134" s="71">
        <v>0.0</v>
      </c>
      <c r="N134" s="71">
        <v>0.0</v>
      </c>
      <c r="O134" s="6">
        <f t="shared" si="37"/>
        <v>0</v>
      </c>
    </row>
    <row r="135" ht="12.75" customHeight="1">
      <c r="A135" s="18"/>
      <c r="B135" s="54">
        <v>6.0</v>
      </c>
      <c r="C135" s="55" t="s">
        <v>115</v>
      </c>
      <c r="D135" s="56"/>
      <c r="E135" s="71">
        <v>0.0</v>
      </c>
      <c r="F135" s="71">
        <v>0.0</v>
      </c>
      <c r="G135" s="71">
        <v>0.0</v>
      </c>
      <c r="H135" s="71">
        <v>0.0</v>
      </c>
      <c r="I135" s="71">
        <v>0.0</v>
      </c>
      <c r="J135" s="71">
        <v>0.0</v>
      </c>
      <c r="K135" s="71">
        <v>0.0</v>
      </c>
      <c r="L135" s="71">
        <v>0.0</v>
      </c>
      <c r="M135" s="71">
        <v>0.0</v>
      </c>
      <c r="N135" s="71">
        <v>1.0</v>
      </c>
      <c r="O135" s="6">
        <f t="shared" si="37"/>
        <v>1</v>
      </c>
    </row>
    <row r="136" ht="12.75" customHeight="1">
      <c r="A136" s="13" t="s">
        <v>15</v>
      </c>
      <c r="B136" s="51" t="s">
        <v>46</v>
      </c>
      <c r="C136" s="8"/>
      <c r="D136" s="9"/>
      <c r="E136" s="57">
        <f t="shared" ref="E136:N136" si="38">SUM(E129:E135)</f>
        <v>0</v>
      </c>
      <c r="F136" s="57">
        <f t="shared" si="38"/>
        <v>2</v>
      </c>
      <c r="G136" s="57">
        <f t="shared" si="38"/>
        <v>0</v>
      </c>
      <c r="H136" s="57">
        <f t="shared" si="38"/>
        <v>0</v>
      </c>
      <c r="I136" s="57">
        <f t="shared" si="38"/>
        <v>1</v>
      </c>
      <c r="J136" s="57">
        <f t="shared" si="38"/>
        <v>1</v>
      </c>
      <c r="K136" s="57">
        <f t="shared" si="38"/>
        <v>0</v>
      </c>
      <c r="L136" s="57">
        <f t="shared" si="38"/>
        <v>0</v>
      </c>
      <c r="M136" s="57">
        <f t="shared" si="38"/>
        <v>1</v>
      </c>
      <c r="N136" s="57">
        <f t="shared" si="38"/>
        <v>4</v>
      </c>
      <c r="O136" s="6">
        <f t="shared" si="37"/>
        <v>9</v>
      </c>
    </row>
    <row r="137" ht="12.75" customHeight="1">
      <c r="A137" s="68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"/>
    </row>
    <row r="138" ht="12.75" customHeight="1">
      <c r="A138" s="33" t="s">
        <v>37</v>
      </c>
      <c r="B138" s="51" t="s">
        <v>116</v>
      </c>
      <c r="C138" s="52" t="s">
        <v>117</v>
      </c>
      <c r="D138" s="9"/>
      <c r="E138" s="71">
        <v>0.0</v>
      </c>
      <c r="F138" s="71">
        <v>2.0</v>
      </c>
      <c r="G138" s="71">
        <v>0.0</v>
      </c>
      <c r="H138" s="71">
        <v>0.0</v>
      </c>
      <c r="I138" s="71">
        <v>0.0</v>
      </c>
      <c r="J138" s="71">
        <v>0.0</v>
      </c>
      <c r="K138" s="71">
        <v>5.0</v>
      </c>
      <c r="L138" s="71">
        <v>0.0</v>
      </c>
      <c r="M138" s="71">
        <v>0.0</v>
      </c>
      <c r="N138" s="71">
        <v>1.0</v>
      </c>
      <c r="O138" s="6">
        <f t="shared" ref="O138:O144" si="39">SUM(E138:N138)</f>
        <v>8</v>
      </c>
    </row>
    <row r="139" ht="12.75" customHeight="1">
      <c r="A139" s="33" t="s">
        <v>39</v>
      </c>
      <c r="B139" s="54">
        <v>1.0</v>
      </c>
      <c r="C139" s="55" t="s">
        <v>118</v>
      </c>
      <c r="D139" s="56"/>
      <c r="E139" s="71">
        <v>1.0</v>
      </c>
      <c r="F139" s="71">
        <v>0.0</v>
      </c>
      <c r="G139" s="71">
        <v>0.0</v>
      </c>
      <c r="H139" s="71">
        <v>0.0</v>
      </c>
      <c r="I139" s="71">
        <v>0.0</v>
      </c>
      <c r="J139" s="71">
        <v>0.0</v>
      </c>
      <c r="K139" s="71">
        <v>2.0</v>
      </c>
      <c r="L139" s="71">
        <v>0.0</v>
      </c>
      <c r="M139" s="71">
        <v>0.0</v>
      </c>
      <c r="N139" s="71">
        <v>0.0</v>
      </c>
      <c r="O139" s="6">
        <f t="shared" si="39"/>
        <v>3</v>
      </c>
    </row>
    <row r="140" ht="12.75" customHeight="1">
      <c r="A140" s="18"/>
      <c r="B140" s="54">
        <v>2.0</v>
      </c>
      <c r="C140" s="55" t="s">
        <v>119</v>
      </c>
      <c r="D140" s="56"/>
      <c r="E140" s="71">
        <v>0.0</v>
      </c>
      <c r="F140" s="71">
        <v>0.0</v>
      </c>
      <c r="G140" s="71">
        <v>0.0</v>
      </c>
      <c r="H140" s="71">
        <v>1.0</v>
      </c>
      <c r="I140" s="71">
        <v>0.0</v>
      </c>
      <c r="J140" s="71">
        <v>0.0</v>
      </c>
      <c r="K140" s="71">
        <v>34.0</v>
      </c>
      <c r="L140" s="71">
        <v>8.0</v>
      </c>
      <c r="M140" s="71">
        <v>0.0</v>
      </c>
      <c r="N140" s="71">
        <v>0.0</v>
      </c>
      <c r="O140" s="6">
        <f t="shared" si="39"/>
        <v>43</v>
      </c>
    </row>
    <row r="141" ht="12.75" customHeight="1">
      <c r="A141" s="18"/>
      <c r="B141" s="54">
        <v>3.0</v>
      </c>
      <c r="C141" s="55" t="s">
        <v>120</v>
      </c>
      <c r="D141" s="56"/>
      <c r="E141" s="71">
        <v>0.0</v>
      </c>
      <c r="F141" s="71">
        <v>0.0</v>
      </c>
      <c r="G141" s="71">
        <v>0.0</v>
      </c>
      <c r="H141" s="71">
        <v>1.0</v>
      </c>
      <c r="I141" s="71">
        <v>0.0</v>
      </c>
      <c r="J141" s="71">
        <v>0.0</v>
      </c>
      <c r="K141" s="71">
        <v>1.0</v>
      </c>
      <c r="L141" s="71">
        <v>0.0</v>
      </c>
      <c r="M141" s="71">
        <v>0.0</v>
      </c>
      <c r="N141" s="71">
        <v>0.0</v>
      </c>
      <c r="O141" s="6">
        <f t="shared" si="39"/>
        <v>2</v>
      </c>
    </row>
    <row r="142" ht="12.75" customHeight="1">
      <c r="A142" s="18"/>
      <c r="B142" s="54">
        <v>4.0</v>
      </c>
      <c r="C142" s="55" t="s">
        <v>121</v>
      </c>
      <c r="D142" s="56"/>
      <c r="E142" s="71">
        <v>0.0</v>
      </c>
      <c r="F142" s="71">
        <v>0.0</v>
      </c>
      <c r="G142" s="71">
        <v>0.0</v>
      </c>
      <c r="H142" s="71">
        <v>0.0</v>
      </c>
      <c r="I142" s="71">
        <v>0.0</v>
      </c>
      <c r="J142" s="71">
        <v>0.0</v>
      </c>
      <c r="K142" s="71">
        <v>2.0</v>
      </c>
      <c r="L142" s="71">
        <v>0.0</v>
      </c>
      <c r="M142" s="71">
        <v>0.0</v>
      </c>
      <c r="N142" s="71">
        <v>0.0</v>
      </c>
      <c r="O142" s="6">
        <f t="shared" si="39"/>
        <v>2</v>
      </c>
    </row>
    <row r="143" ht="12.75" customHeight="1">
      <c r="A143" s="18"/>
      <c r="B143" s="54">
        <v>5.0</v>
      </c>
      <c r="C143" s="55" t="s">
        <v>122</v>
      </c>
      <c r="D143" s="56"/>
      <c r="E143" s="71">
        <v>0.0</v>
      </c>
      <c r="F143" s="71">
        <v>0.0</v>
      </c>
      <c r="G143" s="71">
        <v>0.0</v>
      </c>
      <c r="H143" s="71">
        <v>0.0</v>
      </c>
      <c r="I143" s="71">
        <v>0.0</v>
      </c>
      <c r="J143" s="71">
        <v>0.0</v>
      </c>
      <c r="K143" s="71">
        <v>0.0</v>
      </c>
      <c r="L143" s="71">
        <v>0.0</v>
      </c>
      <c r="M143" s="71">
        <v>0.0</v>
      </c>
      <c r="N143" s="71">
        <v>0.0</v>
      </c>
      <c r="O143" s="6">
        <f t="shared" si="39"/>
        <v>0</v>
      </c>
    </row>
    <row r="144" ht="12.75" customHeight="1">
      <c r="A144" s="13" t="s">
        <v>15</v>
      </c>
      <c r="B144" s="51" t="s">
        <v>46</v>
      </c>
      <c r="C144" s="8"/>
      <c r="D144" s="9"/>
      <c r="E144" s="57">
        <f t="shared" ref="E144:N144" si="40">SUM(E138:E143)</f>
        <v>1</v>
      </c>
      <c r="F144" s="57">
        <f t="shared" si="40"/>
        <v>2</v>
      </c>
      <c r="G144" s="57">
        <f t="shared" si="40"/>
        <v>0</v>
      </c>
      <c r="H144" s="57">
        <f t="shared" si="40"/>
        <v>2</v>
      </c>
      <c r="I144" s="57">
        <f t="shared" si="40"/>
        <v>0</v>
      </c>
      <c r="J144" s="57">
        <f t="shared" si="40"/>
        <v>0</v>
      </c>
      <c r="K144" s="57">
        <f t="shared" si="40"/>
        <v>44</v>
      </c>
      <c r="L144" s="57">
        <f t="shared" si="40"/>
        <v>8</v>
      </c>
      <c r="M144" s="57">
        <f t="shared" si="40"/>
        <v>0</v>
      </c>
      <c r="N144" s="57">
        <f t="shared" si="40"/>
        <v>1</v>
      </c>
      <c r="O144" s="6">
        <f t="shared" si="39"/>
        <v>58</v>
      </c>
    </row>
    <row r="145" ht="12.75" customHeight="1">
      <c r="A145" s="68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"/>
    </row>
    <row r="146" ht="12.75" customHeight="1">
      <c r="A146" s="33" t="s">
        <v>37</v>
      </c>
      <c r="B146" s="51" t="s">
        <v>123</v>
      </c>
      <c r="C146" s="52" t="s">
        <v>124</v>
      </c>
      <c r="D146" s="9"/>
      <c r="E146" s="71">
        <v>3.0</v>
      </c>
      <c r="F146" s="71">
        <v>10.0</v>
      </c>
      <c r="G146" s="71">
        <v>7.0</v>
      </c>
      <c r="H146" s="71">
        <v>1.0</v>
      </c>
      <c r="I146" s="71">
        <v>2.0</v>
      </c>
      <c r="J146" s="71">
        <v>0.0</v>
      </c>
      <c r="K146" s="71">
        <v>0.0</v>
      </c>
      <c r="L146" s="71">
        <v>8.0</v>
      </c>
      <c r="M146" s="71">
        <v>6.0</v>
      </c>
      <c r="N146" s="71">
        <v>1.0</v>
      </c>
      <c r="O146" s="6">
        <f t="shared" ref="O146:O153" si="41">SUM(E146:N146)</f>
        <v>38</v>
      </c>
    </row>
    <row r="147" ht="12.75" customHeight="1">
      <c r="A147" s="33" t="s">
        <v>39</v>
      </c>
      <c r="B147" s="54">
        <v>1.0</v>
      </c>
      <c r="C147" s="55" t="s">
        <v>125</v>
      </c>
      <c r="D147" s="56"/>
      <c r="E147" s="71">
        <v>0.0</v>
      </c>
      <c r="F147" s="71">
        <v>1.0</v>
      </c>
      <c r="G147" s="71">
        <v>0.0</v>
      </c>
      <c r="H147" s="71">
        <v>1.0</v>
      </c>
      <c r="I147" s="71">
        <v>1.0</v>
      </c>
      <c r="J147" s="71">
        <v>0.0</v>
      </c>
      <c r="K147" s="71">
        <v>1.0</v>
      </c>
      <c r="L147" s="71">
        <v>3.0</v>
      </c>
      <c r="M147" s="71">
        <v>1.0</v>
      </c>
      <c r="N147" s="71">
        <v>0.0</v>
      </c>
      <c r="O147" s="6">
        <f t="shared" si="41"/>
        <v>8</v>
      </c>
    </row>
    <row r="148" ht="12.75" customHeight="1">
      <c r="A148" s="18"/>
      <c r="B148" s="54">
        <v>2.0</v>
      </c>
      <c r="C148" s="55" t="s">
        <v>126</v>
      </c>
      <c r="D148" s="56"/>
      <c r="E148" s="71">
        <v>12.0</v>
      </c>
      <c r="F148" s="71">
        <v>9.0</v>
      </c>
      <c r="G148" s="71">
        <v>7.0</v>
      </c>
      <c r="H148" s="71">
        <v>0.0</v>
      </c>
      <c r="I148" s="71">
        <v>6.0</v>
      </c>
      <c r="J148" s="71">
        <v>0.0</v>
      </c>
      <c r="K148" s="71">
        <v>3.0</v>
      </c>
      <c r="L148" s="71">
        <v>6.0</v>
      </c>
      <c r="M148" s="71">
        <v>9.0</v>
      </c>
      <c r="N148" s="71">
        <v>1.0</v>
      </c>
      <c r="O148" s="6">
        <f t="shared" si="41"/>
        <v>53</v>
      </c>
    </row>
    <row r="149" ht="12.75" customHeight="1">
      <c r="A149" s="18"/>
      <c r="B149" s="54">
        <v>3.0</v>
      </c>
      <c r="C149" s="55" t="s">
        <v>127</v>
      </c>
      <c r="D149" s="56"/>
      <c r="E149" s="71">
        <v>1.0</v>
      </c>
      <c r="F149" s="71">
        <v>0.0</v>
      </c>
      <c r="G149" s="71">
        <v>1.0</v>
      </c>
      <c r="H149" s="71">
        <v>0.0</v>
      </c>
      <c r="I149" s="71">
        <v>1.0</v>
      </c>
      <c r="J149" s="71">
        <v>0.0</v>
      </c>
      <c r="K149" s="71">
        <v>0.0</v>
      </c>
      <c r="L149" s="71">
        <v>0.0</v>
      </c>
      <c r="M149" s="71">
        <v>0.0</v>
      </c>
      <c r="N149" s="71">
        <v>0.0</v>
      </c>
      <c r="O149" s="6">
        <f t="shared" si="41"/>
        <v>3</v>
      </c>
    </row>
    <row r="150" ht="12.75" customHeight="1">
      <c r="A150" s="18"/>
      <c r="B150" s="54">
        <v>4.0</v>
      </c>
      <c r="C150" s="55" t="s">
        <v>128</v>
      </c>
      <c r="D150" s="56"/>
      <c r="E150" s="71">
        <v>0.0</v>
      </c>
      <c r="F150" s="71">
        <v>2.0</v>
      </c>
      <c r="G150" s="71">
        <v>0.0</v>
      </c>
      <c r="H150" s="71">
        <v>0.0</v>
      </c>
      <c r="I150" s="71">
        <v>0.0</v>
      </c>
      <c r="J150" s="71">
        <v>0.0</v>
      </c>
      <c r="K150" s="71">
        <v>0.0</v>
      </c>
      <c r="L150" s="71">
        <v>0.0</v>
      </c>
      <c r="M150" s="71">
        <v>0.0</v>
      </c>
      <c r="N150" s="71">
        <v>0.0</v>
      </c>
      <c r="O150" s="6">
        <f t="shared" si="41"/>
        <v>2</v>
      </c>
    </row>
    <row r="151" ht="12.75" customHeight="1">
      <c r="A151" s="18"/>
      <c r="B151" s="54">
        <v>5.0</v>
      </c>
      <c r="C151" s="55" t="s">
        <v>129</v>
      </c>
      <c r="D151" s="56"/>
      <c r="E151" s="71">
        <v>0.0</v>
      </c>
      <c r="F151" s="71">
        <v>0.0</v>
      </c>
      <c r="G151" s="71">
        <v>0.0</v>
      </c>
      <c r="H151" s="71">
        <v>0.0</v>
      </c>
      <c r="I151" s="71">
        <v>0.0</v>
      </c>
      <c r="J151" s="71">
        <v>0.0</v>
      </c>
      <c r="K151" s="71">
        <v>0.0</v>
      </c>
      <c r="L151" s="71">
        <v>0.0</v>
      </c>
      <c r="M151" s="71">
        <v>0.0</v>
      </c>
      <c r="N151" s="71">
        <v>0.0</v>
      </c>
      <c r="O151" s="6">
        <f t="shared" si="41"/>
        <v>0</v>
      </c>
    </row>
    <row r="152" ht="12.75" customHeight="1">
      <c r="A152" s="18"/>
      <c r="B152" s="54">
        <v>6.0</v>
      </c>
      <c r="C152" s="55" t="s">
        <v>130</v>
      </c>
      <c r="D152" s="56"/>
      <c r="E152" s="71">
        <v>0.0</v>
      </c>
      <c r="F152" s="71">
        <v>0.0</v>
      </c>
      <c r="G152" s="71">
        <v>2.0</v>
      </c>
      <c r="H152" s="71">
        <v>0.0</v>
      </c>
      <c r="I152" s="71">
        <v>0.0</v>
      </c>
      <c r="J152" s="71">
        <v>0.0</v>
      </c>
      <c r="K152" s="71">
        <v>0.0</v>
      </c>
      <c r="L152" s="71">
        <v>0.0</v>
      </c>
      <c r="M152" s="71">
        <v>0.0</v>
      </c>
      <c r="N152" s="71">
        <v>0.0</v>
      </c>
      <c r="O152" s="6">
        <f t="shared" si="41"/>
        <v>2</v>
      </c>
    </row>
    <row r="153" ht="12.75" customHeight="1">
      <c r="A153" s="13" t="s">
        <v>15</v>
      </c>
      <c r="B153" s="51" t="s">
        <v>46</v>
      </c>
      <c r="C153" s="8"/>
      <c r="D153" s="9"/>
      <c r="E153" s="57">
        <f t="shared" ref="E153:N153" si="42">SUM(E146:E152)</f>
        <v>16</v>
      </c>
      <c r="F153" s="57">
        <f t="shared" si="42"/>
        <v>22</v>
      </c>
      <c r="G153" s="57">
        <f t="shared" si="42"/>
        <v>17</v>
      </c>
      <c r="H153" s="57">
        <f t="shared" si="42"/>
        <v>2</v>
      </c>
      <c r="I153" s="57">
        <f t="shared" si="42"/>
        <v>10</v>
      </c>
      <c r="J153" s="57">
        <f t="shared" si="42"/>
        <v>0</v>
      </c>
      <c r="K153" s="57">
        <f t="shared" si="42"/>
        <v>4</v>
      </c>
      <c r="L153" s="57">
        <f t="shared" si="42"/>
        <v>17</v>
      </c>
      <c r="M153" s="57">
        <f t="shared" si="42"/>
        <v>16</v>
      </c>
      <c r="N153" s="57">
        <f t="shared" si="42"/>
        <v>2</v>
      </c>
      <c r="O153" s="6">
        <f t="shared" si="41"/>
        <v>106</v>
      </c>
    </row>
    <row r="154" ht="12.75" customHeight="1">
      <c r="A154" s="68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"/>
    </row>
    <row r="155" ht="12.75" customHeight="1">
      <c r="A155" s="33" t="s">
        <v>37</v>
      </c>
      <c r="B155" s="51" t="s">
        <v>131</v>
      </c>
      <c r="C155" s="52" t="s">
        <v>132</v>
      </c>
      <c r="D155" s="9"/>
      <c r="E155" s="71">
        <v>4.0</v>
      </c>
      <c r="F155" s="71">
        <v>0.0</v>
      </c>
      <c r="G155" s="71">
        <v>1.0</v>
      </c>
      <c r="H155" s="71">
        <v>0.0</v>
      </c>
      <c r="I155" s="71">
        <v>0.0</v>
      </c>
      <c r="J155" s="71">
        <v>0.0</v>
      </c>
      <c r="K155" s="71">
        <v>0.0</v>
      </c>
      <c r="L155" s="71">
        <v>0.0</v>
      </c>
      <c r="M155" s="71">
        <v>1.0</v>
      </c>
      <c r="N155" s="71">
        <v>5.0</v>
      </c>
      <c r="O155" s="6">
        <f t="shared" ref="O155:O158" si="43">SUM(E155:N155)</f>
        <v>11</v>
      </c>
    </row>
    <row r="156" ht="12.75" customHeight="1">
      <c r="A156" s="33" t="s">
        <v>39</v>
      </c>
      <c r="B156" s="54">
        <v>1.0</v>
      </c>
      <c r="C156" s="55" t="s">
        <v>133</v>
      </c>
      <c r="D156" s="56"/>
      <c r="E156" s="71">
        <v>0.0</v>
      </c>
      <c r="F156" s="71">
        <v>1.0</v>
      </c>
      <c r="G156" s="71">
        <v>1.0</v>
      </c>
      <c r="H156" s="71">
        <v>1.0</v>
      </c>
      <c r="I156" s="71">
        <v>7.0</v>
      </c>
      <c r="J156" s="71">
        <v>13.0</v>
      </c>
      <c r="K156" s="71">
        <v>0.0</v>
      </c>
      <c r="L156" s="71">
        <v>0.0</v>
      </c>
      <c r="M156" s="71">
        <v>3.0</v>
      </c>
      <c r="N156" s="71">
        <v>9.0</v>
      </c>
      <c r="O156" s="6">
        <f t="shared" si="43"/>
        <v>35</v>
      </c>
    </row>
    <row r="157" ht="12.75" customHeight="1">
      <c r="A157" s="33"/>
      <c r="B157" s="54">
        <v>2.0</v>
      </c>
      <c r="C157" s="55" t="s">
        <v>134</v>
      </c>
      <c r="D157" s="56"/>
      <c r="E157" s="71">
        <v>1.0</v>
      </c>
      <c r="F157" s="71">
        <v>0.0</v>
      </c>
      <c r="G157" s="71">
        <v>0.0</v>
      </c>
      <c r="H157" s="71">
        <v>0.0</v>
      </c>
      <c r="I157" s="71">
        <v>0.0</v>
      </c>
      <c r="J157" s="71">
        <v>2.0</v>
      </c>
      <c r="K157" s="71">
        <v>0.0</v>
      </c>
      <c r="L157" s="71">
        <v>0.0</v>
      </c>
      <c r="M157" s="71">
        <v>0.0</v>
      </c>
      <c r="N157" s="71">
        <v>0.0</v>
      </c>
      <c r="O157" s="6">
        <f t="shared" si="43"/>
        <v>3</v>
      </c>
    </row>
    <row r="158" ht="12.75" customHeight="1">
      <c r="A158" s="13" t="s">
        <v>15</v>
      </c>
      <c r="B158" s="51" t="s">
        <v>46</v>
      </c>
      <c r="C158" s="8"/>
      <c r="D158" s="9"/>
      <c r="E158" s="57">
        <f t="shared" ref="E158:N158" si="44">SUM(E155:E157)</f>
        <v>5</v>
      </c>
      <c r="F158" s="57">
        <f t="shared" si="44"/>
        <v>1</v>
      </c>
      <c r="G158" s="57">
        <f t="shared" si="44"/>
        <v>2</v>
      </c>
      <c r="H158" s="57">
        <f t="shared" si="44"/>
        <v>1</v>
      </c>
      <c r="I158" s="57">
        <f t="shared" si="44"/>
        <v>7</v>
      </c>
      <c r="J158" s="57">
        <f t="shared" si="44"/>
        <v>15</v>
      </c>
      <c r="K158" s="57">
        <f t="shared" si="44"/>
        <v>0</v>
      </c>
      <c r="L158" s="57">
        <f t="shared" si="44"/>
        <v>0</v>
      </c>
      <c r="M158" s="57">
        <f t="shared" si="44"/>
        <v>4</v>
      </c>
      <c r="N158" s="57">
        <f t="shared" si="44"/>
        <v>14</v>
      </c>
      <c r="O158" s="6">
        <f t="shared" si="43"/>
        <v>49</v>
      </c>
    </row>
    <row r="159" ht="12.75" customHeight="1">
      <c r="A159" s="68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"/>
    </row>
    <row r="160" ht="12.75" customHeight="1">
      <c r="A160" s="33" t="s">
        <v>37</v>
      </c>
      <c r="B160" s="51" t="s">
        <v>135</v>
      </c>
      <c r="C160" s="52" t="s">
        <v>136</v>
      </c>
      <c r="D160" s="9"/>
      <c r="E160" s="71">
        <v>1.0</v>
      </c>
      <c r="F160" s="71">
        <v>1.0</v>
      </c>
      <c r="G160" s="71">
        <v>0.0</v>
      </c>
      <c r="H160" s="71">
        <v>0.0</v>
      </c>
      <c r="I160" s="71">
        <v>0.0</v>
      </c>
      <c r="J160" s="71">
        <v>0.0</v>
      </c>
      <c r="K160" s="71">
        <v>0.0</v>
      </c>
      <c r="L160" s="71">
        <v>0.0</v>
      </c>
      <c r="M160" s="71">
        <v>0.0</v>
      </c>
      <c r="N160" s="71">
        <v>0.0</v>
      </c>
      <c r="O160" s="6">
        <f t="shared" ref="O160:O164" si="45">SUM(E160:N160)</f>
        <v>2</v>
      </c>
    </row>
    <row r="161" ht="12.75" customHeight="1">
      <c r="A161" s="33"/>
      <c r="B161" s="54">
        <v>1.0</v>
      </c>
      <c r="C161" s="55" t="s">
        <v>137</v>
      </c>
      <c r="D161" s="63"/>
      <c r="E161" s="71">
        <v>0.0</v>
      </c>
      <c r="F161" s="71">
        <v>0.0</v>
      </c>
      <c r="G161" s="71">
        <v>0.0</v>
      </c>
      <c r="H161" s="71">
        <v>1.0</v>
      </c>
      <c r="I161" s="71">
        <v>0.0</v>
      </c>
      <c r="J161" s="71">
        <v>0.0</v>
      </c>
      <c r="K161" s="71">
        <v>0.0</v>
      </c>
      <c r="L161" s="71">
        <v>0.0</v>
      </c>
      <c r="M161" s="71">
        <v>0.0</v>
      </c>
      <c r="N161" s="71">
        <v>0.0</v>
      </c>
      <c r="O161" s="6">
        <f t="shared" si="45"/>
        <v>1</v>
      </c>
    </row>
    <row r="162" ht="12.75" customHeight="1">
      <c r="A162" s="33"/>
      <c r="B162" s="54">
        <v>2.0</v>
      </c>
      <c r="C162" s="55" t="s">
        <v>138</v>
      </c>
      <c r="D162" s="63"/>
      <c r="E162" s="71">
        <v>0.0</v>
      </c>
      <c r="F162" s="71">
        <v>0.0</v>
      </c>
      <c r="G162" s="71">
        <v>0.0</v>
      </c>
      <c r="H162" s="71">
        <v>0.0</v>
      </c>
      <c r="I162" s="71">
        <v>0.0</v>
      </c>
      <c r="J162" s="71">
        <v>0.0</v>
      </c>
      <c r="K162" s="71">
        <v>0.0</v>
      </c>
      <c r="L162" s="71">
        <v>0.0</v>
      </c>
      <c r="M162" s="71">
        <v>0.0</v>
      </c>
      <c r="N162" s="71">
        <v>0.0</v>
      </c>
      <c r="O162" s="6">
        <f t="shared" si="45"/>
        <v>0</v>
      </c>
    </row>
    <row r="163" ht="12.75" customHeight="1">
      <c r="A163" s="33"/>
      <c r="B163" s="54">
        <v>3.0</v>
      </c>
      <c r="C163" s="55" t="s">
        <v>139</v>
      </c>
      <c r="D163" s="63"/>
      <c r="E163" s="71">
        <v>0.0</v>
      </c>
      <c r="F163" s="71">
        <v>0.0</v>
      </c>
      <c r="G163" s="71">
        <v>0.0</v>
      </c>
      <c r="H163" s="71">
        <v>0.0</v>
      </c>
      <c r="I163" s="71">
        <v>0.0</v>
      </c>
      <c r="J163" s="71">
        <v>0.0</v>
      </c>
      <c r="K163" s="71">
        <v>0.0</v>
      </c>
      <c r="L163" s="71">
        <v>0.0</v>
      </c>
      <c r="M163" s="71">
        <v>0.0</v>
      </c>
      <c r="N163" s="71">
        <v>0.0</v>
      </c>
      <c r="O163" s="6">
        <f t="shared" si="45"/>
        <v>0</v>
      </c>
    </row>
    <row r="164" ht="12.75" customHeight="1">
      <c r="A164" s="13" t="s">
        <v>15</v>
      </c>
      <c r="B164" s="51" t="s">
        <v>46</v>
      </c>
      <c r="C164" s="8"/>
      <c r="D164" s="9"/>
      <c r="E164" s="57">
        <f t="shared" ref="E164:N164" si="46">SUM(E160:E163)</f>
        <v>1</v>
      </c>
      <c r="F164" s="57">
        <f t="shared" si="46"/>
        <v>1</v>
      </c>
      <c r="G164" s="57">
        <f t="shared" si="46"/>
        <v>0</v>
      </c>
      <c r="H164" s="57">
        <f t="shared" si="46"/>
        <v>1</v>
      </c>
      <c r="I164" s="57">
        <f t="shared" si="46"/>
        <v>0</v>
      </c>
      <c r="J164" s="57">
        <f t="shared" si="46"/>
        <v>0</v>
      </c>
      <c r="K164" s="57">
        <f t="shared" si="46"/>
        <v>0</v>
      </c>
      <c r="L164" s="57">
        <f t="shared" si="46"/>
        <v>0</v>
      </c>
      <c r="M164" s="57">
        <f t="shared" si="46"/>
        <v>0</v>
      </c>
      <c r="N164" s="57">
        <f t="shared" si="46"/>
        <v>0</v>
      </c>
      <c r="O164" s="6">
        <f t="shared" si="45"/>
        <v>3</v>
      </c>
    </row>
    <row r="165" ht="12.75" customHeight="1">
      <c r="A165" s="68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"/>
    </row>
    <row r="166" ht="12.75" customHeight="1">
      <c r="A166" s="33" t="s">
        <v>37</v>
      </c>
      <c r="B166" s="51" t="s">
        <v>140</v>
      </c>
      <c r="C166" s="52" t="s">
        <v>141</v>
      </c>
      <c r="D166" s="9"/>
      <c r="E166" s="71">
        <v>3.0</v>
      </c>
      <c r="F166" s="71">
        <v>0.0</v>
      </c>
      <c r="G166" s="71">
        <v>1.0</v>
      </c>
      <c r="H166" s="71">
        <v>2.0</v>
      </c>
      <c r="I166" s="71">
        <v>2.0</v>
      </c>
      <c r="J166" s="71">
        <v>3.0</v>
      </c>
      <c r="K166" s="71">
        <v>2.0</v>
      </c>
      <c r="L166" s="71">
        <v>1.0</v>
      </c>
      <c r="M166" s="71">
        <v>1.0</v>
      </c>
      <c r="N166" s="71">
        <v>4.0</v>
      </c>
      <c r="O166" s="6">
        <f t="shared" ref="O166:O173" si="47">SUM(E166:N166)</f>
        <v>19</v>
      </c>
    </row>
    <row r="167" ht="12.75" customHeight="1">
      <c r="A167" s="33" t="s">
        <v>39</v>
      </c>
      <c r="B167" s="54">
        <v>1.0</v>
      </c>
      <c r="C167" s="55" t="s">
        <v>142</v>
      </c>
      <c r="D167" s="56"/>
      <c r="E167" s="71">
        <v>0.0</v>
      </c>
      <c r="F167" s="71">
        <v>0.0</v>
      </c>
      <c r="G167" s="71">
        <v>3.0</v>
      </c>
      <c r="H167" s="71">
        <v>2.0</v>
      </c>
      <c r="I167" s="71">
        <v>5.0</v>
      </c>
      <c r="J167" s="71">
        <v>1.0</v>
      </c>
      <c r="K167" s="71">
        <v>3.0</v>
      </c>
      <c r="L167" s="71">
        <v>1.0</v>
      </c>
      <c r="M167" s="71">
        <v>1.0</v>
      </c>
      <c r="N167" s="71">
        <v>3.0</v>
      </c>
      <c r="O167" s="6">
        <f t="shared" si="47"/>
        <v>19</v>
      </c>
    </row>
    <row r="168" ht="12.75" customHeight="1">
      <c r="A168" s="18"/>
      <c r="B168" s="54">
        <v>2.0</v>
      </c>
      <c r="C168" s="55" t="s">
        <v>143</v>
      </c>
      <c r="D168" s="56"/>
      <c r="E168" s="71">
        <v>18.0</v>
      </c>
      <c r="F168" s="71">
        <v>10.0</v>
      </c>
      <c r="G168" s="71">
        <v>14.0</v>
      </c>
      <c r="H168" s="71">
        <v>11.0</v>
      </c>
      <c r="I168" s="71">
        <v>21.0</v>
      </c>
      <c r="J168" s="71">
        <v>101.0</v>
      </c>
      <c r="K168" s="71">
        <v>12.0</v>
      </c>
      <c r="L168" s="71">
        <v>15.0</v>
      </c>
      <c r="M168" s="71">
        <v>3.0</v>
      </c>
      <c r="N168" s="71">
        <v>17.0</v>
      </c>
      <c r="O168" s="6">
        <f t="shared" si="47"/>
        <v>222</v>
      </c>
    </row>
    <row r="169" ht="12.75" customHeight="1">
      <c r="A169" s="18"/>
      <c r="B169" s="54">
        <v>3.0</v>
      </c>
      <c r="C169" s="55" t="s">
        <v>144</v>
      </c>
      <c r="D169" s="56"/>
      <c r="E169" s="71">
        <v>1.0</v>
      </c>
      <c r="F169" s="71">
        <v>0.0</v>
      </c>
      <c r="G169" s="71">
        <v>0.0</v>
      </c>
      <c r="H169" s="71">
        <v>0.0</v>
      </c>
      <c r="I169" s="71">
        <v>1.0</v>
      </c>
      <c r="J169" s="71">
        <v>0.0</v>
      </c>
      <c r="K169" s="71">
        <v>1.0</v>
      </c>
      <c r="L169" s="71">
        <v>0.0</v>
      </c>
      <c r="M169" s="71">
        <v>1.0</v>
      </c>
      <c r="N169" s="71">
        <v>1.0</v>
      </c>
      <c r="O169" s="6">
        <f t="shared" si="47"/>
        <v>5</v>
      </c>
    </row>
    <row r="170" ht="12.75" customHeight="1">
      <c r="A170" s="18"/>
      <c r="B170" s="54">
        <v>4.0</v>
      </c>
      <c r="C170" s="55" t="s">
        <v>145</v>
      </c>
      <c r="D170" s="56"/>
      <c r="E170" s="71">
        <v>0.0</v>
      </c>
      <c r="F170" s="71">
        <v>0.0</v>
      </c>
      <c r="G170" s="71">
        <v>0.0</v>
      </c>
      <c r="H170" s="71">
        <v>0.0</v>
      </c>
      <c r="I170" s="71">
        <v>1.0</v>
      </c>
      <c r="J170" s="71">
        <v>0.0</v>
      </c>
      <c r="K170" s="71">
        <v>0.0</v>
      </c>
      <c r="L170" s="71">
        <v>0.0</v>
      </c>
      <c r="M170" s="71">
        <v>0.0</v>
      </c>
      <c r="N170" s="71">
        <v>0.0</v>
      </c>
      <c r="O170" s="6">
        <f t="shared" si="47"/>
        <v>1</v>
      </c>
    </row>
    <row r="171" ht="12.75" customHeight="1">
      <c r="A171" s="18"/>
      <c r="B171" s="54">
        <v>5.0</v>
      </c>
      <c r="C171" s="55" t="s">
        <v>146</v>
      </c>
      <c r="D171" s="56"/>
      <c r="E171" s="71">
        <v>0.0</v>
      </c>
      <c r="F171" s="71">
        <v>0.0</v>
      </c>
      <c r="G171" s="71">
        <v>0.0</v>
      </c>
      <c r="H171" s="71">
        <v>0.0</v>
      </c>
      <c r="I171" s="71">
        <v>0.0</v>
      </c>
      <c r="J171" s="71">
        <v>0.0</v>
      </c>
      <c r="K171" s="71">
        <v>0.0</v>
      </c>
      <c r="L171" s="71">
        <v>0.0</v>
      </c>
      <c r="M171" s="71">
        <v>2.0</v>
      </c>
      <c r="N171" s="71">
        <v>1.0</v>
      </c>
      <c r="O171" s="6">
        <f t="shared" si="47"/>
        <v>3</v>
      </c>
    </row>
    <row r="172" ht="12.75" customHeight="1">
      <c r="A172" s="18"/>
      <c r="B172" s="54">
        <v>6.0</v>
      </c>
      <c r="C172" s="55" t="s">
        <v>147</v>
      </c>
      <c r="D172" s="56"/>
      <c r="E172" s="71">
        <v>1.0</v>
      </c>
      <c r="F172" s="71">
        <v>0.0</v>
      </c>
      <c r="G172" s="71">
        <v>0.0</v>
      </c>
      <c r="H172" s="71">
        <v>0.0</v>
      </c>
      <c r="I172" s="71">
        <v>0.0</v>
      </c>
      <c r="J172" s="71">
        <v>0.0</v>
      </c>
      <c r="K172" s="71">
        <v>0.0</v>
      </c>
      <c r="L172" s="71">
        <v>0.0</v>
      </c>
      <c r="M172" s="71">
        <v>0.0</v>
      </c>
      <c r="N172" s="71">
        <v>2.0</v>
      </c>
      <c r="O172" s="6">
        <f t="shared" si="47"/>
        <v>3</v>
      </c>
    </row>
    <row r="173" ht="12.75" customHeight="1">
      <c r="A173" s="13" t="s">
        <v>15</v>
      </c>
      <c r="B173" s="51" t="s">
        <v>46</v>
      </c>
      <c r="C173" s="8"/>
      <c r="D173" s="9"/>
      <c r="E173" s="57">
        <f t="shared" ref="E173:N173" si="48">SUM(E166:E172)</f>
        <v>23</v>
      </c>
      <c r="F173" s="57">
        <f t="shared" si="48"/>
        <v>10</v>
      </c>
      <c r="G173" s="57">
        <f t="shared" si="48"/>
        <v>18</v>
      </c>
      <c r="H173" s="57">
        <f t="shared" si="48"/>
        <v>15</v>
      </c>
      <c r="I173" s="57">
        <f t="shared" si="48"/>
        <v>30</v>
      </c>
      <c r="J173" s="57">
        <f t="shared" si="48"/>
        <v>105</v>
      </c>
      <c r="K173" s="57">
        <f t="shared" si="48"/>
        <v>18</v>
      </c>
      <c r="L173" s="57">
        <f t="shared" si="48"/>
        <v>17</v>
      </c>
      <c r="M173" s="57">
        <f t="shared" si="48"/>
        <v>8</v>
      </c>
      <c r="N173" s="57">
        <f t="shared" si="48"/>
        <v>28</v>
      </c>
      <c r="O173" s="6">
        <f t="shared" si="47"/>
        <v>272</v>
      </c>
    </row>
    <row r="174" ht="12.75" customHeight="1">
      <c r="A174" s="68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"/>
    </row>
    <row r="175" ht="12.75" customHeight="1">
      <c r="A175" s="33" t="s">
        <v>37</v>
      </c>
      <c r="B175" s="51" t="s">
        <v>148</v>
      </c>
      <c r="C175" s="52" t="s">
        <v>149</v>
      </c>
      <c r="D175" s="9"/>
      <c r="E175" s="71">
        <v>0.0</v>
      </c>
      <c r="F175" s="71">
        <v>0.0</v>
      </c>
      <c r="G175" s="71">
        <v>1.0</v>
      </c>
      <c r="H175" s="71">
        <v>0.0</v>
      </c>
      <c r="I175" s="71">
        <v>1.0</v>
      </c>
      <c r="J175" s="71">
        <v>0.0</v>
      </c>
      <c r="K175" s="71">
        <v>2.0</v>
      </c>
      <c r="L175" s="71">
        <v>0.0</v>
      </c>
      <c r="M175" s="71">
        <v>0.0</v>
      </c>
      <c r="N175" s="71">
        <v>1.0</v>
      </c>
      <c r="O175" s="6">
        <f t="shared" ref="O175:O178" si="49">SUM(E175:N175)</f>
        <v>5</v>
      </c>
    </row>
    <row r="176" ht="12.75" customHeight="1">
      <c r="A176" s="33"/>
      <c r="B176" s="51">
        <v>1.0</v>
      </c>
      <c r="C176" s="52" t="s">
        <v>150</v>
      </c>
      <c r="D176" s="63"/>
      <c r="E176" s="71">
        <v>0.0</v>
      </c>
      <c r="F176" s="71">
        <v>0.0</v>
      </c>
      <c r="G176" s="71">
        <v>1.0</v>
      </c>
      <c r="H176" s="71">
        <v>0.0</v>
      </c>
      <c r="I176" s="71">
        <v>0.0</v>
      </c>
      <c r="J176" s="71">
        <v>0.0</v>
      </c>
      <c r="K176" s="71">
        <v>0.0</v>
      </c>
      <c r="L176" s="71">
        <v>0.0</v>
      </c>
      <c r="M176" s="71">
        <v>0.0</v>
      </c>
      <c r="N176" s="71">
        <v>0.0</v>
      </c>
      <c r="O176" s="6">
        <f t="shared" si="49"/>
        <v>1</v>
      </c>
    </row>
    <row r="177" ht="12.75" customHeight="1">
      <c r="A177" s="33" t="s">
        <v>39</v>
      </c>
      <c r="B177" s="54">
        <v>2.0</v>
      </c>
      <c r="C177" s="55" t="s">
        <v>151</v>
      </c>
      <c r="D177" s="56"/>
      <c r="E177" s="71">
        <v>0.0</v>
      </c>
      <c r="F177" s="71">
        <v>0.0</v>
      </c>
      <c r="G177" s="71">
        <v>0.0</v>
      </c>
      <c r="H177" s="71">
        <v>0.0</v>
      </c>
      <c r="I177" s="71">
        <v>0.0</v>
      </c>
      <c r="J177" s="71">
        <v>0.0</v>
      </c>
      <c r="K177" s="71">
        <v>0.0</v>
      </c>
      <c r="L177" s="71">
        <v>0.0</v>
      </c>
      <c r="M177" s="71">
        <v>0.0</v>
      </c>
      <c r="N177" s="71">
        <v>0.0</v>
      </c>
      <c r="O177" s="6">
        <f t="shared" si="49"/>
        <v>0</v>
      </c>
    </row>
    <row r="178" ht="12.75" customHeight="1">
      <c r="A178" s="13" t="s">
        <v>15</v>
      </c>
      <c r="B178" s="51" t="s">
        <v>46</v>
      </c>
      <c r="C178" s="8"/>
      <c r="D178" s="9"/>
      <c r="E178" s="57">
        <f t="shared" ref="E178:N178" si="50">SUM(E175:E177)</f>
        <v>0</v>
      </c>
      <c r="F178" s="57">
        <f t="shared" si="50"/>
        <v>0</v>
      </c>
      <c r="G178" s="57">
        <f t="shared" si="50"/>
        <v>2</v>
      </c>
      <c r="H178" s="57">
        <f t="shared" si="50"/>
        <v>0</v>
      </c>
      <c r="I178" s="57">
        <f t="shared" si="50"/>
        <v>1</v>
      </c>
      <c r="J178" s="57">
        <f t="shared" si="50"/>
        <v>0</v>
      </c>
      <c r="K178" s="57">
        <f t="shared" si="50"/>
        <v>2</v>
      </c>
      <c r="L178" s="57">
        <f t="shared" si="50"/>
        <v>0</v>
      </c>
      <c r="M178" s="57">
        <f t="shared" si="50"/>
        <v>0</v>
      </c>
      <c r="N178" s="57">
        <f t="shared" si="50"/>
        <v>1</v>
      </c>
      <c r="O178" s="6">
        <f t="shared" si="49"/>
        <v>6</v>
      </c>
    </row>
    <row r="179" ht="12.75" customHeight="1">
      <c r="A179" s="49"/>
      <c r="B179" s="48"/>
      <c r="C179" s="48"/>
      <c r="D179" s="27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6"/>
    </row>
    <row r="180" ht="12.75" customHeight="1">
      <c r="A180" s="46" t="s">
        <v>152</v>
      </c>
      <c r="B180" s="7" t="s">
        <v>153</v>
      </c>
      <c r="C180" s="8"/>
      <c r="D180" s="9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6"/>
    </row>
    <row r="181" ht="12.75" customHeight="1">
      <c r="A181" s="46"/>
      <c r="B181" s="64" t="s">
        <v>154</v>
      </c>
      <c r="C181" s="65" t="s">
        <v>155</v>
      </c>
      <c r="D181" s="9"/>
      <c r="E181" s="71">
        <v>183.0</v>
      </c>
      <c r="F181" s="71">
        <v>163.0</v>
      </c>
      <c r="G181" s="71">
        <v>236.0</v>
      </c>
      <c r="H181" s="71">
        <v>213.0</v>
      </c>
      <c r="I181" s="71">
        <v>205.0</v>
      </c>
      <c r="J181" s="71">
        <v>188.0</v>
      </c>
      <c r="K181" s="71">
        <v>186.0</v>
      </c>
      <c r="L181" s="71">
        <v>177.0</v>
      </c>
      <c r="M181" s="71">
        <v>206.0</v>
      </c>
      <c r="N181" s="71">
        <v>199.0</v>
      </c>
      <c r="O181" s="6">
        <f t="shared" ref="O181:O183" si="51">SUM(E181:N181)</f>
        <v>1956</v>
      </c>
    </row>
    <row r="182" ht="12.75" customHeight="1">
      <c r="A182" s="38"/>
      <c r="B182" s="64" t="s">
        <v>156</v>
      </c>
      <c r="C182" s="65" t="s">
        <v>157</v>
      </c>
      <c r="D182" s="9"/>
      <c r="E182" s="71">
        <v>23.0</v>
      </c>
      <c r="F182" s="71">
        <v>17.0</v>
      </c>
      <c r="G182" s="71">
        <v>10.0</v>
      </c>
      <c r="H182" s="71">
        <v>25.0</v>
      </c>
      <c r="I182" s="71">
        <v>24.0</v>
      </c>
      <c r="J182" s="71">
        <v>38.0</v>
      </c>
      <c r="K182" s="71">
        <v>55.0</v>
      </c>
      <c r="L182" s="71">
        <v>12.0</v>
      </c>
      <c r="M182" s="71">
        <v>30.0</v>
      </c>
      <c r="N182" s="71">
        <v>16.0</v>
      </c>
      <c r="O182" s="6">
        <f t="shared" si="51"/>
        <v>250</v>
      </c>
    </row>
    <row r="183" ht="12.75" customHeight="1">
      <c r="A183" s="43"/>
      <c r="B183" s="64" t="s">
        <v>158</v>
      </c>
      <c r="C183" s="65" t="s">
        <v>159</v>
      </c>
      <c r="D183" s="9"/>
      <c r="E183" s="28">
        <f t="shared" ref="E183:N183" si="52">SUM(E181:E182)</f>
        <v>206</v>
      </c>
      <c r="F183" s="28">
        <f t="shared" si="52"/>
        <v>180</v>
      </c>
      <c r="G183" s="28">
        <f t="shared" si="52"/>
        <v>246</v>
      </c>
      <c r="H183" s="28">
        <f t="shared" si="52"/>
        <v>238</v>
      </c>
      <c r="I183" s="28">
        <f t="shared" si="52"/>
        <v>229</v>
      </c>
      <c r="J183" s="28">
        <f t="shared" si="52"/>
        <v>226</v>
      </c>
      <c r="K183" s="28">
        <f t="shared" si="52"/>
        <v>241</v>
      </c>
      <c r="L183" s="28">
        <f t="shared" si="52"/>
        <v>189</v>
      </c>
      <c r="M183" s="28">
        <f t="shared" si="52"/>
        <v>236</v>
      </c>
      <c r="N183" s="28">
        <f t="shared" si="52"/>
        <v>215</v>
      </c>
      <c r="O183" s="6">
        <f t="shared" si="51"/>
        <v>2206</v>
      </c>
    </row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1">
    <mergeCell ref="C101:D101"/>
    <mergeCell ref="B108:D108"/>
    <mergeCell ref="C110:D110"/>
    <mergeCell ref="B114:D114"/>
    <mergeCell ref="C116:D116"/>
    <mergeCell ref="B123:D123"/>
    <mergeCell ref="C125:D125"/>
    <mergeCell ref="B127:D127"/>
    <mergeCell ref="C129:D129"/>
    <mergeCell ref="B136:D136"/>
    <mergeCell ref="C138:D138"/>
    <mergeCell ref="B144:D144"/>
    <mergeCell ref="C146:D146"/>
    <mergeCell ref="B153:D153"/>
    <mergeCell ref="B178:D178"/>
    <mergeCell ref="A179:D179"/>
    <mergeCell ref="B180:D180"/>
    <mergeCell ref="C181:D181"/>
    <mergeCell ref="C182:D182"/>
    <mergeCell ref="C183:D183"/>
    <mergeCell ref="C155:D155"/>
    <mergeCell ref="B158:D158"/>
    <mergeCell ref="C160:D160"/>
    <mergeCell ref="B164:D164"/>
    <mergeCell ref="C166:D166"/>
    <mergeCell ref="B173:D173"/>
    <mergeCell ref="C175:D175"/>
    <mergeCell ref="B12:D12"/>
    <mergeCell ref="E12:N12"/>
    <mergeCell ref="O12:O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C91:D91"/>
    <mergeCell ref="B92:D92"/>
    <mergeCell ref="C94:D94"/>
    <mergeCell ref="B99:D99"/>
  </mergeCells>
  <conditionalFormatting sqref="E30:N30">
    <cfRule type="expression" dxfId="0" priority="1">
      <formula>E30&lt;&gt;E62</formula>
    </cfRule>
  </conditionalFormatting>
  <conditionalFormatting sqref="E34:N34">
    <cfRule type="expression" dxfId="0" priority="2">
      <formula>E34&lt;&gt;E62</formula>
    </cfRule>
  </conditionalFormatting>
  <conditionalFormatting sqref="E14:N15">
    <cfRule type="containsBlanks" dxfId="1" priority="3">
      <formula>LEN(TRIM(E14))=0</formula>
    </cfRule>
  </conditionalFormatting>
  <conditionalFormatting sqref="E19:N20">
    <cfRule type="containsBlanks" dxfId="1" priority="4">
      <formula>LEN(TRIM(E19))=0</formula>
    </cfRule>
  </conditionalFormatting>
  <conditionalFormatting sqref="E22:N23 E25:N26 E33:N33 E35:N35 E39:N40">
    <cfRule type="containsBlanks" dxfId="1" priority="5">
      <formula>LEN(TRIM(E22))=0</formula>
    </cfRule>
  </conditionalFormatting>
  <conditionalFormatting sqref="E30:N30">
    <cfRule type="expression" dxfId="0" priority="6">
      <formula>E30&lt;&gt;E34</formula>
    </cfRule>
  </conditionalFormatting>
  <conditionalFormatting sqref="E34:N34">
    <cfRule type="expression" dxfId="2" priority="7">
      <formula>E30&lt;&gt;E34</formula>
    </cfRule>
  </conditionalFormatting>
  <conditionalFormatting sqref="E34:N34">
    <cfRule type="expression" dxfId="3" priority="8">
      <formula>E30=E34</formula>
    </cfRule>
  </conditionalFormatting>
  <conditionalFormatting sqref="E34:N34">
    <cfRule type="expression" dxfId="0" priority="9">
      <formula>E34&lt;&gt;E30</formula>
    </cfRule>
  </conditionalFormatting>
  <conditionalFormatting sqref="E45:N51">
    <cfRule type="containsBlanks" dxfId="1" priority="10">
      <formula>LEN(TRIM(E45))=0</formula>
    </cfRule>
  </conditionalFormatting>
  <conditionalFormatting sqref="E54:N60">
    <cfRule type="containsBlanks" dxfId="1" priority="11">
      <formula>LEN(TRIM(E54))=0</formula>
    </cfRule>
  </conditionalFormatting>
  <conditionalFormatting sqref="E63:N69">
    <cfRule type="containsBlanks" dxfId="1" priority="12">
      <formula>LEN(TRIM(E63))=0</formula>
    </cfRule>
  </conditionalFormatting>
  <conditionalFormatting sqref="E72:N78">
    <cfRule type="containsBlanks" dxfId="1" priority="13">
      <formula>LEN(TRIM(E72))=0</formula>
    </cfRule>
  </conditionalFormatting>
  <conditionalFormatting sqref="E81:N87">
    <cfRule type="containsBlanks" dxfId="1" priority="14">
      <formula>LEN(TRIM(E81))=0</formula>
    </cfRule>
  </conditionalFormatting>
  <conditionalFormatting sqref="E90:N91">
    <cfRule type="containsBlanks" dxfId="1" priority="15">
      <formula>LEN(TRIM(E90))=0</formula>
    </cfRule>
  </conditionalFormatting>
  <conditionalFormatting sqref="E94:N98">
    <cfRule type="containsBlanks" dxfId="1" priority="16">
      <formula>LEN(TRIM(E94))=0</formula>
    </cfRule>
  </conditionalFormatting>
  <conditionalFormatting sqref="E101:N107">
    <cfRule type="containsBlanks" dxfId="1" priority="17">
      <formula>LEN(TRIM(E101))=0</formula>
    </cfRule>
  </conditionalFormatting>
  <conditionalFormatting sqref="E110:N113">
    <cfRule type="containsBlanks" dxfId="1" priority="18">
      <formula>LEN(TRIM(E110))=0</formula>
    </cfRule>
  </conditionalFormatting>
  <conditionalFormatting sqref="E116:N122">
    <cfRule type="containsBlanks" dxfId="1" priority="19">
      <formula>LEN(TRIM(E116))=0</formula>
    </cfRule>
  </conditionalFormatting>
  <conditionalFormatting sqref="E125:N126">
    <cfRule type="containsBlanks" dxfId="1" priority="20">
      <formula>LEN(TRIM(E125))=0</formula>
    </cfRule>
  </conditionalFormatting>
  <conditionalFormatting sqref="E129:N135">
    <cfRule type="containsBlanks" dxfId="1" priority="21">
      <formula>LEN(TRIM(E129))=0</formula>
    </cfRule>
  </conditionalFormatting>
  <conditionalFormatting sqref="E138:N143">
    <cfRule type="containsBlanks" dxfId="1" priority="22">
      <formula>LEN(TRIM(E138))=0</formula>
    </cfRule>
  </conditionalFormatting>
  <conditionalFormatting sqref="E146:N152">
    <cfRule type="containsBlanks" dxfId="1" priority="23">
      <formula>LEN(TRIM(E146))=0</formula>
    </cfRule>
  </conditionalFormatting>
  <conditionalFormatting sqref="E155:N157">
    <cfRule type="containsBlanks" dxfId="1" priority="24">
      <formula>LEN(TRIM(E155))=0</formula>
    </cfRule>
  </conditionalFormatting>
  <conditionalFormatting sqref="E160:N163">
    <cfRule type="containsBlanks" dxfId="1" priority="25">
      <formula>LEN(TRIM(E160))=0</formula>
    </cfRule>
  </conditionalFormatting>
  <conditionalFormatting sqref="E166:N172">
    <cfRule type="containsBlanks" dxfId="1" priority="26">
      <formula>LEN(TRIM(E166))=0</formula>
    </cfRule>
  </conditionalFormatting>
  <conditionalFormatting sqref="E175:N177">
    <cfRule type="containsBlanks" dxfId="1" priority="27">
      <formula>LEN(TRIM(E175))=0</formula>
    </cfRule>
  </conditionalFormatting>
  <conditionalFormatting sqref="E181:N182">
    <cfRule type="containsBlanks" dxfId="1" priority="28">
      <formula>LEN(TRIM(E181))=0</formula>
    </cfRule>
  </conditionalFormatting>
  <conditionalFormatting sqref="E183:N183">
    <cfRule type="expression" dxfId="0" priority="29">
      <formula>E183&lt;&gt;E30</formula>
    </cfRule>
  </conditionalFormatting>
  <conditionalFormatting sqref="E183:N183">
    <cfRule type="expression" dxfId="0" priority="30">
      <formula>E183&lt;&gt;E34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  <col customWidth="1" min="20" max="20" width="10.43"/>
  </cols>
  <sheetData>
    <row r="1" ht="12.75" customHeight="1"/>
    <row r="2" ht="12.75" customHeight="1">
      <c r="C2" s="1" t="s">
        <v>0</v>
      </c>
      <c r="D2" s="1" t="s">
        <v>1</v>
      </c>
    </row>
    <row r="3" ht="12.75" customHeight="1">
      <c r="C3" s="1" t="s">
        <v>2</v>
      </c>
      <c r="D3" s="1" t="s">
        <v>3</v>
      </c>
    </row>
    <row r="4" ht="12.75" customHeight="1">
      <c r="C4" s="1" t="s">
        <v>4</v>
      </c>
      <c r="D4" s="1" t="s">
        <v>5</v>
      </c>
    </row>
    <row r="5" ht="12.75" customHeight="1">
      <c r="C5" s="1"/>
      <c r="D5" s="1"/>
    </row>
    <row r="6" ht="12.75" customHeight="1">
      <c r="C6" s="1"/>
      <c r="D6" s="1"/>
    </row>
    <row r="7" ht="12.75" customHeight="1">
      <c r="C7" s="1"/>
      <c r="D7" s="1"/>
    </row>
    <row r="8" ht="12.75" customHeight="1">
      <c r="C8" s="1"/>
      <c r="D8" s="1"/>
    </row>
    <row r="9" ht="12.75" customHeight="1">
      <c r="C9" s="1" t="s">
        <v>160</v>
      </c>
      <c r="D9" s="1" t="s">
        <v>1</v>
      </c>
    </row>
    <row r="10" ht="12.75" customHeight="1"/>
    <row r="11" ht="12.75" customHeight="1"/>
    <row r="12" ht="12.75" customHeight="1">
      <c r="A12" s="6" t="s">
        <v>6</v>
      </c>
      <c r="B12" s="7" t="s">
        <v>7</v>
      </c>
      <c r="C12" s="8"/>
      <c r="D12" s="8"/>
      <c r="E12" s="2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9"/>
      <c r="T12" s="40" t="s">
        <v>8</v>
      </c>
    </row>
    <row r="13" ht="12.75" customHeight="1">
      <c r="A13" s="13" t="s">
        <v>9</v>
      </c>
      <c r="B13" s="14" t="s">
        <v>10</v>
      </c>
      <c r="C13" s="8"/>
      <c r="D13" s="9"/>
      <c r="E13" s="43" t="s">
        <v>162</v>
      </c>
      <c r="F13" s="43" t="s">
        <v>163</v>
      </c>
      <c r="G13" s="43" t="s">
        <v>164</v>
      </c>
      <c r="H13" s="43" t="s">
        <v>165</v>
      </c>
      <c r="I13" s="43" t="s">
        <v>166</v>
      </c>
      <c r="J13" s="43" t="s">
        <v>167</v>
      </c>
      <c r="K13" s="43" t="s">
        <v>168</v>
      </c>
      <c r="L13" s="43" t="s">
        <v>169</v>
      </c>
      <c r="M13" s="43" t="s">
        <v>170</v>
      </c>
      <c r="N13" s="43" t="s">
        <v>174</v>
      </c>
      <c r="O13" s="43" t="s">
        <v>175</v>
      </c>
      <c r="P13" s="43" t="s">
        <v>176</v>
      </c>
      <c r="Q13" s="43" t="s">
        <v>177</v>
      </c>
      <c r="R13" s="43" t="s">
        <v>178</v>
      </c>
      <c r="S13" s="43" t="s">
        <v>179</v>
      </c>
      <c r="T13" s="27"/>
    </row>
    <row r="14" ht="12.75" customHeight="1">
      <c r="A14" s="18"/>
      <c r="B14" s="19" t="s">
        <v>11</v>
      </c>
      <c r="C14" s="20"/>
      <c r="D14" s="13" t="s">
        <v>12</v>
      </c>
      <c r="E14" s="13">
        <v>104.0</v>
      </c>
      <c r="F14" s="13">
        <v>118.0</v>
      </c>
      <c r="G14" s="13">
        <v>112.0</v>
      </c>
      <c r="H14" s="13">
        <v>124.0</v>
      </c>
      <c r="I14" s="13">
        <v>139.0</v>
      </c>
      <c r="J14" s="13">
        <v>110.0</v>
      </c>
      <c r="K14" s="13">
        <v>87.0</v>
      </c>
      <c r="L14" s="13">
        <v>82.0</v>
      </c>
      <c r="M14" s="13">
        <v>117.0</v>
      </c>
      <c r="N14" s="13">
        <v>84.0</v>
      </c>
      <c r="O14" s="13">
        <v>87.0</v>
      </c>
      <c r="P14" s="13">
        <v>83.0</v>
      </c>
      <c r="Q14" s="13">
        <v>74.0</v>
      </c>
      <c r="R14" s="13">
        <v>124.0</v>
      </c>
      <c r="S14" s="13">
        <v>99.0</v>
      </c>
      <c r="T14" s="6">
        <f t="shared" ref="T14:T16" si="1">SUM(E14:S14)</f>
        <v>1544</v>
      </c>
    </row>
    <row r="15" ht="12.75" customHeight="1">
      <c r="A15" s="18"/>
      <c r="B15" s="25"/>
      <c r="C15" s="26"/>
      <c r="D15" s="13" t="s">
        <v>13</v>
      </c>
      <c r="E15" s="13">
        <v>104.0</v>
      </c>
      <c r="F15" s="13">
        <v>135.0</v>
      </c>
      <c r="G15" s="13">
        <v>116.0</v>
      </c>
      <c r="H15" s="13">
        <v>152.0</v>
      </c>
      <c r="I15" s="13">
        <v>131.0</v>
      </c>
      <c r="J15" s="13">
        <v>131.0</v>
      </c>
      <c r="K15" s="13">
        <v>94.0</v>
      </c>
      <c r="L15" s="13">
        <v>92.0</v>
      </c>
      <c r="M15" s="13">
        <v>111.0</v>
      </c>
      <c r="N15" s="13">
        <v>88.0</v>
      </c>
      <c r="O15" s="13">
        <v>91.0</v>
      </c>
      <c r="P15" s="13">
        <v>75.0</v>
      </c>
      <c r="Q15" s="13">
        <v>80.0</v>
      </c>
      <c r="R15" s="13">
        <v>122.0</v>
      </c>
      <c r="S15" s="13">
        <v>90.0</v>
      </c>
      <c r="T15" s="6">
        <f t="shared" si="1"/>
        <v>1612</v>
      </c>
    </row>
    <row r="16" ht="12.75" customHeight="1">
      <c r="A16" s="16"/>
      <c r="B16" s="15"/>
      <c r="C16" s="27"/>
      <c r="D16" s="6" t="s">
        <v>14</v>
      </c>
      <c r="E16" s="6">
        <f t="shared" ref="E16:S16" si="2">SUM(E14:E15)</f>
        <v>208</v>
      </c>
      <c r="F16" s="6">
        <f t="shared" si="2"/>
        <v>253</v>
      </c>
      <c r="G16" s="6">
        <f t="shared" si="2"/>
        <v>228</v>
      </c>
      <c r="H16" s="6">
        <f t="shared" si="2"/>
        <v>276</v>
      </c>
      <c r="I16" s="6">
        <f t="shared" si="2"/>
        <v>270</v>
      </c>
      <c r="J16" s="6">
        <f t="shared" si="2"/>
        <v>241</v>
      </c>
      <c r="K16" s="6">
        <f t="shared" si="2"/>
        <v>181</v>
      </c>
      <c r="L16" s="6">
        <f t="shared" si="2"/>
        <v>174</v>
      </c>
      <c r="M16" s="6">
        <f t="shared" si="2"/>
        <v>228</v>
      </c>
      <c r="N16" s="6">
        <f t="shared" si="2"/>
        <v>172</v>
      </c>
      <c r="O16" s="6">
        <f t="shared" si="2"/>
        <v>178</v>
      </c>
      <c r="P16" s="6">
        <f t="shared" si="2"/>
        <v>158</v>
      </c>
      <c r="Q16" s="6">
        <f t="shared" si="2"/>
        <v>154</v>
      </c>
      <c r="R16" s="6">
        <f t="shared" si="2"/>
        <v>246</v>
      </c>
      <c r="S16" s="6">
        <f t="shared" si="2"/>
        <v>189</v>
      </c>
      <c r="T16" s="6">
        <f t="shared" si="1"/>
        <v>3156</v>
      </c>
    </row>
    <row r="17" ht="12.75" customHeight="1">
      <c r="A17" s="30"/>
      <c r="B17" s="8"/>
      <c r="C17" s="8"/>
      <c r="D17" s="9"/>
      <c r="E17" s="13"/>
      <c r="F17" s="13"/>
      <c r="G17" s="13"/>
      <c r="H17" s="13"/>
      <c r="I17" s="13"/>
      <c r="J17" s="13"/>
      <c r="K17" s="13"/>
      <c r="L17" s="13"/>
      <c r="M17" s="13"/>
      <c r="N17" s="72"/>
      <c r="O17" s="72"/>
      <c r="P17" s="72"/>
      <c r="Q17" s="72"/>
      <c r="R17" s="72"/>
      <c r="S17" s="72"/>
      <c r="T17" s="6"/>
    </row>
    <row r="18" ht="12.75" customHeight="1">
      <c r="A18" s="33" t="s">
        <v>15</v>
      </c>
      <c r="B18" s="14" t="s">
        <v>16</v>
      </c>
      <c r="C18" s="8"/>
      <c r="D18" s="9"/>
      <c r="E18" s="13"/>
      <c r="F18" s="13"/>
      <c r="G18" s="13"/>
      <c r="H18" s="13"/>
      <c r="I18" s="13"/>
      <c r="J18" s="13"/>
      <c r="K18" s="13"/>
      <c r="L18" s="13"/>
      <c r="M18" s="13"/>
      <c r="N18" s="72"/>
      <c r="O18" s="72"/>
      <c r="P18" s="72"/>
      <c r="Q18" s="72"/>
      <c r="R18" s="72"/>
      <c r="S18" s="72"/>
      <c r="T18" s="6"/>
    </row>
    <row r="19" ht="12.75" customHeight="1">
      <c r="A19" s="33"/>
      <c r="B19" s="34" t="s">
        <v>17</v>
      </c>
      <c r="C19" s="35" t="s">
        <v>18</v>
      </c>
      <c r="D19" s="13" t="s">
        <v>12</v>
      </c>
      <c r="E19" s="13">
        <v>80.0</v>
      </c>
      <c r="F19" s="13">
        <v>86.0</v>
      </c>
      <c r="G19" s="13">
        <v>85.0</v>
      </c>
      <c r="H19" s="13">
        <v>102.0</v>
      </c>
      <c r="I19" s="13">
        <v>99.0</v>
      </c>
      <c r="J19" s="13">
        <v>85.0</v>
      </c>
      <c r="K19" s="13">
        <v>64.0</v>
      </c>
      <c r="L19" s="13">
        <v>66.0</v>
      </c>
      <c r="M19" s="13">
        <v>90.0</v>
      </c>
      <c r="N19" s="13">
        <v>67.0</v>
      </c>
      <c r="O19" s="13">
        <v>62.0</v>
      </c>
      <c r="P19" s="13">
        <v>69.0</v>
      </c>
      <c r="Q19" s="13">
        <v>60.0</v>
      </c>
      <c r="R19" s="13">
        <v>107.0</v>
      </c>
      <c r="S19" s="13">
        <v>86.0</v>
      </c>
      <c r="T19" s="6">
        <f t="shared" ref="T19:T30" si="3">SUM(E19:S19)</f>
        <v>1208</v>
      </c>
    </row>
    <row r="20" ht="12.75" customHeight="1">
      <c r="A20" s="36"/>
      <c r="B20" s="26"/>
      <c r="C20" s="37"/>
      <c r="D20" s="13" t="s">
        <v>13</v>
      </c>
      <c r="E20" s="13">
        <v>81.0</v>
      </c>
      <c r="F20" s="13">
        <v>102.0</v>
      </c>
      <c r="G20" s="13">
        <v>89.0</v>
      </c>
      <c r="H20" s="13">
        <v>126.0</v>
      </c>
      <c r="I20" s="13">
        <v>114.0</v>
      </c>
      <c r="J20" s="13">
        <v>102.0</v>
      </c>
      <c r="K20" s="13">
        <v>76.0</v>
      </c>
      <c r="L20" s="13">
        <v>79.0</v>
      </c>
      <c r="M20" s="13">
        <v>96.0</v>
      </c>
      <c r="N20" s="13">
        <v>76.0</v>
      </c>
      <c r="O20" s="13">
        <v>60.0</v>
      </c>
      <c r="P20" s="13">
        <v>67.0</v>
      </c>
      <c r="Q20" s="13">
        <v>71.0</v>
      </c>
      <c r="R20" s="13">
        <v>110.0</v>
      </c>
      <c r="S20" s="13">
        <v>80.0</v>
      </c>
      <c r="T20" s="6">
        <f t="shared" si="3"/>
        <v>1329</v>
      </c>
    </row>
    <row r="21" ht="12.75" customHeight="1">
      <c r="A21" s="38"/>
      <c r="B21" s="27"/>
      <c r="C21" s="39"/>
      <c r="D21" s="6" t="s">
        <v>14</v>
      </c>
      <c r="E21" s="6">
        <f t="shared" ref="E21:S21" si="4">SUM(E19:E20)</f>
        <v>161</v>
      </c>
      <c r="F21" s="6">
        <f t="shared" si="4"/>
        <v>188</v>
      </c>
      <c r="G21" s="6">
        <f t="shared" si="4"/>
        <v>174</v>
      </c>
      <c r="H21" s="6">
        <f t="shared" si="4"/>
        <v>228</v>
      </c>
      <c r="I21" s="6">
        <f t="shared" si="4"/>
        <v>213</v>
      </c>
      <c r="J21" s="6">
        <f t="shared" si="4"/>
        <v>187</v>
      </c>
      <c r="K21" s="6">
        <f t="shared" si="4"/>
        <v>140</v>
      </c>
      <c r="L21" s="6">
        <f t="shared" si="4"/>
        <v>145</v>
      </c>
      <c r="M21" s="6">
        <f t="shared" si="4"/>
        <v>186</v>
      </c>
      <c r="N21" s="6">
        <f t="shared" si="4"/>
        <v>143</v>
      </c>
      <c r="O21" s="6">
        <f t="shared" si="4"/>
        <v>122</v>
      </c>
      <c r="P21" s="6">
        <f t="shared" si="4"/>
        <v>136</v>
      </c>
      <c r="Q21" s="6">
        <f t="shared" si="4"/>
        <v>131</v>
      </c>
      <c r="R21" s="6">
        <f t="shared" si="4"/>
        <v>217</v>
      </c>
      <c r="S21" s="6">
        <f t="shared" si="4"/>
        <v>166</v>
      </c>
      <c r="T21" s="6">
        <f t="shared" si="3"/>
        <v>2537</v>
      </c>
    </row>
    <row r="22" ht="12.75" customHeight="1">
      <c r="A22" s="36"/>
      <c r="B22" s="34" t="s">
        <v>19</v>
      </c>
      <c r="C22" s="35" t="s">
        <v>20</v>
      </c>
      <c r="D22" s="13" t="s">
        <v>12</v>
      </c>
      <c r="E22" s="13">
        <v>0.0</v>
      </c>
      <c r="F22" s="13">
        <v>0.0</v>
      </c>
      <c r="G22" s="13">
        <v>0.0</v>
      </c>
      <c r="H22" s="13">
        <v>0.0</v>
      </c>
      <c r="I22" s="13">
        <v>0.0</v>
      </c>
      <c r="J22" s="13">
        <v>0.0</v>
      </c>
      <c r="K22" s="13">
        <v>0.0</v>
      </c>
      <c r="L22" s="13">
        <v>0.0</v>
      </c>
      <c r="M22" s="13">
        <v>0.0</v>
      </c>
      <c r="N22" s="13">
        <v>0.0</v>
      </c>
      <c r="O22" s="13">
        <v>0.0</v>
      </c>
      <c r="P22" s="13">
        <v>0.0</v>
      </c>
      <c r="Q22" s="13">
        <v>0.0</v>
      </c>
      <c r="R22" s="13">
        <v>0.0</v>
      </c>
      <c r="S22" s="13">
        <v>0.0</v>
      </c>
      <c r="T22" s="6">
        <f t="shared" si="3"/>
        <v>0</v>
      </c>
    </row>
    <row r="23" ht="12.75" customHeight="1">
      <c r="A23" s="36"/>
      <c r="B23" s="26"/>
      <c r="C23" s="37"/>
      <c r="D23" s="13" t="s">
        <v>13</v>
      </c>
      <c r="E23" s="13">
        <v>0.0</v>
      </c>
      <c r="F23" s="13">
        <v>0.0</v>
      </c>
      <c r="G23" s="13">
        <v>0.0</v>
      </c>
      <c r="H23" s="13">
        <v>0.0</v>
      </c>
      <c r="I23" s="13">
        <v>0.0</v>
      </c>
      <c r="J23" s="13">
        <v>0.0</v>
      </c>
      <c r="K23" s="13">
        <v>0.0</v>
      </c>
      <c r="L23" s="13">
        <v>0.0</v>
      </c>
      <c r="M23" s="13">
        <v>0.0</v>
      </c>
      <c r="N23" s="13">
        <v>0.0</v>
      </c>
      <c r="O23" s="13">
        <v>1.0</v>
      </c>
      <c r="P23" s="13">
        <v>0.0</v>
      </c>
      <c r="Q23" s="13">
        <v>0.0</v>
      </c>
      <c r="R23" s="13">
        <v>0.0</v>
      </c>
      <c r="S23" s="13">
        <v>0.0</v>
      </c>
      <c r="T23" s="6">
        <f t="shared" si="3"/>
        <v>1</v>
      </c>
    </row>
    <row r="24" ht="12.75" customHeight="1">
      <c r="A24" s="38"/>
      <c r="B24" s="27"/>
      <c r="C24" s="39"/>
      <c r="D24" s="6" t="s">
        <v>14</v>
      </c>
      <c r="E24" s="6">
        <f t="shared" ref="E24:S24" si="5">SUM(E22:E23)</f>
        <v>0</v>
      </c>
      <c r="F24" s="6">
        <f t="shared" si="5"/>
        <v>0</v>
      </c>
      <c r="G24" s="6">
        <f t="shared" si="5"/>
        <v>0</v>
      </c>
      <c r="H24" s="6">
        <f t="shared" si="5"/>
        <v>0</v>
      </c>
      <c r="I24" s="6">
        <f t="shared" si="5"/>
        <v>0</v>
      </c>
      <c r="J24" s="6">
        <f t="shared" si="5"/>
        <v>0</v>
      </c>
      <c r="K24" s="6">
        <f t="shared" si="5"/>
        <v>0</v>
      </c>
      <c r="L24" s="6">
        <f t="shared" si="5"/>
        <v>0</v>
      </c>
      <c r="M24" s="6">
        <f t="shared" si="5"/>
        <v>0</v>
      </c>
      <c r="N24" s="6">
        <f t="shared" si="5"/>
        <v>0</v>
      </c>
      <c r="O24" s="6">
        <f t="shared" si="5"/>
        <v>1</v>
      </c>
      <c r="P24" s="6">
        <f t="shared" si="5"/>
        <v>0</v>
      </c>
      <c r="Q24" s="6">
        <f t="shared" si="5"/>
        <v>0</v>
      </c>
      <c r="R24" s="6">
        <f t="shared" si="5"/>
        <v>0</v>
      </c>
      <c r="S24" s="6">
        <f t="shared" si="5"/>
        <v>0</v>
      </c>
      <c r="T24" s="6">
        <f t="shared" si="3"/>
        <v>1</v>
      </c>
    </row>
    <row r="25" ht="12.75" customHeight="1">
      <c r="A25" s="36"/>
      <c r="B25" s="34" t="s">
        <v>21</v>
      </c>
      <c r="C25" s="35" t="s">
        <v>22</v>
      </c>
      <c r="D25" s="13" t="s">
        <v>12</v>
      </c>
      <c r="E25" s="13">
        <v>0.0</v>
      </c>
      <c r="F25" s="13">
        <v>0.0</v>
      </c>
      <c r="G25" s="13">
        <v>0.0</v>
      </c>
      <c r="H25" s="13">
        <v>0.0</v>
      </c>
      <c r="I25" s="13">
        <v>0.0</v>
      </c>
      <c r="J25" s="13">
        <v>0.0</v>
      </c>
      <c r="K25" s="13">
        <v>0.0</v>
      </c>
      <c r="L25" s="13">
        <v>1.0</v>
      </c>
      <c r="M25" s="13">
        <v>0.0</v>
      </c>
      <c r="N25" s="13">
        <v>0.0</v>
      </c>
      <c r="O25" s="13">
        <v>0.0</v>
      </c>
      <c r="P25" s="13">
        <v>0.0</v>
      </c>
      <c r="Q25" s="13">
        <v>0.0</v>
      </c>
      <c r="R25" s="13">
        <v>0.0</v>
      </c>
      <c r="S25" s="13">
        <v>0.0</v>
      </c>
      <c r="T25" s="6">
        <f t="shared" si="3"/>
        <v>1</v>
      </c>
    </row>
    <row r="26" ht="12.75" customHeight="1">
      <c r="A26" s="36"/>
      <c r="B26" s="26"/>
      <c r="C26" s="37"/>
      <c r="D26" s="13" t="s">
        <v>13</v>
      </c>
      <c r="E26" s="13">
        <v>0.0</v>
      </c>
      <c r="F26" s="13">
        <v>0.0</v>
      </c>
      <c r="G26" s="13">
        <v>0.0</v>
      </c>
      <c r="H26" s="13">
        <v>0.0</v>
      </c>
      <c r="I26" s="13">
        <v>0.0</v>
      </c>
      <c r="J26" s="13">
        <v>0.0</v>
      </c>
      <c r="K26" s="13">
        <v>3.0</v>
      </c>
      <c r="L26" s="13">
        <v>1.0</v>
      </c>
      <c r="M26" s="13">
        <v>0.0</v>
      </c>
      <c r="N26" s="13">
        <v>0.0</v>
      </c>
      <c r="O26" s="13">
        <v>0.0</v>
      </c>
      <c r="P26" s="13">
        <v>2.0</v>
      </c>
      <c r="Q26" s="13">
        <v>0.0</v>
      </c>
      <c r="R26" s="13">
        <v>0.0</v>
      </c>
      <c r="S26" s="13">
        <v>0.0</v>
      </c>
      <c r="T26" s="6">
        <f t="shared" si="3"/>
        <v>6</v>
      </c>
    </row>
    <row r="27" ht="12.75" customHeight="1">
      <c r="A27" s="38"/>
      <c r="B27" s="27"/>
      <c r="C27" s="39"/>
      <c r="D27" s="6" t="s">
        <v>14</v>
      </c>
      <c r="E27" s="6">
        <f t="shared" ref="E27:S27" si="6">SUM(E25:E26)</f>
        <v>0</v>
      </c>
      <c r="F27" s="6">
        <f t="shared" si="6"/>
        <v>0</v>
      </c>
      <c r="G27" s="6">
        <f t="shared" si="6"/>
        <v>0</v>
      </c>
      <c r="H27" s="6">
        <f t="shared" si="6"/>
        <v>0</v>
      </c>
      <c r="I27" s="6">
        <f t="shared" si="6"/>
        <v>0</v>
      </c>
      <c r="J27" s="6">
        <f t="shared" si="6"/>
        <v>0</v>
      </c>
      <c r="K27" s="6">
        <f t="shared" si="6"/>
        <v>3</v>
      </c>
      <c r="L27" s="6">
        <f t="shared" si="6"/>
        <v>2</v>
      </c>
      <c r="M27" s="6">
        <f t="shared" si="6"/>
        <v>0</v>
      </c>
      <c r="N27" s="6">
        <f t="shared" si="6"/>
        <v>0</v>
      </c>
      <c r="O27" s="6">
        <f t="shared" si="6"/>
        <v>0</v>
      </c>
      <c r="P27" s="6">
        <f t="shared" si="6"/>
        <v>2</v>
      </c>
      <c r="Q27" s="6">
        <f t="shared" si="6"/>
        <v>0</v>
      </c>
      <c r="R27" s="6">
        <f t="shared" si="6"/>
        <v>0</v>
      </c>
      <c r="S27" s="6">
        <f t="shared" si="6"/>
        <v>0</v>
      </c>
      <c r="T27" s="6">
        <f t="shared" si="3"/>
        <v>7</v>
      </c>
    </row>
    <row r="28" ht="12.75" customHeight="1">
      <c r="A28" s="38"/>
      <c r="B28" s="40" t="s">
        <v>23</v>
      </c>
      <c r="C28" s="41" t="s">
        <v>24</v>
      </c>
      <c r="D28" s="6" t="s">
        <v>12</v>
      </c>
      <c r="E28" s="6">
        <f t="shared" ref="E28:S28" si="7">SUM(E19,E22,E25)</f>
        <v>80</v>
      </c>
      <c r="F28" s="6">
        <f t="shared" si="7"/>
        <v>86</v>
      </c>
      <c r="G28" s="6">
        <f t="shared" si="7"/>
        <v>85</v>
      </c>
      <c r="H28" s="6">
        <f t="shared" si="7"/>
        <v>102</v>
      </c>
      <c r="I28" s="6">
        <f t="shared" si="7"/>
        <v>99</v>
      </c>
      <c r="J28" s="6">
        <f t="shared" si="7"/>
        <v>85</v>
      </c>
      <c r="K28" s="6">
        <f t="shared" si="7"/>
        <v>64</v>
      </c>
      <c r="L28" s="6">
        <f t="shared" si="7"/>
        <v>67</v>
      </c>
      <c r="M28" s="6">
        <f t="shared" si="7"/>
        <v>90</v>
      </c>
      <c r="N28" s="6">
        <f t="shared" si="7"/>
        <v>67</v>
      </c>
      <c r="O28" s="6">
        <f t="shared" si="7"/>
        <v>62</v>
      </c>
      <c r="P28" s="6">
        <f t="shared" si="7"/>
        <v>69</v>
      </c>
      <c r="Q28" s="6">
        <f t="shared" si="7"/>
        <v>60</v>
      </c>
      <c r="R28" s="6">
        <f t="shared" si="7"/>
        <v>107</v>
      </c>
      <c r="S28" s="6">
        <f t="shared" si="7"/>
        <v>86</v>
      </c>
      <c r="T28" s="6">
        <f t="shared" si="3"/>
        <v>1209</v>
      </c>
    </row>
    <row r="29" ht="12.75" customHeight="1">
      <c r="A29" s="38"/>
      <c r="B29" s="26"/>
      <c r="C29" s="37"/>
      <c r="D29" s="6" t="s">
        <v>13</v>
      </c>
      <c r="E29" s="6">
        <f t="shared" ref="E29:S29" si="8">SUM(E20,E23,E26)</f>
        <v>81</v>
      </c>
      <c r="F29" s="6">
        <f t="shared" si="8"/>
        <v>102</v>
      </c>
      <c r="G29" s="6">
        <f t="shared" si="8"/>
        <v>89</v>
      </c>
      <c r="H29" s="6">
        <f t="shared" si="8"/>
        <v>126</v>
      </c>
      <c r="I29" s="6">
        <f t="shared" si="8"/>
        <v>114</v>
      </c>
      <c r="J29" s="6">
        <f t="shared" si="8"/>
        <v>102</v>
      </c>
      <c r="K29" s="6">
        <f t="shared" si="8"/>
        <v>79</v>
      </c>
      <c r="L29" s="6">
        <f t="shared" si="8"/>
        <v>80</v>
      </c>
      <c r="M29" s="6">
        <f t="shared" si="8"/>
        <v>96</v>
      </c>
      <c r="N29" s="6">
        <f t="shared" si="8"/>
        <v>76</v>
      </c>
      <c r="O29" s="6">
        <f t="shared" si="8"/>
        <v>61</v>
      </c>
      <c r="P29" s="6">
        <f t="shared" si="8"/>
        <v>69</v>
      </c>
      <c r="Q29" s="6">
        <f t="shared" si="8"/>
        <v>71</v>
      </c>
      <c r="R29" s="6">
        <f t="shared" si="8"/>
        <v>110</v>
      </c>
      <c r="S29" s="6">
        <f t="shared" si="8"/>
        <v>80</v>
      </c>
      <c r="T29" s="6">
        <f t="shared" si="3"/>
        <v>1336</v>
      </c>
    </row>
    <row r="30" ht="12.75" customHeight="1">
      <c r="A30" s="38"/>
      <c r="B30" s="27"/>
      <c r="C30" s="39"/>
      <c r="D30" s="6" t="s">
        <v>14</v>
      </c>
      <c r="E30" s="6">
        <f t="shared" ref="E30:S30" si="9">SUM(E28:E29)</f>
        <v>161</v>
      </c>
      <c r="F30" s="6">
        <f t="shared" si="9"/>
        <v>188</v>
      </c>
      <c r="G30" s="6">
        <f t="shared" si="9"/>
        <v>174</v>
      </c>
      <c r="H30" s="6">
        <f t="shared" si="9"/>
        <v>228</v>
      </c>
      <c r="I30" s="6">
        <f t="shared" si="9"/>
        <v>213</v>
      </c>
      <c r="J30" s="6">
        <f t="shared" si="9"/>
        <v>187</v>
      </c>
      <c r="K30" s="6">
        <f t="shared" si="9"/>
        <v>143</v>
      </c>
      <c r="L30" s="6">
        <f t="shared" si="9"/>
        <v>147</v>
      </c>
      <c r="M30" s="6">
        <f t="shared" si="9"/>
        <v>186</v>
      </c>
      <c r="N30" s="6">
        <f t="shared" si="9"/>
        <v>143</v>
      </c>
      <c r="O30" s="6">
        <f t="shared" si="9"/>
        <v>123</v>
      </c>
      <c r="P30" s="6">
        <f t="shared" si="9"/>
        <v>138</v>
      </c>
      <c r="Q30" s="6">
        <f t="shared" si="9"/>
        <v>131</v>
      </c>
      <c r="R30" s="6">
        <f t="shared" si="9"/>
        <v>217</v>
      </c>
      <c r="S30" s="6">
        <f t="shared" si="9"/>
        <v>166</v>
      </c>
      <c r="T30" s="6">
        <f t="shared" si="3"/>
        <v>2545</v>
      </c>
    </row>
    <row r="31" ht="12.75" customHeight="1">
      <c r="A31" s="30"/>
      <c r="B31" s="8"/>
      <c r="C31" s="8"/>
      <c r="D31" s="9"/>
      <c r="E31" s="13"/>
      <c r="F31" s="13"/>
      <c r="G31" s="13"/>
      <c r="H31" s="13"/>
      <c r="I31" s="13"/>
      <c r="J31" s="13"/>
      <c r="K31" s="13"/>
      <c r="L31" s="13"/>
      <c r="M31" s="13"/>
      <c r="N31" s="72"/>
      <c r="O31" s="72"/>
      <c r="P31" s="72"/>
      <c r="Q31" s="72"/>
      <c r="R31" s="72"/>
      <c r="S31" s="72"/>
      <c r="T31" s="6"/>
    </row>
    <row r="32" ht="12.75" customHeight="1">
      <c r="A32" s="43" t="s">
        <v>25</v>
      </c>
      <c r="B32" s="7" t="s">
        <v>26</v>
      </c>
      <c r="C32" s="8"/>
      <c r="D32" s="9"/>
      <c r="E32" s="6"/>
      <c r="F32" s="6"/>
      <c r="G32" s="6"/>
      <c r="H32" s="6"/>
      <c r="I32" s="6"/>
      <c r="J32" s="6"/>
      <c r="K32" s="6"/>
      <c r="L32" s="6"/>
      <c r="M32" s="6"/>
      <c r="N32" s="74"/>
      <c r="O32" s="74"/>
      <c r="P32" s="74"/>
      <c r="Q32" s="74"/>
      <c r="R32" s="74"/>
      <c r="S32" s="74"/>
      <c r="T32" s="6"/>
    </row>
    <row r="33" ht="12.75" customHeight="1">
      <c r="A33" s="13">
        <v>1.0</v>
      </c>
      <c r="B33" s="14" t="s">
        <v>27</v>
      </c>
      <c r="C33" s="8"/>
      <c r="D33" s="9"/>
      <c r="E33" s="13">
        <v>213.0</v>
      </c>
      <c r="F33" s="13">
        <v>260.0</v>
      </c>
      <c r="G33" s="13">
        <v>233.0</v>
      </c>
      <c r="H33" s="13">
        <v>282.0</v>
      </c>
      <c r="I33" s="13">
        <v>276.0</v>
      </c>
      <c r="J33" s="13">
        <v>245.0</v>
      </c>
      <c r="K33" s="13">
        <v>185.0</v>
      </c>
      <c r="L33" s="13">
        <v>178.0</v>
      </c>
      <c r="M33" s="13">
        <v>223.0</v>
      </c>
      <c r="N33" s="13">
        <v>176.0</v>
      </c>
      <c r="O33" s="13">
        <v>182.0</v>
      </c>
      <c r="P33" s="13">
        <v>162.0</v>
      </c>
      <c r="Q33" s="13">
        <v>158.0</v>
      </c>
      <c r="R33" s="13">
        <v>251.0</v>
      </c>
      <c r="S33" s="13">
        <v>193.0</v>
      </c>
      <c r="T33" s="6">
        <f t="shared" ref="T33:T36" si="10">SUM(E33:S33)</f>
        <v>3217</v>
      </c>
    </row>
    <row r="34" ht="12.75" customHeight="1">
      <c r="A34" s="13">
        <v>2.0</v>
      </c>
      <c r="B34" s="14" t="s">
        <v>28</v>
      </c>
      <c r="C34" s="8"/>
      <c r="D34" s="9"/>
      <c r="E34" s="6">
        <v>161.0</v>
      </c>
      <c r="F34" s="6">
        <v>188.0</v>
      </c>
      <c r="G34" s="6">
        <v>174.0</v>
      </c>
      <c r="H34" s="6">
        <v>228.0</v>
      </c>
      <c r="I34" s="6">
        <v>213.0</v>
      </c>
      <c r="J34" s="6">
        <v>187.0</v>
      </c>
      <c r="K34" s="6">
        <v>143.0</v>
      </c>
      <c r="L34" s="6">
        <v>147.0</v>
      </c>
      <c r="M34" s="6">
        <v>186.0</v>
      </c>
      <c r="N34" s="6">
        <v>143.0</v>
      </c>
      <c r="O34" s="6">
        <v>123.0</v>
      </c>
      <c r="P34" s="6">
        <v>138.0</v>
      </c>
      <c r="Q34" s="6">
        <v>131.0</v>
      </c>
      <c r="R34" s="6">
        <v>217.0</v>
      </c>
      <c r="S34" s="6">
        <v>166.0</v>
      </c>
      <c r="T34" s="6">
        <f t="shared" si="10"/>
        <v>2545</v>
      </c>
    </row>
    <row r="35" ht="12.75" customHeight="1">
      <c r="A35" s="13">
        <v>3.0</v>
      </c>
      <c r="B35" s="14" t="s">
        <v>29</v>
      </c>
      <c r="C35" s="8"/>
      <c r="D35" s="9"/>
      <c r="E35" s="13">
        <v>0.0</v>
      </c>
      <c r="F35" s="13">
        <v>0.0</v>
      </c>
      <c r="G35" s="13">
        <v>0.0</v>
      </c>
      <c r="H35" s="13">
        <v>0.0</v>
      </c>
      <c r="I35" s="13">
        <v>0.0</v>
      </c>
      <c r="J35" s="13">
        <v>0.0</v>
      </c>
      <c r="K35" s="13">
        <v>1.0</v>
      </c>
      <c r="L35" s="13">
        <v>1.0</v>
      </c>
      <c r="M35" s="13">
        <v>0.0</v>
      </c>
      <c r="N35" s="13">
        <v>0.0</v>
      </c>
      <c r="O35" s="13">
        <v>0.0</v>
      </c>
      <c r="P35" s="13">
        <v>0.0</v>
      </c>
      <c r="Q35" s="13">
        <v>0.0</v>
      </c>
      <c r="R35" s="13">
        <v>1.0</v>
      </c>
      <c r="S35" s="13">
        <v>0.0</v>
      </c>
      <c r="T35" s="6">
        <f t="shared" si="10"/>
        <v>3</v>
      </c>
    </row>
    <row r="36" ht="12.75" customHeight="1">
      <c r="A36" s="13">
        <v>4.0</v>
      </c>
      <c r="B36" s="14" t="s">
        <v>30</v>
      </c>
      <c r="C36" s="8"/>
      <c r="D36" s="9"/>
      <c r="E36" s="6">
        <f t="shared" ref="E36:S36" si="11">E33-(E34+E35)</f>
        <v>52</v>
      </c>
      <c r="F36" s="6">
        <f t="shared" si="11"/>
        <v>72</v>
      </c>
      <c r="G36" s="6">
        <f t="shared" si="11"/>
        <v>59</v>
      </c>
      <c r="H36" s="6">
        <f t="shared" si="11"/>
        <v>54</v>
      </c>
      <c r="I36" s="6">
        <f t="shared" si="11"/>
        <v>63</v>
      </c>
      <c r="J36" s="6">
        <f t="shared" si="11"/>
        <v>58</v>
      </c>
      <c r="K36" s="6">
        <f t="shared" si="11"/>
        <v>41</v>
      </c>
      <c r="L36" s="6">
        <f t="shared" si="11"/>
        <v>30</v>
      </c>
      <c r="M36" s="6">
        <f t="shared" si="11"/>
        <v>37</v>
      </c>
      <c r="N36" s="6">
        <f t="shared" si="11"/>
        <v>33</v>
      </c>
      <c r="O36" s="6">
        <f t="shared" si="11"/>
        <v>59</v>
      </c>
      <c r="P36" s="6">
        <f t="shared" si="11"/>
        <v>24</v>
      </c>
      <c r="Q36" s="6">
        <f t="shared" si="11"/>
        <v>27</v>
      </c>
      <c r="R36" s="6">
        <f t="shared" si="11"/>
        <v>33</v>
      </c>
      <c r="S36" s="6">
        <f t="shared" si="11"/>
        <v>27</v>
      </c>
      <c r="T36" s="6">
        <f t="shared" si="10"/>
        <v>669</v>
      </c>
    </row>
    <row r="37" ht="12.75" customHeight="1">
      <c r="A37" s="30"/>
      <c r="B37" s="8"/>
      <c r="C37" s="8"/>
      <c r="D37" s="8"/>
      <c r="E37" s="30"/>
      <c r="F37" s="8"/>
      <c r="G37" s="8"/>
      <c r="H37" s="8"/>
      <c r="I37" s="9"/>
      <c r="J37" s="13"/>
      <c r="K37" s="13"/>
      <c r="L37" s="13"/>
      <c r="M37" s="13"/>
      <c r="N37" s="72"/>
      <c r="O37" s="75"/>
      <c r="P37" s="75"/>
      <c r="Q37" s="75"/>
      <c r="R37" s="75"/>
      <c r="S37" s="75"/>
      <c r="T37" s="6"/>
    </row>
    <row r="38" ht="12.75" customHeight="1">
      <c r="A38" s="46" t="s">
        <v>31</v>
      </c>
      <c r="B38" s="7" t="s">
        <v>32</v>
      </c>
      <c r="C38" s="8"/>
      <c r="D38" s="9"/>
      <c r="E38" s="6"/>
      <c r="F38" s="6"/>
      <c r="G38" s="6"/>
      <c r="H38" s="6"/>
      <c r="I38" s="6"/>
      <c r="J38" s="6"/>
      <c r="K38" s="6"/>
      <c r="L38" s="6"/>
      <c r="M38" s="6"/>
      <c r="N38" s="74"/>
      <c r="O38" s="74"/>
      <c r="P38" s="74"/>
      <c r="Q38" s="74"/>
      <c r="R38" s="74"/>
      <c r="S38" s="74"/>
      <c r="T38" s="6"/>
    </row>
    <row r="39" ht="12.75" customHeight="1">
      <c r="A39" s="33"/>
      <c r="B39" s="47" t="s">
        <v>33</v>
      </c>
      <c r="C39" s="20"/>
      <c r="D39" s="13" t="s">
        <v>12</v>
      </c>
      <c r="E39" s="13">
        <v>0.0</v>
      </c>
      <c r="F39" s="13">
        <v>0.0</v>
      </c>
      <c r="G39" s="13">
        <v>0.0</v>
      </c>
      <c r="H39" s="13">
        <v>1.0</v>
      </c>
      <c r="I39" s="13">
        <v>0.0</v>
      </c>
      <c r="J39" s="13">
        <v>0.0</v>
      </c>
      <c r="K39" s="13">
        <v>0.0</v>
      </c>
      <c r="L39" s="13">
        <v>0.0</v>
      </c>
      <c r="M39" s="13">
        <v>0.0</v>
      </c>
      <c r="N39" s="13">
        <v>0.0</v>
      </c>
      <c r="O39" s="13">
        <v>0.0</v>
      </c>
      <c r="P39" s="13">
        <v>1.0</v>
      </c>
      <c r="Q39" s="13">
        <v>0.0</v>
      </c>
      <c r="R39" s="13">
        <v>0.0</v>
      </c>
      <c r="S39" s="13">
        <v>1.0</v>
      </c>
      <c r="T39" s="6">
        <f t="shared" ref="T39:T41" si="12">SUM(E39:S39)</f>
        <v>3</v>
      </c>
    </row>
    <row r="40" ht="12.75" customHeight="1">
      <c r="A40" s="36"/>
      <c r="C40" s="26"/>
      <c r="D40" s="13" t="s">
        <v>13</v>
      </c>
      <c r="E40" s="13">
        <v>0.0</v>
      </c>
      <c r="F40" s="13">
        <v>0.0</v>
      </c>
      <c r="G40" s="13">
        <v>0.0</v>
      </c>
      <c r="H40" s="13">
        <v>1.0</v>
      </c>
      <c r="I40" s="13">
        <v>0.0</v>
      </c>
      <c r="J40" s="13">
        <v>0.0</v>
      </c>
      <c r="K40" s="13">
        <v>0.0</v>
      </c>
      <c r="L40" s="13">
        <v>0.0</v>
      </c>
      <c r="M40" s="13">
        <v>0.0</v>
      </c>
      <c r="N40" s="13">
        <v>0.0</v>
      </c>
      <c r="O40" s="13">
        <v>1.0</v>
      </c>
      <c r="P40" s="13">
        <v>3.0</v>
      </c>
      <c r="Q40" s="13">
        <v>0.0</v>
      </c>
      <c r="R40" s="13">
        <v>3.0</v>
      </c>
      <c r="S40" s="13">
        <v>0.0</v>
      </c>
      <c r="T40" s="6">
        <f t="shared" si="12"/>
        <v>8</v>
      </c>
    </row>
    <row r="41" ht="12.75" customHeight="1">
      <c r="A41" s="43"/>
      <c r="B41" s="48"/>
      <c r="C41" s="27"/>
      <c r="D41" s="6" t="s">
        <v>14</v>
      </c>
      <c r="E41" s="6">
        <f t="shared" ref="E41:S41" si="13">SUM(E39:E40)</f>
        <v>0</v>
      </c>
      <c r="F41" s="6">
        <f t="shared" si="13"/>
        <v>0</v>
      </c>
      <c r="G41" s="6">
        <f t="shared" si="13"/>
        <v>0</v>
      </c>
      <c r="H41" s="6">
        <f t="shared" si="13"/>
        <v>2</v>
      </c>
      <c r="I41" s="6">
        <f t="shared" si="13"/>
        <v>0</v>
      </c>
      <c r="J41" s="6">
        <f t="shared" si="13"/>
        <v>0</v>
      </c>
      <c r="K41" s="6">
        <f t="shared" si="13"/>
        <v>0</v>
      </c>
      <c r="L41" s="6">
        <f t="shared" si="13"/>
        <v>0</v>
      </c>
      <c r="M41" s="6">
        <f t="shared" si="13"/>
        <v>0</v>
      </c>
      <c r="N41" s="6">
        <f t="shared" si="13"/>
        <v>0</v>
      </c>
      <c r="O41" s="6">
        <f t="shared" si="13"/>
        <v>1</v>
      </c>
      <c r="P41" s="6">
        <f t="shared" si="13"/>
        <v>4</v>
      </c>
      <c r="Q41" s="6">
        <f t="shared" si="13"/>
        <v>0</v>
      </c>
      <c r="R41" s="6">
        <f t="shared" si="13"/>
        <v>3</v>
      </c>
      <c r="S41" s="6">
        <f t="shared" si="13"/>
        <v>1</v>
      </c>
      <c r="T41" s="6">
        <f t="shared" si="12"/>
        <v>11</v>
      </c>
    </row>
    <row r="42" ht="12.75" customHeight="1">
      <c r="A42" s="49"/>
      <c r="B42" s="48"/>
      <c r="C42" s="48"/>
      <c r="D42" s="27"/>
      <c r="E42" s="30"/>
      <c r="F42" s="8"/>
      <c r="G42" s="8"/>
      <c r="H42" s="8"/>
      <c r="I42" s="9"/>
      <c r="J42" s="13"/>
      <c r="K42" s="13"/>
      <c r="L42" s="13"/>
      <c r="M42" s="13"/>
      <c r="N42" s="72"/>
      <c r="T42" s="6"/>
    </row>
    <row r="43" ht="12.75" customHeight="1">
      <c r="A43" s="46" t="s">
        <v>34</v>
      </c>
      <c r="B43" s="7" t="s">
        <v>35</v>
      </c>
      <c r="C43" s="8"/>
      <c r="D43" s="9"/>
      <c r="E43" s="28"/>
      <c r="F43" s="6"/>
      <c r="G43" s="6"/>
      <c r="H43" s="6"/>
      <c r="I43" s="6"/>
      <c r="J43" s="6"/>
      <c r="K43" s="6"/>
      <c r="L43" s="6"/>
      <c r="M43" s="6"/>
      <c r="N43" s="74"/>
      <c r="T43" s="6"/>
    </row>
    <row r="44" ht="12.75" customHeight="1">
      <c r="A44" s="47" t="s">
        <v>36</v>
      </c>
      <c r="B44" s="50"/>
      <c r="C44" s="50"/>
      <c r="D44" s="20"/>
      <c r="E44" s="30"/>
      <c r="F44" s="13"/>
      <c r="G44" s="13"/>
      <c r="H44" s="13"/>
      <c r="I44" s="13"/>
      <c r="J44" s="13"/>
      <c r="K44" s="13"/>
      <c r="L44" s="13"/>
      <c r="M44" s="13"/>
      <c r="N44" s="72"/>
      <c r="T44" s="6"/>
    </row>
    <row r="45" ht="12.75" customHeight="1">
      <c r="A45" s="33" t="s">
        <v>37</v>
      </c>
      <c r="B45" s="51" t="s">
        <v>17</v>
      </c>
      <c r="C45" s="52" t="s">
        <v>38</v>
      </c>
      <c r="D45" s="9"/>
      <c r="E45" s="13">
        <v>11.0</v>
      </c>
      <c r="F45" s="13">
        <v>10.0</v>
      </c>
      <c r="G45" s="13">
        <v>12.0</v>
      </c>
      <c r="H45" s="13">
        <v>20.0</v>
      </c>
      <c r="I45" s="13">
        <v>13.0</v>
      </c>
      <c r="J45" s="13">
        <v>18.0</v>
      </c>
      <c r="K45" s="13">
        <v>6.0</v>
      </c>
      <c r="L45" s="13">
        <v>6.0</v>
      </c>
      <c r="M45" s="13">
        <v>7.0</v>
      </c>
      <c r="N45" s="13">
        <v>9.0</v>
      </c>
      <c r="O45" s="13">
        <v>9.0</v>
      </c>
      <c r="P45" s="13">
        <v>0.0</v>
      </c>
      <c r="Q45" s="13">
        <v>7.0</v>
      </c>
      <c r="R45" s="13">
        <v>2.0</v>
      </c>
      <c r="S45" s="13">
        <v>2.0</v>
      </c>
      <c r="T45" s="6">
        <f t="shared" ref="T45:T52" si="14">SUM(E45:S45)</f>
        <v>132</v>
      </c>
    </row>
    <row r="46" ht="12.75" customHeight="1">
      <c r="A46" s="33" t="s">
        <v>39</v>
      </c>
      <c r="B46" s="54">
        <v>1.0</v>
      </c>
      <c r="C46" s="55" t="s">
        <v>40</v>
      </c>
      <c r="D46" s="56"/>
      <c r="E46" s="13">
        <v>7.0</v>
      </c>
      <c r="F46" s="13">
        <v>19.0</v>
      </c>
      <c r="G46" s="13">
        <v>31.0</v>
      </c>
      <c r="H46" s="13">
        <v>60.0</v>
      </c>
      <c r="I46" s="13">
        <v>24.0</v>
      </c>
      <c r="J46" s="13">
        <v>25.0</v>
      </c>
      <c r="K46" s="13">
        <v>4.0</v>
      </c>
      <c r="L46" s="13">
        <v>7.0</v>
      </c>
      <c r="M46" s="13">
        <v>11.0</v>
      </c>
      <c r="N46" s="13">
        <v>23.0</v>
      </c>
      <c r="O46" s="13">
        <v>26.0</v>
      </c>
      <c r="P46" s="13">
        <v>17.0</v>
      </c>
      <c r="Q46" s="13">
        <v>8.0</v>
      </c>
      <c r="R46" s="13">
        <v>15.0</v>
      </c>
      <c r="S46" s="13">
        <v>12.0</v>
      </c>
      <c r="T46" s="6">
        <f t="shared" si="14"/>
        <v>289</v>
      </c>
    </row>
    <row r="47" ht="12.75" customHeight="1">
      <c r="A47" s="18"/>
      <c r="B47" s="54">
        <v>2.0</v>
      </c>
      <c r="C47" s="55" t="s">
        <v>41</v>
      </c>
      <c r="D47" s="56"/>
      <c r="E47" s="13">
        <v>0.0</v>
      </c>
      <c r="F47" s="13">
        <v>1.0</v>
      </c>
      <c r="G47" s="13">
        <v>1.0</v>
      </c>
      <c r="H47" s="13">
        <v>2.0</v>
      </c>
      <c r="I47" s="13">
        <v>2.0</v>
      </c>
      <c r="J47" s="13">
        <v>1.0</v>
      </c>
      <c r="K47" s="13">
        <v>0.0</v>
      </c>
      <c r="L47" s="13">
        <v>0.0</v>
      </c>
      <c r="M47" s="13">
        <v>2.0</v>
      </c>
      <c r="N47" s="13">
        <v>2.0</v>
      </c>
      <c r="O47" s="13">
        <v>0.0</v>
      </c>
      <c r="P47" s="13">
        <v>1.0</v>
      </c>
      <c r="Q47" s="13">
        <v>0.0</v>
      </c>
      <c r="R47" s="13">
        <v>0.0</v>
      </c>
      <c r="S47" s="13">
        <v>0.0</v>
      </c>
      <c r="T47" s="6">
        <f t="shared" si="14"/>
        <v>12</v>
      </c>
    </row>
    <row r="48" ht="12.75" customHeight="1">
      <c r="A48" s="18"/>
      <c r="B48" s="54">
        <v>3.0</v>
      </c>
      <c r="C48" s="55" t="s">
        <v>42</v>
      </c>
      <c r="D48" s="56"/>
      <c r="E48" s="13">
        <v>2.0</v>
      </c>
      <c r="F48" s="13">
        <v>3.0</v>
      </c>
      <c r="G48" s="13">
        <v>0.0</v>
      </c>
      <c r="H48" s="13">
        <v>5.0</v>
      </c>
      <c r="I48" s="13">
        <v>4.0</v>
      </c>
      <c r="J48" s="13">
        <v>6.0</v>
      </c>
      <c r="K48" s="13">
        <v>2.0</v>
      </c>
      <c r="L48" s="13">
        <v>4.0</v>
      </c>
      <c r="M48" s="13">
        <v>4.0</v>
      </c>
      <c r="N48" s="13">
        <v>0.0</v>
      </c>
      <c r="O48" s="13">
        <v>1.0</v>
      </c>
      <c r="P48" s="13">
        <v>0.0</v>
      </c>
      <c r="Q48" s="13">
        <v>0.0</v>
      </c>
      <c r="R48" s="13">
        <v>0.0</v>
      </c>
      <c r="S48" s="13">
        <v>0.0</v>
      </c>
      <c r="T48" s="6">
        <f t="shared" si="14"/>
        <v>31</v>
      </c>
    </row>
    <row r="49" ht="12.75" customHeight="1">
      <c r="A49" s="18"/>
      <c r="B49" s="54">
        <v>4.0</v>
      </c>
      <c r="C49" s="55" t="s">
        <v>43</v>
      </c>
      <c r="D49" s="56"/>
      <c r="E49" s="13">
        <v>0.0</v>
      </c>
      <c r="F49" s="13">
        <v>0.0</v>
      </c>
      <c r="G49" s="13">
        <v>0.0</v>
      </c>
      <c r="H49" s="13">
        <v>1.0</v>
      </c>
      <c r="I49" s="13">
        <v>0.0</v>
      </c>
      <c r="J49" s="13">
        <v>1.0</v>
      </c>
      <c r="K49" s="13">
        <v>0.0</v>
      </c>
      <c r="L49" s="13">
        <v>0.0</v>
      </c>
      <c r="M49" s="13">
        <v>0.0</v>
      </c>
      <c r="N49" s="13">
        <v>0.0</v>
      </c>
      <c r="O49" s="13">
        <v>0.0</v>
      </c>
      <c r="P49" s="13">
        <v>0.0</v>
      </c>
      <c r="Q49" s="13">
        <v>0.0</v>
      </c>
      <c r="R49" s="13">
        <v>0.0</v>
      </c>
      <c r="S49" s="13">
        <v>0.0</v>
      </c>
      <c r="T49" s="6">
        <f t="shared" si="14"/>
        <v>2</v>
      </c>
    </row>
    <row r="50" ht="12.75" customHeight="1">
      <c r="A50" s="18"/>
      <c r="B50" s="54">
        <v>5.0</v>
      </c>
      <c r="C50" s="55" t="s">
        <v>44</v>
      </c>
      <c r="D50" s="56"/>
      <c r="E50" s="13">
        <v>0.0</v>
      </c>
      <c r="F50" s="13">
        <v>1.0</v>
      </c>
      <c r="G50" s="13">
        <v>1.0</v>
      </c>
      <c r="H50" s="13">
        <v>0.0</v>
      </c>
      <c r="I50" s="13">
        <v>1.0</v>
      </c>
      <c r="J50" s="13">
        <v>1.0</v>
      </c>
      <c r="K50" s="13">
        <v>0.0</v>
      </c>
      <c r="L50" s="13">
        <v>0.0</v>
      </c>
      <c r="M50" s="13">
        <v>0.0</v>
      </c>
      <c r="N50" s="13">
        <v>0.0</v>
      </c>
      <c r="O50" s="13">
        <v>1.0</v>
      </c>
      <c r="P50" s="13">
        <v>0.0</v>
      </c>
      <c r="Q50" s="13">
        <v>0.0</v>
      </c>
      <c r="R50" s="13">
        <v>0.0</v>
      </c>
      <c r="S50" s="13">
        <v>0.0</v>
      </c>
      <c r="T50" s="6">
        <f t="shared" si="14"/>
        <v>5</v>
      </c>
    </row>
    <row r="51" ht="12.75" customHeight="1">
      <c r="A51" s="18"/>
      <c r="B51" s="54">
        <v>6.0</v>
      </c>
      <c r="C51" s="55" t="s">
        <v>45</v>
      </c>
      <c r="D51" s="56"/>
      <c r="E51" s="13">
        <v>0.0</v>
      </c>
      <c r="F51" s="13">
        <v>0.0</v>
      </c>
      <c r="G51" s="13">
        <v>0.0</v>
      </c>
      <c r="H51" s="13">
        <v>1.0</v>
      </c>
      <c r="I51" s="13">
        <v>3.0</v>
      </c>
      <c r="J51" s="13">
        <v>0.0</v>
      </c>
      <c r="K51" s="13">
        <v>0.0</v>
      </c>
      <c r="L51" s="13">
        <v>0.0</v>
      </c>
      <c r="M51" s="13">
        <v>0.0</v>
      </c>
      <c r="N51" s="13">
        <v>1.0</v>
      </c>
      <c r="O51" s="13">
        <v>0.0</v>
      </c>
      <c r="P51" s="13">
        <v>1.0</v>
      </c>
      <c r="Q51" s="13">
        <v>1.0</v>
      </c>
      <c r="R51" s="13">
        <v>0.0</v>
      </c>
      <c r="S51" s="13">
        <v>0.0</v>
      </c>
      <c r="T51" s="6">
        <f t="shared" si="14"/>
        <v>7</v>
      </c>
    </row>
    <row r="52" ht="12.75" customHeight="1">
      <c r="A52" s="13" t="s">
        <v>15</v>
      </c>
      <c r="B52" s="51" t="s">
        <v>46</v>
      </c>
      <c r="C52" s="8"/>
      <c r="D52" s="9"/>
      <c r="E52" s="57">
        <f t="shared" ref="E52:S52" si="15">SUM(E45:E51)</f>
        <v>20</v>
      </c>
      <c r="F52" s="57">
        <f t="shared" si="15"/>
        <v>34</v>
      </c>
      <c r="G52" s="57">
        <f t="shared" si="15"/>
        <v>45</v>
      </c>
      <c r="H52" s="57">
        <f t="shared" si="15"/>
        <v>89</v>
      </c>
      <c r="I52" s="57">
        <f t="shared" si="15"/>
        <v>47</v>
      </c>
      <c r="J52" s="57">
        <f t="shared" si="15"/>
        <v>52</v>
      </c>
      <c r="K52" s="57">
        <f t="shared" si="15"/>
        <v>12</v>
      </c>
      <c r="L52" s="57">
        <f t="shared" si="15"/>
        <v>17</v>
      </c>
      <c r="M52" s="57">
        <f t="shared" si="15"/>
        <v>24</v>
      </c>
      <c r="N52" s="57">
        <f t="shared" si="15"/>
        <v>35</v>
      </c>
      <c r="O52" s="57">
        <f t="shared" si="15"/>
        <v>37</v>
      </c>
      <c r="P52" s="57">
        <f t="shared" si="15"/>
        <v>19</v>
      </c>
      <c r="Q52" s="57">
        <f t="shared" si="15"/>
        <v>16</v>
      </c>
      <c r="R52" s="57">
        <f t="shared" si="15"/>
        <v>17</v>
      </c>
      <c r="S52" s="57">
        <f t="shared" si="15"/>
        <v>14</v>
      </c>
      <c r="T52" s="6">
        <f t="shared" si="14"/>
        <v>478</v>
      </c>
    </row>
    <row r="53" ht="12.75" customHeight="1">
      <c r="A53" s="68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"/>
    </row>
    <row r="54" ht="12.75" customHeight="1">
      <c r="A54" s="33" t="s">
        <v>37</v>
      </c>
      <c r="B54" s="51" t="s">
        <v>19</v>
      </c>
      <c r="C54" s="52" t="s">
        <v>47</v>
      </c>
      <c r="D54" s="9"/>
      <c r="E54" s="13">
        <v>5.0</v>
      </c>
      <c r="F54" s="13">
        <v>3.0</v>
      </c>
      <c r="G54" s="13">
        <v>7.0</v>
      </c>
      <c r="H54" s="13">
        <v>2.0</v>
      </c>
      <c r="I54" s="13">
        <v>9.0</v>
      </c>
      <c r="J54" s="13">
        <v>4.0</v>
      </c>
      <c r="K54" s="13">
        <v>4.0</v>
      </c>
      <c r="L54" s="13">
        <v>6.0</v>
      </c>
      <c r="M54" s="13">
        <v>16.0</v>
      </c>
      <c r="N54" s="13">
        <v>9.0</v>
      </c>
      <c r="O54" s="13">
        <v>7.0</v>
      </c>
      <c r="P54" s="13">
        <v>8.0</v>
      </c>
      <c r="Q54" s="13">
        <v>3.0</v>
      </c>
      <c r="R54" s="13">
        <v>14.0</v>
      </c>
      <c r="S54" s="13">
        <v>6.0</v>
      </c>
      <c r="T54" s="6">
        <f t="shared" ref="T54:T61" si="16">SUM(E54:S54)</f>
        <v>103</v>
      </c>
    </row>
    <row r="55" ht="12.75" customHeight="1">
      <c r="A55" s="33" t="s">
        <v>39</v>
      </c>
      <c r="B55" s="54">
        <v>1.0</v>
      </c>
      <c r="C55" s="55" t="s">
        <v>48</v>
      </c>
      <c r="D55" s="56"/>
      <c r="E55" s="13">
        <v>1.0</v>
      </c>
      <c r="F55" s="13">
        <v>5.0</v>
      </c>
      <c r="G55" s="13">
        <v>2.0</v>
      </c>
      <c r="H55" s="13">
        <v>6.0</v>
      </c>
      <c r="I55" s="13">
        <v>2.0</v>
      </c>
      <c r="J55" s="13">
        <v>7.0</v>
      </c>
      <c r="K55" s="13">
        <v>2.0</v>
      </c>
      <c r="L55" s="13">
        <v>3.0</v>
      </c>
      <c r="M55" s="13">
        <v>21.0</v>
      </c>
      <c r="N55" s="13">
        <v>1.0</v>
      </c>
      <c r="O55" s="13">
        <v>2.0</v>
      </c>
      <c r="P55" s="13">
        <v>5.0</v>
      </c>
      <c r="Q55" s="13">
        <v>0.0</v>
      </c>
      <c r="R55" s="13">
        <v>8.0</v>
      </c>
      <c r="S55" s="13">
        <v>1.0</v>
      </c>
      <c r="T55" s="6">
        <f t="shared" si="16"/>
        <v>66</v>
      </c>
    </row>
    <row r="56" ht="12.75" customHeight="1">
      <c r="A56" s="18"/>
      <c r="B56" s="54">
        <v>2.0</v>
      </c>
      <c r="C56" s="55" t="s">
        <v>49</v>
      </c>
      <c r="D56" s="56"/>
      <c r="E56" s="13">
        <v>1.0</v>
      </c>
      <c r="F56" s="13">
        <v>2.0</v>
      </c>
      <c r="G56" s="13">
        <v>2.0</v>
      </c>
      <c r="H56" s="13">
        <v>0.0</v>
      </c>
      <c r="I56" s="13">
        <v>0.0</v>
      </c>
      <c r="J56" s="13">
        <v>2.0</v>
      </c>
      <c r="K56" s="13">
        <v>0.0</v>
      </c>
      <c r="L56" s="13">
        <v>1.0</v>
      </c>
      <c r="M56" s="13">
        <v>2.0</v>
      </c>
      <c r="N56" s="13">
        <v>3.0</v>
      </c>
      <c r="O56" s="13">
        <v>2.0</v>
      </c>
      <c r="P56" s="13">
        <v>4.0</v>
      </c>
      <c r="Q56" s="13">
        <v>6.0</v>
      </c>
      <c r="R56" s="13">
        <v>2.0</v>
      </c>
      <c r="S56" s="13">
        <v>1.0</v>
      </c>
      <c r="T56" s="6">
        <f t="shared" si="16"/>
        <v>28</v>
      </c>
    </row>
    <row r="57" ht="12.75" customHeight="1">
      <c r="A57" s="18"/>
      <c r="B57" s="54">
        <v>3.0</v>
      </c>
      <c r="C57" s="55" t="s">
        <v>50</v>
      </c>
      <c r="D57" s="56"/>
      <c r="E57" s="13">
        <v>0.0</v>
      </c>
      <c r="F57" s="13">
        <v>3.0</v>
      </c>
      <c r="G57" s="13">
        <v>0.0</v>
      </c>
      <c r="H57" s="13">
        <v>2.0</v>
      </c>
      <c r="I57" s="13">
        <v>0.0</v>
      </c>
      <c r="J57" s="13">
        <v>1.0</v>
      </c>
      <c r="K57" s="13">
        <v>0.0</v>
      </c>
      <c r="L57" s="13">
        <v>1.0</v>
      </c>
      <c r="M57" s="13">
        <v>1.0</v>
      </c>
      <c r="N57" s="13">
        <v>1.0</v>
      </c>
      <c r="O57" s="13">
        <v>0.0</v>
      </c>
      <c r="P57" s="13">
        <v>0.0</v>
      </c>
      <c r="Q57" s="13">
        <v>2.0</v>
      </c>
      <c r="R57" s="13">
        <v>1.0</v>
      </c>
      <c r="S57" s="13">
        <v>0.0</v>
      </c>
      <c r="T57" s="6">
        <f t="shared" si="16"/>
        <v>12</v>
      </c>
    </row>
    <row r="58" ht="12.75" customHeight="1">
      <c r="A58" s="18"/>
      <c r="B58" s="54">
        <v>4.0</v>
      </c>
      <c r="C58" s="55" t="s">
        <v>51</v>
      </c>
      <c r="D58" s="56"/>
      <c r="E58" s="13">
        <v>0.0</v>
      </c>
      <c r="F58" s="13">
        <v>0.0</v>
      </c>
      <c r="G58" s="13">
        <v>0.0</v>
      </c>
      <c r="H58" s="13">
        <v>1.0</v>
      </c>
      <c r="I58" s="13">
        <v>0.0</v>
      </c>
      <c r="J58" s="13">
        <v>0.0</v>
      </c>
      <c r="K58" s="13">
        <v>1.0</v>
      </c>
      <c r="L58" s="13">
        <v>0.0</v>
      </c>
      <c r="M58" s="13">
        <v>1.0</v>
      </c>
      <c r="N58" s="13">
        <v>0.0</v>
      </c>
      <c r="O58" s="13">
        <v>0.0</v>
      </c>
      <c r="P58" s="13">
        <v>0.0</v>
      </c>
      <c r="Q58" s="13">
        <v>1.0</v>
      </c>
      <c r="R58" s="13">
        <v>0.0</v>
      </c>
      <c r="S58" s="13">
        <v>0.0</v>
      </c>
      <c r="T58" s="6">
        <f t="shared" si="16"/>
        <v>4</v>
      </c>
    </row>
    <row r="59" ht="12.75" customHeight="1">
      <c r="A59" s="18"/>
      <c r="B59" s="54">
        <v>5.0</v>
      </c>
      <c r="C59" s="55" t="s">
        <v>52</v>
      </c>
      <c r="D59" s="56"/>
      <c r="E59" s="13">
        <v>0.0</v>
      </c>
      <c r="F59" s="13">
        <v>0.0</v>
      </c>
      <c r="G59" s="13">
        <v>1.0</v>
      </c>
      <c r="H59" s="13">
        <v>1.0</v>
      </c>
      <c r="I59" s="13">
        <v>0.0</v>
      </c>
      <c r="J59" s="13">
        <v>0.0</v>
      </c>
      <c r="K59" s="13">
        <v>0.0</v>
      </c>
      <c r="L59" s="13">
        <v>0.0</v>
      </c>
      <c r="M59" s="13">
        <v>1.0</v>
      </c>
      <c r="N59" s="13">
        <v>0.0</v>
      </c>
      <c r="O59" s="13">
        <v>0.0</v>
      </c>
      <c r="P59" s="13">
        <v>0.0</v>
      </c>
      <c r="Q59" s="13">
        <v>0.0</v>
      </c>
      <c r="R59" s="13">
        <v>0.0</v>
      </c>
      <c r="S59" s="13">
        <v>0.0</v>
      </c>
      <c r="T59" s="6">
        <f t="shared" si="16"/>
        <v>3</v>
      </c>
    </row>
    <row r="60" ht="12.75" customHeight="1">
      <c r="A60" s="18"/>
      <c r="B60" s="54">
        <v>6.0</v>
      </c>
      <c r="C60" s="55" t="s">
        <v>53</v>
      </c>
      <c r="D60" s="56"/>
      <c r="E60" s="13">
        <v>0.0</v>
      </c>
      <c r="F60" s="13">
        <v>3.0</v>
      </c>
      <c r="G60" s="13">
        <v>3.0</v>
      </c>
      <c r="H60" s="13">
        <v>7.0</v>
      </c>
      <c r="I60" s="13">
        <v>17.0</v>
      </c>
      <c r="J60" s="13">
        <v>6.0</v>
      </c>
      <c r="K60" s="13">
        <v>2.0</v>
      </c>
      <c r="L60" s="13">
        <v>0.0</v>
      </c>
      <c r="M60" s="13">
        <v>1.0</v>
      </c>
      <c r="N60" s="13">
        <v>8.0</v>
      </c>
      <c r="O60" s="13">
        <v>5.0</v>
      </c>
      <c r="P60" s="13">
        <v>6.0</v>
      </c>
      <c r="Q60" s="13">
        <v>3.0</v>
      </c>
      <c r="R60" s="13">
        <v>5.0</v>
      </c>
      <c r="S60" s="13">
        <v>0.0</v>
      </c>
      <c r="T60" s="6">
        <f t="shared" si="16"/>
        <v>66</v>
      </c>
    </row>
    <row r="61" ht="12.75" customHeight="1">
      <c r="A61" s="13" t="s">
        <v>15</v>
      </c>
      <c r="B61" s="51" t="s">
        <v>46</v>
      </c>
      <c r="C61" s="8"/>
      <c r="D61" s="9"/>
      <c r="E61" s="57">
        <f t="shared" ref="E61:S61" si="17">SUM(E54:E60)</f>
        <v>7</v>
      </c>
      <c r="F61" s="57">
        <f t="shared" si="17"/>
        <v>16</v>
      </c>
      <c r="G61" s="57">
        <f t="shared" si="17"/>
        <v>15</v>
      </c>
      <c r="H61" s="57">
        <f t="shared" si="17"/>
        <v>19</v>
      </c>
      <c r="I61" s="57">
        <f t="shared" si="17"/>
        <v>28</v>
      </c>
      <c r="J61" s="57">
        <f t="shared" si="17"/>
        <v>20</v>
      </c>
      <c r="K61" s="57">
        <f t="shared" si="17"/>
        <v>9</v>
      </c>
      <c r="L61" s="57">
        <f t="shared" si="17"/>
        <v>11</v>
      </c>
      <c r="M61" s="57">
        <f t="shared" si="17"/>
        <v>43</v>
      </c>
      <c r="N61" s="57">
        <f t="shared" si="17"/>
        <v>22</v>
      </c>
      <c r="O61" s="57">
        <f t="shared" si="17"/>
        <v>16</v>
      </c>
      <c r="P61" s="57">
        <f t="shared" si="17"/>
        <v>23</v>
      </c>
      <c r="Q61" s="57">
        <f t="shared" si="17"/>
        <v>15</v>
      </c>
      <c r="R61" s="57">
        <f t="shared" si="17"/>
        <v>30</v>
      </c>
      <c r="S61" s="57">
        <f t="shared" si="17"/>
        <v>8</v>
      </c>
      <c r="T61" s="6">
        <f t="shared" si="16"/>
        <v>282</v>
      </c>
    </row>
    <row r="62" ht="12.75" customHeight="1">
      <c r="A62" s="68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"/>
    </row>
    <row r="63" ht="12.75" customHeight="1">
      <c r="A63" s="33" t="s">
        <v>37</v>
      </c>
      <c r="B63" s="51" t="s">
        <v>21</v>
      </c>
      <c r="C63" s="52" t="s">
        <v>54</v>
      </c>
      <c r="D63" s="9"/>
      <c r="E63" s="13">
        <v>5.0</v>
      </c>
      <c r="F63" s="13">
        <v>5.0</v>
      </c>
      <c r="G63" s="13">
        <v>10.0</v>
      </c>
      <c r="H63" s="13">
        <v>6.0</v>
      </c>
      <c r="I63" s="13">
        <v>6.0</v>
      </c>
      <c r="J63" s="13">
        <v>4.0</v>
      </c>
      <c r="K63" s="13">
        <v>7.0</v>
      </c>
      <c r="L63" s="13">
        <v>6.0</v>
      </c>
      <c r="M63" s="13">
        <v>7.0</v>
      </c>
      <c r="N63" s="13">
        <v>5.0</v>
      </c>
      <c r="O63" s="13">
        <v>7.0</v>
      </c>
      <c r="P63" s="13">
        <v>12.0</v>
      </c>
      <c r="Q63" s="13">
        <v>7.0</v>
      </c>
      <c r="R63" s="13">
        <v>19.0</v>
      </c>
      <c r="S63" s="13">
        <v>7.0</v>
      </c>
      <c r="T63" s="6">
        <f t="shared" ref="T63:T70" si="18">SUM(E63:S63)</f>
        <v>113</v>
      </c>
    </row>
    <row r="64" ht="12.75" customHeight="1">
      <c r="A64" s="33" t="s">
        <v>39</v>
      </c>
      <c r="B64" s="54">
        <v>1.0</v>
      </c>
      <c r="C64" s="55" t="s">
        <v>55</v>
      </c>
      <c r="D64" s="56"/>
      <c r="E64" s="13">
        <v>1.0</v>
      </c>
      <c r="F64" s="13">
        <v>5.0</v>
      </c>
      <c r="G64" s="13">
        <v>1.0</v>
      </c>
      <c r="H64" s="13">
        <v>5.0</v>
      </c>
      <c r="I64" s="13">
        <v>0.0</v>
      </c>
      <c r="J64" s="13">
        <v>4.0</v>
      </c>
      <c r="K64" s="13">
        <v>0.0</v>
      </c>
      <c r="L64" s="13">
        <v>0.0</v>
      </c>
      <c r="M64" s="13">
        <v>0.0</v>
      </c>
      <c r="N64" s="13">
        <v>0.0</v>
      </c>
      <c r="O64" s="13">
        <v>2.0</v>
      </c>
      <c r="P64" s="13">
        <v>3.0</v>
      </c>
      <c r="Q64" s="13">
        <v>2.0</v>
      </c>
      <c r="R64" s="13">
        <v>4.0</v>
      </c>
      <c r="S64" s="13">
        <v>2.0</v>
      </c>
      <c r="T64" s="6">
        <f t="shared" si="18"/>
        <v>29</v>
      </c>
    </row>
    <row r="65" ht="12.75" customHeight="1">
      <c r="A65" s="18"/>
      <c r="B65" s="54">
        <v>2.0</v>
      </c>
      <c r="C65" s="55" t="s">
        <v>56</v>
      </c>
      <c r="D65" s="56"/>
      <c r="E65" s="13">
        <v>2.0</v>
      </c>
      <c r="F65" s="13">
        <v>2.0</v>
      </c>
      <c r="G65" s="13">
        <v>0.0</v>
      </c>
      <c r="H65" s="13">
        <v>1.0</v>
      </c>
      <c r="I65" s="13">
        <v>2.0</v>
      </c>
      <c r="J65" s="13">
        <v>0.0</v>
      </c>
      <c r="K65" s="13">
        <v>0.0</v>
      </c>
      <c r="L65" s="13">
        <v>1.0</v>
      </c>
      <c r="M65" s="13">
        <v>1.0</v>
      </c>
      <c r="N65" s="13">
        <v>1.0</v>
      </c>
      <c r="O65" s="13">
        <v>1.0</v>
      </c>
      <c r="P65" s="13">
        <v>0.0</v>
      </c>
      <c r="Q65" s="13">
        <v>4.0</v>
      </c>
      <c r="R65" s="13">
        <v>1.0</v>
      </c>
      <c r="S65" s="13">
        <v>1.0</v>
      </c>
      <c r="T65" s="6">
        <f t="shared" si="18"/>
        <v>17</v>
      </c>
    </row>
    <row r="66" ht="12.75" customHeight="1">
      <c r="A66" s="18"/>
      <c r="B66" s="54">
        <v>3.0</v>
      </c>
      <c r="C66" s="55" t="s">
        <v>57</v>
      </c>
      <c r="D66" s="56"/>
      <c r="E66" s="13">
        <v>0.0</v>
      </c>
      <c r="F66" s="13">
        <v>1.0</v>
      </c>
      <c r="G66" s="13">
        <v>0.0</v>
      </c>
      <c r="H66" s="13">
        <v>1.0</v>
      </c>
      <c r="I66" s="13">
        <v>2.0</v>
      </c>
      <c r="J66" s="13">
        <v>1.0</v>
      </c>
      <c r="K66" s="13">
        <v>1.0</v>
      </c>
      <c r="L66" s="13">
        <v>1.0</v>
      </c>
      <c r="M66" s="13">
        <v>3.0</v>
      </c>
      <c r="N66" s="13">
        <v>0.0</v>
      </c>
      <c r="O66" s="13">
        <v>0.0</v>
      </c>
      <c r="P66" s="13">
        <v>0.0</v>
      </c>
      <c r="Q66" s="13">
        <v>2.0</v>
      </c>
      <c r="R66" s="13">
        <v>6.0</v>
      </c>
      <c r="S66" s="13">
        <v>0.0</v>
      </c>
      <c r="T66" s="6">
        <f t="shared" si="18"/>
        <v>18</v>
      </c>
    </row>
    <row r="67" ht="12.75" customHeight="1">
      <c r="A67" s="18"/>
      <c r="B67" s="54">
        <v>4.0</v>
      </c>
      <c r="C67" s="55" t="s">
        <v>58</v>
      </c>
      <c r="D67" s="56"/>
      <c r="E67" s="13">
        <v>3.0</v>
      </c>
      <c r="F67" s="13">
        <v>12.0</v>
      </c>
      <c r="G67" s="13">
        <v>23.0</v>
      </c>
      <c r="H67" s="13">
        <v>15.0</v>
      </c>
      <c r="I67" s="13">
        <v>5.0</v>
      </c>
      <c r="J67" s="13">
        <v>9.0</v>
      </c>
      <c r="K67" s="13">
        <v>41.0</v>
      </c>
      <c r="L67" s="13">
        <v>22.0</v>
      </c>
      <c r="M67" s="13">
        <v>25.0</v>
      </c>
      <c r="N67" s="13">
        <v>11.0</v>
      </c>
      <c r="O67" s="13">
        <v>15.0</v>
      </c>
      <c r="P67" s="13">
        <v>42.0</v>
      </c>
      <c r="Q67" s="13">
        <v>31.0</v>
      </c>
      <c r="R67" s="13">
        <v>109.0</v>
      </c>
      <c r="S67" s="13">
        <v>81.0</v>
      </c>
      <c r="T67" s="6">
        <f t="shared" si="18"/>
        <v>444</v>
      </c>
    </row>
    <row r="68" ht="12.75" customHeight="1">
      <c r="A68" s="18"/>
      <c r="B68" s="54">
        <v>5.0</v>
      </c>
      <c r="C68" s="55" t="s">
        <v>59</v>
      </c>
      <c r="D68" s="56"/>
      <c r="E68" s="13">
        <v>11.0</v>
      </c>
      <c r="F68" s="13">
        <v>27.0</v>
      </c>
      <c r="G68" s="13">
        <v>2.0</v>
      </c>
      <c r="H68" s="13">
        <v>5.0</v>
      </c>
      <c r="I68" s="13">
        <v>55.0</v>
      </c>
      <c r="J68" s="13">
        <v>7.0</v>
      </c>
      <c r="K68" s="13">
        <v>7.0</v>
      </c>
      <c r="L68" s="13">
        <v>27.0</v>
      </c>
      <c r="M68" s="13">
        <v>1.0</v>
      </c>
      <c r="N68" s="13">
        <v>3.0</v>
      </c>
      <c r="O68" s="13">
        <v>1.0</v>
      </c>
      <c r="P68" s="13">
        <v>3.0</v>
      </c>
      <c r="Q68" s="13">
        <v>1.0</v>
      </c>
      <c r="R68" s="13">
        <v>2.0</v>
      </c>
      <c r="S68" s="13">
        <v>2.0</v>
      </c>
      <c r="T68" s="6">
        <f t="shared" si="18"/>
        <v>154</v>
      </c>
    </row>
    <row r="69" ht="12.75" customHeight="1">
      <c r="A69" s="18"/>
      <c r="B69" s="54">
        <v>6.0</v>
      </c>
      <c r="C69" s="55" t="s">
        <v>60</v>
      </c>
      <c r="D69" s="56"/>
      <c r="E69" s="13">
        <v>0.0</v>
      </c>
      <c r="F69" s="13">
        <v>0.0</v>
      </c>
      <c r="G69" s="13">
        <v>0.0</v>
      </c>
      <c r="H69" s="13">
        <v>1.0</v>
      </c>
      <c r="I69" s="13">
        <v>2.0</v>
      </c>
      <c r="J69" s="13">
        <v>0.0</v>
      </c>
      <c r="K69" s="13">
        <v>1.0</v>
      </c>
      <c r="L69" s="13">
        <v>0.0</v>
      </c>
      <c r="M69" s="13">
        <v>3.0</v>
      </c>
      <c r="N69" s="13">
        <v>0.0</v>
      </c>
      <c r="O69" s="13">
        <v>1.0</v>
      </c>
      <c r="P69" s="13">
        <v>0.0</v>
      </c>
      <c r="Q69" s="13">
        <v>0.0</v>
      </c>
      <c r="R69" s="13">
        <v>0.0</v>
      </c>
      <c r="S69" s="13">
        <v>0.0</v>
      </c>
      <c r="T69" s="6">
        <f t="shared" si="18"/>
        <v>8</v>
      </c>
    </row>
    <row r="70" ht="12.75" customHeight="1">
      <c r="A70" s="13" t="s">
        <v>15</v>
      </c>
      <c r="B70" s="51" t="s">
        <v>46</v>
      </c>
      <c r="C70" s="8"/>
      <c r="D70" s="9"/>
      <c r="E70" s="57">
        <f t="shared" ref="E70:S70" si="19">SUM(E63:E69)</f>
        <v>22</v>
      </c>
      <c r="F70" s="57">
        <f t="shared" si="19"/>
        <v>52</v>
      </c>
      <c r="G70" s="57">
        <f t="shared" si="19"/>
        <v>36</v>
      </c>
      <c r="H70" s="57">
        <f t="shared" si="19"/>
        <v>34</v>
      </c>
      <c r="I70" s="57">
        <f t="shared" si="19"/>
        <v>72</v>
      </c>
      <c r="J70" s="57">
        <f t="shared" si="19"/>
        <v>25</v>
      </c>
      <c r="K70" s="57">
        <f t="shared" si="19"/>
        <v>57</v>
      </c>
      <c r="L70" s="57">
        <f t="shared" si="19"/>
        <v>57</v>
      </c>
      <c r="M70" s="57">
        <f t="shared" si="19"/>
        <v>40</v>
      </c>
      <c r="N70" s="57">
        <f t="shared" si="19"/>
        <v>20</v>
      </c>
      <c r="O70" s="57">
        <f t="shared" si="19"/>
        <v>27</v>
      </c>
      <c r="P70" s="57">
        <f t="shared" si="19"/>
        <v>60</v>
      </c>
      <c r="Q70" s="57">
        <f t="shared" si="19"/>
        <v>47</v>
      </c>
      <c r="R70" s="57">
        <f t="shared" si="19"/>
        <v>141</v>
      </c>
      <c r="S70" s="57">
        <f t="shared" si="19"/>
        <v>93</v>
      </c>
      <c r="T70" s="6">
        <f t="shared" si="18"/>
        <v>783</v>
      </c>
    </row>
    <row r="71" ht="12.75" customHeight="1">
      <c r="A71" s="68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"/>
    </row>
    <row r="72" ht="12.75" customHeight="1">
      <c r="A72" s="33" t="s">
        <v>37</v>
      </c>
      <c r="B72" s="51" t="s">
        <v>23</v>
      </c>
      <c r="C72" s="52" t="s">
        <v>61</v>
      </c>
      <c r="D72" s="9"/>
      <c r="E72" s="13">
        <v>5.0</v>
      </c>
      <c r="F72" s="13">
        <v>6.0</v>
      </c>
      <c r="G72" s="13">
        <v>3.0</v>
      </c>
      <c r="H72" s="13">
        <v>0.0</v>
      </c>
      <c r="I72" s="13">
        <v>3.0</v>
      </c>
      <c r="J72" s="13">
        <v>1.0</v>
      </c>
      <c r="K72" s="13">
        <v>5.0</v>
      </c>
      <c r="L72" s="13">
        <v>1.0</v>
      </c>
      <c r="M72" s="13">
        <v>3.0</v>
      </c>
      <c r="N72" s="13">
        <v>9.0</v>
      </c>
      <c r="O72" s="13">
        <v>2.0</v>
      </c>
      <c r="P72" s="13">
        <v>0.0</v>
      </c>
      <c r="Q72" s="13">
        <v>2.0</v>
      </c>
      <c r="R72" s="13">
        <v>4.0</v>
      </c>
      <c r="S72" s="13">
        <v>0.0</v>
      </c>
      <c r="T72" s="6">
        <f t="shared" ref="T72:T79" si="20">SUM(E72:S72)</f>
        <v>44</v>
      </c>
    </row>
    <row r="73" ht="12.75" customHeight="1">
      <c r="A73" s="33" t="s">
        <v>39</v>
      </c>
      <c r="B73" s="54">
        <v>1.0</v>
      </c>
      <c r="C73" s="55" t="s">
        <v>62</v>
      </c>
      <c r="D73" s="56"/>
      <c r="E73" s="13">
        <v>18.0</v>
      </c>
      <c r="F73" s="13">
        <v>8.0</v>
      </c>
      <c r="G73" s="13">
        <v>11.0</v>
      </c>
      <c r="H73" s="13">
        <v>1.0</v>
      </c>
      <c r="I73" s="13">
        <v>3.0</v>
      </c>
      <c r="J73" s="13">
        <v>9.0</v>
      </c>
      <c r="K73" s="13">
        <v>3.0</v>
      </c>
      <c r="L73" s="13">
        <v>7.0</v>
      </c>
      <c r="M73" s="13">
        <v>13.0</v>
      </c>
      <c r="N73" s="13">
        <v>13.0</v>
      </c>
      <c r="O73" s="13">
        <v>7.0</v>
      </c>
      <c r="P73" s="13">
        <v>0.0</v>
      </c>
      <c r="Q73" s="13">
        <v>2.0</v>
      </c>
      <c r="R73" s="13">
        <v>4.0</v>
      </c>
      <c r="S73" s="13">
        <v>20.0</v>
      </c>
      <c r="T73" s="6">
        <f t="shared" si="20"/>
        <v>119</v>
      </c>
    </row>
    <row r="74" ht="12.75" customHeight="1">
      <c r="A74" s="18"/>
      <c r="B74" s="54">
        <v>2.0</v>
      </c>
      <c r="C74" s="55" t="s">
        <v>63</v>
      </c>
      <c r="D74" s="56"/>
      <c r="E74" s="13">
        <v>7.0</v>
      </c>
      <c r="F74" s="13">
        <v>16.0</v>
      </c>
      <c r="G74" s="13">
        <v>5.0</v>
      </c>
      <c r="H74" s="13">
        <v>0.0</v>
      </c>
      <c r="I74" s="13">
        <v>4.0</v>
      </c>
      <c r="J74" s="13">
        <v>3.0</v>
      </c>
      <c r="K74" s="13">
        <v>1.0</v>
      </c>
      <c r="L74" s="13">
        <v>0.0</v>
      </c>
      <c r="M74" s="13">
        <v>0.0</v>
      </c>
      <c r="N74" s="13">
        <v>2.0</v>
      </c>
      <c r="O74" s="13">
        <v>3.0</v>
      </c>
      <c r="P74" s="13">
        <v>1.0</v>
      </c>
      <c r="Q74" s="13">
        <v>1.0</v>
      </c>
      <c r="R74" s="13">
        <v>1.0</v>
      </c>
      <c r="S74" s="13">
        <v>2.0</v>
      </c>
      <c r="T74" s="6">
        <f t="shared" si="20"/>
        <v>46</v>
      </c>
    </row>
    <row r="75" ht="12.75" customHeight="1">
      <c r="A75" s="18"/>
      <c r="B75" s="54">
        <v>3.0</v>
      </c>
      <c r="C75" s="55" t="s">
        <v>64</v>
      </c>
      <c r="D75" s="56"/>
      <c r="E75" s="13">
        <v>0.0</v>
      </c>
      <c r="F75" s="13">
        <v>0.0</v>
      </c>
      <c r="G75" s="13">
        <v>0.0</v>
      </c>
      <c r="H75" s="13">
        <v>0.0</v>
      </c>
      <c r="I75" s="13">
        <v>0.0</v>
      </c>
      <c r="J75" s="13">
        <v>1.0</v>
      </c>
      <c r="K75" s="13">
        <v>0.0</v>
      </c>
      <c r="L75" s="13">
        <v>0.0</v>
      </c>
      <c r="M75" s="13">
        <v>0.0</v>
      </c>
      <c r="N75" s="13">
        <v>0.0</v>
      </c>
      <c r="O75" s="13">
        <v>0.0</v>
      </c>
      <c r="P75" s="13">
        <v>0.0</v>
      </c>
      <c r="Q75" s="13">
        <v>0.0</v>
      </c>
      <c r="R75" s="13">
        <v>0.0</v>
      </c>
      <c r="S75" s="13">
        <v>0.0</v>
      </c>
      <c r="T75" s="6">
        <f t="shared" si="20"/>
        <v>1</v>
      </c>
    </row>
    <row r="76" ht="12.75" customHeight="1">
      <c r="A76" s="18"/>
      <c r="B76" s="54">
        <v>4.0</v>
      </c>
      <c r="C76" s="55" t="s">
        <v>65</v>
      </c>
      <c r="D76" s="56"/>
      <c r="E76" s="13">
        <v>0.0</v>
      </c>
      <c r="F76" s="13">
        <v>0.0</v>
      </c>
      <c r="G76" s="13">
        <v>0.0</v>
      </c>
      <c r="H76" s="13">
        <v>0.0</v>
      </c>
      <c r="I76" s="13">
        <v>2.0</v>
      </c>
      <c r="J76" s="13">
        <v>0.0</v>
      </c>
      <c r="K76" s="13">
        <v>0.0</v>
      </c>
      <c r="L76" s="13">
        <v>0.0</v>
      </c>
      <c r="M76" s="13">
        <v>0.0</v>
      </c>
      <c r="N76" s="13">
        <v>5.0</v>
      </c>
      <c r="O76" s="13">
        <v>0.0</v>
      </c>
      <c r="P76" s="13">
        <v>0.0</v>
      </c>
      <c r="Q76" s="13">
        <v>0.0</v>
      </c>
      <c r="R76" s="13">
        <v>1.0</v>
      </c>
      <c r="S76" s="13">
        <v>0.0</v>
      </c>
      <c r="T76" s="6">
        <f t="shared" si="20"/>
        <v>8</v>
      </c>
    </row>
    <row r="77" ht="12.75" customHeight="1">
      <c r="A77" s="18"/>
      <c r="B77" s="54">
        <v>5.0</v>
      </c>
      <c r="C77" s="55" t="s">
        <v>66</v>
      </c>
      <c r="D77" s="56"/>
      <c r="E77" s="13">
        <v>0.0</v>
      </c>
      <c r="F77" s="13">
        <v>0.0</v>
      </c>
      <c r="G77" s="13">
        <v>0.0</v>
      </c>
      <c r="H77" s="13">
        <v>0.0</v>
      </c>
      <c r="I77" s="13">
        <v>0.0</v>
      </c>
      <c r="J77" s="13">
        <v>1.0</v>
      </c>
      <c r="K77" s="13">
        <v>0.0</v>
      </c>
      <c r="L77" s="13">
        <v>0.0</v>
      </c>
      <c r="M77" s="13">
        <v>0.0</v>
      </c>
      <c r="N77" s="13">
        <v>0.0</v>
      </c>
      <c r="O77" s="13">
        <v>0.0</v>
      </c>
      <c r="P77" s="13">
        <v>0.0</v>
      </c>
      <c r="Q77" s="13">
        <v>0.0</v>
      </c>
      <c r="R77" s="13">
        <v>0.0</v>
      </c>
      <c r="S77" s="13">
        <v>0.0</v>
      </c>
      <c r="T77" s="6">
        <f t="shared" si="20"/>
        <v>1</v>
      </c>
    </row>
    <row r="78" ht="12.75" customHeight="1">
      <c r="A78" s="18"/>
      <c r="B78" s="54">
        <v>6.0</v>
      </c>
      <c r="C78" s="55" t="s">
        <v>67</v>
      </c>
      <c r="D78" s="56"/>
      <c r="E78" s="13">
        <v>0.0</v>
      </c>
      <c r="F78" s="13">
        <v>0.0</v>
      </c>
      <c r="G78" s="13">
        <v>0.0</v>
      </c>
      <c r="H78" s="13">
        <v>0.0</v>
      </c>
      <c r="I78" s="13">
        <v>0.0</v>
      </c>
      <c r="J78" s="13">
        <v>0.0</v>
      </c>
      <c r="K78" s="13">
        <v>0.0</v>
      </c>
      <c r="L78" s="13">
        <v>0.0</v>
      </c>
      <c r="M78" s="13">
        <v>0.0</v>
      </c>
      <c r="N78" s="13">
        <v>0.0</v>
      </c>
      <c r="O78" s="13">
        <v>0.0</v>
      </c>
      <c r="P78" s="13">
        <v>0.0</v>
      </c>
      <c r="Q78" s="13">
        <v>0.0</v>
      </c>
      <c r="R78" s="13">
        <v>0.0</v>
      </c>
      <c r="S78" s="13">
        <v>0.0</v>
      </c>
      <c r="T78" s="6">
        <f t="shared" si="20"/>
        <v>0</v>
      </c>
    </row>
    <row r="79" ht="12.75" customHeight="1">
      <c r="A79" s="13" t="s">
        <v>15</v>
      </c>
      <c r="B79" s="51" t="s">
        <v>46</v>
      </c>
      <c r="C79" s="8"/>
      <c r="D79" s="9"/>
      <c r="E79" s="57">
        <f t="shared" ref="E79:S79" si="21">SUM(E72:E78)</f>
        <v>30</v>
      </c>
      <c r="F79" s="57">
        <f t="shared" si="21"/>
        <v>30</v>
      </c>
      <c r="G79" s="57">
        <f t="shared" si="21"/>
        <v>19</v>
      </c>
      <c r="H79" s="57">
        <f t="shared" si="21"/>
        <v>1</v>
      </c>
      <c r="I79" s="57">
        <f t="shared" si="21"/>
        <v>12</v>
      </c>
      <c r="J79" s="57">
        <f t="shared" si="21"/>
        <v>15</v>
      </c>
      <c r="K79" s="57">
        <f t="shared" si="21"/>
        <v>9</v>
      </c>
      <c r="L79" s="57">
        <f t="shared" si="21"/>
        <v>8</v>
      </c>
      <c r="M79" s="57">
        <f t="shared" si="21"/>
        <v>16</v>
      </c>
      <c r="N79" s="57">
        <f t="shared" si="21"/>
        <v>29</v>
      </c>
      <c r="O79" s="57">
        <f t="shared" si="21"/>
        <v>12</v>
      </c>
      <c r="P79" s="57">
        <f t="shared" si="21"/>
        <v>1</v>
      </c>
      <c r="Q79" s="57">
        <f t="shared" si="21"/>
        <v>5</v>
      </c>
      <c r="R79" s="57">
        <f t="shared" si="21"/>
        <v>10</v>
      </c>
      <c r="S79" s="57">
        <f t="shared" si="21"/>
        <v>22</v>
      </c>
      <c r="T79" s="6">
        <f t="shared" si="20"/>
        <v>219</v>
      </c>
    </row>
    <row r="80" ht="12.75" customHeight="1">
      <c r="A80" s="68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"/>
    </row>
    <row r="81" ht="12.75" customHeight="1">
      <c r="A81" s="33" t="s">
        <v>37</v>
      </c>
      <c r="B81" s="51" t="s">
        <v>68</v>
      </c>
      <c r="C81" s="52" t="s">
        <v>69</v>
      </c>
      <c r="D81" s="9"/>
      <c r="E81" s="13">
        <v>2.0</v>
      </c>
      <c r="F81" s="13">
        <v>5.0</v>
      </c>
      <c r="G81" s="13">
        <v>1.0</v>
      </c>
      <c r="H81" s="13">
        <v>0.0</v>
      </c>
      <c r="I81" s="13">
        <v>1.0</v>
      </c>
      <c r="J81" s="13">
        <v>1.0</v>
      </c>
      <c r="K81" s="13">
        <v>0.0</v>
      </c>
      <c r="L81" s="13">
        <v>2.0</v>
      </c>
      <c r="M81" s="13">
        <v>0.0</v>
      </c>
      <c r="N81" s="13">
        <v>1.0</v>
      </c>
      <c r="O81" s="13">
        <v>1.0</v>
      </c>
      <c r="P81" s="13">
        <v>3.0</v>
      </c>
      <c r="Q81" s="13">
        <v>4.0</v>
      </c>
      <c r="R81" s="13">
        <v>1.0</v>
      </c>
      <c r="S81" s="13">
        <v>0.0</v>
      </c>
      <c r="T81" s="6">
        <f t="shared" ref="T81:T88" si="22">SUM(E81:S81)</f>
        <v>22</v>
      </c>
    </row>
    <row r="82" ht="12.75" customHeight="1">
      <c r="A82" s="33" t="s">
        <v>39</v>
      </c>
      <c r="B82" s="54">
        <v>1.0</v>
      </c>
      <c r="C82" s="55" t="s">
        <v>70</v>
      </c>
      <c r="D82" s="56"/>
      <c r="E82" s="13">
        <v>3.0</v>
      </c>
      <c r="F82" s="13">
        <v>0.0</v>
      </c>
      <c r="G82" s="13">
        <v>1.0</v>
      </c>
      <c r="H82" s="13">
        <v>0.0</v>
      </c>
      <c r="I82" s="13">
        <v>0.0</v>
      </c>
      <c r="J82" s="13">
        <v>0.0</v>
      </c>
      <c r="K82" s="13">
        <v>1.0</v>
      </c>
      <c r="L82" s="13">
        <v>0.0</v>
      </c>
      <c r="M82" s="13">
        <v>1.0</v>
      </c>
      <c r="N82" s="13">
        <v>1.0</v>
      </c>
      <c r="O82" s="13">
        <v>1.0</v>
      </c>
      <c r="P82" s="13">
        <v>14.0</v>
      </c>
      <c r="Q82" s="13">
        <v>24.0</v>
      </c>
      <c r="R82" s="13">
        <v>2.0</v>
      </c>
      <c r="S82" s="13">
        <v>0.0</v>
      </c>
      <c r="T82" s="6">
        <f t="shared" si="22"/>
        <v>48</v>
      </c>
    </row>
    <row r="83" ht="12.75" customHeight="1">
      <c r="A83" s="18"/>
      <c r="B83" s="54">
        <v>2.0</v>
      </c>
      <c r="C83" s="55" t="s">
        <v>71</v>
      </c>
      <c r="D83" s="56"/>
      <c r="E83" s="13">
        <v>1.0</v>
      </c>
      <c r="F83" s="13">
        <v>0.0</v>
      </c>
      <c r="G83" s="13">
        <v>0.0</v>
      </c>
      <c r="H83" s="13">
        <v>0.0</v>
      </c>
      <c r="I83" s="13">
        <v>0.0</v>
      </c>
      <c r="J83" s="13">
        <v>0.0</v>
      </c>
      <c r="K83" s="13">
        <v>0.0</v>
      </c>
      <c r="L83" s="13">
        <v>0.0</v>
      </c>
      <c r="M83" s="13">
        <v>0.0</v>
      </c>
      <c r="N83" s="13">
        <v>0.0</v>
      </c>
      <c r="O83" s="13">
        <v>0.0</v>
      </c>
      <c r="P83" s="13">
        <v>0.0</v>
      </c>
      <c r="Q83" s="13">
        <v>1.0</v>
      </c>
      <c r="R83" s="13">
        <v>0.0</v>
      </c>
      <c r="S83" s="13">
        <v>1.0</v>
      </c>
      <c r="T83" s="6">
        <f t="shared" si="22"/>
        <v>3</v>
      </c>
    </row>
    <row r="84" ht="12.75" customHeight="1">
      <c r="A84" s="18"/>
      <c r="B84" s="54">
        <v>3.0</v>
      </c>
      <c r="C84" s="55" t="s">
        <v>72</v>
      </c>
      <c r="D84" s="56"/>
      <c r="E84" s="13">
        <v>1.0</v>
      </c>
      <c r="F84" s="13">
        <v>0.0</v>
      </c>
      <c r="G84" s="13">
        <v>0.0</v>
      </c>
      <c r="H84" s="13">
        <v>0.0</v>
      </c>
      <c r="I84" s="13">
        <v>0.0</v>
      </c>
      <c r="J84" s="13">
        <v>0.0</v>
      </c>
      <c r="K84" s="13">
        <v>2.0</v>
      </c>
      <c r="L84" s="13">
        <v>0.0</v>
      </c>
      <c r="M84" s="13">
        <v>0.0</v>
      </c>
      <c r="N84" s="13">
        <v>0.0</v>
      </c>
      <c r="O84" s="13">
        <v>0.0</v>
      </c>
      <c r="P84" s="13">
        <v>0.0</v>
      </c>
      <c r="Q84" s="13">
        <v>0.0</v>
      </c>
      <c r="R84" s="13">
        <v>0.0</v>
      </c>
      <c r="S84" s="13">
        <v>0.0</v>
      </c>
      <c r="T84" s="6">
        <f t="shared" si="22"/>
        <v>3</v>
      </c>
    </row>
    <row r="85" ht="12.75" customHeight="1">
      <c r="A85" s="18"/>
      <c r="B85" s="54">
        <v>4.0</v>
      </c>
      <c r="C85" s="55" t="s">
        <v>73</v>
      </c>
      <c r="D85" s="56"/>
      <c r="E85" s="13">
        <v>0.0</v>
      </c>
      <c r="F85" s="13">
        <v>0.0</v>
      </c>
      <c r="G85" s="13">
        <v>0.0</v>
      </c>
      <c r="H85" s="13">
        <v>0.0</v>
      </c>
      <c r="I85" s="13">
        <v>0.0</v>
      </c>
      <c r="J85" s="13">
        <v>0.0</v>
      </c>
      <c r="K85" s="13">
        <v>0.0</v>
      </c>
      <c r="L85" s="13">
        <v>0.0</v>
      </c>
      <c r="M85" s="13">
        <v>0.0</v>
      </c>
      <c r="N85" s="13">
        <v>0.0</v>
      </c>
      <c r="O85" s="13">
        <v>0.0</v>
      </c>
      <c r="P85" s="13">
        <v>0.0</v>
      </c>
      <c r="Q85" s="13">
        <v>0.0</v>
      </c>
      <c r="R85" s="13">
        <v>0.0</v>
      </c>
      <c r="S85" s="13">
        <v>0.0</v>
      </c>
      <c r="T85" s="6">
        <f t="shared" si="22"/>
        <v>0</v>
      </c>
    </row>
    <row r="86" ht="12.75" customHeight="1">
      <c r="A86" s="18"/>
      <c r="B86" s="54">
        <v>5.0</v>
      </c>
      <c r="C86" s="55" t="s">
        <v>74</v>
      </c>
      <c r="D86" s="56"/>
      <c r="E86" s="13">
        <v>0.0</v>
      </c>
      <c r="F86" s="13">
        <v>0.0</v>
      </c>
      <c r="G86" s="13">
        <v>1.0</v>
      </c>
      <c r="H86" s="13">
        <v>1.0</v>
      </c>
      <c r="I86" s="13">
        <v>0.0</v>
      </c>
      <c r="J86" s="13">
        <v>0.0</v>
      </c>
      <c r="K86" s="13">
        <v>0.0</v>
      </c>
      <c r="L86" s="13">
        <v>0.0</v>
      </c>
      <c r="M86" s="13">
        <v>0.0</v>
      </c>
      <c r="N86" s="13">
        <v>0.0</v>
      </c>
      <c r="O86" s="13">
        <v>4.0</v>
      </c>
      <c r="P86" s="13">
        <v>0.0</v>
      </c>
      <c r="Q86" s="13">
        <v>0.0</v>
      </c>
      <c r="R86" s="13">
        <v>0.0</v>
      </c>
      <c r="S86" s="13">
        <v>0.0</v>
      </c>
      <c r="T86" s="6">
        <f t="shared" si="22"/>
        <v>6</v>
      </c>
    </row>
    <row r="87" ht="12.75" customHeight="1">
      <c r="A87" s="18"/>
      <c r="B87" s="54">
        <v>6.0</v>
      </c>
      <c r="C87" s="55" t="s">
        <v>75</v>
      </c>
      <c r="D87" s="56"/>
      <c r="E87" s="13">
        <v>2.0</v>
      </c>
      <c r="F87" s="13">
        <v>16.0</v>
      </c>
      <c r="G87" s="13">
        <v>6.0</v>
      </c>
      <c r="H87" s="13">
        <v>8.0</v>
      </c>
      <c r="I87" s="13">
        <v>1.0</v>
      </c>
      <c r="J87" s="13">
        <v>7.0</v>
      </c>
      <c r="K87" s="13">
        <v>5.0</v>
      </c>
      <c r="L87" s="13">
        <v>6.0</v>
      </c>
      <c r="M87" s="13">
        <v>15.0</v>
      </c>
      <c r="N87" s="13">
        <v>1.0</v>
      </c>
      <c r="O87" s="13">
        <v>5.0</v>
      </c>
      <c r="P87" s="13">
        <v>0.0</v>
      </c>
      <c r="Q87" s="13">
        <v>0.0</v>
      </c>
      <c r="R87" s="13">
        <v>1.0</v>
      </c>
      <c r="S87" s="13">
        <v>2.0</v>
      </c>
      <c r="T87" s="6">
        <f t="shared" si="22"/>
        <v>75</v>
      </c>
    </row>
    <row r="88" ht="12.75" customHeight="1">
      <c r="A88" s="13" t="s">
        <v>15</v>
      </c>
      <c r="B88" s="51" t="s">
        <v>46</v>
      </c>
      <c r="C88" s="8"/>
      <c r="D88" s="9"/>
      <c r="E88" s="57">
        <f t="shared" ref="E88:S88" si="23">SUM(E81:E87)</f>
        <v>9</v>
      </c>
      <c r="F88" s="57">
        <f t="shared" si="23"/>
        <v>21</v>
      </c>
      <c r="G88" s="57">
        <f t="shared" si="23"/>
        <v>9</v>
      </c>
      <c r="H88" s="57">
        <f t="shared" si="23"/>
        <v>9</v>
      </c>
      <c r="I88" s="57">
        <f t="shared" si="23"/>
        <v>2</v>
      </c>
      <c r="J88" s="57">
        <f t="shared" si="23"/>
        <v>8</v>
      </c>
      <c r="K88" s="57">
        <f t="shared" si="23"/>
        <v>8</v>
      </c>
      <c r="L88" s="57">
        <f t="shared" si="23"/>
        <v>8</v>
      </c>
      <c r="M88" s="57">
        <f t="shared" si="23"/>
        <v>16</v>
      </c>
      <c r="N88" s="57">
        <f t="shared" si="23"/>
        <v>3</v>
      </c>
      <c r="O88" s="57">
        <f t="shared" si="23"/>
        <v>11</v>
      </c>
      <c r="P88" s="57">
        <f t="shared" si="23"/>
        <v>17</v>
      </c>
      <c r="Q88" s="57">
        <f t="shared" si="23"/>
        <v>29</v>
      </c>
      <c r="R88" s="57">
        <f t="shared" si="23"/>
        <v>4</v>
      </c>
      <c r="S88" s="57">
        <f t="shared" si="23"/>
        <v>3</v>
      </c>
      <c r="T88" s="6">
        <f t="shared" si="22"/>
        <v>157</v>
      </c>
    </row>
    <row r="89" ht="12.75" customHeight="1">
      <c r="A89" s="68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"/>
    </row>
    <row r="90" ht="12.75" customHeight="1">
      <c r="A90" s="33" t="s">
        <v>37</v>
      </c>
      <c r="B90" s="51" t="s">
        <v>76</v>
      </c>
      <c r="C90" s="52" t="s">
        <v>77</v>
      </c>
      <c r="D90" s="9"/>
      <c r="E90" s="13">
        <v>0.0</v>
      </c>
      <c r="F90" s="13">
        <v>0.0</v>
      </c>
      <c r="G90" s="13">
        <v>0.0</v>
      </c>
      <c r="H90" s="13">
        <v>0.0</v>
      </c>
      <c r="I90" s="13">
        <v>1.0</v>
      </c>
      <c r="J90" s="13">
        <v>0.0</v>
      </c>
      <c r="K90" s="13">
        <v>0.0</v>
      </c>
      <c r="L90" s="13">
        <v>0.0</v>
      </c>
      <c r="M90" s="13">
        <v>1.0</v>
      </c>
      <c r="N90" s="13">
        <v>0.0</v>
      </c>
      <c r="O90" s="13">
        <v>0.0</v>
      </c>
      <c r="P90" s="13">
        <v>1.0</v>
      </c>
      <c r="Q90" s="13">
        <v>1.0</v>
      </c>
      <c r="R90" s="13">
        <v>1.0</v>
      </c>
      <c r="S90" s="13">
        <v>0.0</v>
      </c>
      <c r="T90" s="6">
        <f t="shared" ref="T90:T92" si="24">SUM(E90:S90)</f>
        <v>5</v>
      </c>
    </row>
    <row r="91" ht="12.75" customHeight="1">
      <c r="A91" s="33" t="s">
        <v>39</v>
      </c>
      <c r="B91" s="54"/>
      <c r="C91" s="55" t="s">
        <v>78</v>
      </c>
      <c r="D91" s="9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6">
        <f t="shared" si="24"/>
        <v>0</v>
      </c>
    </row>
    <row r="92" ht="12.75" customHeight="1">
      <c r="A92" s="13" t="s">
        <v>15</v>
      </c>
      <c r="B92" s="51" t="s">
        <v>46</v>
      </c>
      <c r="C92" s="8"/>
      <c r="D92" s="9"/>
      <c r="E92" s="57">
        <f t="shared" ref="E92:S92" si="25">SUM(E90:E91)</f>
        <v>0</v>
      </c>
      <c r="F92" s="57">
        <f t="shared" si="25"/>
        <v>0</v>
      </c>
      <c r="G92" s="57">
        <f t="shared" si="25"/>
        <v>0</v>
      </c>
      <c r="H92" s="57">
        <f t="shared" si="25"/>
        <v>0</v>
      </c>
      <c r="I92" s="57">
        <f t="shared" si="25"/>
        <v>1</v>
      </c>
      <c r="J92" s="57">
        <f t="shared" si="25"/>
        <v>0</v>
      </c>
      <c r="K92" s="57">
        <f t="shared" si="25"/>
        <v>0</v>
      </c>
      <c r="L92" s="57">
        <f t="shared" si="25"/>
        <v>0</v>
      </c>
      <c r="M92" s="57">
        <f t="shared" si="25"/>
        <v>1</v>
      </c>
      <c r="N92" s="57">
        <f t="shared" si="25"/>
        <v>0</v>
      </c>
      <c r="O92" s="57">
        <f t="shared" si="25"/>
        <v>0</v>
      </c>
      <c r="P92" s="57">
        <f t="shared" si="25"/>
        <v>1</v>
      </c>
      <c r="Q92" s="57">
        <f t="shared" si="25"/>
        <v>1</v>
      </c>
      <c r="R92" s="57">
        <f t="shared" si="25"/>
        <v>1</v>
      </c>
      <c r="S92" s="57">
        <f t="shared" si="25"/>
        <v>0</v>
      </c>
      <c r="T92" s="6">
        <f t="shared" si="24"/>
        <v>5</v>
      </c>
    </row>
    <row r="93" ht="12.75" customHeight="1">
      <c r="A93" s="68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"/>
    </row>
    <row r="94" ht="12.75" customHeight="1">
      <c r="A94" s="33" t="s">
        <v>37</v>
      </c>
      <c r="B94" s="51" t="s">
        <v>79</v>
      </c>
      <c r="C94" s="52" t="s">
        <v>80</v>
      </c>
      <c r="D94" s="9"/>
      <c r="E94" s="13">
        <v>1.0</v>
      </c>
      <c r="F94" s="13">
        <v>1.0</v>
      </c>
      <c r="G94" s="13">
        <v>0.0</v>
      </c>
      <c r="H94" s="13">
        <v>0.0</v>
      </c>
      <c r="I94" s="13">
        <v>0.0</v>
      </c>
      <c r="J94" s="13">
        <v>0.0</v>
      </c>
      <c r="K94" s="13">
        <v>0.0</v>
      </c>
      <c r="L94" s="13">
        <v>1.0</v>
      </c>
      <c r="M94" s="13">
        <v>2.0</v>
      </c>
      <c r="N94" s="13">
        <v>1.0</v>
      </c>
      <c r="O94" s="13">
        <v>0.0</v>
      </c>
      <c r="P94" s="13">
        <v>0.0</v>
      </c>
      <c r="Q94" s="13">
        <v>0.0</v>
      </c>
      <c r="R94" s="13">
        <v>0.0</v>
      </c>
      <c r="S94" s="13">
        <v>0.0</v>
      </c>
      <c r="T94" s="6">
        <f t="shared" ref="T94:T99" si="26">SUM(E94:S94)</f>
        <v>6</v>
      </c>
    </row>
    <row r="95" ht="12.75" customHeight="1">
      <c r="A95" s="33" t="s">
        <v>39</v>
      </c>
      <c r="B95" s="54">
        <v>1.0</v>
      </c>
      <c r="C95" s="55" t="s">
        <v>81</v>
      </c>
      <c r="D95" s="56"/>
      <c r="E95" s="13">
        <v>0.0</v>
      </c>
      <c r="F95" s="13">
        <v>0.0</v>
      </c>
      <c r="G95" s="13">
        <v>0.0</v>
      </c>
      <c r="H95" s="13">
        <v>0.0</v>
      </c>
      <c r="I95" s="13">
        <v>1.0</v>
      </c>
      <c r="J95" s="13">
        <v>0.0</v>
      </c>
      <c r="K95" s="13">
        <v>0.0</v>
      </c>
      <c r="L95" s="13">
        <v>0.0</v>
      </c>
      <c r="M95" s="13">
        <v>0.0</v>
      </c>
      <c r="N95" s="13">
        <v>0.0</v>
      </c>
      <c r="O95" s="13">
        <v>0.0</v>
      </c>
      <c r="P95" s="13">
        <v>0.0</v>
      </c>
      <c r="Q95" s="13">
        <v>0.0</v>
      </c>
      <c r="R95" s="13">
        <v>0.0</v>
      </c>
      <c r="S95" s="13">
        <v>0.0</v>
      </c>
      <c r="T95" s="6">
        <f t="shared" si="26"/>
        <v>1</v>
      </c>
    </row>
    <row r="96" ht="12.75" customHeight="1">
      <c r="A96" s="33"/>
      <c r="B96" s="54">
        <v>2.0</v>
      </c>
      <c r="C96" s="55" t="s">
        <v>82</v>
      </c>
      <c r="D96" s="56"/>
      <c r="E96" s="13">
        <v>0.0</v>
      </c>
      <c r="F96" s="13">
        <v>0.0</v>
      </c>
      <c r="G96" s="13">
        <v>0.0</v>
      </c>
      <c r="H96" s="13">
        <v>0.0</v>
      </c>
      <c r="I96" s="13">
        <v>0.0</v>
      </c>
      <c r="J96" s="13">
        <v>0.0</v>
      </c>
      <c r="K96" s="13">
        <v>0.0</v>
      </c>
      <c r="L96" s="13">
        <v>0.0</v>
      </c>
      <c r="M96" s="13">
        <v>0.0</v>
      </c>
      <c r="N96" s="13">
        <v>1.0</v>
      </c>
      <c r="O96" s="13">
        <v>0.0</v>
      </c>
      <c r="P96" s="13">
        <v>0.0</v>
      </c>
      <c r="Q96" s="13">
        <v>0.0</v>
      </c>
      <c r="R96" s="13">
        <v>0.0</v>
      </c>
      <c r="S96" s="13">
        <v>0.0</v>
      </c>
      <c r="T96" s="6">
        <f t="shared" si="26"/>
        <v>1</v>
      </c>
    </row>
    <row r="97" ht="12.75" customHeight="1">
      <c r="A97" s="33"/>
      <c r="B97" s="54">
        <v>3.0</v>
      </c>
      <c r="C97" s="55" t="s">
        <v>83</v>
      </c>
      <c r="D97" s="56"/>
      <c r="E97" s="13">
        <v>0.0</v>
      </c>
      <c r="F97" s="13">
        <v>0.0</v>
      </c>
      <c r="G97" s="13">
        <v>0.0</v>
      </c>
      <c r="H97" s="13">
        <v>0.0</v>
      </c>
      <c r="I97" s="13">
        <v>0.0</v>
      </c>
      <c r="J97" s="13">
        <v>0.0</v>
      </c>
      <c r="K97" s="13">
        <v>0.0</v>
      </c>
      <c r="L97" s="13">
        <v>0.0</v>
      </c>
      <c r="M97" s="13">
        <v>0.0</v>
      </c>
      <c r="N97" s="13">
        <v>0.0</v>
      </c>
      <c r="O97" s="13">
        <v>0.0</v>
      </c>
      <c r="P97" s="13">
        <v>0.0</v>
      </c>
      <c r="Q97" s="13">
        <v>0.0</v>
      </c>
      <c r="R97" s="13">
        <v>0.0</v>
      </c>
      <c r="S97" s="13">
        <v>0.0</v>
      </c>
      <c r="T97" s="6">
        <f t="shared" si="26"/>
        <v>0</v>
      </c>
    </row>
    <row r="98" ht="12.75" customHeight="1">
      <c r="A98" s="33"/>
      <c r="B98" s="54">
        <v>4.0</v>
      </c>
      <c r="C98" s="55" t="s">
        <v>84</v>
      </c>
      <c r="D98" s="56"/>
      <c r="E98" s="13">
        <v>0.0</v>
      </c>
      <c r="F98" s="13">
        <v>0.0</v>
      </c>
      <c r="G98" s="13">
        <v>0.0</v>
      </c>
      <c r="H98" s="13">
        <v>0.0</v>
      </c>
      <c r="I98" s="13">
        <v>0.0</v>
      </c>
      <c r="J98" s="13">
        <v>0.0</v>
      </c>
      <c r="K98" s="13">
        <v>0.0</v>
      </c>
      <c r="L98" s="13">
        <v>1.0</v>
      </c>
      <c r="M98" s="13">
        <v>0.0</v>
      </c>
      <c r="N98" s="13">
        <v>0.0</v>
      </c>
      <c r="O98" s="13">
        <v>0.0</v>
      </c>
      <c r="P98" s="13">
        <v>0.0</v>
      </c>
      <c r="Q98" s="13">
        <v>0.0</v>
      </c>
      <c r="R98" s="13">
        <v>0.0</v>
      </c>
      <c r="S98" s="13">
        <v>0.0</v>
      </c>
      <c r="T98" s="6">
        <f t="shared" si="26"/>
        <v>1</v>
      </c>
    </row>
    <row r="99" ht="12.75" customHeight="1">
      <c r="A99" s="13" t="s">
        <v>15</v>
      </c>
      <c r="B99" s="51" t="s">
        <v>46</v>
      </c>
      <c r="C99" s="8"/>
      <c r="D99" s="9"/>
      <c r="E99" s="57">
        <f t="shared" ref="E99:S99" si="27">SUM(E94:E98)</f>
        <v>1</v>
      </c>
      <c r="F99" s="57">
        <f t="shared" si="27"/>
        <v>1</v>
      </c>
      <c r="G99" s="57">
        <f t="shared" si="27"/>
        <v>0</v>
      </c>
      <c r="H99" s="57">
        <f t="shared" si="27"/>
        <v>0</v>
      </c>
      <c r="I99" s="57">
        <f t="shared" si="27"/>
        <v>1</v>
      </c>
      <c r="J99" s="57">
        <f t="shared" si="27"/>
        <v>0</v>
      </c>
      <c r="K99" s="57">
        <f t="shared" si="27"/>
        <v>0</v>
      </c>
      <c r="L99" s="57">
        <f t="shared" si="27"/>
        <v>2</v>
      </c>
      <c r="M99" s="57">
        <f t="shared" si="27"/>
        <v>2</v>
      </c>
      <c r="N99" s="57">
        <f t="shared" si="27"/>
        <v>2</v>
      </c>
      <c r="O99" s="57">
        <f t="shared" si="27"/>
        <v>0</v>
      </c>
      <c r="P99" s="57">
        <f t="shared" si="27"/>
        <v>0</v>
      </c>
      <c r="Q99" s="57">
        <f t="shared" si="27"/>
        <v>0</v>
      </c>
      <c r="R99" s="57">
        <f t="shared" si="27"/>
        <v>0</v>
      </c>
      <c r="S99" s="57">
        <f t="shared" si="27"/>
        <v>0</v>
      </c>
      <c r="T99" s="6">
        <f t="shared" si="26"/>
        <v>9</v>
      </c>
    </row>
    <row r="100" ht="12.75" customHeight="1">
      <c r="A100" s="68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"/>
    </row>
    <row r="101" ht="12.75" customHeight="1">
      <c r="A101" s="33" t="s">
        <v>37</v>
      </c>
      <c r="B101" s="51" t="s">
        <v>85</v>
      </c>
      <c r="C101" s="52" t="s">
        <v>86</v>
      </c>
      <c r="D101" s="9"/>
      <c r="E101" s="13">
        <v>0.0</v>
      </c>
      <c r="F101" s="13">
        <v>3.0</v>
      </c>
      <c r="G101" s="13">
        <v>0.0</v>
      </c>
      <c r="H101" s="13">
        <v>1.0</v>
      </c>
      <c r="I101" s="13">
        <v>2.0</v>
      </c>
      <c r="J101" s="13">
        <v>1.0</v>
      </c>
      <c r="K101" s="13">
        <v>3.0</v>
      </c>
      <c r="L101" s="13">
        <v>1.0</v>
      </c>
      <c r="M101" s="13">
        <v>0.0</v>
      </c>
      <c r="N101" s="13">
        <v>1.0</v>
      </c>
      <c r="O101" s="13">
        <v>0.0</v>
      </c>
      <c r="P101" s="13">
        <v>0.0</v>
      </c>
      <c r="Q101" s="13">
        <v>1.0</v>
      </c>
      <c r="R101" s="13">
        <v>0.0</v>
      </c>
      <c r="S101" s="13">
        <v>0.0</v>
      </c>
      <c r="T101" s="6">
        <f t="shared" ref="T101:T108" si="28">SUM(E101:S101)</f>
        <v>13</v>
      </c>
    </row>
    <row r="102" ht="12.75" customHeight="1">
      <c r="A102" s="33" t="s">
        <v>39</v>
      </c>
      <c r="B102" s="54">
        <v>1.0</v>
      </c>
      <c r="C102" s="55" t="s">
        <v>87</v>
      </c>
      <c r="D102" s="56"/>
      <c r="E102" s="13">
        <v>0.0</v>
      </c>
      <c r="F102" s="13">
        <v>5.0</v>
      </c>
      <c r="G102" s="13">
        <v>0.0</v>
      </c>
      <c r="H102" s="13">
        <v>0.0</v>
      </c>
      <c r="I102" s="13">
        <v>0.0</v>
      </c>
      <c r="J102" s="13">
        <v>5.0</v>
      </c>
      <c r="K102" s="13">
        <v>0.0</v>
      </c>
      <c r="L102" s="13">
        <v>0.0</v>
      </c>
      <c r="M102" s="13">
        <v>0.0</v>
      </c>
      <c r="N102" s="13">
        <v>1.0</v>
      </c>
      <c r="O102" s="13">
        <v>0.0</v>
      </c>
      <c r="P102" s="13">
        <v>0.0</v>
      </c>
      <c r="Q102" s="13">
        <v>0.0</v>
      </c>
      <c r="R102" s="13">
        <v>0.0</v>
      </c>
      <c r="S102" s="13">
        <v>1.0</v>
      </c>
      <c r="T102" s="6">
        <f t="shared" si="28"/>
        <v>12</v>
      </c>
    </row>
    <row r="103" ht="12.75" customHeight="1">
      <c r="A103" s="18"/>
      <c r="B103" s="54">
        <v>2.0</v>
      </c>
      <c r="C103" s="55" t="s">
        <v>88</v>
      </c>
      <c r="D103" s="56"/>
      <c r="E103" s="13">
        <v>1.0</v>
      </c>
      <c r="F103" s="13">
        <v>0.0</v>
      </c>
      <c r="G103" s="13">
        <v>0.0</v>
      </c>
      <c r="H103" s="13">
        <v>0.0</v>
      </c>
      <c r="I103" s="13">
        <v>1.0</v>
      </c>
      <c r="J103" s="13">
        <v>0.0</v>
      </c>
      <c r="K103" s="13">
        <v>0.0</v>
      </c>
      <c r="L103" s="13">
        <v>0.0</v>
      </c>
      <c r="M103" s="13">
        <v>0.0</v>
      </c>
      <c r="N103" s="13">
        <v>0.0</v>
      </c>
      <c r="O103" s="13">
        <v>1.0</v>
      </c>
      <c r="P103" s="13">
        <v>0.0</v>
      </c>
      <c r="Q103" s="13">
        <v>0.0</v>
      </c>
      <c r="R103" s="13">
        <v>0.0</v>
      </c>
      <c r="S103" s="13">
        <v>0.0</v>
      </c>
      <c r="T103" s="6">
        <f t="shared" si="28"/>
        <v>3</v>
      </c>
    </row>
    <row r="104" ht="12.75" customHeight="1">
      <c r="A104" s="18"/>
      <c r="B104" s="54">
        <v>3.0</v>
      </c>
      <c r="C104" s="55" t="s">
        <v>89</v>
      </c>
      <c r="D104" s="56"/>
      <c r="E104" s="13">
        <v>0.0</v>
      </c>
      <c r="F104" s="13">
        <v>0.0</v>
      </c>
      <c r="G104" s="13">
        <v>0.0</v>
      </c>
      <c r="H104" s="13">
        <v>0.0</v>
      </c>
      <c r="I104" s="13">
        <v>0.0</v>
      </c>
      <c r="J104" s="13">
        <v>0.0</v>
      </c>
      <c r="K104" s="13">
        <v>0.0</v>
      </c>
      <c r="L104" s="13">
        <v>0.0</v>
      </c>
      <c r="M104" s="13">
        <v>0.0</v>
      </c>
      <c r="N104" s="13">
        <v>0.0</v>
      </c>
      <c r="O104" s="13">
        <v>0.0</v>
      </c>
      <c r="P104" s="13">
        <v>0.0</v>
      </c>
      <c r="Q104" s="13">
        <v>0.0</v>
      </c>
      <c r="R104" s="13">
        <v>0.0</v>
      </c>
      <c r="S104" s="13">
        <v>0.0</v>
      </c>
      <c r="T104" s="6">
        <f t="shared" si="28"/>
        <v>0</v>
      </c>
    </row>
    <row r="105" ht="12.75" customHeight="1">
      <c r="A105" s="18"/>
      <c r="B105" s="54">
        <v>4.0</v>
      </c>
      <c r="C105" s="55" t="s">
        <v>90</v>
      </c>
      <c r="D105" s="56"/>
      <c r="E105" s="13">
        <v>0.0</v>
      </c>
      <c r="F105" s="13">
        <v>0.0</v>
      </c>
      <c r="G105" s="13">
        <v>1.0</v>
      </c>
      <c r="H105" s="13">
        <v>0.0</v>
      </c>
      <c r="I105" s="13">
        <v>0.0</v>
      </c>
      <c r="J105" s="13">
        <v>0.0</v>
      </c>
      <c r="K105" s="13">
        <v>0.0</v>
      </c>
      <c r="L105" s="13">
        <v>0.0</v>
      </c>
      <c r="M105" s="13">
        <v>0.0</v>
      </c>
      <c r="N105" s="13">
        <v>0.0</v>
      </c>
      <c r="O105" s="13">
        <v>1.0</v>
      </c>
      <c r="P105" s="13">
        <v>0.0</v>
      </c>
      <c r="Q105" s="13">
        <v>0.0</v>
      </c>
      <c r="R105" s="13">
        <v>0.0</v>
      </c>
      <c r="S105" s="13">
        <v>0.0</v>
      </c>
      <c r="T105" s="6">
        <f t="shared" si="28"/>
        <v>2</v>
      </c>
    </row>
    <row r="106" ht="12.75" customHeight="1">
      <c r="A106" s="18"/>
      <c r="B106" s="54">
        <v>5.0</v>
      </c>
      <c r="C106" s="55" t="s">
        <v>91</v>
      </c>
      <c r="D106" s="56"/>
      <c r="E106" s="13">
        <v>0.0</v>
      </c>
      <c r="F106" s="13">
        <v>0.0</v>
      </c>
      <c r="G106" s="13">
        <v>0.0</v>
      </c>
      <c r="H106" s="13">
        <v>1.0</v>
      </c>
      <c r="I106" s="13">
        <v>0.0</v>
      </c>
      <c r="J106" s="13">
        <v>0.0</v>
      </c>
      <c r="K106" s="13">
        <v>0.0</v>
      </c>
      <c r="L106" s="13">
        <v>0.0</v>
      </c>
      <c r="M106" s="13">
        <v>0.0</v>
      </c>
      <c r="N106" s="13">
        <v>0.0</v>
      </c>
      <c r="O106" s="13">
        <v>0.0</v>
      </c>
      <c r="P106" s="13">
        <v>0.0</v>
      </c>
      <c r="Q106" s="13">
        <v>0.0</v>
      </c>
      <c r="R106" s="13">
        <v>0.0</v>
      </c>
      <c r="S106" s="13">
        <v>0.0</v>
      </c>
      <c r="T106" s="6">
        <f t="shared" si="28"/>
        <v>1</v>
      </c>
    </row>
    <row r="107" ht="12.75" customHeight="1">
      <c r="A107" s="18"/>
      <c r="B107" s="54">
        <v>6.0</v>
      </c>
      <c r="C107" s="55" t="s">
        <v>92</v>
      </c>
      <c r="D107" s="56"/>
      <c r="E107" s="13">
        <v>0.0</v>
      </c>
      <c r="F107" s="13">
        <v>0.0</v>
      </c>
      <c r="G107" s="13">
        <v>0.0</v>
      </c>
      <c r="H107" s="13">
        <v>2.0</v>
      </c>
      <c r="I107" s="13">
        <v>0.0</v>
      </c>
      <c r="J107" s="13">
        <v>1.0</v>
      </c>
      <c r="K107" s="13">
        <v>2.0</v>
      </c>
      <c r="L107" s="13">
        <v>0.0</v>
      </c>
      <c r="M107" s="13">
        <v>6.0</v>
      </c>
      <c r="N107" s="13">
        <v>0.0</v>
      </c>
      <c r="O107" s="13">
        <v>0.0</v>
      </c>
      <c r="P107" s="13">
        <v>1.0</v>
      </c>
      <c r="Q107" s="13">
        <v>0.0</v>
      </c>
      <c r="R107" s="13">
        <v>0.0</v>
      </c>
      <c r="S107" s="13">
        <v>2.0</v>
      </c>
      <c r="T107" s="6">
        <f t="shared" si="28"/>
        <v>14</v>
      </c>
    </row>
    <row r="108" ht="12.75" customHeight="1">
      <c r="A108" s="13" t="s">
        <v>15</v>
      </c>
      <c r="B108" s="51" t="s">
        <v>46</v>
      </c>
      <c r="C108" s="8"/>
      <c r="D108" s="9"/>
      <c r="E108" s="57">
        <f t="shared" ref="E108:S108" si="29">SUM(E101:E107)</f>
        <v>1</v>
      </c>
      <c r="F108" s="57">
        <f t="shared" si="29"/>
        <v>8</v>
      </c>
      <c r="G108" s="57">
        <f t="shared" si="29"/>
        <v>1</v>
      </c>
      <c r="H108" s="57">
        <f t="shared" si="29"/>
        <v>4</v>
      </c>
      <c r="I108" s="57">
        <f t="shared" si="29"/>
        <v>3</v>
      </c>
      <c r="J108" s="57">
        <f t="shared" si="29"/>
        <v>7</v>
      </c>
      <c r="K108" s="57">
        <f t="shared" si="29"/>
        <v>5</v>
      </c>
      <c r="L108" s="57">
        <f t="shared" si="29"/>
        <v>1</v>
      </c>
      <c r="M108" s="57">
        <f t="shared" si="29"/>
        <v>6</v>
      </c>
      <c r="N108" s="57">
        <f t="shared" si="29"/>
        <v>2</v>
      </c>
      <c r="O108" s="57">
        <f t="shared" si="29"/>
        <v>2</v>
      </c>
      <c r="P108" s="57">
        <f t="shared" si="29"/>
        <v>1</v>
      </c>
      <c r="Q108" s="57">
        <f t="shared" si="29"/>
        <v>1</v>
      </c>
      <c r="R108" s="57">
        <f t="shared" si="29"/>
        <v>0</v>
      </c>
      <c r="S108" s="57">
        <f t="shared" si="29"/>
        <v>3</v>
      </c>
      <c r="T108" s="6">
        <f t="shared" si="28"/>
        <v>45</v>
      </c>
    </row>
    <row r="109" ht="12.75" customHeight="1">
      <c r="A109" s="68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"/>
    </row>
    <row r="110" ht="12.75" customHeight="1">
      <c r="A110" s="33" t="s">
        <v>37</v>
      </c>
      <c r="B110" s="51" t="s">
        <v>93</v>
      </c>
      <c r="C110" s="52" t="s">
        <v>94</v>
      </c>
      <c r="D110" s="9"/>
      <c r="E110" s="13">
        <v>0.0</v>
      </c>
      <c r="F110" s="13">
        <v>0.0</v>
      </c>
      <c r="G110" s="13">
        <v>0.0</v>
      </c>
      <c r="H110" s="13">
        <v>0.0</v>
      </c>
      <c r="I110" s="13">
        <v>0.0</v>
      </c>
      <c r="J110" s="13">
        <v>1.0</v>
      </c>
      <c r="K110" s="13">
        <v>0.0</v>
      </c>
      <c r="L110" s="13">
        <v>0.0</v>
      </c>
      <c r="M110" s="13">
        <v>0.0</v>
      </c>
      <c r="N110" s="13">
        <v>0.0</v>
      </c>
      <c r="O110" s="13">
        <v>0.0</v>
      </c>
      <c r="P110" s="13">
        <v>0.0</v>
      </c>
      <c r="Q110" s="13">
        <v>0.0</v>
      </c>
      <c r="R110" s="13">
        <v>0.0</v>
      </c>
      <c r="S110" s="13">
        <v>0.0</v>
      </c>
      <c r="T110" s="6">
        <f t="shared" ref="T110:T114" si="30">SUM(E110:S110)</f>
        <v>1</v>
      </c>
    </row>
    <row r="111" ht="12.75" customHeight="1">
      <c r="A111" s="33"/>
      <c r="B111" s="54">
        <v>1.0</v>
      </c>
      <c r="C111" s="55" t="s">
        <v>95</v>
      </c>
      <c r="D111" s="63"/>
      <c r="E111" s="13">
        <v>0.0</v>
      </c>
      <c r="F111" s="13">
        <v>0.0</v>
      </c>
      <c r="G111" s="13">
        <v>0.0</v>
      </c>
      <c r="H111" s="13">
        <v>0.0</v>
      </c>
      <c r="I111" s="13">
        <v>0.0</v>
      </c>
      <c r="J111" s="13">
        <v>0.0</v>
      </c>
      <c r="K111" s="13">
        <v>0.0</v>
      </c>
      <c r="L111" s="13">
        <v>0.0</v>
      </c>
      <c r="M111" s="13">
        <v>0.0</v>
      </c>
      <c r="N111" s="13">
        <v>0.0</v>
      </c>
      <c r="O111" s="13">
        <v>0.0</v>
      </c>
      <c r="P111" s="13">
        <v>0.0</v>
      </c>
      <c r="Q111" s="13">
        <v>0.0</v>
      </c>
      <c r="R111" s="13">
        <v>0.0</v>
      </c>
      <c r="S111" s="13">
        <v>0.0</v>
      </c>
      <c r="T111" s="6">
        <f t="shared" si="30"/>
        <v>0</v>
      </c>
    </row>
    <row r="112" ht="12.75" customHeight="1">
      <c r="A112" s="33"/>
      <c r="B112" s="54">
        <v>2.0</v>
      </c>
      <c r="C112" s="55" t="s">
        <v>96</v>
      </c>
      <c r="D112" s="63"/>
      <c r="E112" s="13">
        <v>0.0</v>
      </c>
      <c r="F112" s="13">
        <v>0.0</v>
      </c>
      <c r="G112" s="13">
        <v>0.0</v>
      </c>
      <c r="H112" s="13">
        <v>0.0</v>
      </c>
      <c r="I112" s="13">
        <v>0.0</v>
      </c>
      <c r="J112" s="13">
        <v>0.0</v>
      </c>
      <c r="K112" s="13">
        <v>0.0</v>
      </c>
      <c r="L112" s="13">
        <v>0.0</v>
      </c>
      <c r="M112" s="13">
        <v>0.0</v>
      </c>
      <c r="N112" s="13">
        <v>0.0</v>
      </c>
      <c r="O112" s="13">
        <v>0.0</v>
      </c>
      <c r="P112" s="13">
        <v>0.0</v>
      </c>
      <c r="Q112" s="13">
        <v>0.0</v>
      </c>
      <c r="R112" s="13">
        <v>0.0</v>
      </c>
      <c r="S112" s="13">
        <v>0.0</v>
      </c>
      <c r="T112" s="6">
        <f t="shared" si="30"/>
        <v>0</v>
      </c>
    </row>
    <row r="113" ht="12.75" customHeight="1">
      <c r="A113" s="33"/>
      <c r="B113" s="54">
        <v>3.0</v>
      </c>
      <c r="C113" s="55" t="s">
        <v>97</v>
      </c>
      <c r="D113" s="63"/>
      <c r="E113" s="13">
        <v>0.0</v>
      </c>
      <c r="F113" s="13">
        <v>0.0</v>
      </c>
      <c r="G113" s="13">
        <v>0.0</v>
      </c>
      <c r="H113" s="13">
        <v>0.0</v>
      </c>
      <c r="I113" s="13">
        <v>0.0</v>
      </c>
      <c r="J113" s="13">
        <v>0.0</v>
      </c>
      <c r="K113" s="13">
        <v>0.0</v>
      </c>
      <c r="L113" s="13">
        <v>0.0</v>
      </c>
      <c r="M113" s="13">
        <v>0.0</v>
      </c>
      <c r="N113" s="13">
        <v>0.0</v>
      </c>
      <c r="O113" s="13">
        <v>0.0</v>
      </c>
      <c r="P113" s="13">
        <v>0.0</v>
      </c>
      <c r="Q113" s="13">
        <v>0.0</v>
      </c>
      <c r="R113" s="13">
        <v>0.0</v>
      </c>
      <c r="S113" s="13">
        <v>0.0</v>
      </c>
      <c r="T113" s="6">
        <f t="shared" si="30"/>
        <v>0</v>
      </c>
    </row>
    <row r="114" ht="12.75" customHeight="1">
      <c r="A114" s="13" t="s">
        <v>15</v>
      </c>
      <c r="B114" s="51" t="s">
        <v>46</v>
      </c>
      <c r="C114" s="8"/>
      <c r="D114" s="9"/>
      <c r="E114" s="57">
        <f t="shared" ref="E114:S114" si="31">SUM(E110:E113)</f>
        <v>0</v>
      </c>
      <c r="F114" s="57">
        <f t="shared" si="31"/>
        <v>0</v>
      </c>
      <c r="G114" s="57">
        <f t="shared" si="31"/>
        <v>0</v>
      </c>
      <c r="H114" s="57">
        <f t="shared" si="31"/>
        <v>0</v>
      </c>
      <c r="I114" s="57">
        <f t="shared" si="31"/>
        <v>0</v>
      </c>
      <c r="J114" s="57">
        <f t="shared" si="31"/>
        <v>1</v>
      </c>
      <c r="K114" s="57">
        <f t="shared" si="31"/>
        <v>0</v>
      </c>
      <c r="L114" s="57">
        <f t="shared" si="31"/>
        <v>0</v>
      </c>
      <c r="M114" s="57">
        <f t="shared" si="31"/>
        <v>0</v>
      </c>
      <c r="N114" s="57">
        <f t="shared" si="31"/>
        <v>0</v>
      </c>
      <c r="O114" s="57">
        <f t="shared" si="31"/>
        <v>0</v>
      </c>
      <c r="P114" s="57">
        <f t="shared" si="31"/>
        <v>0</v>
      </c>
      <c r="Q114" s="57">
        <f t="shared" si="31"/>
        <v>0</v>
      </c>
      <c r="R114" s="57">
        <f t="shared" si="31"/>
        <v>0</v>
      </c>
      <c r="S114" s="57">
        <f t="shared" si="31"/>
        <v>0</v>
      </c>
      <c r="T114" s="6">
        <f t="shared" si="30"/>
        <v>1</v>
      </c>
    </row>
    <row r="115" ht="12.75" customHeight="1">
      <c r="A115" s="68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"/>
    </row>
    <row r="116" ht="12.75" customHeight="1">
      <c r="A116" s="33" t="s">
        <v>37</v>
      </c>
      <c r="B116" s="51" t="s">
        <v>98</v>
      </c>
      <c r="C116" s="52" t="s">
        <v>99</v>
      </c>
      <c r="D116" s="9"/>
      <c r="E116" s="13">
        <v>0.0</v>
      </c>
      <c r="F116" s="13">
        <v>0.0</v>
      </c>
      <c r="G116" s="13">
        <v>1.0</v>
      </c>
      <c r="H116" s="13">
        <v>0.0</v>
      </c>
      <c r="I116" s="13">
        <v>0.0</v>
      </c>
      <c r="J116" s="13">
        <v>0.0</v>
      </c>
      <c r="K116" s="13">
        <v>0.0</v>
      </c>
      <c r="L116" s="13">
        <v>0.0</v>
      </c>
      <c r="M116" s="13">
        <v>0.0</v>
      </c>
      <c r="N116" s="13">
        <v>0.0</v>
      </c>
      <c r="O116" s="13">
        <v>0.0</v>
      </c>
      <c r="P116" s="13">
        <v>0.0</v>
      </c>
      <c r="Q116" s="13">
        <v>0.0</v>
      </c>
      <c r="R116" s="13">
        <v>0.0</v>
      </c>
      <c r="S116" s="13">
        <v>0.0</v>
      </c>
      <c r="T116" s="6">
        <f t="shared" ref="T116:T123" si="32">SUM(E116:S116)</f>
        <v>1</v>
      </c>
    </row>
    <row r="117" ht="12.75" customHeight="1">
      <c r="A117" s="33" t="s">
        <v>39</v>
      </c>
      <c r="B117" s="54">
        <v>1.0</v>
      </c>
      <c r="C117" s="55" t="s">
        <v>100</v>
      </c>
      <c r="D117" s="56"/>
      <c r="E117" s="13">
        <v>4.0</v>
      </c>
      <c r="F117" s="13">
        <v>0.0</v>
      </c>
      <c r="G117" s="13">
        <v>0.0</v>
      </c>
      <c r="H117" s="13">
        <v>2.0</v>
      </c>
      <c r="I117" s="13">
        <v>0.0</v>
      </c>
      <c r="J117" s="13">
        <v>6.0</v>
      </c>
      <c r="K117" s="13">
        <v>0.0</v>
      </c>
      <c r="L117" s="13">
        <v>0.0</v>
      </c>
      <c r="M117" s="13">
        <v>0.0</v>
      </c>
      <c r="N117" s="13">
        <v>0.0</v>
      </c>
      <c r="O117" s="13">
        <v>1.0</v>
      </c>
      <c r="P117" s="13">
        <v>0.0</v>
      </c>
      <c r="Q117" s="13">
        <v>0.0</v>
      </c>
      <c r="R117" s="13">
        <v>0.0</v>
      </c>
      <c r="S117" s="13">
        <v>1.0</v>
      </c>
      <c r="T117" s="6">
        <f t="shared" si="32"/>
        <v>14</v>
      </c>
    </row>
    <row r="118" ht="12.75" customHeight="1">
      <c r="A118" s="18"/>
      <c r="B118" s="54">
        <v>2.0</v>
      </c>
      <c r="C118" s="55" t="s">
        <v>101</v>
      </c>
      <c r="D118" s="56"/>
      <c r="E118" s="13">
        <v>0.0</v>
      </c>
      <c r="F118" s="13">
        <v>0.0</v>
      </c>
      <c r="G118" s="13">
        <v>0.0</v>
      </c>
      <c r="H118" s="13">
        <v>0.0</v>
      </c>
      <c r="I118" s="13">
        <v>0.0</v>
      </c>
      <c r="J118" s="13">
        <v>0.0</v>
      </c>
      <c r="K118" s="13">
        <v>0.0</v>
      </c>
      <c r="L118" s="13">
        <v>0.0</v>
      </c>
      <c r="M118" s="13">
        <v>0.0</v>
      </c>
      <c r="N118" s="13">
        <v>0.0</v>
      </c>
      <c r="O118" s="13">
        <v>0.0</v>
      </c>
      <c r="P118" s="13">
        <v>0.0</v>
      </c>
      <c r="Q118" s="13">
        <v>0.0</v>
      </c>
      <c r="R118" s="13">
        <v>0.0</v>
      </c>
      <c r="S118" s="13">
        <v>0.0</v>
      </c>
      <c r="T118" s="6">
        <f t="shared" si="32"/>
        <v>0</v>
      </c>
    </row>
    <row r="119" ht="12.75" customHeight="1">
      <c r="A119" s="18"/>
      <c r="B119" s="54">
        <v>3.0</v>
      </c>
      <c r="C119" s="55" t="s">
        <v>102</v>
      </c>
      <c r="D119" s="56"/>
      <c r="E119" s="13">
        <v>0.0</v>
      </c>
      <c r="F119" s="13">
        <v>0.0</v>
      </c>
      <c r="G119" s="13">
        <v>0.0</v>
      </c>
      <c r="H119" s="13">
        <v>0.0</v>
      </c>
      <c r="I119" s="13">
        <v>3.0</v>
      </c>
      <c r="J119" s="13">
        <v>0.0</v>
      </c>
      <c r="K119" s="13">
        <v>0.0</v>
      </c>
      <c r="L119" s="13">
        <v>0.0</v>
      </c>
      <c r="M119" s="13">
        <v>0.0</v>
      </c>
      <c r="N119" s="13">
        <v>0.0</v>
      </c>
      <c r="O119" s="13">
        <v>0.0</v>
      </c>
      <c r="P119" s="13">
        <v>0.0</v>
      </c>
      <c r="Q119" s="13">
        <v>0.0</v>
      </c>
      <c r="R119" s="13">
        <v>0.0</v>
      </c>
      <c r="S119" s="13">
        <v>0.0</v>
      </c>
      <c r="T119" s="6">
        <f t="shared" si="32"/>
        <v>3</v>
      </c>
    </row>
    <row r="120" ht="12.75" customHeight="1">
      <c r="A120" s="18"/>
      <c r="B120" s="54">
        <v>4.0</v>
      </c>
      <c r="C120" s="55" t="s">
        <v>103</v>
      </c>
      <c r="D120" s="56"/>
      <c r="E120" s="13">
        <v>0.0</v>
      </c>
      <c r="F120" s="13">
        <v>0.0</v>
      </c>
      <c r="G120" s="13">
        <v>0.0</v>
      </c>
      <c r="H120" s="13">
        <v>0.0</v>
      </c>
      <c r="I120" s="13">
        <v>0.0</v>
      </c>
      <c r="J120" s="13">
        <v>0.0</v>
      </c>
      <c r="K120" s="13">
        <v>0.0</v>
      </c>
      <c r="L120" s="13">
        <v>0.0</v>
      </c>
      <c r="M120" s="13">
        <v>0.0</v>
      </c>
      <c r="N120" s="13">
        <v>0.0</v>
      </c>
      <c r="O120" s="13">
        <v>0.0</v>
      </c>
      <c r="P120" s="13">
        <v>0.0</v>
      </c>
      <c r="Q120" s="13">
        <v>0.0</v>
      </c>
      <c r="R120" s="13">
        <v>0.0</v>
      </c>
      <c r="S120" s="13">
        <v>0.0</v>
      </c>
      <c r="T120" s="6">
        <f t="shared" si="32"/>
        <v>0</v>
      </c>
    </row>
    <row r="121" ht="12.75" customHeight="1">
      <c r="A121" s="18"/>
      <c r="B121" s="54">
        <v>5.0</v>
      </c>
      <c r="C121" s="55" t="s">
        <v>104</v>
      </c>
      <c r="D121" s="56"/>
      <c r="E121" s="13">
        <v>0.0</v>
      </c>
      <c r="F121" s="13">
        <v>0.0</v>
      </c>
      <c r="G121" s="13">
        <v>0.0</v>
      </c>
      <c r="H121" s="13">
        <v>0.0</v>
      </c>
      <c r="I121" s="13">
        <v>1.0</v>
      </c>
      <c r="J121" s="13">
        <v>0.0</v>
      </c>
      <c r="K121" s="13">
        <v>0.0</v>
      </c>
      <c r="L121" s="13">
        <v>0.0</v>
      </c>
      <c r="M121" s="13">
        <v>0.0</v>
      </c>
      <c r="N121" s="13">
        <v>0.0</v>
      </c>
      <c r="O121" s="13">
        <v>0.0</v>
      </c>
      <c r="P121" s="13">
        <v>0.0</v>
      </c>
      <c r="Q121" s="13">
        <v>0.0</v>
      </c>
      <c r="R121" s="13">
        <v>0.0</v>
      </c>
      <c r="S121" s="13">
        <v>0.0</v>
      </c>
      <c r="T121" s="6">
        <f t="shared" si="32"/>
        <v>1</v>
      </c>
    </row>
    <row r="122" ht="12.75" customHeight="1">
      <c r="A122" s="18"/>
      <c r="B122" s="54">
        <v>6.0</v>
      </c>
      <c r="C122" s="55" t="s">
        <v>105</v>
      </c>
      <c r="D122" s="56"/>
      <c r="E122" s="13">
        <v>0.0</v>
      </c>
      <c r="F122" s="13">
        <v>0.0</v>
      </c>
      <c r="G122" s="13">
        <v>1.0</v>
      </c>
      <c r="H122" s="13">
        <v>0.0</v>
      </c>
      <c r="I122" s="13">
        <v>0.0</v>
      </c>
      <c r="J122" s="13">
        <v>0.0</v>
      </c>
      <c r="K122" s="13">
        <v>0.0</v>
      </c>
      <c r="L122" s="13">
        <v>0.0</v>
      </c>
      <c r="M122" s="13">
        <v>0.0</v>
      </c>
      <c r="N122" s="13">
        <v>0.0</v>
      </c>
      <c r="O122" s="13">
        <v>0.0</v>
      </c>
      <c r="P122" s="13">
        <v>0.0</v>
      </c>
      <c r="Q122" s="13">
        <v>0.0</v>
      </c>
      <c r="R122" s="13">
        <v>0.0</v>
      </c>
      <c r="S122" s="13">
        <v>0.0</v>
      </c>
      <c r="T122" s="6">
        <f t="shared" si="32"/>
        <v>1</v>
      </c>
    </row>
    <row r="123" ht="12.75" customHeight="1">
      <c r="A123" s="13" t="s">
        <v>15</v>
      </c>
      <c r="B123" s="51" t="s">
        <v>46</v>
      </c>
      <c r="C123" s="8"/>
      <c r="D123" s="9"/>
      <c r="E123" s="57">
        <f t="shared" ref="E123:S123" si="33">SUM(E116:E122)</f>
        <v>4</v>
      </c>
      <c r="F123" s="57">
        <f t="shared" si="33"/>
        <v>0</v>
      </c>
      <c r="G123" s="57">
        <f t="shared" si="33"/>
        <v>2</v>
      </c>
      <c r="H123" s="57">
        <f t="shared" si="33"/>
        <v>2</v>
      </c>
      <c r="I123" s="57">
        <f t="shared" si="33"/>
        <v>4</v>
      </c>
      <c r="J123" s="57">
        <f t="shared" si="33"/>
        <v>6</v>
      </c>
      <c r="K123" s="57">
        <f t="shared" si="33"/>
        <v>0</v>
      </c>
      <c r="L123" s="57">
        <f t="shared" si="33"/>
        <v>0</v>
      </c>
      <c r="M123" s="57">
        <f t="shared" si="33"/>
        <v>0</v>
      </c>
      <c r="N123" s="57">
        <f t="shared" si="33"/>
        <v>0</v>
      </c>
      <c r="O123" s="57">
        <f t="shared" si="33"/>
        <v>1</v>
      </c>
      <c r="P123" s="57">
        <f t="shared" si="33"/>
        <v>0</v>
      </c>
      <c r="Q123" s="57">
        <f t="shared" si="33"/>
        <v>0</v>
      </c>
      <c r="R123" s="57">
        <f t="shared" si="33"/>
        <v>0</v>
      </c>
      <c r="S123" s="57">
        <f t="shared" si="33"/>
        <v>1</v>
      </c>
      <c r="T123" s="6">
        <f t="shared" si="32"/>
        <v>20</v>
      </c>
    </row>
    <row r="124" ht="12.75" customHeight="1">
      <c r="A124" s="68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"/>
    </row>
    <row r="125" ht="12.75" customHeight="1">
      <c r="A125" s="33" t="s">
        <v>37</v>
      </c>
      <c r="B125" s="51" t="s">
        <v>106</v>
      </c>
      <c r="C125" s="52" t="s">
        <v>107</v>
      </c>
      <c r="D125" s="9"/>
      <c r="E125" s="13">
        <v>0.0</v>
      </c>
      <c r="F125" s="13">
        <v>0.0</v>
      </c>
      <c r="G125" s="13">
        <v>0.0</v>
      </c>
      <c r="H125" s="13">
        <v>0.0</v>
      </c>
      <c r="I125" s="13">
        <v>0.0</v>
      </c>
      <c r="J125" s="13">
        <v>0.0</v>
      </c>
      <c r="K125" s="13">
        <v>0.0</v>
      </c>
      <c r="L125" s="13">
        <v>0.0</v>
      </c>
      <c r="M125" s="13">
        <v>0.0</v>
      </c>
      <c r="N125" s="13">
        <v>0.0</v>
      </c>
      <c r="O125" s="13">
        <v>0.0</v>
      </c>
      <c r="P125" s="13">
        <v>0.0</v>
      </c>
      <c r="Q125" s="13">
        <v>0.0</v>
      </c>
      <c r="R125" s="13">
        <v>0.0</v>
      </c>
      <c r="S125" s="13">
        <v>0.0</v>
      </c>
      <c r="T125" s="6">
        <f t="shared" ref="T125:T127" si="34">SUM(E125:S125)</f>
        <v>0</v>
      </c>
    </row>
    <row r="126" ht="12.75" customHeight="1">
      <c r="A126" s="33" t="s">
        <v>39</v>
      </c>
      <c r="B126" s="54"/>
      <c r="C126" s="55" t="s">
        <v>78</v>
      </c>
      <c r="D126" s="56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6">
        <f t="shared" si="34"/>
        <v>0</v>
      </c>
    </row>
    <row r="127" ht="12.75" customHeight="1">
      <c r="A127" s="13" t="s">
        <v>15</v>
      </c>
      <c r="B127" s="51" t="s">
        <v>46</v>
      </c>
      <c r="C127" s="8"/>
      <c r="D127" s="9"/>
      <c r="E127" s="57">
        <f t="shared" ref="E127:S127" si="35">SUM(E125:E126)</f>
        <v>0</v>
      </c>
      <c r="F127" s="57">
        <f t="shared" si="35"/>
        <v>0</v>
      </c>
      <c r="G127" s="57">
        <f t="shared" si="35"/>
        <v>0</v>
      </c>
      <c r="H127" s="57">
        <f t="shared" si="35"/>
        <v>0</v>
      </c>
      <c r="I127" s="57">
        <f t="shared" si="35"/>
        <v>0</v>
      </c>
      <c r="J127" s="57">
        <f t="shared" si="35"/>
        <v>0</v>
      </c>
      <c r="K127" s="57">
        <f t="shared" si="35"/>
        <v>0</v>
      </c>
      <c r="L127" s="57">
        <f t="shared" si="35"/>
        <v>0</v>
      </c>
      <c r="M127" s="57">
        <f t="shared" si="35"/>
        <v>0</v>
      </c>
      <c r="N127" s="57">
        <f t="shared" si="35"/>
        <v>0</v>
      </c>
      <c r="O127" s="57">
        <f t="shared" si="35"/>
        <v>0</v>
      </c>
      <c r="P127" s="57">
        <f t="shared" si="35"/>
        <v>0</v>
      </c>
      <c r="Q127" s="57">
        <f t="shared" si="35"/>
        <v>0</v>
      </c>
      <c r="R127" s="57">
        <f t="shared" si="35"/>
        <v>0</v>
      </c>
      <c r="S127" s="57">
        <f t="shared" si="35"/>
        <v>0</v>
      </c>
      <c r="T127" s="6">
        <f t="shared" si="34"/>
        <v>0</v>
      </c>
    </row>
    <row r="128" ht="12.75" customHeight="1">
      <c r="A128" s="68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"/>
    </row>
    <row r="129" ht="12.75" customHeight="1">
      <c r="A129" s="33" t="s">
        <v>37</v>
      </c>
      <c r="B129" s="51" t="s">
        <v>108</v>
      </c>
      <c r="C129" s="52" t="s">
        <v>109</v>
      </c>
      <c r="D129" s="9"/>
      <c r="E129" s="13">
        <v>0.0</v>
      </c>
      <c r="F129" s="13">
        <v>1.0</v>
      </c>
      <c r="G129" s="13">
        <v>2.0</v>
      </c>
      <c r="H129" s="13">
        <v>0.0</v>
      </c>
      <c r="I129" s="13">
        <v>0.0</v>
      </c>
      <c r="J129" s="13">
        <v>0.0</v>
      </c>
      <c r="K129" s="13">
        <v>0.0</v>
      </c>
      <c r="L129" s="13">
        <v>1.0</v>
      </c>
      <c r="M129" s="13">
        <v>0.0</v>
      </c>
      <c r="N129" s="13">
        <v>0.0</v>
      </c>
      <c r="O129" s="13">
        <v>0.0</v>
      </c>
      <c r="P129" s="13">
        <v>0.0</v>
      </c>
      <c r="Q129" s="13">
        <v>0.0</v>
      </c>
      <c r="R129" s="13">
        <v>0.0</v>
      </c>
      <c r="S129" s="13">
        <v>0.0</v>
      </c>
      <c r="T129" s="6">
        <f t="shared" ref="T129:T136" si="36">SUM(E129:S129)</f>
        <v>4</v>
      </c>
    </row>
    <row r="130" ht="12.75" customHeight="1">
      <c r="A130" s="33" t="s">
        <v>39</v>
      </c>
      <c r="B130" s="54">
        <v>1.0</v>
      </c>
      <c r="C130" s="55" t="s">
        <v>110</v>
      </c>
      <c r="D130" s="56"/>
      <c r="E130" s="13">
        <v>1.0</v>
      </c>
      <c r="F130" s="13">
        <v>1.0</v>
      </c>
      <c r="G130" s="13">
        <v>1.0</v>
      </c>
      <c r="H130" s="13">
        <v>0.0</v>
      </c>
      <c r="I130" s="13">
        <v>2.0</v>
      </c>
      <c r="J130" s="13">
        <v>1.0</v>
      </c>
      <c r="K130" s="13">
        <v>3.0</v>
      </c>
      <c r="L130" s="13">
        <v>4.0</v>
      </c>
      <c r="M130" s="13">
        <v>0.0</v>
      </c>
      <c r="N130" s="13">
        <v>0.0</v>
      </c>
      <c r="O130" s="13">
        <v>0.0</v>
      </c>
      <c r="P130" s="13">
        <v>0.0</v>
      </c>
      <c r="Q130" s="13">
        <v>0.0</v>
      </c>
      <c r="R130" s="13">
        <v>0.0</v>
      </c>
      <c r="S130" s="13">
        <v>0.0</v>
      </c>
      <c r="T130" s="6">
        <f t="shared" si="36"/>
        <v>13</v>
      </c>
    </row>
    <row r="131" ht="12.75" customHeight="1">
      <c r="A131" s="18"/>
      <c r="B131" s="54">
        <v>2.0</v>
      </c>
      <c r="C131" s="55" t="s">
        <v>111</v>
      </c>
      <c r="D131" s="56"/>
      <c r="E131" s="13">
        <v>0.0</v>
      </c>
      <c r="F131" s="13">
        <v>0.0</v>
      </c>
      <c r="G131" s="13">
        <v>0.0</v>
      </c>
      <c r="H131" s="13">
        <v>0.0</v>
      </c>
      <c r="I131" s="13">
        <v>1.0</v>
      </c>
      <c r="J131" s="13">
        <v>0.0</v>
      </c>
      <c r="K131" s="13">
        <v>0.0</v>
      </c>
      <c r="L131" s="13">
        <v>0.0</v>
      </c>
      <c r="M131" s="13">
        <v>0.0</v>
      </c>
      <c r="N131" s="13">
        <v>0.0</v>
      </c>
      <c r="O131" s="13">
        <v>0.0</v>
      </c>
      <c r="P131" s="13">
        <v>0.0</v>
      </c>
      <c r="Q131" s="13">
        <v>0.0</v>
      </c>
      <c r="R131" s="13">
        <v>0.0</v>
      </c>
      <c r="S131" s="13">
        <v>0.0</v>
      </c>
      <c r="T131" s="6">
        <f t="shared" si="36"/>
        <v>1</v>
      </c>
    </row>
    <row r="132" ht="12.75" customHeight="1">
      <c r="A132" s="18"/>
      <c r="B132" s="54">
        <v>3.0</v>
      </c>
      <c r="C132" s="55" t="s">
        <v>112</v>
      </c>
      <c r="D132" s="56"/>
      <c r="E132" s="13">
        <v>0.0</v>
      </c>
      <c r="F132" s="13">
        <v>0.0</v>
      </c>
      <c r="G132" s="13">
        <v>0.0</v>
      </c>
      <c r="H132" s="13">
        <v>0.0</v>
      </c>
      <c r="I132" s="13">
        <v>0.0</v>
      </c>
      <c r="J132" s="13">
        <v>0.0</v>
      </c>
      <c r="K132" s="13">
        <v>0.0</v>
      </c>
      <c r="L132" s="13">
        <v>0.0</v>
      </c>
      <c r="M132" s="13">
        <v>0.0</v>
      </c>
      <c r="N132" s="13">
        <v>0.0</v>
      </c>
      <c r="O132" s="13">
        <v>0.0</v>
      </c>
      <c r="P132" s="13">
        <v>0.0</v>
      </c>
      <c r="Q132" s="13">
        <v>0.0</v>
      </c>
      <c r="R132" s="13">
        <v>0.0</v>
      </c>
      <c r="S132" s="13">
        <v>0.0</v>
      </c>
      <c r="T132" s="6">
        <f t="shared" si="36"/>
        <v>0</v>
      </c>
    </row>
    <row r="133" ht="12.75" customHeight="1">
      <c r="A133" s="18"/>
      <c r="B133" s="54">
        <v>4.0</v>
      </c>
      <c r="C133" s="55" t="s">
        <v>113</v>
      </c>
      <c r="D133" s="56"/>
      <c r="E133" s="13">
        <v>0.0</v>
      </c>
      <c r="F133" s="13">
        <v>0.0</v>
      </c>
      <c r="G133" s="13">
        <v>0.0</v>
      </c>
      <c r="H133" s="13">
        <v>0.0</v>
      </c>
      <c r="I133" s="13">
        <v>0.0</v>
      </c>
      <c r="J133" s="13">
        <v>0.0</v>
      </c>
      <c r="K133" s="13">
        <v>0.0</v>
      </c>
      <c r="L133" s="13">
        <v>0.0</v>
      </c>
      <c r="M133" s="13">
        <v>0.0</v>
      </c>
      <c r="N133" s="13">
        <v>0.0</v>
      </c>
      <c r="O133" s="13">
        <v>0.0</v>
      </c>
      <c r="P133" s="13">
        <v>0.0</v>
      </c>
      <c r="Q133" s="13">
        <v>0.0</v>
      </c>
      <c r="R133" s="13">
        <v>0.0</v>
      </c>
      <c r="S133" s="13">
        <v>0.0</v>
      </c>
      <c r="T133" s="6">
        <f t="shared" si="36"/>
        <v>0</v>
      </c>
    </row>
    <row r="134" ht="12.75" customHeight="1">
      <c r="A134" s="18"/>
      <c r="B134" s="54">
        <v>5.0</v>
      </c>
      <c r="C134" s="55" t="s">
        <v>114</v>
      </c>
      <c r="D134" s="56"/>
      <c r="E134" s="13">
        <v>0.0</v>
      </c>
      <c r="F134" s="13">
        <v>0.0</v>
      </c>
      <c r="G134" s="13">
        <v>0.0</v>
      </c>
      <c r="H134" s="13">
        <v>0.0</v>
      </c>
      <c r="I134" s="13">
        <v>1.0</v>
      </c>
      <c r="J134" s="13">
        <v>0.0</v>
      </c>
      <c r="K134" s="13">
        <v>0.0</v>
      </c>
      <c r="L134" s="13">
        <v>0.0</v>
      </c>
      <c r="M134" s="13">
        <v>0.0</v>
      </c>
      <c r="N134" s="13">
        <v>0.0</v>
      </c>
      <c r="O134" s="13">
        <v>0.0</v>
      </c>
      <c r="P134" s="13">
        <v>0.0</v>
      </c>
      <c r="Q134" s="13">
        <v>0.0</v>
      </c>
      <c r="R134" s="13">
        <v>0.0</v>
      </c>
      <c r="S134" s="13">
        <v>0.0</v>
      </c>
      <c r="T134" s="6">
        <f t="shared" si="36"/>
        <v>1</v>
      </c>
    </row>
    <row r="135" ht="12.75" customHeight="1">
      <c r="A135" s="18"/>
      <c r="B135" s="54">
        <v>6.0</v>
      </c>
      <c r="C135" s="55" t="s">
        <v>115</v>
      </c>
      <c r="D135" s="56"/>
      <c r="E135" s="13">
        <v>0.0</v>
      </c>
      <c r="F135" s="13">
        <v>0.0</v>
      </c>
      <c r="G135" s="13">
        <v>0.0</v>
      </c>
      <c r="H135" s="13">
        <v>0.0</v>
      </c>
      <c r="I135" s="13">
        <v>1.0</v>
      </c>
      <c r="J135" s="13">
        <v>0.0</v>
      </c>
      <c r="K135" s="13">
        <v>0.0</v>
      </c>
      <c r="L135" s="13">
        <v>0.0</v>
      </c>
      <c r="M135" s="13">
        <v>0.0</v>
      </c>
      <c r="N135" s="13">
        <v>0.0</v>
      </c>
      <c r="O135" s="13">
        <v>0.0</v>
      </c>
      <c r="P135" s="13">
        <v>0.0</v>
      </c>
      <c r="Q135" s="13">
        <v>0.0</v>
      </c>
      <c r="R135" s="13">
        <v>0.0</v>
      </c>
      <c r="S135" s="13">
        <v>0.0</v>
      </c>
      <c r="T135" s="6">
        <f t="shared" si="36"/>
        <v>1</v>
      </c>
    </row>
    <row r="136" ht="12.75" customHeight="1">
      <c r="A136" s="13" t="s">
        <v>15</v>
      </c>
      <c r="B136" s="51" t="s">
        <v>46</v>
      </c>
      <c r="C136" s="8"/>
      <c r="D136" s="9"/>
      <c r="E136" s="57">
        <f t="shared" ref="E136:S136" si="37">SUM(E129:E135)</f>
        <v>1</v>
      </c>
      <c r="F136" s="57">
        <f t="shared" si="37"/>
        <v>2</v>
      </c>
      <c r="G136" s="57">
        <f t="shared" si="37"/>
        <v>3</v>
      </c>
      <c r="H136" s="57">
        <f t="shared" si="37"/>
        <v>0</v>
      </c>
      <c r="I136" s="57">
        <f t="shared" si="37"/>
        <v>5</v>
      </c>
      <c r="J136" s="57">
        <f t="shared" si="37"/>
        <v>1</v>
      </c>
      <c r="K136" s="57">
        <f t="shared" si="37"/>
        <v>3</v>
      </c>
      <c r="L136" s="57">
        <f t="shared" si="37"/>
        <v>5</v>
      </c>
      <c r="M136" s="57">
        <f t="shared" si="37"/>
        <v>0</v>
      </c>
      <c r="N136" s="57">
        <f t="shared" si="37"/>
        <v>0</v>
      </c>
      <c r="O136" s="57">
        <f t="shared" si="37"/>
        <v>0</v>
      </c>
      <c r="P136" s="57">
        <f t="shared" si="37"/>
        <v>0</v>
      </c>
      <c r="Q136" s="57">
        <f t="shared" si="37"/>
        <v>0</v>
      </c>
      <c r="R136" s="57">
        <f t="shared" si="37"/>
        <v>0</v>
      </c>
      <c r="S136" s="57">
        <f t="shared" si="37"/>
        <v>0</v>
      </c>
      <c r="T136" s="6">
        <f t="shared" si="36"/>
        <v>20</v>
      </c>
    </row>
    <row r="137" ht="12.75" customHeight="1">
      <c r="A137" s="68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"/>
    </row>
    <row r="138" ht="12.75" customHeight="1">
      <c r="A138" s="33" t="s">
        <v>37</v>
      </c>
      <c r="B138" s="51" t="s">
        <v>116</v>
      </c>
      <c r="C138" s="52" t="s">
        <v>117</v>
      </c>
      <c r="D138" s="9"/>
      <c r="E138" s="13">
        <v>0.0</v>
      </c>
      <c r="F138" s="13">
        <v>0.0</v>
      </c>
      <c r="G138" s="13">
        <v>1.0</v>
      </c>
      <c r="H138" s="13">
        <v>0.0</v>
      </c>
      <c r="I138" s="13">
        <v>0.0</v>
      </c>
      <c r="J138" s="13">
        <v>0.0</v>
      </c>
      <c r="K138" s="13">
        <v>0.0</v>
      </c>
      <c r="L138" s="13">
        <v>0.0</v>
      </c>
      <c r="M138" s="13">
        <v>0.0</v>
      </c>
      <c r="N138" s="13">
        <v>0.0</v>
      </c>
      <c r="O138" s="13">
        <v>0.0</v>
      </c>
      <c r="P138" s="13">
        <v>0.0</v>
      </c>
      <c r="Q138" s="13">
        <v>0.0</v>
      </c>
      <c r="R138" s="13">
        <v>0.0</v>
      </c>
      <c r="S138" s="13">
        <v>0.0</v>
      </c>
      <c r="T138" s="6">
        <f t="shared" ref="T138:T144" si="38">SUM(E138:S138)</f>
        <v>1</v>
      </c>
    </row>
    <row r="139" ht="12.75" customHeight="1">
      <c r="A139" s="33" t="s">
        <v>39</v>
      </c>
      <c r="B139" s="54">
        <v>1.0</v>
      </c>
      <c r="C139" s="55" t="s">
        <v>118</v>
      </c>
      <c r="D139" s="56"/>
      <c r="E139" s="13">
        <v>0.0</v>
      </c>
      <c r="F139" s="13">
        <v>0.0</v>
      </c>
      <c r="G139" s="13">
        <v>0.0</v>
      </c>
      <c r="H139" s="13">
        <v>0.0</v>
      </c>
      <c r="I139" s="13">
        <v>0.0</v>
      </c>
      <c r="J139" s="13">
        <v>0.0</v>
      </c>
      <c r="K139" s="13">
        <v>0.0</v>
      </c>
      <c r="L139" s="13">
        <v>0.0</v>
      </c>
      <c r="M139" s="13">
        <v>0.0</v>
      </c>
      <c r="N139" s="13">
        <v>0.0</v>
      </c>
      <c r="O139" s="13">
        <v>0.0</v>
      </c>
      <c r="P139" s="13">
        <v>0.0</v>
      </c>
      <c r="Q139" s="13">
        <v>0.0</v>
      </c>
      <c r="R139" s="13">
        <v>0.0</v>
      </c>
      <c r="S139" s="13">
        <v>0.0</v>
      </c>
      <c r="T139" s="6">
        <f t="shared" si="38"/>
        <v>0</v>
      </c>
    </row>
    <row r="140" ht="12.75" customHeight="1">
      <c r="A140" s="18"/>
      <c r="B140" s="54">
        <v>2.0</v>
      </c>
      <c r="C140" s="55" t="s">
        <v>119</v>
      </c>
      <c r="D140" s="56"/>
      <c r="E140" s="13">
        <v>0.0</v>
      </c>
      <c r="F140" s="13">
        <v>0.0</v>
      </c>
      <c r="G140" s="13">
        <v>0.0</v>
      </c>
      <c r="H140" s="13">
        <v>0.0</v>
      </c>
      <c r="I140" s="13">
        <v>0.0</v>
      </c>
      <c r="J140" s="13">
        <v>0.0</v>
      </c>
      <c r="K140" s="13">
        <v>0.0</v>
      </c>
      <c r="L140" s="13">
        <v>0.0</v>
      </c>
      <c r="M140" s="13">
        <v>0.0</v>
      </c>
      <c r="N140" s="13">
        <v>1.0</v>
      </c>
      <c r="O140" s="13">
        <v>0.0</v>
      </c>
      <c r="P140" s="13">
        <v>1.0</v>
      </c>
      <c r="Q140" s="13">
        <v>0.0</v>
      </c>
      <c r="R140" s="13">
        <v>0.0</v>
      </c>
      <c r="S140" s="13">
        <v>0.0</v>
      </c>
      <c r="T140" s="6">
        <f t="shared" si="38"/>
        <v>2</v>
      </c>
    </row>
    <row r="141" ht="12.75" customHeight="1">
      <c r="A141" s="18"/>
      <c r="B141" s="54">
        <v>3.0</v>
      </c>
      <c r="C141" s="55" t="s">
        <v>120</v>
      </c>
      <c r="D141" s="56"/>
      <c r="E141" s="13">
        <v>0.0</v>
      </c>
      <c r="F141" s="13">
        <v>0.0</v>
      </c>
      <c r="G141" s="13">
        <v>0.0</v>
      </c>
      <c r="H141" s="13">
        <v>0.0</v>
      </c>
      <c r="I141" s="13">
        <v>0.0</v>
      </c>
      <c r="J141" s="13">
        <v>0.0</v>
      </c>
      <c r="K141" s="13">
        <v>0.0</v>
      </c>
      <c r="L141" s="13">
        <v>0.0</v>
      </c>
      <c r="M141" s="13">
        <v>0.0</v>
      </c>
      <c r="N141" s="13">
        <v>0.0</v>
      </c>
      <c r="O141" s="13">
        <v>0.0</v>
      </c>
      <c r="P141" s="13">
        <v>1.0</v>
      </c>
      <c r="Q141" s="13">
        <v>0.0</v>
      </c>
      <c r="R141" s="13">
        <v>0.0</v>
      </c>
      <c r="S141" s="13">
        <v>0.0</v>
      </c>
      <c r="T141" s="6">
        <f t="shared" si="38"/>
        <v>1</v>
      </c>
    </row>
    <row r="142" ht="12.75" customHeight="1">
      <c r="A142" s="18"/>
      <c r="B142" s="54">
        <v>4.0</v>
      </c>
      <c r="C142" s="55" t="s">
        <v>121</v>
      </c>
      <c r="D142" s="56"/>
      <c r="E142" s="13">
        <v>0.0</v>
      </c>
      <c r="F142" s="13">
        <v>0.0</v>
      </c>
      <c r="G142" s="13">
        <v>0.0</v>
      </c>
      <c r="H142" s="13">
        <v>0.0</v>
      </c>
      <c r="I142" s="13">
        <v>0.0</v>
      </c>
      <c r="J142" s="13">
        <v>0.0</v>
      </c>
      <c r="K142" s="13">
        <v>0.0</v>
      </c>
      <c r="L142" s="13">
        <v>0.0</v>
      </c>
      <c r="M142" s="13">
        <v>0.0</v>
      </c>
      <c r="N142" s="13">
        <v>0.0</v>
      </c>
      <c r="O142" s="13">
        <v>0.0</v>
      </c>
      <c r="P142" s="13">
        <v>0.0</v>
      </c>
      <c r="Q142" s="13">
        <v>0.0</v>
      </c>
      <c r="R142" s="13">
        <v>0.0</v>
      </c>
      <c r="S142" s="13">
        <v>0.0</v>
      </c>
      <c r="T142" s="6">
        <f t="shared" si="38"/>
        <v>0</v>
      </c>
    </row>
    <row r="143" ht="12.75" customHeight="1">
      <c r="A143" s="18"/>
      <c r="B143" s="54">
        <v>5.0</v>
      </c>
      <c r="C143" s="55" t="s">
        <v>122</v>
      </c>
      <c r="D143" s="56"/>
      <c r="E143" s="13">
        <v>0.0</v>
      </c>
      <c r="F143" s="13">
        <v>0.0</v>
      </c>
      <c r="G143" s="13">
        <v>0.0</v>
      </c>
      <c r="H143" s="13">
        <v>0.0</v>
      </c>
      <c r="I143" s="13">
        <v>0.0</v>
      </c>
      <c r="J143" s="13">
        <v>0.0</v>
      </c>
      <c r="K143" s="13">
        <v>0.0</v>
      </c>
      <c r="L143" s="13">
        <v>0.0</v>
      </c>
      <c r="M143" s="13">
        <v>0.0</v>
      </c>
      <c r="N143" s="13">
        <v>0.0</v>
      </c>
      <c r="O143" s="13">
        <v>0.0</v>
      </c>
      <c r="P143" s="13">
        <v>0.0</v>
      </c>
      <c r="Q143" s="13">
        <v>0.0</v>
      </c>
      <c r="R143" s="13">
        <v>0.0</v>
      </c>
      <c r="S143" s="13">
        <v>0.0</v>
      </c>
      <c r="T143" s="6">
        <f t="shared" si="38"/>
        <v>0</v>
      </c>
    </row>
    <row r="144" ht="12.75" customHeight="1">
      <c r="A144" s="13" t="s">
        <v>15</v>
      </c>
      <c r="B144" s="51" t="s">
        <v>46</v>
      </c>
      <c r="C144" s="8"/>
      <c r="D144" s="9"/>
      <c r="E144" s="57">
        <f t="shared" ref="E144:S144" si="39">SUM(E138:E143)</f>
        <v>0</v>
      </c>
      <c r="F144" s="57">
        <f t="shared" si="39"/>
        <v>0</v>
      </c>
      <c r="G144" s="57">
        <f t="shared" si="39"/>
        <v>1</v>
      </c>
      <c r="H144" s="57">
        <f t="shared" si="39"/>
        <v>0</v>
      </c>
      <c r="I144" s="57">
        <f t="shared" si="39"/>
        <v>0</v>
      </c>
      <c r="J144" s="57">
        <f t="shared" si="39"/>
        <v>0</v>
      </c>
      <c r="K144" s="57">
        <f t="shared" si="39"/>
        <v>0</v>
      </c>
      <c r="L144" s="57">
        <f t="shared" si="39"/>
        <v>0</v>
      </c>
      <c r="M144" s="57">
        <f t="shared" si="39"/>
        <v>0</v>
      </c>
      <c r="N144" s="57">
        <f t="shared" si="39"/>
        <v>1</v>
      </c>
      <c r="O144" s="57">
        <f t="shared" si="39"/>
        <v>0</v>
      </c>
      <c r="P144" s="57">
        <f t="shared" si="39"/>
        <v>2</v>
      </c>
      <c r="Q144" s="57">
        <f t="shared" si="39"/>
        <v>0</v>
      </c>
      <c r="R144" s="57">
        <f t="shared" si="39"/>
        <v>0</v>
      </c>
      <c r="S144" s="57">
        <f t="shared" si="39"/>
        <v>0</v>
      </c>
      <c r="T144" s="6">
        <f t="shared" si="38"/>
        <v>4</v>
      </c>
    </row>
    <row r="145" ht="12.75" customHeight="1">
      <c r="A145" s="68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"/>
    </row>
    <row r="146" ht="12.75" customHeight="1">
      <c r="A146" s="33" t="s">
        <v>37</v>
      </c>
      <c r="B146" s="51" t="s">
        <v>123</v>
      </c>
      <c r="C146" s="52" t="s">
        <v>124</v>
      </c>
      <c r="D146" s="9"/>
      <c r="E146" s="13">
        <v>0.0</v>
      </c>
      <c r="F146" s="13">
        <v>2.0</v>
      </c>
      <c r="G146" s="13">
        <v>5.0</v>
      </c>
      <c r="H146" s="13">
        <v>3.0</v>
      </c>
      <c r="I146" s="13">
        <v>2.0</v>
      </c>
      <c r="J146" s="13">
        <v>1.0</v>
      </c>
      <c r="K146" s="13">
        <v>4.0</v>
      </c>
      <c r="L146" s="13">
        <v>2.0</v>
      </c>
      <c r="M146" s="13">
        <v>2.0</v>
      </c>
      <c r="N146" s="13">
        <v>1.0</v>
      </c>
      <c r="O146" s="13">
        <v>2.0</v>
      </c>
      <c r="P146" s="13">
        <v>0.0</v>
      </c>
      <c r="Q146" s="13">
        <v>2.0</v>
      </c>
      <c r="R146" s="13">
        <v>2.0</v>
      </c>
      <c r="S146" s="13">
        <v>0.0</v>
      </c>
      <c r="T146" s="6">
        <f t="shared" ref="T146:T153" si="40">SUM(E146:S146)</f>
        <v>28</v>
      </c>
    </row>
    <row r="147" ht="12.75" customHeight="1">
      <c r="A147" s="33" t="s">
        <v>39</v>
      </c>
      <c r="B147" s="54">
        <v>1.0</v>
      </c>
      <c r="C147" s="55" t="s">
        <v>125</v>
      </c>
      <c r="D147" s="56"/>
      <c r="E147" s="13">
        <v>0.0</v>
      </c>
      <c r="F147" s="13">
        <v>1.0</v>
      </c>
      <c r="G147" s="13">
        <v>0.0</v>
      </c>
      <c r="H147" s="13">
        <v>1.0</v>
      </c>
      <c r="I147" s="13">
        <v>1.0</v>
      </c>
      <c r="J147" s="13">
        <v>3.0</v>
      </c>
      <c r="K147" s="13">
        <v>0.0</v>
      </c>
      <c r="L147" s="13">
        <v>0.0</v>
      </c>
      <c r="M147" s="13">
        <v>0.0</v>
      </c>
      <c r="N147" s="13">
        <v>0.0</v>
      </c>
      <c r="O147" s="13">
        <v>4.0</v>
      </c>
      <c r="P147" s="13">
        <v>1.0</v>
      </c>
      <c r="Q147" s="13">
        <v>0.0</v>
      </c>
      <c r="R147" s="13">
        <v>1.0</v>
      </c>
      <c r="S147" s="13">
        <v>0.0</v>
      </c>
      <c r="T147" s="6">
        <f t="shared" si="40"/>
        <v>12</v>
      </c>
    </row>
    <row r="148" ht="12.75" customHeight="1">
      <c r="A148" s="18"/>
      <c r="B148" s="54">
        <v>2.0</v>
      </c>
      <c r="C148" s="55" t="s">
        <v>126</v>
      </c>
      <c r="D148" s="56"/>
      <c r="E148" s="13">
        <v>2.0</v>
      </c>
      <c r="F148" s="13">
        <v>4.0</v>
      </c>
      <c r="G148" s="13">
        <v>16.0</v>
      </c>
      <c r="H148" s="13">
        <v>29.0</v>
      </c>
      <c r="I148" s="13">
        <v>2.0</v>
      </c>
      <c r="J148" s="13">
        <v>22.0</v>
      </c>
      <c r="K148" s="13">
        <v>5.0</v>
      </c>
      <c r="L148" s="13">
        <v>6.0</v>
      </c>
      <c r="M148" s="13">
        <v>4.0</v>
      </c>
      <c r="N148" s="13">
        <v>8.0</v>
      </c>
      <c r="O148" s="13">
        <v>3.0</v>
      </c>
      <c r="P148" s="13">
        <v>5.0</v>
      </c>
      <c r="Q148" s="13">
        <v>3.0</v>
      </c>
      <c r="R148" s="13">
        <v>6.0</v>
      </c>
      <c r="S148" s="13">
        <v>11.0</v>
      </c>
      <c r="T148" s="6">
        <f t="shared" si="40"/>
        <v>126</v>
      </c>
    </row>
    <row r="149" ht="12.75" customHeight="1">
      <c r="A149" s="18"/>
      <c r="B149" s="54">
        <v>3.0</v>
      </c>
      <c r="C149" s="55" t="s">
        <v>127</v>
      </c>
      <c r="D149" s="56"/>
      <c r="E149" s="13">
        <v>0.0</v>
      </c>
      <c r="F149" s="13">
        <v>0.0</v>
      </c>
      <c r="G149" s="13">
        <v>0.0</v>
      </c>
      <c r="H149" s="13">
        <v>0.0</v>
      </c>
      <c r="I149" s="13">
        <v>1.0</v>
      </c>
      <c r="J149" s="13">
        <v>0.0</v>
      </c>
      <c r="K149" s="13">
        <v>0.0</v>
      </c>
      <c r="L149" s="13">
        <v>0.0</v>
      </c>
      <c r="M149" s="13">
        <v>0.0</v>
      </c>
      <c r="N149" s="13">
        <v>0.0</v>
      </c>
      <c r="O149" s="13">
        <v>0.0</v>
      </c>
      <c r="P149" s="13">
        <v>1.0</v>
      </c>
      <c r="Q149" s="13">
        <v>0.0</v>
      </c>
      <c r="R149" s="13">
        <v>0.0</v>
      </c>
      <c r="S149" s="13">
        <v>1.0</v>
      </c>
      <c r="T149" s="6">
        <f t="shared" si="40"/>
        <v>3</v>
      </c>
    </row>
    <row r="150" ht="12.75" customHeight="1">
      <c r="A150" s="18"/>
      <c r="B150" s="54">
        <v>4.0</v>
      </c>
      <c r="C150" s="55" t="s">
        <v>128</v>
      </c>
      <c r="D150" s="56"/>
      <c r="E150" s="13">
        <v>0.0</v>
      </c>
      <c r="F150" s="13">
        <v>0.0</v>
      </c>
      <c r="G150" s="13">
        <v>0.0</v>
      </c>
      <c r="H150" s="13">
        <v>0.0</v>
      </c>
      <c r="I150" s="13">
        <v>0.0</v>
      </c>
      <c r="J150" s="13">
        <v>1.0</v>
      </c>
      <c r="K150" s="13">
        <v>0.0</v>
      </c>
      <c r="L150" s="13">
        <v>1.0</v>
      </c>
      <c r="M150" s="13">
        <v>0.0</v>
      </c>
      <c r="N150" s="13">
        <v>0.0</v>
      </c>
      <c r="O150" s="13">
        <v>0.0</v>
      </c>
      <c r="P150" s="13">
        <v>0.0</v>
      </c>
      <c r="Q150" s="13">
        <v>0.0</v>
      </c>
      <c r="R150" s="13">
        <v>0.0</v>
      </c>
      <c r="S150" s="13">
        <v>1.0</v>
      </c>
      <c r="T150" s="6">
        <f t="shared" si="40"/>
        <v>3</v>
      </c>
    </row>
    <row r="151" ht="12.75" customHeight="1">
      <c r="A151" s="18"/>
      <c r="B151" s="54">
        <v>5.0</v>
      </c>
      <c r="C151" s="55" t="s">
        <v>129</v>
      </c>
      <c r="D151" s="56"/>
      <c r="E151" s="13">
        <v>0.0</v>
      </c>
      <c r="F151" s="13">
        <v>0.0</v>
      </c>
      <c r="G151" s="13">
        <v>0.0</v>
      </c>
      <c r="H151" s="13">
        <v>0.0</v>
      </c>
      <c r="I151" s="13">
        <v>0.0</v>
      </c>
      <c r="J151" s="13">
        <v>1.0</v>
      </c>
      <c r="K151" s="13">
        <v>0.0</v>
      </c>
      <c r="L151" s="13">
        <v>0.0</v>
      </c>
      <c r="M151" s="13">
        <v>0.0</v>
      </c>
      <c r="N151" s="13">
        <v>0.0</v>
      </c>
      <c r="O151" s="13">
        <v>0.0</v>
      </c>
      <c r="P151" s="13">
        <v>0.0</v>
      </c>
      <c r="Q151" s="13">
        <v>0.0</v>
      </c>
      <c r="R151" s="13">
        <v>0.0</v>
      </c>
      <c r="S151" s="13">
        <v>0.0</v>
      </c>
      <c r="T151" s="6">
        <f t="shared" si="40"/>
        <v>1</v>
      </c>
    </row>
    <row r="152" ht="12.75" customHeight="1">
      <c r="A152" s="18"/>
      <c r="B152" s="54">
        <v>6.0</v>
      </c>
      <c r="C152" s="55" t="s">
        <v>130</v>
      </c>
      <c r="D152" s="56"/>
      <c r="E152" s="13">
        <v>1.0</v>
      </c>
      <c r="F152" s="13">
        <v>0.0</v>
      </c>
      <c r="G152" s="13">
        <v>0.0</v>
      </c>
      <c r="H152" s="13">
        <v>0.0</v>
      </c>
      <c r="I152" s="13">
        <v>0.0</v>
      </c>
      <c r="J152" s="13">
        <v>0.0</v>
      </c>
      <c r="K152" s="13">
        <v>0.0</v>
      </c>
      <c r="L152" s="13">
        <v>0.0</v>
      </c>
      <c r="M152" s="13">
        <v>0.0</v>
      </c>
      <c r="N152" s="13">
        <v>0.0</v>
      </c>
      <c r="O152" s="13">
        <v>0.0</v>
      </c>
      <c r="P152" s="13">
        <v>0.0</v>
      </c>
      <c r="Q152" s="13">
        <v>0.0</v>
      </c>
      <c r="R152" s="13">
        <v>0.0</v>
      </c>
      <c r="S152" s="13">
        <v>0.0</v>
      </c>
      <c r="T152" s="6">
        <f t="shared" si="40"/>
        <v>1</v>
      </c>
    </row>
    <row r="153" ht="12.75" customHeight="1">
      <c r="A153" s="13" t="s">
        <v>15</v>
      </c>
      <c r="B153" s="51" t="s">
        <v>46</v>
      </c>
      <c r="C153" s="8"/>
      <c r="D153" s="9"/>
      <c r="E153" s="57">
        <f t="shared" ref="E153:S153" si="41">SUM(E146:E152)</f>
        <v>3</v>
      </c>
      <c r="F153" s="57">
        <f t="shared" si="41"/>
        <v>7</v>
      </c>
      <c r="G153" s="57">
        <f t="shared" si="41"/>
        <v>21</v>
      </c>
      <c r="H153" s="57">
        <f t="shared" si="41"/>
        <v>33</v>
      </c>
      <c r="I153" s="57">
        <f t="shared" si="41"/>
        <v>6</v>
      </c>
      <c r="J153" s="57">
        <f t="shared" si="41"/>
        <v>28</v>
      </c>
      <c r="K153" s="57">
        <f t="shared" si="41"/>
        <v>9</v>
      </c>
      <c r="L153" s="57">
        <f t="shared" si="41"/>
        <v>9</v>
      </c>
      <c r="M153" s="57">
        <f t="shared" si="41"/>
        <v>6</v>
      </c>
      <c r="N153" s="57">
        <f t="shared" si="41"/>
        <v>9</v>
      </c>
      <c r="O153" s="57">
        <f t="shared" si="41"/>
        <v>9</v>
      </c>
      <c r="P153" s="57">
        <f t="shared" si="41"/>
        <v>7</v>
      </c>
      <c r="Q153" s="57">
        <f t="shared" si="41"/>
        <v>5</v>
      </c>
      <c r="R153" s="57">
        <f t="shared" si="41"/>
        <v>9</v>
      </c>
      <c r="S153" s="57">
        <f t="shared" si="41"/>
        <v>13</v>
      </c>
      <c r="T153" s="6">
        <f t="shared" si="40"/>
        <v>174</v>
      </c>
    </row>
    <row r="154" ht="12.75" customHeight="1">
      <c r="A154" s="68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"/>
    </row>
    <row r="155" ht="12.75" customHeight="1">
      <c r="A155" s="33" t="s">
        <v>37</v>
      </c>
      <c r="B155" s="51" t="s">
        <v>131</v>
      </c>
      <c r="C155" s="52" t="s">
        <v>132</v>
      </c>
      <c r="D155" s="9"/>
      <c r="E155" s="13">
        <v>7.0</v>
      </c>
      <c r="F155" s="13">
        <v>1.0</v>
      </c>
      <c r="G155" s="13">
        <v>0.0</v>
      </c>
      <c r="H155" s="13">
        <v>6.0</v>
      </c>
      <c r="I155" s="13">
        <v>1.0</v>
      </c>
      <c r="J155" s="13">
        <v>0.0</v>
      </c>
      <c r="K155" s="13">
        <v>0.0</v>
      </c>
      <c r="L155" s="13">
        <v>0.0</v>
      </c>
      <c r="M155" s="13">
        <v>1.0</v>
      </c>
      <c r="N155" s="13">
        <v>0.0</v>
      </c>
      <c r="O155" s="13">
        <v>0.0</v>
      </c>
      <c r="P155" s="13">
        <v>1.0</v>
      </c>
      <c r="Q155" s="13">
        <v>3.0</v>
      </c>
      <c r="R155" s="13">
        <v>0.0</v>
      </c>
      <c r="S155" s="13">
        <v>0.0</v>
      </c>
      <c r="T155" s="6">
        <f t="shared" ref="T155:T158" si="42">SUM(E155:S155)</f>
        <v>20</v>
      </c>
    </row>
    <row r="156" ht="12.75" customHeight="1">
      <c r="A156" s="33" t="s">
        <v>39</v>
      </c>
      <c r="B156" s="54">
        <v>1.0</v>
      </c>
      <c r="C156" s="55" t="s">
        <v>133</v>
      </c>
      <c r="D156" s="56"/>
      <c r="E156" s="13">
        <v>43.0</v>
      </c>
      <c r="F156" s="13">
        <v>2.0</v>
      </c>
      <c r="G156" s="13">
        <v>2.0</v>
      </c>
      <c r="H156" s="13">
        <v>8.0</v>
      </c>
      <c r="I156" s="13">
        <v>4.0</v>
      </c>
      <c r="J156" s="13">
        <v>2.0</v>
      </c>
      <c r="K156" s="13">
        <v>14.0</v>
      </c>
      <c r="L156" s="13">
        <v>6.0</v>
      </c>
      <c r="M156" s="13">
        <v>4.0</v>
      </c>
      <c r="N156" s="13">
        <v>0.0</v>
      </c>
      <c r="O156" s="13">
        <v>0.0</v>
      </c>
      <c r="P156" s="13">
        <v>1.0</v>
      </c>
      <c r="Q156" s="13">
        <v>0.0</v>
      </c>
      <c r="R156" s="13">
        <v>0.0</v>
      </c>
      <c r="S156" s="13">
        <v>2.0</v>
      </c>
      <c r="T156" s="6">
        <f t="shared" si="42"/>
        <v>88</v>
      </c>
    </row>
    <row r="157" ht="12.75" customHeight="1">
      <c r="A157" s="33"/>
      <c r="B157" s="54">
        <v>2.0</v>
      </c>
      <c r="C157" s="55" t="s">
        <v>134</v>
      </c>
      <c r="D157" s="56"/>
      <c r="E157" s="13">
        <v>2.0</v>
      </c>
      <c r="F157" s="13">
        <v>0.0</v>
      </c>
      <c r="G157" s="13">
        <v>1.0</v>
      </c>
      <c r="H157" s="13">
        <v>1.0</v>
      </c>
      <c r="I157" s="13">
        <v>0.0</v>
      </c>
      <c r="J157" s="13">
        <v>5.0</v>
      </c>
      <c r="K157" s="13">
        <v>0.0</v>
      </c>
      <c r="L157" s="13">
        <v>0.0</v>
      </c>
      <c r="M157" s="13">
        <v>3.0</v>
      </c>
      <c r="N157" s="13">
        <v>2.0</v>
      </c>
      <c r="O157" s="13">
        <v>1.0</v>
      </c>
      <c r="P157" s="13">
        <v>1.0</v>
      </c>
      <c r="Q157" s="13">
        <v>0.0</v>
      </c>
      <c r="R157" s="13">
        <v>0.0</v>
      </c>
      <c r="S157" s="13">
        <v>0.0</v>
      </c>
      <c r="T157" s="6">
        <f t="shared" si="42"/>
        <v>16</v>
      </c>
    </row>
    <row r="158" ht="12.75" customHeight="1">
      <c r="A158" s="13" t="s">
        <v>15</v>
      </c>
      <c r="B158" s="51" t="s">
        <v>46</v>
      </c>
      <c r="C158" s="8"/>
      <c r="D158" s="9"/>
      <c r="E158" s="57">
        <f t="shared" ref="E158:S158" si="43">SUM(E155:E157)</f>
        <v>52</v>
      </c>
      <c r="F158" s="57">
        <f t="shared" si="43"/>
        <v>3</v>
      </c>
      <c r="G158" s="57">
        <f t="shared" si="43"/>
        <v>3</v>
      </c>
      <c r="H158" s="57">
        <f t="shared" si="43"/>
        <v>15</v>
      </c>
      <c r="I158" s="57">
        <f t="shared" si="43"/>
        <v>5</v>
      </c>
      <c r="J158" s="57">
        <f t="shared" si="43"/>
        <v>7</v>
      </c>
      <c r="K158" s="57">
        <f t="shared" si="43"/>
        <v>14</v>
      </c>
      <c r="L158" s="57">
        <f t="shared" si="43"/>
        <v>6</v>
      </c>
      <c r="M158" s="57">
        <f t="shared" si="43"/>
        <v>8</v>
      </c>
      <c r="N158" s="57">
        <f t="shared" si="43"/>
        <v>2</v>
      </c>
      <c r="O158" s="57">
        <f t="shared" si="43"/>
        <v>1</v>
      </c>
      <c r="P158" s="57">
        <f t="shared" si="43"/>
        <v>3</v>
      </c>
      <c r="Q158" s="57">
        <f t="shared" si="43"/>
        <v>3</v>
      </c>
      <c r="R158" s="57">
        <f t="shared" si="43"/>
        <v>0</v>
      </c>
      <c r="S158" s="57">
        <f t="shared" si="43"/>
        <v>2</v>
      </c>
      <c r="T158" s="6">
        <f t="shared" si="42"/>
        <v>124</v>
      </c>
    </row>
    <row r="159" ht="12.75" customHeight="1">
      <c r="A159" s="68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"/>
    </row>
    <row r="160" ht="12.75" customHeight="1">
      <c r="A160" s="33" t="s">
        <v>37</v>
      </c>
      <c r="B160" s="51" t="s">
        <v>135</v>
      </c>
      <c r="C160" s="52" t="s">
        <v>136</v>
      </c>
      <c r="D160" s="9"/>
      <c r="E160" s="13">
        <v>0.0</v>
      </c>
      <c r="F160" s="13">
        <v>0.0</v>
      </c>
      <c r="G160" s="13">
        <v>0.0</v>
      </c>
      <c r="H160" s="13">
        <v>1.0</v>
      </c>
      <c r="I160" s="13">
        <v>2.0</v>
      </c>
      <c r="J160" s="13">
        <v>0.0</v>
      </c>
      <c r="K160" s="13">
        <v>0.0</v>
      </c>
      <c r="L160" s="13">
        <v>0.0</v>
      </c>
      <c r="M160" s="13">
        <v>0.0</v>
      </c>
      <c r="N160" s="13">
        <v>1.0</v>
      </c>
      <c r="O160" s="13">
        <v>0.0</v>
      </c>
      <c r="P160" s="13">
        <v>0.0</v>
      </c>
      <c r="Q160" s="13">
        <v>0.0</v>
      </c>
      <c r="R160" s="13">
        <v>0.0</v>
      </c>
      <c r="S160" s="13">
        <v>0.0</v>
      </c>
      <c r="T160" s="6">
        <f t="shared" ref="T160:T164" si="44">SUM(E160:S160)</f>
        <v>4</v>
      </c>
    </row>
    <row r="161" ht="12.75" customHeight="1">
      <c r="A161" s="33"/>
      <c r="B161" s="54">
        <v>1.0</v>
      </c>
      <c r="C161" s="55" t="s">
        <v>137</v>
      </c>
      <c r="D161" s="63"/>
      <c r="E161" s="13">
        <v>0.0</v>
      </c>
      <c r="F161" s="13">
        <v>1.0</v>
      </c>
      <c r="G161" s="13">
        <v>0.0</v>
      </c>
      <c r="H161" s="13">
        <v>1.0</v>
      </c>
      <c r="I161" s="13">
        <v>0.0</v>
      </c>
      <c r="J161" s="13">
        <v>0.0</v>
      </c>
      <c r="K161" s="13">
        <v>0.0</v>
      </c>
      <c r="L161" s="13">
        <v>0.0</v>
      </c>
      <c r="M161" s="13">
        <v>0.0</v>
      </c>
      <c r="N161" s="13">
        <v>0.0</v>
      </c>
      <c r="O161" s="13">
        <v>0.0</v>
      </c>
      <c r="P161" s="13">
        <v>0.0</v>
      </c>
      <c r="Q161" s="13">
        <v>0.0</v>
      </c>
      <c r="R161" s="13">
        <v>0.0</v>
      </c>
      <c r="S161" s="13">
        <v>0.0</v>
      </c>
      <c r="T161" s="6">
        <f t="shared" si="44"/>
        <v>2</v>
      </c>
    </row>
    <row r="162" ht="12.75" customHeight="1">
      <c r="A162" s="33"/>
      <c r="B162" s="54">
        <v>2.0</v>
      </c>
      <c r="C162" s="55" t="s">
        <v>138</v>
      </c>
      <c r="D162" s="63"/>
      <c r="E162" s="13">
        <v>0.0</v>
      </c>
      <c r="F162" s="13">
        <v>0.0</v>
      </c>
      <c r="G162" s="13">
        <v>0.0</v>
      </c>
      <c r="H162" s="13">
        <v>0.0</v>
      </c>
      <c r="I162" s="13">
        <v>0.0</v>
      </c>
      <c r="J162" s="13">
        <v>2.0</v>
      </c>
      <c r="K162" s="13">
        <v>0.0</v>
      </c>
      <c r="L162" s="13">
        <v>0.0</v>
      </c>
      <c r="M162" s="13">
        <v>0.0</v>
      </c>
      <c r="N162" s="13">
        <v>0.0</v>
      </c>
      <c r="O162" s="13">
        <v>0.0</v>
      </c>
      <c r="P162" s="13">
        <v>0.0</v>
      </c>
      <c r="Q162" s="13">
        <v>0.0</v>
      </c>
      <c r="R162" s="13">
        <v>0.0</v>
      </c>
      <c r="S162" s="13">
        <v>0.0</v>
      </c>
      <c r="T162" s="6">
        <f t="shared" si="44"/>
        <v>2</v>
      </c>
    </row>
    <row r="163" ht="12.75" customHeight="1">
      <c r="A163" s="33"/>
      <c r="B163" s="54">
        <v>3.0</v>
      </c>
      <c r="C163" s="55" t="s">
        <v>139</v>
      </c>
      <c r="D163" s="63"/>
      <c r="E163" s="13">
        <v>0.0</v>
      </c>
      <c r="F163" s="13">
        <v>1.0</v>
      </c>
      <c r="G163" s="13">
        <v>0.0</v>
      </c>
      <c r="H163" s="13">
        <v>0.0</v>
      </c>
      <c r="I163" s="13">
        <v>0.0</v>
      </c>
      <c r="J163" s="13">
        <v>4.0</v>
      </c>
      <c r="K163" s="13">
        <v>0.0</v>
      </c>
      <c r="L163" s="13">
        <v>0.0</v>
      </c>
      <c r="M163" s="13">
        <v>2.0</v>
      </c>
      <c r="N163" s="13">
        <v>0.0</v>
      </c>
      <c r="O163" s="13">
        <v>0.0</v>
      </c>
      <c r="P163" s="13">
        <v>0.0</v>
      </c>
      <c r="Q163" s="13">
        <v>0.0</v>
      </c>
      <c r="R163" s="13">
        <v>0.0</v>
      </c>
      <c r="S163" s="13">
        <v>0.0</v>
      </c>
      <c r="T163" s="6">
        <f t="shared" si="44"/>
        <v>7</v>
      </c>
    </row>
    <row r="164" ht="12.75" customHeight="1">
      <c r="A164" s="13" t="s">
        <v>15</v>
      </c>
      <c r="B164" s="51" t="s">
        <v>46</v>
      </c>
      <c r="C164" s="8"/>
      <c r="D164" s="9"/>
      <c r="E164" s="57">
        <f t="shared" ref="E164:S164" si="45">SUM(E160:E163)</f>
        <v>0</v>
      </c>
      <c r="F164" s="57">
        <f t="shared" si="45"/>
        <v>2</v>
      </c>
      <c r="G164" s="57">
        <f t="shared" si="45"/>
        <v>0</v>
      </c>
      <c r="H164" s="57">
        <f t="shared" si="45"/>
        <v>2</v>
      </c>
      <c r="I164" s="57">
        <f t="shared" si="45"/>
        <v>2</v>
      </c>
      <c r="J164" s="57">
        <f t="shared" si="45"/>
        <v>6</v>
      </c>
      <c r="K164" s="57">
        <f t="shared" si="45"/>
        <v>0</v>
      </c>
      <c r="L164" s="57">
        <f t="shared" si="45"/>
        <v>0</v>
      </c>
      <c r="M164" s="57">
        <f t="shared" si="45"/>
        <v>2</v>
      </c>
      <c r="N164" s="57">
        <f t="shared" si="45"/>
        <v>1</v>
      </c>
      <c r="O164" s="57">
        <f t="shared" si="45"/>
        <v>0</v>
      </c>
      <c r="P164" s="57">
        <f t="shared" si="45"/>
        <v>0</v>
      </c>
      <c r="Q164" s="57">
        <f t="shared" si="45"/>
        <v>0</v>
      </c>
      <c r="R164" s="57">
        <f t="shared" si="45"/>
        <v>0</v>
      </c>
      <c r="S164" s="57">
        <f t="shared" si="45"/>
        <v>0</v>
      </c>
      <c r="T164" s="6">
        <f t="shared" si="44"/>
        <v>15</v>
      </c>
    </row>
    <row r="165" ht="12.75" customHeight="1">
      <c r="A165" s="68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"/>
    </row>
    <row r="166" ht="12.75" customHeight="1">
      <c r="A166" s="33" t="s">
        <v>37</v>
      </c>
      <c r="B166" s="51" t="s">
        <v>140</v>
      </c>
      <c r="C166" s="52" t="s">
        <v>141</v>
      </c>
      <c r="D166" s="9"/>
      <c r="E166" s="13">
        <v>1.0</v>
      </c>
      <c r="F166" s="13">
        <v>0.0</v>
      </c>
      <c r="G166" s="13">
        <v>1.0</v>
      </c>
      <c r="H166" s="13">
        <v>0.0</v>
      </c>
      <c r="I166" s="13">
        <v>0.0</v>
      </c>
      <c r="J166" s="13">
        <v>0.0</v>
      </c>
      <c r="K166" s="13">
        <v>0.0</v>
      </c>
      <c r="L166" s="13">
        <v>0.0</v>
      </c>
      <c r="M166" s="13">
        <v>0.0</v>
      </c>
      <c r="N166" s="13">
        <v>0.0</v>
      </c>
      <c r="O166" s="13">
        <v>0.0</v>
      </c>
      <c r="P166" s="13">
        <v>1.0</v>
      </c>
      <c r="Q166" s="13">
        <v>0.0</v>
      </c>
      <c r="R166" s="13">
        <v>0.0</v>
      </c>
      <c r="S166" s="13">
        <v>0.0</v>
      </c>
      <c r="T166" s="6">
        <f t="shared" ref="T166:T173" si="46">SUM(E166:S166)</f>
        <v>3</v>
      </c>
    </row>
    <row r="167" ht="12.75" customHeight="1">
      <c r="A167" s="33" t="s">
        <v>39</v>
      </c>
      <c r="B167" s="54">
        <v>1.0</v>
      </c>
      <c r="C167" s="55" t="s">
        <v>142</v>
      </c>
      <c r="D167" s="56"/>
      <c r="E167" s="13">
        <v>1.0</v>
      </c>
      <c r="F167" s="13">
        <v>1.0</v>
      </c>
      <c r="G167" s="13">
        <v>1.0</v>
      </c>
      <c r="H167" s="13">
        <v>0.0</v>
      </c>
      <c r="I167" s="13">
        <v>0.0</v>
      </c>
      <c r="J167" s="13">
        <v>0.0</v>
      </c>
      <c r="K167" s="13">
        <v>0.0</v>
      </c>
      <c r="L167" s="13">
        <v>0.0</v>
      </c>
      <c r="M167" s="13">
        <v>0.0</v>
      </c>
      <c r="N167" s="13">
        <v>0.0</v>
      </c>
      <c r="O167" s="13">
        <v>0.0</v>
      </c>
      <c r="P167" s="13">
        <v>0.0</v>
      </c>
      <c r="Q167" s="13">
        <v>0.0</v>
      </c>
      <c r="R167" s="13">
        <v>0.0</v>
      </c>
      <c r="S167" s="13">
        <v>0.0</v>
      </c>
      <c r="T167" s="6">
        <f t="shared" si="46"/>
        <v>3</v>
      </c>
    </row>
    <row r="168" ht="12.75" customHeight="1">
      <c r="A168" s="18"/>
      <c r="B168" s="54">
        <v>2.0</v>
      </c>
      <c r="C168" s="55" t="s">
        <v>143</v>
      </c>
      <c r="D168" s="56"/>
      <c r="E168" s="13">
        <v>0.0</v>
      </c>
      <c r="F168" s="13">
        <v>0.0</v>
      </c>
      <c r="G168" s="13">
        <v>0.0</v>
      </c>
      <c r="H168" s="13">
        <v>1.0</v>
      </c>
      <c r="I168" s="13">
        <v>0.0</v>
      </c>
      <c r="J168" s="13">
        <v>0.0</v>
      </c>
      <c r="K168" s="13">
        <v>0.0</v>
      </c>
      <c r="L168" s="13">
        <v>0.0</v>
      </c>
      <c r="M168" s="13">
        <v>0.0</v>
      </c>
      <c r="N168" s="13">
        <v>0.0</v>
      </c>
      <c r="O168" s="13">
        <v>0.0</v>
      </c>
      <c r="P168" s="13">
        <v>0.0</v>
      </c>
      <c r="Q168" s="13">
        <v>1.0</v>
      </c>
      <c r="R168" s="13">
        <v>0.0</v>
      </c>
      <c r="S168" s="13">
        <v>0.0</v>
      </c>
      <c r="T168" s="6">
        <f t="shared" si="46"/>
        <v>2</v>
      </c>
    </row>
    <row r="169" ht="12.75" customHeight="1">
      <c r="A169" s="18"/>
      <c r="B169" s="54">
        <v>3.0</v>
      </c>
      <c r="C169" s="55" t="s">
        <v>144</v>
      </c>
      <c r="D169" s="56"/>
      <c r="E169" s="13">
        <v>0.0</v>
      </c>
      <c r="F169" s="13">
        <v>0.0</v>
      </c>
      <c r="G169" s="13">
        <v>0.0</v>
      </c>
      <c r="H169" s="13">
        <v>0.0</v>
      </c>
      <c r="I169" s="13">
        <v>0.0</v>
      </c>
      <c r="J169" s="13">
        <v>0.0</v>
      </c>
      <c r="K169" s="13">
        <v>0.0</v>
      </c>
      <c r="L169" s="13">
        <v>0.0</v>
      </c>
      <c r="M169" s="13">
        <v>0.0</v>
      </c>
      <c r="N169" s="13">
        <v>0.0</v>
      </c>
      <c r="O169" s="13">
        <v>0.0</v>
      </c>
      <c r="P169" s="13">
        <v>0.0</v>
      </c>
      <c r="Q169" s="13">
        <v>0.0</v>
      </c>
      <c r="R169" s="13">
        <v>0.0</v>
      </c>
      <c r="S169" s="13">
        <v>0.0</v>
      </c>
      <c r="T169" s="6">
        <f t="shared" si="46"/>
        <v>0</v>
      </c>
    </row>
    <row r="170" ht="12.75" customHeight="1">
      <c r="A170" s="18"/>
      <c r="B170" s="54">
        <v>4.0</v>
      </c>
      <c r="C170" s="55" t="s">
        <v>145</v>
      </c>
      <c r="D170" s="56"/>
      <c r="E170" s="13">
        <v>0.0</v>
      </c>
      <c r="F170" s="13">
        <v>0.0</v>
      </c>
      <c r="G170" s="13">
        <v>0.0</v>
      </c>
      <c r="H170" s="13">
        <v>0.0</v>
      </c>
      <c r="I170" s="13">
        <v>0.0</v>
      </c>
      <c r="J170" s="13">
        <v>0.0</v>
      </c>
      <c r="K170" s="13">
        <v>0.0</v>
      </c>
      <c r="L170" s="13">
        <v>0.0</v>
      </c>
      <c r="M170" s="13">
        <v>0.0</v>
      </c>
      <c r="N170" s="13">
        <v>0.0</v>
      </c>
      <c r="O170" s="13">
        <v>0.0</v>
      </c>
      <c r="P170" s="13">
        <v>0.0</v>
      </c>
      <c r="Q170" s="13">
        <v>0.0</v>
      </c>
      <c r="R170" s="13">
        <v>0.0</v>
      </c>
      <c r="S170" s="13">
        <v>0.0</v>
      </c>
      <c r="T170" s="6">
        <f t="shared" si="46"/>
        <v>0</v>
      </c>
    </row>
    <row r="171" ht="12.75" customHeight="1">
      <c r="A171" s="18"/>
      <c r="B171" s="54">
        <v>5.0</v>
      </c>
      <c r="C171" s="55" t="s">
        <v>146</v>
      </c>
      <c r="D171" s="56"/>
      <c r="E171" s="13">
        <v>0.0</v>
      </c>
      <c r="F171" s="13">
        <v>0.0</v>
      </c>
      <c r="G171" s="13">
        <v>0.0</v>
      </c>
      <c r="H171" s="13">
        <v>0.0</v>
      </c>
      <c r="I171" s="13">
        <v>0.0</v>
      </c>
      <c r="J171" s="13">
        <v>0.0</v>
      </c>
      <c r="K171" s="13">
        <v>0.0</v>
      </c>
      <c r="L171" s="13">
        <v>0.0</v>
      </c>
      <c r="M171" s="13">
        <v>0.0</v>
      </c>
      <c r="N171" s="13">
        <v>0.0</v>
      </c>
      <c r="O171" s="13">
        <v>0.0</v>
      </c>
      <c r="P171" s="13">
        <v>0.0</v>
      </c>
      <c r="Q171" s="13">
        <v>0.0</v>
      </c>
      <c r="R171" s="13">
        <v>0.0</v>
      </c>
      <c r="S171" s="13">
        <v>0.0</v>
      </c>
      <c r="T171" s="6">
        <f t="shared" si="46"/>
        <v>0</v>
      </c>
    </row>
    <row r="172" ht="12.75" customHeight="1">
      <c r="A172" s="18"/>
      <c r="B172" s="54">
        <v>6.0</v>
      </c>
      <c r="C172" s="55" t="s">
        <v>147</v>
      </c>
      <c r="D172" s="56"/>
      <c r="E172" s="13">
        <v>0.0</v>
      </c>
      <c r="F172" s="13">
        <v>0.0</v>
      </c>
      <c r="G172" s="13">
        <v>0.0</v>
      </c>
      <c r="H172" s="13">
        <v>0.0</v>
      </c>
      <c r="I172" s="13">
        <v>0.0</v>
      </c>
      <c r="J172" s="13">
        <v>0.0</v>
      </c>
      <c r="K172" s="13">
        <v>0.0</v>
      </c>
      <c r="L172" s="13">
        <v>0.0</v>
      </c>
      <c r="M172" s="13">
        <v>0.0</v>
      </c>
      <c r="N172" s="13">
        <v>0.0</v>
      </c>
      <c r="O172" s="13">
        <v>0.0</v>
      </c>
      <c r="P172" s="13">
        <v>0.0</v>
      </c>
      <c r="Q172" s="13">
        <v>0.0</v>
      </c>
      <c r="R172" s="13">
        <v>0.0</v>
      </c>
      <c r="S172" s="13">
        <v>0.0</v>
      </c>
      <c r="T172" s="6">
        <f t="shared" si="46"/>
        <v>0</v>
      </c>
    </row>
    <row r="173" ht="12.75" customHeight="1">
      <c r="A173" s="13" t="s">
        <v>15</v>
      </c>
      <c r="B173" s="51" t="s">
        <v>46</v>
      </c>
      <c r="C173" s="8"/>
      <c r="D173" s="9"/>
      <c r="E173" s="57">
        <f t="shared" ref="E173:S173" si="47">SUM(E166:E172)</f>
        <v>2</v>
      </c>
      <c r="F173" s="57">
        <f t="shared" si="47"/>
        <v>1</v>
      </c>
      <c r="G173" s="57">
        <f t="shared" si="47"/>
        <v>2</v>
      </c>
      <c r="H173" s="57">
        <f t="shared" si="47"/>
        <v>1</v>
      </c>
      <c r="I173" s="57">
        <f t="shared" si="47"/>
        <v>0</v>
      </c>
      <c r="J173" s="57">
        <f t="shared" si="47"/>
        <v>0</v>
      </c>
      <c r="K173" s="57">
        <f t="shared" si="47"/>
        <v>0</v>
      </c>
      <c r="L173" s="57">
        <f t="shared" si="47"/>
        <v>0</v>
      </c>
      <c r="M173" s="57">
        <f t="shared" si="47"/>
        <v>0</v>
      </c>
      <c r="N173" s="57">
        <f t="shared" si="47"/>
        <v>0</v>
      </c>
      <c r="O173" s="57">
        <f t="shared" si="47"/>
        <v>0</v>
      </c>
      <c r="P173" s="57">
        <f t="shared" si="47"/>
        <v>1</v>
      </c>
      <c r="Q173" s="57">
        <f t="shared" si="47"/>
        <v>1</v>
      </c>
      <c r="R173" s="57">
        <f t="shared" si="47"/>
        <v>0</v>
      </c>
      <c r="S173" s="57">
        <f t="shared" si="47"/>
        <v>0</v>
      </c>
      <c r="T173" s="6">
        <f t="shared" si="46"/>
        <v>8</v>
      </c>
    </row>
    <row r="174" ht="12.75" customHeight="1">
      <c r="A174" s="68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"/>
    </row>
    <row r="175" ht="12.75" customHeight="1">
      <c r="A175" s="33" t="s">
        <v>37</v>
      </c>
      <c r="B175" s="51" t="s">
        <v>148</v>
      </c>
      <c r="C175" s="52" t="s">
        <v>149</v>
      </c>
      <c r="D175" s="9"/>
      <c r="E175" s="13">
        <v>0.0</v>
      </c>
      <c r="F175" s="13">
        <v>0.0</v>
      </c>
      <c r="G175" s="13">
        <v>0.0</v>
      </c>
      <c r="H175" s="13">
        <v>0.0</v>
      </c>
      <c r="I175" s="13">
        <v>0.0</v>
      </c>
      <c r="J175" s="13">
        <v>0.0</v>
      </c>
      <c r="K175" s="13">
        <v>0.0</v>
      </c>
      <c r="L175" s="13">
        <v>0.0</v>
      </c>
      <c r="M175" s="13">
        <v>1.0</v>
      </c>
      <c r="N175" s="13">
        <v>0.0</v>
      </c>
      <c r="O175" s="13">
        <v>0.0</v>
      </c>
      <c r="P175" s="13">
        <v>0.0</v>
      </c>
      <c r="Q175" s="13">
        <v>0.0</v>
      </c>
      <c r="R175" s="13">
        <v>0.0</v>
      </c>
      <c r="S175" s="13">
        <v>0.0</v>
      </c>
      <c r="T175" s="6">
        <f t="shared" ref="T175:T178" si="48">SUM(E175:S175)</f>
        <v>1</v>
      </c>
    </row>
    <row r="176" ht="12.75" customHeight="1">
      <c r="A176" s="33"/>
      <c r="B176" s="51">
        <v>1.0</v>
      </c>
      <c r="C176" s="52" t="s">
        <v>150</v>
      </c>
      <c r="D176" s="63"/>
      <c r="E176" s="13">
        <v>0.0</v>
      </c>
      <c r="F176" s="13">
        <v>0.0</v>
      </c>
      <c r="G176" s="13">
        <v>0.0</v>
      </c>
      <c r="H176" s="13">
        <v>0.0</v>
      </c>
      <c r="I176" s="13">
        <v>0.0</v>
      </c>
      <c r="J176" s="13">
        <v>1.0</v>
      </c>
      <c r="K176" s="13">
        <v>0.0</v>
      </c>
      <c r="L176" s="13">
        <v>0.0</v>
      </c>
      <c r="M176" s="13">
        <v>0.0</v>
      </c>
      <c r="N176" s="13">
        <v>0.0</v>
      </c>
      <c r="O176" s="13">
        <v>0.0</v>
      </c>
      <c r="P176" s="13">
        <v>1.0</v>
      </c>
      <c r="Q176" s="13">
        <v>0.0</v>
      </c>
      <c r="R176" s="13">
        <v>0.0</v>
      </c>
      <c r="S176" s="13">
        <v>0.0</v>
      </c>
      <c r="T176" s="6">
        <f t="shared" si="48"/>
        <v>2</v>
      </c>
    </row>
    <row r="177" ht="12.75" customHeight="1">
      <c r="A177" s="33" t="s">
        <v>39</v>
      </c>
      <c r="B177" s="54">
        <v>2.0</v>
      </c>
      <c r="C177" s="55" t="s">
        <v>151</v>
      </c>
      <c r="D177" s="56"/>
      <c r="E177" s="13">
        <v>0.0</v>
      </c>
      <c r="F177" s="13">
        <v>0.0</v>
      </c>
      <c r="G177" s="13">
        <v>0.0</v>
      </c>
      <c r="H177" s="13">
        <v>0.0</v>
      </c>
      <c r="I177" s="13">
        <v>0.0</v>
      </c>
      <c r="J177" s="13">
        <v>0.0</v>
      </c>
      <c r="K177" s="13">
        <v>0.0</v>
      </c>
      <c r="L177" s="13">
        <v>0.0</v>
      </c>
      <c r="M177" s="13">
        <v>0.0</v>
      </c>
      <c r="N177" s="13">
        <v>1.0</v>
      </c>
      <c r="O177" s="13">
        <v>0.0</v>
      </c>
      <c r="P177" s="13">
        <v>0.0</v>
      </c>
      <c r="Q177" s="13">
        <v>0.0</v>
      </c>
      <c r="R177" s="13">
        <v>0.0</v>
      </c>
      <c r="S177" s="13">
        <v>0.0</v>
      </c>
      <c r="T177" s="6">
        <f t="shared" si="48"/>
        <v>1</v>
      </c>
    </row>
    <row r="178" ht="12.75" customHeight="1">
      <c r="A178" s="13" t="s">
        <v>15</v>
      </c>
      <c r="B178" s="51" t="s">
        <v>46</v>
      </c>
      <c r="C178" s="8"/>
      <c r="D178" s="9"/>
      <c r="E178" s="57">
        <f t="shared" ref="E178:S178" si="49">SUM(E175:E177)</f>
        <v>0</v>
      </c>
      <c r="F178" s="57">
        <f t="shared" si="49"/>
        <v>0</v>
      </c>
      <c r="G178" s="57">
        <f t="shared" si="49"/>
        <v>0</v>
      </c>
      <c r="H178" s="57">
        <f t="shared" si="49"/>
        <v>0</v>
      </c>
      <c r="I178" s="57">
        <f t="shared" si="49"/>
        <v>0</v>
      </c>
      <c r="J178" s="57">
        <f t="shared" si="49"/>
        <v>1</v>
      </c>
      <c r="K178" s="57">
        <f t="shared" si="49"/>
        <v>0</v>
      </c>
      <c r="L178" s="57">
        <f t="shared" si="49"/>
        <v>0</v>
      </c>
      <c r="M178" s="57">
        <f t="shared" si="49"/>
        <v>1</v>
      </c>
      <c r="N178" s="57">
        <f t="shared" si="49"/>
        <v>1</v>
      </c>
      <c r="O178" s="57">
        <f t="shared" si="49"/>
        <v>0</v>
      </c>
      <c r="P178" s="57">
        <f t="shared" si="49"/>
        <v>1</v>
      </c>
      <c r="Q178" s="57">
        <f t="shared" si="49"/>
        <v>0</v>
      </c>
      <c r="R178" s="57">
        <f t="shared" si="49"/>
        <v>0</v>
      </c>
      <c r="S178" s="57">
        <f t="shared" si="49"/>
        <v>0</v>
      </c>
      <c r="T178" s="6">
        <f t="shared" si="48"/>
        <v>4</v>
      </c>
    </row>
    <row r="179" ht="12.75" customHeight="1">
      <c r="A179" s="49"/>
      <c r="B179" s="48"/>
      <c r="C179" s="48"/>
      <c r="D179" s="27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6"/>
    </row>
    <row r="180" ht="12.75" customHeight="1">
      <c r="A180" s="46" t="s">
        <v>152</v>
      </c>
      <c r="B180" s="7" t="s">
        <v>153</v>
      </c>
      <c r="C180" s="8"/>
      <c r="D180" s="9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6"/>
    </row>
    <row r="181" ht="12.75" customHeight="1">
      <c r="A181" s="46"/>
      <c r="B181" s="64" t="s">
        <v>154</v>
      </c>
      <c r="C181" s="65" t="s">
        <v>155</v>
      </c>
      <c r="D181" s="9"/>
      <c r="E181" s="13">
        <v>152.0</v>
      </c>
      <c r="F181" s="13">
        <v>177.0</v>
      </c>
      <c r="G181" s="13">
        <v>157.0</v>
      </c>
      <c r="H181" s="13">
        <v>209.0</v>
      </c>
      <c r="I181" s="13">
        <v>188.0</v>
      </c>
      <c r="J181" s="13">
        <v>175.0</v>
      </c>
      <c r="K181" s="13">
        <v>126.0</v>
      </c>
      <c r="L181" s="13">
        <v>124.0</v>
      </c>
      <c r="M181" s="13">
        <v>165.0</v>
      </c>
      <c r="N181" s="13">
        <v>127.0</v>
      </c>
      <c r="O181" s="13">
        <v>116.0</v>
      </c>
      <c r="P181" s="13">
        <v>135.0</v>
      </c>
      <c r="Q181" s="13">
        <v>124.0</v>
      </c>
      <c r="R181" s="13">
        <v>212.0</v>
      </c>
      <c r="S181" s="13">
        <v>159.0</v>
      </c>
      <c r="T181" s="6">
        <f t="shared" ref="T181:T183" si="50">SUM(E181:S181)</f>
        <v>2346</v>
      </c>
    </row>
    <row r="182" ht="12.75" customHeight="1">
      <c r="A182" s="38"/>
      <c r="B182" s="64" t="s">
        <v>156</v>
      </c>
      <c r="C182" s="65" t="s">
        <v>157</v>
      </c>
      <c r="D182" s="9"/>
      <c r="E182" s="13">
        <v>9.0</v>
      </c>
      <c r="F182" s="13">
        <v>11.0</v>
      </c>
      <c r="G182" s="13">
        <v>17.0</v>
      </c>
      <c r="H182" s="13">
        <v>19.0</v>
      </c>
      <c r="I182" s="13">
        <v>25.0</v>
      </c>
      <c r="J182" s="13">
        <v>12.0</v>
      </c>
      <c r="K182" s="13">
        <v>17.0</v>
      </c>
      <c r="L182" s="13">
        <v>23.0</v>
      </c>
      <c r="M182" s="13">
        <v>21.0</v>
      </c>
      <c r="N182" s="13">
        <v>16.0</v>
      </c>
      <c r="O182" s="13">
        <v>7.0</v>
      </c>
      <c r="P182" s="13">
        <v>3.0</v>
      </c>
      <c r="Q182" s="13">
        <v>7.0</v>
      </c>
      <c r="R182" s="13">
        <v>5.0</v>
      </c>
      <c r="S182" s="13">
        <v>7.0</v>
      </c>
      <c r="T182" s="6">
        <f t="shared" si="50"/>
        <v>199</v>
      </c>
    </row>
    <row r="183" ht="12.75" customHeight="1">
      <c r="A183" s="43"/>
      <c r="B183" s="64" t="s">
        <v>158</v>
      </c>
      <c r="C183" s="65" t="s">
        <v>159</v>
      </c>
      <c r="D183" s="9"/>
      <c r="E183" s="28">
        <f t="shared" ref="E183:S183" si="51">SUM(E181:E182)</f>
        <v>161</v>
      </c>
      <c r="F183" s="28">
        <f t="shared" si="51"/>
        <v>188</v>
      </c>
      <c r="G183" s="28">
        <f t="shared" si="51"/>
        <v>174</v>
      </c>
      <c r="H183" s="28">
        <f t="shared" si="51"/>
        <v>228</v>
      </c>
      <c r="I183" s="28">
        <f t="shared" si="51"/>
        <v>213</v>
      </c>
      <c r="J183" s="28">
        <f t="shared" si="51"/>
        <v>187</v>
      </c>
      <c r="K183" s="28">
        <f t="shared" si="51"/>
        <v>143</v>
      </c>
      <c r="L183" s="28">
        <f t="shared" si="51"/>
        <v>147</v>
      </c>
      <c r="M183" s="28">
        <f t="shared" si="51"/>
        <v>186</v>
      </c>
      <c r="N183" s="28">
        <f t="shared" si="51"/>
        <v>143</v>
      </c>
      <c r="O183" s="28">
        <f t="shared" si="51"/>
        <v>123</v>
      </c>
      <c r="P183" s="28">
        <f t="shared" si="51"/>
        <v>138</v>
      </c>
      <c r="Q183" s="28">
        <f t="shared" si="51"/>
        <v>131</v>
      </c>
      <c r="R183" s="28">
        <f t="shared" si="51"/>
        <v>217</v>
      </c>
      <c r="S183" s="28">
        <f t="shared" si="51"/>
        <v>166</v>
      </c>
      <c r="T183" s="6">
        <f t="shared" si="50"/>
        <v>2545</v>
      </c>
    </row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1">
    <mergeCell ref="C101:D101"/>
    <mergeCell ref="B108:D108"/>
    <mergeCell ref="C110:D110"/>
    <mergeCell ref="B114:D114"/>
    <mergeCell ref="C116:D116"/>
    <mergeCell ref="B123:D123"/>
    <mergeCell ref="C125:D125"/>
    <mergeCell ref="B127:D127"/>
    <mergeCell ref="C129:D129"/>
    <mergeCell ref="B136:D136"/>
    <mergeCell ref="C138:D138"/>
    <mergeCell ref="B144:D144"/>
    <mergeCell ref="C146:D146"/>
    <mergeCell ref="B153:D153"/>
    <mergeCell ref="B178:D178"/>
    <mergeCell ref="A179:D179"/>
    <mergeCell ref="B180:D180"/>
    <mergeCell ref="C181:D181"/>
    <mergeCell ref="C182:D182"/>
    <mergeCell ref="C183:D183"/>
    <mergeCell ref="C155:D155"/>
    <mergeCell ref="B158:D158"/>
    <mergeCell ref="C160:D160"/>
    <mergeCell ref="B164:D164"/>
    <mergeCell ref="C166:D166"/>
    <mergeCell ref="B173:D173"/>
    <mergeCell ref="C175:D175"/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C91:D91"/>
    <mergeCell ref="B92:D92"/>
    <mergeCell ref="C94:D94"/>
    <mergeCell ref="B99:D99"/>
  </mergeCells>
  <conditionalFormatting sqref="E30:S30">
    <cfRule type="expression" dxfId="0" priority="1">
      <formula>E30&lt;&gt;E62</formula>
    </cfRule>
  </conditionalFormatting>
  <conditionalFormatting sqref="E34:S34">
    <cfRule type="expression" dxfId="0" priority="2">
      <formula>E34&lt;&gt;E62</formula>
    </cfRule>
  </conditionalFormatting>
  <conditionalFormatting sqref="E14:S15">
    <cfRule type="containsBlanks" dxfId="1" priority="3">
      <formula>LEN(TRIM(E14))=0</formula>
    </cfRule>
  </conditionalFormatting>
  <conditionalFormatting sqref="E19:S20">
    <cfRule type="containsBlanks" dxfId="1" priority="4">
      <formula>LEN(TRIM(E19))=0</formula>
    </cfRule>
  </conditionalFormatting>
  <conditionalFormatting sqref="E22:S23 E25:S26 E33:S33 E35:S35 E39:S40">
    <cfRule type="containsBlanks" dxfId="1" priority="5">
      <formula>LEN(TRIM(E22))=0</formula>
    </cfRule>
  </conditionalFormatting>
  <conditionalFormatting sqref="E30:S30">
    <cfRule type="expression" dxfId="0" priority="6">
      <formula>E30&lt;&gt;E34</formula>
    </cfRule>
  </conditionalFormatting>
  <conditionalFormatting sqref="E34:S34">
    <cfRule type="expression" dxfId="2" priority="7">
      <formula>E30&lt;&gt;E34</formula>
    </cfRule>
  </conditionalFormatting>
  <conditionalFormatting sqref="E34:S34">
    <cfRule type="expression" dxfId="3" priority="8">
      <formula>E30=E34</formula>
    </cfRule>
  </conditionalFormatting>
  <conditionalFormatting sqref="E34:S34">
    <cfRule type="expression" dxfId="0" priority="9">
      <formula>E34&lt;&gt;E30</formula>
    </cfRule>
  </conditionalFormatting>
  <conditionalFormatting sqref="E45:S51">
    <cfRule type="containsBlanks" dxfId="1" priority="10">
      <formula>LEN(TRIM(E45))=0</formula>
    </cfRule>
  </conditionalFormatting>
  <conditionalFormatting sqref="E54:S60">
    <cfRule type="containsBlanks" dxfId="1" priority="11">
      <formula>LEN(TRIM(E54))=0</formula>
    </cfRule>
  </conditionalFormatting>
  <conditionalFormatting sqref="E63:S69">
    <cfRule type="containsBlanks" dxfId="1" priority="12">
      <formula>LEN(TRIM(E63))=0</formula>
    </cfRule>
  </conditionalFormatting>
  <conditionalFormatting sqref="E72:S78">
    <cfRule type="containsBlanks" dxfId="1" priority="13">
      <formula>LEN(TRIM(E72))=0</formula>
    </cfRule>
  </conditionalFormatting>
  <conditionalFormatting sqref="E81:S87">
    <cfRule type="containsBlanks" dxfId="1" priority="14">
      <formula>LEN(TRIM(E81))=0</formula>
    </cfRule>
  </conditionalFormatting>
  <conditionalFormatting sqref="E90:S91">
    <cfRule type="containsBlanks" dxfId="1" priority="15">
      <formula>LEN(TRIM(E90))=0</formula>
    </cfRule>
  </conditionalFormatting>
  <conditionalFormatting sqref="E94:S98">
    <cfRule type="containsBlanks" dxfId="1" priority="16">
      <formula>LEN(TRIM(E94))=0</formula>
    </cfRule>
  </conditionalFormatting>
  <conditionalFormatting sqref="E101:S107">
    <cfRule type="containsBlanks" dxfId="1" priority="17">
      <formula>LEN(TRIM(E101))=0</formula>
    </cfRule>
  </conditionalFormatting>
  <conditionalFormatting sqref="E110:S113">
    <cfRule type="containsBlanks" dxfId="1" priority="18">
      <formula>LEN(TRIM(E110))=0</formula>
    </cfRule>
  </conditionalFormatting>
  <conditionalFormatting sqref="E116:S122">
    <cfRule type="containsBlanks" dxfId="1" priority="19">
      <formula>LEN(TRIM(E116))=0</formula>
    </cfRule>
  </conditionalFormatting>
  <conditionalFormatting sqref="E125:S126">
    <cfRule type="containsBlanks" dxfId="1" priority="20">
      <formula>LEN(TRIM(E125))=0</formula>
    </cfRule>
  </conditionalFormatting>
  <conditionalFormatting sqref="E129:S135">
    <cfRule type="containsBlanks" dxfId="1" priority="21">
      <formula>LEN(TRIM(E129))=0</formula>
    </cfRule>
  </conditionalFormatting>
  <conditionalFormatting sqref="E138:S143">
    <cfRule type="containsBlanks" dxfId="1" priority="22">
      <formula>LEN(TRIM(E138))=0</formula>
    </cfRule>
  </conditionalFormatting>
  <conditionalFormatting sqref="E146:S152">
    <cfRule type="containsBlanks" dxfId="1" priority="23">
      <formula>LEN(TRIM(E146))=0</formula>
    </cfRule>
  </conditionalFormatting>
  <conditionalFormatting sqref="E155:S157">
    <cfRule type="containsBlanks" dxfId="1" priority="24">
      <formula>LEN(TRIM(E155))=0</formula>
    </cfRule>
  </conditionalFormatting>
  <conditionalFormatting sqref="E160:S163">
    <cfRule type="containsBlanks" dxfId="1" priority="25">
      <formula>LEN(TRIM(E160))=0</formula>
    </cfRule>
  </conditionalFormatting>
  <conditionalFormatting sqref="E166:S172">
    <cfRule type="containsBlanks" dxfId="1" priority="26">
      <formula>LEN(TRIM(E166))=0</formula>
    </cfRule>
  </conditionalFormatting>
  <conditionalFormatting sqref="E175:S177">
    <cfRule type="containsBlanks" dxfId="1" priority="27">
      <formula>LEN(TRIM(E175))=0</formula>
    </cfRule>
  </conditionalFormatting>
  <conditionalFormatting sqref="E181:S182">
    <cfRule type="containsBlanks" dxfId="1" priority="28">
      <formula>LEN(TRIM(E181))=0</formula>
    </cfRule>
  </conditionalFormatting>
  <conditionalFormatting sqref="E183:S183">
    <cfRule type="expression" dxfId="0" priority="29">
      <formula>E183&lt;&gt;E30</formula>
    </cfRule>
  </conditionalFormatting>
  <conditionalFormatting sqref="E183:S183">
    <cfRule type="expression" dxfId="0" priority="30">
      <formula>E183&lt;&gt;E34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3" width="8.71"/>
    <col customWidth="1" min="14" max="14" width="10.43"/>
  </cols>
  <sheetData>
    <row r="1" ht="12.75" customHeight="1"/>
    <row r="2" ht="12.75" customHeight="1">
      <c r="C2" s="1" t="s">
        <v>0</v>
      </c>
      <c r="D2" s="1" t="s">
        <v>180</v>
      </c>
    </row>
    <row r="3" ht="12.75" customHeight="1">
      <c r="C3" s="1" t="s">
        <v>2</v>
      </c>
      <c r="D3" s="1" t="s">
        <v>3</v>
      </c>
    </row>
    <row r="4" ht="12.75" customHeight="1">
      <c r="C4" s="1" t="s">
        <v>4</v>
      </c>
      <c r="D4" s="1" t="s">
        <v>5</v>
      </c>
    </row>
    <row r="5" ht="12.75" customHeight="1">
      <c r="C5" s="1"/>
      <c r="D5" s="1"/>
    </row>
    <row r="6" ht="12.75" customHeight="1">
      <c r="C6" s="1"/>
      <c r="D6" s="1"/>
    </row>
    <row r="7" ht="12.75" customHeight="1">
      <c r="C7" s="1"/>
      <c r="D7" s="1"/>
    </row>
    <row r="8" ht="12.75" customHeight="1">
      <c r="C8" s="1"/>
      <c r="D8" s="1"/>
    </row>
    <row r="9" ht="12.75" customHeight="1">
      <c r="C9" s="1" t="s">
        <v>160</v>
      </c>
      <c r="D9" s="1" t="s">
        <v>180</v>
      </c>
    </row>
    <row r="10" ht="12.75" customHeight="1"/>
    <row r="11" ht="12.75" customHeight="1"/>
    <row r="12" ht="12.75" customHeight="1">
      <c r="A12" s="6" t="s">
        <v>6</v>
      </c>
      <c r="B12" s="7" t="s">
        <v>7</v>
      </c>
      <c r="C12" s="8"/>
      <c r="D12" s="8"/>
      <c r="E12" s="28"/>
      <c r="F12" s="8"/>
      <c r="G12" s="8"/>
      <c r="H12" s="8"/>
      <c r="I12" s="8"/>
      <c r="J12" s="8"/>
      <c r="K12" s="8"/>
      <c r="L12" s="8"/>
      <c r="M12" s="9"/>
      <c r="N12" s="40" t="s">
        <v>8</v>
      </c>
    </row>
    <row r="13" ht="12.75" customHeight="1">
      <c r="A13" s="13" t="s">
        <v>9</v>
      </c>
      <c r="B13" s="14" t="s">
        <v>10</v>
      </c>
      <c r="C13" s="8"/>
      <c r="D13" s="9"/>
      <c r="E13" s="43" t="s">
        <v>162</v>
      </c>
      <c r="F13" s="43" t="s">
        <v>163</v>
      </c>
      <c r="G13" s="43" t="s">
        <v>164</v>
      </c>
      <c r="H13" s="43" t="s">
        <v>165</v>
      </c>
      <c r="I13" s="43" t="s">
        <v>166</v>
      </c>
      <c r="J13" s="43" t="s">
        <v>167</v>
      </c>
      <c r="K13" s="43" t="s">
        <v>168</v>
      </c>
      <c r="L13" s="43" t="s">
        <v>169</v>
      </c>
      <c r="M13" s="43" t="s">
        <v>170</v>
      </c>
      <c r="N13" s="27"/>
    </row>
    <row r="14" ht="12.75" customHeight="1">
      <c r="A14" s="18"/>
      <c r="B14" s="19" t="s">
        <v>11</v>
      </c>
      <c r="C14" s="20"/>
      <c r="D14" s="13" t="s">
        <v>12</v>
      </c>
      <c r="E14" s="71">
        <v>126.0</v>
      </c>
      <c r="F14" s="71">
        <v>128.0</v>
      </c>
      <c r="G14" s="71">
        <v>135.0</v>
      </c>
      <c r="H14" s="71">
        <v>133.0</v>
      </c>
      <c r="I14" s="71">
        <v>128.0</v>
      </c>
      <c r="J14" s="71">
        <v>97.0</v>
      </c>
      <c r="K14" s="71">
        <v>97.0</v>
      </c>
      <c r="L14" s="71">
        <v>106.0</v>
      </c>
      <c r="M14" s="71">
        <v>98.0</v>
      </c>
      <c r="N14" s="6">
        <f t="shared" ref="N14:N16" si="1">SUM(E14:M14)</f>
        <v>1048</v>
      </c>
    </row>
    <row r="15" ht="12.75" customHeight="1">
      <c r="A15" s="18"/>
      <c r="B15" s="25"/>
      <c r="C15" s="26"/>
      <c r="D15" s="13" t="s">
        <v>13</v>
      </c>
      <c r="E15" s="71">
        <v>131.0</v>
      </c>
      <c r="F15" s="71">
        <v>129.0</v>
      </c>
      <c r="G15" s="71">
        <v>133.0</v>
      </c>
      <c r="H15" s="71">
        <v>142.0</v>
      </c>
      <c r="I15" s="71">
        <v>133.0</v>
      </c>
      <c r="J15" s="71">
        <v>105.0</v>
      </c>
      <c r="K15" s="71">
        <v>103.0</v>
      </c>
      <c r="L15" s="71">
        <v>96.0</v>
      </c>
      <c r="M15" s="71">
        <v>107.0</v>
      </c>
      <c r="N15" s="6">
        <f t="shared" si="1"/>
        <v>1079</v>
      </c>
    </row>
    <row r="16" ht="12.75" customHeight="1">
      <c r="A16" s="16"/>
      <c r="B16" s="15"/>
      <c r="C16" s="27"/>
      <c r="D16" s="6" t="s">
        <v>14</v>
      </c>
      <c r="E16" s="6">
        <f t="shared" ref="E16:M16" si="2">SUM(E14:E15)</f>
        <v>257</v>
      </c>
      <c r="F16" s="6">
        <f t="shared" si="2"/>
        <v>257</v>
      </c>
      <c r="G16" s="6">
        <f t="shared" si="2"/>
        <v>268</v>
      </c>
      <c r="H16" s="6">
        <f t="shared" si="2"/>
        <v>275</v>
      </c>
      <c r="I16" s="6">
        <f t="shared" si="2"/>
        <v>261</v>
      </c>
      <c r="J16" s="6">
        <f t="shared" si="2"/>
        <v>202</v>
      </c>
      <c r="K16" s="6">
        <f t="shared" si="2"/>
        <v>200</v>
      </c>
      <c r="L16" s="6">
        <f t="shared" si="2"/>
        <v>202</v>
      </c>
      <c r="M16" s="6">
        <f t="shared" si="2"/>
        <v>205</v>
      </c>
      <c r="N16" s="6">
        <f t="shared" si="1"/>
        <v>2127</v>
      </c>
    </row>
    <row r="17" ht="12.75" customHeight="1">
      <c r="A17" s="30"/>
      <c r="B17" s="8"/>
      <c r="C17" s="8"/>
      <c r="D17" s="9"/>
      <c r="E17" s="13"/>
      <c r="F17" s="13"/>
      <c r="G17" s="13"/>
      <c r="H17" s="13"/>
      <c r="I17" s="13"/>
      <c r="J17" s="13"/>
      <c r="K17" s="13"/>
      <c r="L17" s="13"/>
      <c r="M17" s="13"/>
      <c r="N17" s="6"/>
    </row>
    <row r="18" ht="12.75" customHeight="1">
      <c r="A18" s="33" t="s">
        <v>15</v>
      </c>
      <c r="B18" s="14" t="s">
        <v>16</v>
      </c>
      <c r="C18" s="8"/>
      <c r="D18" s="9"/>
      <c r="E18" s="13"/>
      <c r="F18" s="13"/>
      <c r="G18" s="13"/>
      <c r="H18" s="13"/>
      <c r="I18" s="13"/>
      <c r="J18" s="13"/>
      <c r="K18" s="13"/>
      <c r="L18" s="13"/>
      <c r="M18" s="13"/>
      <c r="N18" s="6"/>
    </row>
    <row r="19" ht="12.75" customHeight="1">
      <c r="A19" s="33"/>
      <c r="B19" s="34" t="s">
        <v>17</v>
      </c>
      <c r="C19" s="35" t="s">
        <v>18</v>
      </c>
      <c r="D19" s="13" t="s">
        <v>12</v>
      </c>
      <c r="E19" s="71">
        <v>89.0</v>
      </c>
      <c r="F19" s="71">
        <v>91.0</v>
      </c>
      <c r="G19" s="71">
        <v>102.0</v>
      </c>
      <c r="H19" s="71">
        <v>91.0</v>
      </c>
      <c r="I19" s="71">
        <v>94.0</v>
      </c>
      <c r="J19" s="71">
        <v>74.0</v>
      </c>
      <c r="K19" s="71">
        <v>72.0</v>
      </c>
      <c r="L19" s="71">
        <v>76.0</v>
      </c>
      <c r="M19" s="71">
        <v>71.0</v>
      </c>
      <c r="N19" s="6">
        <f t="shared" ref="N19:N30" si="3">SUM(E19:M19)</f>
        <v>760</v>
      </c>
    </row>
    <row r="20" ht="12.75" customHeight="1">
      <c r="A20" s="36"/>
      <c r="B20" s="26"/>
      <c r="C20" s="37"/>
      <c r="D20" s="13" t="s">
        <v>13</v>
      </c>
      <c r="E20" s="71">
        <v>110.0</v>
      </c>
      <c r="F20" s="71">
        <v>97.0</v>
      </c>
      <c r="G20" s="71">
        <v>104.0</v>
      </c>
      <c r="H20" s="71">
        <v>111.0</v>
      </c>
      <c r="I20" s="71">
        <v>104.0</v>
      </c>
      <c r="J20" s="71">
        <v>88.0</v>
      </c>
      <c r="K20" s="71">
        <v>82.0</v>
      </c>
      <c r="L20" s="71">
        <v>76.0</v>
      </c>
      <c r="M20" s="71">
        <v>76.0</v>
      </c>
      <c r="N20" s="6">
        <f t="shared" si="3"/>
        <v>848</v>
      </c>
    </row>
    <row r="21" ht="12.75" customHeight="1">
      <c r="A21" s="38"/>
      <c r="B21" s="27"/>
      <c r="C21" s="39"/>
      <c r="D21" s="6" t="s">
        <v>14</v>
      </c>
      <c r="E21" s="6">
        <f t="shared" ref="E21:M21" si="4">SUM(E19:E20)</f>
        <v>199</v>
      </c>
      <c r="F21" s="6">
        <f t="shared" si="4"/>
        <v>188</v>
      </c>
      <c r="G21" s="6">
        <f t="shared" si="4"/>
        <v>206</v>
      </c>
      <c r="H21" s="6">
        <f t="shared" si="4"/>
        <v>202</v>
      </c>
      <c r="I21" s="6">
        <f t="shared" si="4"/>
        <v>198</v>
      </c>
      <c r="J21" s="6">
        <f t="shared" si="4"/>
        <v>162</v>
      </c>
      <c r="K21" s="6">
        <f t="shared" si="4"/>
        <v>154</v>
      </c>
      <c r="L21" s="6">
        <f t="shared" si="4"/>
        <v>152</v>
      </c>
      <c r="M21" s="6">
        <f t="shared" si="4"/>
        <v>147</v>
      </c>
      <c r="N21" s="6">
        <f t="shared" si="3"/>
        <v>1608</v>
      </c>
    </row>
    <row r="22" ht="12.75" customHeight="1">
      <c r="A22" s="36"/>
      <c r="B22" s="34" t="s">
        <v>19</v>
      </c>
      <c r="C22" s="35" t="s">
        <v>20</v>
      </c>
      <c r="D22" s="13" t="s">
        <v>12</v>
      </c>
      <c r="E22" s="71">
        <v>0.0</v>
      </c>
      <c r="F22" s="71">
        <v>0.0</v>
      </c>
      <c r="G22" s="71">
        <v>0.0</v>
      </c>
      <c r="H22" s="71">
        <v>0.0</v>
      </c>
      <c r="I22" s="71">
        <v>0.0</v>
      </c>
      <c r="J22" s="71">
        <v>0.0</v>
      </c>
      <c r="K22" s="71">
        <v>0.0</v>
      </c>
      <c r="L22" s="71">
        <v>0.0</v>
      </c>
      <c r="M22" s="71">
        <v>0.0</v>
      </c>
      <c r="N22" s="6">
        <f t="shared" si="3"/>
        <v>0</v>
      </c>
    </row>
    <row r="23" ht="12.75" customHeight="1">
      <c r="A23" s="36"/>
      <c r="B23" s="26"/>
      <c r="C23" s="37"/>
      <c r="D23" s="13" t="s">
        <v>13</v>
      </c>
      <c r="E23" s="71">
        <v>0.0</v>
      </c>
      <c r="F23" s="71">
        <v>0.0</v>
      </c>
      <c r="G23" s="71">
        <v>0.0</v>
      </c>
      <c r="H23" s="71">
        <v>0.0</v>
      </c>
      <c r="I23" s="71">
        <v>0.0</v>
      </c>
      <c r="J23" s="71">
        <v>0.0</v>
      </c>
      <c r="K23" s="71">
        <v>0.0</v>
      </c>
      <c r="L23" s="71">
        <v>1.0</v>
      </c>
      <c r="M23" s="71">
        <v>0.0</v>
      </c>
      <c r="N23" s="6">
        <f t="shared" si="3"/>
        <v>1</v>
      </c>
    </row>
    <row r="24" ht="12.75" customHeight="1">
      <c r="A24" s="38"/>
      <c r="B24" s="27"/>
      <c r="C24" s="39"/>
      <c r="D24" s="6" t="s">
        <v>14</v>
      </c>
      <c r="E24" s="6">
        <f t="shared" ref="E24:M24" si="5">SUM(E22:E23)</f>
        <v>0</v>
      </c>
      <c r="F24" s="6">
        <f t="shared" si="5"/>
        <v>0</v>
      </c>
      <c r="G24" s="6">
        <f t="shared" si="5"/>
        <v>0</v>
      </c>
      <c r="H24" s="6">
        <f t="shared" si="5"/>
        <v>0</v>
      </c>
      <c r="I24" s="6">
        <f t="shared" si="5"/>
        <v>0</v>
      </c>
      <c r="J24" s="6">
        <f t="shared" si="5"/>
        <v>0</v>
      </c>
      <c r="K24" s="6">
        <f t="shared" si="5"/>
        <v>0</v>
      </c>
      <c r="L24" s="6">
        <f t="shared" si="5"/>
        <v>1</v>
      </c>
      <c r="M24" s="6">
        <f t="shared" si="5"/>
        <v>0</v>
      </c>
      <c r="N24" s="6">
        <f t="shared" si="3"/>
        <v>1</v>
      </c>
    </row>
    <row r="25" ht="12.75" customHeight="1">
      <c r="A25" s="36"/>
      <c r="B25" s="34" t="s">
        <v>21</v>
      </c>
      <c r="C25" s="35" t="s">
        <v>22</v>
      </c>
      <c r="D25" s="13" t="s">
        <v>12</v>
      </c>
      <c r="E25" s="71">
        <v>0.0</v>
      </c>
      <c r="F25" s="71">
        <v>1.0</v>
      </c>
      <c r="G25" s="71">
        <v>2.0</v>
      </c>
      <c r="H25" s="71">
        <v>0.0</v>
      </c>
      <c r="I25" s="71">
        <v>1.0</v>
      </c>
      <c r="J25" s="71">
        <v>0.0</v>
      </c>
      <c r="K25" s="71">
        <v>0.0</v>
      </c>
      <c r="L25" s="71">
        <v>0.0</v>
      </c>
      <c r="M25" s="71">
        <v>0.0</v>
      </c>
      <c r="N25" s="6">
        <f t="shared" si="3"/>
        <v>4</v>
      </c>
    </row>
    <row r="26" ht="12.75" customHeight="1">
      <c r="A26" s="36"/>
      <c r="B26" s="26"/>
      <c r="C26" s="37"/>
      <c r="D26" s="13" t="s">
        <v>13</v>
      </c>
      <c r="E26" s="71">
        <v>0.0</v>
      </c>
      <c r="F26" s="71">
        <v>1.0</v>
      </c>
      <c r="G26" s="71">
        <v>0.0</v>
      </c>
      <c r="H26" s="71">
        <v>0.0</v>
      </c>
      <c r="I26" s="71">
        <v>0.0</v>
      </c>
      <c r="J26" s="71">
        <v>0.0</v>
      </c>
      <c r="K26" s="71">
        <v>0.0</v>
      </c>
      <c r="L26" s="71">
        <v>0.0</v>
      </c>
      <c r="M26" s="71">
        <v>0.0</v>
      </c>
      <c r="N26" s="6">
        <f t="shared" si="3"/>
        <v>1</v>
      </c>
    </row>
    <row r="27" ht="12.75" customHeight="1">
      <c r="A27" s="38"/>
      <c r="B27" s="27"/>
      <c r="C27" s="39"/>
      <c r="D27" s="6" t="s">
        <v>14</v>
      </c>
      <c r="E27" s="6">
        <f t="shared" ref="E27:M27" si="6">SUM(E25:E26)</f>
        <v>0</v>
      </c>
      <c r="F27" s="6">
        <f t="shared" si="6"/>
        <v>2</v>
      </c>
      <c r="G27" s="6">
        <f t="shared" si="6"/>
        <v>2</v>
      </c>
      <c r="H27" s="6">
        <f t="shared" si="6"/>
        <v>0</v>
      </c>
      <c r="I27" s="6">
        <f t="shared" si="6"/>
        <v>1</v>
      </c>
      <c r="J27" s="6">
        <f t="shared" si="6"/>
        <v>0</v>
      </c>
      <c r="K27" s="6">
        <f t="shared" si="6"/>
        <v>0</v>
      </c>
      <c r="L27" s="6">
        <f t="shared" si="6"/>
        <v>0</v>
      </c>
      <c r="M27" s="6">
        <f t="shared" si="6"/>
        <v>0</v>
      </c>
      <c r="N27" s="6">
        <f t="shared" si="3"/>
        <v>5</v>
      </c>
    </row>
    <row r="28" ht="12.75" customHeight="1">
      <c r="A28" s="38"/>
      <c r="B28" s="40" t="s">
        <v>23</v>
      </c>
      <c r="C28" s="41" t="s">
        <v>24</v>
      </c>
      <c r="D28" s="6" t="s">
        <v>12</v>
      </c>
      <c r="E28" s="6">
        <f t="shared" ref="E28:M28" si="7">SUM(E19,E22,E25)</f>
        <v>89</v>
      </c>
      <c r="F28" s="6">
        <f t="shared" si="7"/>
        <v>92</v>
      </c>
      <c r="G28" s="6">
        <f t="shared" si="7"/>
        <v>104</v>
      </c>
      <c r="H28" s="6">
        <f t="shared" si="7"/>
        <v>91</v>
      </c>
      <c r="I28" s="6">
        <f t="shared" si="7"/>
        <v>95</v>
      </c>
      <c r="J28" s="6">
        <f t="shared" si="7"/>
        <v>74</v>
      </c>
      <c r="K28" s="6">
        <f t="shared" si="7"/>
        <v>72</v>
      </c>
      <c r="L28" s="6">
        <f t="shared" si="7"/>
        <v>76</v>
      </c>
      <c r="M28" s="6">
        <f t="shared" si="7"/>
        <v>71</v>
      </c>
      <c r="N28" s="6">
        <f t="shared" si="3"/>
        <v>764</v>
      </c>
    </row>
    <row r="29" ht="12.75" customHeight="1">
      <c r="A29" s="38"/>
      <c r="B29" s="26"/>
      <c r="C29" s="37"/>
      <c r="D29" s="6" t="s">
        <v>13</v>
      </c>
      <c r="E29" s="6">
        <f t="shared" ref="E29:M29" si="8">SUM(E20,E23,E26)</f>
        <v>110</v>
      </c>
      <c r="F29" s="6">
        <f t="shared" si="8"/>
        <v>98</v>
      </c>
      <c r="G29" s="6">
        <f t="shared" si="8"/>
        <v>104</v>
      </c>
      <c r="H29" s="6">
        <f t="shared" si="8"/>
        <v>111</v>
      </c>
      <c r="I29" s="6">
        <f t="shared" si="8"/>
        <v>104</v>
      </c>
      <c r="J29" s="6">
        <f t="shared" si="8"/>
        <v>88</v>
      </c>
      <c r="K29" s="6">
        <f t="shared" si="8"/>
        <v>82</v>
      </c>
      <c r="L29" s="6">
        <f t="shared" si="8"/>
        <v>77</v>
      </c>
      <c r="M29" s="6">
        <f t="shared" si="8"/>
        <v>76</v>
      </c>
      <c r="N29" s="6">
        <f t="shared" si="3"/>
        <v>850</v>
      </c>
    </row>
    <row r="30" ht="12.75" customHeight="1">
      <c r="A30" s="38"/>
      <c r="B30" s="27"/>
      <c r="C30" s="39"/>
      <c r="D30" s="6" t="s">
        <v>14</v>
      </c>
      <c r="E30" s="6">
        <f t="shared" ref="E30:M30" si="9">SUM(E28:E29)</f>
        <v>199</v>
      </c>
      <c r="F30" s="6">
        <f t="shared" si="9"/>
        <v>190</v>
      </c>
      <c r="G30" s="6">
        <f t="shared" si="9"/>
        <v>208</v>
      </c>
      <c r="H30" s="6">
        <f t="shared" si="9"/>
        <v>202</v>
      </c>
      <c r="I30" s="6">
        <f t="shared" si="9"/>
        <v>199</v>
      </c>
      <c r="J30" s="6">
        <f t="shared" si="9"/>
        <v>162</v>
      </c>
      <c r="K30" s="6">
        <f t="shared" si="9"/>
        <v>154</v>
      </c>
      <c r="L30" s="6">
        <f t="shared" si="9"/>
        <v>153</v>
      </c>
      <c r="M30" s="6">
        <f t="shared" si="9"/>
        <v>147</v>
      </c>
      <c r="N30" s="6">
        <f t="shared" si="3"/>
        <v>1614</v>
      </c>
    </row>
    <row r="31" ht="12.75" customHeight="1">
      <c r="A31" s="30"/>
      <c r="B31" s="8"/>
      <c r="C31" s="8"/>
      <c r="D31" s="9"/>
      <c r="E31" s="13"/>
      <c r="F31" s="13"/>
      <c r="G31" s="13"/>
      <c r="H31" s="13"/>
      <c r="I31" s="13"/>
      <c r="J31" s="13"/>
      <c r="K31" s="13"/>
      <c r="L31" s="13"/>
      <c r="M31" s="13"/>
      <c r="N31" s="6"/>
    </row>
    <row r="32" ht="12.75" customHeight="1">
      <c r="A32" s="43" t="s">
        <v>25</v>
      </c>
      <c r="B32" s="7" t="s">
        <v>26</v>
      </c>
      <c r="C32" s="8"/>
      <c r="D32" s="9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ht="12.75" customHeight="1">
      <c r="A33" s="13">
        <v>1.0</v>
      </c>
      <c r="B33" s="14" t="s">
        <v>27</v>
      </c>
      <c r="C33" s="8"/>
      <c r="D33" s="9"/>
      <c r="E33" s="71">
        <v>256.0</v>
      </c>
      <c r="F33" s="71">
        <v>261.0</v>
      </c>
      <c r="G33" s="71">
        <v>273.0</v>
      </c>
      <c r="H33" s="71">
        <v>281.0</v>
      </c>
      <c r="I33" s="71">
        <v>266.0</v>
      </c>
      <c r="J33" s="71">
        <v>207.0</v>
      </c>
      <c r="K33" s="71">
        <v>204.0</v>
      </c>
      <c r="L33" s="71">
        <v>207.0</v>
      </c>
      <c r="M33" s="71">
        <v>208.0</v>
      </c>
      <c r="N33" s="6">
        <f t="shared" ref="N33:N36" si="10">SUM(E33:M33)</f>
        <v>2163</v>
      </c>
    </row>
    <row r="34" ht="12.75" customHeight="1">
      <c r="A34" s="13">
        <v>2.0</v>
      </c>
      <c r="B34" s="14" t="s">
        <v>28</v>
      </c>
      <c r="C34" s="8"/>
      <c r="D34" s="9"/>
      <c r="E34" s="73">
        <v>199.0</v>
      </c>
      <c r="F34" s="73">
        <v>190.0</v>
      </c>
      <c r="G34" s="73">
        <v>208.0</v>
      </c>
      <c r="H34" s="73">
        <v>202.0</v>
      </c>
      <c r="I34" s="73">
        <v>199.0</v>
      </c>
      <c r="J34" s="73">
        <v>162.0</v>
      </c>
      <c r="K34" s="73">
        <v>154.0</v>
      </c>
      <c r="L34" s="73">
        <v>153.0</v>
      </c>
      <c r="M34" s="73">
        <v>147.0</v>
      </c>
      <c r="N34" s="6">
        <f t="shared" si="10"/>
        <v>1614</v>
      </c>
    </row>
    <row r="35" ht="12.75" customHeight="1">
      <c r="A35" s="13">
        <v>3.0</v>
      </c>
      <c r="B35" s="14" t="s">
        <v>29</v>
      </c>
      <c r="C35" s="8"/>
      <c r="D35" s="9"/>
      <c r="E35" s="71">
        <v>3.0</v>
      </c>
      <c r="F35" s="71">
        <v>1.0</v>
      </c>
      <c r="G35" s="71">
        <v>0.0</v>
      </c>
      <c r="H35" s="71">
        <v>0.0</v>
      </c>
      <c r="I35" s="71">
        <v>0.0</v>
      </c>
      <c r="J35" s="71">
        <v>0.0</v>
      </c>
      <c r="K35" s="71">
        <v>3.0</v>
      </c>
      <c r="L35" s="71">
        <v>1.0</v>
      </c>
      <c r="M35" s="71">
        <v>0.0</v>
      </c>
      <c r="N35" s="6">
        <f t="shared" si="10"/>
        <v>8</v>
      </c>
    </row>
    <row r="36" ht="12.75" customHeight="1">
      <c r="A36" s="13">
        <v>4.0</v>
      </c>
      <c r="B36" s="14" t="s">
        <v>30</v>
      </c>
      <c r="C36" s="8"/>
      <c r="D36" s="9"/>
      <c r="E36" s="6">
        <f t="shared" ref="E36:M36" si="11">E33-(E34+E35)</f>
        <v>54</v>
      </c>
      <c r="F36" s="6">
        <f t="shared" si="11"/>
        <v>70</v>
      </c>
      <c r="G36" s="6">
        <f t="shared" si="11"/>
        <v>65</v>
      </c>
      <c r="H36" s="6">
        <f t="shared" si="11"/>
        <v>79</v>
      </c>
      <c r="I36" s="6">
        <f t="shared" si="11"/>
        <v>67</v>
      </c>
      <c r="J36" s="6">
        <f t="shared" si="11"/>
        <v>45</v>
      </c>
      <c r="K36" s="6">
        <f t="shared" si="11"/>
        <v>47</v>
      </c>
      <c r="L36" s="6">
        <f t="shared" si="11"/>
        <v>53</v>
      </c>
      <c r="M36" s="6">
        <f t="shared" si="11"/>
        <v>61</v>
      </c>
      <c r="N36" s="6">
        <f t="shared" si="10"/>
        <v>541</v>
      </c>
    </row>
    <row r="37" ht="12.75" customHeight="1">
      <c r="A37" s="30"/>
      <c r="B37" s="8"/>
      <c r="C37" s="8"/>
      <c r="D37" s="8"/>
      <c r="E37" s="30"/>
      <c r="F37" s="8"/>
      <c r="G37" s="8"/>
      <c r="H37" s="8"/>
      <c r="I37" s="9"/>
      <c r="J37" s="13"/>
      <c r="K37" s="13"/>
      <c r="L37" s="13"/>
      <c r="M37" s="13"/>
      <c r="N37" s="6"/>
    </row>
    <row r="38" ht="12.75" customHeight="1">
      <c r="A38" s="46" t="s">
        <v>31</v>
      </c>
      <c r="B38" s="7" t="s">
        <v>32</v>
      </c>
      <c r="C38" s="8"/>
      <c r="D38" s="9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ht="12.75" customHeight="1">
      <c r="A39" s="33"/>
      <c r="B39" s="47" t="s">
        <v>33</v>
      </c>
      <c r="C39" s="20"/>
      <c r="D39" s="13" t="s">
        <v>12</v>
      </c>
      <c r="E39" s="71">
        <v>0.0</v>
      </c>
      <c r="F39" s="71">
        <v>0.0</v>
      </c>
      <c r="G39" s="71">
        <v>0.0</v>
      </c>
      <c r="H39" s="71">
        <v>0.0</v>
      </c>
      <c r="I39" s="71">
        <v>0.0</v>
      </c>
      <c r="J39" s="71">
        <v>0.0</v>
      </c>
      <c r="K39" s="71">
        <v>0.0</v>
      </c>
      <c r="L39" s="71">
        <v>0.0</v>
      </c>
      <c r="M39" s="71">
        <v>0.0</v>
      </c>
      <c r="N39" s="6">
        <f t="shared" ref="N39:N41" si="12">SUM(E39:M39)</f>
        <v>0</v>
      </c>
    </row>
    <row r="40" ht="12.75" customHeight="1">
      <c r="A40" s="36"/>
      <c r="C40" s="26"/>
      <c r="D40" s="13" t="s">
        <v>13</v>
      </c>
      <c r="E40" s="71">
        <v>0.0</v>
      </c>
      <c r="F40" s="71">
        <v>0.0</v>
      </c>
      <c r="G40" s="71">
        <v>0.0</v>
      </c>
      <c r="H40" s="71">
        <v>0.0</v>
      </c>
      <c r="I40" s="71">
        <v>0.0</v>
      </c>
      <c r="J40" s="71">
        <v>0.0</v>
      </c>
      <c r="K40" s="71">
        <v>0.0</v>
      </c>
      <c r="L40" s="71">
        <v>0.0</v>
      </c>
      <c r="M40" s="71">
        <v>0.0</v>
      </c>
      <c r="N40" s="6">
        <f t="shared" si="12"/>
        <v>0</v>
      </c>
    </row>
    <row r="41" ht="12.75" customHeight="1">
      <c r="A41" s="43"/>
      <c r="B41" s="48"/>
      <c r="C41" s="27"/>
      <c r="D41" s="6" t="s">
        <v>14</v>
      </c>
      <c r="E41" s="6">
        <f t="shared" ref="E41:M41" si="13">SUM(E39:E40)</f>
        <v>0</v>
      </c>
      <c r="F41" s="6">
        <f t="shared" si="13"/>
        <v>0</v>
      </c>
      <c r="G41" s="6">
        <f t="shared" si="13"/>
        <v>0</v>
      </c>
      <c r="H41" s="6">
        <f t="shared" si="13"/>
        <v>0</v>
      </c>
      <c r="I41" s="6">
        <f t="shared" si="13"/>
        <v>0</v>
      </c>
      <c r="J41" s="6">
        <f t="shared" si="13"/>
        <v>0</v>
      </c>
      <c r="K41" s="6">
        <f t="shared" si="13"/>
        <v>0</v>
      </c>
      <c r="L41" s="6">
        <f t="shared" si="13"/>
        <v>0</v>
      </c>
      <c r="M41" s="6">
        <f t="shared" si="13"/>
        <v>0</v>
      </c>
      <c r="N41" s="6">
        <f t="shared" si="12"/>
        <v>0</v>
      </c>
    </row>
    <row r="42" ht="12.75" customHeight="1">
      <c r="A42" s="49"/>
      <c r="B42" s="48"/>
      <c r="C42" s="48"/>
      <c r="D42" s="27"/>
      <c r="E42" s="30"/>
      <c r="F42" s="8"/>
      <c r="G42" s="8"/>
      <c r="H42" s="8"/>
      <c r="I42" s="9"/>
      <c r="J42" s="13"/>
      <c r="K42" s="13"/>
      <c r="L42" s="13"/>
      <c r="M42" s="13"/>
      <c r="N42" s="6"/>
    </row>
    <row r="43" ht="12.75" customHeight="1">
      <c r="A43" s="46" t="s">
        <v>34</v>
      </c>
      <c r="B43" s="7" t="s">
        <v>35</v>
      </c>
      <c r="C43" s="8"/>
      <c r="D43" s="9"/>
      <c r="E43" s="28"/>
      <c r="F43" s="6"/>
      <c r="G43" s="6"/>
      <c r="H43" s="6"/>
      <c r="I43" s="6"/>
      <c r="J43" s="6"/>
      <c r="K43" s="6"/>
      <c r="L43" s="6"/>
      <c r="M43" s="6"/>
      <c r="N43" s="6"/>
    </row>
    <row r="44" ht="12.75" customHeight="1">
      <c r="A44" s="47" t="s">
        <v>36</v>
      </c>
      <c r="B44" s="50"/>
      <c r="C44" s="50"/>
      <c r="D44" s="20"/>
      <c r="E44" s="30"/>
      <c r="F44" s="13"/>
      <c r="G44" s="13"/>
      <c r="H44" s="13"/>
      <c r="I44" s="13"/>
      <c r="J44" s="13"/>
      <c r="K44" s="13"/>
      <c r="L44" s="13"/>
      <c r="M44" s="13"/>
      <c r="N44" s="6"/>
    </row>
    <row r="45" ht="12.75" customHeight="1">
      <c r="A45" s="33" t="s">
        <v>37</v>
      </c>
      <c r="B45" s="51" t="s">
        <v>17</v>
      </c>
      <c r="C45" s="52" t="s">
        <v>38</v>
      </c>
      <c r="D45" s="9"/>
      <c r="E45" s="71">
        <v>7.0</v>
      </c>
      <c r="F45" s="71">
        <v>19.0</v>
      </c>
      <c r="G45" s="71">
        <v>4.0</v>
      </c>
      <c r="H45" s="71">
        <v>5.0</v>
      </c>
      <c r="I45" s="71">
        <v>15.0</v>
      </c>
      <c r="J45" s="71">
        <v>6.0</v>
      </c>
      <c r="K45" s="71">
        <v>9.0</v>
      </c>
      <c r="L45" s="71">
        <v>6.0</v>
      </c>
      <c r="M45" s="71">
        <v>8.0</v>
      </c>
      <c r="N45" s="6">
        <f t="shared" ref="N45:N52" si="14">SUM(E45:M45)</f>
        <v>79</v>
      </c>
    </row>
    <row r="46" ht="12.75" customHeight="1">
      <c r="A46" s="33" t="s">
        <v>39</v>
      </c>
      <c r="B46" s="54">
        <v>1.0</v>
      </c>
      <c r="C46" s="55" t="s">
        <v>40</v>
      </c>
      <c r="D46" s="56"/>
      <c r="E46" s="71">
        <v>4.0</v>
      </c>
      <c r="F46" s="71">
        <v>10.0</v>
      </c>
      <c r="G46" s="71">
        <v>9.0</v>
      </c>
      <c r="H46" s="71">
        <v>18.0</v>
      </c>
      <c r="I46" s="71">
        <v>23.0</v>
      </c>
      <c r="J46" s="71">
        <v>10.0</v>
      </c>
      <c r="K46" s="71">
        <v>22.0</v>
      </c>
      <c r="L46" s="71">
        <v>17.0</v>
      </c>
      <c r="M46" s="71">
        <v>14.0</v>
      </c>
      <c r="N46" s="6">
        <f t="shared" si="14"/>
        <v>127</v>
      </c>
    </row>
    <row r="47" ht="12.75" customHeight="1">
      <c r="A47" s="18"/>
      <c r="B47" s="54">
        <v>2.0</v>
      </c>
      <c r="C47" s="55" t="s">
        <v>41</v>
      </c>
      <c r="D47" s="56"/>
      <c r="E47" s="71">
        <v>3.0</v>
      </c>
      <c r="F47" s="71">
        <v>0.0</v>
      </c>
      <c r="G47" s="71">
        <v>2.0</v>
      </c>
      <c r="H47" s="71">
        <v>3.0</v>
      </c>
      <c r="I47" s="71">
        <v>2.0</v>
      </c>
      <c r="J47" s="71">
        <v>0.0</v>
      </c>
      <c r="K47" s="71">
        <v>4.0</v>
      </c>
      <c r="L47" s="71">
        <v>3.0</v>
      </c>
      <c r="M47" s="71">
        <v>1.0</v>
      </c>
      <c r="N47" s="6">
        <f t="shared" si="14"/>
        <v>18</v>
      </c>
    </row>
    <row r="48" ht="12.75" customHeight="1">
      <c r="A48" s="18"/>
      <c r="B48" s="54">
        <v>3.0</v>
      </c>
      <c r="C48" s="55" t="s">
        <v>42</v>
      </c>
      <c r="D48" s="56"/>
      <c r="E48" s="71">
        <v>0.0</v>
      </c>
      <c r="F48" s="71">
        <v>1.0</v>
      </c>
      <c r="G48" s="71">
        <v>4.0</v>
      </c>
      <c r="H48" s="71">
        <v>4.0</v>
      </c>
      <c r="I48" s="71">
        <v>0.0</v>
      </c>
      <c r="J48" s="71">
        <v>3.0</v>
      </c>
      <c r="K48" s="71">
        <v>0.0</v>
      </c>
      <c r="L48" s="71">
        <v>1.0</v>
      </c>
      <c r="M48" s="71">
        <v>3.0</v>
      </c>
      <c r="N48" s="6">
        <f t="shared" si="14"/>
        <v>16</v>
      </c>
    </row>
    <row r="49" ht="12.75" customHeight="1">
      <c r="A49" s="18"/>
      <c r="B49" s="54">
        <v>4.0</v>
      </c>
      <c r="C49" s="55" t="s">
        <v>43</v>
      </c>
      <c r="D49" s="56"/>
      <c r="E49" s="71">
        <v>3.0</v>
      </c>
      <c r="F49" s="71">
        <v>8.0</v>
      </c>
      <c r="G49" s="71">
        <v>5.0</v>
      </c>
      <c r="H49" s="71">
        <v>4.0</v>
      </c>
      <c r="I49" s="71">
        <v>1.0</v>
      </c>
      <c r="J49" s="71">
        <v>4.0</v>
      </c>
      <c r="K49" s="71">
        <v>10.0</v>
      </c>
      <c r="L49" s="71">
        <v>4.0</v>
      </c>
      <c r="M49" s="71">
        <v>9.0</v>
      </c>
      <c r="N49" s="6">
        <f t="shared" si="14"/>
        <v>48</v>
      </c>
    </row>
    <row r="50" ht="12.75" customHeight="1">
      <c r="A50" s="18"/>
      <c r="B50" s="54">
        <v>5.0</v>
      </c>
      <c r="C50" s="55" t="s">
        <v>44</v>
      </c>
      <c r="D50" s="56"/>
      <c r="E50" s="71">
        <v>1.0</v>
      </c>
      <c r="F50" s="71">
        <v>0.0</v>
      </c>
      <c r="G50" s="71">
        <v>0.0</v>
      </c>
      <c r="H50" s="71">
        <v>0.0</v>
      </c>
      <c r="I50" s="71">
        <v>1.0</v>
      </c>
      <c r="J50" s="71">
        <v>0.0</v>
      </c>
      <c r="K50" s="71">
        <v>0.0</v>
      </c>
      <c r="L50" s="71">
        <v>0.0</v>
      </c>
      <c r="M50" s="71">
        <v>0.0</v>
      </c>
      <c r="N50" s="6">
        <f t="shared" si="14"/>
        <v>2</v>
      </c>
    </row>
    <row r="51" ht="12.75" customHeight="1">
      <c r="A51" s="18"/>
      <c r="B51" s="54">
        <v>6.0</v>
      </c>
      <c r="C51" s="55" t="s">
        <v>45</v>
      </c>
      <c r="D51" s="56"/>
      <c r="E51" s="71">
        <v>0.0</v>
      </c>
      <c r="F51" s="71">
        <v>0.0</v>
      </c>
      <c r="G51" s="71">
        <v>1.0</v>
      </c>
      <c r="H51" s="71">
        <v>0.0</v>
      </c>
      <c r="I51" s="71">
        <v>0.0</v>
      </c>
      <c r="J51" s="71">
        <v>0.0</v>
      </c>
      <c r="K51" s="71">
        <v>0.0</v>
      </c>
      <c r="L51" s="71">
        <v>0.0</v>
      </c>
      <c r="M51" s="71">
        <v>0.0</v>
      </c>
      <c r="N51" s="6">
        <f t="shared" si="14"/>
        <v>1</v>
      </c>
    </row>
    <row r="52" ht="12.75" customHeight="1">
      <c r="A52" s="13" t="s">
        <v>15</v>
      </c>
      <c r="B52" s="51" t="s">
        <v>46</v>
      </c>
      <c r="C52" s="8"/>
      <c r="D52" s="9"/>
      <c r="E52" s="57">
        <f t="shared" ref="E52:M52" si="15">SUM(E45:E51)</f>
        <v>18</v>
      </c>
      <c r="F52" s="57">
        <f t="shared" si="15"/>
        <v>38</v>
      </c>
      <c r="G52" s="57">
        <f t="shared" si="15"/>
        <v>25</v>
      </c>
      <c r="H52" s="57">
        <f t="shared" si="15"/>
        <v>34</v>
      </c>
      <c r="I52" s="57">
        <f t="shared" si="15"/>
        <v>42</v>
      </c>
      <c r="J52" s="57">
        <f t="shared" si="15"/>
        <v>23</v>
      </c>
      <c r="K52" s="57">
        <f t="shared" si="15"/>
        <v>45</v>
      </c>
      <c r="L52" s="57">
        <f t="shared" si="15"/>
        <v>31</v>
      </c>
      <c r="M52" s="57">
        <f t="shared" si="15"/>
        <v>35</v>
      </c>
      <c r="N52" s="6">
        <f t="shared" si="14"/>
        <v>291</v>
      </c>
    </row>
    <row r="53" ht="12.75" customHeight="1">
      <c r="A53" s="68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"/>
    </row>
    <row r="54" ht="12.75" customHeight="1">
      <c r="A54" s="33" t="s">
        <v>37</v>
      </c>
      <c r="B54" s="51" t="s">
        <v>19</v>
      </c>
      <c r="C54" s="52" t="s">
        <v>47</v>
      </c>
      <c r="D54" s="9"/>
      <c r="E54" s="71">
        <v>13.0</v>
      </c>
      <c r="F54" s="71">
        <v>8.0</v>
      </c>
      <c r="G54" s="71">
        <v>16.0</v>
      </c>
      <c r="H54" s="71">
        <v>9.0</v>
      </c>
      <c r="I54" s="71">
        <v>12.0</v>
      </c>
      <c r="J54" s="71">
        <v>6.0</v>
      </c>
      <c r="K54" s="71">
        <v>11.0</v>
      </c>
      <c r="L54" s="71">
        <v>2.0</v>
      </c>
      <c r="M54" s="71">
        <v>8.0</v>
      </c>
      <c r="N54" s="6">
        <f t="shared" ref="N54:N61" si="16">SUM(E54:M54)</f>
        <v>85</v>
      </c>
    </row>
    <row r="55" ht="12.75" customHeight="1">
      <c r="A55" s="33" t="s">
        <v>39</v>
      </c>
      <c r="B55" s="54">
        <v>1.0</v>
      </c>
      <c r="C55" s="55" t="s">
        <v>48</v>
      </c>
      <c r="D55" s="56"/>
      <c r="E55" s="71">
        <v>12.0</v>
      </c>
      <c r="F55" s="71">
        <v>6.0</v>
      </c>
      <c r="G55" s="71">
        <v>5.0</v>
      </c>
      <c r="H55" s="71">
        <v>6.0</v>
      </c>
      <c r="I55" s="71">
        <v>3.0</v>
      </c>
      <c r="J55" s="71">
        <v>9.0</v>
      </c>
      <c r="K55" s="71">
        <v>11.0</v>
      </c>
      <c r="L55" s="71">
        <v>7.0</v>
      </c>
      <c r="M55" s="71">
        <v>3.0</v>
      </c>
      <c r="N55" s="6">
        <f t="shared" si="16"/>
        <v>62</v>
      </c>
    </row>
    <row r="56" ht="12.75" customHeight="1">
      <c r="A56" s="18"/>
      <c r="B56" s="54">
        <v>2.0</v>
      </c>
      <c r="C56" s="55" t="s">
        <v>49</v>
      </c>
      <c r="D56" s="56"/>
      <c r="E56" s="71">
        <v>5.0</v>
      </c>
      <c r="F56" s="71">
        <v>3.0</v>
      </c>
      <c r="G56" s="71">
        <v>5.0</v>
      </c>
      <c r="H56" s="71">
        <v>5.0</v>
      </c>
      <c r="I56" s="71">
        <v>2.0</v>
      </c>
      <c r="J56" s="71">
        <v>3.0</v>
      </c>
      <c r="K56" s="71">
        <v>4.0</v>
      </c>
      <c r="L56" s="71">
        <v>3.0</v>
      </c>
      <c r="M56" s="71">
        <v>3.0</v>
      </c>
      <c r="N56" s="6">
        <f t="shared" si="16"/>
        <v>33</v>
      </c>
    </row>
    <row r="57" ht="12.75" customHeight="1">
      <c r="A57" s="18"/>
      <c r="B57" s="54">
        <v>3.0</v>
      </c>
      <c r="C57" s="55" t="s">
        <v>50</v>
      </c>
      <c r="D57" s="56"/>
      <c r="E57" s="71">
        <v>2.0</v>
      </c>
      <c r="F57" s="71">
        <v>0.0</v>
      </c>
      <c r="G57" s="71">
        <v>0.0</v>
      </c>
      <c r="H57" s="71">
        <v>0.0</v>
      </c>
      <c r="I57" s="71">
        <v>2.0</v>
      </c>
      <c r="J57" s="71">
        <v>1.0</v>
      </c>
      <c r="K57" s="71">
        <v>0.0</v>
      </c>
      <c r="L57" s="71">
        <v>1.0</v>
      </c>
      <c r="M57" s="71">
        <v>2.0</v>
      </c>
      <c r="N57" s="6">
        <f t="shared" si="16"/>
        <v>8</v>
      </c>
    </row>
    <row r="58" ht="12.75" customHeight="1">
      <c r="A58" s="18"/>
      <c r="B58" s="54">
        <v>4.0</v>
      </c>
      <c r="C58" s="55" t="s">
        <v>51</v>
      </c>
      <c r="D58" s="56"/>
      <c r="E58" s="71">
        <v>0.0</v>
      </c>
      <c r="F58" s="71">
        <v>0.0</v>
      </c>
      <c r="G58" s="71">
        <v>1.0</v>
      </c>
      <c r="H58" s="71">
        <v>0.0</v>
      </c>
      <c r="I58" s="71">
        <v>0.0</v>
      </c>
      <c r="J58" s="71">
        <v>0.0</v>
      </c>
      <c r="K58" s="71">
        <v>0.0</v>
      </c>
      <c r="L58" s="71">
        <v>1.0</v>
      </c>
      <c r="M58" s="71">
        <v>0.0</v>
      </c>
      <c r="N58" s="6">
        <f t="shared" si="16"/>
        <v>2</v>
      </c>
    </row>
    <row r="59" ht="12.75" customHeight="1">
      <c r="A59" s="18"/>
      <c r="B59" s="54">
        <v>5.0</v>
      </c>
      <c r="C59" s="55" t="s">
        <v>52</v>
      </c>
      <c r="D59" s="56"/>
      <c r="E59" s="71">
        <v>1.0</v>
      </c>
      <c r="F59" s="71">
        <v>0.0</v>
      </c>
      <c r="G59" s="71">
        <v>0.0</v>
      </c>
      <c r="H59" s="71">
        <v>0.0</v>
      </c>
      <c r="I59" s="71">
        <v>0.0</v>
      </c>
      <c r="J59" s="71">
        <v>0.0</v>
      </c>
      <c r="K59" s="71">
        <v>0.0</v>
      </c>
      <c r="L59" s="71">
        <v>0.0</v>
      </c>
      <c r="M59" s="71">
        <v>0.0</v>
      </c>
      <c r="N59" s="6">
        <f t="shared" si="16"/>
        <v>1</v>
      </c>
    </row>
    <row r="60" ht="12.75" customHeight="1">
      <c r="A60" s="18"/>
      <c r="B60" s="54">
        <v>6.0</v>
      </c>
      <c r="C60" s="55" t="s">
        <v>53</v>
      </c>
      <c r="D60" s="56"/>
      <c r="E60" s="71">
        <v>0.0</v>
      </c>
      <c r="F60" s="71">
        <v>0.0</v>
      </c>
      <c r="G60" s="71">
        <v>0.0</v>
      </c>
      <c r="H60" s="71">
        <v>0.0</v>
      </c>
      <c r="I60" s="71">
        <v>0.0</v>
      </c>
      <c r="J60" s="71">
        <v>0.0</v>
      </c>
      <c r="K60" s="71">
        <v>0.0</v>
      </c>
      <c r="L60" s="71">
        <v>0.0</v>
      </c>
      <c r="M60" s="71">
        <v>1.0</v>
      </c>
      <c r="N60" s="6">
        <f t="shared" si="16"/>
        <v>1</v>
      </c>
    </row>
    <row r="61" ht="12.75" customHeight="1">
      <c r="A61" s="13" t="s">
        <v>15</v>
      </c>
      <c r="B61" s="51" t="s">
        <v>46</v>
      </c>
      <c r="C61" s="8"/>
      <c r="D61" s="9"/>
      <c r="E61" s="57">
        <f t="shared" ref="E61:M61" si="17">SUM(E54:E60)</f>
        <v>33</v>
      </c>
      <c r="F61" s="57">
        <f t="shared" si="17"/>
        <v>17</v>
      </c>
      <c r="G61" s="57">
        <f t="shared" si="17"/>
        <v>27</v>
      </c>
      <c r="H61" s="57">
        <f t="shared" si="17"/>
        <v>20</v>
      </c>
      <c r="I61" s="57">
        <f t="shared" si="17"/>
        <v>19</v>
      </c>
      <c r="J61" s="57">
        <f t="shared" si="17"/>
        <v>19</v>
      </c>
      <c r="K61" s="57">
        <f t="shared" si="17"/>
        <v>26</v>
      </c>
      <c r="L61" s="57">
        <f t="shared" si="17"/>
        <v>14</v>
      </c>
      <c r="M61" s="57">
        <f t="shared" si="17"/>
        <v>17</v>
      </c>
      <c r="N61" s="6">
        <f t="shared" si="16"/>
        <v>192</v>
      </c>
    </row>
    <row r="62" ht="12.75" customHeight="1">
      <c r="A62" s="68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"/>
    </row>
    <row r="63" ht="12.75" customHeight="1">
      <c r="A63" s="33" t="s">
        <v>37</v>
      </c>
      <c r="B63" s="51" t="s">
        <v>21</v>
      </c>
      <c r="C63" s="52" t="s">
        <v>54</v>
      </c>
      <c r="D63" s="9"/>
      <c r="E63" s="71">
        <v>11.0</v>
      </c>
      <c r="F63" s="71">
        <v>14.0</v>
      </c>
      <c r="G63" s="71">
        <v>7.0</v>
      </c>
      <c r="H63" s="71">
        <v>8.0</v>
      </c>
      <c r="I63" s="71">
        <v>15.0</v>
      </c>
      <c r="J63" s="71">
        <v>8.0</v>
      </c>
      <c r="K63" s="71">
        <v>7.0</v>
      </c>
      <c r="L63" s="71">
        <v>4.0</v>
      </c>
      <c r="M63" s="71">
        <v>1.0</v>
      </c>
      <c r="N63" s="6">
        <f t="shared" ref="N63:N70" si="18">SUM(E63:M63)</f>
        <v>75</v>
      </c>
    </row>
    <row r="64" ht="12.75" customHeight="1">
      <c r="A64" s="33" t="s">
        <v>39</v>
      </c>
      <c r="B64" s="54">
        <v>1.0</v>
      </c>
      <c r="C64" s="55" t="s">
        <v>55</v>
      </c>
      <c r="D64" s="56"/>
      <c r="E64" s="71">
        <v>9.0</v>
      </c>
      <c r="F64" s="71">
        <v>13.0</v>
      </c>
      <c r="G64" s="71">
        <v>6.0</v>
      </c>
      <c r="H64" s="71">
        <v>4.0</v>
      </c>
      <c r="I64" s="71">
        <v>7.0</v>
      </c>
      <c r="J64" s="71">
        <v>10.0</v>
      </c>
      <c r="K64" s="71">
        <v>9.0</v>
      </c>
      <c r="L64" s="71">
        <v>2.0</v>
      </c>
      <c r="M64" s="71">
        <v>9.0</v>
      </c>
      <c r="N64" s="6">
        <f t="shared" si="18"/>
        <v>69</v>
      </c>
    </row>
    <row r="65" ht="12.75" customHeight="1">
      <c r="A65" s="18"/>
      <c r="B65" s="54">
        <v>2.0</v>
      </c>
      <c r="C65" s="55" t="s">
        <v>56</v>
      </c>
      <c r="D65" s="56"/>
      <c r="E65" s="71">
        <v>3.0</v>
      </c>
      <c r="F65" s="71">
        <v>0.0</v>
      </c>
      <c r="G65" s="71">
        <v>3.0</v>
      </c>
      <c r="H65" s="71">
        <v>0.0</v>
      </c>
      <c r="I65" s="71">
        <v>0.0</v>
      </c>
      <c r="J65" s="71">
        <v>1.0</v>
      </c>
      <c r="K65" s="71">
        <v>1.0</v>
      </c>
      <c r="L65" s="71">
        <v>0.0</v>
      </c>
      <c r="M65" s="71">
        <v>2.0</v>
      </c>
      <c r="N65" s="6">
        <f t="shared" si="18"/>
        <v>10</v>
      </c>
    </row>
    <row r="66" ht="12.75" customHeight="1">
      <c r="A66" s="18"/>
      <c r="B66" s="54">
        <v>3.0</v>
      </c>
      <c r="C66" s="55" t="s">
        <v>57</v>
      </c>
      <c r="D66" s="56"/>
      <c r="E66" s="71">
        <v>1.0</v>
      </c>
      <c r="F66" s="71">
        <v>1.0</v>
      </c>
      <c r="G66" s="71">
        <v>2.0</v>
      </c>
      <c r="H66" s="71">
        <v>1.0</v>
      </c>
      <c r="I66" s="71">
        <v>0.0</v>
      </c>
      <c r="J66" s="71">
        <v>1.0</v>
      </c>
      <c r="K66" s="71">
        <v>0.0</v>
      </c>
      <c r="L66" s="71">
        <v>1.0</v>
      </c>
      <c r="M66" s="71">
        <v>1.0</v>
      </c>
      <c r="N66" s="6">
        <f t="shared" si="18"/>
        <v>8</v>
      </c>
    </row>
    <row r="67" ht="12.75" customHeight="1">
      <c r="A67" s="18"/>
      <c r="B67" s="54">
        <v>4.0</v>
      </c>
      <c r="C67" s="55" t="s">
        <v>58</v>
      </c>
      <c r="D67" s="56"/>
      <c r="E67" s="71">
        <v>0.0</v>
      </c>
      <c r="F67" s="71">
        <v>0.0</v>
      </c>
      <c r="G67" s="71">
        <v>3.0</v>
      </c>
      <c r="H67" s="71">
        <v>1.0</v>
      </c>
      <c r="I67" s="71">
        <v>2.0</v>
      </c>
      <c r="J67" s="71">
        <v>0.0</v>
      </c>
      <c r="K67" s="71">
        <v>1.0</v>
      </c>
      <c r="L67" s="71">
        <v>0.0</v>
      </c>
      <c r="M67" s="71">
        <v>0.0</v>
      </c>
      <c r="N67" s="6">
        <f t="shared" si="18"/>
        <v>7</v>
      </c>
    </row>
    <row r="68" ht="12.75" customHeight="1">
      <c r="A68" s="18"/>
      <c r="B68" s="54">
        <v>5.0</v>
      </c>
      <c r="C68" s="55" t="s">
        <v>59</v>
      </c>
      <c r="D68" s="56"/>
      <c r="E68" s="71">
        <v>0.0</v>
      </c>
      <c r="F68" s="71">
        <v>1.0</v>
      </c>
      <c r="G68" s="71">
        <v>2.0</v>
      </c>
      <c r="H68" s="71">
        <v>5.0</v>
      </c>
      <c r="I68" s="71">
        <v>5.0</v>
      </c>
      <c r="J68" s="71">
        <v>9.0</v>
      </c>
      <c r="K68" s="71">
        <v>4.0</v>
      </c>
      <c r="L68" s="71">
        <v>1.0</v>
      </c>
      <c r="M68" s="71">
        <v>2.0</v>
      </c>
      <c r="N68" s="6">
        <f t="shared" si="18"/>
        <v>29</v>
      </c>
    </row>
    <row r="69" ht="12.75" customHeight="1">
      <c r="A69" s="18"/>
      <c r="B69" s="54">
        <v>6.0</v>
      </c>
      <c r="C69" s="55" t="s">
        <v>60</v>
      </c>
      <c r="D69" s="56"/>
      <c r="E69" s="71">
        <v>0.0</v>
      </c>
      <c r="F69" s="71">
        <v>0.0</v>
      </c>
      <c r="G69" s="71">
        <v>0.0</v>
      </c>
      <c r="H69" s="71">
        <v>0.0</v>
      </c>
      <c r="I69" s="71">
        <v>0.0</v>
      </c>
      <c r="J69" s="71">
        <v>0.0</v>
      </c>
      <c r="K69" s="71">
        <v>0.0</v>
      </c>
      <c r="L69" s="71">
        <v>0.0</v>
      </c>
      <c r="M69" s="71">
        <v>0.0</v>
      </c>
      <c r="N69" s="6">
        <f t="shared" si="18"/>
        <v>0</v>
      </c>
    </row>
    <row r="70" ht="12.75" customHeight="1">
      <c r="A70" s="13" t="s">
        <v>15</v>
      </c>
      <c r="B70" s="51" t="s">
        <v>46</v>
      </c>
      <c r="C70" s="8"/>
      <c r="D70" s="9"/>
      <c r="E70" s="57">
        <f t="shared" ref="E70:M70" si="19">SUM(E63:E69)</f>
        <v>24</v>
      </c>
      <c r="F70" s="57">
        <f t="shared" si="19"/>
        <v>29</v>
      </c>
      <c r="G70" s="57">
        <f t="shared" si="19"/>
        <v>23</v>
      </c>
      <c r="H70" s="57">
        <f t="shared" si="19"/>
        <v>19</v>
      </c>
      <c r="I70" s="57">
        <f t="shared" si="19"/>
        <v>29</v>
      </c>
      <c r="J70" s="57">
        <f t="shared" si="19"/>
        <v>29</v>
      </c>
      <c r="K70" s="57">
        <f t="shared" si="19"/>
        <v>22</v>
      </c>
      <c r="L70" s="57">
        <f t="shared" si="19"/>
        <v>8</v>
      </c>
      <c r="M70" s="57">
        <f t="shared" si="19"/>
        <v>15</v>
      </c>
      <c r="N70" s="6">
        <f t="shared" si="18"/>
        <v>198</v>
      </c>
    </row>
    <row r="71" ht="12.75" customHeight="1">
      <c r="A71" s="68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"/>
    </row>
    <row r="72" ht="12.75" customHeight="1">
      <c r="A72" s="33" t="s">
        <v>37</v>
      </c>
      <c r="B72" s="51" t="s">
        <v>23</v>
      </c>
      <c r="C72" s="52" t="s">
        <v>61</v>
      </c>
      <c r="D72" s="9"/>
      <c r="E72" s="71">
        <v>8.0</v>
      </c>
      <c r="F72" s="71">
        <v>6.0</v>
      </c>
      <c r="G72" s="71">
        <v>5.0</v>
      </c>
      <c r="H72" s="71">
        <v>2.0</v>
      </c>
      <c r="I72" s="71">
        <v>3.0</v>
      </c>
      <c r="J72" s="71">
        <v>3.0</v>
      </c>
      <c r="K72" s="71">
        <v>3.0</v>
      </c>
      <c r="L72" s="71">
        <v>2.0</v>
      </c>
      <c r="M72" s="71">
        <v>7.0</v>
      </c>
      <c r="N72" s="6">
        <f t="shared" ref="N72:N79" si="20">SUM(E72:M72)</f>
        <v>39</v>
      </c>
    </row>
    <row r="73" ht="12.75" customHeight="1">
      <c r="A73" s="33" t="s">
        <v>39</v>
      </c>
      <c r="B73" s="54">
        <v>1.0</v>
      </c>
      <c r="C73" s="55" t="s">
        <v>62</v>
      </c>
      <c r="D73" s="56"/>
      <c r="E73" s="71">
        <v>20.0</v>
      </c>
      <c r="F73" s="71">
        <v>4.0</v>
      </c>
      <c r="G73" s="71">
        <v>3.0</v>
      </c>
      <c r="H73" s="71">
        <v>2.0</v>
      </c>
      <c r="I73" s="71">
        <v>5.0</v>
      </c>
      <c r="J73" s="71">
        <v>15.0</v>
      </c>
      <c r="K73" s="71">
        <v>6.0</v>
      </c>
      <c r="L73" s="71">
        <v>5.0</v>
      </c>
      <c r="M73" s="71">
        <v>12.0</v>
      </c>
      <c r="N73" s="6">
        <f t="shared" si="20"/>
        <v>72</v>
      </c>
    </row>
    <row r="74" ht="12.75" customHeight="1">
      <c r="A74" s="18"/>
      <c r="B74" s="54">
        <v>2.0</v>
      </c>
      <c r="C74" s="55" t="s">
        <v>63</v>
      </c>
      <c r="D74" s="56"/>
      <c r="E74" s="71">
        <v>0.0</v>
      </c>
      <c r="F74" s="71">
        <v>1.0</v>
      </c>
      <c r="G74" s="71">
        <v>0.0</v>
      </c>
      <c r="H74" s="71">
        <v>0.0</v>
      </c>
      <c r="I74" s="71">
        <v>0.0</v>
      </c>
      <c r="J74" s="71">
        <v>1.0</v>
      </c>
      <c r="K74" s="71">
        <v>1.0</v>
      </c>
      <c r="L74" s="71">
        <v>2.0</v>
      </c>
      <c r="M74" s="71">
        <v>2.0</v>
      </c>
      <c r="N74" s="6">
        <f t="shared" si="20"/>
        <v>7</v>
      </c>
    </row>
    <row r="75" ht="12.75" customHeight="1">
      <c r="A75" s="18"/>
      <c r="B75" s="54">
        <v>3.0</v>
      </c>
      <c r="C75" s="55" t="s">
        <v>64</v>
      </c>
      <c r="D75" s="56"/>
      <c r="E75" s="71">
        <v>0.0</v>
      </c>
      <c r="F75" s="71">
        <v>0.0</v>
      </c>
      <c r="G75" s="71">
        <v>0.0</v>
      </c>
      <c r="H75" s="71">
        <v>0.0</v>
      </c>
      <c r="I75" s="71">
        <v>0.0</v>
      </c>
      <c r="J75" s="71">
        <v>0.0</v>
      </c>
      <c r="K75" s="71">
        <v>0.0</v>
      </c>
      <c r="L75" s="71">
        <v>0.0</v>
      </c>
      <c r="M75" s="71">
        <v>1.0</v>
      </c>
      <c r="N75" s="6">
        <f t="shared" si="20"/>
        <v>1</v>
      </c>
    </row>
    <row r="76" ht="12.75" customHeight="1">
      <c r="A76" s="18"/>
      <c r="B76" s="54">
        <v>4.0</v>
      </c>
      <c r="C76" s="55" t="s">
        <v>65</v>
      </c>
      <c r="D76" s="56"/>
      <c r="E76" s="71">
        <v>0.0</v>
      </c>
      <c r="F76" s="71">
        <v>2.0</v>
      </c>
      <c r="G76" s="71">
        <v>0.0</v>
      </c>
      <c r="H76" s="71">
        <v>0.0</v>
      </c>
      <c r="I76" s="71">
        <v>0.0</v>
      </c>
      <c r="J76" s="71">
        <v>0.0</v>
      </c>
      <c r="K76" s="71">
        <v>0.0</v>
      </c>
      <c r="L76" s="71">
        <v>0.0</v>
      </c>
      <c r="M76" s="71">
        <v>0.0</v>
      </c>
      <c r="N76" s="6">
        <f t="shared" si="20"/>
        <v>2</v>
      </c>
    </row>
    <row r="77" ht="12.75" customHeight="1">
      <c r="A77" s="18"/>
      <c r="B77" s="54">
        <v>5.0</v>
      </c>
      <c r="C77" s="55" t="s">
        <v>66</v>
      </c>
      <c r="D77" s="56"/>
      <c r="E77" s="71">
        <v>1.0</v>
      </c>
      <c r="F77" s="71">
        <v>0.0</v>
      </c>
      <c r="G77" s="71">
        <v>0.0</v>
      </c>
      <c r="H77" s="71">
        <v>0.0</v>
      </c>
      <c r="I77" s="71">
        <v>0.0</v>
      </c>
      <c r="J77" s="71">
        <v>0.0</v>
      </c>
      <c r="K77" s="71">
        <v>0.0</v>
      </c>
      <c r="L77" s="71">
        <v>0.0</v>
      </c>
      <c r="M77" s="71">
        <v>0.0</v>
      </c>
      <c r="N77" s="6">
        <f t="shared" si="20"/>
        <v>1</v>
      </c>
    </row>
    <row r="78" ht="12.75" customHeight="1">
      <c r="A78" s="18"/>
      <c r="B78" s="54">
        <v>6.0</v>
      </c>
      <c r="C78" s="55" t="s">
        <v>67</v>
      </c>
      <c r="D78" s="56"/>
      <c r="E78" s="71">
        <v>0.0</v>
      </c>
      <c r="F78" s="71">
        <v>0.0</v>
      </c>
      <c r="G78" s="71">
        <v>0.0</v>
      </c>
      <c r="H78" s="71">
        <v>0.0</v>
      </c>
      <c r="I78" s="71">
        <v>2.0</v>
      </c>
      <c r="J78" s="71">
        <v>0.0</v>
      </c>
      <c r="K78" s="71">
        <v>0.0</v>
      </c>
      <c r="L78" s="71">
        <v>0.0</v>
      </c>
      <c r="M78" s="71">
        <v>0.0</v>
      </c>
      <c r="N78" s="6">
        <f t="shared" si="20"/>
        <v>2</v>
      </c>
    </row>
    <row r="79" ht="12.75" customHeight="1">
      <c r="A79" s="13" t="s">
        <v>15</v>
      </c>
      <c r="B79" s="51" t="s">
        <v>46</v>
      </c>
      <c r="C79" s="8"/>
      <c r="D79" s="9"/>
      <c r="E79" s="57">
        <f t="shared" ref="E79:M79" si="21">SUM(E72:E78)</f>
        <v>29</v>
      </c>
      <c r="F79" s="57">
        <f t="shared" si="21"/>
        <v>13</v>
      </c>
      <c r="G79" s="57">
        <f t="shared" si="21"/>
        <v>8</v>
      </c>
      <c r="H79" s="57">
        <f t="shared" si="21"/>
        <v>4</v>
      </c>
      <c r="I79" s="57">
        <f t="shared" si="21"/>
        <v>10</v>
      </c>
      <c r="J79" s="57">
        <f t="shared" si="21"/>
        <v>19</v>
      </c>
      <c r="K79" s="57">
        <f t="shared" si="21"/>
        <v>10</v>
      </c>
      <c r="L79" s="57">
        <f t="shared" si="21"/>
        <v>9</v>
      </c>
      <c r="M79" s="57">
        <f t="shared" si="21"/>
        <v>22</v>
      </c>
      <c r="N79" s="6">
        <f t="shared" si="20"/>
        <v>124</v>
      </c>
    </row>
    <row r="80" ht="12.75" customHeight="1">
      <c r="A80" s="68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"/>
    </row>
    <row r="81" ht="12.75" customHeight="1">
      <c r="A81" s="33" t="s">
        <v>37</v>
      </c>
      <c r="B81" s="51" t="s">
        <v>68</v>
      </c>
      <c r="C81" s="52" t="s">
        <v>69</v>
      </c>
      <c r="D81" s="9"/>
      <c r="E81" s="71">
        <v>0.0</v>
      </c>
      <c r="F81" s="71">
        <v>1.0</v>
      </c>
      <c r="G81" s="71">
        <v>1.0</v>
      </c>
      <c r="H81" s="71">
        <v>0.0</v>
      </c>
      <c r="I81" s="71">
        <v>2.0</v>
      </c>
      <c r="J81" s="71">
        <v>1.0</v>
      </c>
      <c r="K81" s="71">
        <v>1.0</v>
      </c>
      <c r="L81" s="71">
        <v>1.0</v>
      </c>
      <c r="M81" s="71">
        <v>0.0</v>
      </c>
      <c r="N81" s="6">
        <f t="shared" ref="N81:N88" si="22">SUM(E81:M81)</f>
        <v>7</v>
      </c>
    </row>
    <row r="82" ht="12.75" customHeight="1">
      <c r="A82" s="33" t="s">
        <v>39</v>
      </c>
      <c r="B82" s="54">
        <v>1.0</v>
      </c>
      <c r="C82" s="55" t="s">
        <v>70</v>
      </c>
      <c r="D82" s="56"/>
      <c r="E82" s="71">
        <v>13.0</v>
      </c>
      <c r="F82" s="71">
        <v>0.0</v>
      </c>
      <c r="G82" s="71">
        <v>0.0</v>
      </c>
      <c r="H82" s="71">
        <v>1.0</v>
      </c>
      <c r="I82" s="71">
        <v>0.0</v>
      </c>
      <c r="J82" s="71">
        <v>0.0</v>
      </c>
      <c r="K82" s="71">
        <v>0.0</v>
      </c>
      <c r="L82" s="71">
        <v>0.0</v>
      </c>
      <c r="M82" s="71">
        <v>1.0</v>
      </c>
      <c r="N82" s="6">
        <f t="shared" si="22"/>
        <v>15</v>
      </c>
    </row>
    <row r="83" ht="12.75" customHeight="1">
      <c r="A83" s="18"/>
      <c r="B83" s="54">
        <v>2.0</v>
      </c>
      <c r="C83" s="55" t="s">
        <v>71</v>
      </c>
      <c r="D83" s="56"/>
      <c r="E83" s="71">
        <v>0.0</v>
      </c>
      <c r="F83" s="71">
        <v>0.0</v>
      </c>
      <c r="G83" s="71">
        <v>0.0</v>
      </c>
      <c r="H83" s="71">
        <v>0.0</v>
      </c>
      <c r="I83" s="71">
        <v>1.0</v>
      </c>
      <c r="J83" s="71">
        <v>0.0</v>
      </c>
      <c r="K83" s="71">
        <v>0.0</v>
      </c>
      <c r="L83" s="71">
        <v>0.0</v>
      </c>
      <c r="M83" s="71">
        <v>0.0</v>
      </c>
      <c r="N83" s="6">
        <f t="shared" si="22"/>
        <v>1</v>
      </c>
    </row>
    <row r="84" ht="12.75" customHeight="1">
      <c r="A84" s="18"/>
      <c r="B84" s="54">
        <v>3.0</v>
      </c>
      <c r="C84" s="55" t="s">
        <v>72</v>
      </c>
      <c r="D84" s="56"/>
      <c r="E84" s="71">
        <v>0.0</v>
      </c>
      <c r="F84" s="71">
        <v>0.0</v>
      </c>
      <c r="G84" s="71">
        <v>0.0</v>
      </c>
      <c r="H84" s="71">
        <v>1.0</v>
      </c>
      <c r="I84" s="71">
        <v>0.0</v>
      </c>
      <c r="J84" s="71">
        <v>0.0</v>
      </c>
      <c r="K84" s="71">
        <v>0.0</v>
      </c>
      <c r="L84" s="71">
        <v>0.0</v>
      </c>
      <c r="M84" s="71">
        <v>3.0</v>
      </c>
      <c r="N84" s="6">
        <f t="shared" si="22"/>
        <v>4</v>
      </c>
    </row>
    <row r="85" ht="12.75" customHeight="1">
      <c r="A85" s="18"/>
      <c r="B85" s="54">
        <v>4.0</v>
      </c>
      <c r="C85" s="55" t="s">
        <v>73</v>
      </c>
      <c r="D85" s="56"/>
      <c r="E85" s="71">
        <v>0.0</v>
      </c>
      <c r="F85" s="71">
        <v>0.0</v>
      </c>
      <c r="G85" s="71">
        <v>0.0</v>
      </c>
      <c r="H85" s="71">
        <v>0.0</v>
      </c>
      <c r="I85" s="71">
        <v>0.0</v>
      </c>
      <c r="J85" s="71">
        <v>0.0</v>
      </c>
      <c r="K85" s="71">
        <v>0.0</v>
      </c>
      <c r="L85" s="71">
        <v>0.0</v>
      </c>
      <c r="M85" s="71">
        <v>0.0</v>
      </c>
      <c r="N85" s="6">
        <f t="shared" si="22"/>
        <v>0</v>
      </c>
    </row>
    <row r="86" ht="12.75" customHeight="1">
      <c r="A86" s="18"/>
      <c r="B86" s="54">
        <v>5.0</v>
      </c>
      <c r="C86" s="55" t="s">
        <v>74</v>
      </c>
      <c r="D86" s="56"/>
      <c r="E86" s="71">
        <v>0.0</v>
      </c>
      <c r="F86" s="71">
        <v>0.0</v>
      </c>
      <c r="G86" s="71">
        <v>0.0</v>
      </c>
      <c r="H86" s="71">
        <v>0.0</v>
      </c>
      <c r="I86" s="71">
        <v>0.0</v>
      </c>
      <c r="J86" s="71">
        <v>0.0</v>
      </c>
      <c r="K86" s="71">
        <v>0.0</v>
      </c>
      <c r="L86" s="71">
        <v>0.0</v>
      </c>
      <c r="M86" s="71">
        <v>0.0</v>
      </c>
      <c r="N86" s="6">
        <f t="shared" si="22"/>
        <v>0</v>
      </c>
    </row>
    <row r="87" ht="12.75" customHeight="1">
      <c r="A87" s="18"/>
      <c r="B87" s="54">
        <v>6.0</v>
      </c>
      <c r="C87" s="55" t="s">
        <v>75</v>
      </c>
      <c r="D87" s="56"/>
      <c r="E87" s="71">
        <v>0.0</v>
      </c>
      <c r="F87" s="71">
        <v>0.0</v>
      </c>
      <c r="G87" s="71">
        <v>1.0</v>
      </c>
      <c r="H87" s="71">
        <v>0.0</v>
      </c>
      <c r="I87" s="71">
        <v>0.0</v>
      </c>
      <c r="J87" s="71">
        <v>0.0</v>
      </c>
      <c r="K87" s="71">
        <v>0.0</v>
      </c>
      <c r="L87" s="71">
        <v>0.0</v>
      </c>
      <c r="M87" s="71">
        <v>0.0</v>
      </c>
      <c r="N87" s="6">
        <f t="shared" si="22"/>
        <v>1</v>
      </c>
    </row>
    <row r="88" ht="12.75" customHeight="1">
      <c r="A88" s="13" t="s">
        <v>15</v>
      </c>
      <c r="B88" s="51" t="s">
        <v>46</v>
      </c>
      <c r="C88" s="8"/>
      <c r="D88" s="9"/>
      <c r="E88" s="57">
        <f t="shared" ref="E88:M88" si="23">SUM(E81:E87)</f>
        <v>13</v>
      </c>
      <c r="F88" s="57">
        <f t="shared" si="23"/>
        <v>1</v>
      </c>
      <c r="G88" s="57">
        <f t="shared" si="23"/>
        <v>2</v>
      </c>
      <c r="H88" s="57">
        <f t="shared" si="23"/>
        <v>2</v>
      </c>
      <c r="I88" s="57">
        <f t="shared" si="23"/>
        <v>3</v>
      </c>
      <c r="J88" s="57">
        <f t="shared" si="23"/>
        <v>1</v>
      </c>
      <c r="K88" s="57">
        <f t="shared" si="23"/>
        <v>1</v>
      </c>
      <c r="L88" s="57">
        <f t="shared" si="23"/>
        <v>1</v>
      </c>
      <c r="M88" s="57">
        <f t="shared" si="23"/>
        <v>4</v>
      </c>
      <c r="N88" s="6">
        <f t="shared" si="22"/>
        <v>28</v>
      </c>
    </row>
    <row r="89" ht="12.75" customHeight="1">
      <c r="A89" s="68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"/>
    </row>
    <row r="90" ht="12.75" customHeight="1">
      <c r="A90" s="33" t="s">
        <v>37</v>
      </c>
      <c r="B90" s="51" t="s">
        <v>76</v>
      </c>
      <c r="C90" s="52" t="s">
        <v>77</v>
      </c>
      <c r="D90" s="9"/>
      <c r="E90" s="71">
        <v>0.0</v>
      </c>
      <c r="F90" s="71">
        <v>1.0</v>
      </c>
      <c r="G90" s="71">
        <v>1.0</v>
      </c>
      <c r="H90" s="71">
        <v>1.0</v>
      </c>
      <c r="I90" s="71">
        <v>0.0</v>
      </c>
      <c r="J90" s="71">
        <v>0.0</v>
      </c>
      <c r="K90" s="71">
        <v>1.0</v>
      </c>
      <c r="L90" s="71">
        <v>0.0</v>
      </c>
      <c r="M90" s="71">
        <v>0.0</v>
      </c>
      <c r="N90" s="6">
        <f t="shared" ref="N90:N92" si="24">SUM(E90:M90)</f>
        <v>4</v>
      </c>
    </row>
    <row r="91" ht="12.75" customHeight="1">
      <c r="A91" s="33" t="s">
        <v>39</v>
      </c>
      <c r="B91" s="54"/>
      <c r="C91" s="55" t="s">
        <v>78</v>
      </c>
      <c r="D91" s="9"/>
      <c r="E91" s="13"/>
      <c r="F91" s="13"/>
      <c r="G91" s="13"/>
      <c r="H91" s="13"/>
      <c r="I91" s="13"/>
      <c r="J91" s="13"/>
      <c r="K91" s="13"/>
      <c r="L91" s="13"/>
      <c r="M91" s="13"/>
      <c r="N91" s="6">
        <f t="shared" si="24"/>
        <v>0</v>
      </c>
    </row>
    <row r="92" ht="12.75" customHeight="1">
      <c r="A92" s="13" t="s">
        <v>15</v>
      </c>
      <c r="B92" s="51" t="s">
        <v>46</v>
      </c>
      <c r="C92" s="8"/>
      <c r="D92" s="9"/>
      <c r="E92" s="57">
        <f t="shared" ref="E92:M92" si="25">SUM(E90:E91)</f>
        <v>0</v>
      </c>
      <c r="F92" s="57">
        <f t="shared" si="25"/>
        <v>1</v>
      </c>
      <c r="G92" s="57">
        <f t="shared" si="25"/>
        <v>1</v>
      </c>
      <c r="H92" s="57">
        <f t="shared" si="25"/>
        <v>1</v>
      </c>
      <c r="I92" s="57">
        <f t="shared" si="25"/>
        <v>0</v>
      </c>
      <c r="J92" s="57">
        <f t="shared" si="25"/>
        <v>0</v>
      </c>
      <c r="K92" s="57">
        <f t="shared" si="25"/>
        <v>1</v>
      </c>
      <c r="L92" s="57">
        <f t="shared" si="25"/>
        <v>0</v>
      </c>
      <c r="M92" s="57">
        <f t="shared" si="25"/>
        <v>0</v>
      </c>
      <c r="N92" s="6">
        <f t="shared" si="24"/>
        <v>4</v>
      </c>
    </row>
    <row r="93" ht="12.75" customHeight="1">
      <c r="A93" s="68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"/>
    </row>
    <row r="94" ht="12.75" customHeight="1">
      <c r="A94" s="33" t="s">
        <v>37</v>
      </c>
      <c r="B94" s="51" t="s">
        <v>79</v>
      </c>
      <c r="C94" s="52" t="s">
        <v>80</v>
      </c>
      <c r="D94" s="9"/>
      <c r="E94" s="71">
        <v>0.0</v>
      </c>
      <c r="F94" s="71">
        <v>1.0</v>
      </c>
      <c r="G94" s="71">
        <v>0.0</v>
      </c>
      <c r="H94" s="71">
        <v>0.0</v>
      </c>
      <c r="I94" s="71">
        <v>0.0</v>
      </c>
      <c r="J94" s="71">
        <v>0.0</v>
      </c>
      <c r="K94" s="71">
        <v>0.0</v>
      </c>
      <c r="L94" s="71">
        <v>0.0</v>
      </c>
      <c r="M94" s="71">
        <v>0.0</v>
      </c>
      <c r="N94" s="6">
        <f t="shared" ref="N94:N99" si="26">SUM(E94:M94)</f>
        <v>1</v>
      </c>
    </row>
    <row r="95" ht="12.75" customHeight="1">
      <c r="A95" s="33" t="s">
        <v>39</v>
      </c>
      <c r="B95" s="54">
        <v>1.0</v>
      </c>
      <c r="C95" s="55" t="s">
        <v>81</v>
      </c>
      <c r="D95" s="56"/>
      <c r="E95" s="71">
        <v>0.0</v>
      </c>
      <c r="F95" s="71">
        <v>0.0</v>
      </c>
      <c r="G95" s="71">
        <v>0.0</v>
      </c>
      <c r="H95" s="71">
        <v>0.0</v>
      </c>
      <c r="I95" s="71">
        <v>0.0</v>
      </c>
      <c r="J95" s="71">
        <v>0.0</v>
      </c>
      <c r="K95" s="71">
        <v>0.0</v>
      </c>
      <c r="L95" s="71">
        <v>0.0</v>
      </c>
      <c r="M95" s="71">
        <v>0.0</v>
      </c>
      <c r="N95" s="6">
        <f t="shared" si="26"/>
        <v>0</v>
      </c>
    </row>
    <row r="96" ht="12.75" customHeight="1">
      <c r="A96" s="33"/>
      <c r="B96" s="54">
        <v>2.0</v>
      </c>
      <c r="C96" s="55" t="s">
        <v>82</v>
      </c>
      <c r="D96" s="56"/>
      <c r="E96" s="71">
        <v>0.0</v>
      </c>
      <c r="F96" s="71">
        <v>0.0</v>
      </c>
      <c r="G96" s="71">
        <v>0.0</v>
      </c>
      <c r="H96" s="71">
        <v>0.0</v>
      </c>
      <c r="I96" s="71">
        <v>0.0</v>
      </c>
      <c r="J96" s="71">
        <v>0.0</v>
      </c>
      <c r="K96" s="71">
        <v>0.0</v>
      </c>
      <c r="L96" s="71">
        <v>0.0</v>
      </c>
      <c r="M96" s="71">
        <v>0.0</v>
      </c>
      <c r="N96" s="6">
        <f t="shared" si="26"/>
        <v>0</v>
      </c>
    </row>
    <row r="97" ht="12.75" customHeight="1">
      <c r="A97" s="33"/>
      <c r="B97" s="54">
        <v>3.0</v>
      </c>
      <c r="C97" s="55" t="s">
        <v>83</v>
      </c>
      <c r="D97" s="56"/>
      <c r="E97" s="71">
        <v>0.0</v>
      </c>
      <c r="F97" s="71">
        <v>0.0</v>
      </c>
      <c r="G97" s="71">
        <v>0.0</v>
      </c>
      <c r="H97" s="71">
        <v>0.0</v>
      </c>
      <c r="I97" s="71">
        <v>0.0</v>
      </c>
      <c r="J97" s="71">
        <v>0.0</v>
      </c>
      <c r="K97" s="71">
        <v>0.0</v>
      </c>
      <c r="L97" s="71">
        <v>0.0</v>
      </c>
      <c r="M97" s="71">
        <v>0.0</v>
      </c>
      <c r="N97" s="6">
        <f t="shared" si="26"/>
        <v>0</v>
      </c>
    </row>
    <row r="98" ht="12.75" customHeight="1">
      <c r="A98" s="33"/>
      <c r="B98" s="54">
        <v>4.0</v>
      </c>
      <c r="C98" s="55" t="s">
        <v>84</v>
      </c>
      <c r="D98" s="56"/>
      <c r="E98" s="71">
        <v>0.0</v>
      </c>
      <c r="F98" s="71">
        <v>0.0</v>
      </c>
      <c r="G98" s="71">
        <v>0.0</v>
      </c>
      <c r="H98" s="71">
        <v>0.0</v>
      </c>
      <c r="I98" s="71">
        <v>0.0</v>
      </c>
      <c r="J98" s="71">
        <v>0.0</v>
      </c>
      <c r="K98" s="71">
        <v>0.0</v>
      </c>
      <c r="L98" s="71">
        <v>0.0</v>
      </c>
      <c r="M98" s="71">
        <v>0.0</v>
      </c>
      <c r="N98" s="6">
        <f t="shared" si="26"/>
        <v>0</v>
      </c>
    </row>
    <row r="99" ht="12.75" customHeight="1">
      <c r="A99" s="13" t="s">
        <v>15</v>
      </c>
      <c r="B99" s="51" t="s">
        <v>46</v>
      </c>
      <c r="C99" s="8"/>
      <c r="D99" s="9"/>
      <c r="E99" s="57">
        <f t="shared" ref="E99:M99" si="27">SUM(E94:E98)</f>
        <v>0</v>
      </c>
      <c r="F99" s="57">
        <f t="shared" si="27"/>
        <v>1</v>
      </c>
      <c r="G99" s="57">
        <f t="shared" si="27"/>
        <v>0</v>
      </c>
      <c r="H99" s="57">
        <f t="shared" si="27"/>
        <v>0</v>
      </c>
      <c r="I99" s="57">
        <f t="shared" si="27"/>
        <v>0</v>
      </c>
      <c r="J99" s="57">
        <f t="shared" si="27"/>
        <v>0</v>
      </c>
      <c r="K99" s="57">
        <f t="shared" si="27"/>
        <v>0</v>
      </c>
      <c r="L99" s="57">
        <f t="shared" si="27"/>
        <v>0</v>
      </c>
      <c r="M99" s="57">
        <f t="shared" si="27"/>
        <v>0</v>
      </c>
      <c r="N99" s="6">
        <f t="shared" si="26"/>
        <v>1</v>
      </c>
    </row>
    <row r="100" ht="12.75" customHeight="1">
      <c r="A100" s="68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"/>
    </row>
    <row r="101" ht="12.75" customHeight="1">
      <c r="A101" s="33" t="s">
        <v>37</v>
      </c>
      <c r="B101" s="51" t="s">
        <v>85</v>
      </c>
      <c r="C101" s="52" t="s">
        <v>86</v>
      </c>
      <c r="D101" s="9"/>
      <c r="E101" s="71">
        <v>0.0</v>
      </c>
      <c r="F101" s="71">
        <v>2.0</v>
      </c>
      <c r="G101" s="71">
        <v>1.0</v>
      </c>
      <c r="H101" s="71">
        <v>0.0</v>
      </c>
      <c r="I101" s="71">
        <v>1.0</v>
      </c>
      <c r="J101" s="71">
        <v>0.0</v>
      </c>
      <c r="K101" s="71">
        <v>0.0</v>
      </c>
      <c r="L101" s="71">
        <v>0.0</v>
      </c>
      <c r="M101" s="71">
        <v>0.0</v>
      </c>
      <c r="N101" s="6">
        <f t="shared" ref="N101:N108" si="28">SUM(E101:M101)</f>
        <v>4</v>
      </c>
    </row>
    <row r="102" ht="12.75" customHeight="1">
      <c r="A102" s="33" t="s">
        <v>39</v>
      </c>
      <c r="B102" s="54">
        <v>1.0</v>
      </c>
      <c r="C102" s="55" t="s">
        <v>87</v>
      </c>
      <c r="D102" s="56"/>
      <c r="E102" s="71">
        <v>0.0</v>
      </c>
      <c r="F102" s="71">
        <v>2.0</v>
      </c>
      <c r="G102" s="71">
        <v>0.0</v>
      </c>
      <c r="H102" s="71">
        <v>0.0</v>
      </c>
      <c r="I102" s="71">
        <v>1.0</v>
      </c>
      <c r="J102" s="71">
        <v>0.0</v>
      </c>
      <c r="K102" s="71">
        <v>0.0</v>
      </c>
      <c r="L102" s="71">
        <v>0.0</v>
      </c>
      <c r="M102" s="71">
        <v>0.0</v>
      </c>
      <c r="N102" s="6">
        <f t="shared" si="28"/>
        <v>3</v>
      </c>
    </row>
    <row r="103" ht="12.75" customHeight="1">
      <c r="A103" s="18"/>
      <c r="B103" s="54">
        <v>2.0</v>
      </c>
      <c r="C103" s="55" t="s">
        <v>88</v>
      </c>
      <c r="D103" s="56"/>
      <c r="E103" s="71">
        <v>0.0</v>
      </c>
      <c r="F103" s="71">
        <v>0.0</v>
      </c>
      <c r="G103" s="71">
        <v>0.0</v>
      </c>
      <c r="H103" s="71">
        <v>0.0</v>
      </c>
      <c r="I103" s="71">
        <v>0.0</v>
      </c>
      <c r="J103" s="71">
        <v>0.0</v>
      </c>
      <c r="K103" s="71">
        <v>1.0</v>
      </c>
      <c r="L103" s="71">
        <v>0.0</v>
      </c>
      <c r="M103" s="71">
        <v>0.0</v>
      </c>
      <c r="N103" s="6">
        <f t="shared" si="28"/>
        <v>1</v>
      </c>
    </row>
    <row r="104" ht="12.75" customHeight="1">
      <c r="A104" s="18"/>
      <c r="B104" s="54">
        <v>3.0</v>
      </c>
      <c r="C104" s="55" t="s">
        <v>89</v>
      </c>
      <c r="D104" s="56"/>
      <c r="E104" s="71">
        <v>1.0</v>
      </c>
      <c r="F104" s="71">
        <v>1.0</v>
      </c>
      <c r="G104" s="71">
        <v>0.0</v>
      </c>
      <c r="H104" s="71">
        <v>0.0</v>
      </c>
      <c r="I104" s="71">
        <v>0.0</v>
      </c>
      <c r="J104" s="71">
        <v>0.0</v>
      </c>
      <c r="K104" s="71">
        <v>0.0</v>
      </c>
      <c r="L104" s="71">
        <v>0.0</v>
      </c>
      <c r="M104" s="71">
        <v>1.0</v>
      </c>
      <c r="N104" s="6">
        <f t="shared" si="28"/>
        <v>3</v>
      </c>
    </row>
    <row r="105" ht="12.75" customHeight="1">
      <c r="A105" s="18"/>
      <c r="B105" s="54">
        <v>4.0</v>
      </c>
      <c r="C105" s="55" t="s">
        <v>90</v>
      </c>
      <c r="D105" s="56"/>
      <c r="E105" s="71">
        <v>0.0</v>
      </c>
      <c r="F105" s="71">
        <v>0.0</v>
      </c>
      <c r="G105" s="71">
        <v>0.0</v>
      </c>
      <c r="H105" s="71">
        <v>0.0</v>
      </c>
      <c r="I105" s="71">
        <v>0.0</v>
      </c>
      <c r="J105" s="71">
        <v>0.0</v>
      </c>
      <c r="K105" s="71">
        <v>0.0</v>
      </c>
      <c r="L105" s="71">
        <v>0.0</v>
      </c>
      <c r="M105" s="71">
        <v>0.0</v>
      </c>
      <c r="N105" s="6">
        <f t="shared" si="28"/>
        <v>0</v>
      </c>
    </row>
    <row r="106" ht="12.75" customHeight="1">
      <c r="A106" s="18"/>
      <c r="B106" s="54">
        <v>5.0</v>
      </c>
      <c r="C106" s="55" t="s">
        <v>91</v>
      </c>
      <c r="D106" s="56"/>
      <c r="E106" s="71">
        <v>0.0</v>
      </c>
      <c r="F106" s="71">
        <v>0.0</v>
      </c>
      <c r="G106" s="71">
        <v>0.0</v>
      </c>
      <c r="H106" s="71">
        <v>0.0</v>
      </c>
      <c r="I106" s="71">
        <v>0.0</v>
      </c>
      <c r="J106" s="71">
        <v>0.0</v>
      </c>
      <c r="K106" s="71">
        <v>0.0</v>
      </c>
      <c r="L106" s="71">
        <v>0.0</v>
      </c>
      <c r="M106" s="71">
        <v>0.0</v>
      </c>
      <c r="N106" s="6">
        <f t="shared" si="28"/>
        <v>0</v>
      </c>
    </row>
    <row r="107" ht="12.75" customHeight="1">
      <c r="A107" s="18"/>
      <c r="B107" s="54">
        <v>6.0</v>
      </c>
      <c r="C107" s="55" t="s">
        <v>92</v>
      </c>
      <c r="D107" s="56"/>
      <c r="E107" s="71">
        <v>1.0</v>
      </c>
      <c r="F107" s="71">
        <v>2.0</v>
      </c>
      <c r="G107" s="71">
        <v>0.0</v>
      </c>
      <c r="H107" s="71">
        <v>1.0</v>
      </c>
      <c r="I107" s="71">
        <v>0.0</v>
      </c>
      <c r="J107" s="71">
        <v>0.0</v>
      </c>
      <c r="K107" s="71">
        <v>1.0</v>
      </c>
      <c r="L107" s="71">
        <v>0.0</v>
      </c>
      <c r="M107" s="71">
        <v>0.0</v>
      </c>
      <c r="N107" s="6">
        <f t="shared" si="28"/>
        <v>5</v>
      </c>
    </row>
    <row r="108" ht="12.75" customHeight="1">
      <c r="A108" s="13" t="s">
        <v>15</v>
      </c>
      <c r="B108" s="51" t="s">
        <v>46</v>
      </c>
      <c r="C108" s="8"/>
      <c r="D108" s="9"/>
      <c r="E108" s="57">
        <f t="shared" ref="E108:M108" si="29">SUM(E101:E107)</f>
        <v>2</v>
      </c>
      <c r="F108" s="57">
        <f t="shared" si="29"/>
        <v>7</v>
      </c>
      <c r="G108" s="57">
        <f t="shared" si="29"/>
        <v>1</v>
      </c>
      <c r="H108" s="57">
        <f t="shared" si="29"/>
        <v>1</v>
      </c>
      <c r="I108" s="57">
        <f t="shared" si="29"/>
        <v>2</v>
      </c>
      <c r="J108" s="57">
        <f t="shared" si="29"/>
        <v>0</v>
      </c>
      <c r="K108" s="57">
        <f t="shared" si="29"/>
        <v>2</v>
      </c>
      <c r="L108" s="57">
        <f t="shared" si="29"/>
        <v>0</v>
      </c>
      <c r="M108" s="57">
        <f t="shared" si="29"/>
        <v>1</v>
      </c>
      <c r="N108" s="6">
        <f t="shared" si="28"/>
        <v>16</v>
      </c>
    </row>
    <row r="109" ht="12.75" customHeight="1">
      <c r="A109" s="68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"/>
    </row>
    <row r="110" ht="12.75" customHeight="1">
      <c r="A110" s="33" t="s">
        <v>37</v>
      </c>
      <c r="B110" s="51" t="s">
        <v>93</v>
      </c>
      <c r="C110" s="52" t="s">
        <v>94</v>
      </c>
      <c r="D110" s="9"/>
      <c r="E110" s="71">
        <v>0.0</v>
      </c>
      <c r="F110" s="71">
        <v>0.0</v>
      </c>
      <c r="G110" s="71">
        <v>0.0</v>
      </c>
      <c r="H110" s="71">
        <v>0.0</v>
      </c>
      <c r="I110" s="71">
        <v>0.0</v>
      </c>
      <c r="J110" s="71">
        <v>0.0</v>
      </c>
      <c r="K110" s="71">
        <v>0.0</v>
      </c>
      <c r="L110" s="71">
        <v>0.0</v>
      </c>
      <c r="M110" s="71">
        <v>0.0</v>
      </c>
      <c r="N110" s="6">
        <f t="shared" ref="N110:N114" si="30">SUM(E110:M110)</f>
        <v>0</v>
      </c>
    </row>
    <row r="111" ht="12.75" customHeight="1">
      <c r="A111" s="33"/>
      <c r="B111" s="54">
        <v>1.0</v>
      </c>
      <c r="C111" s="55" t="s">
        <v>95</v>
      </c>
      <c r="D111" s="63"/>
      <c r="E111" s="71">
        <v>0.0</v>
      </c>
      <c r="F111" s="71">
        <v>0.0</v>
      </c>
      <c r="G111" s="71">
        <v>0.0</v>
      </c>
      <c r="H111" s="71">
        <v>0.0</v>
      </c>
      <c r="I111" s="71">
        <v>0.0</v>
      </c>
      <c r="J111" s="71">
        <v>0.0</v>
      </c>
      <c r="K111" s="71">
        <v>0.0</v>
      </c>
      <c r="L111" s="71">
        <v>0.0</v>
      </c>
      <c r="M111" s="71">
        <v>0.0</v>
      </c>
      <c r="N111" s="6">
        <f t="shared" si="30"/>
        <v>0</v>
      </c>
    </row>
    <row r="112" ht="12.75" customHeight="1">
      <c r="A112" s="33"/>
      <c r="B112" s="54">
        <v>2.0</v>
      </c>
      <c r="C112" s="55" t="s">
        <v>96</v>
      </c>
      <c r="D112" s="63"/>
      <c r="E112" s="71">
        <v>0.0</v>
      </c>
      <c r="F112" s="71">
        <v>0.0</v>
      </c>
      <c r="G112" s="71">
        <v>0.0</v>
      </c>
      <c r="H112" s="71">
        <v>0.0</v>
      </c>
      <c r="I112" s="71">
        <v>0.0</v>
      </c>
      <c r="J112" s="71">
        <v>0.0</v>
      </c>
      <c r="K112" s="71">
        <v>0.0</v>
      </c>
      <c r="L112" s="71">
        <v>0.0</v>
      </c>
      <c r="M112" s="71">
        <v>0.0</v>
      </c>
      <c r="N112" s="6">
        <f t="shared" si="30"/>
        <v>0</v>
      </c>
    </row>
    <row r="113" ht="12.75" customHeight="1">
      <c r="A113" s="33"/>
      <c r="B113" s="54">
        <v>3.0</v>
      </c>
      <c r="C113" s="55" t="s">
        <v>97</v>
      </c>
      <c r="D113" s="63"/>
      <c r="E113" s="71">
        <v>0.0</v>
      </c>
      <c r="F113" s="71">
        <v>0.0</v>
      </c>
      <c r="G113" s="71">
        <v>0.0</v>
      </c>
      <c r="H113" s="71">
        <v>0.0</v>
      </c>
      <c r="I113" s="71">
        <v>0.0</v>
      </c>
      <c r="J113" s="71">
        <v>0.0</v>
      </c>
      <c r="K113" s="71">
        <v>0.0</v>
      </c>
      <c r="L113" s="71">
        <v>0.0</v>
      </c>
      <c r="M113" s="71">
        <v>0.0</v>
      </c>
      <c r="N113" s="6">
        <f t="shared" si="30"/>
        <v>0</v>
      </c>
    </row>
    <row r="114" ht="12.75" customHeight="1">
      <c r="A114" s="13" t="s">
        <v>15</v>
      </c>
      <c r="B114" s="51" t="s">
        <v>46</v>
      </c>
      <c r="C114" s="8"/>
      <c r="D114" s="9"/>
      <c r="E114" s="57">
        <f t="shared" ref="E114:M114" si="31">SUM(E110:E113)</f>
        <v>0</v>
      </c>
      <c r="F114" s="57">
        <f t="shared" si="31"/>
        <v>0</v>
      </c>
      <c r="G114" s="57">
        <f t="shared" si="31"/>
        <v>0</v>
      </c>
      <c r="H114" s="57">
        <f t="shared" si="31"/>
        <v>0</v>
      </c>
      <c r="I114" s="57">
        <f t="shared" si="31"/>
        <v>0</v>
      </c>
      <c r="J114" s="57">
        <f t="shared" si="31"/>
        <v>0</v>
      </c>
      <c r="K114" s="57">
        <f t="shared" si="31"/>
        <v>0</v>
      </c>
      <c r="L114" s="57">
        <f t="shared" si="31"/>
        <v>0</v>
      </c>
      <c r="M114" s="57">
        <f t="shared" si="31"/>
        <v>0</v>
      </c>
      <c r="N114" s="6">
        <f t="shared" si="30"/>
        <v>0</v>
      </c>
    </row>
    <row r="115" ht="12.75" customHeight="1">
      <c r="A115" s="68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"/>
    </row>
    <row r="116" ht="12.75" customHeight="1">
      <c r="A116" s="33" t="s">
        <v>37</v>
      </c>
      <c r="B116" s="51" t="s">
        <v>98</v>
      </c>
      <c r="C116" s="52" t="s">
        <v>99</v>
      </c>
      <c r="D116" s="9"/>
      <c r="E116" s="71">
        <v>0.0</v>
      </c>
      <c r="F116" s="71">
        <v>0.0</v>
      </c>
      <c r="G116" s="71">
        <v>0.0</v>
      </c>
      <c r="H116" s="71">
        <v>0.0</v>
      </c>
      <c r="I116" s="71">
        <v>0.0</v>
      </c>
      <c r="J116" s="71">
        <v>0.0</v>
      </c>
      <c r="K116" s="71">
        <v>0.0</v>
      </c>
      <c r="L116" s="71">
        <v>0.0</v>
      </c>
      <c r="M116" s="71">
        <v>0.0</v>
      </c>
      <c r="N116" s="6">
        <f t="shared" ref="N116:N123" si="32">SUM(E116:M116)</f>
        <v>0</v>
      </c>
    </row>
    <row r="117" ht="12.75" customHeight="1">
      <c r="A117" s="33" t="s">
        <v>39</v>
      </c>
      <c r="B117" s="54">
        <v>1.0</v>
      </c>
      <c r="C117" s="55" t="s">
        <v>100</v>
      </c>
      <c r="D117" s="56"/>
      <c r="E117" s="71">
        <v>0.0</v>
      </c>
      <c r="F117" s="71">
        <v>0.0</v>
      </c>
      <c r="G117" s="71">
        <v>0.0</v>
      </c>
      <c r="H117" s="71">
        <v>0.0</v>
      </c>
      <c r="I117" s="71">
        <v>0.0</v>
      </c>
      <c r="J117" s="71">
        <v>0.0</v>
      </c>
      <c r="K117" s="71">
        <v>0.0</v>
      </c>
      <c r="L117" s="71">
        <v>0.0</v>
      </c>
      <c r="M117" s="71">
        <v>0.0</v>
      </c>
      <c r="N117" s="6">
        <f t="shared" si="32"/>
        <v>0</v>
      </c>
    </row>
    <row r="118" ht="12.75" customHeight="1">
      <c r="A118" s="18"/>
      <c r="B118" s="54">
        <v>2.0</v>
      </c>
      <c r="C118" s="55" t="s">
        <v>101</v>
      </c>
      <c r="D118" s="56"/>
      <c r="E118" s="71">
        <v>0.0</v>
      </c>
      <c r="F118" s="71">
        <v>1.0</v>
      </c>
      <c r="G118" s="71">
        <v>0.0</v>
      </c>
      <c r="H118" s="71">
        <v>0.0</v>
      </c>
      <c r="I118" s="71">
        <v>1.0</v>
      </c>
      <c r="J118" s="71">
        <v>0.0</v>
      </c>
      <c r="K118" s="71">
        <v>0.0</v>
      </c>
      <c r="L118" s="71">
        <v>0.0</v>
      </c>
      <c r="M118" s="71">
        <v>0.0</v>
      </c>
      <c r="N118" s="6">
        <f t="shared" si="32"/>
        <v>2</v>
      </c>
    </row>
    <row r="119" ht="12.75" customHeight="1">
      <c r="A119" s="18"/>
      <c r="B119" s="54">
        <v>3.0</v>
      </c>
      <c r="C119" s="55" t="s">
        <v>102</v>
      </c>
      <c r="D119" s="56"/>
      <c r="E119" s="71">
        <v>0.0</v>
      </c>
      <c r="F119" s="71">
        <v>0.0</v>
      </c>
      <c r="G119" s="71">
        <v>0.0</v>
      </c>
      <c r="H119" s="71">
        <v>0.0</v>
      </c>
      <c r="I119" s="71">
        <v>0.0</v>
      </c>
      <c r="J119" s="71">
        <v>0.0</v>
      </c>
      <c r="K119" s="71">
        <v>0.0</v>
      </c>
      <c r="L119" s="71">
        <v>0.0</v>
      </c>
      <c r="M119" s="71">
        <v>0.0</v>
      </c>
      <c r="N119" s="6">
        <f t="shared" si="32"/>
        <v>0</v>
      </c>
    </row>
    <row r="120" ht="12.75" customHeight="1">
      <c r="A120" s="18"/>
      <c r="B120" s="54">
        <v>4.0</v>
      </c>
      <c r="C120" s="55" t="s">
        <v>103</v>
      </c>
      <c r="D120" s="56"/>
      <c r="E120" s="71">
        <v>0.0</v>
      </c>
      <c r="F120" s="71">
        <v>0.0</v>
      </c>
      <c r="G120" s="71">
        <v>0.0</v>
      </c>
      <c r="H120" s="71">
        <v>0.0</v>
      </c>
      <c r="I120" s="71">
        <v>0.0</v>
      </c>
      <c r="J120" s="71">
        <v>0.0</v>
      </c>
      <c r="K120" s="71">
        <v>0.0</v>
      </c>
      <c r="L120" s="71">
        <v>0.0</v>
      </c>
      <c r="M120" s="71">
        <v>1.0</v>
      </c>
      <c r="N120" s="6">
        <f t="shared" si="32"/>
        <v>1</v>
      </c>
    </row>
    <row r="121" ht="12.75" customHeight="1">
      <c r="A121" s="18"/>
      <c r="B121" s="54">
        <v>5.0</v>
      </c>
      <c r="C121" s="55" t="s">
        <v>104</v>
      </c>
      <c r="D121" s="56"/>
      <c r="E121" s="71">
        <v>0.0</v>
      </c>
      <c r="F121" s="71">
        <v>0.0</v>
      </c>
      <c r="G121" s="71">
        <v>0.0</v>
      </c>
      <c r="H121" s="71">
        <v>0.0</v>
      </c>
      <c r="I121" s="71">
        <v>0.0</v>
      </c>
      <c r="J121" s="71">
        <v>0.0</v>
      </c>
      <c r="K121" s="71">
        <v>0.0</v>
      </c>
      <c r="L121" s="71">
        <v>0.0</v>
      </c>
      <c r="M121" s="71">
        <v>0.0</v>
      </c>
      <c r="N121" s="6">
        <f t="shared" si="32"/>
        <v>0</v>
      </c>
    </row>
    <row r="122" ht="12.75" customHeight="1">
      <c r="A122" s="18"/>
      <c r="B122" s="54">
        <v>6.0</v>
      </c>
      <c r="C122" s="55" t="s">
        <v>105</v>
      </c>
      <c r="D122" s="56"/>
      <c r="E122" s="71">
        <v>0.0</v>
      </c>
      <c r="F122" s="71">
        <v>0.0</v>
      </c>
      <c r="G122" s="71">
        <v>0.0</v>
      </c>
      <c r="H122" s="71">
        <v>0.0</v>
      </c>
      <c r="I122" s="71">
        <v>0.0</v>
      </c>
      <c r="J122" s="71">
        <v>0.0</v>
      </c>
      <c r="K122" s="71">
        <v>0.0</v>
      </c>
      <c r="L122" s="71">
        <v>0.0</v>
      </c>
      <c r="M122" s="71">
        <v>0.0</v>
      </c>
      <c r="N122" s="6">
        <f t="shared" si="32"/>
        <v>0</v>
      </c>
    </row>
    <row r="123" ht="12.75" customHeight="1">
      <c r="A123" s="13" t="s">
        <v>15</v>
      </c>
      <c r="B123" s="51" t="s">
        <v>46</v>
      </c>
      <c r="C123" s="8"/>
      <c r="D123" s="9"/>
      <c r="E123" s="57">
        <f t="shared" ref="E123:M123" si="33">SUM(E116:E122)</f>
        <v>0</v>
      </c>
      <c r="F123" s="57">
        <f t="shared" si="33"/>
        <v>1</v>
      </c>
      <c r="G123" s="57">
        <f t="shared" si="33"/>
        <v>0</v>
      </c>
      <c r="H123" s="57">
        <f t="shared" si="33"/>
        <v>0</v>
      </c>
      <c r="I123" s="57">
        <f t="shared" si="33"/>
        <v>1</v>
      </c>
      <c r="J123" s="57">
        <f t="shared" si="33"/>
        <v>0</v>
      </c>
      <c r="K123" s="57">
        <f t="shared" si="33"/>
        <v>0</v>
      </c>
      <c r="L123" s="57">
        <f t="shared" si="33"/>
        <v>0</v>
      </c>
      <c r="M123" s="57">
        <f t="shared" si="33"/>
        <v>1</v>
      </c>
      <c r="N123" s="6">
        <f t="shared" si="32"/>
        <v>3</v>
      </c>
    </row>
    <row r="124" ht="12.75" customHeight="1">
      <c r="A124" s="68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"/>
    </row>
    <row r="125" ht="12.75" customHeight="1">
      <c r="A125" s="33" t="s">
        <v>37</v>
      </c>
      <c r="B125" s="51" t="s">
        <v>106</v>
      </c>
      <c r="C125" s="52" t="s">
        <v>107</v>
      </c>
      <c r="D125" s="9"/>
      <c r="E125" s="71">
        <v>1.0</v>
      </c>
      <c r="F125" s="71">
        <v>0.0</v>
      </c>
      <c r="G125" s="71">
        <v>1.0</v>
      </c>
      <c r="H125" s="71">
        <v>0.0</v>
      </c>
      <c r="I125" s="71">
        <v>1.0</v>
      </c>
      <c r="J125" s="71">
        <v>0.0</v>
      </c>
      <c r="K125" s="71">
        <v>0.0</v>
      </c>
      <c r="L125" s="71">
        <v>0.0</v>
      </c>
      <c r="M125" s="71">
        <v>0.0</v>
      </c>
      <c r="N125" s="6">
        <f t="shared" ref="N125:N127" si="34">SUM(E125:M125)</f>
        <v>3</v>
      </c>
    </row>
    <row r="126" ht="12.75" customHeight="1">
      <c r="A126" s="33" t="s">
        <v>39</v>
      </c>
      <c r="B126" s="54"/>
      <c r="C126" s="55" t="s">
        <v>78</v>
      </c>
      <c r="D126" s="56"/>
      <c r="E126" s="13"/>
      <c r="F126" s="13"/>
      <c r="G126" s="13"/>
      <c r="H126" s="13"/>
      <c r="I126" s="13"/>
      <c r="J126" s="13"/>
      <c r="K126" s="13"/>
      <c r="L126" s="13"/>
      <c r="M126" s="13"/>
      <c r="N126" s="6">
        <f t="shared" si="34"/>
        <v>0</v>
      </c>
    </row>
    <row r="127" ht="12.75" customHeight="1">
      <c r="A127" s="13" t="s">
        <v>15</v>
      </c>
      <c r="B127" s="51" t="s">
        <v>46</v>
      </c>
      <c r="C127" s="8"/>
      <c r="D127" s="9"/>
      <c r="E127" s="57">
        <f t="shared" ref="E127:M127" si="35">SUM(E125:E126)</f>
        <v>1</v>
      </c>
      <c r="F127" s="57">
        <f t="shared" si="35"/>
        <v>0</v>
      </c>
      <c r="G127" s="57">
        <f t="shared" si="35"/>
        <v>1</v>
      </c>
      <c r="H127" s="57">
        <f t="shared" si="35"/>
        <v>0</v>
      </c>
      <c r="I127" s="57">
        <f t="shared" si="35"/>
        <v>1</v>
      </c>
      <c r="J127" s="57">
        <f t="shared" si="35"/>
        <v>0</v>
      </c>
      <c r="K127" s="57">
        <f t="shared" si="35"/>
        <v>0</v>
      </c>
      <c r="L127" s="57">
        <f t="shared" si="35"/>
        <v>0</v>
      </c>
      <c r="M127" s="57">
        <f t="shared" si="35"/>
        <v>0</v>
      </c>
      <c r="N127" s="6">
        <f t="shared" si="34"/>
        <v>3</v>
      </c>
    </row>
    <row r="128" ht="12.75" customHeight="1">
      <c r="A128" s="68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"/>
    </row>
    <row r="129" ht="12.75" customHeight="1">
      <c r="A129" s="33" t="s">
        <v>37</v>
      </c>
      <c r="B129" s="51" t="s">
        <v>108</v>
      </c>
      <c r="C129" s="52" t="s">
        <v>109</v>
      </c>
      <c r="D129" s="9"/>
      <c r="E129" s="71">
        <v>0.0</v>
      </c>
      <c r="F129" s="71">
        <v>0.0</v>
      </c>
      <c r="G129" s="71">
        <v>0.0</v>
      </c>
      <c r="H129" s="71">
        <v>1.0</v>
      </c>
      <c r="I129" s="71">
        <v>0.0</v>
      </c>
      <c r="J129" s="71">
        <v>0.0</v>
      </c>
      <c r="K129" s="71">
        <v>0.0</v>
      </c>
      <c r="L129" s="71">
        <v>0.0</v>
      </c>
      <c r="M129" s="71">
        <v>0.0</v>
      </c>
      <c r="N129" s="6">
        <f t="shared" ref="N129:N136" si="36">SUM(E129:M129)</f>
        <v>1</v>
      </c>
    </row>
    <row r="130" ht="12.75" customHeight="1">
      <c r="A130" s="33" t="s">
        <v>39</v>
      </c>
      <c r="B130" s="54">
        <v>1.0</v>
      </c>
      <c r="C130" s="55" t="s">
        <v>110</v>
      </c>
      <c r="D130" s="56"/>
      <c r="E130" s="71">
        <v>0.0</v>
      </c>
      <c r="F130" s="71">
        <v>0.0</v>
      </c>
      <c r="G130" s="71">
        <v>1.0</v>
      </c>
      <c r="H130" s="71">
        <v>1.0</v>
      </c>
      <c r="I130" s="71">
        <v>1.0</v>
      </c>
      <c r="J130" s="71">
        <v>0.0</v>
      </c>
      <c r="K130" s="71">
        <v>0.0</v>
      </c>
      <c r="L130" s="71">
        <v>0.0</v>
      </c>
      <c r="M130" s="71">
        <v>1.0</v>
      </c>
      <c r="N130" s="6">
        <f t="shared" si="36"/>
        <v>4</v>
      </c>
    </row>
    <row r="131" ht="12.75" customHeight="1">
      <c r="A131" s="18"/>
      <c r="B131" s="54">
        <v>2.0</v>
      </c>
      <c r="C131" s="55" t="s">
        <v>111</v>
      </c>
      <c r="D131" s="56"/>
      <c r="E131" s="71">
        <v>0.0</v>
      </c>
      <c r="F131" s="71">
        <v>0.0</v>
      </c>
      <c r="G131" s="71">
        <v>0.0</v>
      </c>
      <c r="H131" s="71">
        <v>0.0</v>
      </c>
      <c r="I131" s="71">
        <v>1.0</v>
      </c>
      <c r="J131" s="71">
        <v>0.0</v>
      </c>
      <c r="K131" s="71">
        <v>0.0</v>
      </c>
      <c r="L131" s="71">
        <v>0.0</v>
      </c>
      <c r="M131" s="71">
        <v>0.0</v>
      </c>
      <c r="N131" s="6">
        <f t="shared" si="36"/>
        <v>1</v>
      </c>
    </row>
    <row r="132" ht="12.75" customHeight="1">
      <c r="A132" s="18"/>
      <c r="B132" s="54">
        <v>3.0</v>
      </c>
      <c r="C132" s="55" t="s">
        <v>112</v>
      </c>
      <c r="D132" s="56"/>
      <c r="E132" s="71">
        <v>0.0</v>
      </c>
      <c r="F132" s="71">
        <v>0.0</v>
      </c>
      <c r="G132" s="71">
        <v>0.0</v>
      </c>
      <c r="H132" s="71">
        <v>0.0</v>
      </c>
      <c r="I132" s="71">
        <v>0.0</v>
      </c>
      <c r="J132" s="71">
        <v>0.0</v>
      </c>
      <c r="K132" s="71">
        <v>0.0</v>
      </c>
      <c r="L132" s="71">
        <v>0.0</v>
      </c>
      <c r="M132" s="71">
        <v>0.0</v>
      </c>
      <c r="N132" s="6">
        <f t="shared" si="36"/>
        <v>0</v>
      </c>
    </row>
    <row r="133" ht="12.75" customHeight="1">
      <c r="A133" s="18"/>
      <c r="B133" s="54">
        <v>4.0</v>
      </c>
      <c r="C133" s="55" t="s">
        <v>113</v>
      </c>
      <c r="D133" s="56"/>
      <c r="E133" s="71">
        <v>0.0</v>
      </c>
      <c r="F133" s="71">
        <v>0.0</v>
      </c>
      <c r="G133" s="71">
        <v>0.0</v>
      </c>
      <c r="H133" s="71">
        <v>0.0</v>
      </c>
      <c r="I133" s="71">
        <v>0.0</v>
      </c>
      <c r="J133" s="71">
        <v>0.0</v>
      </c>
      <c r="K133" s="71">
        <v>0.0</v>
      </c>
      <c r="L133" s="71">
        <v>0.0</v>
      </c>
      <c r="M133" s="71">
        <v>0.0</v>
      </c>
      <c r="N133" s="6">
        <f t="shared" si="36"/>
        <v>0</v>
      </c>
    </row>
    <row r="134" ht="12.75" customHeight="1">
      <c r="A134" s="18"/>
      <c r="B134" s="54">
        <v>5.0</v>
      </c>
      <c r="C134" s="55" t="s">
        <v>114</v>
      </c>
      <c r="D134" s="56"/>
      <c r="E134" s="71">
        <v>0.0</v>
      </c>
      <c r="F134" s="71">
        <v>0.0</v>
      </c>
      <c r="G134" s="71">
        <v>0.0</v>
      </c>
      <c r="H134" s="71">
        <v>0.0</v>
      </c>
      <c r="I134" s="71">
        <v>0.0</v>
      </c>
      <c r="J134" s="71">
        <v>0.0</v>
      </c>
      <c r="K134" s="71">
        <v>0.0</v>
      </c>
      <c r="L134" s="71">
        <v>0.0</v>
      </c>
      <c r="M134" s="71">
        <v>0.0</v>
      </c>
      <c r="N134" s="6">
        <f t="shared" si="36"/>
        <v>0</v>
      </c>
    </row>
    <row r="135" ht="12.75" customHeight="1">
      <c r="A135" s="18"/>
      <c r="B135" s="54">
        <v>6.0</v>
      </c>
      <c r="C135" s="55" t="s">
        <v>115</v>
      </c>
      <c r="D135" s="56"/>
      <c r="E135" s="71">
        <v>0.0</v>
      </c>
      <c r="F135" s="71">
        <v>0.0</v>
      </c>
      <c r="G135" s="71">
        <v>0.0</v>
      </c>
      <c r="H135" s="71">
        <v>0.0</v>
      </c>
      <c r="I135" s="71">
        <v>0.0</v>
      </c>
      <c r="J135" s="71">
        <v>0.0</v>
      </c>
      <c r="K135" s="71">
        <v>0.0</v>
      </c>
      <c r="L135" s="71">
        <v>0.0</v>
      </c>
      <c r="M135" s="71">
        <v>0.0</v>
      </c>
      <c r="N135" s="6">
        <f t="shared" si="36"/>
        <v>0</v>
      </c>
    </row>
    <row r="136" ht="12.75" customHeight="1">
      <c r="A136" s="13" t="s">
        <v>15</v>
      </c>
      <c r="B136" s="51" t="s">
        <v>46</v>
      </c>
      <c r="C136" s="8"/>
      <c r="D136" s="9"/>
      <c r="E136" s="57">
        <f t="shared" ref="E136:M136" si="37">SUM(E129:E135)</f>
        <v>0</v>
      </c>
      <c r="F136" s="57">
        <f t="shared" si="37"/>
        <v>0</v>
      </c>
      <c r="G136" s="57">
        <f t="shared" si="37"/>
        <v>1</v>
      </c>
      <c r="H136" s="57">
        <f t="shared" si="37"/>
        <v>2</v>
      </c>
      <c r="I136" s="57">
        <f t="shared" si="37"/>
        <v>2</v>
      </c>
      <c r="J136" s="57">
        <f t="shared" si="37"/>
        <v>0</v>
      </c>
      <c r="K136" s="57">
        <f t="shared" si="37"/>
        <v>0</v>
      </c>
      <c r="L136" s="57">
        <f t="shared" si="37"/>
        <v>0</v>
      </c>
      <c r="M136" s="57">
        <f t="shared" si="37"/>
        <v>1</v>
      </c>
      <c r="N136" s="6">
        <f t="shared" si="36"/>
        <v>6</v>
      </c>
    </row>
    <row r="137" ht="12.75" customHeight="1">
      <c r="A137" s="68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"/>
    </row>
    <row r="138" ht="12.75" customHeight="1">
      <c r="A138" s="33" t="s">
        <v>37</v>
      </c>
      <c r="B138" s="51" t="s">
        <v>116</v>
      </c>
      <c r="C138" s="52" t="s">
        <v>117</v>
      </c>
      <c r="D138" s="9"/>
      <c r="E138" s="71">
        <v>0.0</v>
      </c>
      <c r="F138" s="71">
        <v>1.0</v>
      </c>
      <c r="G138" s="71">
        <v>0.0</v>
      </c>
      <c r="H138" s="71">
        <v>2.0</v>
      </c>
      <c r="I138" s="71">
        <v>0.0</v>
      </c>
      <c r="J138" s="71">
        <v>0.0</v>
      </c>
      <c r="K138" s="71">
        <v>1.0</v>
      </c>
      <c r="L138" s="71">
        <v>0.0</v>
      </c>
      <c r="M138" s="71">
        <v>2.0</v>
      </c>
      <c r="N138" s="6">
        <f t="shared" ref="N138:N144" si="38">SUM(E138:M138)</f>
        <v>6</v>
      </c>
    </row>
    <row r="139" ht="12.75" customHeight="1">
      <c r="A139" s="33" t="s">
        <v>39</v>
      </c>
      <c r="B139" s="54">
        <v>1.0</v>
      </c>
      <c r="C139" s="55" t="s">
        <v>118</v>
      </c>
      <c r="D139" s="56"/>
      <c r="E139" s="71">
        <v>0.0</v>
      </c>
      <c r="F139" s="71">
        <v>0.0</v>
      </c>
      <c r="G139" s="71">
        <v>0.0</v>
      </c>
      <c r="H139" s="71">
        <v>0.0</v>
      </c>
      <c r="I139" s="71">
        <v>0.0</v>
      </c>
      <c r="J139" s="71">
        <v>0.0</v>
      </c>
      <c r="K139" s="71">
        <v>0.0</v>
      </c>
      <c r="L139" s="71">
        <v>0.0</v>
      </c>
      <c r="M139" s="71">
        <v>0.0</v>
      </c>
      <c r="N139" s="6">
        <f t="shared" si="38"/>
        <v>0</v>
      </c>
    </row>
    <row r="140" ht="12.75" customHeight="1">
      <c r="A140" s="18"/>
      <c r="B140" s="54">
        <v>2.0</v>
      </c>
      <c r="C140" s="55" t="s">
        <v>119</v>
      </c>
      <c r="D140" s="56"/>
      <c r="E140" s="71">
        <v>3.0</v>
      </c>
      <c r="F140" s="71">
        <v>0.0</v>
      </c>
      <c r="G140" s="71">
        <v>1.0</v>
      </c>
      <c r="H140" s="71">
        <v>4.0</v>
      </c>
      <c r="I140" s="71">
        <v>0.0</v>
      </c>
      <c r="J140" s="71">
        <v>0.0</v>
      </c>
      <c r="K140" s="71">
        <v>0.0</v>
      </c>
      <c r="L140" s="71">
        <v>0.0</v>
      </c>
      <c r="M140" s="71">
        <v>2.0</v>
      </c>
      <c r="N140" s="6">
        <f t="shared" si="38"/>
        <v>10</v>
      </c>
    </row>
    <row r="141" ht="12.75" customHeight="1">
      <c r="A141" s="18"/>
      <c r="B141" s="54">
        <v>3.0</v>
      </c>
      <c r="C141" s="55" t="s">
        <v>120</v>
      </c>
      <c r="D141" s="56"/>
      <c r="E141" s="71">
        <v>0.0</v>
      </c>
      <c r="F141" s="71">
        <v>0.0</v>
      </c>
      <c r="G141" s="71">
        <v>0.0</v>
      </c>
      <c r="H141" s="71">
        <v>0.0</v>
      </c>
      <c r="I141" s="71">
        <v>0.0</v>
      </c>
      <c r="J141" s="71">
        <v>0.0</v>
      </c>
      <c r="K141" s="71">
        <v>0.0</v>
      </c>
      <c r="L141" s="71">
        <v>0.0</v>
      </c>
      <c r="M141" s="71">
        <v>0.0</v>
      </c>
      <c r="N141" s="6">
        <f t="shared" si="38"/>
        <v>0</v>
      </c>
    </row>
    <row r="142" ht="12.75" customHeight="1">
      <c r="A142" s="18"/>
      <c r="B142" s="54">
        <v>4.0</v>
      </c>
      <c r="C142" s="55" t="s">
        <v>121</v>
      </c>
      <c r="D142" s="56"/>
      <c r="E142" s="71">
        <v>0.0</v>
      </c>
      <c r="F142" s="71">
        <v>0.0</v>
      </c>
      <c r="G142" s="71">
        <v>0.0</v>
      </c>
      <c r="H142" s="71">
        <v>0.0</v>
      </c>
      <c r="I142" s="71">
        <v>0.0</v>
      </c>
      <c r="J142" s="71">
        <v>1.0</v>
      </c>
      <c r="K142" s="71">
        <v>0.0</v>
      </c>
      <c r="L142" s="71">
        <v>0.0</v>
      </c>
      <c r="M142" s="71">
        <v>0.0</v>
      </c>
      <c r="N142" s="6">
        <f t="shared" si="38"/>
        <v>1</v>
      </c>
    </row>
    <row r="143" ht="12.75" customHeight="1">
      <c r="A143" s="18"/>
      <c r="B143" s="54">
        <v>5.0</v>
      </c>
      <c r="C143" s="55" t="s">
        <v>122</v>
      </c>
      <c r="D143" s="56"/>
      <c r="E143" s="71">
        <v>0.0</v>
      </c>
      <c r="F143" s="71">
        <v>0.0</v>
      </c>
      <c r="G143" s="71">
        <v>0.0</v>
      </c>
      <c r="H143" s="71">
        <v>0.0</v>
      </c>
      <c r="I143" s="71">
        <v>0.0</v>
      </c>
      <c r="J143" s="71">
        <v>0.0</v>
      </c>
      <c r="K143" s="71">
        <v>0.0</v>
      </c>
      <c r="L143" s="71">
        <v>0.0</v>
      </c>
      <c r="M143" s="71">
        <v>0.0</v>
      </c>
      <c r="N143" s="6">
        <f t="shared" si="38"/>
        <v>0</v>
      </c>
    </row>
    <row r="144" ht="12.75" customHeight="1">
      <c r="A144" s="13" t="s">
        <v>15</v>
      </c>
      <c r="B144" s="51" t="s">
        <v>46</v>
      </c>
      <c r="C144" s="8"/>
      <c r="D144" s="9"/>
      <c r="E144" s="57">
        <f t="shared" ref="E144:M144" si="39">SUM(E138:E143)</f>
        <v>3</v>
      </c>
      <c r="F144" s="57">
        <f t="shared" si="39"/>
        <v>1</v>
      </c>
      <c r="G144" s="57">
        <f t="shared" si="39"/>
        <v>1</v>
      </c>
      <c r="H144" s="57">
        <f t="shared" si="39"/>
        <v>6</v>
      </c>
      <c r="I144" s="57">
        <f t="shared" si="39"/>
        <v>0</v>
      </c>
      <c r="J144" s="57">
        <f t="shared" si="39"/>
        <v>1</v>
      </c>
      <c r="K144" s="57">
        <f t="shared" si="39"/>
        <v>1</v>
      </c>
      <c r="L144" s="57">
        <f t="shared" si="39"/>
        <v>0</v>
      </c>
      <c r="M144" s="57">
        <f t="shared" si="39"/>
        <v>4</v>
      </c>
      <c r="N144" s="6">
        <f t="shared" si="38"/>
        <v>17</v>
      </c>
    </row>
    <row r="145" ht="12.75" customHeight="1">
      <c r="A145" s="68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"/>
    </row>
    <row r="146" ht="12.75" customHeight="1">
      <c r="A146" s="33" t="s">
        <v>37</v>
      </c>
      <c r="B146" s="51" t="s">
        <v>123</v>
      </c>
      <c r="C146" s="52" t="s">
        <v>124</v>
      </c>
      <c r="D146" s="9"/>
      <c r="E146" s="71">
        <v>1.0</v>
      </c>
      <c r="F146" s="71">
        <v>0.0</v>
      </c>
      <c r="G146" s="71">
        <v>2.0</v>
      </c>
      <c r="H146" s="71">
        <v>1.0</v>
      </c>
      <c r="I146" s="71">
        <v>1.0</v>
      </c>
      <c r="J146" s="71">
        <v>5.0</v>
      </c>
      <c r="K146" s="71">
        <v>0.0</v>
      </c>
      <c r="L146" s="71">
        <v>0.0</v>
      </c>
      <c r="M146" s="71">
        <v>0.0</v>
      </c>
      <c r="N146" s="6">
        <f t="shared" ref="N146:N153" si="40">SUM(E146:M146)</f>
        <v>10</v>
      </c>
    </row>
    <row r="147" ht="12.75" customHeight="1">
      <c r="A147" s="33" t="s">
        <v>39</v>
      </c>
      <c r="B147" s="54">
        <v>1.0</v>
      </c>
      <c r="C147" s="55" t="s">
        <v>125</v>
      </c>
      <c r="D147" s="56"/>
      <c r="E147" s="71">
        <v>1.0</v>
      </c>
      <c r="F147" s="71">
        <v>0.0</v>
      </c>
      <c r="G147" s="71">
        <v>0.0</v>
      </c>
      <c r="H147" s="71">
        <v>2.0</v>
      </c>
      <c r="I147" s="71">
        <v>0.0</v>
      </c>
      <c r="J147" s="71">
        <v>0.0</v>
      </c>
      <c r="K147" s="71">
        <v>1.0</v>
      </c>
      <c r="L147" s="71">
        <v>0.0</v>
      </c>
      <c r="M147" s="71">
        <v>1.0</v>
      </c>
      <c r="N147" s="6">
        <f t="shared" si="40"/>
        <v>5</v>
      </c>
    </row>
    <row r="148" ht="12.75" customHeight="1">
      <c r="A148" s="18"/>
      <c r="B148" s="54">
        <v>2.0</v>
      </c>
      <c r="C148" s="55" t="s">
        <v>126</v>
      </c>
      <c r="D148" s="56"/>
      <c r="E148" s="71">
        <v>7.0</v>
      </c>
      <c r="F148" s="71">
        <v>1.0</v>
      </c>
      <c r="G148" s="71">
        <v>5.0</v>
      </c>
      <c r="H148" s="71">
        <v>0.0</v>
      </c>
      <c r="I148" s="71">
        <v>6.0</v>
      </c>
      <c r="J148" s="71">
        <v>19.0</v>
      </c>
      <c r="K148" s="71">
        <v>1.0</v>
      </c>
      <c r="L148" s="71">
        <v>4.0</v>
      </c>
      <c r="M148" s="71">
        <v>1.0</v>
      </c>
      <c r="N148" s="6">
        <f t="shared" si="40"/>
        <v>44</v>
      </c>
    </row>
    <row r="149" ht="12.75" customHeight="1">
      <c r="A149" s="18"/>
      <c r="B149" s="54">
        <v>3.0</v>
      </c>
      <c r="C149" s="55" t="s">
        <v>127</v>
      </c>
      <c r="D149" s="56"/>
      <c r="E149" s="71">
        <v>0.0</v>
      </c>
      <c r="F149" s="71">
        <v>0.0</v>
      </c>
      <c r="G149" s="71">
        <v>0.0</v>
      </c>
      <c r="H149" s="71">
        <v>0.0</v>
      </c>
      <c r="I149" s="71">
        <v>0.0</v>
      </c>
      <c r="J149" s="71">
        <v>1.0</v>
      </c>
      <c r="K149" s="71">
        <v>0.0</v>
      </c>
      <c r="L149" s="71">
        <v>0.0</v>
      </c>
      <c r="M149" s="71">
        <v>1.0</v>
      </c>
      <c r="N149" s="6">
        <f t="shared" si="40"/>
        <v>2</v>
      </c>
    </row>
    <row r="150" ht="12.75" customHeight="1">
      <c r="A150" s="18"/>
      <c r="B150" s="54">
        <v>4.0</v>
      </c>
      <c r="C150" s="55" t="s">
        <v>128</v>
      </c>
      <c r="D150" s="56"/>
      <c r="E150" s="71">
        <v>0.0</v>
      </c>
      <c r="F150" s="71">
        <v>0.0</v>
      </c>
      <c r="G150" s="71">
        <v>0.0</v>
      </c>
      <c r="H150" s="71">
        <v>0.0</v>
      </c>
      <c r="I150" s="71">
        <v>0.0</v>
      </c>
      <c r="J150" s="71">
        <v>0.0</v>
      </c>
      <c r="K150" s="71">
        <v>0.0</v>
      </c>
      <c r="L150" s="71">
        <v>0.0</v>
      </c>
      <c r="M150" s="71">
        <v>0.0</v>
      </c>
      <c r="N150" s="6">
        <f t="shared" si="40"/>
        <v>0</v>
      </c>
    </row>
    <row r="151" ht="12.75" customHeight="1">
      <c r="A151" s="18"/>
      <c r="B151" s="54">
        <v>5.0</v>
      </c>
      <c r="C151" s="55" t="s">
        <v>129</v>
      </c>
      <c r="D151" s="56"/>
      <c r="E151" s="71">
        <v>0.0</v>
      </c>
      <c r="F151" s="71">
        <v>0.0</v>
      </c>
      <c r="G151" s="71">
        <v>0.0</v>
      </c>
      <c r="H151" s="71">
        <v>5.0</v>
      </c>
      <c r="I151" s="71">
        <v>0.0</v>
      </c>
      <c r="J151" s="71">
        <v>0.0</v>
      </c>
      <c r="K151" s="71">
        <v>0.0</v>
      </c>
      <c r="L151" s="71">
        <v>0.0</v>
      </c>
      <c r="M151" s="71">
        <v>0.0</v>
      </c>
      <c r="N151" s="6">
        <f t="shared" si="40"/>
        <v>5</v>
      </c>
    </row>
    <row r="152" ht="12.75" customHeight="1">
      <c r="A152" s="18"/>
      <c r="B152" s="54">
        <v>6.0</v>
      </c>
      <c r="C152" s="55" t="s">
        <v>130</v>
      </c>
      <c r="D152" s="56"/>
      <c r="E152" s="71">
        <v>0.0</v>
      </c>
      <c r="F152" s="71">
        <v>0.0</v>
      </c>
      <c r="G152" s="71">
        <v>0.0</v>
      </c>
      <c r="H152" s="71">
        <v>0.0</v>
      </c>
      <c r="I152" s="71">
        <v>0.0</v>
      </c>
      <c r="J152" s="71">
        <v>0.0</v>
      </c>
      <c r="K152" s="71">
        <v>0.0</v>
      </c>
      <c r="L152" s="71">
        <v>0.0</v>
      </c>
      <c r="M152" s="71">
        <v>0.0</v>
      </c>
      <c r="N152" s="6">
        <f t="shared" si="40"/>
        <v>0</v>
      </c>
    </row>
    <row r="153" ht="12.75" customHeight="1">
      <c r="A153" s="13" t="s">
        <v>15</v>
      </c>
      <c r="B153" s="51" t="s">
        <v>46</v>
      </c>
      <c r="C153" s="8"/>
      <c r="D153" s="9"/>
      <c r="E153" s="57">
        <f t="shared" ref="E153:M153" si="41">SUM(E146:E152)</f>
        <v>9</v>
      </c>
      <c r="F153" s="57">
        <f t="shared" si="41"/>
        <v>1</v>
      </c>
      <c r="G153" s="57">
        <f t="shared" si="41"/>
        <v>7</v>
      </c>
      <c r="H153" s="57">
        <f t="shared" si="41"/>
        <v>8</v>
      </c>
      <c r="I153" s="57">
        <f t="shared" si="41"/>
        <v>7</v>
      </c>
      <c r="J153" s="57">
        <f t="shared" si="41"/>
        <v>25</v>
      </c>
      <c r="K153" s="57">
        <f t="shared" si="41"/>
        <v>2</v>
      </c>
      <c r="L153" s="57">
        <f t="shared" si="41"/>
        <v>4</v>
      </c>
      <c r="M153" s="57">
        <f t="shared" si="41"/>
        <v>3</v>
      </c>
      <c r="N153" s="6">
        <f t="shared" si="40"/>
        <v>66</v>
      </c>
    </row>
    <row r="154" ht="12.75" customHeight="1">
      <c r="A154" s="68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"/>
    </row>
    <row r="155" ht="12.75" customHeight="1">
      <c r="A155" s="33" t="s">
        <v>37</v>
      </c>
      <c r="B155" s="51" t="s">
        <v>131</v>
      </c>
      <c r="C155" s="52" t="s">
        <v>132</v>
      </c>
      <c r="D155" s="9"/>
      <c r="E155" s="71">
        <v>0.0</v>
      </c>
      <c r="F155" s="71">
        <v>2.0</v>
      </c>
      <c r="G155" s="71">
        <v>1.0</v>
      </c>
      <c r="H155" s="71">
        <v>0.0</v>
      </c>
      <c r="I155" s="71">
        <v>1.0</v>
      </c>
      <c r="J155" s="71">
        <v>0.0</v>
      </c>
      <c r="K155" s="71">
        <v>1.0</v>
      </c>
      <c r="L155" s="71">
        <v>1.0</v>
      </c>
      <c r="M155" s="71">
        <v>0.0</v>
      </c>
      <c r="N155" s="6">
        <f t="shared" ref="N155:N158" si="42">SUM(E155:M155)</f>
        <v>6</v>
      </c>
    </row>
    <row r="156" ht="12.75" customHeight="1">
      <c r="A156" s="33" t="s">
        <v>39</v>
      </c>
      <c r="B156" s="54">
        <v>1.0</v>
      </c>
      <c r="C156" s="55" t="s">
        <v>133</v>
      </c>
      <c r="D156" s="56"/>
      <c r="E156" s="71">
        <v>8.0</v>
      </c>
      <c r="F156" s="71">
        <v>9.0</v>
      </c>
      <c r="G156" s="71">
        <v>0.0</v>
      </c>
      <c r="H156" s="71">
        <v>1.0</v>
      </c>
      <c r="I156" s="71">
        <v>1.0</v>
      </c>
      <c r="J156" s="71">
        <v>0.0</v>
      </c>
      <c r="K156" s="71">
        <v>1.0</v>
      </c>
      <c r="L156" s="71">
        <v>6.0</v>
      </c>
      <c r="M156" s="71">
        <v>0.0</v>
      </c>
      <c r="N156" s="6">
        <f t="shared" si="42"/>
        <v>26</v>
      </c>
    </row>
    <row r="157" ht="12.75" customHeight="1">
      <c r="A157" s="33"/>
      <c r="B157" s="54">
        <v>2.0</v>
      </c>
      <c r="C157" s="55" t="s">
        <v>134</v>
      </c>
      <c r="D157" s="56"/>
      <c r="E157" s="71">
        <v>0.0</v>
      </c>
      <c r="F157" s="71">
        <v>0.0</v>
      </c>
      <c r="G157" s="71">
        <v>0.0</v>
      </c>
      <c r="H157" s="71">
        <v>0.0</v>
      </c>
      <c r="I157" s="71">
        <v>0.0</v>
      </c>
      <c r="J157" s="71">
        <v>0.0</v>
      </c>
      <c r="K157" s="71">
        <v>0.0</v>
      </c>
      <c r="L157" s="71">
        <v>0.0</v>
      </c>
      <c r="M157" s="71">
        <v>0.0</v>
      </c>
      <c r="N157" s="6">
        <f t="shared" si="42"/>
        <v>0</v>
      </c>
    </row>
    <row r="158" ht="12.75" customHeight="1">
      <c r="A158" s="13" t="s">
        <v>15</v>
      </c>
      <c r="B158" s="51" t="s">
        <v>46</v>
      </c>
      <c r="C158" s="8"/>
      <c r="D158" s="9"/>
      <c r="E158" s="57">
        <f t="shared" ref="E158:M158" si="43">SUM(E155:E157)</f>
        <v>8</v>
      </c>
      <c r="F158" s="57">
        <f t="shared" si="43"/>
        <v>11</v>
      </c>
      <c r="G158" s="57">
        <f t="shared" si="43"/>
        <v>1</v>
      </c>
      <c r="H158" s="57">
        <f t="shared" si="43"/>
        <v>1</v>
      </c>
      <c r="I158" s="57">
        <f t="shared" si="43"/>
        <v>2</v>
      </c>
      <c r="J158" s="57">
        <f t="shared" si="43"/>
        <v>0</v>
      </c>
      <c r="K158" s="57">
        <f t="shared" si="43"/>
        <v>2</v>
      </c>
      <c r="L158" s="57">
        <f t="shared" si="43"/>
        <v>7</v>
      </c>
      <c r="M158" s="57">
        <f t="shared" si="43"/>
        <v>0</v>
      </c>
      <c r="N158" s="6">
        <f t="shared" si="42"/>
        <v>32</v>
      </c>
    </row>
    <row r="159" ht="12.75" customHeight="1">
      <c r="A159" s="68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"/>
    </row>
    <row r="160" ht="12.75" customHeight="1">
      <c r="A160" s="33" t="s">
        <v>37</v>
      </c>
      <c r="B160" s="51" t="s">
        <v>135</v>
      </c>
      <c r="C160" s="52" t="s">
        <v>136</v>
      </c>
      <c r="D160" s="9"/>
      <c r="E160" s="71">
        <v>0.0</v>
      </c>
      <c r="F160" s="71">
        <v>0.0</v>
      </c>
      <c r="G160" s="71">
        <v>0.0</v>
      </c>
      <c r="H160" s="71">
        <v>0.0</v>
      </c>
      <c r="I160" s="71">
        <v>0.0</v>
      </c>
      <c r="J160" s="71">
        <v>0.0</v>
      </c>
      <c r="K160" s="71">
        <v>1.0</v>
      </c>
      <c r="L160" s="71">
        <v>1.0</v>
      </c>
      <c r="M160" s="71">
        <v>0.0</v>
      </c>
      <c r="N160" s="6">
        <f t="shared" ref="N160:N164" si="44">SUM(E160:M160)</f>
        <v>2</v>
      </c>
    </row>
    <row r="161" ht="12.75" customHeight="1">
      <c r="A161" s="33"/>
      <c r="B161" s="54">
        <v>1.0</v>
      </c>
      <c r="C161" s="55" t="s">
        <v>137</v>
      </c>
      <c r="D161" s="63"/>
      <c r="E161" s="71">
        <v>0.0</v>
      </c>
      <c r="F161" s="71">
        <v>0.0</v>
      </c>
      <c r="G161" s="71">
        <v>0.0</v>
      </c>
      <c r="H161" s="71">
        <v>0.0</v>
      </c>
      <c r="I161" s="71">
        <v>0.0</v>
      </c>
      <c r="J161" s="71">
        <v>0.0</v>
      </c>
      <c r="K161" s="71">
        <v>2.0</v>
      </c>
      <c r="L161" s="71">
        <v>0.0</v>
      </c>
      <c r="M161" s="71">
        <v>0.0</v>
      </c>
      <c r="N161" s="6">
        <f t="shared" si="44"/>
        <v>2</v>
      </c>
    </row>
    <row r="162" ht="12.75" customHeight="1">
      <c r="A162" s="33"/>
      <c r="B162" s="54">
        <v>2.0</v>
      </c>
      <c r="C162" s="55" t="s">
        <v>138</v>
      </c>
      <c r="D162" s="63"/>
      <c r="E162" s="71">
        <v>0.0</v>
      </c>
      <c r="F162" s="71">
        <v>0.0</v>
      </c>
      <c r="G162" s="71">
        <v>0.0</v>
      </c>
      <c r="H162" s="71">
        <v>0.0</v>
      </c>
      <c r="I162" s="71">
        <v>0.0</v>
      </c>
      <c r="J162" s="71">
        <v>0.0</v>
      </c>
      <c r="K162" s="71">
        <v>0.0</v>
      </c>
      <c r="L162" s="71">
        <v>0.0</v>
      </c>
      <c r="M162" s="71">
        <v>0.0</v>
      </c>
      <c r="N162" s="6">
        <f t="shared" si="44"/>
        <v>0</v>
      </c>
    </row>
    <row r="163" ht="12.75" customHeight="1">
      <c r="A163" s="33"/>
      <c r="B163" s="54">
        <v>3.0</v>
      </c>
      <c r="C163" s="55" t="s">
        <v>139</v>
      </c>
      <c r="D163" s="63"/>
      <c r="E163" s="71">
        <v>0.0</v>
      </c>
      <c r="F163" s="71">
        <v>0.0</v>
      </c>
      <c r="G163" s="71">
        <v>0.0</v>
      </c>
      <c r="H163" s="71">
        <v>0.0</v>
      </c>
      <c r="I163" s="71">
        <v>0.0</v>
      </c>
      <c r="J163" s="71">
        <v>0.0</v>
      </c>
      <c r="K163" s="71">
        <v>0.0</v>
      </c>
      <c r="L163" s="71">
        <v>0.0</v>
      </c>
      <c r="M163" s="71">
        <v>0.0</v>
      </c>
      <c r="N163" s="6">
        <f t="shared" si="44"/>
        <v>0</v>
      </c>
    </row>
    <row r="164" ht="12.75" customHeight="1">
      <c r="A164" s="13" t="s">
        <v>15</v>
      </c>
      <c r="B164" s="51" t="s">
        <v>46</v>
      </c>
      <c r="C164" s="8"/>
      <c r="D164" s="9"/>
      <c r="E164" s="57">
        <f t="shared" ref="E164:M164" si="45">SUM(E160:E163)</f>
        <v>0</v>
      </c>
      <c r="F164" s="57">
        <f t="shared" si="45"/>
        <v>0</v>
      </c>
      <c r="G164" s="57">
        <f t="shared" si="45"/>
        <v>0</v>
      </c>
      <c r="H164" s="57">
        <f t="shared" si="45"/>
        <v>0</v>
      </c>
      <c r="I164" s="57">
        <f t="shared" si="45"/>
        <v>0</v>
      </c>
      <c r="J164" s="57">
        <f t="shared" si="45"/>
        <v>0</v>
      </c>
      <c r="K164" s="57">
        <f t="shared" si="45"/>
        <v>3</v>
      </c>
      <c r="L164" s="57">
        <f t="shared" si="45"/>
        <v>1</v>
      </c>
      <c r="M164" s="57">
        <f t="shared" si="45"/>
        <v>0</v>
      </c>
      <c r="N164" s="6">
        <f t="shared" si="44"/>
        <v>4</v>
      </c>
    </row>
    <row r="165" ht="12.75" customHeight="1">
      <c r="A165" s="68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"/>
    </row>
    <row r="166" ht="12.75" customHeight="1">
      <c r="A166" s="33" t="s">
        <v>37</v>
      </c>
      <c r="B166" s="51" t="s">
        <v>140</v>
      </c>
      <c r="C166" s="52" t="s">
        <v>141</v>
      </c>
      <c r="D166" s="9"/>
      <c r="E166" s="71">
        <v>1.0</v>
      </c>
      <c r="F166" s="71">
        <v>2.0</v>
      </c>
      <c r="G166" s="71">
        <v>14.0</v>
      </c>
      <c r="H166" s="71">
        <v>15.0</v>
      </c>
      <c r="I166" s="71">
        <v>9.0</v>
      </c>
      <c r="J166" s="71">
        <v>1.0</v>
      </c>
      <c r="K166" s="71">
        <v>5.0</v>
      </c>
      <c r="L166" s="71">
        <v>4.0</v>
      </c>
      <c r="M166" s="71">
        <v>2.0</v>
      </c>
      <c r="N166" s="6">
        <f t="shared" ref="N166:N173" si="46">SUM(E166:M166)</f>
        <v>53</v>
      </c>
    </row>
    <row r="167" ht="12.75" customHeight="1">
      <c r="A167" s="33" t="s">
        <v>39</v>
      </c>
      <c r="B167" s="54">
        <v>1.0</v>
      </c>
      <c r="C167" s="55" t="s">
        <v>142</v>
      </c>
      <c r="D167" s="56"/>
      <c r="E167" s="71">
        <v>2.0</v>
      </c>
      <c r="F167" s="71">
        <v>1.0</v>
      </c>
      <c r="G167" s="71">
        <v>2.0</v>
      </c>
      <c r="H167" s="71">
        <v>2.0</v>
      </c>
      <c r="I167" s="71">
        <v>5.0</v>
      </c>
      <c r="J167" s="71">
        <v>0.0</v>
      </c>
      <c r="K167" s="71">
        <v>2.0</v>
      </c>
      <c r="L167" s="71">
        <v>4.0</v>
      </c>
      <c r="M167" s="71">
        <v>2.0</v>
      </c>
      <c r="N167" s="6">
        <f t="shared" si="46"/>
        <v>20</v>
      </c>
    </row>
    <row r="168" ht="12.75" customHeight="1">
      <c r="A168" s="18"/>
      <c r="B168" s="54">
        <v>2.0</v>
      </c>
      <c r="C168" s="55" t="s">
        <v>143</v>
      </c>
      <c r="D168" s="56"/>
      <c r="E168" s="71">
        <v>32.0</v>
      </c>
      <c r="F168" s="71">
        <v>22.0</v>
      </c>
      <c r="G168" s="71">
        <v>52.0</v>
      </c>
      <c r="H168" s="71">
        <v>58.0</v>
      </c>
      <c r="I168" s="71">
        <v>48.0</v>
      </c>
      <c r="J168" s="71">
        <v>24.0</v>
      </c>
      <c r="K168" s="71">
        <v>19.0</v>
      </c>
      <c r="L168" s="71">
        <v>55.0</v>
      </c>
      <c r="M168" s="71">
        <v>23.0</v>
      </c>
      <c r="N168" s="6">
        <f t="shared" si="46"/>
        <v>333</v>
      </c>
    </row>
    <row r="169" ht="12.75" customHeight="1">
      <c r="A169" s="18"/>
      <c r="B169" s="54">
        <v>3.0</v>
      </c>
      <c r="C169" s="55" t="s">
        <v>144</v>
      </c>
      <c r="D169" s="56"/>
      <c r="E169" s="71">
        <v>4.0</v>
      </c>
      <c r="F169" s="71">
        <v>0.0</v>
      </c>
      <c r="G169" s="71">
        <v>3.0</v>
      </c>
      <c r="H169" s="71">
        <v>9.0</v>
      </c>
      <c r="I169" s="71">
        <v>0.0</v>
      </c>
      <c r="J169" s="71">
        <v>0.0</v>
      </c>
      <c r="K169" s="71">
        <v>1.0</v>
      </c>
      <c r="L169" s="71">
        <v>0.0</v>
      </c>
      <c r="M169" s="71">
        <v>0.0</v>
      </c>
      <c r="N169" s="6">
        <f t="shared" si="46"/>
        <v>17</v>
      </c>
    </row>
    <row r="170" ht="12.75" customHeight="1">
      <c r="A170" s="18"/>
      <c r="B170" s="54">
        <v>4.0</v>
      </c>
      <c r="C170" s="55" t="s">
        <v>145</v>
      </c>
      <c r="D170" s="56"/>
      <c r="E170" s="71">
        <v>0.0</v>
      </c>
      <c r="F170" s="71">
        <v>1.0</v>
      </c>
      <c r="G170" s="71">
        <v>6.0</v>
      </c>
      <c r="H170" s="71">
        <v>0.0</v>
      </c>
      <c r="I170" s="71">
        <v>0.0</v>
      </c>
      <c r="J170" s="71">
        <v>0.0</v>
      </c>
      <c r="K170" s="71">
        <v>0.0</v>
      </c>
      <c r="L170" s="71">
        <v>2.0</v>
      </c>
      <c r="M170" s="71">
        <v>1.0</v>
      </c>
      <c r="N170" s="6">
        <f t="shared" si="46"/>
        <v>10</v>
      </c>
    </row>
    <row r="171" ht="12.75" customHeight="1">
      <c r="A171" s="18"/>
      <c r="B171" s="54">
        <v>5.0</v>
      </c>
      <c r="C171" s="55" t="s">
        <v>146</v>
      </c>
      <c r="D171" s="56"/>
      <c r="E171" s="71">
        <v>0.0</v>
      </c>
      <c r="F171" s="71">
        <v>0.0</v>
      </c>
      <c r="G171" s="71">
        <v>0.0</v>
      </c>
      <c r="H171" s="71">
        <v>0.0</v>
      </c>
      <c r="I171" s="71">
        <v>0.0</v>
      </c>
      <c r="J171" s="71">
        <v>0.0</v>
      </c>
      <c r="K171" s="71">
        <v>0.0</v>
      </c>
      <c r="L171" s="71">
        <v>0.0</v>
      </c>
      <c r="M171" s="71">
        <v>0.0</v>
      </c>
      <c r="N171" s="6">
        <f t="shared" si="46"/>
        <v>0</v>
      </c>
    </row>
    <row r="172" ht="12.75" customHeight="1">
      <c r="A172" s="18"/>
      <c r="B172" s="54">
        <v>6.0</v>
      </c>
      <c r="C172" s="55" t="s">
        <v>147</v>
      </c>
      <c r="D172" s="56"/>
      <c r="E172" s="71">
        <v>0.0</v>
      </c>
      <c r="F172" s="71">
        <v>0.0</v>
      </c>
      <c r="G172" s="71">
        <v>0.0</v>
      </c>
      <c r="H172" s="71">
        <v>0.0</v>
      </c>
      <c r="I172" s="71">
        <v>0.0</v>
      </c>
      <c r="J172" s="71">
        <v>0.0</v>
      </c>
      <c r="K172" s="71">
        <v>0.0</v>
      </c>
      <c r="L172" s="71">
        <v>0.0</v>
      </c>
      <c r="M172" s="71">
        <v>0.0</v>
      </c>
      <c r="N172" s="6">
        <f t="shared" si="46"/>
        <v>0</v>
      </c>
    </row>
    <row r="173" ht="12.75" customHeight="1">
      <c r="A173" s="13" t="s">
        <v>15</v>
      </c>
      <c r="B173" s="51" t="s">
        <v>46</v>
      </c>
      <c r="C173" s="8"/>
      <c r="D173" s="9"/>
      <c r="E173" s="57">
        <f t="shared" ref="E173:M173" si="47">SUM(E166:E172)</f>
        <v>39</v>
      </c>
      <c r="F173" s="57">
        <f t="shared" si="47"/>
        <v>26</v>
      </c>
      <c r="G173" s="57">
        <f t="shared" si="47"/>
        <v>77</v>
      </c>
      <c r="H173" s="57">
        <f t="shared" si="47"/>
        <v>84</v>
      </c>
      <c r="I173" s="57">
        <f t="shared" si="47"/>
        <v>62</v>
      </c>
      <c r="J173" s="57">
        <f t="shared" si="47"/>
        <v>25</v>
      </c>
      <c r="K173" s="57">
        <f t="shared" si="47"/>
        <v>27</v>
      </c>
      <c r="L173" s="57">
        <f t="shared" si="47"/>
        <v>65</v>
      </c>
      <c r="M173" s="57">
        <f t="shared" si="47"/>
        <v>28</v>
      </c>
      <c r="N173" s="6">
        <f t="shared" si="46"/>
        <v>433</v>
      </c>
    </row>
    <row r="174" ht="12.75" customHeight="1">
      <c r="A174" s="68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"/>
    </row>
    <row r="175" ht="12.75" customHeight="1">
      <c r="A175" s="33" t="s">
        <v>37</v>
      </c>
      <c r="B175" s="51" t="s">
        <v>148</v>
      </c>
      <c r="C175" s="52" t="s">
        <v>149</v>
      </c>
      <c r="D175" s="9"/>
      <c r="E175" s="71">
        <v>0.0</v>
      </c>
      <c r="F175" s="71">
        <v>3.0</v>
      </c>
      <c r="G175" s="71">
        <v>0.0</v>
      </c>
      <c r="H175" s="71">
        <v>1.0</v>
      </c>
      <c r="I175" s="71">
        <v>0.0</v>
      </c>
      <c r="J175" s="71">
        <v>0.0</v>
      </c>
      <c r="K175" s="71">
        <v>0.0</v>
      </c>
      <c r="L175" s="71">
        <v>0.0</v>
      </c>
      <c r="M175" s="71">
        <v>0.0</v>
      </c>
      <c r="N175" s="6">
        <f t="shared" ref="N175:N178" si="48">SUM(E175:M175)</f>
        <v>4</v>
      </c>
    </row>
    <row r="176" ht="12.75" customHeight="1">
      <c r="A176" s="33"/>
      <c r="B176" s="51">
        <v>1.0</v>
      </c>
      <c r="C176" s="52" t="s">
        <v>150</v>
      </c>
      <c r="D176" s="63"/>
      <c r="E176" s="71">
        <v>1.0</v>
      </c>
      <c r="F176" s="71">
        <v>0.0</v>
      </c>
      <c r="G176" s="71">
        <v>0.0</v>
      </c>
      <c r="H176" s="71">
        <v>0.0</v>
      </c>
      <c r="I176" s="71">
        <v>0.0</v>
      </c>
      <c r="J176" s="71">
        <v>0.0</v>
      </c>
      <c r="K176" s="71">
        <v>0.0</v>
      </c>
      <c r="L176" s="71">
        <v>0.0</v>
      </c>
      <c r="M176" s="71">
        <v>0.0</v>
      </c>
      <c r="N176" s="6">
        <f t="shared" si="48"/>
        <v>1</v>
      </c>
    </row>
    <row r="177" ht="12.75" customHeight="1">
      <c r="A177" s="33" t="s">
        <v>39</v>
      </c>
      <c r="B177" s="54">
        <v>2.0</v>
      </c>
      <c r="C177" s="55" t="s">
        <v>151</v>
      </c>
      <c r="D177" s="56"/>
      <c r="E177" s="71">
        <v>0.0</v>
      </c>
      <c r="F177" s="71">
        <v>0.0</v>
      </c>
      <c r="G177" s="71">
        <v>1.0</v>
      </c>
      <c r="H177" s="71">
        <v>0.0</v>
      </c>
      <c r="I177" s="71">
        <v>0.0</v>
      </c>
      <c r="J177" s="71">
        <v>0.0</v>
      </c>
      <c r="K177" s="71">
        <v>0.0</v>
      </c>
      <c r="L177" s="71">
        <v>0.0</v>
      </c>
      <c r="M177" s="71">
        <v>0.0</v>
      </c>
      <c r="N177" s="6">
        <f t="shared" si="48"/>
        <v>1</v>
      </c>
    </row>
    <row r="178" ht="12.75" customHeight="1">
      <c r="A178" s="13" t="s">
        <v>15</v>
      </c>
      <c r="B178" s="51" t="s">
        <v>46</v>
      </c>
      <c r="C178" s="8"/>
      <c r="D178" s="9"/>
      <c r="E178" s="57">
        <f t="shared" ref="E178:M178" si="49">SUM(E175:E177)</f>
        <v>1</v>
      </c>
      <c r="F178" s="57">
        <f t="shared" si="49"/>
        <v>3</v>
      </c>
      <c r="G178" s="57">
        <f t="shared" si="49"/>
        <v>1</v>
      </c>
      <c r="H178" s="57">
        <f t="shared" si="49"/>
        <v>1</v>
      </c>
      <c r="I178" s="57">
        <f t="shared" si="49"/>
        <v>0</v>
      </c>
      <c r="J178" s="57">
        <f t="shared" si="49"/>
        <v>0</v>
      </c>
      <c r="K178" s="57">
        <f t="shared" si="49"/>
        <v>0</v>
      </c>
      <c r="L178" s="57">
        <f t="shared" si="49"/>
        <v>0</v>
      </c>
      <c r="M178" s="57">
        <f t="shared" si="49"/>
        <v>0</v>
      </c>
      <c r="N178" s="6">
        <f t="shared" si="48"/>
        <v>6</v>
      </c>
    </row>
    <row r="179" ht="12.75" customHeight="1">
      <c r="A179" s="49"/>
      <c r="B179" s="48"/>
      <c r="C179" s="48"/>
      <c r="D179" s="27"/>
      <c r="E179" s="30"/>
      <c r="F179" s="30"/>
      <c r="G179" s="30"/>
      <c r="H179" s="30"/>
      <c r="I179" s="30"/>
      <c r="J179" s="30"/>
      <c r="K179" s="30"/>
      <c r="L179" s="30"/>
      <c r="M179" s="30"/>
      <c r="N179" s="6"/>
    </row>
    <row r="180" ht="12.75" customHeight="1">
      <c r="A180" s="46" t="s">
        <v>152</v>
      </c>
      <c r="B180" s="7" t="s">
        <v>153</v>
      </c>
      <c r="C180" s="8"/>
      <c r="D180" s="9"/>
      <c r="E180" s="28"/>
      <c r="F180" s="28"/>
      <c r="G180" s="28"/>
      <c r="H180" s="28"/>
      <c r="I180" s="28"/>
      <c r="J180" s="28"/>
      <c r="K180" s="28"/>
      <c r="L180" s="28"/>
      <c r="M180" s="28"/>
      <c r="N180" s="6"/>
    </row>
    <row r="181" ht="12.75" customHeight="1">
      <c r="A181" s="46"/>
      <c r="B181" s="64" t="s">
        <v>154</v>
      </c>
      <c r="C181" s="65" t="s">
        <v>155</v>
      </c>
      <c r="D181" s="9"/>
      <c r="E181" s="71">
        <v>180.0</v>
      </c>
      <c r="F181" s="71">
        <v>150.0</v>
      </c>
      <c r="G181" s="71">
        <v>176.0</v>
      </c>
      <c r="H181" s="71">
        <v>183.0</v>
      </c>
      <c r="I181" s="71">
        <v>180.0</v>
      </c>
      <c r="J181" s="71">
        <v>142.0</v>
      </c>
      <c r="K181" s="71">
        <v>142.0</v>
      </c>
      <c r="L181" s="71">
        <v>140.0</v>
      </c>
      <c r="M181" s="71">
        <v>131.0</v>
      </c>
      <c r="N181" s="6">
        <f t="shared" ref="N181:N183" si="50">SUM(E181:M181)</f>
        <v>1424</v>
      </c>
    </row>
    <row r="182" ht="12.75" customHeight="1">
      <c r="A182" s="38"/>
      <c r="B182" s="64" t="s">
        <v>156</v>
      </c>
      <c r="C182" s="65" t="s">
        <v>157</v>
      </c>
      <c r="D182" s="9"/>
      <c r="E182" s="71">
        <v>19.0</v>
      </c>
      <c r="F182" s="71">
        <v>40.0</v>
      </c>
      <c r="G182" s="71">
        <v>32.0</v>
      </c>
      <c r="H182" s="71">
        <v>19.0</v>
      </c>
      <c r="I182" s="71">
        <v>19.0</v>
      </c>
      <c r="J182" s="71">
        <v>20.0</v>
      </c>
      <c r="K182" s="71">
        <v>12.0</v>
      </c>
      <c r="L182" s="71">
        <v>13.0</v>
      </c>
      <c r="M182" s="71">
        <v>16.0</v>
      </c>
      <c r="N182" s="6">
        <f t="shared" si="50"/>
        <v>190</v>
      </c>
    </row>
    <row r="183" ht="12.75" customHeight="1">
      <c r="A183" s="43"/>
      <c r="B183" s="64" t="s">
        <v>158</v>
      </c>
      <c r="C183" s="65" t="s">
        <v>159</v>
      </c>
      <c r="D183" s="9"/>
      <c r="E183" s="28">
        <f t="shared" ref="E183:M183" si="51">SUM(E181:E182)</f>
        <v>199</v>
      </c>
      <c r="F183" s="28">
        <f t="shared" si="51"/>
        <v>190</v>
      </c>
      <c r="G183" s="28">
        <f t="shared" si="51"/>
        <v>208</v>
      </c>
      <c r="H183" s="28">
        <f t="shared" si="51"/>
        <v>202</v>
      </c>
      <c r="I183" s="28">
        <f t="shared" si="51"/>
        <v>199</v>
      </c>
      <c r="J183" s="28">
        <f t="shared" si="51"/>
        <v>162</v>
      </c>
      <c r="K183" s="28">
        <f t="shared" si="51"/>
        <v>154</v>
      </c>
      <c r="L183" s="28">
        <f t="shared" si="51"/>
        <v>153</v>
      </c>
      <c r="M183" s="28">
        <f t="shared" si="51"/>
        <v>147</v>
      </c>
      <c r="N183" s="6">
        <f t="shared" si="50"/>
        <v>1614</v>
      </c>
    </row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1">
    <mergeCell ref="C101:D101"/>
    <mergeCell ref="B108:D108"/>
    <mergeCell ref="C110:D110"/>
    <mergeCell ref="B114:D114"/>
    <mergeCell ref="C116:D116"/>
    <mergeCell ref="B123:D123"/>
    <mergeCell ref="C125:D125"/>
    <mergeCell ref="B127:D127"/>
    <mergeCell ref="C129:D129"/>
    <mergeCell ref="B136:D136"/>
    <mergeCell ref="C138:D138"/>
    <mergeCell ref="B144:D144"/>
    <mergeCell ref="C146:D146"/>
    <mergeCell ref="B153:D153"/>
    <mergeCell ref="B178:D178"/>
    <mergeCell ref="A179:D179"/>
    <mergeCell ref="B180:D180"/>
    <mergeCell ref="C181:D181"/>
    <mergeCell ref="C182:D182"/>
    <mergeCell ref="C183:D183"/>
    <mergeCell ref="C155:D155"/>
    <mergeCell ref="B158:D158"/>
    <mergeCell ref="C160:D160"/>
    <mergeCell ref="B164:D164"/>
    <mergeCell ref="C166:D166"/>
    <mergeCell ref="B173:D173"/>
    <mergeCell ref="C175:D175"/>
    <mergeCell ref="B12:D12"/>
    <mergeCell ref="E12:M12"/>
    <mergeCell ref="N12:N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C91:D91"/>
    <mergeCell ref="B92:D92"/>
    <mergeCell ref="C94:D94"/>
    <mergeCell ref="B99:D99"/>
  </mergeCells>
  <conditionalFormatting sqref="E30:M30">
    <cfRule type="expression" dxfId="0" priority="1">
      <formula>E30&lt;&gt;E62</formula>
    </cfRule>
  </conditionalFormatting>
  <conditionalFormatting sqref="E34:M34">
    <cfRule type="expression" dxfId="0" priority="2">
      <formula>E34&lt;&gt;E62</formula>
    </cfRule>
  </conditionalFormatting>
  <conditionalFormatting sqref="E14:M15">
    <cfRule type="containsBlanks" dxfId="1" priority="3">
      <formula>LEN(TRIM(E14))=0</formula>
    </cfRule>
  </conditionalFormatting>
  <conditionalFormatting sqref="E19:M20">
    <cfRule type="containsBlanks" dxfId="1" priority="4">
      <formula>LEN(TRIM(E19))=0</formula>
    </cfRule>
  </conditionalFormatting>
  <conditionalFormatting sqref="E22:M23 E25:M26 E33:M33 E35:M35 E39:M40">
    <cfRule type="containsBlanks" dxfId="1" priority="5">
      <formula>LEN(TRIM(E22))=0</formula>
    </cfRule>
  </conditionalFormatting>
  <conditionalFormatting sqref="E30:M30">
    <cfRule type="expression" dxfId="0" priority="6">
      <formula>E30&lt;&gt;E34</formula>
    </cfRule>
  </conditionalFormatting>
  <conditionalFormatting sqref="E34:M34">
    <cfRule type="expression" dxfId="2" priority="7">
      <formula>E30&lt;&gt;E34</formula>
    </cfRule>
  </conditionalFormatting>
  <conditionalFormatting sqref="E34:M34">
    <cfRule type="expression" dxfId="3" priority="8">
      <formula>E30=E34</formula>
    </cfRule>
  </conditionalFormatting>
  <conditionalFormatting sqref="E34:M34">
    <cfRule type="expression" dxfId="0" priority="9">
      <formula>E34&lt;&gt;E30</formula>
    </cfRule>
  </conditionalFormatting>
  <conditionalFormatting sqref="E45:M51">
    <cfRule type="containsBlanks" dxfId="1" priority="10">
      <formula>LEN(TRIM(E45))=0</formula>
    </cfRule>
  </conditionalFormatting>
  <conditionalFormatting sqref="E54:M60">
    <cfRule type="containsBlanks" dxfId="1" priority="11">
      <formula>LEN(TRIM(E54))=0</formula>
    </cfRule>
  </conditionalFormatting>
  <conditionalFormatting sqref="E63:M69">
    <cfRule type="containsBlanks" dxfId="1" priority="12">
      <formula>LEN(TRIM(E63))=0</formula>
    </cfRule>
  </conditionalFormatting>
  <conditionalFormatting sqref="E72:M78">
    <cfRule type="containsBlanks" dxfId="1" priority="13">
      <formula>LEN(TRIM(E72))=0</formula>
    </cfRule>
  </conditionalFormatting>
  <conditionalFormatting sqref="E81:M87">
    <cfRule type="containsBlanks" dxfId="1" priority="14">
      <formula>LEN(TRIM(E81))=0</formula>
    </cfRule>
  </conditionalFormatting>
  <conditionalFormatting sqref="E90:M91">
    <cfRule type="containsBlanks" dxfId="1" priority="15">
      <formula>LEN(TRIM(E90))=0</formula>
    </cfRule>
  </conditionalFormatting>
  <conditionalFormatting sqref="E94:M98">
    <cfRule type="containsBlanks" dxfId="1" priority="16">
      <formula>LEN(TRIM(E94))=0</formula>
    </cfRule>
  </conditionalFormatting>
  <conditionalFormatting sqref="E101:M107">
    <cfRule type="containsBlanks" dxfId="1" priority="17">
      <formula>LEN(TRIM(E101))=0</formula>
    </cfRule>
  </conditionalFormatting>
  <conditionalFormatting sqref="E110:M113">
    <cfRule type="containsBlanks" dxfId="1" priority="18">
      <formula>LEN(TRIM(E110))=0</formula>
    </cfRule>
  </conditionalFormatting>
  <conditionalFormatting sqref="E116:M122">
    <cfRule type="containsBlanks" dxfId="1" priority="19">
      <formula>LEN(TRIM(E116))=0</formula>
    </cfRule>
  </conditionalFormatting>
  <conditionalFormatting sqref="E125:M126">
    <cfRule type="containsBlanks" dxfId="1" priority="20">
      <formula>LEN(TRIM(E125))=0</formula>
    </cfRule>
  </conditionalFormatting>
  <conditionalFormatting sqref="E129:M135">
    <cfRule type="containsBlanks" dxfId="1" priority="21">
      <formula>LEN(TRIM(E129))=0</formula>
    </cfRule>
  </conditionalFormatting>
  <conditionalFormatting sqref="E138:M143">
    <cfRule type="containsBlanks" dxfId="1" priority="22">
      <formula>LEN(TRIM(E138))=0</formula>
    </cfRule>
  </conditionalFormatting>
  <conditionalFormatting sqref="E146:M152">
    <cfRule type="containsBlanks" dxfId="1" priority="23">
      <formula>LEN(TRIM(E146))=0</formula>
    </cfRule>
  </conditionalFormatting>
  <conditionalFormatting sqref="E155:M157">
    <cfRule type="containsBlanks" dxfId="1" priority="24">
      <formula>LEN(TRIM(E155))=0</formula>
    </cfRule>
  </conditionalFormatting>
  <conditionalFormatting sqref="E160:M163">
    <cfRule type="containsBlanks" dxfId="1" priority="25">
      <formula>LEN(TRIM(E160))=0</formula>
    </cfRule>
  </conditionalFormatting>
  <conditionalFormatting sqref="E166:M172">
    <cfRule type="containsBlanks" dxfId="1" priority="26">
      <formula>LEN(TRIM(E166))=0</formula>
    </cfRule>
  </conditionalFormatting>
  <conditionalFormatting sqref="E175:M177">
    <cfRule type="containsBlanks" dxfId="1" priority="27">
      <formula>LEN(TRIM(E175))=0</formula>
    </cfRule>
  </conditionalFormatting>
  <conditionalFormatting sqref="E181:M182">
    <cfRule type="containsBlanks" dxfId="1" priority="28">
      <formula>LEN(TRIM(E181))=0</formula>
    </cfRule>
  </conditionalFormatting>
  <conditionalFormatting sqref="E183:M183">
    <cfRule type="expression" dxfId="0" priority="29">
      <formula>E183&lt;&gt;E30</formula>
    </cfRule>
  </conditionalFormatting>
  <conditionalFormatting sqref="E183:M183">
    <cfRule type="expression" dxfId="0" priority="30">
      <formula>E183&lt;&gt;E34</formula>
    </cfRule>
  </conditionalFormatting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2" width="8.71"/>
    <col customWidth="1" min="23" max="23" width="10.43"/>
  </cols>
  <sheetData>
    <row r="1" ht="12.75" customHeight="1"/>
    <row r="2" ht="12.75" customHeight="1">
      <c r="C2" s="1" t="s">
        <v>0</v>
      </c>
      <c r="D2" s="1" t="s">
        <v>181</v>
      </c>
    </row>
    <row r="3" ht="12.75" customHeight="1">
      <c r="C3" s="1" t="s">
        <v>2</v>
      </c>
      <c r="D3" s="1" t="s">
        <v>3</v>
      </c>
    </row>
    <row r="4" ht="12.75" customHeight="1">
      <c r="C4" s="1" t="s">
        <v>4</v>
      </c>
      <c r="D4" s="1" t="s">
        <v>5</v>
      </c>
    </row>
    <row r="5" ht="12.75" customHeight="1">
      <c r="C5" s="1"/>
      <c r="D5" s="1"/>
    </row>
    <row r="6" ht="12.75" customHeight="1">
      <c r="C6" s="1"/>
      <c r="D6" s="1"/>
    </row>
    <row r="7" ht="12.75" customHeight="1">
      <c r="C7" s="1"/>
      <c r="D7" s="1"/>
    </row>
    <row r="8" ht="12.75" customHeight="1">
      <c r="C8" s="1"/>
      <c r="D8" s="1"/>
    </row>
    <row r="9" ht="12.75" customHeight="1">
      <c r="C9" s="1" t="s">
        <v>160</v>
      </c>
      <c r="D9" s="1" t="s">
        <v>181</v>
      </c>
    </row>
    <row r="10" ht="12.75" customHeight="1"/>
    <row r="11" ht="12.75" customHeight="1"/>
    <row r="12" ht="12.75" customHeight="1">
      <c r="A12" s="6" t="s">
        <v>6</v>
      </c>
      <c r="B12" s="7" t="s">
        <v>7</v>
      </c>
      <c r="C12" s="8"/>
      <c r="D12" s="8"/>
      <c r="E12" s="2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9"/>
      <c r="W12" s="40" t="s">
        <v>8</v>
      </c>
    </row>
    <row r="13" ht="12.75" customHeight="1">
      <c r="A13" s="13" t="s">
        <v>9</v>
      </c>
      <c r="B13" s="14" t="s">
        <v>10</v>
      </c>
      <c r="C13" s="8"/>
      <c r="D13" s="9"/>
      <c r="E13" s="43" t="s">
        <v>162</v>
      </c>
      <c r="F13" s="43" t="s">
        <v>163</v>
      </c>
      <c r="G13" s="43" t="s">
        <v>164</v>
      </c>
      <c r="H13" s="43" t="s">
        <v>165</v>
      </c>
      <c r="I13" s="43" t="s">
        <v>166</v>
      </c>
      <c r="J13" s="43" t="s">
        <v>167</v>
      </c>
      <c r="K13" s="43" t="s">
        <v>168</v>
      </c>
      <c r="L13" s="43" t="s">
        <v>169</v>
      </c>
      <c r="M13" s="43" t="s">
        <v>170</v>
      </c>
      <c r="N13" s="43" t="s">
        <v>174</v>
      </c>
      <c r="O13" s="43" t="s">
        <v>175</v>
      </c>
      <c r="P13" s="43" t="s">
        <v>176</v>
      </c>
      <c r="Q13" s="43" t="s">
        <v>177</v>
      </c>
      <c r="R13" s="43" t="s">
        <v>178</v>
      </c>
      <c r="S13" s="43" t="s">
        <v>179</v>
      </c>
      <c r="T13" s="43" t="s">
        <v>182</v>
      </c>
      <c r="U13" s="43" t="s">
        <v>183</v>
      </c>
      <c r="V13" s="43" t="s">
        <v>184</v>
      </c>
      <c r="W13" s="27"/>
    </row>
    <row r="14" ht="12.75" customHeight="1">
      <c r="A14" s="18"/>
      <c r="B14" s="19" t="s">
        <v>11</v>
      </c>
      <c r="C14" s="20"/>
      <c r="D14" s="13" t="s">
        <v>12</v>
      </c>
      <c r="E14" s="71">
        <v>92.0</v>
      </c>
      <c r="F14" s="71">
        <v>63.0</v>
      </c>
      <c r="G14" s="71">
        <v>139.0</v>
      </c>
      <c r="H14" s="71">
        <v>138.0</v>
      </c>
      <c r="I14" s="71">
        <v>122.0</v>
      </c>
      <c r="J14" s="71">
        <v>137.0</v>
      </c>
      <c r="K14" s="71">
        <v>148.0</v>
      </c>
      <c r="L14" s="71">
        <v>125.0</v>
      </c>
      <c r="M14" s="71">
        <v>94.0</v>
      </c>
      <c r="N14" s="71">
        <v>142.0</v>
      </c>
      <c r="O14" s="71">
        <v>121.0</v>
      </c>
      <c r="P14" s="71">
        <v>119.0</v>
      </c>
      <c r="Q14" s="71">
        <v>128.0</v>
      </c>
      <c r="R14" s="71">
        <v>150.0</v>
      </c>
      <c r="S14" s="71">
        <v>132.0</v>
      </c>
      <c r="T14" s="71">
        <v>108.0</v>
      </c>
      <c r="U14" s="71">
        <v>132.0</v>
      </c>
      <c r="V14" s="71">
        <v>144.0</v>
      </c>
      <c r="W14" s="6">
        <f t="shared" ref="W14:W16" si="1">SUM(E14:V14)</f>
        <v>2234</v>
      </c>
    </row>
    <row r="15" ht="12.75" customHeight="1">
      <c r="A15" s="18"/>
      <c r="B15" s="25"/>
      <c r="C15" s="26"/>
      <c r="D15" s="13" t="s">
        <v>13</v>
      </c>
      <c r="E15" s="71">
        <v>84.0</v>
      </c>
      <c r="F15" s="71">
        <v>65.0</v>
      </c>
      <c r="G15" s="71">
        <v>137.0</v>
      </c>
      <c r="H15" s="71">
        <v>129.0</v>
      </c>
      <c r="I15" s="71">
        <v>118.0</v>
      </c>
      <c r="J15" s="71">
        <v>133.0</v>
      </c>
      <c r="K15" s="71">
        <v>135.0</v>
      </c>
      <c r="L15" s="71">
        <v>117.0</v>
      </c>
      <c r="M15" s="71">
        <v>105.0</v>
      </c>
      <c r="N15" s="71">
        <v>132.0</v>
      </c>
      <c r="O15" s="71">
        <v>124.0</v>
      </c>
      <c r="P15" s="71">
        <v>113.0</v>
      </c>
      <c r="Q15" s="71">
        <v>141.0</v>
      </c>
      <c r="R15" s="71">
        <v>135.0</v>
      </c>
      <c r="S15" s="71">
        <v>145.0</v>
      </c>
      <c r="T15" s="71">
        <v>102.0</v>
      </c>
      <c r="U15" s="71">
        <v>126.0</v>
      </c>
      <c r="V15" s="71">
        <v>143.0</v>
      </c>
      <c r="W15" s="6">
        <f t="shared" si="1"/>
        <v>2184</v>
      </c>
    </row>
    <row r="16" ht="12.75" customHeight="1">
      <c r="A16" s="16"/>
      <c r="B16" s="15"/>
      <c r="C16" s="27"/>
      <c r="D16" s="6" t="s">
        <v>14</v>
      </c>
      <c r="E16" s="6">
        <f t="shared" ref="E16:V16" si="2">SUM(E14:E15)</f>
        <v>176</v>
      </c>
      <c r="F16" s="6">
        <f t="shared" si="2"/>
        <v>128</v>
      </c>
      <c r="G16" s="6">
        <f t="shared" si="2"/>
        <v>276</v>
      </c>
      <c r="H16" s="6">
        <f t="shared" si="2"/>
        <v>267</v>
      </c>
      <c r="I16" s="6">
        <f t="shared" si="2"/>
        <v>240</v>
      </c>
      <c r="J16" s="6">
        <f t="shared" si="2"/>
        <v>270</v>
      </c>
      <c r="K16" s="6">
        <f t="shared" si="2"/>
        <v>283</v>
      </c>
      <c r="L16" s="6">
        <f t="shared" si="2"/>
        <v>242</v>
      </c>
      <c r="M16" s="6">
        <f t="shared" si="2"/>
        <v>199</v>
      </c>
      <c r="N16" s="6">
        <f t="shared" si="2"/>
        <v>274</v>
      </c>
      <c r="O16" s="6">
        <f t="shared" si="2"/>
        <v>245</v>
      </c>
      <c r="P16" s="6">
        <f t="shared" si="2"/>
        <v>232</v>
      </c>
      <c r="Q16" s="6">
        <f t="shared" si="2"/>
        <v>269</v>
      </c>
      <c r="R16" s="6">
        <f t="shared" si="2"/>
        <v>285</v>
      </c>
      <c r="S16" s="6">
        <f t="shared" si="2"/>
        <v>277</v>
      </c>
      <c r="T16" s="6">
        <f t="shared" si="2"/>
        <v>210</v>
      </c>
      <c r="U16" s="6">
        <f t="shared" si="2"/>
        <v>258</v>
      </c>
      <c r="V16" s="6">
        <f t="shared" si="2"/>
        <v>287</v>
      </c>
      <c r="W16" s="6">
        <f t="shared" si="1"/>
        <v>4418</v>
      </c>
    </row>
    <row r="17" ht="12.75" customHeight="1">
      <c r="A17" s="30"/>
      <c r="B17" s="8"/>
      <c r="C17" s="8"/>
      <c r="D17" s="9"/>
      <c r="E17" s="13"/>
      <c r="F17" s="13"/>
      <c r="G17" s="13"/>
      <c r="H17" s="13"/>
      <c r="I17" s="13"/>
      <c r="J17" s="13"/>
      <c r="K17" s="13"/>
      <c r="L17" s="13"/>
      <c r="M17" s="13"/>
      <c r="N17" s="72"/>
      <c r="O17" s="72"/>
      <c r="P17" s="72"/>
      <c r="Q17" s="72"/>
      <c r="R17" s="72"/>
      <c r="S17" s="72"/>
      <c r="T17" s="72"/>
      <c r="U17" s="72"/>
      <c r="V17" s="72"/>
      <c r="W17" s="6"/>
    </row>
    <row r="18" ht="12.75" customHeight="1">
      <c r="A18" s="33" t="s">
        <v>15</v>
      </c>
      <c r="B18" s="14" t="s">
        <v>16</v>
      </c>
      <c r="C18" s="8"/>
      <c r="D18" s="9"/>
      <c r="E18" s="13"/>
      <c r="F18" s="13"/>
      <c r="G18" s="13"/>
      <c r="H18" s="13"/>
      <c r="I18" s="13"/>
      <c r="J18" s="13"/>
      <c r="K18" s="13"/>
      <c r="L18" s="13"/>
      <c r="M18" s="13"/>
      <c r="N18" s="72"/>
      <c r="O18" s="72"/>
      <c r="P18" s="72"/>
      <c r="Q18" s="72"/>
      <c r="R18" s="72"/>
      <c r="S18" s="72"/>
      <c r="T18" s="72"/>
      <c r="U18" s="72"/>
      <c r="V18" s="72"/>
      <c r="W18" s="6"/>
    </row>
    <row r="19" ht="12.75" customHeight="1">
      <c r="A19" s="33"/>
      <c r="B19" s="34" t="s">
        <v>17</v>
      </c>
      <c r="C19" s="35" t="s">
        <v>18</v>
      </c>
      <c r="D19" s="13" t="s">
        <v>12</v>
      </c>
      <c r="E19" s="71">
        <v>73.0</v>
      </c>
      <c r="F19" s="71">
        <v>46.0</v>
      </c>
      <c r="G19" s="71">
        <v>100.0</v>
      </c>
      <c r="H19" s="71">
        <v>97.0</v>
      </c>
      <c r="I19" s="71">
        <v>89.0</v>
      </c>
      <c r="J19" s="71">
        <v>102.0</v>
      </c>
      <c r="K19" s="71">
        <v>97.0</v>
      </c>
      <c r="L19" s="71">
        <v>94.0</v>
      </c>
      <c r="M19" s="71">
        <v>74.0</v>
      </c>
      <c r="N19" s="71">
        <v>106.0</v>
      </c>
      <c r="O19" s="71">
        <v>90.0</v>
      </c>
      <c r="P19" s="71">
        <v>91.0</v>
      </c>
      <c r="Q19" s="71">
        <v>102.0</v>
      </c>
      <c r="R19" s="71">
        <v>104.0</v>
      </c>
      <c r="S19" s="71">
        <v>101.0</v>
      </c>
      <c r="T19" s="71">
        <v>80.0</v>
      </c>
      <c r="U19" s="71">
        <v>101.0</v>
      </c>
      <c r="V19" s="71">
        <v>106.0</v>
      </c>
      <c r="W19" s="6">
        <f t="shared" ref="W19:W30" si="3">SUM(E19:V19)</f>
        <v>1653</v>
      </c>
    </row>
    <row r="20" ht="12.75" customHeight="1">
      <c r="A20" s="36"/>
      <c r="B20" s="26"/>
      <c r="C20" s="37"/>
      <c r="D20" s="13" t="s">
        <v>13</v>
      </c>
      <c r="E20" s="71">
        <v>68.0</v>
      </c>
      <c r="F20" s="71">
        <v>58.0</v>
      </c>
      <c r="G20" s="71">
        <v>111.0</v>
      </c>
      <c r="H20" s="71">
        <v>111.0</v>
      </c>
      <c r="I20" s="71">
        <v>91.0</v>
      </c>
      <c r="J20" s="71">
        <v>104.0</v>
      </c>
      <c r="K20" s="71">
        <v>100.0</v>
      </c>
      <c r="L20" s="71">
        <v>97.0</v>
      </c>
      <c r="M20" s="71">
        <v>86.0</v>
      </c>
      <c r="N20" s="71">
        <v>117.0</v>
      </c>
      <c r="O20" s="71">
        <v>96.0</v>
      </c>
      <c r="P20" s="71">
        <v>90.0</v>
      </c>
      <c r="Q20" s="71">
        <v>115.0</v>
      </c>
      <c r="R20" s="71">
        <v>111.0</v>
      </c>
      <c r="S20" s="71">
        <v>113.0</v>
      </c>
      <c r="T20" s="71">
        <v>90.0</v>
      </c>
      <c r="U20" s="71">
        <v>108.0</v>
      </c>
      <c r="V20" s="71">
        <v>111.0</v>
      </c>
      <c r="W20" s="6">
        <f t="shared" si="3"/>
        <v>1777</v>
      </c>
    </row>
    <row r="21" ht="12.75" customHeight="1">
      <c r="A21" s="38"/>
      <c r="B21" s="27"/>
      <c r="C21" s="39"/>
      <c r="D21" s="6" t="s">
        <v>14</v>
      </c>
      <c r="E21" s="6">
        <f t="shared" ref="E21:V21" si="4">SUM(E19:E20)</f>
        <v>141</v>
      </c>
      <c r="F21" s="6">
        <f t="shared" si="4"/>
        <v>104</v>
      </c>
      <c r="G21" s="6">
        <f t="shared" si="4"/>
        <v>211</v>
      </c>
      <c r="H21" s="6">
        <f t="shared" si="4"/>
        <v>208</v>
      </c>
      <c r="I21" s="6">
        <f t="shared" si="4"/>
        <v>180</v>
      </c>
      <c r="J21" s="6">
        <f t="shared" si="4"/>
        <v>206</v>
      </c>
      <c r="K21" s="6">
        <f t="shared" si="4"/>
        <v>197</v>
      </c>
      <c r="L21" s="6">
        <f t="shared" si="4"/>
        <v>191</v>
      </c>
      <c r="M21" s="6">
        <f t="shared" si="4"/>
        <v>160</v>
      </c>
      <c r="N21" s="6">
        <f t="shared" si="4"/>
        <v>223</v>
      </c>
      <c r="O21" s="6">
        <f t="shared" si="4"/>
        <v>186</v>
      </c>
      <c r="P21" s="6">
        <f t="shared" si="4"/>
        <v>181</v>
      </c>
      <c r="Q21" s="6">
        <f t="shared" si="4"/>
        <v>217</v>
      </c>
      <c r="R21" s="6">
        <f t="shared" si="4"/>
        <v>215</v>
      </c>
      <c r="S21" s="6">
        <f t="shared" si="4"/>
        <v>214</v>
      </c>
      <c r="T21" s="6">
        <f t="shared" si="4"/>
        <v>170</v>
      </c>
      <c r="U21" s="6">
        <f t="shared" si="4"/>
        <v>209</v>
      </c>
      <c r="V21" s="6">
        <f t="shared" si="4"/>
        <v>217</v>
      </c>
      <c r="W21" s="6">
        <f t="shared" si="3"/>
        <v>3430</v>
      </c>
    </row>
    <row r="22" ht="12.75" customHeight="1">
      <c r="A22" s="36"/>
      <c r="B22" s="34" t="s">
        <v>19</v>
      </c>
      <c r="C22" s="35" t="s">
        <v>20</v>
      </c>
      <c r="D22" s="13" t="s">
        <v>12</v>
      </c>
      <c r="E22" s="71">
        <v>0.0</v>
      </c>
      <c r="F22" s="71">
        <v>0.0</v>
      </c>
      <c r="G22" s="71">
        <v>0.0</v>
      </c>
      <c r="H22" s="71">
        <v>0.0</v>
      </c>
      <c r="I22" s="71">
        <v>0.0</v>
      </c>
      <c r="J22" s="71">
        <v>0.0</v>
      </c>
      <c r="K22" s="71">
        <v>0.0</v>
      </c>
      <c r="L22" s="71">
        <v>0.0</v>
      </c>
      <c r="M22" s="71">
        <v>0.0</v>
      </c>
      <c r="N22" s="71">
        <v>0.0</v>
      </c>
      <c r="O22" s="71">
        <v>0.0</v>
      </c>
      <c r="P22" s="71">
        <v>0.0</v>
      </c>
      <c r="Q22" s="71">
        <v>0.0</v>
      </c>
      <c r="R22" s="71">
        <v>0.0</v>
      </c>
      <c r="S22" s="71">
        <v>0.0</v>
      </c>
      <c r="T22" s="71">
        <v>1.0</v>
      </c>
      <c r="U22" s="71">
        <v>0.0</v>
      </c>
      <c r="V22" s="71">
        <v>0.0</v>
      </c>
      <c r="W22" s="6">
        <f t="shared" si="3"/>
        <v>1</v>
      </c>
    </row>
    <row r="23" ht="12.75" customHeight="1">
      <c r="A23" s="36"/>
      <c r="B23" s="26"/>
      <c r="C23" s="37"/>
      <c r="D23" s="13" t="s">
        <v>13</v>
      </c>
      <c r="E23" s="71">
        <v>0.0</v>
      </c>
      <c r="F23" s="71">
        <v>0.0</v>
      </c>
      <c r="G23" s="71">
        <v>0.0</v>
      </c>
      <c r="H23" s="71">
        <v>0.0</v>
      </c>
      <c r="I23" s="71">
        <v>0.0</v>
      </c>
      <c r="J23" s="71">
        <v>0.0</v>
      </c>
      <c r="K23" s="71">
        <v>0.0</v>
      </c>
      <c r="L23" s="71">
        <v>0.0</v>
      </c>
      <c r="M23" s="71">
        <v>0.0</v>
      </c>
      <c r="N23" s="71">
        <v>0.0</v>
      </c>
      <c r="O23" s="71">
        <v>0.0</v>
      </c>
      <c r="P23" s="71">
        <v>0.0</v>
      </c>
      <c r="Q23" s="71">
        <v>0.0</v>
      </c>
      <c r="R23" s="71">
        <v>0.0</v>
      </c>
      <c r="S23" s="71">
        <v>0.0</v>
      </c>
      <c r="T23" s="71">
        <v>0.0</v>
      </c>
      <c r="U23" s="71">
        <v>0.0</v>
      </c>
      <c r="V23" s="71">
        <v>0.0</v>
      </c>
      <c r="W23" s="6">
        <f t="shared" si="3"/>
        <v>0</v>
      </c>
    </row>
    <row r="24" ht="12.75" customHeight="1">
      <c r="A24" s="38"/>
      <c r="B24" s="27"/>
      <c r="C24" s="39"/>
      <c r="D24" s="6" t="s">
        <v>14</v>
      </c>
      <c r="E24" s="6">
        <f t="shared" ref="E24:V24" si="5">SUM(E22:E23)</f>
        <v>0</v>
      </c>
      <c r="F24" s="6">
        <f t="shared" si="5"/>
        <v>0</v>
      </c>
      <c r="G24" s="6">
        <f t="shared" si="5"/>
        <v>0</v>
      </c>
      <c r="H24" s="6">
        <f t="shared" si="5"/>
        <v>0</v>
      </c>
      <c r="I24" s="6">
        <f t="shared" si="5"/>
        <v>0</v>
      </c>
      <c r="J24" s="6">
        <f t="shared" si="5"/>
        <v>0</v>
      </c>
      <c r="K24" s="6">
        <f t="shared" si="5"/>
        <v>0</v>
      </c>
      <c r="L24" s="6">
        <f t="shared" si="5"/>
        <v>0</v>
      </c>
      <c r="M24" s="6">
        <f t="shared" si="5"/>
        <v>0</v>
      </c>
      <c r="N24" s="6">
        <f t="shared" si="5"/>
        <v>0</v>
      </c>
      <c r="O24" s="6">
        <f t="shared" si="5"/>
        <v>0</v>
      </c>
      <c r="P24" s="6">
        <f t="shared" si="5"/>
        <v>0</v>
      </c>
      <c r="Q24" s="6">
        <f t="shared" si="5"/>
        <v>0</v>
      </c>
      <c r="R24" s="6">
        <f t="shared" si="5"/>
        <v>0</v>
      </c>
      <c r="S24" s="6">
        <f t="shared" si="5"/>
        <v>0</v>
      </c>
      <c r="T24" s="6">
        <f t="shared" si="5"/>
        <v>1</v>
      </c>
      <c r="U24" s="6">
        <f t="shared" si="5"/>
        <v>0</v>
      </c>
      <c r="V24" s="6">
        <f t="shared" si="5"/>
        <v>0</v>
      </c>
      <c r="W24" s="6">
        <f t="shared" si="3"/>
        <v>1</v>
      </c>
    </row>
    <row r="25" ht="12.75" customHeight="1">
      <c r="A25" s="36"/>
      <c r="B25" s="34" t="s">
        <v>21</v>
      </c>
      <c r="C25" s="35" t="s">
        <v>22</v>
      </c>
      <c r="D25" s="13" t="s">
        <v>12</v>
      </c>
      <c r="E25" s="71">
        <v>0.0</v>
      </c>
      <c r="F25" s="71">
        <v>0.0</v>
      </c>
      <c r="G25" s="71">
        <v>2.0</v>
      </c>
      <c r="H25" s="71">
        <v>0.0</v>
      </c>
      <c r="I25" s="71">
        <v>1.0</v>
      </c>
      <c r="J25" s="71">
        <v>0.0</v>
      </c>
      <c r="K25" s="71">
        <v>0.0</v>
      </c>
      <c r="L25" s="71">
        <v>0.0</v>
      </c>
      <c r="M25" s="71">
        <v>0.0</v>
      </c>
      <c r="N25" s="71">
        <v>2.0</v>
      </c>
      <c r="O25" s="71">
        <v>1.0</v>
      </c>
      <c r="P25" s="71">
        <v>0.0</v>
      </c>
      <c r="Q25" s="71">
        <v>0.0</v>
      </c>
      <c r="R25" s="71">
        <v>1.0</v>
      </c>
      <c r="S25" s="71">
        <v>3.0</v>
      </c>
      <c r="T25" s="71">
        <v>0.0</v>
      </c>
      <c r="U25" s="71">
        <v>0.0</v>
      </c>
      <c r="V25" s="71">
        <v>1.0</v>
      </c>
      <c r="W25" s="6">
        <f t="shared" si="3"/>
        <v>11</v>
      </c>
    </row>
    <row r="26" ht="12.75" customHeight="1">
      <c r="A26" s="36"/>
      <c r="B26" s="26"/>
      <c r="C26" s="37"/>
      <c r="D26" s="13" t="s">
        <v>13</v>
      </c>
      <c r="E26" s="71">
        <v>0.0</v>
      </c>
      <c r="F26" s="71">
        <v>0.0</v>
      </c>
      <c r="G26" s="71">
        <v>1.0</v>
      </c>
      <c r="H26" s="71">
        <v>0.0</v>
      </c>
      <c r="I26" s="71">
        <v>1.0</v>
      </c>
      <c r="J26" s="71">
        <v>0.0</v>
      </c>
      <c r="K26" s="71">
        <v>0.0</v>
      </c>
      <c r="L26" s="71">
        <v>0.0</v>
      </c>
      <c r="M26" s="71">
        <v>0.0</v>
      </c>
      <c r="N26" s="71">
        <v>1.0</v>
      </c>
      <c r="O26" s="71">
        <v>0.0</v>
      </c>
      <c r="P26" s="71">
        <v>0.0</v>
      </c>
      <c r="Q26" s="71">
        <v>0.0</v>
      </c>
      <c r="R26" s="71">
        <v>0.0</v>
      </c>
      <c r="S26" s="71">
        <v>1.0</v>
      </c>
      <c r="T26" s="71">
        <v>0.0</v>
      </c>
      <c r="U26" s="71">
        <v>1.0</v>
      </c>
      <c r="V26" s="71">
        <v>0.0</v>
      </c>
      <c r="W26" s="6">
        <f t="shared" si="3"/>
        <v>5</v>
      </c>
    </row>
    <row r="27" ht="12.75" customHeight="1">
      <c r="A27" s="38"/>
      <c r="B27" s="27"/>
      <c r="C27" s="39"/>
      <c r="D27" s="6" t="s">
        <v>14</v>
      </c>
      <c r="E27" s="6">
        <f t="shared" ref="E27:V27" si="6">SUM(E25:E26)</f>
        <v>0</v>
      </c>
      <c r="F27" s="6">
        <f t="shared" si="6"/>
        <v>0</v>
      </c>
      <c r="G27" s="6">
        <f t="shared" si="6"/>
        <v>3</v>
      </c>
      <c r="H27" s="6">
        <f t="shared" si="6"/>
        <v>0</v>
      </c>
      <c r="I27" s="6">
        <f t="shared" si="6"/>
        <v>2</v>
      </c>
      <c r="J27" s="6">
        <f t="shared" si="6"/>
        <v>0</v>
      </c>
      <c r="K27" s="6">
        <f t="shared" si="6"/>
        <v>0</v>
      </c>
      <c r="L27" s="6">
        <f t="shared" si="6"/>
        <v>0</v>
      </c>
      <c r="M27" s="6">
        <f t="shared" si="6"/>
        <v>0</v>
      </c>
      <c r="N27" s="6">
        <f t="shared" si="6"/>
        <v>3</v>
      </c>
      <c r="O27" s="6">
        <f t="shared" si="6"/>
        <v>1</v>
      </c>
      <c r="P27" s="6">
        <f t="shared" si="6"/>
        <v>0</v>
      </c>
      <c r="Q27" s="6">
        <f t="shared" si="6"/>
        <v>0</v>
      </c>
      <c r="R27" s="6">
        <f t="shared" si="6"/>
        <v>1</v>
      </c>
      <c r="S27" s="6">
        <f t="shared" si="6"/>
        <v>4</v>
      </c>
      <c r="T27" s="6">
        <f t="shared" si="6"/>
        <v>0</v>
      </c>
      <c r="U27" s="6">
        <f t="shared" si="6"/>
        <v>1</v>
      </c>
      <c r="V27" s="6">
        <f t="shared" si="6"/>
        <v>1</v>
      </c>
      <c r="W27" s="6">
        <f t="shared" si="3"/>
        <v>16</v>
      </c>
    </row>
    <row r="28" ht="12.75" customHeight="1">
      <c r="A28" s="38"/>
      <c r="B28" s="40" t="s">
        <v>23</v>
      </c>
      <c r="C28" s="41" t="s">
        <v>24</v>
      </c>
      <c r="D28" s="6" t="s">
        <v>12</v>
      </c>
      <c r="E28" s="6">
        <f t="shared" ref="E28:V28" si="7">SUM(E19,E22,E25)</f>
        <v>73</v>
      </c>
      <c r="F28" s="6">
        <f t="shared" si="7"/>
        <v>46</v>
      </c>
      <c r="G28" s="6">
        <f t="shared" si="7"/>
        <v>102</v>
      </c>
      <c r="H28" s="6">
        <f t="shared" si="7"/>
        <v>97</v>
      </c>
      <c r="I28" s="6">
        <f t="shared" si="7"/>
        <v>90</v>
      </c>
      <c r="J28" s="6">
        <f t="shared" si="7"/>
        <v>102</v>
      </c>
      <c r="K28" s="6">
        <f t="shared" si="7"/>
        <v>97</v>
      </c>
      <c r="L28" s="6">
        <f t="shared" si="7"/>
        <v>94</v>
      </c>
      <c r="M28" s="6">
        <f t="shared" si="7"/>
        <v>74</v>
      </c>
      <c r="N28" s="6">
        <f t="shared" si="7"/>
        <v>108</v>
      </c>
      <c r="O28" s="6">
        <f t="shared" si="7"/>
        <v>91</v>
      </c>
      <c r="P28" s="6">
        <f t="shared" si="7"/>
        <v>91</v>
      </c>
      <c r="Q28" s="6">
        <f t="shared" si="7"/>
        <v>102</v>
      </c>
      <c r="R28" s="6">
        <f t="shared" si="7"/>
        <v>105</v>
      </c>
      <c r="S28" s="6">
        <f t="shared" si="7"/>
        <v>104</v>
      </c>
      <c r="T28" s="6">
        <f t="shared" si="7"/>
        <v>81</v>
      </c>
      <c r="U28" s="6">
        <f t="shared" si="7"/>
        <v>101</v>
      </c>
      <c r="V28" s="6">
        <f t="shared" si="7"/>
        <v>107</v>
      </c>
      <c r="W28" s="6">
        <f t="shared" si="3"/>
        <v>1665</v>
      </c>
    </row>
    <row r="29" ht="12.75" customHeight="1">
      <c r="A29" s="38"/>
      <c r="B29" s="26"/>
      <c r="C29" s="37"/>
      <c r="D29" s="6" t="s">
        <v>13</v>
      </c>
      <c r="E29" s="6">
        <f t="shared" ref="E29:V29" si="8">SUM(E20,E23,E26)</f>
        <v>68</v>
      </c>
      <c r="F29" s="6">
        <f t="shared" si="8"/>
        <v>58</v>
      </c>
      <c r="G29" s="6">
        <f t="shared" si="8"/>
        <v>112</v>
      </c>
      <c r="H29" s="6">
        <f t="shared" si="8"/>
        <v>111</v>
      </c>
      <c r="I29" s="6">
        <f t="shared" si="8"/>
        <v>92</v>
      </c>
      <c r="J29" s="6">
        <f t="shared" si="8"/>
        <v>104</v>
      </c>
      <c r="K29" s="6">
        <f t="shared" si="8"/>
        <v>100</v>
      </c>
      <c r="L29" s="6">
        <f t="shared" si="8"/>
        <v>97</v>
      </c>
      <c r="M29" s="6">
        <f t="shared" si="8"/>
        <v>86</v>
      </c>
      <c r="N29" s="6">
        <f t="shared" si="8"/>
        <v>118</v>
      </c>
      <c r="O29" s="6">
        <f t="shared" si="8"/>
        <v>96</v>
      </c>
      <c r="P29" s="6">
        <f t="shared" si="8"/>
        <v>90</v>
      </c>
      <c r="Q29" s="6">
        <f t="shared" si="8"/>
        <v>115</v>
      </c>
      <c r="R29" s="6">
        <f t="shared" si="8"/>
        <v>111</v>
      </c>
      <c r="S29" s="6">
        <f t="shared" si="8"/>
        <v>114</v>
      </c>
      <c r="T29" s="6">
        <f t="shared" si="8"/>
        <v>90</v>
      </c>
      <c r="U29" s="6">
        <f t="shared" si="8"/>
        <v>109</v>
      </c>
      <c r="V29" s="6">
        <f t="shared" si="8"/>
        <v>111</v>
      </c>
      <c r="W29" s="6">
        <f t="shared" si="3"/>
        <v>1782</v>
      </c>
    </row>
    <row r="30" ht="12.75" customHeight="1">
      <c r="A30" s="38"/>
      <c r="B30" s="27"/>
      <c r="C30" s="39"/>
      <c r="D30" s="6" t="s">
        <v>14</v>
      </c>
      <c r="E30" s="6">
        <f t="shared" ref="E30:V30" si="9">SUM(E28:E29)</f>
        <v>141</v>
      </c>
      <c r="F30" s="6">
        <f t="shared" si="9"/>
        <v>104</v>
      </c>
      <c r="G30" s="6">
        <f t="shared" si="9"/>
        <v>214</v>
      </c>
      <c r="H30" s="6">
        <f t="shared" si="9"/>
        <v>208</v>
      </c>
      <c r="I30" s="6">
        <f t="shared" si="9"/>
        <v>182</v>
      </c>
      <c r="J30" s="6">
        <f t="shared" si="9"/>
        <v>206</v>
      </c>
      <c r="K30" s="6">
        <f t="shared" si="9"/>
        <v>197</v>
      </c>
      <c r="L30" s="6">
        <f t="shared" si="9"/>
        <v>191</v>
      </c>
      <c r="M30" s="6">
        <f t="shared" si="9"/>
        <v>160</v>
      </c>
      <c r="N30" s="6">
        <f t="shared" si="9"/>
        <v>226</v>
      </c>
      <c r="O30" s="6">
        <f t="shared" si="9"/>
        <v>187</v>
      </c>
      <c r="P30" s="6">
        <f t="shared" si="9"/>
        <v>181</v>
      </c>
      <c r="Q30" s="6">
        <f t="shared" si="9"/>
        <v>217</v>
      </c>
      <c r="R30" s="6">
        <f t="shared" si="9"/>
        <v>216</v>
      </c>
      <c r="S30" s="6">
        <f t="shared" si="9"/>
        <v>218</v>
      </c>
      <c r="T30" s="6">
        <f t="shared" si="9"/>
        <v>171</v>
      </c>
      <c r="U30" s="6">
        <f t="shared" si="9"/>
        <v>210</v>
      </c>
      <c r="V30" s="6">
        <f t="shared" si="9"/>
        <v>218</v>
      </c>
      <c r="W30" s="6">
        <f t="shared" si="3"/>
        <v>3447</v>
      </c>
    </row>
    <row r="31" ht="12.75" customHeight="1">
      <c r="A31" s="30"/>
      <c r="B31" s="8"/>
      <c r="C31" s="8"/>
      <c r="D31" s="9"/>
      <c r="E31" s="13"/>
      <c r="F31" s="13"/>
      <c r="G31" s="13"/>
      <c r="H31" s="13"/>
      <c r="I31" s="13"/>
      <c r="J31" s="13"/>
      <c r="K31" s="13"/>
      <c r="L31" s="13"/>
      <c r="M31" s="13"/>
      <c r="N31" s="72"/>
      <c r="O31" s="72"/>
      <c r="P31" s="72"/>
      <c r="Q31" s="72"/>
      <c r="R31" s="72"/>
      <c r="S31" s="72"/>
      <c r="T31" s="72"/>
      <c r="U31" s="72"/>
      <c r="V31" s="72"/>
      <c r="W31" s="6"/>
    </row>
    <row r="32" ht="12.75" customHeight="1">
      <c r="A32" s="43" t="s">
        <v>25</v>
      </c>
      <c r="B32" s="7" t="s">
        <v>26</v>
      </c>
      <c r="C32" s="8"/>
      <c r="D32" s="9"/>
      <c r="E32" s="6"/>
      <c r="F32" s="6"/>
      <c r="G32" s="6"/>
      <c r="H32" s="6"/>
      <c r="I32" s="6"/>
      <c r="J32" s="6"/>
      <c r="K32" s="6"/>
      <c r="L32" s="6"/>
      <c r="M32" s="6"/>
      <c r="N32" s="74"/>
      <c r="O32" s="74"/>
      <c r="P32" s="74"/>
      <c r="Q32" s="74"/>
      <c r="R32" s="74"/>
      <c r="S32" s="74"/>
      <c r="T32" s="74"/>
      <c r="U32" s="74"/>
      <c r="V32" s="74"/>
      <c r="W32" s="6"/>
    </row>
    <row r="33" ht="12.75" customHeight="1">
      <c r="A33" s="13">
        <v>1.0</v>
      </c>
      <c r="B33" s="14" t="s">
        <v>27</v>
      </c>
      <c r="C33" s="8"/>
      <c r="D33" s="9"/>
      <c r="E33" s="71">
        <v>176.0</v>
      </c>
      <c r="F33" s="71">
        <v>128.0</v>
      </c>
      <c r="G33" s="71">
        <v>278.0</v>
      </c>
      <c r="H33" s="71">
        <v>269.0</v>
      </c>
      <c r="I33" s="71">
        <v>245.0</v>
      </c>
      <c r="J33" s="71">
        <v>272.0</v>
      </c>
      <c r="K33" s="71">
        <v>285.0</v>
      </c>
      <c r="L33" s="71">
        <v>243.0</v>
      </c>
      <c r="M33" s="71">
        <v>202.0</v>
      </c>
      <c r="N33" s="71">
        <v>276.0</v>
      </c>
      <c r="O33" s="71">
        <v>250.0</v>
      </c>
      <c r="P33" s="71">
        <v>233.0</v>
      </c>
      <c r="Q33" s="71">
        <v>272.0</v>
      </c>
      <c r="R33" s="71">
        <v>287.0</v>
      </c>
      <c r="S33" s="71">
        <v>283.0</v>
      </c>
      <c r="T33" s="71">
        <v>211.0</v>
      </c>
      <c r="U33" s="71">
        <v>251.0</v>
      </c>
      <c r="V33" s="71">
        <v>290.0</v>
      </c>
      <c r="W33" s="6">
        <f t="shared" ref="W33:W36" si="10">SUM(E33:V33)</f>
        <v>4451</v>
      </c>
    </row>
    <row r="34" ht="12.75" customHeight="1">
      <c r="A34" s="13">
        <v>2.0</v>
      </c>
      <c r="B34" s="14" t="s">
        <v>28</v>
      </c>
      <c r="C34" s="8"/>
      <c r="D34" s="9"/>
      <c r="E34" s="73">
        <v>141.0</v>
      </c>
      <c r="F34" s="73">
        <v>104.0</v>
      </c>
      <c r="G34" s="73">
        <v>214.0</v>
      </c>
      <c r="H34" s="73">
        <v>208.0</v>
      </c>
      <c r="I34" s="73">
        <v>182.0</v>
      </c>
      <c r="J34" s="73">
        <v>206.0</v>
      </c>
      <c r="K34" s="73">
        <v>197.0</v>
      </c>
      <c r="L34" s="73">
        <v>191.0</v>
      </c>
      <c r="M34" s="73">
        <v>160.0</v>
      </c>
      <c r="N34" s="73">
        <v>226.0</v>
      </c>
      <c r="O34" s="73">
        <v>187.0</v>
      </c>
      <c r="P34" s="73">
        <v>181.0</v>
      </c>
      <c r="Q34" s="73">
        <v>217.0</v>
      </c>
      <c r="R34" s="73">
        <v>216.0</v>
      </c>
      <c r="S34" s="73">
        <v>218.0</v>
      </c>
      <c r="T34" s="73">
        <v>171.0</v>
      </c>
      <c r="U34" s="73">
        <v>210.0</v>
      </c>
      <c r="V34" s="73">
        <v>218.0</v>
      </c>
      <c r="W34" s="6">
        <f t="shared" si="10"/>
        <v>3447</v>
      </c>
    </row>
    <row r="35" ht="12.75" customHeight="1">
      <c r="A35" s="13">
        <v>3.0</v>
      </c>
      <c r="B35" s="14" t="s">
        <v>29</v>
      </c>
      <c r="C35" s="8"/>
      <c r="D35" s="9"/>
      <c r="E35" s="71">
        <v>0.0</v>
      </c>
      <c r="F35" s="71">
        <v>0.0</v>
      </c>
      <c r="G35" s="71">
        <v>0.0</v>
      </c>
      <c r="H35" s="71">
        <v>0.0</v>
      </c>
      <c r="I35" s="71">
        <v>0.0</v>
      </c>
      <c r="J35" s="71">
        <v>1.0</v>
      </c>
      <c r="K35" s="71">
        <v>2.0</v>
      </c>
      <c r="L35" s="71">
        <v>0.0</v>
      </c>
      <c r="M35" s="71">
        <v>0.0</v>
      </c>
      <c r="N35" s="71">
        <v>0.0</v>
      </c>
      <c r="O35" s="71">
        <v>2.0</v>
      </c>
      <c r="P35" s="71">
        <v>0.0</v>
      </c>
      <c r="Q35" s="71">
        <v>2.0</v>
      </c>
      <c r="R35" s="71">
        <v>3.0</v>
      </c>
      <c r="S35" s="71">
        <v>1.0</v>
      </c>
      <c r="T35" s="71">
        <v>1.0</v>
      </c>
      <c r="U35" s="71">
        <v>0.0</v>
      </c>
      <c r="V35" s="71">
        <v>0.0</v>
      </c>
      <c r="W35" s="6">
        <f t="shared" si="10"/>
        <v>12</v>
      </c>
    </row>
    <row r="36" ht="12.75" customHeight="1">
      <c r="A36" s="13">
        <v>4.0</v>
      </c>
      <c r="B36" s="14" t="s">
        <v>30</v>
      </c>
      <c r="C36" s="8"/>
      <c r="D36" s="9"/>
      <c r="E36" s="6">
        <f t="shared" ref="E36:V36" si="11">E33-(E34+E35)</f>
        <v>35</v>
      </c>
      <c r="F36" s="6">
        <f t="shared" si="11"/>
        <v>24</v>
      </c>
      <c r="G36" s="6">
        <f t="shared" si="11"/>
        <v>64</v>
      </c>
      <c r="H36" s="6">
        <f t="shared" si="11"/>
        <v>61</v>
      </c>
      <c r="I36" s="6">
        <f t="shared" si="11"/>
        <v>63</v>
      </c>
      <c r="J36" s="6">
        <f t="shared" si="11"/>
        <v>65</v>
      </c>
      <c r="K36" s="6">
        <f t="shared" si="11"/>
        <v>86</v>
      </c>
      <c r="L36" s="6">
        <f t="shared" si="11"/>
        <v>52</v>
      </c>
      <c r="M36" s="6">
        <f t="shared" si="11"/>
        <v>42</v>
      </c>
      <c r="N36" s="6">
        <f t="shared" si="11"/>
        <v>50</v>
      </c>
      <c r="O36" s="6">
        <f t="shared" si="11"/>
        <v>61</v>
      </c>
      <c r="P36" s="6">
        <f t="shared" si="11"/>
        <v>52</v>
      </c>
      <c r="Q36" s="6">
        <f t="shared" si="11"/>
        <v>53</v>
      </c>
      <c r="R36" s="6">
        <f t="shared" si="11"/>
        <v>68</v>
      </c>
      <c r="S36" s="6">
        <f t="shared" si="11"/>
        <v>64</v>
      </c>
      <c r="T36" s="6">
        <f t="shared" si="11"/>
        <v>39</v>
      </c>
      <c r="U36" s="6">
        <f t="shared" si="11"/>
        <v>41</v>
      </c>
      <c r="V36" s="6">
        <f t="shared" si="11"/>
        <v>72</v>
      </c>
      <c r="W36" s="6">
        <f t="shared" si="10"/>
        <v>992</v>
      </c>
    </row>
    <row r="37" ht="12.75" customHeight="1">
      <c r="A37" s="30"/>
      <c r="B37" s="8"/>
      <c r="C37" s="8"/>
      <c r="D37" s="8"/>
      <c r="E37" s="30"/>
      <c r="F37" s="8"/>
      <c r="G37" s="8"/>
      <c r="H37" s="8"/>
      <c r="I37" s="9"/>
      <c r="J37" s="13"/>
      <c r="K37" s="13"/>
      <c r="L37" s="13"/>
      <c r="M37" s="13"/>
      <c r="N37" s="72"/>
      <c r="O37" s="75"/>
      <c r="P37" s="75"/>
      <c r="Q37" s="75"/>
      <c r="R37" s="75"/>
      <c r="S37" s="75"/>
      <c r="T37" s="75"/>
      <c r="U37" s="75"/>
      <c r="V37" s="75"/>
      <c r="W37" s="6"/>
    </row>
    <row r="38" ht="12.75" customHeight="1">
      <c r="A38" s="46" t="s">
        <v>31</v>
      </c>
      <c r="B38" s="7" t="s">
        <v>32</v>
      </c>
      <c r="C38" s="8"/>
      <c r="D38" s="9"/>
      <c r="E38" s="6"/>
      <c r="F38" s="6"/>
      <c r="G38" s="6"/>
      <c r="H38" s="6"/>
      <c r="I38" s="6"/>
      <c r="J38" s="6"/>
      <c r="K38" s="6"/>
      <c r="L38" s="6"/>
      <c r="M38" s="6"/>
      <c r="N38" s="74"/>
      <c r="O38" s="74"/>
      <c r="P38" s="74"/>
      <c r="Q38" s="74"/>
      <c r="R38" s="74"/>
      <c r="S38" s="74"/>
      <c r="T38" s="74"/>
      <c r="U38" s="74"/>
      <c r="V38" s="74"/>
      <c r="W38" s="6"/>
    </row>
    <row r="39" ht="12.75" customHeight="1">
      <c r="A39" s="33"/>
      <c r="B39" s="47" t="s">
        <v>33</v>
      </c>
      <c r="C39" s="20"/>
      <c r="D39" s="13" t="s">
        <v>12</v>
      </c>
      <c r="E39" s="71">
        <v>0.0</v>
      </c>
      <c r="F39" s="71">
        <v>1.0</v>
      </c>
      <c r="G39" s="71">
        <v>0.0</v>
      </c>
      <c r="H39" s="71">
        <v>0.0</v>
      </c>
      <c r="I39" s="71">
        <v>0.0</v>
      </c>
      <c r="J39" s="71">
        <v>0.0</v>
      </c>
      <c r="K39" s="71">
        <v>0.0</v>
      </c>
      <c r="L39" s="71">
        <v>0.0</v>
      </c>
      <c r="M39" s="71">
        <v>0.0</v>
      </c>
      <c r="N39" s="71">
        <v>1.0</v>
      </c>
      <c r="O39" s="71">
        <v>0.0</v>
      </c>
      <c r="P39" s="71">
        <v>0.0</v>
      </c>
      <c r="Q39" s="71">
        <v>0.0</v>
      </c>
      <c r="R39" s="71">
        <v>1.0</v>
      </c>
      <c r="S39" s="71">
        <v>0.0</v>
      </c>
      <c r="T39" s="71">
        <v>1.0</v>
      </c>
      <c r="U39" s="71">
        <v>0.0</v>
      </c>
      <c r="V39" s="71">
        <v>0.0</v>
      </c>
      <c r="W39" s="6">
        <f t="shared" ref="W39:W41" si="12">SUM(E39:V39)</f>
        <v>4</v>
      </c>
    </row>
    <row r="40" ht="12.75" customHeight="1">
      <c r="A40" s="36"/>
      <c r="C40" s="26"/>
      <c r="D40" s="13" t="s">
        <v>13</v>
      </c>
      <c r="E40" s="71">
        <v>0.0</v>
      </c>
      <c r="F40" s="71">
        <v>2.0</v>
      </c>
      <c r="G40" s="71">
        <v>0.0</v>
      </c>
      <c r="H40" s="71">
        <v>0.0</v>
      </c>
      <c r="I40" s="71">
        <v>0.0</v>
      </c>
      <c r="J40" s="71">
        <v>0.0</v>
      </c>
      <c r="K40" s="71">
        <v>0.0</v>
      </c>
      <c r="L40" s="71">
        <v>0.0</v>
      </c>
      <c r="M40" s="71">
        <v>1.0</v>
      </c>
      <c r="N40" s="71">
        <v>0.0</v>
      </c>
      <c r="O40" s="71">
        <v>0.0</v>
      </c>
      <c r="P40" s="71">
        <v>0.0</v>
      </c>
      <c r="Q40" s="71">
        <v>0.0</v>
      </c>
      <c r="R40" s="71">
        <v>1.0</v>
      </c>
      <c r="S40" s="71">
        <v>0.0</v>
      </c>
      <c r="T40" s="71">
        <v>1.0</v>
      </c>
      <c r="U40" s="71">
        <v>0.0</v>
      </c>
      <c r="V40" s="71">
        <v>0.0</v>
      </c>
      <c r="W40" s="6">
        <f t="shared" si="12"/>
        <v>5</v>
      </c>
    </row>
    <row r="41" ht="12.75" customHeight="1">
      <c r="A41" s="43"/>
      <c r="B41" s="48"/>
      <c r="C41" s="27"/>
      <c r="D41" s="6" t="s">
        <v>14</v>
      </c>
      <c r="E41" s="6">
        <f t="shared" ref="E41:V41" si="13">SUM(E39:E40)</f>
        <v>0</v>
      </c>
      <c r="F41" s="6">
        <f t="shared" si="13"/>
        <v>3</v>
      </c>
      <c r="G41" s="6">
        <f t="shared" si="13"/>
        <v>0</v>
      </c>
      <c r="H41" s="6">
        <f t="shared" si="13"/>
        <v>0</v>
      </c>
      <c r="I41" s="6">
        <f t="shared" si="13"/>
        <v>0</v>
      </c>
      <c r="J41" s="6">
        <f t="shared" si="13"/>
        <v>0</v>
      </c>
      <c r="K41" s="6">
        <f t="shared" si="13"/>
        <v>0</v>
      </c>
      <c r="L41" s="6">
        <f t="shared" si="13"/>
        <v>0</v>
      </c>
      <c r="M41" s="6">
        <f t="shared" si="13"/>
        <v>1</v>
      </c>
      <c r="N41" s="6">
        <f t="shared" si="13"/>
        <v>1</v>
      </c>
      <c r="O41" s="6">
        <f t="shared" si="13"/>
        <v>0</v>
      </c>
      <c r="P41" s="6">
        <f t="shared" si="13"/>
        <v>0</v>
      </c>
      <c r="Q41" s="6">
        <f t="shared" si="13"/>
        <v>0</v>
      </c>
      <c r="R41" s="6">
        <f t="shared" si="13"/>
        <v>2</v>
      </c>
      <c r="S41" s="6">
        <f t="shared" si="13"/>
        <v>0</v>
      </c>
      <c r="T41" s="6">
        <f t="shared" si="13"/>
        <v>2</v>
      </c>
      <c r="U41" s="6">
        <f t="shared" si="13"/>
        <v>0</v>
      </c>
      <c r="V41" s="6">
        <f t="shared" si="13"/>
        <v>0</v>
      </c>
      <c r="W41" s="6">
        <f t="shared" si="12"/>
        <v>9</v>
      </c>
    </row>
    <row r="42" ht="12.75" customHeight="1">
      <c r="A42" s="49"/>
      <c r="B42" s="48"/>
      <c r="C42" s="48"/>
      <c r="D42" s="27"/>
      <c r="E42" s="30"/>
      <c r="F42" s="8"/>
      <c r="G42" s="8"/>
      <c r="H42" s="8"/>
      <c r="I42" s="9"/>
      <c r="J42" s="13"/>
      <c r="K42" s="13"/>
      <c r="L42" s="13"/>
      <c r="M42" s="13"/>
      <c r="N42" s="72"/>
      <c r="W42" s="6"/>
    </row>
    <row r="43" ht="12.75" customHeight="1">
      <c r="A43" s="46" t="s">
        <v>34</v>
      </c>
      <c r="B43" s="7" t="s">
        <v>35</v>
      </c>
      <c r="C43" s="8"/>
      <c r="D43" s="9"/>
      <c r="E43" s="28"/>
      <c r="F43" s="6"/>
      <c r="G43" s="6"/>
      <c r="H43" s="6"/>
      <c r="I43" s="6"/>
      <c r="J43" s="6"/>
      <c r="K43" s="6"/>
      <c r="L43" s="6"/>
      <c r="M43" s="6"/>
      <c r="N43" s="74"/>
      <c r="W43" s="6"/>
    </row>
    <row r="44" ht="12.75" customHeight="1">
      <c r="A44" s="47" t="s">
        <v>36</v>
      </c>
      <c r="B44" s="50"/>
      <c r="C44" s="50"/>
      <c r="D44" s="20"/>
      <c r="E44" s="30"/>
      <c r="F44" s="13"/>
      <c r="G44" s="13"/>
      <c r="H44" s="13"/>
      <c r="I44" s="13"/>
      <c r="J44" s="13"/>
      <c r="K44" s="13"/>
      <c r="L44" s="13"/>
      <c r="M44" s="13"/>
      <c r="N44" s="72"/>
      <c r="W44" s="6"/>
    </row>
    <row r="45" ht="12.75" customHeight="1">
      <c r="A45" s="33" t="s">
        <v>37</v>
      </c>
      <c r="B45" s="51" t="s">
        <v>17</v>
      </c>
      <c r="C45" s="52" t="s">
        <v>38</v>
      </c>
      <c r="D45" s="9"/>
      <c r="E45" s="71">
        <v>3.0</v>
      </c>
      <c r="F45" s="71">
        <v>6.0</v>
      </c>
      <c r="G45" s="71">
        <v>10.0</v>
      </c>
      <c r="H45" s="71">
        <v>5.0</v>
      </c>
      <c r="I45" s="71">
        <v>6.0</v>
      </c>
      <c r="J45" s="71">
        <v>9.0</v>
      </c>
      <c r="K45" s="71">
        <v>11.0</v>
      </c>
      <c r="L45" s="71">
        <v>10.0</v>
      </c>
      <c r="M45" s="71">
        <v>8.0</v>
      </c>
      <c r="N45" s="71">
        <v>20.0</v>
      </c>
      <c r="O45" s="71">
        <v>14.0</v>
      </c>
      <c r="P45" s="71">
        <v>12.0</v>
      </c>
      <c r="Q45" s="71">
        <v>5.0</v>
      </c>
      <c r="R45" s="71">
        <v>10.0</v>
      </c>
      <c r="S45" s="71">
        <v>1.0</v>
      </c>
      <c r="T45" s="71">
        <v>10.0</v>
      </c>
      <c r="U45" s="71">
        <v>10.0</v>
      </c>
      <c r="V45" s="71">
        <v>8.0</v>
      </c>
      <c r="W45" s="6">
        <f t="shared" ref="W45:W52" si="14">SUM(E45:V45)</f>
        <v>158</v>
      </c>
    </row>
    <row r="46" ht="12.75" customHeight="1">
      <c r="A46" s="33" t="s">
        <v>39</v>
      </c>
      <c r="B46" s="54">
        <v>1.0</v>
      </c>
      <c r="C46" s="55" t="s">
        <v>40</v>
      </c>
      <c r="D46" s="56"/>
      <c r="E46" s="71">
        <v>12.0</v>
      </c>
      <c r="F46" s="71">
        <v>20.0</v>
      </c>
      <c r="G46" s="71">
        <v>15.0</v>
      </c>
      <c r="H46" s="71">
        <v>13.0</v>
      </c>
      <c r="I46" s="71">
        <v>11.0</v>
      </c>
      <c r="J46" s="71">
        <v>4.0</v>
      </c>
      <c r="K46" s="71">
        <v>17.0</v>
      </c>
      <c r="L46" s="71">
        <v>10.0</v>
      </c>
      <c r="M46" s="71">
        <v>19.0</v>
      </c>
      <c r="N46" s="71">
        <v>23.0</v>
      </c>
      <c r="O46" s="71">
        <v>11.0</v>
      </c>
      <c r="P46" s="71">
        <v>15.0</v>
      </c>
      <c r="Q46" s="71">
        <v>7.0</v>
      </c>
      <c r="R46" s="71">
        <v>10.0</v>
      </c>
      <c r="S46" s="71">
        <v>15.0</v>
      </c>
      <c r="T46" s="71">
        <v>12.0</v>
      </c>
      <c r="U46" s="71">
        <v>18.0</v>
      </c>
      <c r="V46" s="71">
        <v>13.0</v>
      </c>
      <c r="W46" s="6">
        <f t="shared" si="14"/>
        <v>245</v>
      </c>
    </row>
    <row r="47" ht="12.75" customHeight="1">
      <c r="A47" s="18"/>
      <c r="B47" s="54">
        <v>2.0</v>
      </c>
      <c r="C47" s="55" t="s">
        <v>41</v>
      </c>
      <c r="D47" s="56"/>
      <c r="E47" s="71">
        <v>1.0</v>
      </c>
      <c r="F47" s="71">
        <v>0.0</v>
      </c>
      <c r="G47" s="71">
        <v>0.0</v>
      </c>
      <c r="H47" s="71">
        <v>5.0</v>
      </c>
      <c r="I47" s="71">
        <v>0.0</v>
      </c>
      <c r="J47" s="71">
        <v>1.0</v>
      </c>
      <c r="K47" s="71">
        <v>1.0</v>
      </c>
      <c r="L47" s="71">
        <v>1.0</v>
      </c>
      <c r="M47" s="71">
        <v>1.0</v>
      </c>
      <c r="N47" s="71">
        <v>1.0</v>
      </c>
      <c r="O47" s="71">
        <v>4.0</v>
      </c>
      <c r="P47" s="71">
        <v>2.0</v>
      </c>
      <c r="Q47" s="71">
        <v>3.0</v>
      </c>
      <c r="R47" s="71">
        <v>1.0</v>
      </c>
      <c r="S47" s="71">
        <v>0.0</v>
      </c>
      <c r="T47" s="71">
        <v>0.0</v>
      </c>
      <c r="U47" s="71">
        <v>0.0</v>
      </c>
      <c r="V47" s="71">
        <v>0.0</v>
      </c>
      <c r="W47" s="6">
        <f t="shared" si="14"/>
        <v>21</v>
      </c>
    </row>
    <row r="48" ht="12.75" customHeight="1">
      <c r="A48" s="18"/>
      <c r="B48" s="54">
        <v>3.0</v>
      </c>
      <c r="C48" s="55" t="s">
        <v>42</v>
      </c>
      <c r="D48" s="56"/>
      <c r="E48" s="71">
        <v>0.0</v>
      </c>
      <c r="F48" s="71">
        <v>0.0</v>
      </c>
      <c r="G48" s="71">
        <v>1.0</v>
      </c>
      <c r="H48" s="71">
        <v>0.0</v>
      </c>
      <c r="I48" s="71">
        <v>0.0</v>
      </c>
      <c r="J48" s="71">
        <v>2.0</v>
      </c>
      <c r="K48" s="71">
        <v>0.0</v>
      </c>
      <c r="L48" s="71">
        <v>3.0</v>
      </c>
      <c r="M48" s="71">
        <v>2.0</v>
      </c>
      <c r="N48" s="71">
        <v>1.0</v>
      </c>
      <c r="O48" s="71">
        <v>1.0</v>
      </c>
      <c r="P48" s="71">
        <v>0.0</v>
      </c>
      <c r="Q48" s="71">
        <v>0.0</v>
      </c>
      <c r="R48" s="71">
        <v>2.0</v>
      </c>
      <c r="S48" s="71">
        <v>2.0</v>
      </c>
      <c r="T48" s="71">
        <v>0.0</v>
      </c>
      <c r="U48" s="71">
        <v>3.0</v>
      </c>
      <c r="V48" s="71">
        <v>0.0</v>
      </c>
      <c r="W48" s="6">
        <f t="shared" si="14"/>
        <v>17</v>
      </c>
    </row>
    <row r="49" ht="12.75" customHeight="1">
      <c r="A49" s="18"/>
      <c r="B49" s="54">
        <v>4.0</v>
      </c>
      <c r="C49" s="55" t="s">
        <v>43</v>
      </c>
      <c r="D49" s="56"/>
      <c r="E49" s="71">
        <v>0.0</v>
      </c>
      <c r="F49" s="71">
        <v>0.0</v>
      </c>
      <c r="G49" s="71">
        <v>0.0</v>
      </c>
      <c r="H49" s="71">
        <v>0.0</v>
      </c>
      <c r="I49" s="71">
        <v>0.0</v>
      </c>
      <c r="J49" s="71">
        <v>1.0</v>
      </c>
      <c r="K49" s="71">
        <v>0.0</v>
      </c>
      <c r="L49" s="71">
        <v>0.0</v>
      </c>
      <c r="M49" s="71">
        <v>0.0</v>
      </c>
      <c r="N49" s="71">
        <v>0.0</v>
      </c>
      <c r="O49" s="71">
        <v>1.0</v>
      </c>
      <c r="P49" s="71">
        <v>0.0</v>
      </c>
      <c r="Q49" s="71">
        <v>0.0</v>
      </c>
      <c r="R49" s="71">
        <v>0.0</v>
      </c>
      <c r="S49" s="71">
        <v>0.0</v>
      </c>
      <c r="T49" s="71">
        <v>1.0</v>
      </c>
      <c r="U49" s="71">
        <v>0.0</v>
      </c>
      <c r="V49" s="71">
        <v>0.0</v>
      </c>
      <c r="W49" s="6">
        <f t="shared" si="14"/>
        <v>3</v>
      </c>
    </row>
    <row r="50" ht="12.75" customHeight="1">
      <c r="A50" s="18"/>
      <c r="B50" s="54">
        <v>5.0</v>
      </c>
      <c r="C50" s="55" t="s">
        <v>44</v>
      </c>
      <c r="D50" s="56"/>
      <c r="E50" s="71">
        <v>0.0</v>
      </c>
      <c r="F50" s="71">
        <v>0.0</v>
      </c>
      <c r="G50" s="71">
        <v>0.0</v>
      </c>
      <c r="H50" s="71">
        <v>1.0</v>
      </c>
      <c r="I50" s="71">
        <v>0.0</v>
      </c>
      <c r="J50" s="71">
        <v>0.0</v>
      </c>
      <c r="K50" s="71">
        <v>0.0</v>
      </c>
      <c r="L50" s="71">
        <v>0.0</v>
      </c>
      <c r="M50" s="71">
        <v>0.0</v>
      </c>
      <c r="N50" s="71">
        <v>0.0</v>
      </c>
      <c r="O50" s="71">
        <v>0.0</v>
      </c>
      <c r="P50" s="71">
        <v>0.0</v>
      </c>
      <c r="Q50" s="71">
        <v>0.0</v>
      </c>
      <c r="R50" s="71">
        <v>1.0</v>
      </c>
      <c r="S50" s="71">
        <v>0.0</v>
      </c>
      <c r="T50" s="71">
        <v>0.0</v>
      </c>
      <c r="U50" s="71">
        <v>0.0</v>
      </c>
      <c r="V50" s="71">
        <v>0.0</v>
      </c>
      <c r="W50" s="6">
        <f t="shared" si="14"/>
        <v>2</v>
      </c>
    </row>
    <row r="51" ht="12.75" customHeight="1">
      <c r="A51" s="18"/>
      <c r="B51" s="54">
        <v>6.0</v>
      </c>
      <c r="C51" s="55" t="s">
        <v>45</v>
      </c>
      <c r="D51" s="56"/>
      <c r="E51" s="71">
        <v>0.0</v>
      </c>
      <c r="F51" s="71">
        <v>1.0</v>
      </c>
      <c r="G51" s="71">
        <v>1.0</v>
      </c>
      <c r="H51" s="71">
        <v>0.0</v>
      </c>
      <c r="I51" s="71">
        <v>0.0</v>
      </c>
      <c r="J51" s="71">
        <v>0.0</v>
      </c>
      <c r="K51" s="71">
        <v>0.0</v>
      </c>
      <c r="L51" s="71">
        <v>0.0</v>
      </c>
      <c r="M51" s="71">
        <v>0.0</v>
      </c>
      <c r="N51" s="71">
        <v>0.0</v>
      </c>
      <c r="O51" s="71">
        <v>0.0</v>
      </c>
      <c r="P51" s="71">
        <v>0.0</v>
      </c>
      <c r="Q51" s="71">
        <v>0.0</v>
      </c>
      <c r="R51" s="71">
        <v>0.0</v>
      </c>
      <c r="S51" s="71">
        <v>0.0</v>
      </c>
      <c r="T51" s="71">
        <v>0.0</v>
      </c>
      <c r="U51" s="71">
        <v>0.0</v>
      </c>
      <c r="V51" s="71">
        <v>0.0</v>
      </c>
      <c r="W51" s="6">
        <f t="shared" si="14"/>
        <v>2</v>
      </c>
    </row>
    <row r="52" ht="12.75" customHeight="1">
      <c r="A52" s="13" t="s">
        <v>15</v>
      </c>
      <c r="B52" s="51" t="s">
        <v>46</v>
      </c>
      <c r="C52" s="8"/>
      <c r="D52" s="9"/>
      <c r="E52" s="57">
        <f t="shared" ref="E52:V52" si="15">SUM(E45:E51)</f>
        <v>16</v>
      </c>
      <c r="F52" s="57">
        <f t="shared" si="15"/>
        <v>27</v>
      </c>
      <c r="G52" s="57">
        <f t="shared" si="15"/>
        <v>27</v>
      </c>
      <c r="H52" s="57">
        <f t="shared" si="15"/>
        <v>24</v>
      </c>
      <c r="I52" s="57">
        <f t="shared" si="15"/>
        <v>17</v>
      </c>
      <c r="J52" s="57">
        <f t="shared" si="15"/>
        <v>17</v>
      </c>
      <c r="K52" s="57">
        <f t="shared" si="15"/>
        <v>29</v>
      </c>
      <c r="L52" s="57">
        <f t="shared" si="15"/>
        <v>24</v>
      </c>
      <c r="M52" s="57">
        <f t="shared" si="15"/>
        <v>30</v>
      </c>
      <c r="N52" s="57">
        <f t="shared" si="15"/>
        <v>45</v>
      </c>
      <c r="O52" s="57">
        <f t="shared" si="15"/>
        <v>31</v>
      </c>
      <c r="P52" s="57">
        <f t="shared" si="15"/>
        <v>29</v>
      </c>
      <c r="Q52" s="57">
        <f t="shared" si="15"/>
        <v>15</v>
      </c>
      <c r="R52" s="57">
        <f t="shared" si="15"/>
        <v>24</v>
      </c>
      <c r="S52" s="57">
        <f t="shared" si="15"/>
        <v>18</v>
      </c>
      <c r="T52" s="57">
        <f t="shared" si="15"/>
        <v>23</v>
      </c>
      <c r="U52" s="57">
        <f t="shared" si="15"/>
        <v>31</v>
      </c>
      <c r="V52" s="57">
        <f t="shared" si="15"/>
        <v>21</v>
      </c>
      <c r="W52" s="6">
        <f t="shared" si="14"/>
        <v>448</v>
      </c>
    </row>
    <row r="53" ht="12.75" customHeight="1">
      <c r="A53" s="68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"/>
    </row>
    <row r="54" ht="12.75" customHeight="1">
      <c r="A54" s="33" t="s">
        <v>37</v>
      </c>
      <c r="B54" s="51" t="s">
        <v>19</v>
      </c>
      <c r="C54" s="52" t="s">
        <v>47</v>
      </c>
      <c r="D54" s="9"/>
      <c r="E54" s="71">
        <v>5.0</v>
      </c>
      <c r="F54" s="71">
        <v>10.0</v>
      </c>
      <c r="G54" s="71">
        <v>10.0</v>
      </c>
      <c r="H54" s="71">
        <v>18.0</v>
      </c>
      <c r="I54" s="71">
        <v>12.0</v>
      </c>
      <c r="J54" s="71">
        <v>10.0</v>
      </c>
      <c r="K54" s="71">
        <v>7.0</v>
      </c>
      <c r="L54" s="71">
        <v>9.0</v>
      </c>
      <c r="M54" s="76">
        <v>7.0</v>
      </c>
      <c r="N54" s="71">
        <v>7.0</v>
      </c>
      <c r="O54" s="71">
        <v>10.0</v>
      </c>
      <c r="P54" s="71">
        <v>8.0</v>
      </c>
      <c r="Q54" s="71">
        <v>17.0</v>
      </c>
      <c r="R54" s="76">
        <v>11.0</v>
      </c>
      <c r="S54" s="76">
        <v>4.0</v>
      </c>
      <c r="T54" s="71">
        <v>6.0</v>
      </c>
      <c r="U54" s="71">
        <v>14.0</v>
      </c>
      <c r="V54" s="71">
        <v>23.0</v>
      </c>
      <c r="W54" s="6">
        <f t="shared" ref="W54:W61" si="16">SUM(E54:V54)</f>
        <v>188</v>
      </c>
    </row>
    <row r="55" ht="12.75" customHeight="1">
      <c r="A55" s="33" t="s">
        <v>39</v>
      </c>
      <c r="B55" s="54">
        <v>1.0</v>
      </c>
      <c r="C55" s="55" t="s">
        <v>48</v>
      </c>
      <c r="D55" s="56"/>
      <c r="E55" s="71">
        <v>5.0</v>
      </c>
      <c r="F55" s="71">
        <v>6.0</v>
      </c>
      <c r="G55" s="71">
        <v>11.0</v>
      </c>
      <c r="H55" s="71">
        <v>1.0</v>
      </c>
      <c r="I55" s="71">
        <v>4.0</v>
      </c>
      <c r="J55" s="71">
        <v>4.0</v>
      </c>
      <c r="K55" s="71">
        <v>3.0</v>
      </c>
      <c r="L55" s="71">
        <v>3.0</v>
      </c>
      <c r="M55" s="76">
        <v>4.0</v>
      </c>
      <c r="N55" s="71">
        <v>12.0</v>
      </c>
      <c r="O55" s="71">
        <v>16.0</v>
      </c>
      <c r="P55" s="71">
        <v>36.0</v>
      </c>
      <c r="Q55" s="71">
        <v>29.0</v>
      </c>
      <c r="R55" s="76">
        <v>33.0</v>
      </c>
      <c r="S55" s="76">
        <v>7.0</v>
      </c>
      <c r="T55" s="71">
        <v>8.0</v>
      </c>
      <c r="U55" s="71">
        <v>13.0</v>
      </c>
      <c r="V55" s="71">
        <v>4.0</v>
      </c>
      <c r="W55" s="6">
        <f t="shared" si="16"/>
        <v>199</v>
      </c>
    </row>
    <row r="56" ht="12.75" customHeight="1">
      <c r="A56" s="18"/>
      <c r="B56" s="54">
        <v>2.0</v>
      </c>
      <c r="C56" s="55" t="s">
        <v>49</v>
      </c>
      <c r="D56" s="56"/>
      <c r="E56" s="71">
        <v>1.0</v>
      </c>
      <c r="F56" s="71">
        <v>0.0</v>
      </c>
      <c r="G56" s="71">
        <v>3.0</v>
      </c>
      <c r="H56" s="71">
        <v>5.0</v>
      </c>
      <c r="I56" s="71">
        <v>6.0</v>
      </c>
      <c r="J56" s="71">
        <v>2.0</v>
      </c>
      <c r="K56" s="71">
        <v>5.0</v>
      </c>
      <c r="L56" s="71">
        <v>1.0</v>
      </c>
      <c r="M56" s="76">
        <v>2.0</v>
      </c>
      <c r="N56" s="71">
        <v>7.0</v>
      </c>
      <c r="O56" s="71">
        <v>1.0</v>
      </c>
      <c r="P56" s="71">
        <v>5.0</v>
      </c>
      <c r="Q56" s="71">
        <v>4.0</v>
      </c>
      <c r="R56" s="76">
        <v>6.0</v>
      </c>
      <c r="S56" s="76">
        <v>3.0</v>
      </c>
      <c r="T56" s="71">
        <v>0.0</v>
      </c>
      <c r="U56" s="71">
        <v>5.0</v>
      </c>
      <c r="V56" s="71">
        <v>0.0</v>
      </c>
      <c r="W56" s="6">
        <f t="shared" si="16"/>
        <v>56</v>
      </c>
    </row>
    <row r="57" ht="12.75" customHeight="1">
      <c r="A57" s="18"/>
      <c r="B57" s="54">
        <v>3.0</v>
      </c>
      <c r="C57" s="55" t="s">
        <v>50</v>
      </c>
      <c r="D57" s="56"/>
      <c r="E57" s="71">
        <v>0.0</v>
      </c>
      <c r="F57" s="71">
        <v>0.0</v>
      </c>
      <c r="G57" s="71">
        <v>1.0</v>
      </c>
      <c r="H57" s="71">
        <v>2.0</v>
      </c>
      <c r="I57" s="71">
        <v>0.0</v>
      </c>
      <c r="J57" s="71">
        <v>1.0</v>
      </c>
      <c r="K57" s="71">
        <v>0.0</v>
      </c>
      <c r="L57" s="71">
        <v>0.0</v>
      </c>
      <c r="M57" s="76">
        <v>0.0</v>
      </c>
      <c r="N57" s="71">
        <v>1.0</v>
      </c>
      <c r="O57" s="71">
        <v>1.0</v>
      </c>
      <c r="P57" s="71">
        <v>1.0</v>
      </c>
      <c r="Q57" s="71">
        <v>2.0</v>
      </c>
      <c r="R57" s="76">
        <v>0.0</v>
      </c>
      <c r="S57" s="76">
        <v>0.0</v>
      </c>
      <c r="T57" s="71">
        <v>1.0</v>
      </c>
      <c r="U57" s="71">
        <v>0.0</v>
      </c>
      <c r="V57" s="71">
        <v>2.0</v>
      </c>
      <c r="W57" s="6">
        <f t="shared" si="16"/>
        <v>12</v>
      </c>
    </row>
    <row r="58" ht="12.75" customHeight="1">
      <c r="A58" s="18"/>
      <c r="B58" s="54">
        <v>4.0</v>
      </c>
      <c r="C58" s="55" t="s">
        <v>51</v>
      </c>
      <c r="D58" s="56"/>
      <c r="E58" s="71">
        <v>0.0</v>
      </c>
      <c r="F58" s="71">
        <v>0.0</v>
      </c>
      <c r="G58" s="71">
        <v>1.0</v>
      </c>
      <c r="H58" s="71">
        <v>0.0</v>
      </c>
      <c r="I58" s="71">
        <v>0.0</v>
      </c>
      <c r="J58" s="71">
        <v>0.0</v>
      </c>
      <c r="K58" s="71">
        <v>0.0</v>
      </c>
      <c r="L58" s="71">
        <v>0.0</v>
      </c>
      <c r="M58" s="76">
        <v>1.0</v>
      </c>
      <c r="N58" s="71">
        <v>0.0</v>
      </c>
      <c r="O58" s="71">
        <v>2.0</v>
      </c>
      <c r="P58" s="71">
        <v>0.0</v>
      </c>
      <c r="Q58" s="71">
        <v>1.0</v>
      </c>
      <c r="R58" s="76">
        <v>1.0</v>
      </c>
      <c r="S58" s="76">
        <v>0.0</v>
      </c>
      <c r="T58" s="71">
        <v>0.0</v>
      </c>
      <c r="U58" s="71">
        <v>1.0</v>
      </c>
      <c r="V58" s="71">
        <v>0.0</v>
      </c>
      <c r="W58" s="6">
        <f t="shared" si="16"/>
        <v>7</v>
      </c>
    </row>
    <row r="59" ht="12.75" customHeight="1">
      <c r="A59" s="18"/>
      <c r="B59" s="54">
        <v>5.0</v>
      </c>
      <c r="C59" s="55" t="s">
        <v>52</v>
      </c>
      <c r="D59" s="56"/>
      <c r="E59" s="71">
        <v>0.0</v>
      </c>
      <c r="F59" s="71">
        <v>0.0</v>
      </c>
      <c r="G59" s="71">
        <v>0.0</v>
      </c>
      <c r="H59" s="71">
        <v>0.0</v>
      </c>
      <c r="I59" s="71">
        <v>0.0</v>
      </c>
      <c r="J59" s="71">
        <v>0.0</v>
      </c>
      <c r="K59" s="71">
        <v>1.0</v>
      </c>
      <c r="L59" s="71">
        <v>0.0</v>
      </c>
      <c r="M59" s="76">
        <v>0.0</v>
      </c>
      <c r="N59" s="71">
        <v>0.0</v>
      </c>
      <c r="O59" s="71">
        <v>0.0</v>
      </c>
      <c r="P59" s="71">
        <v>1.0</v>
      </c>
      <c r="Q59" s="71">
        <v>0.0</v>
      </c>
      <c r="R59" s="76">
        <v>0.0</v>
      </c>
      <c r="S59" s="76">
        <v>0.0</v>
      </c>
      <c r="T59" s="71">
        <v>0.0</v>
      </c>
      <c r="U59" s="71">
        <v>0.0</v>
      </c>
      <c r="V59" s="71">
        <v>0.0</v>
      </c>
      <c r="W59" s="6">
        <f t="shared" si="16"/>
        <v>2</v>
      </c>
    </row>
    <row r="60" ht="12.75" customHeight="1">
      <c r="A60" s="18"/>
      <c r="B60" s="54">
        <v>6.0</v>
      </c>
      <c r="C60" s="55" t="s">
        <v>53</v>
      </c>
      <c r="D60" s="56"/>
      <c r="E60" s="71">
        <v>0.0</v>
      </c>
      <c r="F60" s="71">
        <v>0.0</v>
      </c>
      <c r="G60" s="71">
        <v>2.0</v>
      </c>
      <c r="H60" s="71">
        <v>0.0</v>
      </c>
      <c r="I60" s="71">
        <v>0.0</v>
      </c>
      <c r="J60" s="71">
        <v>0.0</v>
      </c>
      <c r="K60" s="71">
        <v>0.0</v>
      </c>
      <c r="L60" s="71">
        <v>0.0</v>
      </c>
      <c r="M60" s="76">
        <v>0.0</v>
      </c>
      <c r="N60" s="71">
        <v>0.0</v>
      </c>
      <c r="O60" s="71">
        <v>0.0</v>
      </c>
      <c r="P60" s="71">
        <v>1.0</v>
      </c>
      <c r="Q60" s="71">
        <v>0.0</v>
      </c>
      <c r="R60" s="76">
        <v>0.0</v>
      </c>
      <c r="S60" s="76">
        <v>0.0</v>
      </c>
      <c r="T60" s="71">
        <v>0.0</v>
      </c>
      <c r="U60" s="71">
        <v>0.0</v>
      </c>
      <c r="V60" s="71">
        <v>0.0</v>
      </c>
      <c r="W60" s="6">
        <f t="shared" si="16"/>
        <v>3</v>
      </c>
    </row>
    <row r="61" ht="12.75" customHeight="1">
      <c r="A61" s="13" t="s">
        <v>15</v>
      </c>
      <c r="B61" s="51" t="s">
        <v>46</v>
      </c>
      <c r="C61" s="8"/>
      <c r="D61" s="9"/>
      <c r="E61" s="57">
        <f t="shared" ref="E61:V61" si="17">SUM(E54:E60)</f>
        <v>11</v>
      </c>
      <c r="F61" s="57">
        <f t="shared" si="17"/>
        <v>16</v>
      </c>
      <c r="G61" s="57">
        <f t="shared" si="17"/>
        <v>28</v>
      </c>
      <c r="H61" s="57">
        <f t="shared" si="17"/>
        <v>26</v>
      </c>
      <c r="I61" s="57">
        <f t="shared" si="17"/>
        <v>22</v>
      </c>
      <c r="J61" s="57">
        <f t="shared" si="17"/>
        <v>17</v>
      </c>
      <c r="K61" s="57">
        <f t="shared" si="17"/>
        <v>16</v>
      </c>
      <c r="L61" s="57">
        <f t="shared" si="17"/>
        <v>13</v>
      </c>
      <c r="M61" s="57">
        <f t="shared" si="17"/>
        <v>14</v>
      </c>
      <c r="N61" s="57">
        <f t="shared" si="17"/>
        <v>27</v>
      </c>
      <c r="O61" s="57">
        <f t="shared" si="17"/>
        <v>30</v>
      </c>
      <c r="P61" s="57">
        <f t="shared" si="17"/>
        <v>52</v>
      </c>
      <c r="Q61" s="57">
        <f t="shared" si="17"/>
        <v>53</v>
      </c>
      <c r="R61" s="57">
        <f t="shared" si="17"/>
        <v>51</v>
      </c>
      <c r="S61" s="57">
        <f t="shared" si="17"/>
        <v>14</v>
      </c>
      <c r="T61" s="57">
        <f t="shared" si="17"/>
        <v>15</v>
      </c>
      <c r="U61" s="57">
        <f t="shared" si="17"/>
        <v>33</v>
      </c>
      <c r="V61" s="57">
        <f t="shared" si="17"/>
        <v>29</v>
      </c>
      <c r="W61" s="6">
        <f t="shared" si="16"/>
        <v>467</v>
      </c>
    </row>
    <row r="62" ht="12.75" customHeight="1">
      <c r="A62" s="68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"/>
    </row>
    <row r="63" ht="12.75" customHeight="1">
      <c r="A63" s="33" t="s">
        <v>37</v>
      </c>
      <c r="B63" s="51" t="s">
        <v>21</v>
      </c>
      <c r="C63" s="52" t="s">
        <v>54</v>
      </c>
      <c r="D63" s="9"/>
      <c r="E63" s="71">
        <v>20.0</v>
      </c>
      <c r="F63" s="71">
        <v>8.0</v>
      </c>
      <c r="G63" s="71">
        <v>4.0</v>
      </c>
      <c r="H63" s="71">
        <v>9.0</v>
      </c>
      <c r="I63" s="71">
        <v>8.0</v>
      </c>
      <c r="J63" s="71">
        <v>13.0</v>
      </c>
      <c r="K63" s="71">
        <v>4.0</v>
      </c>
      <c r="L63" s="71">
        <v>7.0</v>
      </c>
      <c r="M63" s="71">
        <v>2.0</v>
      </c>
      <c r="N63" s="71">
        <v>11.0</v>
      </c>
      <c r="O63" s="71">
        <v>6.0</v>
      </c>
      <c r="P63" s="71">
        <v>3.0</v>
      </c>
      <c r="Q63" s="71">
        <v>7.0</v>
      </c>
      <c r="R63" s="71">
        <v>8.0</v>
      </c>
      <c r="S63" s="71">
        <v>4.0</v>
      </c>
      <c r="T63" s="71">
        <v>6.0</v>
      </c>
      <c r="U63" s="71">
        <v>12.0</v>
      </c>
      <c r="V63" s="71">
        <v>6.0</v>
      </c>
      <c r="W63" s="6">
        <f t="shared" ref="W63:W70" si="18">SUM(E63:V63)</f>
        <v>138</v>
      </c>
    </row>
    <row r="64" ht="12.75" customHeight="1">
      <c r="A64" s="33" t="s">
        <v>39</v>
      </c>
      <c r="B64" s="54">
        <v>1.0</v>
      </c>
      <c r="C64" s="55" t="s">
        <v>55</v>
      </c>
      <c r="D64" s="56"/>
      <c r="E64" s="71">
        <v>7.0</v>
      </c>
      <c r="F64" s="71">
        <v>4.0</v>
      </c>
      <c r="G64" s="71">
        <v>3.0</v>
      </c>
      <c r="H64" s="71">
        <v>2.0</v>
      </c>
      <c r="I64" s="71">
        <v>3.0</v>
      </c>
      <c r="J64" s="71">
        <v>5.0</v>
      </c>
      <c r="K64" s="71">
        <v>5.0</v>
      </c>
      <c r="L64" s="71">
        <v>1.0</v>
      </c>
      <c r="M64" s="71">
        <v>2.0</v>
      </c>
      <c r="N64" s="71">
        <v>3.0</v>
      </c>
      <c r="O64" s="71">
        <v>4.0</v>
      </c>
      <c r="P64" s="71">
        <v>1.0</v>
      </c>
      <c r="Q64" s="71">
        <v>2.0</v>
      </c>
      <c r="R64" s="71">
        <v>3.0</v>
      </c>
      <c r="S64" s="71">
        <v>2.0</v>
      </c>
      <c r="T64" s="71">
        <v>2.0</v>
      </c>
      <c r="U64" s="71">
        <v>4.0</v>
      </c>
      <c r="V64" s="71">
        <v>8.0</v>
      </c>
      <c r="W64" s="6">
        <f t="shared" si="18"/>
        <v>61</v>
      </c>
    </row>
    <row r="65" ht="12.75" customHeight="1">
      <c r="A65" s="18"/>
      <c r="B65" s="54">
        <v>2.0</v>
      </c>
      <c r="C65" s="55" t="s">
        <v>56</v>
      </c>
      <c r="D65" s="56"/>
      <c r="E65" s="71">
        <v>0.0</v>
      </c>
      <c r="F65" s="71">
        <v>0.0</v>
      </c>
      <c r="G65" s="71">
        <v>0.0</v>
      </c>
      <c r="H65" s="71">
        <v>0.0</v>
      </c>
      <c r="I65" s="71">
        <v>1.0</v>
      </c>
      <c r="J65" s="71">
        <v>2.0</v>
      </c>
      <c r="K65" s="71">
        <v>1.0</v>
      </c>
      <c r="L65" s="71">
        <v>1.0</v>
      </c>
      <c r="M65" s="71">
        <v>2.0</v>
      </c>
      <c r="N65" s="71">
        <v>3.0</v>
      </c>
      <c r="O65" s="71">
        <v>1.0</v>
      </c>
      <c r="P65" s="71">
        <v>2.0</v>
      </c>
      <c r="Q65" s="71">
        <v>3.0</v>
      </c>
      <c r="R65" s="71">
        <v>2.0</v>
      </c>
      <c r="S65" s="71">
        <v>2.0</v>
      </c>
      <c r="T65" s="71">
        <v>0.0</v>
      </c>
      <c r="U65" s="71">
        <v>2.0</v>
      </c>
      <c r="V65" s="71">
        <v>3.0</v>
      </c>
      <c r="W65" s="6">
        <f t="shared" si="18"/>
        <v>25</v>
      </c>
    </row>
    <row r="66" ht="12.75" customHeight="1">
      <c r="A66" s="18"/>
      <c r="B66" s="54">
        <v>3.0</v>
      </c>
      <c r="C66" s="55" t="s">
        <v>57</v>
      </c>
      <c r="D66" s="56"/>
      <c r="E66" s="71">
        <v>3.0</v>
      </c>
      <c r="F66" s="71">
        <v>1.0</v>
      </c>
      <c r="G66" s="71">
        <v>0.0</v>
      </c>
      <c r="H66" s="71">
        <v>0.0</v>
      </c>
      <c r="I66" s="71">
        <v>2.0</v>
      </c>
      <c r="J66" s="71">
        <v>1.0</v>
      </c>
      <c r="K66" s="71">
        <v>2.0</v>
      </c>
      <c r="L66" s="71">
        <v>0.0</v>
      </c>
      <c r="M66" s="71">
        <v>1.0</v>
      </c>
      <c r="N66" s="71">
        <v>1.0</v>
      </c>
      <c r="O66" s="71">
        <v>3.0</v>
      </c>
      <c r="P66" s="71">
        <v>3.0</v>
      </c>
      <c r="Q66" s="71">
        <v>1.0</v>
      </c>
      <c r="R66" s="71">
        <v>0.0</v>
      </c>
      <c r="S66" s="71">
        <v>3.0</v>
      </c>
      <c r="T66" s="71">
        <v>2.0</v>
      </c>
      <c r="U66" s="71">
        <v>1.0</v>
      </c>
      <c r="V66" s="71">
        <v>1.0</v>
      </c>
      <c r="W66" s="6">
        <f t="shared" si="18"/>
        <v>25</v>
      </c>
    </row>
    <row r="67" ht="12.75" customHeight="1">
      <c r="A67" s="18"/>
      <c r="B67" s="54">
        <v>4.0</v>
      </c>
      <c r="C67" s="55" t="s">
        <v>58</v>
      </c>
      <c r="D67" s="56"/>
      <c r="E67" s="71">
        <v>47.0</v>
      </c>
      <c r="F67" s="71">
        <v>7.0</v>
      </c>
      <c r="G67" s="71">
        <v>7.0</v>
      </c>
      <c r="H67" s="71">
        <v>5.0</v>
      </c>
      <c r="I67" s="71">
        <v>4.0</v>
      </c>
      <c r="J67" s="71">
        <v>11.0</v>
      </c>
      <c r="K67" s="71">
        <v>8.0</v>
      </c>
      <c r="L67" s="71">
        <v>16.0</v>
      </c>
      <c r="M67" s="71">
        <v>2.0</v>
      </c>
      <c r="N67" s="71">
        <v>15.0</v>
      </c>
      <c r="O67" s="71">
        <v>4.0</v>
      </c>
      <c r="P67" s="71">
        <v>3.0</v>
      </c>
      <c r="Q67" s="71">
        <v>8.0</v>
      </c>
      <c r="R67" s="71">
        <v>8.0</v>
      </c>
      <c r="S67" s="71">
        <v>9.0</v>
      </c>
      <c r="T67" s="71">
        <v>6.0</v>
      </c>
      <c r="U67" s="71">
        <v>15.0</v>
      </c>
      <c r="V67" s="71">
        <v>4.0</v>
      </c>
      <c r="W67" s="6">
        <f t="shared" si="18"/>
        <v>179</v>
      </c>
    </row>
    <row r="68" ht="12.75" customHeight="1">
      <c r="A68" s="18"/>
      <c r="B68" s="54">
        <v>5.0</v>
      </c>
      <c r="C68" s="55" t="s">
        <v>59</v>
      </c>
      <c r="D68" s="56"/>
      <c r="E68" s="71">
        <v>0.0</v>
      </c>
      <c r="F68" s="71">
        <v>0.0</v>
      </c>
      <c r="G68" s="71">
        <v>4.0</v>
      </c>
      <c r="H68" s="71">
        <v>0.0</v>
      </c>
      <c r="I68" s="71">
        <v>1.0</v>
      </c>
      <c r="J68" s="71">
        <v>0.0</v>
      </c>
      <c r="K68" s="71">
        <v>1.0</v>
      </c>
      <c r="L68" s="71">
        <v>2.0</v>
      </c>
      <c r="M68" s="71">
        <v>0.0</v>
      </c>
      <c r="N68" s="71">
        <v>0.0</v>
      </c>
      <c r="O68" s="71">
        <v>0.0</v>
      </c>
      <c r="P68" s="71">
        <v>1.0</v>
      </c>
      <c r="Q68" s="71">
        <v>0.0</v>
      </c>
      <c r="R68" s="71">
        <v>1.0</v>
      </c>
      <c r="S68" s="71">
        <v>1.0</v>
      </c>
      <c r="T68" s="71">
        <v>0.0</v>
      </c>
      <c r="U68" s="71">
        <v>0.0</v>
      </c>
      <c r="V68" s="71">
        <v>1.0</v>
      </c>
      <c r="W68" s="6">
        <f t="shared" si="18"/>
        <v>12</v>
      </c>
    </row>
    <row r="69" ht="12.75" customHeight="1">
      <c r="A69" s="18"/>
      <c r="B69" s="54">
        <v>6.0</v>
      </c>
      <c r="C69" s="55" t="s">
        <v>60</v>
      </c>
      <c r="D69" s="56"/>
      <c r="E69" s="71">
        <v>0.0</v>
      </c>
      <c r="F69" s="71">
        <v>0.0</v>
      </c>
      <c r="G69" s="71">
        <v>0.0</v>
      </c>
      <c r="H69" s="71">
        <v>2.0</v>
      </c>
      <c r="I69" s="71">
        <v>0.0</v>
      </c>
      <c r="J69" s="71">
        <v>0.0</v>
      </c>
      <c r="K69" s="71">
        <v>0.0</v>
      </c>
      <c r="L69" s="71">
        <v>0.0</v>
      </c>
      <c r="M69" s="71">
        <v>0.0</v>
      </c>
      <c r="N69" s="71">
        <v>1.0</v>
      </c>
      <c r="O69" s="71">
        <v>1.0</v>
      </c>
      <c r="P69" s="71">
        <v>0.0</v>
      </c>
      <c r="Q69" s="71">
        <v>0.0</v>
      </c>
      <c r="R69" s="71">
        <v>0.0</v>
      </c>
      <c r="S69" s="71">
        <v>0.0</v>
      </c>
      <c r="T69" s="71">
        <v>0.0</v>
      </c>
      <c r="U69" s="71">
        <v>1.0</v>
      </c>
      <c r="V69" s="71">
        <v>0.0</v>
      </c>
      <c r="W69" s="6">
        <f t="shared" si="18"/>
        <v>5</v>
      </c>
    </row>
    <row r="70" ht="12.75" customHeight="1">
      <c r="A70" s="13" t="s">
        <v>15</v>
      </c>
      <c r="B70" s="51" t="s">
        <v>46</v>
      </c>
      <c r="C70" s="8"/>
      <c r="D70" s="9"/>
      <c r="E70" s="57">
        <f t="shared" ref="E70:V70" si="19">SUM(E63:E69)</f>
        <v>77</v>
      </c>
      <c r="F70" s="57">
        <f t="shared" si="19"/>
        <v>20</v>
      </c>
      <c r="G70" s="57">
        <f t="shared" si="19"/>
        <v>18</v>
      </c>
      <c r="H70" s="57">
        <f t="shared" si="19"/>
        <v>18</v>
      </c>
      <c r="I70" s="57">
        <f t="shared" si="19"/>
        <v>19</v>
      </c>
      <c r="J70" s="57">
        <f t="shared" si="19"/>
        <v>32</v>
      </c>
      <c r="K70" s="57">
        <f t="shared" si="19"/>
        <v>21</v>
      </c>
      <c r="L70" s="57">
        <f t="shared" si="19"/>
        <v>27</v>
      </c>
      <c r="M70" s="57">
        <f t="shared" si="19"/>
        <v>9</v>
      </c>
      <c r="N70" s="57">
        <f t="shared" si="19"/>
        <v>34</v>
      </c>
      <c r="O70" s="57">
        <f t="shared" si="19"/>
        <v>19</v>
      </c>
      <c r="P70" s="57">
        <f t="shared" si="19"/>
        <v>13</v>
      </c>
      <c r="Q70" s="57">
        <f t="shared" si="19"/>
        <v>21</v>
      </c>
      <c r="R70" s="57">
        <f t="shared" si="19"/>
        <v>22</v>
      </c>
      <c r="S70" s="57">
        <f t="shared" si="19"/>
        <v>21</v>
      </c>
      <c r="T70" s="57">
        <f t="shared" si="19"/>
        <v>16</v>
      </c>
      <c r="U70" s="57">
        <f t="shared" si="19"/>
        <v>35</v>
      </c>
      <c r="V70" s="57">
        <f t="shared" si="19"/>
        <v>23</v>
      </c>
      <c r="W70" s="6">
        <f t="shared" si="18"/>
        <v>445</v>
      </c>
    </row>
    <row r="71" ht="12.75" customHeight="1">
      <c r="A71" s="68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"/>
    </row>
    <row r="72" ht="12.75" customHeight="1">
      <c r="A72" s="33" t="s">
        <v>37</v>
      </c>
      <c r="B72" s="51" t="s">
        <v>23</v>
      </c>
      <c r="C72" s="52" t="s">
        <v>61</v>
      </c>
      <c r="D72" s="9"/>
      <c r="E72" s="71">
        <v>2.0</v>
      </c>
      <c r="F72" s="71">
        <v>2.0</v>
      </c>
      <c r="G72" s="71">
        <v>9.0</v>
      </c>
      <c r="H72" s="71">
        <v>13.0</v>
      </c>
      <c r="I72" s="71">
        <v>13.0</v>
      </c>
      <c r="J72" s="71">
        <v>13.0</v>
      </c>
      <c r="K72" s="71">
        <v>9.0</v>
      </c>
      <c r="L72" s="71">
        <v>19.0</v>
      </c>
      <c r="M72" s="71">
        <v>8.0</v>
      </c>
      <c r="N72" s="71">
        <v>10.0</v>
      </c>
      <c r="O72" s="71">
        <v>6.0</v>
      </c>
      <c r="P72" s="71">
        <v>3.0</v>
      </c>
      <c r="Q72" s="71">
        <v>6.0</v>
      </c>
      <c r="R72" s="71">
        <v>8.0</v>
      </c>
      <c r="S72" s="71">
        <v>7.0</v>
      </c>
      <c r="T72" s="71">
        <v>12.0</v>
      </c>
      <c r="U72" s="71">
        <v>11.0</v>
      </c>
      <c r="V72" s="71">
        <v>9.0</v>
      </c>
      <c r="W72" s="6">
        <f t="shared" ref="W72:W79" si="20">SUM(E72:V72)</f>
        <v>160</v>
      </c>
    </row>
    <row r="73" ht="12.75" customHeight="1">
      <c r="A73" s="33" t="s">
        <v>39</v>
      </c>
      <c r="B73" s="54">
        <v>1.0</v>
      </c>
      <c r="C73" s="55" t="s">
        <v>62</v>
      </c>
      <c r="D73" s="56"/>
      <c r="E73" s="71">
        <v>5.0</v>
      </c>
      <c r="F73" s="71">
        <v>1.0</v>
      </c>
      <c r="G73" s="71">
        <v>58.0</v>
      </c>
      <c r="H73" s="71">
        <v>32.0</v>
      </c>
      <c r="I73" s="71">
        <v>32.0</v>
      </c>
      <c r="J73" s="71">
        <v>24.0</v>
      </c>
      <c r="K73" s="71">
        <v>21.0</v>
      </c>
      <c r="L73" s="71">
        <v>24.0</v>
      </c>
      <c r="M73" s="71">
        <v>47.0</v>
      </c>
      <c r="N73" s="71">
        <v>29.0</v>
      </c>
      <c r="O73" s="71">
        <v>19.0</v>
      </c>
      <c r="P73" s="71">
        <v>5.0</v>
      </c>
      <c r="Q73" s="71">
        <v>9.0</v>
      </c>
      <c r="R73" s="71">
        <v>4.0</v>
      </c>
      <c r="S73" s="71">
        <v>14.0</v>
      </c>
      <c r="T73" s="71">
        <v>21.0</v>
      </c>
      <c r="U73" s="71">
        <v>15.0</v>
      </c>
      <c r="V73" s="71">
        <v>7.0</v>
      </c>
      <c r="W73" s="6">
        <f t="shared" si="20"/>
        <v>367</v>
      </c>
    </row>
    <row r="74" ht="12.75" customHeight="1">
      <c r="A74" s="18"/>
      <c r="B74" s="54">
        <v>2.0</v>
      </c>
      <c r="C74" s="55" t="s">
        <v>63</v>
      </c>
      <c r="D74" s="56"/>
      <c r="E74" s="71">
        <v>5.0</v>
      </c>
      <c r="F74" s="71">
        <v>4.0</v>
      </c>
      <c r="G74" s="71">
        <v>12.0</v>
      </c>
      <c r="H74" s="71">
        <v>32.0</v>
      </c>
      <c r="I74" s="71">
        <v>32.0</v>
      </c>
      <c r="J74" s="71">
        <v>43.0</v>
      </c>
      <c r="K74" s="71">
        <v>50.0</v>
      </c>
      <c r="L74" s="71">
        <v>18.0</v>
      </c>
      <c r="M74" s="71">
        <v>13.0</v>
      </c>
      <c r="N74" s="71">
        <v>17.0</v>
      </c>
      <c r="O74" s="71">
        <v>20.0</v>
      </c>
      <c r="P74" s="71">
        <v>15.0</v>
      </c>
      <c r="Q74" s="71">
        <v>24.0</v>
      </c>
      <c r="R74" s="71">
        <v>40.0</v>
      </c>
      <c r="S74" s="71">
        <v>22.0</v>
      </c>
      <c r="T74" s="71">
        <v>36.0</v>
      </c>
      <c r="U74" s="71">
        <v>13.0</v>
      </c>
      <c r="V74" s="71">
        <v>30.0</v>
      </c>
      <c r="W74" s="6">
        <f t="shared" si="20"/>
        <v>426</v>
      </c>
    </row>
    <row r="75" ht="12.75" customHeight="1">
      <c r="A75" s="18"/>
      <c r="B75" s="54">
        <v>3.0</v>
      </c>
      <c r="C75" s="55" t="s">
        <v>64</v>
      </c>
      <c r="D75" s="56"/>
      <c r="E75" s="71">
        <v>1.0</v>
      </c>
      <c r="F75" s="71">
        <v>0.0</v>
      </c>
      <c r="G75" s="71">
        <v>0.0</v>
      </c>
      <c r="H75" s="71">
        <v>0.0</v>
      </c>
      <c r="I75" s="71">
        <v>0.0</v>
      </c>
      <c r="J75" s="71">
        <v>1.0</v>
      </c>
      <c r="K75" s="71">
        <v>0.0</v>
      </c>
      <c r="L75" s="71">
        <v>0.0</v>
      </c>
      <c r="M75" s="71">
        <v>0.0</v>
      </c>
      <c r="N75" s="71">
        <v>0.0</v>
      </c>
      <c r="O75" s="71">
        <v>3.0</v>
      </c>
      <c r="P75" s="71">
        <v>1.0</v>
      </c>
      <c r="Q75" s="71">
        <v>1.0</v>
      </c>
      <c r="R75" s="71">
        <v>0.0</v>
      </c>
      <c r="S75" s="71">
        <v>0.0</v>
      </c>
      <c r="T75" s="71">
        <v>1.0</v>
      </c>
      <c r="U75" s="71">
        <v>1.0</v>
      </c>
      <c r="V75" s="71">
        <v>1.0</v>
      </c>
      <c r="W75" s="6">
        <f t="shared" si="20"/>
        <v>10</v>
      </c>
    </row>
    <row r="76" ht="12.75" customHeight="1">
      <c r="A76" s="18"/>
      <c r="B76" s="54">
        <v>4.0</v>
      </c>
      <c r="C76" s="55" t="s">
        <v>65</v>
      </c>
      <c r="D76" s="56"/>
      <c r="E76" s="71">
        <v>3.0</v>
      </c>
      <c r="F76" s="71">
        <v>1.0</v>
      </c>
      <c r="G76" s="71">
        <v>1.0</v>
      </c>
      <c r="H76" s="71">
        <v>0.0</v>
      </c>
      <c r="I76" s="71">
        <v>0.0</v>
      </c>
      <c r="J76" s="71">
        <v>2.0</v>
      </c>
      <c r="K76" s="71">
        <v>1.0</v>
      </c>
      <c r="L76" s="71">
        <v>0.0</v>
      </c>
      <c r="M76" s="71">
        <v>0.0</v>
      </c>
      <c r="N76" s="71">
        <v>0.0</v>
      </c>
      <c r="O76" s="71">
        <v>0.0</v>
      </c>
      <c r="P76" s="71">
        <v>1.0</v>
      </c>
      <c r="Q76" s="71">
        <v>1.0</v>
      </c>
      <c r="R76" s="71">
        <v>0.0</v>
      </c>
      <c r="S76" s="71">
        <v>0.0</v>
      </c>
      <c r="T76" s="71">
        <v>0.0</v>
      </c>
      <c r="U76" s="71">
        <v>0.0</v>
      </c>
      <c r="V76" s="71">
        <v>0.0</v>
      </c>
      <c r="W76" s="6">
        <f t="shared" si="20"/>
        <v>10</v>
      </c>
    </row>
    <row r="77" ht="12.75" customHeight="1">
      <c r="A77" s="18"/>
      <c r="B77" s="54">
        <v>5.0</v>
      </c>
      <c r="C77" s="55" t="s">
        <v>66</v>
      </c>
      <c r="D77" s="56"/>
      <c r="E77" s="71">
        <v>0.0</v>
      </c>
      <c r="F77" s="71">
        <v>0.0</v>
      </c>
      <c r="G77" s="71">
        <v>0.0</v>
      </c>
      <c r="H77" s="71">
        <v>0.0</v>
      </c>
      <c r="I77" s="71">
        <v>0.0</v>
      </c>
      <c r="J77" s="71">
        <v>0.0</v>
      </c>
      <c r="K77" s="71">
        <v>0.0</v>
      </c>
      <c r="L77" s="71">
        <v>0.0</v>
      </c>
      <c r="M77" s="71">
        <v>0.0</v>
      </c>
      <c r="N77" s="71">
        <v>1.0</v>
      </c>
      <c r="O77" s="71">
        <v>0.0</v>
      </c>
      <c r="P77" s="71">
        <v>0.0</v>
      </c>
      <c r="Q77" s="71">
        <v>0.0</v>
      </c>
      <c r="R77" s="71">
        <v>0.0</v>
      </c>
      <c r="S77" s="71">
        <v>0.0</v>
      </c>
      <c r="T77" s="71">
        <v>0.0</v>
      </c>
      <c r="U77" s="71">
        <v>0.0</v>
      </c>
      <c r="V77" s="71">
        <v>0.0</v>
      </c>
      <c r="W77" s="6">
        <f t="shared" si="20"/>
        <v>1</v>
      </c>
    </row>
    <row r="78" ht="12.75" customHeight="1">
      <c r="A78" s="18"/>
      <c r="B78" s="54">
        <v>6.0</v>
      </c>
      <c r="C78" s="55" t="s">
        <v>67</v>
      </c>
      <c r="D78" s="56"/>
      <c r="E78" s="71">
        <v>0.0</v>
      </c>
      <c r="F78" s="71">
        <v>0.0</v>
      </c>
      <c r="G78" s="71">
        <v>0.0</v>
      </c>
      <c r="H78" s="71">
        <v>0.0</v>
      </c>
      <c r="I78" s="71">
        <v>0.0</v>
      </c>
      <c r="J78" s="71">
        <v>0.0</v>
      </c>
      <c r="K78" s="71">
        <v>0.0</v>
      </c>
      <c r="L78" s="71">
        <v>0.0</v>
      </c>
      <c r="M78" s="71">
        <v>0.0</v>
      </c>
      <c r="N78" s="71">
        <v>0.0</v>
      </c>
      <c r="O78" s="71">
        <v>0.0</v>
      </c>
      <c r="P78" s="71">
        <v>0.0</v>
      </c>
      <c r="Q78" s="71">
        <v>0.0</v>
      </c>
      <c r="R78" s="71">
        <v>0.0</v>
      </c>
      <c r="S78" s="71">
        <v>0.0</v>
      </c>
      <c r="T78" s="71">
        <v>0.0</v>
      </c>
      <c r="U78" s="71">
        <v>1.0</v>
      </c>
      <c r="V78" s="71">
        <v>1.0</v>
      </c>
      <c r="W78" s="6">
        <f t="shared" si="20"/>
        <v>2</v>
      </c>
    </row>
    <row r="79" ht="12.75" customHeight="1">
      <c r="A79" s="13" t="s">
        <v>15</v>
      </c>
      <c r="B79" s="51" t="s">
        <v>46</v>
      </c>
      <c r="C79" s="8"/>
      <c r="D79" s="9"/>
      <c r="E79" s="57">
        <f t="shared" ref="E79:V79" si="21">SUM(E72:E78)</f>
        <v>16</v>
      </c>
      <c r="F79" s="57">
        <f t="shared" si="21"/>
        <v>8</v>
      </c>
      <c r="G79" s="57">
        <f t="shared" si="21"/>
        <v>80</v>
      </c>
      <c r="H79" s="57">
        <f t="shared" si="21"/>
        <v>77</v>
      </c>
      <c r="I79" s="57">
        <f t="shared" si="21"/>
        <v>77</v>
      </c>
      <c r="J79" s="57">
        <f t="shared" si="21"/>
        <v>83</v>
      </c>
      <c r="K79" s="57">
        <f t="shared" si="21"/>
        <v>81</v>
      </c>
      <c r="L79" s="57">
        <f t="shared" si="21"/>
        <v>61</v>
      </c>
      <c r="M79" s="57">
        <f t="shared" si="21"/>
        <v>68</v>
      </c>
      <c r="N79" s="57">
        <f t="shared" si="21"/>
        <v>57</v>
      </c>
      <c r="O79" s="57">
        <f t="shared" si="21"/>
        <v>48</v>
      </c>
      <c r="P79" s="57">
        <f t="shared" si="21"/>
        <v>25</v>
      </c>
      <c r="Q79" s="57">
        <f t="shared" si="21"/>
        <v>41</v>
      </c>
      <c r="R79" s="57">
        <f t="shared" si="21"/>
        <v>52</v>
      </c>
      <c r="S79" s="57">
        <f t="shared" si="21"/>
        <v>43</v>
      </c>
      <c r="T79" s="57">
        <f t="shared" si="21"/>
        <v>70</v>
      </c>
      <c r="U79" s="57">
        <f t="shared" si="21"/>
        <v>41</v>
      </c>
      <c r="V79" s="57">
        <f t="shared" si="21"/>
        <v>48</v>
      </c>
      <c r="W79" s="6">
        <f t="shared" si="20"/>
        <v>976</v>
      </c>
    </row>
    <row r="80" ht="12.75" customHeight="1">
      <c r="A80" s="68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"/>
    </row>
    <row r="81" ht="12.75" customHeight="1">
      <c r="A81" s="33" t="s">
        <v>37</v>
      </c>
      <c r="B81" s="51" t="s">
        <v>68</v>
      </c>
      <c r="C81" s="52" t="s">
        <v>69</v>
      </c>
      <c r="D81" s="9"/>
      <c r="E81" s="71">
        <v>0.0</v>
      </c>
      <c r="F81" s="71">
        <v>1.0</v>
      </c>
      <c r="G81" s="71">
        <v>0.0</v>
      </c>
      <c r="H81" s="71">
        <v>2.0</v>
      </c>
      <c r="I81" s="71">
        <v>1.0</v>
      </c>
      <c r="J81" s="71">
        <v>1.0</v>
      </c>
      <c r="K81" s="71">
        <v>1.0</v>
      </c>
      <c r="L81" s="71">
        <v>0.0</v>
      </c>
      <c r="M81" s="71">
        <v>0.0</v>
      </c>
      <c r="N81" s="71">
        <v>0.0</v>
      </c>
      <c r="O81" s="71">
        <v>1.0</v>
      </c>
      <c r="P81" s="71">
        <v>1.0</v>
      </c>
      <c r="Q81" s="71">
        <v>0.0</v>
      </c>
      <c r="R81" s="71">
        <v>3.0</v>
      </c>
      <c r="S81" s="71">
        <v>2.0</v>
      </c>
      <c r="T81" s="71">
        <v>4.0</v>
      </c>
      <c r="U81" s="71">
        <v>5.0</v>
      </c>
      <c r="V81" s="71">
        <v>6.0</v>
      </c>
      <c r="W81" s="6">
        <f t="shared" ref="W81:W88" si="22">SUM(E81:V81)</f>
        <v>28</v>
      </c>
    </row>
    <row r="82" ht="12.75" customHeight="1">
      <c r="A82" s="33" t="s">
        <v>39</v>
      </c>
      <c r="B82" s="54">
        <v>1.0</v>
      </c>
      <c r="C82" s="55" t="s">
        <v>70</v>
      </c>
      <c r="D82" s="56"/>
      <c r="E82" s="71">
        <v>0.0</v>
      </c>
      <c r="F82" s="71">
        <v>0.0</v>
      </c>
      <c r="G82" s="71">
        <v>1.0</v>
      </c>
      <c r="H82" s="71">
        <v>0.0</v>
      </c>
      <c r="I82" s="71">
        <v>0.0</v>
      </c>
      <c r="J82" s="71">
        <v>2.0</v>
      </c>
      <c r="K82" s="71">
        <v>9.0</v>
      </c>
      <c r="L82" s="71">
        <v>1.0</v>
      </c>
      <c r="M82" s="71">
        <v>3.0</v>
      </c>
      <c r="N82" s="71">
        <v>2.0</v>
      </c>
      <c r="O82" s="71">
        <v>1.0</v>
      </c>
      <c r="P82" s="71">
        <v>3.0</v>
      </c>
      <c r="Q82" s="71">
        <v>0.0</v>
      </c>
      <c r="R82" s="71">
        <v>5.0</v>
      </c>
      <c r="S82" s="71">
        <v>4.0</v>
      </c>
      <c r="T82" s="71">
        <v>6.0</v>
      </c>
      <c r="U82" s="71">
        <v>10.0</v>
      </c>
      <c r="V82" s="71">
        <v>10.0</v>
      </c>
      <c r="W82" s="6">
        <f t="shared" si="22"/>
        <v>57</v>
      </c>
    </row>
    <row r="83" ht="12.75" customHeight="1">
      <c r="A83" s="18"/>
      <c r="B83" s="54">
        <v>2.0</v>
      </c>
      <c r="C83" s="55" t="s">
        <v>71</v>
      </c>
      <c r="D83" s="56"/>
      <c r="E83" s="71">
        <v>0.0</v>
      </c>
      <c r="F83" s="71">
        <v>0.0</v>
      </c>
      <c r="G83" s="71">
        <v>0.0</v>
      </c>
      <c r="H83" s="71">
        <v>0.0</v>
      </c>
      <c r="I83" s="71">
        <v>0.0</v>
      </c>
      <c r="J83" s="71">
        <v>0.0</v>
      </c>
      <c r="K83" s="71">
        <v>0.0</v>
      </c>
      <c r="L83" s="71">
        <v>0.0</v>
      </c>
      <c r="M83" s="71">
        <v>0.0</v>
      </c>
      <c r="N83" s="71">
        <v>0.0</v>
      </c>
      <c r="O83" s="71">
        <v>0.0</v>
      </c>
      <c r="P83" s="71">
        <v>1.0</v>
      </c>
      <c r="Q83" s="71">
        <v>0.0</v>
      </c>
      <c r="R83" s="71">
        <v>0.0</v>
      </c>
      <c r="S83" s="71">
        <v>0.0</v>
      </c>
      <c r="T83" s="71">
        <v>0.0</v>
      </c>
      <c r="U83" s="71">
        <v>1.0</v>
      </c>
      <c r="V83" s="71">
        <v>1.0</v>
      </c>
      <c r="W83" s="6">
        <f t="shared" si="22"/>
        <v>3</v>
      </c>
    </row>
    <row r="84" ht="12.75" customHeight="1">
      <c r="A84" s="18"/>
      <c r="B84" s="54">
        <v>3.0</v>
      </c>
      <c r="C84" s="55" t="s">
        <v>72</v>
      </c>
      <c r="D84" s="56"/>
      <c r="E84" s="71">
        <v>0.0</v>
      </c>
      <c r="F84" s="71">
        <v>0.0</v>
      </c>
      <c r="G84" s="71">
        <v>0.0</v>
      </c>
      <c r="H84" s="71">
        <v>0.0</v>
      </c>
      <c r="I84" s="71">
        <v>0.0</v>
      </c>
      <c r="J84" s="71">
        <v>0.0</v>
      </c>
      <c r="K84" s="71">
        <v>0.0</v>
      </c>
      <c r="L84" s="71">
        <v>0.0</v>
      </c>
      <c r="M84" s="71">
        <v>0.0</v>
      </c>
      <c r="N84" s="71">
        <v>0.0</v>
      </c>
      <c r="O84" s="71">
        <v>0.0</v>
      </c>
      <c r="P84" s="71">
        <v>0.0</v>
      </c>
      <c r="Q84" s="71">
        <v>0.0</v>
      </c>
      <c r="R84" s="71">
        <v>0.0</v>
      </c>
      <c r="S84" s="71">
        <v>1.0</v>
      </c>
      <c r="T84" s="71">
        <v>0.0</v>
      </c>
      <c r="U84" s="71">
        <v>1.0</v>
      </c>
      <c r="V84" s="71">
        <v>0.0</v>
      </c>
      <c r="W84" s="6">
        <f t="shared" si="22"/>
        <v>2</v>
      </c>
    </row>
    <row r="85" ht="12.75" customHeight="1">
      <c r="A85" s="18"/>
      <c r="B85" s="54">
        <v>4.0</v>
      </c>
      <c r="C85" s="55" t="s">
        <v>73</v>
      </c>
      <c r="D85" s="56"/>
      <c r="E85" s="71">
        <v>0.0</v>
      </c>
      <c r="F85" s="71">
        <v>0.0</v>
      </c>
      <c r="G85" s="71">
        <v>0.0</v>
      </c>
      <c r="H85" s="71">
        <v>0.0</v>
      </c>
      <c r="I85" s="71">
        <v>0.0</v>
      </c>
      <c r="J85" s="71">
        <v>0.0</v>
      </c>
      <c r="K85" s="71">
        <v>0.0</v>
      </c>
      <c r="L85" s="71">
        <v>0.0</v>
      </c>
      <c r="M85" s="71">
        <v>0.0</v>
      </c>
      <c r="N85" s="71">
        <v>0.0</v>
      </c>
      <c r="O85" s="71">
        <v>0.0</v>
      </c>
      <c r="P85" s="71">
        <v>0.0</v>
      </c>
      <c r="Q85" s="71">
        <v>0.0</v>
      </c>
      <c r="R85" s="71">
        <v>0.0</v>
      </c>
      <c r="S85" s="71">
        <v>0.0</v>
      </c>
      <c r="T85" s="71">
        <v>0.0</v>
      </c>
      <c r="U85" s="71">
        <v>0.0</v>
      </c>
      <c r="V85" s="71">
        <v>1.0</v>
      </c>
      <c r="W85" s="6">
        <f t="shared" si="22"/>
        <v>1</v>
      </c>
    </row>
    <row r="86" ht="12.75" customHeight="1">
      <c r="A86" s="18"/>
      <c r="B86" s="54">
        <v>5.0</v>
      </c>
      <c r="C86" s="55" t="s">
        <v>74</v>
      </c>
      <c r="D86" s="56"/>
      <c r="E86" s="71">
        <v>0.0</v>
      </c>
      <c r="F86" s="71">
        <v>0.0</v>
      </c>
      <c r="G86" s="71">
        <v>0.0</v>
      </c>
      <c r="H86" s="71">
        <v>0.0</v>
      </c>
      <c r="I86" s="71">
        <v>0.0</v>
      </c>
      <c r="J86" s="71">
        <v>0.0</v>
      </c>
      <c r="K86" s="71">
        <v>0.0</v>
      </c>
      <c r="L86" s="71">
        <v>0.0</v>
      </c>
      <c r="M86" s="71">
        <v>0.0</v>
      </c>
      <c r="N86" s="71">
        <v>2.0</v>
      </c>
      <c r="O86" s="71">
        <v>0.0</v>
      </c>
      <c r="P86" s="71">
        <v>0.0</v>
      </c>
      <c r="Q86" s="71">
        <v>0.0</v>
      </c>
      <c r="R86" s="71">
        <v>0.0</v>
      </c>
      <c r="S86" s="71">
        <v>0.0</v>
      </c>
      <c r="T86" s="71">
        <v>0.0</v>
      </c>
      <c r="U86" s="71">
        <v>0.0</v>
      </c>
      <c r="V86" s="71">
        <v>0.0</v>
      </c>
      <c r="W86" s="6">
        <f t="shared" si="22"/>
        <v>2</v>
      </c>
    </row>
    <row r="87" ht="12.75" customHeight="1">
      <c r="A87" s="18"/>
      <c r="B87" s="54">
        <v>6.0</v>
      </c>
      <c r="C87" s="55" t="s">
        <v>75</v>
      </c>
      <c r="D87" s="56"/>
      <c r="E87" s="71">
        <v>0.0</v>
      </c>
      <c r="F87" s="71">
        <v>0.0</v>
      </c>
      <c r="G87" s="71">
        <v>0.0</v>
      </c>
      <c r="H87" s="71">
        <v>9.0</v>
      </c>
      <c r="I87" s="71">
        <v>0.0</v>
      </c>
      <c r="J87" s="71">
        <v>1.0</v>
      </c>
      <c r="K87" s="71">
        <v>1.0</v>
      </c>
      <c r="L87" s="71">
        <v>0.0</v>
      </c>
      <c r="M87" s="71">
        <v>0.0</v>
      </c>
      <c r="N87" s="71">
        <v>5.0</v>
      </c>
      <c r="O87" s="71">
        <v>13.0</v>
      </c>
      <c r="P87" s="71">
        <v>5.0</v>
      </c>
      <c r="Q87" s="71">
        <v>7.0</v>
      </c>
      <c r="R87" s="71">
        <v>15.0</v>
      </c>
      <c r="S87" s="71">
        <v>44.0</v>
      </c>
      <c r="T87" s="71">
        <v>3.0</v>
      </c>
      <c r="U87" s="71">
        <v>8.0</v>
      </c>
      <c r="V87" s="71">
        <v>0.0</v>
      </c>
      <c r="W87" s="6">
        <f t="shared" si="22"/>
        <v>111</v>
      </c>
    </row>
    <row r="88" ht="12.75" customHeight="1">
      <c r="A88" s="13" t="s">
        <v>15</v>
      </c>
      <c r="B88" s="51" t="s">
        <v>46</v>
      </c>
      <c r="C88" s="8"/>
      <c r="D88" s="9"/>
      <c r="E88" s="57">
        <f t="shared" ref="E88:V88" si="23">SUM(E81:E87)</f>
        <v>0</v>
      </c>
      <c r="F88" s="57">
        <f t="shared" si="23"/>
        <v>1</v>
      </c>
      <c r="G88" s="57">
        <f t="shared" si="23"/>
        <v>1</v>
      </c>
      <c r="H88" s="57">
        <f t="shared" si="23"/>
        <v>11</v>
      </c>
      <c r="I88" s="57">
        <f t="shared" si="23"/>
        <v>1</v>
      </c>
      <c r="J88" s="57">
        <f t="shared" si="23"/>
        <v>4</v>
      </c>
      <c r="K88" s="57">
        <f t="shared" si="23"/>
        <v>11</v>
      </c>
      <c r="L88" s="57">
        <f t="shared" si="23"/>
        <v>1</v>
      </c>
      <c r="M88" s="57">
        <f t="shared" si="23"/>
        <v>3</v>
      </c>
      <c r="N88" s="57">
        <f t="shared" si="23"/>
        <v>9</v>
      </c>
      <c r="O88" s="57">
        <f t="shared" si="23"/>
        <v>15</v>
      </c>
      <c r="P88" s="57">
        <f t="shared" si="23"/>
        <v>10</v>
      </c>
      <c r="Q88" s="57">
        <f t="shared" si="23"/>
        <v>7</v>
      </c>
      <c r="R88" s="57">
        <f t="shared" si="23"/>
        <v>23</v>
      </c>
      <c r="S88" s="57">
        <f t="shared" si="23"/>
        <v>51</v>
      </c>
      <c r="T88" s="57">
        <f t="shared" si="23"/>
        <v>13</v>
      </c>
      <c r="U88" s="57">
        <f t="shared" si="23"/>
        <v>25</v>
      </c>
      <c r="V88" s="57">
        <f t="shared" si="23"/>
        <v>18</v>
      </c>
      <c r="W88" s="6">
        <f t="shared" si="22"/>
        <v>204</v>
      </c>
    </row>
    <row r="89" ht="12.75" customHeight="1">
      <c r="A89" s="68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"/>
    </row>
    <row r="90" ht="12.75" customHeight="1">
      <c r="A90" s="33" t="s">
        <v>37</v>
      </c>
      <c r="B90" s="51" t="s">
        <v>76</v>
      </c>
      <c r="C90" s="52" t="s">
        <v>77</v>
      </c>
      <c r="D90" s="9"/>
      <c r="E90" s="71">
        <v>0.0</v>
      </c>
      <c r="F90" s="71">
        <v>1.0</v>
      </c>
      <c r="G90" s="71">
        <v>0.0</v>
      </c>
      <c r="H90" s="71">
        <v>0.0</v>
      </c>
      <c r="I90" s="71">
        <v>0.0</v>
      </c>
      <c r="J90" s="71">
        <v>1.0</v>
      </c>
      <c r="K90" s="71">
        <v>1.0</v>
      </c>
      <c r="L90" s="71">
        <v>0.0</v>
      </c>
      <c r="M90" s="71">
        <v>1.0</v>
      </c>
      <c r="N90" s="71">
        <v>2.0</v>
      </c>
      <c r="O90" s="71">
        <v>0.0</v>
      </c>
      <c r="P90" s="71">
        <v>0.0</v>
      </c>
      <c r="Q90" s="71">
        <v>2.0</v>
      </c>
      <c r="R90" s="71">
        <v>0.0</v>
      </c>
      <c r="S90" s="71">
        <v>4.0</v>
      </c>
      <c r="T90" s="71">
        <v>0.0</v>
      </c>
      <c r="U90" s="71">
        <v>2.0</v>
      </c>
      <c r="V90" s="71">
        <v>3.0</v>
      </c>
      <c r="W90" s="6">
        <f t="shared" ref="W90:W92" si="24">SUM(E90:V90)</f>
        <v>17</v>
      </c>
    </row>
    <row r="91" ht="12.75" customHeight="1">
      <c r="A91" s="33" t="s">
        <v>39</v>
      </c>
      <c r="B91" s="54"/>
      <c r="C91" s="55" t="s">
        <v>78</v>
      </c>
      <c r="D91" s="9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6">
        <f t="shared" si="24"/>
        <v>0</v>
      </c>
    </row>
    <row r="92" ht="12.75" customHeight="1">
      <c r="A92" s="13" t="s">
        <v>15</v>
      </c>
      <c r="B92" s="51" t="s">
        <v>46</v>
      </c>
      <c r="C92" s="8"/>
      <c r="D92" s="9"/>
      <c r="E92" s="57">
        <f t="shared" ref="E92:V92" si="25">SUM(E90:E91)</f>
        <v>0</v>
      </c>
      <c r="F92" s="57">
        <f t="shared" si="25"/>
        <v>1</v>
      </c>
      <c r="G92" s="57">
        <f t="shared" si="25"/>
        <v>0</v>
      </c>
      <c r="H92" s="57">
        <f t="shared" si="25"/>
        <v>0</v>
      </c>
      <c r="I92" s="57">
        <f t="shared" si="25"/>
        <v>0</v>
      </c>
      <c r="J92" s="57">
        <f t="shared" si="25"/>
        <v>1</v>
      </c>
      <c r="K92" s="57">
        <f t="shared" si="25"/>
        <v>1</v>
      </c>
      <c r="L92" s="57">
        <f t="shared" si="25"/>
        <v>0</v>
      </c>
      <c r="M92" s="57">
        <f t="shared" si="25"/>
        <v>1</v>
      </c>
      <c r="N92" s="57">
        <f t="shared" si="25"/>
        <v>2</v>
      </c>
      <c r="O92" s="57">
        <f t="shared" si="25"/>
        <v>0</v>
      </c>
      <c r="P92" s="57">
        <f t="shared" si="25"/>
        <v>0</v>
      </c>
      <c r="Q92" s="57">
        <f t="shared" si="25"/>
        <v>2</v>
      </c>
      <c r="R92" s="57">
        <f t="shared" si="25"/>
        <v>0</v>
      </c>
      <c r="S92" s="57">
        <f t="shared" si="25"/>
        <v>4</v>
      </c>
      <c r="T92" s="57">
        <f t="shared" si="25"/>
        <v>0</v>
      </c>
      <c r="U92" s="57">
        <f t="shared" si="25"/>
        <v>2</v>
      </c>
      <c r="V92" s="57">
        <f t="shared" si="25"/>
        <v>3</v>
      </c>
      <c r="W92" s="6">
        <f t="shared" si="24"/>
        <v>17</v>
      </c>
    </row>
    <row r="93" ht="12.75" customHeight="1">
      <c r="A93" s="68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"/>
    </row>
    <row r="94" ht="12.75" customHeight="1">
      <c r="A94" s="33" t="s">
        <v>37</v>
      </c>
      <c r="B94" s="51" t="s">
        <v>79</v>
      </c>
      <c r="C94" s="52" t="s">
        <v>80</v>
      </c>
      <c r="D94" s="9"/>
      <c r="E94" s="71">
        <v>0.0</v>
      </c>
      <c r="F94" s="71">
        <v>1.0</v>
      </c>
      <c r="G94" s="71">
        <v>0.0</v>
      </c>
      <c r="H94" s="71">
        <v>1.0</v>
      </c>
      <c r="I94" s="71">
        <v>1.0</v>
      </c>
      <c r="J94" s="71">
        <v>0.0</v>
      </c>
      <c r="K94" s="71">
        <v>0.0</v>
      </c>
      <c r="L94" s="71">
        <v>1.0</v>
      </c>
      <c r="M94" s="71">
        <v>0.0</v>
      </c>
      <c r="N94" s="71">
        <v>1.0</v>
      </c>
      <c r="O94" s="71">
        <v>0.0</v>
      </c>
      <c r="P94" s="71">
        <v>1.0</v>
      </c>
      <c r="Q94" s="71">
        <v>0.0</v>
      </c>
      <c r="R94" s="71">
        <v>0.0</v>
      </c>
      <c r="S94" s="71">
        <v>1.0</v>
      </c>
      <c r="T94" s="71">
        <v>2.0</v>
      </c>
      <c r="U94" s="71">
        <v>0.0</v>
      </c>
      <c r="V94" s="71">
        <v>1.0</v>
      </c>
      <c r="W94" s="6">
        <f t="shared" ref="W94:W99" si="26">SUM(E94:V94)</f>
        <v>10</v>
      </c>
    </row>
    <row r="95" ht="12.75" customHeight="1">
      <c r="A95" s="33" t="s">
        <v>39</v>
      </c>
      <c r="B95" s="54">
        <v>1.0</v>
      </c>
      <c r="C95" s="55" t="s">
        <v>81</v>
      </c>
      <c r="D95" s="56"/>
      <c r="E95" s="71">
        <v>0.0</v>
      </c>
      <c r="F95" s="71">
        <v>0.0</v>
      </c>
      <c r="G95" s="71">
        <v>0.0</v>
      </c>
      <c r="H95" s="71">
        <v>0.0</v>
      </c>
      <c r="I95" s="71">
        <v>1.0</v>
      </c>
      <c r="J95" s="71">
        <v>0.0</v>
      </c>
      <c r="K95" s="71">
        <v>0.0</v>
      </c>
      <c r="L95" s="71">
        <v>0.0</v>
      </c>
      <c r="M95" s="71">
        <v>0.0</v>
      </c>
      <c r="N95" s="71">
        <v>0.0</v>
      </c>
      <c r="O95" s="71">
        <v>0.0</v>
      </c>
      <c r="P95" s="71">
        <v>0.0</v>
      </c>
      <c r="Q95" s="71">
        <v>0.0</v>
      </c>
      <c r="R95" s="71">
        <v>0.0</v>
      </c>
      <c r="S95" s="71">
        <v>0.0</v>
      </c>
      <c r="T95" s="71">
        <v>1.0</v>
      </c>
      <c r="U95" s="71">
        <v>0.0</v>
      </c>
      <c r="V95" s="71">
        <v>0.0</v>
      </c>
      <c r="W95" s="6">
        <f t="shared" si="26"/>
        <v>2</v>
      </c>
    </row>
    <row r="96" ht="12.75" customHeight="1">
      <c r="A96" s="33"/>
      <c r="B96" s="54">
        <v>2.0</v>
      </c>
      <c r="C96" s="55" t="s">
        <v>82</v>
      </c>
      <c r="D96" s="56"/>
      <c r="E96" s="71">
        <v>0.0</v>
      </c>
      <c r="F96" s="71">
        <v>0.0</v>
      </c>
      <c r="G96" s="71">
        <v>0.0</v>
      </c>
      <c r="H96" s="71">
        <v>0.0</v>
      </c>
      <c r="I96" s="71">
        <v>0.0</v>
      </c>
      <c r="J96" s="71">
        <v>0.0</v>
      </c>
      <c r="K96" s="71">
        <v>0.0</v>
      </c>
      <c r="L96" s="71">
        <v>0.0</v>
      </c>
      <c r="M96" s="71">
        <v>0.0</v>
      </c>
      <c r="N96" s="71">
        <v>1.0</v>
      </c>
      <c r="O96" s="71">
        <v>0.0</v>
      </c>
      <c r="P96" s="71">
        <v>0.0</v>
      </c>
      <c r="Q96" s="71">
        <v>0.0</v>
      </c>
      <c r="R96" s="71">
        <v>0.0</v>
      </c>
      <c r="S96" s="71">
        <v>0.0</v>
      </c>
      <c r="T96" s="71">
        <v>0.0</v>
      </c>
      <c r="U96" s="71">
        <v>0.0</v>
      </c>
      <c r="V96" s="71">
        <v>0.0</v>
      </c>
      <c r="W96" s="6">
        <f t="shared" si="26"/>
        <v>1</v>
      </c>
    </row>
    <row r="97" ht="12.75" customHeight="1">
      <c r="A97" s="33"/>
      <c r="B97" s="54">
        <v>3.0</v>
      </c>
      <c r="C97" s="55" t="s">
        <v>83</v>
      </c>
      <c r="D97" s="56"/>
      <c r="E97" s="71">
        <v>0.0</v>
      </c>
      <c r="F97" s="71">
        <v>0.0</v>
      </c>
      <c r="G97" s="71">
        <v>0.0</v>
      </c>
      <c r="H97" s="71">
        <v>0.0</v>
      </c>
      <c r="I97" s="71">
        <v>0.0</v>
      </c>
      <c r="J97" s="71">
        <v>0.0</v>
      </c>
      <c r="K97" s="71">
        <v>0.0</v>
      </c>
      <c r="L97" s="71">
        <v>0.0</v>
      </c>
      <c r="M97" s="71">
        <v>0.0</v>
      </c>
      <c r="N97" s="71">
        <v>0.0</v>
      </c>
      <c r="O97" s="71">
        <v>0.0</v>
      </c>
      <c r="P97" s="71">
        <v>0.0</v>
      </c>
      <c r="Q97" s="71">
        <v>0.0</v>
      </c>
      <c r="R97" s="71">
        <v>0.0</v>
      </c>
      <c r="S97" s="71">
        <v>1.0</v>
      </c>
      <c r="T97" s="71">
        <v>0.0</v>
      </c>
      <c r="U97" s="71">
        <v>0.0</v>
      </c>
      <c r="V97" s="71">
        <v>0.0</v>
      </c>
      <c r="W97" s="6">
        <f t="shared" si="26"/>
        <v>1</v>
      </c>
    </row>
    <row r="98" ht="12.75" customHeight="1">
      <c r="A98" s="33"/>
      <c r="B98" s="54">
        <v>4.0</v>
      </c>
      <c r="C98" s="55" t="s">
        <v>84</v>
      </c>
      <c r="D98" s="56"/>
      <c r="E98" s="71">
        <v>1.0</v>
      </c>
      <c r="F98" s="71">
        <v>0.0</v>
      </c>
      <c r="G98" s="71">
        <v>0.0</v>
      </c>
      <c r="H98" s="71">
        <v>0.0</v>
      </c>
      <c r="I98" s="71">
        <v>0.0</v>
      </c>
      <c r="J98" s="71">
        <v>0.0</v>
      </c>
      <c r="K98" s="71">
        <v>0.0</v>
      </c>
      <c r="L98" s="71">
        <v>0.0</v>
      </c>
      <c r="M98" s="71">
        <v>0.0</v>
      </c>
      <c r="N98" s="71">
        <v>0.0</v>
      </c>
      <c r="O98" s="71">
        <v>0.0</v>
      </c>
      <c r="P98" s="71">
        <v>0.0</v>
      </c>
      <c r="Q98" s="71">
        <v>0.0</v>
      </c>
      <c r="R98" s="71">
        <v>0.0</v>
      </c>
      <c r="S98" s="71">
        <v>0.0</v>
      </c>
      <c r="T98" s="71">
        <v>0.0</v>
      </c>
      <c r="U98" s="71">
        <v>0.0</v>
      </c>
      <c r="V98" s="71">
        <v>0.0</v>
      </c>
      <c r="W98" s="6">
        <f t="shared" si="26"/>
        <v>1</v>
      </c>
    </row>
    <row r="99" ht="12.75" customHeight="1">
      <c r="A99" s="13" t="s">
        <v>15</v>
      </c>
      <c r="B99" s="51" t="s">
        <v>46</v>
      </c>
      <c r="C99" s="8"/>
      <c r="D99" s="9"/>
      <c r="E99" s="57">
        <f t="shared" ref="E99:V99" si="27">SUM(E94:E98)</f>
        <v>1</v>
      </c>
      <c r="F99" s="57">
        <f t="shared" si="27"/>
        <v>1</v>
      </c>
      <c r="G99" s="57">
        <f t="shared" si="27"/>
        <v>0</v>
      </c>
      <c r="H99" s="57">
        <f t="shared" si="27"/>
        <v>1</v>
      </c>
      <c r="I99" s="57">
        <f t="shared" si="27"/>
        <v>2</v>
      </c>
      <c r="J99" s="57">
        <f t="shared" si="27"/>
        <v>0</v>
      </c>
      <c r="K99" s="57">
        <f t="shared" si="27"/>
        <v>0</v>
      </c>
      <c r="L99" s="57">
        <f t="shared" si="27"/>
        <v>1</v>
      </c>
      <c r="M99" s="57">
        <f t="shared" si="27"/>
        <v>0</v>
      </c>
      <c r="N99" s="57">
        <f t="shared" si="27"/>
        <v>2</v>
      </c>
      <c r="O99" s="57">
        <f t="shared" si="27"/>
        <v>0</v>
      </c>
      <c r="P99" s="57">
        <f t="shared" si="27"/>
        <v>1</v>
      </c>
      <c r="Q99" s="57">
        <f t="shared" si="27"/>
        <v>0</v>
      </c>
      <c r="R99" s="57">
        <f t="shared" si="27"/>
        <v>0</v>
      </c>
      <c r="S99" s="57">
        <f t="shared" si="27"/>
        <v>2</v>
      </c>
      <c r="T99" s="57">
        <f t="shared" si="27"/>
        <v>3</v>
      </c>
      <c r="U99" s="57">
        <f t="shared" si="27"/>
        <v>0</v>
      </c>
      <c r="V99" s="57">
        <f t="shared" si="27"/>
        <v>1</v>
      </c>
      <c r="W99" s="6">
        <f t="shared" si="26"/>
        <v>15</v>
      </c>
    </row>
    <row r="100" ht="12.75" customHeight="1">
      <c r="A100" s="68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"/>
    </row>
    <row r="101" ht="12.75" customHeight="1">
      <c r="A101" s="33" t="s">
        <v>37</v>
      </c>
      <c r="B101" s="51" t="s">
        <v>85</v>
      </c>
      <c r="C101" s="52" t="s">
        <v>86</v>
      </c>
      <c r="D101" s="9"/>
      <c r="E101" s="71">
        <v>4.0</v>
      </c>
      <c r="F101" s="71">
        <v>2.0</v>
      </c>
      <c r="G101" s="71">
        <v>2.0</v>
      </c>
      <c r="H101" s="71">
        <v>0.0</v>
      </c>
      <c r="I101" s="71">
        <v>0.0</v>
      </c>
      <c r="J101" s="71">
        <v>1.0</v>
      </c>
      <c r="K101" s="71">
        <v>0.0</v>
      </c>
      <c r="L101" s="71">
        <v>0.0</v>
      </c>
      <c r="M101" s="71">
        <v>0.0</v>
      </c>
      <c r="N101" s="71">
        <v>0.0</v>
      </c>
      <c r="O101" s="71">
        <v>0.0</v>
      </c>
      <c r="P101" s="71">
        <v>1.0</v>
      </c>
      <c r="Q101" s="71">
        <v>3.0</v>
      </c>
      <c r="R101" s="71">
        <v>3.0</v>
      </c>
      <c r="S101" s="71">
        <v>3.0</v>
      </c>
      <c r="T101" s="71">
        <v>0.0</v>
      </c>
      <c r="U101" s="71">
        <v>1.0</v>
      </c>
      <c r="V101" s="71">
        <v>2.0</v>
      </c>
      <c r="W101" s="6">
        <f t="shared" ref="W101:W108" si="28">SUM(E101:V101)</f>
        <v>22</v>
      </c>
    </row>
    <row r="102" ht="12.75" customHeight="1">
      <c r="A102" s="33" t="s">
        <v>39</v>
      </c>
      <c r="B102" s="54">
        <v>1.0</v>
      </c>
      <c r="C102" s="55" t="s">
        <v>87</v>
      </c>
      <c r="D102" s="56"/>
      <c r="E102" s="71">
        <v>1.0</v>
      </c>
      <c r="F102" s="71">
        <v>0.0</v>
      </c>
      <c r="G102" s="71">
        <v>0.0</v>
      </c>
      <c r="H102" s="71">
        <v>0.0</v>
      </c>
      <c r="I102" s="71">
        <v>1.0</v>
      </c>
      <c r="J102" s="71">
        <v>0.0</v>
      </c>
      <c r="K102" s="71">
        <v>0.0</v>
      </c>
      <c r="L102" s="71">
        <v>0.0</v>
      </c>
      <c r="M102" s="71">
        <v>0.0</v>
      </c>
      <c r="N102" s="71">
        <v>0.0</v>
      </c>
      <c r="O102" s="71">
        <v>0.0</v>
      </c>
      <c r="P102" s="71">
        <v>0.0</v>
      </c>
      <c r="Q102" s="71">
        <v>1.0</v>
      </c>
      <c r="R102" s="71">
        <v>0.0</v>
      </c>
      <c r="S102" s="71">
        <v>0.0</v>
      </c>
      <c r="T102" s="71">
        <v>0.0</v>
      </c>
      <c r="U102" s="71">
        <v>0.0</v>
      </c>
      <c r="V102" s="71">
        <v>0.0</v>
      </c>
      <c r="W102" s="6">
        <f t="shared" si="28"/>
        <v>3</v>
      </c>
    </row>
    <row r="103" ht="12.75" customHeight="1">
      <c r="A103" s="18"/>
      <c r="B103" s="54">
        <v>2.0</v>
      </c>
      <c r="C103" s="55" t="s">
        <v>88</v>
      </c>
      <c r="D103" s="56"/>
      <c r="E103" s="71">
        <v>0.0</v>
      </c>
      <c r="F103" s="71">
        <v>0.0</v>
      </c>
      <c r="G103" s="71">
        <v>0.0</v>
      </c>
      <c r="H103" s="71">
        <v>0.0</v>
      </c>
      <c r="I103" s="71">
        <v>0.0</v>
      </c>
      <c r="J103" s="71">
        <v>2.0</v>
      </c>
      <c r="K103" s="71">
        <v>0.0</v>
      </c>
      <c r="L103" s="71">
        <v>0.0</v>
      </c>
      <c r="M103" s="71">
        <v>0.0</v>
      </c>
      <c r="N103" s="71">
        <v>0.0</v>
      </c>
      <c r="O103" s="71">
        <v>0.0</v>
      </c>
      <c r="P103" s="71">
        <v>0.0</v>
      </c>
      <c r="Q103" s="71">
        <v>0.0</v>
      </c>
      <c r="R103" s="71">
        <v>1.0</v>
      </c>
      <c r="S103" s="71">
        <v>0.0</v>
      </c>
      <c r="T103" s="71">
        <v>0.0</v>
      </c>
      <c r="U103" s="71">
        <v>0.0</v>
      </c>
      <c r="V103" s="71">
        <v>0.0</v>
      </c>
      <c r="W103" s="6">
        <f t="shared" si="28"/>
        <v>3</v>
      </c>
    </row>
    <row r="104" ht="12.75" customHeight="1">
      <c r="A104" s="18"/>
      <c r="B104" s="54">
        <v>3.0</v>
      </c>
      <c r="C104" s="55" t="s">
        <v>89</v>
      </c>
      <c r="D104" s="56"/>
      <c r="E104" s="71">
        <v>0.0</v>
      </c>
      <c r="F104" s="71">
        <v>0.0</v>
      </c>
      <c r="G104" s="71">
        <v>0.0</v>
      </c>
      <c r="H104" s="71">
        <v>0.0</v>
      </c>
      <c r="I104" s="71">
        <v>0.0</v>
      </c>
      <c r="J104" s="71">
        <v>0.0</v>
      </c>
      <c r="K104" s="71">
        <v>0.0</v>
      </c>
      <c r="L104" s="71">
        <v>0.0</v>
      </c>
      <c r="M104" s="71">
        <v>0.0</v>
      </c>
      <c r="N104" s="71">
        <v>0.0</v>
      </c>
      <c r="O104" s="71">
        <v>0.0</v>
      </c>
      <c r="P104" s="71">
        <v>0.0</v>
      </c>
      <c r="Q104" s="71">
        <v>0.0</v>
      </c>
      <c r="R104" s="71">
        <v>0.0</v>
      </c>
      <c r="S104" s="71">
        <v>0.0</v>
      </c>
      <c r="T104" s="71">
        <v>0.0</v>
      </c>
      <c r="U104" s="71">
        <v>0.0</v>
      </c>
      <c r="V104" s="71">
        <v>0.0</v>
      </c>
      <c r="W104" s="6">
        <f t="shared" si="28"/>
        <v>0</v>
      </c>
    </row>
    <row r="105" ht="12.75" customHeight="1">
      <c r="A105" s="18"/>
      <c r="B105" s="54">
        <v>4.0</v>
      </c>
      <c r="C105" s="55" t="s">
        <v>90</v>
      </c>
      <c r="D105" s="56"/>
      <c r="E105" s="71">
        <v>0.0</v>
      </c>
      <c r="F105" s="71">
        <v>0.0</v>
      </c>
      <c r="G105" s="71">
        <v>0.0</v>
      </c>
      <c r="H105" s="71">
        <v>0.0</v>
      </c>
      <c r="I105" s="71">
        <v>0.0</v>
      </c>
      <c r="J105" s="71">
        <v>0.0</v>
      </c>
      <c r="K105" s="71">
        <v>0.0</v>
      </c>
      <c r="L105" s="71">
        <v>0.0</v>
      </c>
      <c r="M105" s="71">
        <v>0.0</v>
      </c>
      <c r="N105" s="71">
        <v>0.0</v>
      </c>
      <c r="O105" s="71">
        <v>0.0</v>
      </c>
      <c r="P105" s="71">
        <v>0.0</v>
      </c>
      <c r="Q105" s="71">
        <v>0.0</v>
      </c>
      <c r="R105" s="71">
        <v>0.0</v>
      </c>
      <c r="S105" s="71">
        <v>0.0</v>
      </c>
      <c r="T105" s="71">
        <v>0.0</v>
      </c>
      <c r="U105" s="71">
        <v>0.0</v>
      </c>
      <c r="V105" s="71">
        <v>0.0</v>
      </c>
      <c r="W105" s="6">
        <f t="shared" si="28"/>
        <v>0</v>
      </c>
    </row>
    <row r="106" ht="12.75" customHeight="1">
      <c r="A106" s="18"/>
      <c r="B106" s="54">
        <v>5.0</v>
      </c>
      <c r="C106" s="55" t="s">
        <v>91</v>
      </c>
      <c r="D106" s="56"/>
      <c r="E106" s="71">
        <v>0.0</v>
      </c>
      <c r="F106" s="71">
        <v>0.0</v>
      </c>
      <c r="G106" s="71">
        <v>0.0</v>
      </c>
      <c r="H106" s="71">
        <v>0.0</v>
      </c>
      <c r="I106" s="71">
        <v>0.0</v>
      </c>
      <c r="J106" s="71">
        <v>0.0</v>
      </c>
      <c r="K106" s="71">
        <v>0.0</v>
      </c>
      <c r="L106" s="71">
        <v>0.0</v>
      </c>
      <c r="M106" s="71">
        <v>0.0</v>
      </c>
      <c r="N106" s="71">
        <v>0.0</v>
      </c>
      <c r="O106" s="71">
        <v>0.0</v>
      </c>
      <c r="P106" s="71">
        <v>0.0</v>
      </c>
      <c r="Q106" s="71">
        <v>0.0</v>
      </c>
      <c r="R106" s="71">
        <v>0.0</v>
      </c>
      <c r="S106" s="71">
        <v>0.0</v>
      </c>
      <c r="T106" s="71">
        <v>0.0</v>
      </c>
      <c r="U106" s="71">
        <v>0.0</v>
      </c>
      <c r="V106" s="71">
        <v>1.0</v>
      </c>
      <c r="W106" s="6">
        <f t="shared" si="28"/>
        <v>1</v>
      </c>
    </row>
    <row r="107" ht="12.75" customHeight="1">
      <c r="A107" s="18"/>
      <c r="B107" s="54">
        <v>6.0</v>
      </c>
      <c r="C107" s="55" t="s">
        <v>92</v>
      </c>
      <c r="D107" s="56"/>
      <c r="E107" s="71">
        <v>6.0</v>
      </c>
      <c r="F107" s="71">
        <v>10.0</v>
      </c>
      <c r="G107" s="71">
        <v>8.0</v>
      </c>
      <c r="H107" s="71">
        <v>10.0</v>
      </c>
      <c r="I107" s="71">
        <v>3.0</v>
      </c>
      <c r="J107" s="71">
        <v>11.0</v>
      </c>
      <c r="K107" s="71">
        <v>7.0</v>
      </c>
      <c r="L107" s="71">
        <v>14.0</v>
      </c>
      <c r="M107" s="71">
        <v>3.0</v>
      </c>
      <c r="N107" s="71">
        <v>9.0</v>
      </c>
      <c r="O107" s="71">
        <v>4.0</v>
      </c>
      <c r="P107" s="71">
        <v>2.0</v>
      </c>
      <c r="Q107" s="71">
        <v>29.0</v>
      </c>
      <c r="R107" s="71">
        <v>10.0</v>
      </c>
      <c r="S107" s="71">
        <v>18.0</v>
      </c>
      <c r="T107" s="71">
        <v>8.0</v>
      </c>
      <c r="U107" s="71">
        <v>7.0</v>
      </c>
      <c r="V107" s="71">
        <v>31.0</v>
      </c>
      <c r="W107" s="6">
        <f t="shared" si="28"/>
        <v>190</v>
      </c>
    </row>
    <row r="108" ht="12.75" customHeight="1">
      <c r="A108" s="13" t="s">
        <v>15</v>
      </c>
      <c r="B108" s="51" t="s">
        <v>46</v>
      </c>
      <c r="C108" s="8"/>
      <c r="D108" s="9"/>
      <c r="E108" s="57">
        <f t="shared" ref="E108:V108" si="29">SUM(E101:E107)</f>
        <v>11</v>
      </c>
      <c r="F108" s="57">
        <f t="shared" si="29"/>
        <v>12</v>
      </c>
      <c r="G108" s="57">
        <f t="shared" si="29"/>
        <v>10</v>
      </c>
      <c r="H108" s="57">
        <f t="shared" si="29"/>
        <v>10</v>
      </c>
      <c r="I108" s="57">
        <f t="shared" si="29"/>
        <v>4</v>
      </c>
      <c r="J108" s="57">
        <f t="shared" si="29"/>
        <v>14</v>
      </c>
      <c r="K108" s="57">
        <f t="shared" si="29"/>
        <v>7</v>
      </c>
      <c r="L108" s="57">
        <f t="shared" si="29"/>
        <v>14</v>
      </c>
      <c r="M108" s="57">
        <f t="shared" si="29"/>
        <v>3</v>
      </c>
      <c r="N108" s="57">
        <f t="shared" si="29"/>
        <v>9</v>
      </c>
      <c r="O108" s="57">
        <f t="shared" si="29"/>
        <v>4</v>
      </c>
      <c r="P108" s="57">
        <f t="shared" si="29"/>
        <v>3</v>
      </c>
      <c r="Q108" s="57">
        <f t="shared" si="29"/>
        <v>33</v>
      </c>
      <c r="R108" s="57">
        <f t="shared" si="29"/>
        <v>14</v>
      </c>
      <c r="S108" s="57">
        <f t="shared" si="29"/>
        <v>21</v>
      </c>
      <c r="T108" s="57">
        <f t="shared" si="29"/>
        <v>8</v>
      </c>
      <c r="U108" s="57">
        <f t="shared" si="29"/>
        <v>8</v>
      </c>
      <c r="V108" s="57">
        <f t="shared" si="29"/>
        <v>34</v>
      </c>
      <c r="W108" s="6">
        <f t="shared" si="28"/>
        <v>219</v>
      </c>
    </row>
    <row r="109" ht="12.75" customHeight="1">
      <c r="A109" s="68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"/>
    </row>
    <row r="110" ht="12.75" customHeight="1">
      <c r="A110" s="33" t="s">
        <v>37</v>
      </c>
      <c r="B110" s="51" t="s">
        <v>93</v>
      </c>
      <c r="C110" s="52" t="s">
        <v>94</v>
      </c>
      <c r="D110" s="9"/>
      <c r="E110" s="71">
        <v>0.0</v>
      </c>
      <c r="F110" s="71">
        <v>0.0</v>
      </c>
      <c r="G110" s="71">
        <v>0.0</v>
      </c>
      <c r="H110" s="71">
        <v>0.0</v>
      </c>
      <c r="I110" s="71">
        <v>0.0</v>
      </c>
      <c r="J110" s="71">
        <v>0.0</v>
      </c>
      <c r="K110" s="71">
        <v>0.0</v>
      </c>
      <c r="L110" s="71">
        <v>0.0</v>
      </c>
      <c r="M110" s="71">
        <v>0.0</v>
      </c>
      <c r="N110" s="71">
        <v>0.0</v>
      </c>
      <c r="O110" s="71">
        <v>0.0</v>
      </c>
      <c r="P110" s="71">
        <v>0.0</v>
      </c>
      <c r="Q110" s="71">
        <v>0.0</v>
      </c>
      <c r="R110" s="71">
        <v>0.0</v>
      </c>
      <c r="S110" s="71">
        <v>0.0</v>
      </c>
      <c r="T110" s="71">
        <v>0.0</v>
      </c>
      <c r="U110" s="71">
        <v>0.0</v>
      </c>
      <c r="V110" s="71">
        <v>0.0</v>
      </c>
      <c r="W110" s="6">
        <f t="shared" ref="W110:W114" si="30">SUM(E110:V110)</f>
        <v>0</v>
      </c>
    </row>
    <row r="111" ht="12.75" customHeight="1">
      <c r="A111" s="33"/>
      <c r="B111" s="54">
        <v>1.0</v>
      </c>
      <c r="C111" s="55" t="s">
        <v>95</v>
      </c>
      <c r="D111" s="63"/>
      <c r="E111" s="71">
        <v>0.0</v>
      </c>
      <c r="F111" s="71">
        <v>0.0</v>
      </c>
      <c r="G111" s="71">
        <v>0.0</v>
      </c>
      <c r="H111" s="71">
        <v>0.0</v>
      </c>
      <c r="I111" s="71">
        <v>0.0</v>
      </c>
      <c r="J111" s="71">
        <v>0.0</v>
      </c>
      <c r="K111" s="71">
        <v>0.0</v>
      </c>
      <c r="L111" s="71">
        <v>0.0</v>
      </c>
      <c r="M111" s="71">
        <v>0.0</v>
      </c>
      <c r="N111" s="71">
        <v>0.0</v>
      </c>
      <c r="O111" s="71">
        <v>0.0</v>
      </c>
      <c r="P111" s="71">
        <v>0.0</v>
      </c>
      <c r="Q111" s="71">
        <v>0.0</v>
      </c>
      <c r="R111" s="71">
        <v>0.0</v>
      </c>
      <c r="S111" s="71">
        <v>0.0</v>
      </c>
      <c r="T111" s="71">
        <v>0.0</v>
      </c>
      <c r="U111" s="71">
        <v>0.0</v>
      </c>
      <c r="V111" s="71">
        <v>0.0</v>
      </c>
      <c r="W111" s="6">
        <f t="shared" si="30"/>
        <v>0</v>
      </c>
    </row>
    <row r="112" ht="12.75" customHeight="1">
      <c r="A112" s="33"/>
      <c r="B112" s="54">
        <v>2.0</v>
      </c>
      <c r="C112" s="55" t="s">
        <v>96</v>
      </c>
      <c r="D112" s="63"/>
      <c r="E112" s="71">
        <v>0.0</v>
      </c>
      <c r="F112" s="71">
        <v>0.0</v>
      </c>
      <c r="G112" s="71">
        <v>0.0</v>
      </c>
      <c r="H112" s="71">
        <v>0.0</v>
      </c>
      <c r="I112" s="71">
        <v>0.0</v>
      </c>
      <c r="J112" s="71">
        <v>0.0</v>
      </c>
      <c r="K112" s="71">
        <v>0.0</v>
      </c>
      <c r="L112" s="71">
        <v>0.0</v>
      </c>
      <c r="M112" s="71">
        <v>0.0</v>
      </c>
      <c r="N112" s="71">
        <v>0.0</v>
      </c>
      <c r="O112" s="71">
        <v>0.0</v>
      </c>
      <c r="P112" s="71">
        <v>0.0</v>
      </c>
      <c r="Q112" s="71">
        <v>0.0</v>
      </c>
      <c r="R112" s="71">
        <v>0.0</v>
      </c>
      <c r="S112" s="71">
        <v>0.0</v>
      </c>
      <c r="T112" s="71">
        <v>0.0</v>
      </c>
      <c r="U112" s="71">
        <v>0.0</v>
      </c>
      <c r="V112" s="71">
        <v>0.0</v>
      </c>
      <c r="W112" s="6">
        <f t="shared" si="30"/>
        <v>0</v>
      </c>
    </row>
    <row r="113" ht="12.75" customHeight="1">
      <c r="A113" s="33"/>
      <c r="B113" s="54">
        <v>3.0</v>
      </c>
      <c r="C113" s="55" t="s">
        <v>97</v>
      </c>
      <c r="D113" s="63"/>
      <c r="E113" s="71">
        <v>0.0</v>
      </c>
      <c r="F113" s="71">
        <v>0.0</v>
      </c>
      <c r="G113" s="71">
        <v>0.0</v>
      </c>
      <c r="H113" s="71">
        <v>0.0</v>
      </c>
      <c r="I113" s="71">
        <v>0.0</v>
      </c>
      <c r="J113" s="71">
        <v>0.0</v>
      </c>
      <c r="K113" s="71">
        <v>0.0</v>
      </c>
      <c r="L113" s="71">
        <v>0.0</v>
      </c>
      <c r="M113" s="71">
        <v>0.0</v>
      </c>
      <c r="N113" s="71">
        <v>0.0</v>
      </c>
      <c r="O113" s="71">
        <v>0.0</v>
      </c>
      <c r="P113" s="71">
        <v>0.0</v>
      </c>
      <c r="Q113" s="71">
        <v>0.0</v>
      </c>
      <c r="R113" s="71">
        <v>0.0</v>
      </c>
      <c r="S113" s="71">
        <v>0.0</v>
      </c>
      <c r="T113" s="71">
        <v>0.0</v>
      </c>
      <c r="U113" s="71">
        <v>0.0</v>
      </c>
      <c r="V113" s="71">
        <v>0.0</v>
      </c>
      <c r="W113" s="6">
        <f t="shared" si="30"/>
        <v>0</v>
      </c>
    </row>
    <row r="114" ht="12.75" customHeight="1">
      <c r="A114" s="13" t="s">
        <v>15</v>
      </c>
      <c r="B114" s="51" t="s">
        <v>46</v>
      </c>
      <c r="C114" s="8"/>
      <c r="D114" s="9"/>
      <c r="E114" s="57">
        <f t="shared" ref="E114:V114" si="31">SUM(E110:E113)</f>
        <v>0</v>
      </c>
      <c r="F114" s="57">
        <f t="shared" si="31"/>
        <v>0</v>
      </c>
      <c r="G114" s="57">
        <f t="shared" si="31"/>
        <v>0</v>
      </c>
      <c r="H114" s="57">
        <f t="shared" si="31"/>
        <v>0</v>
      </c>
      <c r="I114" s="57">
        <f t="shared" si="31"/>
        <v>0</v>
      </c>
      <c r="J114" s="57">
        <f t="shared" si="31"/>
        <v>0</v>
      </c>
      <c r="K114" s="57">
        <f t="shared" si="31"/>
        <v>0</v>
      </c>
      <c r="L114" s="57">
        <f t="shared" si="31"/>
        <v>0</v>
      </c>
      <c r="M114" s="57">
        <f t="shared" si="31"/>
        <v>0</v>
      </c>
      <c r="N114" s="57">
        <f t="shared" si="31"/>
        <v>0</v>
      </c>
      <c r="O114" s="57">
        <f t="shared" si="31"/>
        <v>0</v>
      </c>
      <c r="P114" s="57">
        <f t="shared" si="31"/>
        <v>0</v>
      </c>
      <c r="Q114" s="57">
        <f t="shared" si="31"/>
        <v>0</v>
      </c>
      <c r="R114" s="57">
        <f t="shared" si="31"/>
        <v>0</v>
      </c>
      <c r="S114" s="57">
        <f t="shared" si="31"/>
        <v>0</v>
      </c>
      <c r="T114" s="57">
        <f t="shared" si="31"/>
        <v>0</v>
      </c>
      <c r="U114" s="57">
        <f t="shared" si="31"/>
        <v>0</v>
      </c>
      <c r="V114" s="57">
        <f t="shared" si="31"/>
        <v>0</v>
      </c>
      <c r="W114" s="6">
        <f t="shared" si="30"/>
        <v>0</v>
      </c>
    </row>
    <row r="115" ht="12.75" customHeight="1">
      <c r="A115" s="68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"/>
    </row>
    <row r="116" ht="12.75" customHeight="1">
      <c r="A116" s="33" t="s">
        <v>37</v>
      </c>
      <c r="B116" s="51" t="s">
        <v>98</v>
      </c>
      <c r="C116" s="52" t="s">
        <v>99</v>
      </c>
      <c r="D116" s="9"/>
      <c r="E116" s="71">
        <v>0.0</v>
      </c>
      <c r="F116" s="71">
        <v>0.0</v>
      </c>
      <c r="G116" s="71">
        <v>0.0</v>
      </c>
      <c r="H116" s="71">
        <v>0.0</v>
      </c>
      <c r="I116" s="71">
        <v>0.0</v>
      </c>
      <c r="J116" s="71">
        <v>0.0</v>
      </c>
      <c r="K116" s="71">
        <v>0.0</v>
      </c>
      <c r="L116" s="71">
        <v>0.0</v>
      </c>
      <c r="M116" s="71">
        <v>0.0</v>
      </c>
      <c r="N116" s="71">
        <v>1.0</v>
      </c>
      <c r="O116" s="71">
        <v>0.0</v>
      </c>
      <c r="P116" s="71">
        <v>0.0</v>
      </c>
      <c r="Q116" s="71">
        <v>2.0</v>
      </c>
      <c r="R116" s="71">
        <v>0.0</v>
      </c>
      <c r="S116" s="71">
        <v>0.0</v>
      </c>
      <c r="T116" s="71">
        <v>0.0</v>
      </c>
      <c r="U116" s="71">
        <v>0.0</v>
      </c>
      <c r="V116" s="71">
        <v>1.0</v>
      </c>
      <c r="W116" s="6">
        <f t="shared" ref="W116:W123" si="32">SUM(E116:V116)</f>
        <v>4</v>
      </c>
    </row>
    <row r="117" ht="12.75" customHeight="1">
      <c r="A117" s="33" t="s">
        <v>39</v>
      </c>
      <c r="B117" s="54">
        <v>1.0</v>
      </c>
      <c r="C117" s="55" t="s">
        <v>100</v>
      </c>
      <c r="D117" s="56"/>
      <c r="E117" s="71">
        <v>0.0</v>
      </c>
      <c r="F117" s="71">
        <v>0.0</v>
      </c>
      <c r="G117" s="71">
        <v>0.0</v>
      </c>
      <c r="H117" s="71">
        <v>1.0</v>
      </c>
      <c r="I117" s="71">
        <v>0.0</v>
      </c>
      <c r="J117" s="71">
        <v>0.0</v>
      </c>
      <c r="K117" s="71">
        <v>3.0</v>
      </c>
      <c r="L117" s="71">
        <v>0.0</v>
      </c>
      <c r="M117" s="71">
        <v>2.0</v>
      </c>
      <c r="N117" s="71">
        <v>0.0</v>
      </c>
      <c r="O117" s="71">
        <v>1.0</v>
      </c>
      <c r="P117" s="71">
        <v>5.0</v>
      </c>
      <c r="Q117" s="71">
        <v>7.0</v>
      </c>
      <c r="R117" s="71">
        <v>1.0</v>
      </c>
      <c r="S117" s="71">
        <v>0.0</v>
      </c>
      <c r="T117" s="71">
        <v>0.0</v>
      </c>
      <c r="U117" s="71">
        <v>0.0</v>
      </c>
      <c r="V117" s="71">
        <v>0.0</v>
      </c>
      <c r="W117" s="6">
        <f t="shared" si="32"/>
        <v>20</v>
      </c>
    </row>
    <row r="118" ht="12.75" customHeight="1">
      <c r="A118" s="18"/>
      <c r="B118" s="54">
        <v>2.0</v>
      </c>
      <c r="C118" s="55" t="s">
        <v>101</v>
      </c>
      <c r="D118" s="56"/>
      <c r="E118" s="71">
        <v>0.0</v>
      </c>
      <c r="F118" s="71">
        <v>0.0</v>
      </c>
      <c r="G118" s="71">
        <v>0.0</v>
      </c>
      <c r="H118" s="71">
        <v>1.0</v>
      </c>
      <c r="I118" s="71">
        <v>0.0</v>
      </c>
      <c r="J118" s="71">
        <v>1.0</v>
      </c>
      <c r="K118" s="71">
        <v>0.0</v>
      </c>
      <c r="L118" s="71">
        <v>0.0</v>
      </c>
      <c r="M118" s="71">
        <v>0.0</v>
      </c>
      <c r="N118" s="71">
        <v>0.0</v>
      </c>
      <c r="O118" s="71">
        <v>0.0</v>
      </c>
      <c r="P118" s="71">
        <v>0.0</v>
      </c>
      <c r="Q118" s="71">
        <v>2.0</v>
      </c>
      <c r="R118" s="71">
        <v>4.0</v>
      </c>
      <c r="S118" s="71">
        <v>5.0</v>
      </c>
      <c r="T118" s="71">
        <v>0.0</v>
      </c>
      <c r="U118" s="71">
        <v>0.0</v>
      </c>
      <c r="V118" s="71">
        <v>0.0</v>
      </c>
      <c r="W118" s="6">
        <f t="shared" si="32"/>
        <v>13</v>
      </c>
    </row>
    <row r="119" ht="12.75" customHeight="1">
      <c r="A119" s="18"/>
      <c r="B119" s="54">
        <v>3.0</v>
      </c>
      <c r="C119" s="55" t="s">
        <v>102</v>
      </c>
      <c r="D119" s="56"/>
      <c r="E119" s="71">
        <v>0.0</v>
      </c>
      <c r="F119" s="71">
        <v>0.0</v>
      </c>
      <c r="G119" s="71">
        <v>0.0</v>
      </c>
      <c r="H119" s="71">
        <v>0.0</v>
      </c>
      <c r="I119" s="71">
        <v>0.0</v>
      </c>
      <c r="J119" s="71">
        <v>0.0</v>
      </c>
      <c r="K119" s="71">
        <v>0.0</v>
      </c>
      <c r="L119" s="71">
        <v>0.0</v>
      </c>
      <c r="M119" s="71">
        <v>0.0</v>
      </c>
      <c r="N119" s="71">
        <v>0.0</v>
      </c>
      <c r="O119" s="71">
        <v>0.0</v>
      </c>
      <c r="P119" s="71">
        <v>0.0</v>
      </c>
      <c r="Q119" s="71">
        <v>0.0</v>
      </c>
      <c r="R119" s="71">
        <v>0.0</v>
      </c>
      <c r="S119" s="71">
        <v>0.0</v>
      </c>
      <c r="T119" s="71">
        <v>0.0</v>
      </c>
      <c r="U119" s="71">
        <v>0.0</v>
      </c>
      <c r="V119" s="71">
        <v>0.0</v>
      </c>
      <c r="W119" s="6">
        <f t="shared" si="32"/>
        <v>0</v>
      </c>
    </row>
    <row r="120" ht="12.75" customHeight="1">
      <c r="A120" s="18"/>
      <c r="B120" s="54">
        <v>4.0</v>
      </c>
      <c r="C120" s="55" t="s">
        <v>103</v>
      </c>
      <c r="D120" s="56"/>
      <c r="E120" s="71">
        <v>0.0</v>
      </c>
      <c r="F120" s="71">
        <v>0.0</v>
      </c>
      <c r="G120" s="71">
        <v>0.0</v>
      </c>
      <c r="H120" s="71">
        <v>0.0</v>
      </c>
      <c r="I120" s="71">
        <v>0.0</v>
      </c>
      <c r="J120" s="71">
        <v>0.0</v>
      </c>
      <c r="K120" s="71">
        <v>0.0</v>
      </c>
      <c r="L120" s="71">
        <v>0.0</v>
      </c>
      <c r="M120" s="71">
        <v>0.0</v>
      </c>
      <c r="N120" s="71">
        <v>0.0</v>
      </c>
      <c r="O120" s="71">
        <v>0.0</v>
      </c>
      <c r="P120" s="71">
        <v>0.0</v>
      </c>
      <c r="Q120" s="71">
        <v>0.0</v>
      </c>
      <c r="R120" s="71">
        <v>0.0</v>
      </c>
      <c r="S120" s="71">
        <v>0.0</v>
      </c>
      <c r="T120" s="71">
        <v>0.0</v>
      </c>
      <c r="U120" s="71">
        <v>0.0</v>
      </c>
      <c r="V120" s="71">
        <v>0.0</v>
      </c>
      <c r="W120" s="6">
        <f t="shared" si="32"/>
        <v>0</v>
      </c>
    </row>
    <row r="121" ht="12.75" customHeight="1">
      <c r="A121" s="18"/>
      <c r="B121" s="54">
        <v>5.0</v>
      </c>
      <c r="C121" s="55" t="s">
        <v>104</v>
      </c>
      <c r="D121" s="56"/>
      <c r="E121" s="71">
        <v>0.0</v>
      </c>
      <c r="F121" s="71">
        <v>0.0</v>
      </c>
      <c r="G121" s="71">
        <v>0.0</v>
      </c>
      <c r="H121" s="71">
        <v>0.0</v>
      </c>
      <c r="I121" s="71">
        <v>0.0</v>
      </c>
      <c r="J121" s="71">
        <v>0.0</v>
      </c>
      <c r="K121" s="71">
        <v>0.0</v>
      </c>
      <c r="L121" s="71">
        <v>0.0</v>
      </c>
      <c r="M121" s="71">
        <v>0.0</v>
      </c>
      <c r="N121" s="71">
        <v>0.0</v>
      </c>
      <c r="O121" s="71">
        <v>0.0</v>
      </c>
      <c r="P121" s="71">
        <v>0.0</v>
      </c>
      <c r="Q121" s="71">
        <v>0.0</v>
      </c>
      <c r="R121" s="71">
        <v>0.0</v>
      </c>
      <c r="S121" s="71">
        <v>0.0</v>
      </c>
      <c r="T121" s="71">
        <v>0.0</v>
      </c>
      <c r="U121" s="71">
        <v>0.0</v>
      </c>
      <c r="V121" s="71">
        <v>0.0</v>
      </c>
      <c r="W121" s="6">
        <f t="shared" si="32"/>
        <v>0</v>
      </c>
    </row>
    <row r="122" ht="12.75" customHeight="1">
      <c r="A122" s="18"/>
      <c r="B122" s="54">
        <v>6.0</v>
      </c>
      <c r="C122" s="55" t="s">
        <v>105</v>
      </c>
      <c r="D122" s="56"/>
      <c r="E122" s="71">
        <v>0.0</v>
      </c>
      <c r="F122" s="71">
        <v>0.0</v>
      </c>
      <c r="G122" s="71">
        <v>0.0</v>
      </c>
      <c r="H122" s="71">
        <v>0.0</v>
      </c>
      <c r="I122" s="71">
        <v>0.0</v>
      </c>
      <c r="J122" s="71">
        <v>0.0</v>
      </c>
      <c r="K122" s="71">
        <v>0.0</v>
      </c>
      <c r="L122" s="71">
        <v>0.0</v>
      </c>
      <c r="M122" s="71">
        <v>0.0</v>
      </c>
      <c r="N122" s="71">
        <v>0.0</v>
      </c>
      <c r="O122" s="71">
        <v>0.0</v>
      </c>
      <c r="P122" s="71">
        <v>0.0</v>
      </c>
      <c r="Q122" s="71">
        <v>0.0</v>
      </c>
      <c r="R122" s="71">
        <v>0.0</v>
      </c>
      <c r="S122" s="71">
        <v>0.0</v>
      </c>
      <c r="T122" s="71">
        <v>1.0</v>
      </c>
      <c r="U122" s="71">
        <v>0.0</v>
      </c>
      <c r="V122" s="71">
        <v>0.0</v>
      </c>
      <c r="W122" s="6">
        <f t="shared" si="32"/>
        <v>1</v>
      </c>
    </row>
    <row r="123" ht="12.75" customHeight="1">
      <c r="A123" s="13" t="s">
        <v>15</v>
      </c>
      <c r="B123" s="51" t="s">
        <v>46</v>
      </c>
      <c r="C123" s="8"/>
      <c r="D123" s="9"/>
      <c r="E123" s="57">
        <f t="shared" ref="E123:V123" si="33">SUM(E116:E122)</f>
        <v>0</v>
      </c>
      <c r="F123" s="57">
        <f t="shared" si="33"/>
        <v>0</v>
      </c>
      <c r="G123" s="57">
        <f t="shared" si="33"/>
        <v>0</v>
      </c>
      <c r="H123" s="57">
        <f t="shared" si="33"/>
        <v>2</v>
      </c>
      <c r="I123" s="57">
        <f t="shared" si="33"/>
        <v>0</v>
      </c>
      <c r="J123" s="57">
        <f t="shared" si="33"/>
        <v>1</v>
      </c>
      <c r="K123" s="57">
        <f t="shared" si="33"/>
        <v>3</v>
      </c>
      <c r="L123" s="57">
        <f t="shared" si="33"/>
        <v>0</v>
      </c>
      <c r="M123" s="57">
        <f t="shared" si="33"/>
        <v>2</v>
      </c>
      <c r="N123" s="57">
        <f t="shared" si="33"/>
        <v>1</v>
      </c>
      <c r="O123" s="57">
        <f t="shared" si="33"/>
        <v>1</v>
      </c>
      <c r="P123" s="57">
        <f t="shared" si="33"/>
        <v>5</v>
      </c>
      <c r="Q123" s="57">
        <f t="shared" si="33"/>
        <v>11</v>
      </c>
      <c r="R123" s="57">
        <f t="shared" si="33"/>
        <v>5</v>
      </c>
      <c r="S123" s="57">
        <f t="shared" si="33"/>
        <v>5</v>
      </c>
      <c r="T123" s="57">
        <f t="shared" si="33"/>
        <v>1</v>
      </c>
      <c r="U123" s="57">
        <f t="shared" si="33"/>
        <v>0</v>
      </c>
      <c r="V123" s="57">
        <f t="shared" si="33"/>
        <v>1</v>
      </c>
      <c r="W123" s="6">
        <f t="shared" si="32"/>
        <v>38</v>
      </c>
    </row>
    <row r="124" ht="12.75" customHeight="1">
      <c r="A124" s="68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"/>
    </row>
    <row r="125" ht="12.75" customHeight="1">
      <c r="A125" s="33" t="s">
        <v>37</v>
      </c>
      <c r="B125" s="51" t="s">
        <v>106</v>
      </c>
      <c r="C125" s="52" t="s">
        <v>107</v>
      </c>
      <c r="D125" s="9"/>
      <c r="E125" s="71">
        <v>0.0</v>
      </c>
      <c r="F125" s="71">
        <v>0.0</v>
      </c>
      <c r="G125" s="71">
        <v>0.0</v>
      </c>
      <c r="H125" s="71">
        <v>0.0</v>
      </c>
      <c r="I125" s="71">
        <v>0.0</v>
      </c>
      <c r="J125" s="71">
        <v>0.0</v>
      </c>
      <c r="K125" s="71">
        <v>1.0</v>
      </c>
      <c r="L125" s="71">
        <v>0.0</v>
      </c>
      <c r="M125" s="71">
        <v>0.0</v>
      </c>
      <c r="N125" s="71">
        <v>0.0</v>
      </c>
      <c r="O125" s="71">
        <v>0.0</v>
      </c>
      <c r="P125" s="71">
        <v>0.0</v>
      </c>
      <c r="Q125" s="71">
        <v>0.0</v>
      </c>
      <c r="R125" s="71">
        <v>0.0</v>
      </c>
      <c r="S125" s="71">
        <v>1.0</v>
      </c>
      <c r="T125" s="71">
        <v>0.0</v>
      </c>
      <c r="U125" s="71">
        <v>0.0</v>
      </c>
      <c r="V125" s="71">
        <v>3.0</v>
      </c>
      <c r="W125" s="6">
        <f t="shared" ref="W125:W127" si="34">SUM(E125:V125)</f>
        <v>5</v>
      </c>
    </row>
    <row r="126" ht="12.75" customHeight="1">
      <c r="A126" s="33" t="s">
        <v>39</v>
      </c>
      <c r="B126" s="54"/>
      <c r="C126" s="55" t="s">
        <v>78</v>
      </c>
      <c r="D126" s="56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6">
        <f t="shared" si="34"/>
        <v>0</v>
      </c>
    </row>
    <row r="127" ht="12.75" customHeight="1">
      <c r="A127" s="13" t="s">
        <v>15</v>
      </c>
      <c r="B127" s="51" t="s">
        <v>46</v>
      </c>
      <c r="C127" s="8"/>
      <c r="D127" s="9"/>
      <c r="E127" s="57">
        <f t="shared" ref="E127:V127" si="35">SUM(E125:E126)</f>
        <v>0</v>
      </c>
      <c r="F127" s="57">
        <f t="shared" si="35"/>
        <v>0</v>
      </c>
      <c r="G127" s="57">
        <f t="shared" si="35"/>
        <v>0</v>
      </c>
      <c r="H127" s="57">
        <f t="shared" si="35"/>
        <v>0</v>
      </c>
      <c r="I127" s="57">
        <f t="shared" si="35"/>
        <v>0</v>
      </c>
      <c r="J127" s="57">
        <f t="shared" si="35"/>
        <v>0</v>
      </c>
      <c r="K127" s="57">
        <f t="shared" si="35"/>
        <v>1</v>
      </c>
      <c r="L127" s="57">
        <f t="shared" si="35"/>
        <v>0</v>
      </c>
      <c r="M127" s="57">
        <f t="shared" si="35"/>
        <v>0</v>
      </c>
      <c r="N127" s="57">
        <f t="shared" si="35"/>
        <v>0</v>
      </c>
      <c r="O127" s="57">
        <f t="shared" si="35"/>
        <v>0</v>
      </c>
      <c r="P127" s="57">
        <f t="shared" si="35"/>
        <v>0</v>
      </c>
      <c r="Q127" s="57">
        <f t="shared" si="35"/>
        <v>0</v>
      </c>
      <c r="R127" s="57">
        <f t="shared" si="35"/>
        <v>0</v>
      </c>
      <c r="S127" s="57">
        <f t="shared" si="35"/>
        <v>1</v>
      </c>
      <c r="T127" s="57">
        <f t="shared" si="35"/>
        <v>0</v>
      </c>
      <c r="U127" s="57">
        <f t="shared" si="35"/>
        <v>0</v>
      </c>
      <c r="V127" s="57">
        <f t="shared" si="35"/>
        <v>3</v>
      </c>
      <c r="W127" s="6">
        <f t="shared" si="34"/>
        <v>5</v>
      </c>
    </row>
    <row r="128" ht="12.75" customHeight="1">
      <c r="A128" s="68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"/>
    </row>
    <row r="129" ht="12.75" customHeight="1">
      <c r="A129" s="33" t="s">
        <v>37</v>
      </c>
      <c r="B129" s="51" t="s">
        <v>108</v>
      </c>
      <c r="C129" s="52" t="s">
        <v>109</v>
      </c>
      <c r="D129" s="9"/>
      <c r="E129" s="71">
        <v>0.0</v>
      </c>
      <c r="F129" s="71">
        <v>0.0</v>
      </c>
      <c r="G129" s="71">
        <v>1.0</v>
      </c>
      <c r="H129" s="71">
        <v>0.0</v>
      </c>
      <c r="I129" s="71">
        <v>0.0</v>
      </c>
      <c r="J129" s="71">
        <v>2.0</v>
      </c>
      <c r="K129" s="71">
        <v>1.0</v>
      </c>
      <c r="L129" s="71">
        <v>0.0</v>
      </c>
      <c r="M129" s="71">
        <v>0.0</v>
      </c>
      <c r="N129" s="71">
        <v>0.0</v>
      </c>
      <c r="O129" s="71">
        <v>0.0</v>
      </c>
      <c r="P129" s="71">
        <v>0.0</v>
      </c>
      <c r="Q129" s="71">
        <v>1.0</v>
      </c>
      <c r="R129" s="71">
        <v>0.0</v>
      </c>
      <c r="S129" s="71">
        <v>1.0</v>
      </c>
      <c r="T129" s="71">
        <v>2.0</v>
      </c>
      <c r="U129" s="71">
        <v>3.0</v>
      </c>
      <c r="V129" s="71">
        <v>0.0</v>
      </c>
      <c r="W129" s="6">
        <f t="shared" ref="W129:W136" si="36">SUM(E129:V129)</f>
        <v>11</v>
      </c>
    </row>
    <row r="130" ht="12.75" customHeight="1">
      <c r="A130" s="33" t="s">
        <v>39</v>
      </c>
      <c r="B130" s="54">
        <v>1.0</v>
      </c>
      <c r="C130" s="55" t="s">
        <v>110</v>
      </c>
      <c r="D130" s="56"/>
      <c r="E130" s="71">
        <v>0.0</v>
      </c>
      <c r="F130" s="71">
        <v>0.0</v>
      </c>
      <c r="G130" s="71">
        <v>1.0</v>
      </c>
      <c r="H130" s="71">
        <v>0.0</v>
      </c>
      <c r="I130" s="71">
        <v>0.0</v>
      </c>
      <c r="J130" s="71">
        <v>1.0</v>
      </c>
      <c r="K130" s="71">
        <v>1.0</v>
      </c>
      <c r="L130" s="71">
        <v>1.0</v>
      </c>
      <c r="M130" s="71">
        <v>0.0</v>
      </c>
      <c r="N130" s="71">
        <v>0.0</v>
      </c>
      <c r="O130" s="71">
        <v>0.0</v>
      </c>
      <c r="P130" s="71">
        <v>0.0</v>
      </c>
      <c r="Q130" s="71">
        <v>0.0</v>
      </c>
      <c r="R130" s="71">
        <v>0.0</v>
      </c>
      <c r="S130" s="71">
        <v>0.0</v>
      </c>
      <c r="T130" s="71">
        <v>1.0</v>
      </c>
      <c r="U130" s="71">
        <v>0.0</v>
      </c>
      <c r="V130" s="71">
        <v>0.0</v>
      </c>
      <c r="W130" s="6">
        <f t="shared" si="36"/>
        <v>5</v>
      </c>
    </row>
    <row r="131" ht="12.75" customHeight="1">
      <c r="A131" s="18"/>
      <c r="B131" s="54">
        <v>2.0</v>
      </c>
      <c r="C131" s="55" t="s">
        <v>111</v>
      </c>
      <c r="D131" s="56"/>
      <c r="E131" s="71">
        <v>0.0</v>
      </c>
      <c r="F131" s="71">
        <v>0.0</v>
      </c>
      <c r="G131" s="71">
        <v>0.0</v>
      </c>
      <c r="H131" s="71">
        <v>1.0</v>
      </c>
      <c r="I131" s="71">
        <v>0.0</v>
      </c>
      <c r="J131" s="71">
        <v>0.0</v>
      </c>
      <c r="K131" s="71">
        <v>0.0</v>
      </c>
      <c r="L131" s="71">
        <v>0.0</v>
      </c>
      <c r="M131" s="71">
        <v>0.0</v>
      </c>
      <c r="N131" s="71">
        <v>0.0</v>
      </c>
      <c r="O131" s="71">
        <v>0.0</v>
      </c>
      <c r="P131" s="71">
        <v>0.0</v>
      </c>
      <c r="Q131" s="71">
        <v>0.0</v>
      </c>
      <c r="R131" s="71">
        <v>0.0</v>
      </c>
      <c r="S131" s="71">
        <v>0.0</v>
      </c>
      <c r="T131" s="71">
        <v>0.0</v>
      </c>
      <c r="U131" s="71">
        <v>1.0</v>
      </c>
      <c r="V131" s="71">
        <v>1.0</v>
      </c>
      <c r="W131" s="6">
        <f t="shared" si="36"/>
        <v>3</v>
      </c>
    </row>
    <row r="132" ht="12.75" customHeight="1">
      <c r="A132" s="18"/>
      <c r="B132" s="54">
        <v>3.0</v>
      </c>
      <c r="C132" s="55" t="s">
        <v>112</v>
      </c>
      <c r="D132" s="56"/>
      <c r="E132" s="71">
        <v>0.0</v>
      </c>
      <c r="F132" s="71">
        <v>0.0</v>
      </c>
      <c r="G132" s="71">
        <v>0.0</v>
      </c>
      <c r="H132" s="71">
        <v>0.0</v>
      </c>
      <c r="I132" s="71">
        <v>0.0</v>
      </c>
      <c r="J132" s="71">
        <v>0.0</v>
      </c>
      <c r="K132" s="71">
        <v>0.0</v>
      </c>
      <c r="L132" s="71">
        <v>0.0</v>
      </c>
      <c r="M132" s="71">
        <v>0.0</v>
      </c>
      <c r="N132" s="71">
        <v>0.0</v>
      </c>
      <c r="O132" s="71">
        <v>0.0</v>
      </c>
      <c r="P132" s="71">
        <v>0.0</v>
      </c>
      <c r="Q132" s="71">
        <v>0.0</v>
      </c>
      <c r="R132" s="71">
        <v>0.0</v>
      </c>
      <c r="S132" s="71">
        <v>1.0</v>
      </c>
      <c r="T132" s="71">
        <v>0.0</v>
      </c>
      <c r="U132" s="71">
        <v>0.0</v>
      </c>
      <c r="V132" s="71">
        <v>0.0</v>
      </c>
      <c r="W132" s="6">
        <f t="shared" si="36"/>
        <v>1</v>
      </c>
    </row>
    <row r="133" ht="12.75" customHeight="1">
      <c r="A133" s="18"/>
      <c r="B133" s="54">
        <v>4.0</v>
      </c>
      <c r="C133" s="55" t="s">
        <v>113</v>
      </c>
      <c r="D133" s="56"/>
      <c r="E133" s="71">
        <v>0.0</v>
      </c>
      <c r="F133" s="71">
        <v>0.0</v>
      </c>
      <c r="G133" s="71">
        <v>0.0</v>
      </c>
      <c r="H133" s="71">
        <v>0.0</v>
      </c>
      <c r="I133" s="71">
        <v>0.0</v>
      </c>
      <c r="J133" s="71">
        <v>0.0</v>
      </c>
      <c r="K133" s="71">
        <v>0.0</v>
      </c>
      <c r="L133" s="71">
        <v>0.0</v>
      </c>
      <c r="M133" s="71">
        <v>0.0</v>
      </c>
      <c r="N133" s="71">
        <v>0.0</v>
      </c>
      <c r="O133" s="71">
        <v>0.0</v>
      </c>
      <c r="P133" s="71">
        <v>0.0</v>
      </c>
      <c r="Q133" s="71">
        <v>0.0</v>
      </c>
      <c r="R133" s="71">
        <v>0.0</v>
      </c>
      <c r="S133" s="71">
        <v>0.0</v>
      </c>
      <c r="T133" s="71">
        <v>0.0</v>
      </c>
      <c r="U133" s="71">
        <v>0.0</v>
      </c>
      <c r="V133" s="71">
        <v>0.0</v>
      </c>
      <c r="W133" s="6">
        <f t="shared" si="36"/>
        <v>0</v>
      </c>
    </row>
    <row r="134" ht="12.75" customHeight="1">
      <c r="A134" s="18"/>
      <c r="B134" s="54">
        <v>5.0</v>
      </c>
      <c r="C134" s="55" t="s">
        <v>114</v>
      </c>
      <c r="D134" s="56"/>
      <c r="E134" s="71">
        <v>0.0</v>
      </c>
      <c r="F134" s="71">
        <v>0.0</v>
      </c>
      <c r="G134" s="71">
        <v>0.0</v>
      </c>
      <c r="H134" s="71">
        <v>0.0</v>
      </c>
      <c r="I134" s="71">
        <v>0.0</v>
      </c>
      <c r="J134" s="71">
        <v>0.0</v>
      </c>
      <c r="K134" s="71">
        <v>0.0</v>
      </c>
      <c r="L134" s="71">
        <v>0.0</v>
      </c>
      <c r="M134" s="71">
        <v>0.0</v>
      </c>
      <c r="N134" s="71">
        <v>0.0</v>
      </c>
      <c r="O134" s="71">
        <v>0.0</v>
      </c>
      <c r="P134" s="71">
        <v>0.0</v>
      </c>
      <c r="Q134" s="71">
        <v>0.0</v>
      </c>
      <c r="R134" s="71">
        <v>0.0</v>
      </c>
      <c r="S134" s="71">
        <v>0.0</v>
      </c>
      <c r="T134" s="71">
        <v>0.0</v>
      </c>
      <c r="U134" s="71">
        <v>0.0</v>
      </c>
      <c r="V134" s="71">
        <v>0.0</v>
      </c>
      <c r="W134" s="6">
        <f t="shared" si="36"/>
        <v>0</v>
      </c>
    </row>
    <row r="135" ht="12.75" customHeight="1">
      <c r="A135" s="18"/>
      <c r="B135" s="54">
        <v>6.0</v>
      </c>
      <c r="C135" s="55" t="s">
        <v>115</v>
      </c>
      <c r="D135" s="56"/>
      <c r="E135" s="71">
        <v>0.0</v>
      </c>
      <c r="F135" s="71">
        <v>0.0</v>
      </c>
      <c r="G135" s="71">
        <v>0.0</v>
      </c>
      <c r="H135" s="71">
        <v>0.0</v>
      </c>
      <c r="I135" s="71">
        <v>0.0</v>
      </c>
      <c r="J135" s="71">
        <v>0.0</v>
      </c>
      <c r="K135" s="71">
        <v>0.0</v>
      </c>
      <c r="L135" s="71">
        <v>1.0</v>
      </c>
      <c r="M135" s="71">
        <v>0.0</v>
      </c>
      <c r="N135" s="71">
        <v>0.0</v>
      </c>
      <c r="O135" s="71">
        <v>0.0</v>
      </c>
      <c r="P135" s="71">
        <v>0.0</v>
      </c>
      <c r="Q135" s="71">
        <v>0.0</v>
      </c>
      <c r="R135" s="71">
        <v>0.0</v>
      </c>
      <c r="S135" s="71">
        <v>1.0</v>
      </c>
      <c r="T135" s="71">
        <v>1.0</v>
      </c>
      <c r="U135" s="71">
        <v>0.0</v>
      </c>
      <c r="V135" s="71">
        <v>1.0</v>
      </c>
      <c r="W135" s="6">
        <f t="shared" si="36"/>
        <v>4</v>
      </c>
    </row>
    <row r="136" ht="12.75" customHeight="1">
      <c r="A136" s="13" t="s">
        <v>15</v>
      </c>
      <c r="B136" s="51" t="s">
        <v>46</v>
      </c>
      <c r="C136" s="8"/>
      <c r="D136" s="9"/>
      <c r="E136" s="57">
        <f t="shared" ref="E136:V136" si="37">SUM(E129:E135)</f>
        <v>0</v>
      </c>
      <c r="F136" s="57">
        <f t="shared" si="37"/>
        <v>0</v>
      </c>
      <c r="G136" s="57">
        <f t="shared" si="37"/>
        <v>2</v>
      </c>
      <c r="H136" s="57">
        <f t="shared" si="37"/>
        <v>1</v>
      </c>
      <c r="I136" s="57">
        <f t="shared" si="37"/>
        <v>0</v>
      </c>
      <c r="J136" s="57">
        <f t="shared" si="37"/>
        <v>3</v>
      </c>
      <c r="K136" s="57">
        <f t="shared" si="37"/>
        <v>2</v>
      </c>
      <c r="L136" s="57">
        <f t="shared" si="37"/>
        <v>2</v>
      </c>
      <c r="M136" s="57">
        <f t="shared" si="37"/>
        <v>0</v>
      </c>
      <c r="N136" s="57">
        <f t="shared" si="37"/>
        <v>0</v>
      </c>
      <c r="O136" s="57">
        <f t="shared" si="37"/>
        <v>0</v>
      </c>
      <c r="P136" s="57">
        <f t="shared" si="37"/>
        <v>0</v>
      </c>
      <c r="Q136" s="57">
        <f t="shared" si="37"/>
        <v>1</v>
      </c>
      <c r="R136" s="57">
        <f t="shared" si="37"/>
        <v>0</v>
      </c>
      <c r="S136" s="57">
        <f t="shared" si="37"/>
        <v>3</v>
      </c>
      <c r="T136" s="57">
        <f t="shared" si="37"/>
        <v>4</v>
      </c>
      <c r="U136" s="57">
        <f t="shared" si="37"/>
        <v>4</v>
      </c>
      <c r="V136" s="57">
        <f t="shared" si="37"/>
        <v>2</v>
      </c>
      <c r="W136" s="6">
        <f t="shared" si="36"/>
        <v>24</v>
      </c>
    </row>
    <row r="137" ht="12.75" customHeight="1">
      <c r="A137" s="68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"/>
    </row>
    <row r="138" ht="12.75" customHeight="1">
      <c r="A138" s="33" t="s">
        <v>37</v>
      </c>
      <c r="B138" s="51" t="s">
        <v>116</v>
      </c>
      <c r="C138" s="52" t="s">
        <v>117</v>
      </c>
      <c r="D138" s="9"/>
      <c r="E138" s="71">
        <v>0.0</v>
      </c>
      <c r="F138" s="71">
        <v>0.0</v>
      </c>
      <c r="G138" s="71">
        <v>0.0</v>
      </c>
      <c r="H138" s="71">
        <v>0.0</v>
      </c>
      <c r="I138" s="71">
        <v>0.0</v>
      </c>
      <c r="J138" s="71">
        <v>0.0</v>
      </c>
      <c r="K138" s="71">
        <v>0.0</v>
      </c>
      <c r="L138" s="71">
        <v>0.0</v>
      </c>
      <c r="M138" s="71">
        <v>0.0</v>
      </c>
      <c r="N138" s="71">
        <v>0.0</v>
      </c>
      <c r="O138" s="71">
        <v>0.0</v>
      </c>
      <c r="P138" s="71">
        <v>0.0</v>
      </c>
      <c r="Q138" s="71">
        <v>0.0</v>
      </c>
      <c r="R138" s="71">
        <v>1.0</v>
      </c>
      <c r="S138" s="71">
        <v>0.0</v>
      </c>
      <c r="T138" s="71">
        <v>0.0</v>
      </c>
      <c r="U138" s="71">
        <v>0.0</v>
      </c>
      <c r="V138" s="71">
        <v>0.0</v>
      </c>
      <c r="W138" s="6">
        <f t="shared" ref="W138:W144" si="38">SUM(E138:V138)</f>
        <v>1</v>
      </c>
    </row>
    <row r="139" ht="12.75" customHeight="1">
      <c r="A139" s="33" t="s">
        <v>39</v>
      </c>
      <c r="B139" s="54">
        <v>1.0</v>
      </c>
      <c r="C139" s="55" t="s">
        <v>118</v>
      </c>
      <c r="D139" s="56"/>
      <c r="E139" s="71">
        <v>0.0</v>
      </c>
      <c r="F139" s="71">
        <v>0.0</v>
      </c>
      <c r="G139" s="71">
        <v>0.0</v>
      </c>
      <c r="H139" s="71">
        <v>1.0</v>
      </c>
      <c r="I139" s="71">
        <v>0.0</v>
      </c>
      <c r="J139" s="71">
        <v>0.0</v>
      </c>
      <c r="K139" s="71">
        <v>0.0</v>
      </c>
      <c r="L139" s="71">
        <v>0.0</v>
      </c>
      <c r="M139" s="71">
        <v>0.0</v>
      </c>
      <c r="N139" s="71">
        <v>0.0</v>
      </c>
      <c r="O139" s="71">
        <v>0.0</v>
      </c>
      <c r="P139" s="71">
        <v>0.0</v>
      </c>
      <c r="Q139" s="71">
        <v>0.0</v>
      </c>
      <c r="R139" s="71">
        <v>0.0</v>
      </c>
      <c r="S139" s="71">
        <v>0.0</v>
      </c>
      <c r="T139" s="71">
        <v>0.0</v>
      </c>
      <c r="U139" s="71">
        <v>0.0</v>
      </c>
      <c r="V139" s="71">
        <v>1.0</v>
      </c>
      <c r="W139" s="6">
        <f t="shared" si="38"/>
        <v>2</v>
      </c>
    </row>
    <row r="140" ht="12.75" customHeight="1">
      <c r="A140" s="18"/>
      <c r="B140" s="54">
        <v>2.0</v>
      </c>
      <c r="C140" s="55" t="s">
        <v>119</v>
      </c>
      <c r="D140" s="56"/>
      <c r="E140" s="71">
        <v>0.0</v>
      </c>
      <c r="F140" s="71">
        <v>0.0</v>
      </c>
      <c r="G140" s="71">
        <v>0.0</v>
      </c>
      <c r="H140" s="71">
        <v>0.0</v>
      </c>
      <c r="I140" s="71">
        <v>0.0</v>
      </c>
      <c r="J140" s="71">
        <v>0.0</v>
      </c>
      <c r="K140" s="71">
        <v>0.0</v>
      </c>
      <c r="L140" s="71">
        <v>0.0</v>
      </c>
      <c r="M140" s="71">
        <v>0.0</v>
      </c>
      <c r="N140" s="71">
        <v>0.0</v>
      </c>
      <c r="O140" s="71">
        <v>0.0</v>
      </c>
      <c r="P140" s="71">
        <v>0.0</v>
      </c>
      <c r="Q140" s="71">
        <v>0.0</v>
      </c>
      <c r="R140" s="71">
        <v>0.0</v>
      </c>
      <c r="S140" s="71">
        <v>1.0</v>
      </c>
      <c r="T140" s="71">
        <v>0.0</v>
      </c>
      <c r="U140" s="71">
        <v>0.0</v>
      </c>
      <c r="V140" s="71">
        <v>0.0</v>
      </c>
      <c r="W140" s="6">
        <f t="shared" si="38"/>
        <v>1</v>
      </c>
    </row>
    <row r="141" ht="12.75" customHeight="1">
      <c r="A141" s="18"/>
      <c r="B141" s="54">
        <v>3.0</v>
      </c>
      <c r="C141" s="55" t="s">
        <v>120</v>
      </c>
      <c r="D141" s="56"/>
      <c r="E141" s="71">
        <v>0.0</v>
      </c>
      <c r="F141" s="71">
        <v>0.0</v>
      </c>
      <c r="G141" s="71">
        <v>0.0</v>
      </c>
      <c r="H141" s="71">
        <v>0.0</v>
      </c>
      <c r="I141" s="71">
        <v>0.0</v>
      </c>
      <c r="J141" s="71">
        <v>0.0</v>
      </c>
      <c r="K141" s="71">
        <v>0.0</v>
      </c>
      <c r="L141" s="71">
        <v>0.0</v>
      </c>
      <c r="M141" s="71">
        <v>0.0</v>
      </c>
      <c r="N141" s="71">
        <v>0.0</v>
      </c>
      <c r="O141" s="71">
        <v>0.0</v>
      </c>
      <c r="P141" s="71">
        <v>0.0</v>
      </c>
      <c r="Q141" s="71">
        <v>0.0</v>
      </c>
      <c r="R141" s="71">
        <v>0.0</v>
      </c>
      <c r="S141" s="71">
        <v>1.0</v>
      </c>
      <c r="T141" s="71">
        <v>0.0</v>
      </c>
      <c r="U141" s="71">
        <v>0.0</v>
      </c>
      <c r="V141" s="71">
        <v>0.0</v>
      </c>
      <c r="W141" s="6">
        <f t="shared" si="38"/>
        <v>1</v>
      </c>
    </row>
    <row r="142" ht="12.75" customHeight="1">
      <c r="A142" s="18"/>
      <c r="B142" s="54">
        <v>4.0</v>
      </c>
      <c r="C142" s="55" t="s">
        <v>121</v>
      </c>
      <c r="D142" s="56"/>
      <c r="E142" s="71">
        <v>0.0</v>
      </c>
      <c r="F142" s="71">
        <v>0.0</v>
      </c>
      <c r="G142" s="71">
        <v>0.0</v>
      </c>
      <c r="H142" s="71">
        <v>0.0</v>
      </c>
      <c r="I142" s="71">
        <v>0.0</v>
      </c>
      <c r="J142" s="71">
        <v>0.0</v>
      </c>
      <c r="K142" s="71">
        <v>0.0</v>
      </c>
      <c r="L142" s="71">
        <v>0.0</v>
      </c>
      <c r="M142" s="71">
        <v>0.0</v>
      </c>
      <c r="N142" s="71">
        <v>0.0</v>
      </c>
      <c r="O142" s="71">
        <v>0.0</v>
      </c>
      <c r="P142" s="71">
        <v>0.0</v>
      </c>
      <c r="Q142" s="71">
        <v>0.0</v>
      </c>
      <c r="R142" s="71">
        <v>0.0</v>
      </c>
      <c r="S142" s="71">
        <v>0.0</v>
      </c>
      <c r="T142" s="71">
        <v>1.0</v>
      </c>
      <c r="U142" s="71">
        <v>0.0</v>
      </c>
      <c r="V142" s="71">
        <v>0.0</v>
      </c>
      <c r="W142" s="6">
        <f t="shared" si="38"/>
        <v>1</v>
      </c>
    </row>
    <row r="143" ht="12.75" customHeight="1">
      <c r="A143" s="18"/>
      <c r="B143" s="54">
        <v>5.0</v>
      </c>
      <c r="C143" s="55" t="s">
        <v>122</v>
      </c>
      <c r="D143" s="56"/>
      <c r="E143" s="71">
        <v>0.0</v>
      </c>
      <c r="F143" s="71">
        <v>0.0</v>
      </c>
      <c r="G143" s="71">
        <v>0.0</v>
      </c>
      <c r="H143" s="71">
        <v>0.0</v>
      </c>
      <c r="I143" s="71">
        <v>0.0</v>
      </c>
      <c r="J143" s="71">
        <v>0.0</v>
      </c>
      <c r="K143" s="71">
        <v>0.0</v>
      </c>
      <c r="L143" s="71">
        <v>0.0</v>
      </c>
      <c r="M143" s="71">
        <v>0.0</v>
      </c>
      <c r="N143" s="71">
        <v>0.0</v>
      </c>
      <c r="O143" s="71">
        <v>0.0</v>
      </c>
      <c r="P143" s="71">
        <v>0.0</v>
      </c>
      <c r="Q143" s="71">
        <v>0.0</v>
      </c>
      <c r="R143" s="71">
        <v>0.0</v>
      </c>
      <c r="S143" s="71">
        <v>0.0</v>
      </c>
      <c r="T143" s="71">
        <v>0.0</v>
      </c>
      <c r="U143" s="71">
        <v>0.0</v>
      </c>
      <c r="V143" s="71">
        <v>0.0</v>
      </c>
      <c r="W143" s="6">
        <f t="shared" si="38"/>
        <v>0</v>
      </c>
    </row>
    <row r="144" ht="12.75" customHeight="1">
      <c r="A144" s="13" t="s">
        <v>15</v>
      </c>
      <c r="B144" s="51" t="s">
        <v>46</v>
      </c>
      <c r="C144" s="8"/>
      <c r="D144" s="9"/>
      <c r="E144" s="57">
        <f t="shared" ref="E144:V144" si="39">SUM(E138:E143)</f>
        <v>0</v>
      </c>
      <c r="F144" s="57">
        <f t="shared" si="39"/>
        <v>0</v>
      </c>
      <c r="G144" s="57">
        <f t="shared" si="39"/>
        <v>0</v>
      </c>
      <c r="H144" s="57">
        <f t="shared" si="39"/>
        <v>1</v>
      </c>
      <c r="I144" s="57">
        <f t="shared" si="39"/>
        <v>0</v>
      </c>
      <c r="J144" s="57">
        <f t="shared" si="39"/>
        <v>0</v>
      </c>
      <c r="K144" s="57">
        <f t="shared" si="39"/>
        <v>0</v>
      </c>
      <c r="L144" s="57">
        <f t="shared" si="39"/>
        <v>0</v>
      </c>
      <c r="M144" s="57">
        <f t="shared" si="39"/>
        <v>0</v>
      </c>
      <c r="N144" s="57">
        <f t="shared" si="39"/>
        <v>0</v>
      </c>
      <c r="O144" s="57">
        <f t="shared" si="39"/>
        <v>0</v>
      </c>
      <c r="P144" s="57">
        <f t="shared" si="39"/>
        <v>0</v>
      </c>
      <c r="Q144" s="57">
        <f t="shared" si="39"/>
        <v>0</v>
      </c>
      <c r="R144" s="57">
        <f t="shared" si="39"/>
        <v>1</v>
      </c>
      <c r="S144" s="57">
        <f t="shared" si="39"/>
        <v>2</v>
      </c>
      <c r="T144" s="57">
        <f t="shared" si="39"/>
        <v>1</v>
      </c>
      <c r="U144" s="57">
        <f t="shared" si="39"/>
        <v>0</v>
      </c>
      <c r="V144" s="57">
        <f t="shared" si="39"/>
        <v>1</v>
      </c>
      <c r="W144" s="6">
        <f t="shared" si="38"/>
        <v>6</v>
      </c>
    </row>
    <row r="145" ht="12.75" customHeight="1">
      <c r="A145" s="68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"/>
    </row>
    <row r="146" ht="12.75" customHeight="1">
      <c r="A146" s="33" t="s">
        <v>37</v>
      </c>
      <c r="B146" s="51" t="s">
        <v>123</v>
      </c>
      <c r="C146" s="52" t="s">
        <v>124</v>
      </c>
      <c r="D146" s="9"/>
      <c r="E146" s="71">
        <v>0.0</v>
      </c>
      <c r="F146" s="71">
        <v>0.0</v>
      </c>
      <c r="G146" s="71">
        <v>0.0</v>
      </c>
      <c r="H146" s="71">
        <v>1.0</v>
      </c>
      <c r="I146" s="71">
        <v>0.0</v>
      </c>
      <c r="J146" s="71">
        <v>0.0</v>
      </c>
      <c r="K146" s="71">
        <v>0.0</v>
      </c>
      <c r="L146" s="71">
        <v>1.0</v>
      </c>
      <c r="M146" s="71">
        <v>1.0</v>
      </c>
      <c r="N146" s="71">
        <v>0.0</v>
      </c>
      <c r="O146" s="71">
        <v>0.0</v>
      </c>
      <c r="P146" s="71">
        <v>1.0</v>
      </c>
      <c r="Q146" s="71">
        <v>1.0</v>
      </c>
      <c r="R146" s="71">
        <v>0.0</v>
      </c>
      <c r="S146" s="71">
        <v>0.0</v>
      </c>
      <c r="T146" s="71">
        <v>1.0</v>
      </c>
      <c r="U146" s="71">
        <v>3.0</v>
      </c>
      <c r="V146" s="71">
        <v>6.0</v>
      </c>
      <c r="W146" s="6">
        <f t="shared" ref="W146:W153" si="40">SUM(E146:V146)</f>
        <v>15</v>
      </c>
    </row>
    <row r="147" ht="12.75" customHeight="1">
      <c r="A147" s="33" t="s">
        <v>39</v>
      </c>
      <c r="B147" s="54">
        <v>1.0</v>
      </c>
      <c r="C147" s="55" t="s">
        <v>125</v>
      </c>
      <c r="D147" s="56"/>
      <c r="E147" s="71">
        <v>0.0</v>
      </c>
      <c r="F147" s="71">
        <v>0.0</v>
      </c>
      <c r="G147" s="71">
        <v>0.0</v>
      </c>
      <c r="H147" s="71">
        <v>0.0</v>
      </c>
      <c r="I147" s="71">
        <v>0.0</v>
      </c>
      <c r="J147" s="71">
        <v>0.0</v>
      </c>
      <c r="K147" s="71">
        <v>0.0</v>
      </c>
      <c r="L147" s="71">
        <v>1.0</v>
      </c>
      <c r="M147" s="71">
        <v>0.0</v>
      </c>
      <c r="N147" s="71">
        <v>0.0</v>
      </c>
      <c r="O147" s="71">
        <v>0.0</v>
      </c>
      <c r="P147" s="71">
        <v>1.0</v>
      </c>
      <c r="Q147" s="71">
        <v>1.0</v>
      </c>
      <c r="R147" s="71">
        <v>0.0</v>
      </c>
      <c r="S147" s="71">
        <v>0.0</v>
      </c>
      <c r="T147" s="71">
        <v>1.0</v>
      </c>
      <c r="U147" s="71">
        <v>1.0</v>
      </c>
      <c r="V147" s="71">
        <v>1.0</v>
      </c>
      <c r="W147" s="6">
        <f t="shared" si="40"/>
        <v>6</v>
      </c>
    </row>
    <row r="148" ht="12.75" customHeight="1">
      <c r="A148" s="18"/>
      <c r="B148" s="54">
        <v>2.0</v>
      </c>
      <c r="C148" s="55" t="s">
        <v>126</v>
      </c>
      <c r="D148" s="56"/>
      <c r="E148" s="71">
        <v>0.0</v>
      </c>
      <c r="F148" s="71">
        <v>6.0</v>
      </c>
      <c r="G148" s="71">
        <v>0.0</v>
      </c>
      <c r="H148" s="71">
        <v>1.0</v>
      </c>
      <c r="I148" s="71">
        <v>0.0</v>
      </c>
      <c r="J148" s="71">
        <v>1.0</v>
      </c>
      <c r="K148" s="71">
        <v>1.0</v>
      </c>
      <c r="L148" s="71">
        <v>5.0</v>
      </c>
      <c r="M148" s="71">
        <v>2.0</v>
      </c>
      <c r="N148" s="71">
        <v>2.0</v>
      </c>
      <c r="O148" s="71">
        <v>1.0</v>
      </c>
      <c r="P148" s="71">
        <v>6.0</v>
      </c>
      <c r="Q148" s="71">
        <v>2.0</v>
      </c>
      <c r="R148" s="71">
        <v>3.0</v>
      </c>
      <c r="S148" s="71">
        <v>2.0</v>
      </c>
      <c r="T148" s="71">
        <v>1.0</v>
      </c>
      <c r="U148" s="71">
        <v>8.0</v>
      </c>
      <c r="V148" s="71">
        <v>13.0</v>
      </c>
      <c r="W148" s="6">
        <f t="shared" si="40"/>
        <v>54</v>
      </c>
    </row>
    <row r="149" ht="12.75" customHeight="1">
      <c r="A149" s="18"/>
      <c r="B149" s="54">
        <v>3.0</v>
      </c>
      <c r="C149" s="55" t="s">
        <v>127</v>
      </c>
      <c r="D149" s="56"/>
      <c r="E149" s="71">
        <v>0.0</v>
      </c>
      <c r="F149" s="71">
        <v>0.0</v>
      </c>
      <c r="G149" s="71">
        <v>0.0</v>
      </c>
      <c r="H149" s="71">
        <v>0.0</v>
      </c>
      <c r="I149" s="71">
        <v>0.0</v>
      </c>
      <c r="J149" s="71">
        <v>1.0</v>
      </c>
      <c r="K149" s="71">
        <v>0.0</v>
      </c>
      <c r="L149" s="71">
        <v>0.0</v>
      </c>
      <c r="M149" s="71">
        <v>0.0</v>
      </c>
      <c r="N149" s="71">
        <v>0.0</v>
      </c>
      <c r="O149" s="71">
        <v>2.0</v>
      </c>
      <c r="P149" s="71">
        <v>0.0</v>
      </c>
      <c r="Q149" s="71">
        <v>0.0</v>
      </c>
      <c r="R149" s="71">
        <v>0.0</v>
      </c>
      <c r="S149" s="71">
        <v>1.0</v>
      </c>
      <c r="T149" s="71">
        <v>0.0</v>
      </c>
      <c r="U149" s="71">
        <v>0.0</v>
      </c>
      <c r="V149" s="71">
        <v>0.0</v>
      </c>
      <c r="W149" s="6">
        <f t="shared" si="40"/>
        <v>4</v>
      </c>
    </row>
    <row r="150" ht="12.75" customHeight="1">
      <c r="A150" s="18"/>
      <c r="B150" s="54">
        <v>4.0</v>
      </c>
      <c r="C150" s="55" t="s">
        <v>128</v>
      </c>
      <c r="D150" s="56"/>
      <c r="E150" s="71">
        <v>0.0</v>
      </c>
      <c r="F150" s="71">
        <v>0.0</v>
      </c>
      <c r="G150" s="71">
        <v>0.0</v>
      </c>
      <c r="H150" s="71">
        <v>0.0</v>
      </c>
      <c r="I150" s="71">
        <v>0.0</v>
      </c>
      <c r="J150" s="71">
        <v>0.0</v>
      </c>
      <c r="K150" s="71">
        <v>1.0</v>
      </c>
      <c r="L150" s="71">
        <v>0.0</v>
      </c>
      <c r="M150" s="71">
        <v>0.0</v>
      </c>
      <c r="N150" s="71">
        <v>0.0</v>
      </c>
      <c r="O150" s="71">
        <v>0.0</v>
      </c>
      <c r="P150" s="71">
        <v>0.0</v>
      </c>
      <c r="Q150" s="71">
        <v>0.0</v>
      </c>
      <c r="R150" s="71">
        <v>0.0</v>
      </c>
      <c r="S150" s="71">
        <v>0.0</v>
      </c>
      <c r="T150" s="71">
        <v>0.0</v>
      </c>
      <c r="U150" s="71">
        <v>1.0</v>
      </c>
      <c r="V150" s="71">
        <v>0.0</v>
      </c>
      <c r="W150" s="6">
        <f t="shared" si="40"/>
        <v>2</v>
      </c>
    </row>
    <row r="151" ht="12.75" customHeight="1">
      <c r="A151" s="18"/>
      <c r="B151" s="54">
        <v>5.0</v>
      </c>
      <c r="C151" s="55" t="s">
        <v>129</v>
      </c>
      <c r="D151" s="56"/>
      <c r="E151" s="71">
        <v>0.0</v>
      </c>
      <c r="F151" s="71">
        <v>0.0</v>
      </c>
      <c r="G151" s="71">
        <v>0.0</v>
      </c>
      <c r="H151" s="71">
        <v>0.0</v>
      </c>
      <c r="I151" s="71">
        <v>0.0</v>
      </c>
      <c r="J151" s="71">
        <v>0.0</v>
      </c>
      <c r="K151" s="71">
        <v>0.0</v>
      </c>
      <c r="L151" s="71">
        <v>0.0</v>
      </c>
      <c r="M151" s="71">
        <v>0.0</v>
      </c>
      <c r="N151" s="71">
        <v>0.0</v>
      </c>
      <c r="O151" s="71">
        <v>0.0</v>
      </c>
      <c r="P151" s="71">
        <v>0.0</v>
      </c>
      <c r="Q151" s="71">
        <v>0.0</v>
      </c>
      <c r="R151" s="71">
        <v>0.0</v>
      </c>
      <c r="S151" s="71">
        <v>0.0</v>
      </c>
      <c r="T151" s="71">
        <v>0.0</v>
      </c>
      <c r="U151" s="71">
        <v>1.0</v>
      </c>
      <c r="V151" s="71">
        <v>0.0</v>
      </c>
      <c r="W151" s="6">
        <f t="shared" si="40"/>
        <v>1</v>
      </c>
    </row>
    <row r="152" ht="12.75" customHeight="1">
      <c r="A152" s="18"/>
      <c r="B152" s="54">
        <v>6.0</v>
      </c>
      <c r="C152" s="55" t="s">
        <v>130</v>
      </c>
      <c r="D152" s="56"/>
      <c r="E152" s="71">
        <v>0.0</v>
      </c>
      <c r="F152" s="71">
        <v>0.0</v>
      </c>
      <c r="G152" s="71">
        <v>0.0</v>
      </c>
      <c r="H152" s="71">
        <v>1.0</v>
      </c>
      <c r="I152" s="71">
        <v>0.0</v>
      </c>
      <c r="J152" s="71">
        <v>0.0</v>
      </c>
      <c r="K152" s="71">
        <v>0.0</v>
      </c>
      <c r="L152" s="71">
        <v>0.0</v>
      </c>
      <c r="M152" s="71">
        <v>0.0</v>
      </c>
      <c r="N152" s="71">
        <v>0.0</v>
      </c>
      <c r="O152" s="71">
        <v>0.0</v>
      </c>
      <c r="P152" s="71">
        <v>0.0</v>
      </c>
      <c r="Q152" s="71">
        <v>0.0</v>
      </c>
      <c r="R152" s="71">
        <v>0.0</v>
      </c>
      <c r="S152" s="71">
        <v>0.0</v>
      </c>
      <c r="T152" s="71">
        <v>0.0</v>
      </c>
      <c r="U152" s="71">
        <v>0.0</v>
      </c>
      <c r="V152" s="71">
        <v>1.0</v>
      </c>
      <c r="W152" s="6">
        <f t="shared" si="40"/>
        <v>2</v>
      </c>
    </row>
    <row r="153" ht="12.75" customHeight="1">
      <c r="A153" s="13" t="s">
        <v>15</v>
      </c>
      <c r="B153" s="51" t="s">
        <v>46</v>
      </c>
      <c r="C153" s="8"/>
      <c r="D153" s="9"/>
      <c r="E153" s="57">
        <f t="shared" ref="E153:V153" si="41">SUM(E146:E152)</f>
        <v>0</v>
      </c>
      <c r="F153" s="57">
        <f t="shared" si="41"/>
        <v>6</v>
      </c>
      <c r="G153" s="57">
        <f t="shared" si="41"/>
        <v>0</v>
      </c>
      <c r="H153" s="57">
        <f t="shared" si="41"/>
        <v>3</v>
      </c>
      <c r="I153" s="57">
        <f t="shared" si="41"/>
        <v>0</v>
      </c>
      <c r="J153" s="57">
        <f t="shared" si="41"/>
        <v>2</v>
      </c>
      <c r="K153" s="57">
        <f t="shared" si="41"/>
        <v>2</v>
      </c>
      <c r="L153" s="57">
        <f t="shared" si="41"/>
        <v>7</v>
      </c>
      <c r="M153" s="57">
        <f t="shared" si="41"/>
        <v>3</v>
      </c>
      <c r="N153" s="57">
        <f t="shared" si="41"/>
        <v>2</v>
      </c>
      <c r="O153" s="57">
        <f t="shared" si="41"/>
        <v>3</v>
      </c>
      <c r="P153" s="57">
        <f t="shared" si="41"/>
        <v>8</v>
      </c>
      <c r="Q153" s="57">
        <f t="shared" si="41"/>
        <v>4</v>
      </c>
      <c r="R153" s="57">
        <f t="shared" si="41"/>
        <v>3</v>
      </c>
      <c r="S153" s="57">
        <f t="shared" si="41"/>
        <v>3</v>
      </c>
      <c r="T153" s="57">
        <f t="shared" si="41"/>
        <v>3</v>
      </c>
      <c r="U153" s="57">
        <f t="shared" si="41"/>
        <v>14</v>
      </c>
      <c r="V153" s="57">
        <f t="shared" si="41"/>
        <v>21</v>
      </c>
      <c r="W153" s="6">
        <f t="shared" si="40"/>
        <v>84</v>
      </c>
    </row>
    <row r="154" ht="12.75" customHeight="1">
      <c r="A154" s="68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"/>
    </row>
    <row r="155" ht="12.75" customHeight="1">
      <c r="A155" s="33" t="s">
        <v>37</v>
      </c>
      <c r="B155" s="51" t="s">
        <v>131</v>
      </c>
      <c r="C155" s="52" t="s">
        <v>132</v>
      </c>
      <c r="D155" s="9"/>
      <c r="E155" s="71">
        <v>1.0</v>
      </c>
      <c r="F155" s="71">
        <v>0.0</v>
      </c>
      <c r="G155" s="71">
        <v>2.0</v>
      </c>
      <c r="H155" s="71">
        <v>1.0</v>
      </c>
      <c r="I155" s="71">
        <v>9.0</v>
      </c>
      <c r="J155" s="71">
        <v>3.0</v>
      </c>
      <c r="K155" s="71">
        <v>1.0</v>
      </c>
      <c r="L155" s="71">
        <v>2.0</v>
      </c>
      <c r="M155" s="71">
        <v>0.0</v>
      </c>
      <c r="N155" s="71">
        <v>2.0</v>
      </c>
      <c r="O155" s="71">
        <v>1.0</v>
      </c>
      <c r="P155" s="71">
        <v>1.0</v>
      </c>
      <c r="Q155" s="71">
        <v>0.0</v>
      </c>
      <c r="R155" s="71">
        <v>0.0</v>
      </c>
      <c r="S155" s="71">
        <v>0.0</v>
      </c>
      <c r="T155" s="71">
        <v>0.0</v>
      </c>
      <c r="U155" s="71">
        <v>0.0</v>
      </c>
      <c r="V155" s="71">
        <v>1.0</v>
      </c>
      <c r="W155" s="6">
        <f t="shared" ref="W155:W158" si="42">SUM(E155:V155)</f>
        <v>24</v>
      </c>
    </row>
    <row r="156" ht="12.75" customHeight="1">
      <c r="A156" s="33" t="s">
        <v>39</v>
      </c>
      <c r="B156" s="54">
        <v>1.0</v>
      </c>
      <c r="C156" s="55" t="s">
        <v>133</v>
      </c>
      <c r="D156" s="56"/>
      <c r="E156" s="71">
        <v>0.0</v>
      </c>
      <c r="F156" s="71">
        <v>5.0</v>
      </c>
      <c r="G156" s="71">
        <v>6.0</v>
      </c>
      <c r="H156" s="71">
        <v>8.0</v>
      </c>
      <c r="I156" s="71">
        <v>9.0</v>
      </c>
      <c r="J156" s="71">
        <v>5.0</v>
      </c>
      <c r="K156" s="71">
        <v>5.0</v>
      </c>
      <c r="L156" s="71">
        <v>8.0</v>
      </c>
      <c r="M156" s="71">
        <v>1.0</v>
      </c>
      <c r="N156" s="71">
        <v>4.0</v>
      </c>
      <c r="O156" s="71">
        <v>9.0</v>
      </c>
      <c r="P156" s="71">
        <v>5.0</v>
      </c>
      <c r="Q156" s="71">
        <v>0.0</v>
      </c>
      <c r="R156" s="71">
        <v>5.0</v>
      </c>
      <c r="S156" s="71">
        <v>1.0</v>
      </c>
      <c r="T156" s="71">
        <v>0.0</v>
      </c>
      <c r="U156" s="71">
        <v>0.0</v>
      </c>
      <c r="V156" s="71">
        <v>2.0</v>
      </c>
      <c r="W156" s="6">
        <f t="shared" si="42"/>
        <v>73</v>
      </c>
    </row>
    <row r="157" ht="12.75" customHeight="1">
      <c r="A157" s="33"/>
      <c r="B157" s="54">
        <v>2.0</v>
      </c>
      <c r="C157" s="55" t="s">
        <v>134</v>
      </c>
      <c r="D157" s="56"/>
      <c r="E157" s="71">
        <v>0.0</v>
      </c>
      <c r="F157" s="71">
        <v>0.0</v>
      </c>
      <c r="G157" s="71">
        <v>0.0</v>
      </c>
      <c r="H157" s="71">
        <v>0.0</v>
      </c>
      <c r="I157" s="71">
        <v>2.0</v>
      </c>
      <c r="J157" s="71">
        <v>0.0</v>
      </c>
      <c r="K157" s="71">
        <v>0.0</v>
      </c>
      <c r="L157" s="71">
        <v>0.0</v>
      </c>
      <c r="M157" s="71">
        <v>1.0</v>
      </c>
      <c r="N157" s="71">
        <v>1.0</v>
      </c>
      <c r="O157" s="71">
        <v>0.0</v>
      </c>
      <c r="P157" s="71">
        <v>0.0</v>
      </c>
      <c r="Q157" s="71">
        <v>0.0</v>
      </c>
      <c r="R157" s="71">
        <v>1.0</v>
      </c>
      <c r="S157" s="71">
        <v>0.0</v>
      </c>
      <c r="T157" s="71">
        <v>0.0</v>
      </c>
      <c r="U157" s="71">
        <v>0.0</v>
      </c>
      <c r="V157" s="71">
        <v>1.0</v>
      </c>
      <c r="W157" s="6">
        <f t="shared" si="42"/>
        <v>6</v>
      </c>
    </row>
    <row r="158" ht="12.75" customHeight="1">
      <c r="A158" s="13" t="s">
        <v>15</v>
      </c>
      <c r="B158" s="51" t="s">
        <v>46</v>
      </c>
      <c r="C158" s="8"/>
      <c r="D158" s="9"/>
      <c r="E158" s="57">
        <f t="shared" ref="E158:V158" si="43">SUM(E155:E157)</f>
        <v>1</v>
      </c>
      <c r="F158" s="57">
        <f t="shared" si="43"/>
        <v>5</v>
      </c>
      <c r="G158" s="57">
        <f t="shared" si="43"/>
        <v>8</v>
      </c>
      <c r="H158" s="57">
        <f t="shared" si="43"/>
        <v>9</v>
      </c>
      <c r="I158" s="57">
        <f t="shared" si="43"/>
        <v>20</v>
      </c>
      <c r="J158" s="57">
        <f t="shared" si="43"/>
        <v>8</v>
      </c>
      <c r="K158" s="57">
        <f t="shared" si="43"/>
        <v>6</v>
      </c>
      <c r="L158" s="57">
        <f t="shared" si="43"/>
        <v>10</v>
      </c>
      <c r="M158" s="57">
        <f t="shared" si="43"/>
        <v>2</v>
      </c>
      <c r="N158" s="57">
        <f t="shared" si="43"/>
        <v>7</v>
      </c>
      <c r="O158" s="57">
        <f t="shared" si="43"/>
        <v>10</v>
      </c>
      <c r="P158" s="57">
        <f t="shared" si="43"/>
        <v>6</v>
      </c>
      <c r="Q158" s="57">
        <f t="shared" si="43"/>
        <v>0</v>
      </c>
      <c r="R158" s="57">
        <f t="shared" si="43"/>
        <v>6</v>
      </c>
      <c r="S158" s="57">
        <f t="shared" si="43"/>
        <v>1</v>
      </c>
      <c r="T158" s="57">
        <f t="shared" si="43"/>
        <v>0</v>
      </c>
      <c r="U158" s="57">
        <f t="shared" si="43"/>
        <v>0</v>
      </c>
      <c r="V158" s="57">
        <f t="shared" si="43"/>
        <v>4</v>
      </c>
      <c r="W158" s="6">
        <f t="shared" si="42"/>
        <v>103</v>
      </c>
    </row>
    <row r="159" ht="12.75" customHeight="1">
      <c r="A159" s="68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"/>
    </row>
    <row r="160" ht="12.75" customHeight="1">
      <c r="A160" s="33" t="s">
        <v>37</v>
      </c>
      <c r="B160" s="51" t="s">
        <v>135</v>
      </c>
      <c r="C160" s="52" t="s">
        <v>136</v>
      </c>
      <c r="D160" s="9"/>
      <c r="E160" s="71">
        <v>0.0</v>
      </c>
      <c r="F160" s="71">
        <v>0.0</v>
      </c>
      <c r="G160" s="71">
        <v>0.0</v>
      </c>
      <c r="H160" s="71">
        <v>1.0</v>
      </c>
      <c r="I160" s="71">
        <v>2.0</v>
      </c>
      <c r="J160" s="71">
        <v>0.0</v>
      </c>
      <c r="K160" s="71">
        <v>0.0</v>
      </c>
      <c r="L160" s="71">
        <v>1.0</v>
      </c>
      <c r="M160" s="71">
        <v>0.0</v>
      </c>
      <c r="N160" s="71">
        <v>0.0</v>
      </c>
      <c r="O160" s="71">
        <v>1.0</v>
      </c>
      <c r="P160" s="71">
        <v>0.0</v>
      </c>
      <c r="Q160" s="71">
        <v>0.0</v>
      </c>
      <c r="R160" s="71">
        <v>0.0</v>
      </c>
      <c r="S160" s="71">
        <v>1.0</v>
      </c>
      <c r="T160" s="71">
        <v>0.0</v>
      </c>
      <c r="U160" s="71">
        <v>1.0</v>
      </c>
      <c r="V160" s="71">
        <v>0.0</v>
      </c>
      <c r="W160" s="6">
        <f t="shared" ref="W160:W164" si="44">SUM(E160:V160)</f>
        <v>7</v>
      </c>
    </row>
    <row r="161" ht="12.75" customHeight="1">
      <c r="A161" s="33"/>
      <c r="B161" s="54">
        <v>1.0</v>
      </c>
      <c r="C161" s="55" t="s">
        <v>137</v>
      </c>
      <c r="D161" s="63"/>
      <c r="E161" s="71">
        <v>1.0</v>
      </c>
      <c r="F161" s="71">
        <v>0.0</v>
      </c>
      <c r="G161" s="71">
        <v>0.0</v>
      </c>
      <c r="H161" s="71">
        <v>0.0</v>
      </c>
      <c r="I161" s="71">
        <v>0.0</v>
      </c>
      <c r="J161" s="71">
        <v>0.0</v>
      </c>
      <c r="K161" s="71">
        <v>0.0</v>
      </c>
      <c r="L161" s="71">
        <v>1.0</v>
      </c>
      <c r="M161" s="71">
        <v>0.0</v>
      </c>
      <c r="N161" s="71">
        <v>0.0</v>
      </c>
      <c r="O161" s="71">
        <v>0.0</v>
      </c>
      <c r="P161" s="71">
        <v>0.0</v>
      </c>
      <c r="Q161" s="71">
        <v>0.0</v>
      </c>
      <c r="R161" s="71">
        <v>0.0</v>
      </c>
      <c r="S161" s="71">
        <v>0.0</v>
      </c>
      <c r="T161" s="71">
        <v>0.0</v>
      </c>
      <c r="U161" s="71">
        <v>0.0</v>
      </c>
      <c r="V161" s="71">
        <v>0.0</v>
      </c>
      <c r="W161" s="6">
        <f t="shared" si="44"/>
        <v>2</v>
      </c>
    </row>
    <row r="162" ht="12.75" customHeight="1">
      <c r="A162" s="33"/>
      <c r="B162" s="54">
        <v>2.0</v>
      </c>
      <c r="C162" s="55" t="s">
        <v>138</v>
      </c>
      <c r="D162" s="63"/>
      <c r="E162" s="71">
        <v>0.0</v>
      </c>
      <c r="F162" s="71">
        <v>0.0</v>
      </c>
      <c r="G162" s="71">
        <v>0.0</v>
      </c>
      <c r="H162" s="71">
        <v>0.0</v>
      </c>
      <c r="I162" s="71">
        <v>1.0</v>
      </c>
      <c r="J162" s="71">
        <v>0.0</v>
      </c>
      <c r="K162" s="71">
        <v>0.0</v>
      </c>
      <c r="L162" s="71">
        <v>0.0</v>
      </c>
      <c r="M162" s="71">
        <v>0.0</v>
      </c>
      <c r="N162" s="71">
        <v>0.0</v>
      </c>
      <c r="O162" s="71">
        <v>0.0</v>
      </c>
      <c r="P162" s="71">
        <v>0.0</v>
      </c>
      <c r="Q162" s="71">
        <v>0.0</v>
      </c>
      <c r="R162" s="71">
        <v>0.0</v>
      </c>
      <c r="S162" s="71">
        <v>0.0</v>
      </c>
      <c r="T162" s="71">
        <v>0.0</v>
      </c>
      <c r="U162" s="71">
        <v>0.0</v>
      </c>
      <c r="V162" s="71">
        <v>0.0</v>
      </c>
      <c r="W162" s="6">
        <f t="shared" si="44"/>
        <v>1</v>
      </c>
    </row>
    <row r="163" ht="12.75" customHeight="1">
      <c r="A163" s="33"/>
      <c r="B163" s="54">
        <v>3.0</v>
      </c>
      <c r="C163" s="55" t="s">
        <v>139</v>
      </c>
      <c r="D163" s="63"/>
      <c r="E163" s="71">
        <v>0.0</v>
      </c>
      <c r="F163" s="71">
        <v>0.0</v>
      </c>
      <c r="G163" s="71">
        <v>0.0</v>
      </c>
      <c r="H163" s="71">
        <v>0.0</v>
      </c>
      <c r="I163" s="71">
        <v>0.0</v>
      </c>
      <c r="J163" s="71">
        <v>0.0</v>
      </c>
      <c r="K163" s="71">
        <v>0.0</v>
      </c>
      <c r="L163" s="71">
        <v>0.0</v>
      </c>
      <c r="M163" s="71">
        <v>0.0</v>
      </c>
      <c r="N163" s="71">
        <v>0.0</v>
      </c>
      <c r="O163" s="71">
        <v>1.0</v>
      </c>
      <c r="P163" s="71">
        <v>0.0</v>
      </c>
      <c r="Q163" s="71">
        <v>0.0</v>
      </c>
      <c r="R163" s="71">
        <v>0.0</v>
      </c>
      <c r="S163" s="71">
        <v>0.0</v>
      </c>
      <c r="T163" s="71">
        <v>1.0</v>
      </c>
      <c r="U163" s="71">
        <v>0.0</v>
      </c>
      <c r="V163" s="71">
        <v>0.0</v>
      </c>
      <c r="W163" s="6">
        <f t="shared" si="44"/>
        <v>2</v>
      </c>
    </row>
    <row r="164" ht="12.75" customHeight="1">
      <c r="A164" s="13" t="s">
        <v>15</v>
      </c>
      <c r="B164" s="51" t="s">
        <v>46</v>
      </c>
      <c r="C164" s="8"/>
      <c r="D164" s="9"/>
      <c r="E164" s="57">
        <f t="shared" ref="E164:V164" si="45">SUM(E160:E163)</f>
        <v>1</v>
      </c>
      <c r="F164" s="57">
        <f t="shared" si="45"/>
        <v>0</v>
      </c>
      <c r="G164" s="57">
        <f t="shared" si="45"/>
        <v>0</v>
      </c>
      <c r="H164" s="57">
        <f t="shared" si="45"/>
        <v>1</v>
      </c>
      <c r="I164" s="57">
        <f t="shared" si="45"/>
        <v>3</v>
      </c>
      <c r="J164" s="57">
        <f t="shared" si="45"/>
        <v>0</v>
      </c>
      <c r="K164" s="57">
        <f t="shared" si="45"/>
        <v>0</v>
      </c>
      <c r="L164" s="57">
        <f t="shared" si="45"/>
        <v>2</v>
      </c>
      <c r="M164" s="57">
        <f t="shared" si="45"/>
        <v>0</v>
      </c>
      <c r="N164" s="57">
        <f t="shared" si="45"/>
        <v>0</v>
      </c>
      <c r="O164" s="57">
        <f t="shared" si="45"/>
        <v>2</v>
      </c>
      <c r="P164" s="57">
        <f t="shared" si="45"/>
        <v>0</v>
      </c>
      <c r="Q164" s="57">
        <f t="shared" si="45"/>
        <v>0</v>
      </c>
      <c r="R164" s="57">
        <f t="shared" si="45"/>
        <v>0</v>
      </c>
      <c r="S164" s="57">
        <f t="shared" si="45"/>
        <v>1</v>
      </c>
      <c r="T164" s="57">
        <f t="shared" si="45"/>
        <v>1</v>
      </c>
      <c r="U164" s="57">
        <f t="shared" si="45"/>
        <v>1</v>
      </c>
      <c r="V164" s="57">
        <f t="shared" si="45"/>
        <v>0</v>
      </c>
      <c r="W164" s="6">
        <f t="shared" si="44"/>
        <v>12</v>
      </c>
    </row>
    <row r="165" ht="12.75" customHeight="1">
      <c r="A165" s="68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"/>
    </row>
    <row r="166" ht="12.75" customHeight="1">
      <c r="A166" s="33" t="s">
        <v>37</v>
      </c>
      <c r="B166" s="51" t="s">
        <v>140</v>
      </c>
      <c r="C166" s="52" t="s">
        <v>141</v>
      </c>
      <c r="D166" s="9"/>
      <c r="E166" s="71">
        <v>0.0</v>
      </c>
      <c r="F166" s="71">
        <v>0.0</v>
      </c>
      <c r="G166" s="71">
        <v>4.0</v>
      </c>
      <c r="H166" s="71">
        <v>0.0</v>
      </c>
      <c r="I166" s="71">
        <v>1.0</v>
      </c>
      <c r="J166" s="71">
        <v>0.0</v>
      </c>
      <c r="K166" s="71">
        <v>1.0</v>
      </c>
      <c r="L166" s="71">
        <v>1.0</v>
      </c>
      <c r="M166" s="71">
        <v>2.0</v>
      </c>
      <c r="N166" s="71">
        <v>2.0</v>
      </c>
      <c r="O166" s="71">
        <v>3.0</v>
      </c>
      <c r="P166" s="71">
        <v>1.0</v>
      </c>
      <c r="Q166" s="71">
        <v>1.0</v>
      </c>
      <c r="R166" s="71">
        <v>1.0</v>
      </c>
      <c r="S166" s="71">
        <v>1.0</v>
      </c>
      <c r="T166" s="71">
        <v>0.0</v>
      </c>
      <c r="U166" s="71">
        <v>4.0</v>
      </c>
      <c r="V166" s="71">
        <v>1.0</v>
      </c>
      <c r="W166" s="6">
        <f t="shared" ref="W166:W173" si="46">SUM(E166:V166)</f>
        <v>23</v>
      </c>
    </row>
    <row r="167" ht="12.75" customHeight="1">
      <c r="A167" s="33" t="s">
        <v>39</v>
      </c>
      <c r="B167" s="54">
        <v>1.0</v>
      </c>
      <c r="C167" s="55" t="s">
        <v>142</v>
      </c>
      <c r="D167" s="56"/>
      <c r="E167" s="71">
        <v>0.0</v>
      </c>
      <c r="F167" s="71">
        <v>0.0</v>
      </c>
      <c r="G167" s="71">
        <v>2.0</v>
      </c>
      <c r="H167" s="71">
        <v>1.0</v>
      </c>
      <c r="I167" s="71">
        <v>0.0</v>
      </c>
      <c r="J167" s="71">
        <v>1.0</v>
      </c>
      <c r="K167" s="71">
        <v>0.0</v>
      </c>
      <c r="L167" s="71">
        <v>0.0</v>
      </c>
      <c r="M167" s="71">
        <v>1.0</v>
      </c>
      <c r="N167" s="71">
        <v>2.0</v>
      </c>
      <c r="O167" s="71">
        <v>2.0</v>
      </c>
      <c r="P167" s="71">
        <v>1.0</v>
      </c>
      <c r="Q167" s="71">
        <v>1.0</v>
      </c>
      <c r="R167" s="71">
        <v>0.0</v>
      </c>
      <c r="S167" s="71">
        <v>0.0</v>
      </c>
      <c r="T167" s="71">
        <v>1.0</v>
      </c>
      <c r="U167" s="71">
        <v>0.0</v>
      </c>
      <c r="V167" s="71">
        <v>0.0</v>
      </c>
      <c r="W167" s="6">
        <f t="shared" si="46"/>
        <v>12</v>
      </c>
    </row>
    <row r="168" ht="12.75" customHeight="1">
      <c r="A168" s="18"/>
      <c r="B168" s="54">
        <v>2.0</v>
      </c>
      <c r="C168" s="55" t="s">
        <v>143</v>
      </c>
      <c r="D168" s="56"/>
      <c r="E168" s="71">
        <v>1.0</v>
      </c>
      <c r="F168" s="71">
        <v>0.0</v>
      </c>
      <c r="G168" s="71">
        <v>17.0</v>
      </c>
      <c r="H168" s="71">
        <v>10.0</v>
      </c>
      <c r="I168" s="71">
        <v>5.0</v>
      </c>
      <c r="J168" s="71">
        <v>15.0</v>
      </c>
      <c r="K168" s="71">
        <v>5.0</v>
      </c>
      <c r="L168" s="71">
        <v>8.0</v>
      </c>
      <c r="M168" s="71">
        <v>14.0</v>
      </c>
      <c r="N168" s="71">
        <v>13.0</v>
      </c>
      <c r="O168" s="71">
        <v>7.0</v>
      </c>
      <c r="P168" s="71">
        <v>17.0</v>
      </c>
      <c r="Q168" s="71">
        <v>6.0</v>
      </c>
      <c r="R168" s="71">
        <v>3.0</v>
      </c>
      <c r="S168" s="71">
        <v>12.0</v>
      </c>
      <c r="T168" s="71">
        <v>0.0</v>
      </c>
      <c r="U168" s="71">
        <v>1.0</v>
      </c>
      <c r="V168" s="71">
        <v>2.0</v>
      </c>
      <c r="W168" s="6">
        <f t="shared" si="46"/>
        <v>136</v>
      </c>
    </row>
    <row r="169" ht="12.75" customHeight="1">
      <c r="A169" s="18"/>
      <c r="B169" s="54">
        <v>3.0</v>
      </c>
      <c r="C169" s="55" t="s">
        <v>144</v>
      </c>
      <c r="D169" s="56"/>
      <c r="E169" s="71">
        <v>0.0</v>
      </c>
      <c r="F169" s="71">
        <v>0.0</v>
      </c>
      <c r="G169" s="71">
        <v>1.0</v>
      </c>
      <c r="H169" s="71">
        <v>0.0</v>
      </c>
      <c r="I169" s="71">
        <v>0.0</v>
      </c>
      <c r="J169" s="71">
        <v>0.0</v>
      </c>
      <c r="K169" s="71">
        <v>0.0</v>
      </c>
      <c r="L169" s="71">
        <v>2.0</v>
      </c>
      <c r="M169" s="71">
        <v>0.0</v>
      </c>
      <c r="N169" s="71">
        <v>0.0</v>
      </c>
      <c r="O169" s="71">
        <v>0.0</v>
      </c>
      <c r="P169" s="71">
        <v>1.0</v>
      </c>
      <c r="Q169" s="71">
        <v>1.0</v>
      </c>
      <c r="R169" s="71">
        <v>0.0</v>
      </c>
      <c r="S169" s="71">
        <v>0.0</v>
      </c>
      <c r="T169" s="71">
        <v>0.0</v>
      </c>
      <c r="U169" s="71">
        <v>1.0</v>
      </c>
      <c r="V169" s="71">
        <v>0.0</v>
      </c>
      <c r="W169" s="6">
        <f t="shared" si="46"/>
        <v>6</v>
      </c>
    </row>
    <row r="170" ht="12.75" customHeight="1">
      <c r="A170" s="18"/>
      <c r="B170" s="54">
        <v>4.0</v>
      </c>
      <c r="C170" s="55" t="s">
        <v>145</v>
      </c>
      <c r="D170" s="56"/>
      <c r="E170" s="71">
        <v>0.0</v>
      </c>
      <c r="F170" s="71">
        <v>0.0</v>
      </c>
      <c r="G170" s="71">
        <v>0.0</v>
      </c>
      <c r="H170" s="71">
        <v>0.0</v>
      </c>
      <c r="I170" s="71">
        <v>0.0</v>
      </c>
      <c r="J170" s="71">
        <v>0.0</v>
      </c>
      <c r="K170" s="71">
        <v>0.0</v>
      </c>
      <c r="L170" s="71">
        <v>0.0</v>
      </c>
      <c r="M170" s="71">
        <v>0.0</v>
      </c>
      <c r="N170" s="71">
        <v>1.0</v>
      </c>
      <c r="O170" s="71">
        <v>0.0</v>
      </c>
      <c r="P170" s="71">
        <v>0.0</v>
      </c>
      <c r="Q170" s="71">
        <v>0.0</v>
      </c>
      <c r="R170" s="71">
        <v>0.0</v>
      </c>
      <c r="S170" s="71">
        <v>0.0</v>
      </c>
      <c r="T170" s="71">
        <v>1.0</v>
      </c>
      <c r="U170" s="71">
        <v>0.0</v>
      </c>
      <c r="V170" s="71">
        <v>0.0</v>
      </c>
      <c r="W170" s="6">
        <f t="shared" si="46"/>
        <v>2</v>
      </c>
    </row>
    <row r="171" ht="12.75" customHeight="1">
      <c r="A171" s="18"/>
      <c r="B171" s="54">
        <v>5.0</v>
      </c>
      <c r="C171" s="55" t="s">
        <v>146</v>
      </c>
      <c r="D171" s="56"/>
      <c r="E171" s="71">
        <v>0.0</v>
      </c>
      <c r="F171" s="71">
        <v>0.0</v>
      </c>
      <c r="G171" s="71">
        <v>0.0</v>
      </c>
      <c r="H171" s="71">
        <v>0.0</v>
      </c>
      <c r="I171" s="71">
        <v>0.0</v>
      </c>
      <c r="J171" s="71">
        <v>0.0</v>
      </c>
      <c r="K171" s="71">
        <v>0.0</v>
      </c>
      <c r="L171" s="71">
        <v>0.0</v>
      </c>
      <c r="M171" s="71">
        <v>1.0</v>
      </c>
      <c r="N171" s="71">
        <v>0.0</v>
      </c>
      <c r="O171" s="71">
        <v>0.0</v>
      </c>
      <c r="P171" s="71">
        <v>0.0</v>
      </c>
      <c r="Q171" s="71">
        <v>0.0</v>
      </c>
      <c r="R171" s="71">
        <v>0.0</v>
      </c>
      <c r="S171" s="71">
        <v>0.0</v>
      </c>
      <c r="T171" s="71">
        <v>0.0</v>
      </c>
      <c r="U171" s="71">
        <v>0.0</v>
      </c>
      <c r="V171" s="71">
        <v>0.0</v>
      </c>
      <c r="W171" s="6">
        <f t="shared" si="46"/>
        <v>1</v>
      </c>
    </row>
    <row r="172" ht="12.75" customHeight="1">
      <c r="A172" s="18"/>
      <c r="B172" s="54">
        <v>6.0</v>
      </c>
      <c r="C172" s="55" t="s">
        <v>147</v>
      </c>
      <c r="D172" s="56"/>
      <c r="E172" s="71">
        <v>0.0</v>
      </c>
      <c r="F172" s="71">
        <v>0.0</v>
      </c>
      <c r="G172" s="71">
        <v>0.0</v>
      </c>
      <c r="H172" s="71">
        <v>0.0</v>
      </c>
      <c r="I172" s="71">
        <v>0.0</v>
      </c>
      <c r="J172" s="71">
        <v>1.0</v>
      </c>
      <c r="K172" s="71">
        <v>0.0</v>
      </c>
      <c r="L172" s="71">
        <v>0.0</v>
      </c>
      <c r="M172" s="71">
        <v>0.0</v>
      </c>
      <c r="N172" s="71">
        <v>0.0</v>
      </c>
      <c r="O172" s="71">
        <v>0.0</v>
      </c>
      <c r="P172" s="71">
        <v>0.0</v>
      </c>
      <c r="Q172" s="71">
        <v>0.0</v>
      </c>
      <c r="R172" s="71">
        <v>0.0</v>
      </c>
      <c r="S172" s="71">
        <v>0.0</v>
      </c>
      <c r="T172" s="71">
        <v>0.0</v>
      </c>
      <c r="U172" s="71">
        <v>0.0</v>
      </c>
      <c r="V172" s="71">
        <v>0.0</v>
      </c>
      <c r="W172" s="6">
        <f t="shared" si="46"/>
        <v>1</v>
      </c>
    </row>
    <row r="173" ht="12.75" customHeight="1">
      <c r="A173" s="13" t="s">
        <v>15</v>
      </c>
      <c r="B173" s="51" t="s">
        <v>46</v>
      </c>
      <c r="C173" s="8"/>
      <c r="D173" s="9"/>
      <c r="E173" s="57">
        <f t="shared" ref="E173:V173" si="47">SUM(E166:E172)</f>
        <v>1</v>
      </c>
      <c r="F173" s="57">
        <f t="shared" si="47"/>
        <v>0</v>
      </c>
      <c r="G173" s="57">
        <f t="shared" si="47"/>
        <v>24</v>
      </c>
      <c r="H173" s="57">
        <f t="shared" si="47"/>
        <v>11</v>
      </c>
      <c r="I173" s="57">
        <f t="shared" si="47"/>
        <v>6</v>
      </c>
      <c r="J173" s="57">
        <f t="shared" si="47"/>
        <v>17</v>
      </c>
      <c r="K173" s="57">
        <f t="shared" si="47"/>
        <v>6</v>
      </c>
      <c r="L173" s="57">
        <f t="shared" si="47"/>
        <v>11</v>
      </c>
      <c r="M173" s="57">
        <f t="shared" si="47"/>
        <v>18</v>
      </c>
      <c r="N173" s="57">
        <f t="shared" si="47"/>
        <v>18</v>
      </c>
      <c r="O173" s="57">
        <f t="shared" si="47"/>
        <v>12</v>
      </c>
      <c r="P173" s="57">
        <f t="shared" si="47"/>
        <v>20</v>
      </c>
      <c r="Q173" s="57">
        <f t="shared" si="47"/>
        <v>9</v>
      </c>
      <c r="R173" s="57">
        <f t="shared" si="47"/>
        <v>4</v>
      </c>
      <c r="S173" s="57">
        <f t="shared" si="47"/>
        <v>13</v>
      </c>
      <c r="T173" s="57">
        <f t="shared" si="47"/>
        <v>2</v>
      </c>
      <c r="U173" s="57">
        <f t="shared" si="47"/>
        <v>6</v>
      </c>
      <c r="V173" s="57">
        <f t="shared" si="47"/>
        <v>3</v>
      </c>
      <c r="W173" s="6">
        <f t="shared" si="46"/>
        <v>181</v>
      </c>
    </row>
    <row r="174" ht="12.75" customHeight="1">
      <c r="A174" s="68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"/>
    </row>
    <row r="175" ht="12.75" customHeight="1">
      <c r="A175" s="33" t="s">
        <v>37</v>
      </c>
      <c r="B175" s="51" t="s">
        <v>148</v>
      </c>
      <c r="C175" s="52" t="s">
        <v>149</v>
      </c>
      <c r="D175" s="9"/>
      <c r="E175" s="71">
        <v>0.0</v>
      </c>
      <c r="F175" s="71">
        <v>0.0</v>
      </c>
      <c r="G175" s="71">
        <v>0.0</v>
      </c>
      <c r="H175" s="71">
        <v>0.0</v>
      </c>
      <c r="I175" s="71">
        <v>0.0</v>
      </c>
      <c r="J175" s="71">
        <v>0.0</v>
      </c>
      <c r="K175" s="71">
        <v>0.0</v>
      </c>
      <c r="L175" s="71">
        <v>1.0</v>
      </c>
      <c r="M175" s="71">
        <v>0.0</v>
      </c>
      <c r="N175" s="71">
        <v>0.0</v>
      </c>
      <c r="O175" s="71">
        <v>0.0</v>
      </c>
      <c r="P175" s="71">
        <v>1.0</v>
      </c>
      <c r="Q175" s="71">
        <v>2.0</v>
      </c>
      <c r="R175" s="71">
        <v>0.0</v>
      </c>
      <c r="S175" s="71">
        <v>0.0</v>
      </c>
      <c r="T175" s="71">
        <v>0.0</v>
      </c>
      <c r="U175" s="71">
        <v>1.0</v>
      </c>
      <c r="V175" s="71">
        <v>1.0</v>
      </c>
      <c r="W175" s="6">
        <f t="shared" ref="W175:W178" si="48">SUM(E175:V175)</f>
        <v>6</v>
      </c>
    </row>
    <row r="176" ht="12.75" customHeight="1">
      <c r="A176" s="33"/>
      <c r="B176" s="51">
        <v>1.0</v>
      </c>
      <c r="C176" s="52" t="s">
        <v>150</v>
      </c>
      <c r="D176" s="63"/>
      <c r="E176" s="71">
        <v>0.0</v>
      </c>
      <c r="F176" s="71">
        <v>0.0</v>
      </c>
      <c r="G176" s="71">
        <v>0.0</v>
      </c>
      <c r="H176" s="71">
        <v>0.0</v>
      </c>
      <c r="I176" s="71">
        <v>0.0</v>
      </c>
      <c r="J176" s="71">
        <v>0.0</v>
      </c>
      <c r="K176" s="71">
        <v>0.0</v>
      </c>
      <c r="L176" s="71">
        <v>0.0</v>
      </c>
      <c r="M176" s="71">
        <v>0.0</v>
      </c>
      <c r="N176" s="71">
        <v>0.0</v>
      </c>
      <c r="O176" s="71">
        <v>0.0</v>
      </c>
      <c r="P176" s="71">
        <v>0.0</v>
      </c>
      <c r="Q176" s="71">
        <v>0.0</v>
      </c>
      <c r="R176" s="71">
        <v>0.0</v>
      </c>
      <c r="S176" s="71">
        <v>1.0</v>
      </c>
      <c r="T176" s="71">
        <v>0.0</v>
      </c>
      <c r="U176" s="71">
        <v>0.0</v>
      </c>
      <c r="V176" s="71">
        <v>0.0</v>
      </c>
      <c r="W176" s="6">
        <f t="shared" si="48"/>
        <v>1</v>
      </c>
    </row>
    <row r="177" ht="12.75" customHeight="1">
      <c r="A177" s="33" t="s">
        <v>39</v>
      </c>
      <c r="B177" s="54">
        <v>2.0</v>
      </c>
      <c r="C177" s="55" t="s">
        <v>151</v>
      </c>
      <c r="D177" s="56"/>
      <c r="E177" s="71">
        <v>0.0</v>
      </c>
      <c r="F177" s="71">
        <v>0.0</v>
      </c>
      <c r="G177" s="71">
        <v>0.0</v>
      </c>
      <c r="H177" s="71">
        <v>0.0</v>
      </c>
      <c r="I177" s="71">
        <v>0.0</v>
      </c>
      <c r="J177" s="71">
        <v>0.0</v>
      </c>
      <c r="K177" s="71">
        <v>0.0</v>
      </c>
      <c r="L177" s="71">
        <v>0.0</v>
      </c>
      <c r="M177" s="71">
        <v>0.0</v>
      </c>
      <c r="N177" s="71">
        <v>0.0</v>
      </c>
      <c r="O177" s="71">
        <v>0.0</v>
      </c>
      <c r="P177" s="71">
        <v>0.0</v>
      </c>
      <c r="Q177" s="71">
        <v>2.0</v>
      </c>
      <c r="R177" s="71">
        <v>0.0</v>
      </c>
      <c r="S177" s="71">
        <v>0.0</v>
      </c>
      <c r="T177" s="71">
        <v>0.0</v>
      </c>
      <c r="U177" s="71">
        <v>0.0</v>
      </c>
      <c r="V177" s="71">
        <v>0.0</v>
      </c>
      <c r="W177" s="6">
        <f t="shared" si="48"/>
        <v>2</v>
      </c>
    </row>
    <row r="178" ht="12.75" customHeight="1">
      <c r="A178" s="13" t="s">
        <v>15</v>
      </c>
      <c r="B178" s="51" t="s">
        <v>46</v>
      </c>
      <c r="C178" s="8"/>
      <c r="D178" s="9"/>
      <c r="E178" s="57">
        <f t="shared" ref="E178:V178" si="49">SUM(E175:E177)</f>
        <v>0</v>
      </c>
      <c r="F178" s="57">
        <f t="shared" si="49"/>
        <v>0</v>
      </c>
      <c r="G178" s="57">
        <f t="shared" si="49"/>
        <v>0</v>
      </c>
      <c r="H178" s="57">
        <f t="shared" si="49"/>
        <v>0</v>
      </c>
      <c r="I178" s="57">
        <f t="shared" si="49"/>
        <v>0</v>
      </c>
      <c r="J178" s="57">
        <f t="shared" si="49"/>
        <v>0</v>
      </c>
      <c r="K178" s="57">
        <f t="shared" si="49"/>
        <v>0</v>
      </c>
      <c r="L178" s="57">
        <f t="shared" si="49"/>
        <v>1</v>
      </c>
      <c r="M178" s="57">
        <f t="shared" si="49"/>
        <v>0</v>
      </c>
      <c r="N178" s="57">
        <f t="shared" si="49"/>
        <v>0</v>
      </c>
      <c r="O178" s="57">
        <f t="shared" si="49"/>
        <v>0</v>
      </c>
      <c r="P178" s="57">
        <f t="shared" si="49"/>
        <v>1</v>
      </c>
      <c r="Q178" s="57">
        <f t="shared" si="49"/>
        <v>4</v>
      </c>
      <c r="R178" s="57">
        <f t="shared" si="49"/>
        <v>0</v>
      </c>
      <c r="S178" s="57">
        <f t="shared" si="49"/>
        <v>1</v>
      </c>
      <c r="T178" s="57">
        <f t="shared" si="49"/>
        <v>0</v>
      </c>
      <c r="U178" s="57">
        <f t="shared" si="49"/>
        <v>1</v>
      </c>
      <c r="V178" s="57">
        <f t="shared" si="49"/>
        <v>1</v>
      </c>
      <c r="W178" s="6">
        <f t="shared" si="48"/>
        <v>9</v>
      </c>
    </row>
    <row r="179" ht="12.75" customHeight="1">
      <c r="A179" s="49"/>
      <c r="B179" s="48"/>
      <c r="C179" s="48"/>
      <c r="D179" s="27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6"/>
    </row>
    <row r="180" ht="12.75" customHeight="1">
      <c r="A180" s="46" t="s">
        <v>152</v>
      </c>
      <c r="B180" s="7" t="s">
        <v>153</v>
      </c>
      <c r="C180" s="8"/>
      <c r="D180" s="9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6"/>
    </row>
    <row r="181" ht="12.75" customHeight="1">
      <c r="A181" s="46"/>
      <c r="B181" s="64" t="s">
        <v>154</v>
      </c>
      <c r="C181" s="65" t="s">
        <v>155</v>
      </c>
      <c r="D181" s="9"/>
      <c r="E181" s="71">
        <v>135.0</v>
      </c>
      <c r="F181" s="71">
        <v>97.0</v>
      </c>
      <c r="G181" s="71">
        <v>198.0</v>
      </c>
      <c r="H181" s="71">
        <v>195.0</v>
      </c>
      <c r="I181" s="71">
        <v>171.0</v>
      </c>
      <c r="J181" s="71">
        <v>199.0</v>
      </c>
      <c r="K181" s="71">
        <v>186.0</v>
      </c>
      <c r="L181" s="71">
        <v>174.0</v>
      </c>
      <c r="M181" s="71">
        <v>153.0</v>
      </c>
      <c r="N181" s="71">
        <v>213.0</v>
      </c>
      <c r="O181" s="71">
        <v>175.0</v>
      </c>
      <c r="P181" s="71">
        <v>173.0</v>
      </c>
      <c r="Q181" s="71">
        <v>201.0</v>
      </c>
      <c r="R181" s="71">
        <v>205.0</v>
      </c>
      <c r="S181" s="71">
        <v>204.0</v>
      </c>
      <c r="T181" s="71">
        <v>160.0</v>
      </c>
      <c r="U181" s="71">
        <v>201.0</v>
      </c>
      <c r="V181" s="71">
        <v>213.0</v>
      </c>
      <c r="W181" s="6">
        <f t="shared" ref="W181:W183" si="50">SUM(E181:V181)</f>
        <v>3253</v>
      </c>
    </row>
    <row r="182" ht="12.75" customHeight="1">
      <c r="A182" s="38"/>
      <c r="B182" s="64" t="s">
        <v>156</v>
      </c>
      <c r="C182" s="65" t="s">
        <v>157</v>
      </c>
      <c r="D182" s="9"/>
      <c r="E182" s="71">
        <v>6.0</v>
      </c>
      <c r="F182" s="71">
        <v>7.0</v>
      </c>
      <c r="G182" s="71">
        <v>16.0</v>
      </c>
      <c r="H182" s="71">
        <v>13.0</v>
      </c>
      <c r="I182" s="71">
        <v>11.0</v>
      </c>
      <c r="J182" s="71">
        <v>7.0</v>
      </c>
      <c r="K182" s="71">
        <v>11.0</v>
      </c>
      <c r="L182" s="71">
        <v>17.0</v>
      </c>
      <c r="M182" s="71">
        <v>7.0</v>
      </c>
      <c r="N182" s="71">
        <v>13.0</v>
      </c>
      <c r="O182" s="71">
        <v>12.0</v>
      </c>
      <c r="P182" s="71">
        <v>8.0</v>
      </c>
      <c r="Q182" s="71">
        <v>16.0</v>
      </c>
      <c r="R182" s="71">
        <v>11.0</v>
      </c>
      <c r="S182" s="71">
        <v>14.0</v>
      </c>
      <c r="T182" s="71">
        <v>11.0</v>
      </c>
      <c r="U182" s="71">
        <v>9.0</v>
      </c>
      <c r="V182" s="71">
        <v>5.0</v>
      </c>
      <c r="W182" s="6">
        <f t="shared" si="50"/>
        <v>194</v>
      </c>
    </row>
    <row r="183" ht="12.75" customHeight="1">
      <c r="A183" s="43"/>
      <c r="B183" s="64" t="s">
        <v>158</v>
      </c>
      <c r="C183" s="65" t="s">
        <v>159</v>
      </c>
      <c r="D183" s="9"/>
      <c r="E183" s="28">
        <f t="shared" ref="E183:V183" si="51">SUM(E181:E182)</f>
        <v>141</v>
      </c>
      <c r="F183" s="28">
        <f t="shared" si="51"/>
        <v>104</v>
      </c>
      <c r="G183" s="28">
        <f t="shared" si="51"/>
        <v>214</v>
      </c>
      <c r="H183" s="28">
        <f t="shared" si="51"/>
        <v>208</v>
      </c>
      <c r="I183" s="28">
        <f t="shared" si="51"/>
        <v>182</v>
      </c>
      <c r="J183" s="28">
        <f t="shared" si="51"/>
        <v>206</v>
      </c>
      <c r="K183" s="28">
        <f t="shared" si="51"/>
        <v>197</v>
      </c>
      <c r="L183" s="28">
        <f t="shared" si="51"/>
        <v>191</v>
      </c>
      <c r="M183" s="28">
        <f t="shared" si="51"/>
        <v>160</v>
      </c>
      <c r="N183" s="28">
        <f t="shared" si="51"/>
        <v>226</v>
      </c>
      <c r="O183" s="28">
        <f t="shared" si="51"/>
        <v>187</v>
      </c>
      <c r="P183" s="28">
        <f t="shared" si="51"/>
        <v>181</v>
      </c>
      <c r="Q183" s="28">
        <f t="shared" si="51"/>
        <v>217</v>
      </c>
      <c r="R183" s="28">
        <f t="shared" si="51"/>
        <v>216</v>
      </c>
      <c r="S183" s="28">
        <f t="shared" si="51"/>
        <v>218</v>
      </c>
      <c r="T183" s="28">
        <f t="shared" si="51"/>
        <v>171</v>
      </c>
      <c r="U183" s="28">
        <f t="shared" si="51"/>
        <v>210</v>
      </c>
      <c r="V183" s="28">
        <f t="shared" si="51"/>
        <v>218</v>
      </c>
      <c r="W183" s="6">
        <f t="shared" si="50"/>
        <v>3447</v>
      </c>
    </row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1">
    <mergeCell ref="C101:D101"/>
    <mergeCell ref="B108:D108"/>
    <mergeCell ref="C110:D110"/>
    <mergeCell ref="B114:D114"/>
    <mergeCell ref="C116:D116"/>
    <mergeCell ref="B123:D123"/>
    <mergeCell ref="C125:D125"/>
    <mergeCell ref="B127:D127"/>
    <mergeCell ref="C129:D129"/>
    <mergeCell ref="B136:D136"/>
    <mergeCell ref="C138:D138"/>
    <mergeCell ref="B144:D144"/>
    <mergeCell ref="C146:D146"/>
    <mergeCell ref="B153:D153"/>
    <mergeCell ref="B178:D178"/>
    <mergeCell ref="A179:D179"/>
    <mergeCell ref="B180:D180"/>
    <mergeCell ref="C181:D181"/>
    <mergeCell ref="C182:D182"/>
    <mergeCell ref="C183:D183"/>
    <mergeCell ref="C155:D155"/>
    <mergeCell ref="B158:D158"/>
    <mergeCell ref="C160:D160"/>
    <mergeCell ref="B164:D164"/>
    <mergeCell ref="C166:D166"/>
    <mergeCell ref="B173:D173"/>
    <mergeCell ref="C175:D175"/>
    <mergeCell ref="B12:D12"/>
    <mergeCell ref="E12:V12"/>
    <mergeCell ref="W12:W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C91:D91"/>
    <mergeCell ref="B92:D92"/>
    <mergeCell ref="C94:D94"/>
    <mergeCell ref="B99:D99"/>
  </mergeCells>
  <conditionalFormatting sqref="E30:T30">
    <cfRule type="expression" dxfId="0" priority="1">
      <formula>E30&lt;&gt;E62</formula>
    </cfRule>
  </conditionalFormatting>
  <conditionalFormatting sqref="E34:T34">
    <cfRule type="expression" dxfId="0" priority="2">
      <formula>E34&lt;&gt;E62</formula>
    </cfRule>
  </conditionalFormatting>
  <conditionalFormatting sqref="E14:V15">
    <cfRule type="containsBlanks" dxfId="1" priority="3">
      <formula>LEN(TRIM(E14))=0</formula>
    </cfRule>
  </conditionalFormatting>
  <conditionalFormatting sqref="E19:V20">
    <cfRule type="containsBlanks" dxfId="1" priority="4">
      <formula>LEN(TRIM(E19))=0</formula>
    </cfRule>
  </conditionalFormatting>
  <conditionalFormatting sqref="E22:V23 E25:V26 E33:V33 E35:V35 E39:V40">
    <cfRule type="containsBlanks" dxfId="1" priority="5">
      <formula>LEN(TRIM(E22))=0</formula>
    </cfRule>
  </conditionalFormatting>
  <conditionalFormatting sqref="E30:V30">
    <cfRule type="expression" dxfId="0" priority="6">
      <formula>E30&lt;&gt;E34</formula>
    </cfRule>
  </conditionalFormatting>
  <conditionalFormatting sqref="E34:V34">
    <cfRule type="expression" dxfId="2" priority="7">
      <formula>E30&lt;&gt;E34</formula>
    </cfRule>
  </conditionalFormatting>
  <conditionalFormatting sqref="E34:V34">
    <cfRule type="expression" dxfId="3" priority="8">
      <formula>E30=E34</formula>
    </cfRule>
  </conditionalFormatting>
  <conditionalFormatting sqref="E34:V34">
    <cfRule type="expression" dxfId="0" priority="9">
      <formula>E34&lt;&gt;E30</formula>
    </cfRule>
  </conditionalFormatting>
  <conditionalFormatting sqref="E45:V51">
    <cfRule type="containsBlanks" dxfId="1" priority="10">
      <formula>LEN(TRIM(E45))=0</formula>
    </cfRule>
  </conditionalFormatting>
  <conditionalFormatting sqref="E54:V60">
    <cfRule type="containsBlanks" dxfId="1" priority="11">
      <formula>LEN(TRIM(E54))=0</formula>
    </cfRule>
  </conditionalFormatting>
  <conditionalFormatting sqref="E63:V69">
    <cfRule type="containsBlanks" dxfId="1" priority="12">
      <formula>LEN(TRIM(E63))=0</formula>
    </cfRule>
  </conditionalFormatting>
  <conditionalFormatting sqref="E72:V78">
    <cfRule type="containsBlanks" dxfId="1" priority="13">
      <formula>LEN(TRIM(E72))=0</formula>
    </cfRule>
  </conditionalFormatting>
  <conditionalFormatting sqref="E81:V87">
    <cfRule type="containsBlanks" dxfId="1" priority="14">
      <formula>LEN(TRIM(E81))=0</formula>
    </cfRule>
  </conditionalFormatting>
  <conditionalFormatting sqref="E90:V91">
    <cfRule type="containsBlanks" dxfId="1" priority="15">
      <formula>LEN(TRIM(E90))=0</formula>
    </cfRule>
  </conditionalFormatting>
  <conditionalFormatting sqref="E94:V98">
    <cfRule type="containsBlanks" dxfId="1" priority="16">
      <formula>LEN(TRIM(E94))=0</formula>
    </cfRule>
  </conditionalFormatting>
  <conditionalFormatting sqref="E101:V107">
    <cfRule type="containsBlanks" dxfId="1" priority="17">
      <formula>LEN(TRIM(E101))=0</formula>
    </cfRule>
  </conditionalFormatting>
  <conditionalFormatting sqref="E110:V113">
    <cfRule type="containsBlanks" dxfId="1" priority="18">
      <formula>LEN(TRIM(E110))=0</formula>
    </cfRule>
  </conditionalFormatting>
  <conditionalFormatting sqref="E116:V122">
    <cfRule type="containsBlanks" dxfId="1" priority="19">
      <formula>LEN(TRIM(E116))=0</formula>
    </cfRule>
  </conditionalFormatting>
  <conditionalFormatting sqref="E125:V126">
    <cfRule type="containsBlanks" dxfId="1" priority="20">
      <formula>LEN(TRIM(E125))=0</formula>
    </cfRule>
  </conditionalFormatting>
  <conditionalFormatting sqref="E129:V135">
    <cfRule type="containsBlanks" dxfId="1" priority="21">
      <formula>LEN(TRIM(E129))=0</formula>
    </cfRule>
  </conditionalFormatting>
  <conditionalFormatting sqref="E138:V143">
    <cfRule type="containsBlanks" dxfId="1" priority="22">
      <formula>LEN(TRIM(E138))=0</formula>
    </cfRule>
  </conditionalFormatting>
  <conditionalFormatting sqref="E146:V152">
    <cfRule type="containsBlanks" dxfId="1" priority="23">
      <formula>LEN(TRIM(E146))=0</formula>
    </cfRule>
  </conditionalFormatting>
  <conditionalFormatting sqref="E155:V157">
    <cfRule type="containsBlanks" dxfId="1" priority="24">
      <formula>LEN(TRIM(E155))=0</formula>
    </cfRule>
  </conditionalFormatting>
  <conditionalFormatting sqref="E160:V163">
    <cfRule type="containsBlanks" dxfId="1" priority="25">
      <formula>LEN(TRIM(E160))=0</formula>
    </cfRule>
  </conditionalFormatting>
  <conditionalFormatting sqref="E166:V172">
    <cfRule type="containsBlanks" dxfId="1" priority="26">
      <formula>LEN(TRIM(E166))=0</formula>
    </cfRule>
  </conditionalFormatting>
  <conditionalFormatting sqref="E175:V177">
    <cfRule type="containsBlanks" dxfId="1" priority="27">
      <formula>LEN(TRIM(E175))=0</formula>
    </cfRule>
  </conditionalFormatting>
  <conditionalFormatting sqref="E181:V182">
    <cfRule type="containsBlanks" dxfId="1" priority="28">
      <formula>LEN(TRIM(E181))=0</formula>
    </cfRule>
  </conditionalFormatting>
  <conditionalFormatting sqref="E183:V183">
    <cfRule type="expression" dxfId="0" priority="29">
      <formula>E183&lt;&gt;E30</formula>
    </cfRule>
  </conditionalFormatting>
  <conditionalFormatting sqref="E183:V183">
    <cfRule type="expression" dxfId="0" priority="30">
      <formula>E183&lt;&gt;E34</formula>
    </cfRule>
  </conditionalFormatting>
  <conditionalFormatting sqref="U30:V30">
    <cfRule type="expression" dxfId="0" priority="31">
      <formula>U30&lt;&gt;U47</formula>
    </cfRule>
  </conditionalFormatting>
  <conditionalFormatting sqref="U34:V34">
    <cfRule type="expression" dxfId="0" priority="32">
      <formula>U34&lt;&gt;U47</formula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9" width="8.71"/>
    <col customWidth="1" min="30" max="30" width="10.43"/>
  </cols>
  <sheetData>
    <row r="1" ht="12.75" customHeight="1"/>
    <row r="2" ht="12.75" customHeight="1">
      <c r="C2" s="1" t="s">
        <v>0</v>
      </c>
      <c r="D2" s="1" t="s">
        <v>1</v>
      </c>
    </row>
    <row r="3" ht="12.75" customHeight="1">
      <c r="C3" s="1" t="s">
        <v>2</v>
      </c>
      <c r="D3" s="1" t="s">
        <v>3</v>
      </c>
    </row>
    <row r="4" ht="12.75" customHeight="1">
      <c r="C4" s="1" t="s">
        <v>4</v>
      </c>
      <c r="D4" s="1" t="s">
        <v>5</v>
      </c>
    </row>
    <row r="5" ht="12.75" customHeight="1">
      <c r="C5" s="1"/>
      <c r="D5" s="1"/>
    </row>
    <row r="6" ht="12.75" customHeight="1">
      <c r="C6" s="1"/>
      <c r="D6" s="1"/>
    </row>
    <row r="7" ht="12.75" customHeight="1">
      <c r="C7" s="1"/>
      <c r="D7" s="1"/>
    </row>
    <row r="8" ht="12.75" customHeight="1">
      <c r="C8" s="1"/>
      <c r="D8" s="1"/>
    </row>
    <row r="9" ht="12.75" customHeight="1">
      <c r="C9" s="1" t="s">
        <v>160</v>
      </c>
      <c r="D9" s="1" t="s">
        <v>185</v>
      </c>
    </row>
    <row r="10" ht="12.75" customHeight="1"/>
    <row r="11" ht="12.75" customHeight="1"/>
    <row r="12" ht="12.75" customHeight="1">
      <c r="A12" s="6" t="s">
        <v>6</v>
      </c>
      <c r="B12" s="7" t="s">
        <v>7</v>
      </c>
      <c r="C12" s="8"/>
      <c r="D12" s="8"/>
      <c r="E12" s="2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9"/>
      <c r="AD12" s="40" t="s">
        <v>8</v>
      </c>
    </row>
    <row r="13" ht="12.75" customHeight="1">
      <c r="A13" s="13" t="s">
        <v>9</v>
      </c>
      <c r="B13" s="14" t="s">
        <v>10</v>
      </c>
      <c r="C13" s="8"/>
      <c r="D13" s="9"/>
      <c r="E13" s="43" t="s">
        <v>162</v>
      </c>
      <c r="F13" s="43" t="s">
        <v>163</v>
      </c>
      <c r="G13" s="43" t="s">
        <v>164</v>
      </c>
      <c r="H13" s="43" t="s">
        <v>165</v>
      </c>
      <c r="I13" s="43" t="s">
        <v>166</v>
      </c>
      <c r="J13" s="43" t="s">
        <v>167</v>
      </c>
      <c r="K13" s="43" t="s">
        <v>168</v>
      </c>
      <c r="L13" s="43" t="s">
        <v>169</v>
      </c>
      <c r="M13" s="43" t="s">
        <v>170</v>
      </c>
      <c r="N13" s="43" t="s">
        <v>174</v>
      </c>
      <c r="O13" s="43" t="s">
        <v>175</v>
      </c>
      <c r="P13" s="43" t="s">
        <v>176</v>
      </c>
      <c r="Q13" s="43" t="s">
        <v>177</v>
      </c>
      <c r="R13" s="43" t="s">
        <v>178</v>
      </c>
      <c r="S13" s="43" t="s">
        <v>179</v>
      </c>
      <c r="T13" s="43" t="s">
        <v>182</v>
      </c>
      <c r="U13" s="43" t="s">
        <v>183</v>
      </c>
      <c r="V13" s="43" t="s">
        <v>184</v>
      </c>
      <c r="W13" s="43" t="s">
        <v>186</v>
      </c>
      <c r="X13" s="43" t="s">
        <v>187</v>
      </c>
      <c r="Y13" s="43" t="s">
        <v>188</v>
      </c>
      <c r="Z13" s="43" t="s">
        <v>189</v>
      </c>
      <c r="AA13" s="43" t="s">
        <v>190</v>
      </c>
      <c r="AB13" s="43" t="s">
        <v>191</v>
      </c>
      <c r="AC13" s="43" t="s">
        <v>192</v>
      </c>
      <c r="AD13" s="27"/>
    </row>
    <row r="14" ht="12.75" customHeight="1">
      <c r="A14" s="18"/>
      <c r="B14" s="19" t="s">
        <v>11</v>
      </c>
      <c r="C14" s="20"/>
      <c r="D14" s="13" t="s">
        <v>12</v>
      </c>
      <c r="E14" s="71">
        <v>102.0</v>
      </c>
      <c r="F14" s="71">
        <v>102.0</v>
      </c>
      <c r="G14" s="71">
        <v>105.0</v>
      </c>
      <c r="H14" s="71">
        <v>102.0</v>
      </c>
      <c r="I14" s="71">
        <v>98.0</v>
      </c>
      <c r="J14" s="71">
        <v>96.0</v>
      </c>
      <c r="K14" s="71">
        <v>86.0</v>
      </c>
      <c r="L14" s="71">
        <v>99.0</v>
      </c>
      <c r="M14" s="71">
        <v>106.0</v>
      </c>
      <c r="N14" s="71">
        <v>147.0</v>
      </c>
      <c r="O14" s="71">
        <v>106.0</v>
      </c>
      <c r="P14" s="71">
        <v>96.0</v>
      </c>
      <c r="Q14" s="71">
        <v>129.0</v>
      </c>
      <c r="R14" s="71">
        <v>110.0</v>
      </c>
      <c r="S14" s="71">
        <v>88.0</v>
      </c>
      <c r="T14" s="71">
        <v>88.0</v>
      </c>
      <c r="U14" s="71">
        <v>101.0</v>
      </c>
      <c r="V14" s="71">
        <v>140.0</v>
      </c>
      <c r="W14" s="71">
        <v>124.0</v>
      </c>
      <c r="X14" s="71">
        <v>130.0</v>
      </c>
      <c r="Y14" s="71">
        <v>92.0</v>
      </c>
      <c r="Z14" s="71">
        <v>115.0</v>
      </c>
      <c r="AA14" s="71">
        <v>121.0</v>
      </c>
      <c r="AB14" s="71">
        <v>73.0</v>
      </c>
      <c r="AC14" s="71">
        <v>89.0</v>
      </c>
      <c r="AD14" s="6">
        <f t="shared" ref="AD14:AD16" si="1">SUM(E14:AC14)</f>
        <v>2645</v>
      </c>
    </row>
    <row r="15" ht="12.75" customHeight="1">
      <c r="A15" s="18"/>
      <c r="B15" s="25"/>
      <c r="C15" s="26"/>
      <c r="D15" s="13" t="s">
        <v>13</v>
      </c>
      <c r="E15" s="71">
        <v>103.0</v>
      </c>
      <c r="F15" s="71">
        <v>105.0</v>
      </c>
      <c r="G15" s="71">
        <v>114.0</v>
      </c>
      <c r="H15" s="71">
        <v>104.0</v>
      </c>
      <c r="I15" s="71">
        <v>102.0</v>
      </c>
      <c r="J15" s="71">
        <v>98.0</v>
      </c>
      <c r="K15" s="71">
        <v>90.0</v>
      </c>
      <c r="L15" s="71">
        <v>102.0</v>
      </c>
      <c r="M15" s="71">
        <v>98.0</v>
      </c>
      <c r="N15" s="71">
        <v>138.0</v>
      </c>
      <c r="O15" s="71">
        <v>105.0</v>
      </c>
      <c r="P15" s="71">
        <v>108.0</v>
      </c>
      <c r="Q15" s="71">
        <v>124.0</v>
      </c>
      <c r="R15" s="71">
        <v>106.0</v>
      </c>
      <c r="S15" s="71">
        <v>100.0</v>
      </c>
      <c r="T15" s="71">
        <v>83.0</v>
      </c>
      <c r="U15" s="71">
        <v>92.0</v>
      </c>
      <c r="V15" s="71">
        <v>138.0</v>
      </c>
      <c r="W15" s="71">
        <v>138.0</v>
      </c>
      <c r="X15" s="71">
        <v>135.0</v>
      </c>
      <c r="Y15" s="71">
        <v>92.0</v>
      </c>
      <c r="Z15" s="71">
        <v>115.0</v>
      </c>
      <c r="AA15" s="71">
        <v>126.0</v>
      </c>
      <c r="AB15" s="71">
        <v>79.0</v>
      </c>
      <c r="AC15" s="71">
        <v>96.0</v>
      </c>
      <c r="AD15" s="6">
        <f t="shared" si="1"/>
        <v>2691</v>
      </c>
    </row>
    <row r="16" ht="12.75" customHeight="1">
      <c r="A16" s="16"/>
      <c r="B16" s="15"/>
      <c r="C16" s="27"/>
      <c r="D16" s="6" t="s">
        <v>14</v>
      </c>
      <c r="E16" s="6">
        <f t="shared" ref="E16:AC16" si="2">SUM(E14:E15)</f>
        <v>205</v>
      </c>
      <c r="F16" s="6">
        <f t="shared" si="2"/>
        <v>207</v>
      </c>
      <c r="G16" s="6">
        <f t="shared" si="2"/>
        <v>219</v>
      </c>
      <c r="H16" s="6">
        <f t="shared" si="2"/>
        <v>206</v>
      </c>
      <c r="I16" s="6">
        <f t="shared" si="2"/>
        <v>200</v>
      </c>
      <c r="J16" s="6">
        <f t="shared" si="2"/>
        <v>194</v>
      </c>
      <c r="K16" s="6">
        <f t="shared" si="2"/>
        <v>176</v>
      </c>
      <c r="L16" s="6">
        <f t="shared" si="2"/>
        <v>201</v>
      </c>
      <c r="M16" s="6">
        <f t="shared" si="2"/>
        <v>204</v>
      </c>
      <c r="N16" s="6">
        <f t="shared" si="2"/>
        <v>285</v>
      </c>
      <c r="O16" s="6">
        <f t="shared" si="2"/>
        <v>211</v>
      </c>
      <c r="P16" s="6">
        <f t="shared" si="2"/>
        <v>204</v>
      </c>
      <c r="Q16" s="6">
        <f t="shared" si="2"/>
        <v>253</v>
      </c>
      <c r="R16" s="6">
        <f t="shared" si="2"/>
        <v>216</v>
      </c>
      <c r="S16" s="6">
        <f t="shared" si="2"/>
        <v>188</v>
      </c>
      <c r="T16" s="6">
        <f t="shared" si="2"/>
        <v>171</v>
      </c>
      <c r="U16" s="6">
        <f t="shared" si="2"/>
        <v>193</v>
      </c>
      <c r="V16" s="6">
        <f t="shared" si="2"/>
        <v>278</v>
      </c>
      <c r="W16" s="6">
        <f t="shared" si="2"/>
        <v>262</v>
      </c>
      <c r="X16" s="6">
        <f t="shared" si="2"/>
        <v>265</v>
      </c>
      <c r="Y16" s="6">
        <f t="shared" si="2"/>
        <v>184</v>
      </c>
      <c r="Z16" s="6">
        <f t="shared" si="2"/>
        <v>230</v>
      </c>
      <c r="AA16" s="6">
        <f t="shared" si="2"/>
        <v>247</v>
      </c>
      <c r="AB16" s="6">
        <f t="shared" si="2"/>
        <v>152</v>
      </c>
      <c r="AC16" s="6">
        <f t="shared" si="2"/>
        <v>185</v>
      </c>
      <c r="AD16" s="6">
        <f t="shared" si="1"/>
        <v>5336</v>
      </c>
    </row>
    <row r="17" ht="12.75" customHeight="1">
      <c r="A17" s="30"/>
      <c r="B17" s="8"/>
      <c r="C17" s="8"/>
      <c r="D17" s="9"/>
      <c r="E17" s="13"/>
      <c r="F17" s="13"/>
      <c r="G17" s="13"/>
      <c r="H17" s="13"/>
      <c r="I17" s="13"/>
      <c r="J17" s="13"/>
      <c r="K17" s="13"/>
      <c r="L17" s="13"/>
      <c r="M17" s="13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6"/>
    </row>
    <row r="18" ht="12.75" customHeight="1">
      <c r="A18" s="33" t="s">
        <v>15</v>
      </c>
      <c r="B18" s="14" t="s">
        <v>16</v>
      </c>
      <c r="C18" s="8"/>
      <c r="D18" s="9"/>
      <c r="E18" s="13"/>
      <c r="F18" s="13"/>
      <c r="G18" s="13"/>
      <c r="H18" s="13"/>
      <c r="I18" s="13"/>
      <c r="J18" s="13"/>
      <c r="K18" s="13"/>
      <c r="L18" s="13"/>
      <c r="M18" s="13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6"/>
    </row>
    <row r="19" ht="12.75" customHeight="1">
      <c r="A19" s="33"/>
      <c r="B19" s="34" t="s">
        <v>17</v>
      </c>
      <c r="C19" s="35" t="s">
        <v>18</v>
      </c>
      <c r="D19" s="13" t="s">
        <v>12</v>
      </c>
      <c r="E19" s="71">
        <v>80.0</v>
      </c>
      <c r="F19" s="71">
        <v>70.0</v>
      </c>
      <c r="G19" s="71">
        <v>73.0</v>
      </c>
      <c r="H19" s="71">
        <v>81.0</v>
      </c>
      <c r="I19" s="71">
        <v>73.0</v>
      </c>
      <c r="J19" s="71">
        <v>72.0</v>
      </c>
      <c r="K19" s="71">
        <v>62.0</v>
      </c>
      <c r="L19" s="71">
        <v>78.0</v>
      </c>
      <c r="M19" s="71">
        <v>86.0</v>
      </c>
      <c r="N19" s="71">
        <v>108.0</v>
      </c>
      <c r="O19" s="71">
        <v>85.0</v>
      </c>
      <c r="P19" s="71">
        <v>75.0</v>
      </c>
      <c r="Q19" s="71">
        <v>117.0</v>
      </c>
      <c r="R19" s="71">
        <v>89.0</v>
      </c>
      <c r="S19" s="71">
        <v>71.0</v>
      </c>
      <c r="T19" s="71">
        <v>77.0</v>
      </c>
      <c r="U19" s="71">
        <v>84.0</v>
      </c>
      <c r="V19" s="71">
        <v>110.0</v>
      </c>
      <c r="W19" s="71">
        <v>94.0</v>
      </c>
      <c r="X19" s="71">
        <v>101.0</v>
      </c>
      <c r="Y19" s="71">
        <v>74.0</v>
      </c>
      <c r="Z19" s="71">
        <v>92.0</v>
      </c>
      <c r="AA19" s="71">
        <v>104.0</v>
      </c>
      <c r="AB19" s="71">
        <v>71.0</v>
      </c>
      <c r="AC19" s="71">
        <v>68.0</v>
      </c>
      <c r="AD19" s="6">
        <f t="shared" ref="AD19:AD30" si="3">SUM(E19:AC19)</f>
        <v>2095</v>
      </c>
    </row>
    <row r="20" ht="12.75" customHeight="1">
      <c r="A20" s="36"/>
      <c r="B20" s="26"/>
      <c r="C20" s="37"/>
      <c r="D20" s="13" t="s">
        <v>13</v>
      </c>
      <c r="E20" s="71">
        <v>82.0</v>
      </c>
      <c r="F20" s="71">
        <v>74.0</v>
      </c>
      <c r="G20" s="71">
        <v>92.0</v>
      </c>
      <c r="H20" s="71">
        <v>85.0</v>
      </c>
      <c r="I20" s="71">
        <v>79.0</v>
      </c>
      <c r="J20" s="71">
        <v>78.0</v>
      </c>
      <c r="K20" s="71">
        <v>73.0</v>
      </c>
      <c r="L20" s="71">
        <v>91.0</v>
      </c>
      <c r="M20" s="71">
        <v>80.0</v>
      </c>
      <c r="N20" s="71">
        <v>110.0</v>
      </c>
      <c r="O20" s="71">
        <v>85.0</v>
      </c>
      <c r="P20" s="71">
        <v>88.0</v>
      </c>
      <c r="Q20" s="71">
        <v>113.0</v>
      </c>
      <c r="R20" s="71">
        <v>89.0</v>
      </c>
      <c r="S20" s="71">
        <v>86.0</v>
      </c>
      <c r="T20" s="71">
        <v>76.0</v>
      </c>
      <c r="U20" s="71">
        <v>83.0</v>
      </c>
      <c r="V20" s="71">
        <v>114.0</v>
      </c>
      <c r="W20" s="71">
        <v>111.0</v>
      </c>
      <c r="X20" s="71">
        <v>122.0</v>
      </c>
      <c r="Y20" s="71">
        <v>78.0</v>
      </c>
      <c r="Z20" s="71">
        <v>92.0</v>
      </c>
      <c r="AA20" s="71">
        <v>102.0</v>
      </c>
      <c r="AB20" s="71">
        <v>61.0</v>
      </c>
      <c r="AC20" s="71">
        <v>76.0</v>
      </c>
      <c r="AD20" s="6">
        <f t="shared" si="3"/>
        <v>2220</v>
      </c>
    </row>
    <row r="21" ht="12.75" customHeight="1">
      <c r="A21" s="38"/>
      <c r="B21" s="27"/>
      <c r="C21" s="39"/>
      <c r="D21" s="6" t="s">
        <v>14</v>
      </c>
      <c r="E21" s="6">
        <f t="shared" ref="E21:AC21" si="4">SUM(E19:E20)</f>
        <v>162</v>
      </c>
      <c r="F21" s="6">
        <f t="shared" si="4"/>
        <v>144</v>
      </c>
      <c r="G21" s="6">
        <f t="shared" si="4"/>
        <v>165</v>
      </c>
      <c r="H21" s="6">
        <f t="shared" si="4"/>
        <v>166</v>
      </c>
      <c r="I21" s="6">
        <f t="shared" si="4"/>
        <v>152</v>
      </c>
      <c r="J21" s="6">
        <f t="shared" si="4"/>
        <v>150</v>
      </c>
      <c r="K21" s="6">
        <f t="shared" si="4"/>
        <v>135</v>
      </c>
      <c r="L21" s="6">
        <f t="shared" si="4"/>
        <v>169</v>
      </c>
      <c r="M21" s="6">
        <f t="shared" si="4"/>
        <v>166</v>
      </c>
      <c r="N21" s="6">
        <f t="shared" si="4"/>
        <v>218</v>
      </c>
      <c r="O21" s="6">
        <f t="shared" si="4"/>
        <v>170</v>
      </c>
      <c r="P21" s="6">
        <f t="shared" si="4"/>
        <v>163</v>
      </c>
      <c r="Q21" s="6">
        <f t="shared" si="4"/>
        <v>230</v>
      </c>
      <c r="R21" s="6">
        <f t="shared" si="4"/>
        <v>178</v>
      </c>
      <c r="S21" s="6">
        <f t="shared" si="4"/>
        <v>157</v>
      </c>
      <c r="T21" s="6">
        <f t="shared" si="4"/>
        <v>153</v>
      </c>
      <c r="U21" s="6">
        <f t="shared" si="4"/>
        <v>167</v>
      </c>
      <c r="V21" s="6">
        <f t="shared" si="4"/>
        <v>224</v>
      </c>
      <c r="W21" s="6">
        <f t="shared" si="4"/>
        <v>205</v>
      </c>
      <c r="X21" s="6">
        <f t="shared" si="4"/>
        <v>223</v>
      </c>
      <c r="Y21" s="6">
        <f t="shared" si="4"/>
        <v>152</v>
      </c>
      <c r="Z21" s="6">
        <f t="shared" si="4"/>
        <v>184</v>
      </c>
      <c r="AA21" s="6">
        <f t="shared" si="4"/>
        <v>206</v>
      </c>
      <c r="AB21" s="6">
        <f t="shared" si="4"/>
        <v>132</v>
      </c>
      <c r="AC21" s="6">
        <f t="shared" si="4"/>
        <v>144</v>
      </c>
      <c r="AD21" s="6">
        <f t="shared" si="3"/>
        <v>4315</v>
      </c>
    </row>
    <row r="22" ht="12.75" customHeight="1">
      <c r="A22" s="36"/>
      <c r="B22" s="34" t="s">
        <v>19</v>
      </c>
      <c r="C22" s="35" t="s">
        <v>20</v>
      </c>
      <c r="D22" s="13" t="s">
        <v>12</v>
      </c>
      <c r="E22" s="71">
        <v>0.0</v>
      </c>
      <c r="F22" s="71">
        <v>0.0</v>
      </c>
      <c r="G22" s="71">
        <v>0.0</v>
      </c>
      <c r="H22" s="71">
        <v>0.0</v>
      </c>
      <c r="I22" s="71">
        <v>0.0</v>
      </c>
      <c r="J22" s="71">
        <v>0.0</v>
      </c>
      <c r="K22" s="71">
        <v>0.0</v>
      </c>
      <c r="L22" s="71">
        <v>0.0</v>
      </c>
      <c r="M22" s="71">
        <v>0.0</v>
      </c>
      <c r="N22" s="71">
        <v>0.0</v>
      </c>
      <c r="O22" s="71">
        <v>0.0</v>
      </c>
      <c r="P22" s="71">
        <v>1.0</v>
      </c>
      <c r="Q22" s="71">
        <v>0.0</v>
      </c>
      <c r="R22" s="71">
        <v>0.0</v>
      </c>
      <c r="S22" s="71">
        <v>0.0</v>
      </c>
      <c r="T22" s="71">
        <v>0.0</v>
      </c>
      <c r="U22" s="71">
        <v>0.0</v>
      </c>
      <c r="V22" s="71">
        <v>0.0</v>
      </c>
      <c r="W22" s="71">
        <v>0.0</v>
      </c>
      <c r="X22" s="71">
        <v>0.0</v>
      </c>
      <c r="Y22" s="71">
        <v>0.0</v>
      </c>
      <c r="Z22" s="71">
        <v>0.0</v>
      </c>
      <c r="AA22" s="71">
        <v>0.0</v>
      </c>
      <c r="AB22" s="71">
        <v>0.0</v>
      </c>
      <c r="AC22" s="71">
        <v>0.0</v>
      </c>
      <c r="AD22" s="6">
        <f t="shared" si="3"/>
        <v>1</v>
      </c>
    </row>
    <row r="23" ht="12.75" customHeight="1">
      <c r="A23" s="36"/>
      <c r="B23" s="26"/>
      <c r="C23" s="37"/>
      <c r="D23" s="13" t="s">
        <v>13</v>
      </c>
      <c r="E23" s="71">
        <v>0.0</v>
      </c>
      <c r="F23" s="71">
        <v>0.0</v>
      </c>
      <c r="G23" s="71">
        <v>0.0</v>
      </c>
      <c r="H23" s="71">
        <v>0.0</v>
      </c>
      <c r="I23" s="71">
        <v>0.0</v>
      </c>
      <c r="J23" s="71">
        <v>0.0</v>
      </c>
      <c r="K23" s="71">
        <v>0.0</v>
      </c>
      <c r="L23" s="71">
        <v>0.0</v>
      </c>
      <c r="M23" s="71">
        <v>0.0</v>
      </c>
      <c r="N23" s="71">
        <v>0.0</v>
      </c>
      <c r="O23" s="71">
        <v>0.0</v>
      </c>
      <c r="P23" s="71">
        <v>0.0</v>
      </c>
      <c r="Q23" s="71">
        <v>0.0</v>
      </c>
      <c r="R23" s="71">
        <v>0.0</v>
      </c>
      <c r="S23" s="71">
        <v>0.0</v>
      </c>
      <c r="T23" s="71">
        <v>0.0</v>
      </c>
      <c r="U23" s="71">
        <v>0.0</v>
      </c>
      <c r="V23" s="71">
        <v>0.0</v>
      </c>
      <c r="W23" s="71">
        <v>0.0</v>
      </c>
      <c r="X23" s="71">
        <v>0.0</v>
      </c>
      <c r="Y23" s="71">
        <v>0.0</v>
      </c>
      <c r="Z23" s="71">
        <v>0.0</v>
      </c>
      <c r="AA23" s="71">
        <v>0.0</v>
      </c>
      <c r="AB23" s="71">
        <v>0.0</v>
      </c>
      <c r="AC23" s="71">
        <v>0.0</v>
      </c>
      <c r="AD23" s="6">
        <f t="shared" si="3"/>
        <v>0</v>
      </c>
    </row>
    <row r="24" ht="12.75" customHeight="1">
      <c r="A24" s="38"/>
      <c r="B24" s="27"/>
      <c r="C24" s="39"/>
      <c r="D24" s="6" t="s">
        <v>14</v>
      </c>
      <c r="E24" s="6">
        <f t="shared" ref="E24:AC24" si="5">SUM(E22:E23)</f>
        <v>0</v>
      </c>
      <c r="F24" s="6">
        <f t="shared" si="5"/>
        <v>0</v>
      </c>
      <c r="G24" s="6">
        <f t="shared" si="5"/>
        <v>0</v>
      </c>
      <c r="H24" s="6">
        <f t="shared" si="5"/>
        <v>0</v>
      </c>
      <c r="I24" s="6">
        <f t="shared" si="5"/>
        <v>0</v>
      </c>
      <c r="J24" s="6">
        <f t="shared" si="5"/>
        <v>0</v>
      </c>
      <c r="K24" s="6">
        <f t="shared" si="5"/>
        <v>0</v>
      </c>
      <c r="L24" s="6">
        <f t="shared" si="5"/>
        <v>0</v>
      </c>
      <c r="M24" s="6">
        <f t="shared" si="5"/>
        <v>0</v>
      </c>
      <c r="N24" s="6">
        <f t="shared" si="5"/>
        <v>0</v>
      </c>
      <c r="O24" s="6">
        <f t="shared" si="5"/>
        <v>0</v>
      </c>
      <c r="P24" s="6">
        <f t="shared" si="5"/>
        <v>1</v>
      </c>
      <c r="Q24" s="6">
        <f t="shared" si="5"/>
        <v>0</v>
      </c>
      <c r="R24" s="6">
        <f t="shared" si="5"/>
        <v>0</v>
      </c>
      <c r="S24" s="6">
        <f t="shared" si="5"/>
        <v>0</v>
      </c>
      <c r="T24" s="6">
        <f t="shared" si="5"/>
        <v>0</v>
      </c>
      <c r="U24" s="6">
        <f t="shared" si="5"/>
        <v>0</v>
      </c>
      <c r="V24" s="6">
        <f t="shared" si="5"/>
        <v>0</v>
      </c>
      <c r="W24" s="6">
        <f t="shared" si="5"/>
        <v>0</v>
      </c>
      <c r="X24" s="6">
        <f t="shared" si="5"/>
        <v>0</v>
      </c>
      <c r="Y24" s="6">
        <f t="shared" si="5"/>
        <v>0</v>
      </c>
      <c r="Z24" s="6">
        <f t="shared" si="5"/>
        <v>0</v>
      </c>
      <c r="AA24" s="6">
        <f t="shared" si="5"/>
        <v>0</v>
      </c>
      <c r="AB24" s="6">
        <f t="shared" si="5"/>
        <v>0</v>
      </c>
      <c r="AC24" s="6">
        <f t="shared" si="5"/>
        <v>0</v>
      </c>
      <c r="AD24" s="6">
        <f t="shared" si="3"/>
        <v>1</v>
      </c>
    </row>
    <row r="25" ht="12.75" customHeight="1">
      <c r="A25" s="36"/>
      <c r="B25" s="34" t="s">
        <v>21</v>
      </c>
      <c r="C25" s="35" t="s">
        <v>22</v>
      </c>
      <c r="D25" s="13" t="s">
        <v>12</v>
      </c>
      <c r="E25" s="71">
        <v>1.0</v>
      </c>
      <c r="F25" s="71">
        <v>0.0</v>
      </c>
      <c r="G25" s="71">
        <v>1.0</v>
      </c>
      <c r="H25" s="71">
        <v>0.0</v>
      </c>
      <c r="I25" s="71">
        <v>1.0</v>
      </c>
      <c r="J25" s="71">
        <v>2.0</v>
      </c>
      <c r="K25" s="71">
        <v>0.0</v>
      </c>
      <c r="L25" s="71">
        <v>0.0</v>
      </c>
      <c r="M25" s="71">
        <v>0.0</v>
      </c>
      <c r="N25" s="71">
        <v>1.0</v>
      </c>
      <c r="O25" s="71">
        <v>1.0</v>
      </c>
      <c r="P25" s="71">
        <v>11.0</v>
      </c>
      <c r="Q25" s="71">
        <v>0.0</v>
      </c>
      <c r="R25" s="71">
        <v>5.0</v>
      </c>
      <c r="S25" s="71">
        <v>4.0</v>
      </c>
      <c r="T25" s="71">
        <v>3.0</v>
      </c>
      <c r="U25" s="71">
        <v>3.0</v>
      </c>
      <c r="V25" s="71">
        <v>1.0</v>
      </c>
      <c r="W25" s="71">
        <v>3.0</v>
      </c>
      <c r="X25" s="71">
        <v>0.0</v>
      </c>
      <c r="Y25" s="71">
        <v>3.0</v>
      </c>
      <c r="Z25" s="71">
        <v>3.0</v>
      </c>
      <c r="AA25" s="71">
        <v>1.0</v>
      </c>
      <c r="AB25" s="71">
        <v>2.0</v>
      </c>
      <c r="AC25" s="71">
        <v>1.0</v>
      </c>
      <c r="AD25" s="6">
        <f t="shared" si="3"/>
        <v>47</v>
      </c>
    </row>
    <row r="26" ht="12.75" customHeight="1">
      <c r="A26" s="36"/>
      <c r="B26" s="26"/>
      <c r="C26" s="37"/>
      <c r="D26" s="13" t="s">
        <v>13</v>
      </c>
      <c r="E26" s="71">
        <v>1.0</v>
      </c>
      <c r="F26" s="71">
        <v>1.0</v>
      </c>
      <c r="G26" s="71">
        <v>2.0</v>
      </c>
      <c r="H26" s="71">
        <v>0.0</v>
      </c>
      <c r="I26" s="71">
        <v>0.0</v>
      </c>
      <c r="J26" s="71">
        <v>2.0</v>
      </c>
      <c r="K26" s="71">
        <v>0.0</v>
      </c>
      <c r="L26" s="71">
        <v>2.0</v>
      </c>
      <c r="M26" s="71">
        <v>1.0</v>
      </c>
      <c r="N26" s="71">
        <v>0.0</v>
      </c>
      <c r="O26" s="71">
        <v>2.0</v>
      </c>
      <c r="P26" s="71">
        <v>11.0</v>
      </c>
      <c r="Q26" s="71">
        <v>0.0</v>
      </c>
      <c r="R26" s="71">
        <v>5.0</v>
      </c>
      <c r="S26" s="71">
        <v>2.0</v>
      </c>
      <c r="T26" s="71">
        <v>4.0</v>
      </c>
      <c r="U26" s="71">
        <v>2.0</v>
      </c>
      <c r="V26" s="71">
        <v>0.0</v>
      </c>
      <c r="W26" s="71">
        <v>4.0</v>
      </c>
      <c r="X26" s="71">
        <v>0.0</v>
      </c>
      <c r="Y26" s="71">
        <v>3.0</v>
      </c>
      <c r="Z26" s="71">
        <v>0.0</v>
      </c>
      <c r="AA26" s="71">
        <v>2.0</v>
      </c>
      <c r="AB26" s="71">
        <v>4.0</v>
      </c>
      <c r="AC26" s="71">
        <v>2.0</v>
      </c>
      <c r="AD26" s="6">
        <f t="shared" si="3"/>
        <v>50</v>
      </c>
    </row>
    <row r="27" ht="12.75" customHeight="1">
      <c r="A27" s="38"/>
      <c r="B27" s="27"/>
      <c r="C27" s="39"/>
      <c r="D27" s="6" t="s">
        <v>14</v>
      </c>
      <c r="E27" s="6">
        <f t="shared" ref="E27:AC27" si="6">SUM(E25:E26)</f>
        <v>2</v>
      </c>
      <c r="F27" s="6">
        <f t="shared" si="6"/>
        <v>1</v>
      </c>
      <c r="G27" s="6">
        <f t="shared" si="6"/>
        <v>3</v>
      </c>
      <c r="H27" s="6">
        <f t="shared" si="6"/>
        <v>0</v>
      </c>
      <c r="I27" s="6">
        <f t="shared" si="6"/>
        <v>1</v>
      </c>
      <c r="J27" s="6">
        <f t="shared" si="6"/>
        <v>4</v>
      </c>
      <c r="K27" s="6">
        <f t="shared" si="6"/>
        <v>0</v>
      </c>
      <c r="L27" s="6">
        <f t="shared" si="6"/>
        <v>2</v>
      </c>
      <c r="M27" s="6">
        <f t="shared" si="6"/>
        <v>1</v>
      </c>
      <c r="N27" s="6">
        <f t="shared" si="6"/>
        <v>1</v>
      </c>
      <c r="O27" s="6">
        <f t="shared" si="6"/>
        <v>3</v>
      </c>
      <c r="P27" s="6">
        <f t="shared" si="6"/>
        <v>22</v>
      </c>
      <c r="Q27" s="6">
        <f t="shared" si="6"/>
        <v>0</v>
      </c>
      <c r="R27" s="6">
        <f t="shared" si="6"/>
        <v>10</v>
      </c>
      <c r="S27" s="6">
        <f t="shared" si="6"/>
        <v>6</v>
      </c>
      <c r="T27" s="6">
        <f t="shared" si="6"/>
        <v>7</v>
      </c>
      <c r="U27" s="6">
        <f t="shared" si="6"/>
        <v>5</v>
      </c>
      <c r="V27" s="6">
        <f t="shared" si="6"/>
        <v>1</v>
      </c>
      <c r="W27" s="6">
        <f t="shared" si="6"/>
        <v>7</v>
      </c>
      <c r="X27" s="6">
        <f t="shared" si="6"/>
        <v>0</v>
      </c>
      <c r="Y27" s="6">
        <f t="shared" si="6"/>
        <v>6</v>
      </c>
      <c r="Z27" s="6">
        <f t="shared" si="6"/>
        <v>3</v>
      </c>
      <c r="AA27" s="6">
        <f t="shared" si="6"/>
        <v>3</v>
      </c>
      <c r="AB27" s="6">
        <f t="shared" si="6"/>
        <v>6</v>
      </c>
      <c r="AC27" s="6">
        <f t="shared" si="6"/>
        <v>3</v>
      </c>
      <c r="AD27" s="6">
        <f t="shared" si="3"/>
        <v>97</v>
      </c>
    </row>
    <row r="28" ht="12.75" customHeight="1">
      <c r="A28" s="38"/>
      <c r="B28" s="40" t="s">
        <v>23</v>
      </c>
      <c r="C28" s="41" t="s">
        <v>24</v>
      </c>
      <c r="D28" s="6" t="s">
        <v>12</v>
      </c>
      <c r="E28" s="6">
        <f t="shared" ref="E28:AC28" si="7">SUM(E19,E22,E25)</f>
        <v>81</v>
      </c>
      <c r="F28" s="6">
        <f t="shared" si="7"/>
        <v>70</v>
      </c>
      <c r="G28" s="6">
        <f t="shared" si="7"/>
        <v>74</v>
      </c>
      <c r="H28" s="6">
        <f t="shared" si="7"/>
        <v>81</v>
      </c>
      <c r="I28" s="6">
        <f t="shared" si="7"/>
        <v>74</v>
      </c>
      <c r="J28" s="6">
        <f t="shared" si="7"/>
        <v>74</v>
      </c>
      <c r="K28" s="6">
        <f t="shared" si="7"/>
        <v>62</v>
      </c>
      <c r="L28" s="6">
        <f t="shared" si="7"/>
        <v>78</v>
      </c>
      <c r="M28" s="6">
        <f t="shared" si="7"/>
        <v>86</v>
      </c>
      <c r="N28" s="6">
        <f t="shared" si="7"/>
        <v>109</v>
      </c>
      <c r="O28" s="6">
        <f t="shared" si="7"/>
        <v>86</v>
      </c>
      <c r="P28" s="6">
        <f t="shared" si="7"/>
        <v>87</v>
      </c>
      <c r="Q28" s="6">
        <f t="shared" si="7"/>
        <v>117</v>
      </c>
      <c r="R28" s="6">
        <f t="shared" si="7"/>
        <v>94</v>
      </c>
      <c r="S28" s="6">
        <f t="shared" si="7"/>
        <v>75</v>
      </c>
      <c r="T28" s="6">
        <f t="shared" si="7"/>
        <v>80</v>
      </c>
      <c r="U28" s="6">
        <f t="shared" si="7"/>
        <v>87</v>
      </c>
      <c r="V28" s="6">
        <f t="shared" si="7"/>
        <v>111</v>
      </c>
      <c r="W28" s="6">
        <f t="shared" si="7"/>
        <v>97</v>
      </c>
      <c r="X28" s="6">
        <f t="shared" si="7"/>
        <v>101</v>
      </c>
      <c r="Y28" s="6">
        <f t="shared" si="7"/>
        <v>77</v>
      </c>
      <c r="Z28" s="6">
        <f t="shared" si="7"/>
        <v>95</v>
      </c>
      <c r="AA28" s="6">
        <f t="shared" si="7"/>
        <v>105</v>
      </c>
      <c r="AB28" s="6">
        <f t="shared" si="7"/>
        <v>73</v>
      </c>
      <c r="AC28" s="6">
        <f t="shared" si="7"/>
        <v>69</v>
      </c>
      <c r="AD28" s="6">
        <f t="shared" si="3"/>
        <v>2143</v>
      </c>
    </row>
    <row r="29" ht="12.75" customHeight="1">
      <c r="A29" s="38"/>
      <c r="B29" s="26"/>
      <c r="C29" s="37"/>
      <c r="D29" s="6" t="s">
        <v>13</v>
      </c>
      <c r="E29" s="6">
        <f t="shared" ref="E29:AC29" si="8">SUM(E20,E23,E26)</f>
        <v>83</v>
      </c>
      <c r="F29" s="6">
        <f t="shared" si="8"/>
        <v>75</v>
      </c>
      <c r="G29" s="6">
        <f t="shared" si="8"/>
        <v>94</v>
      </c>
      <c r="H29" s="6">
        <f t="shared" si="8"/>
        <v>85</v>
      </c>
      <c r="I29" s="6">
        <f t="shared" si="8"/>
        <v>79</v>
      </c>
      <c r="J29" s="6">
        <f t="shared" si="8"/>
        <v>80</v>
      </c>
      <c r="K29" s="6">
        <f t="shared" si="8"/>
        <v>73</v>
      </c>
      <c r="L29" s="6">
        <f t="shared" si="8"/>
        <v>93</v>
      </c>
      <c r="M29" s="6">
        <f t="shared" si="8"/>
        <v>81</v>
      </c>
      <c r="N29" s="6">
        <f t="shared" si="8"/>
        <v>110</v>
      </c>
      <c r="O29" s="6">
        <f t="shared" si="8"/>
        <v>87</v>
      </c>
      <c r="P29" s="6">
        <f t="shared" si="8"/>
        <v>99</v>
      </c>
      <c r="Q29" s="6">
        <f t="shared" si="8"/>
        <v>113</v>
      </c>
      <c r="R29" s="6">
        <f t="shared" si="8"/>
        <v>94</v>
      </c>
      <c r="S29" s="6">
        <f t="shared" si="8"/>
        <v>88</v>
      </c>
      <c r="T29" s="6">
        <f t="shared" si="8"/>
        <v>80</v>
      </c>
      <c r="U29" s="6">
        <f t="shared" si="8"/>
        <v>85</v>
      </c>
      <c r="V29" s="6">
        <f t="shared" si="8"/>
        <v>114</v>
      </c>
      <c r="W29" s="6">
        <f t="shared" si="8"/>
        <v>115</v>
      </c>
      <c r="X29" s="6">
        <f t="shared" si="8"/>
        <v>122</v>
      </c>
      <c r="Y29" s="6">
        <f t="shared" si="8"/>
        <v>81</v>
      </c>
      <c r="Z29" s="6">
        <f t="shared" si="8"/>
        <v>92</v>
      </c>
      <c r="AA29" s="6">
        <f t="shared" si="8"/>
        <v>104</v>
      </c>
      <c r="AB29" s="6">
        <f t="shared" si="8"/>
        <v>65</v>
      </c>
      <c r="AC29" s="6">
        <f t="shared" si="8"/>
        <v>78</v>
      </c>
      <c r="AD29" s="6">
        <f t="shared" si="3"/>
        <v>2270</v>
      </c>
    </row>
    <row r="30" ht="12.75" customHeight="1">
      <c r="A30" s="38"/>
      <c r="B30" s="27"/>
      <c r="C30" s="39"/>
      <c r="D30" s="6" t="s">
        <v>14</v>
      </c>
      <c r="E30" s="6">
        <f t="shared" ref="E30:AC30" si="9">SUM(E28:E29)</f>
        <v>164</v>
      </c>
      <c r="F30" s="6">
        <f t="shared" si="9"/>
        <v>145</v>
      </c>
      <c r="G30" s="6">
        <f t="shared" si="9"/>
        <v>168</v>
      </c>
      <c r="H30" s="6">
        <f t="shared" si="9"/>
        <v>166</v>
      </c>
      <c r="I30" s="6">
        <f t="shared" si="9"/>
        <v>153</v>
      </c>
      <c r="J30" s="6">
        <f t="shared" si="9"/>
        <v>154</v>
      </c>
      <c r="K30" s="6">
        <f t="shared" si="9"/>
        <v>135</v>
      </c>
      <c r="L30" s="6">
        <f t="shared" si="9"/>
        <v>171</v>
      </c>
      <c r="M30" s="6">
        <f t="shared" si="9"/>
        <v>167</v>
      </c>
      <c r="N30" s="6">
        <f t="shared" si="9"/>
        <v>219</v>
      </c>
      <c r="O30" s="6">
        <f t="shared" si="9"/>
        <v>173</v>
      </c>
      <c r="P30" s="6">
        <f t="shared" si="9"/>
        <v>186</v>
      </c>
      <c r="Q30" s="6">
        <f t="shared" si="9"/>
        <v>230</v>
      </c>
      <c r="R30" s="6">
        <f t="shared" si="9"/>
        <v>188</v>
      </c>
      <c r="S30" s="6">
        <f t="shared" si="9"/>
        <v>163</v>
      </c>
      <c r="T30" s="6">
        <f t="shared" si="9"/>
        <v>160</v>
      </c>
      <c r="U30" s="6">
        <f t="shared" si="9"/>
        <v>172</v>
      </c>
      <c r="V30" s="6">
        <f t="shared" si="9"/>
        <v>225</v>
      </c>
      <c r="W30" s="6">
        <f t="shared" si="9"/>
        <v>212</v>
      </c>
      <c r="X30" s="6">
        <f t="shared" si="9"/>
        <v>223</v>
      </c>
      <c r="Y30" s="6">
        <f t="shared" si="9"/>
        <v>158</v>
      </c>
      <c r="Z30" s="6">
        <f t="shared" si="9"/>
        <v>187</v>
      </c>
      <c r="AA30" s="6">
        <f t="shared" si="9"/>
        <v>209</v>
      </c>
      <c r="AB30" s="6">
        <f t="shared" si="9"/>
        <v>138</v>
      </c>
      <c r="AC30" s="6">
        <f t="shared" si="9"/>
        <v>147</v>
      </c>
      <c r="AD30" s="6">
        <f t="shared" si="3"/>
        <v>4413</v>
      </c>
    </row>
    <row r="31" ht="12.75" customHeight="1">
      <c r="A31" s="30"/>
      <c r="B31" s="8"/>
      <c r="C31" s="8"/>
      <c r="D31" s="9"/>
      <c r="E31" s="13"/>
      <c r="F31" s="13"/>
      <c r="G31" s="13"/>
      <c r="H31" s="13"/>
      <c r="I31" s="13"/>
      <c r="J31" s="13"/>
      <c r="K31" s="13"/>
      <c r="L31" s="13"/>
      <c r="M31" s="13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6"/>
    </row>
    <row r="32" ht="12.75" customHeight="1">
      <c r="A32" s="43" t="s">
        <v>25</v>
      </c>
      <c r="B32" s="7" t="s">
        <v>26</v>
      </c>
      <c r="C32" s="8"/>
      <c r="D32" s="9"/>
      <c r="E32" s="6"/>
      <c r="F32" s="6"/>
      <c r="G32" s="6"/>
      <c r="H32" s="6"/>
      <c r="I32" s="6"/>
      <c r="J32" s="6"/>
      <c r="K32" s="6"/>
      <c r="L32" s="6"/>
      <c r="M32" s="6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6"/>
    </row>
    <row r="33" ht="12.75" customHeight="1">
      <c r="A33" s="13">
        <v>1.0</v>
      </c>
      <c r="B33" s="14" t="s">
        <v>27</v>
      </c>
      <c r="C33" s="8"/>
      <c r="D33" s="9"/>
      <c r="E33" s="71">
        <v>210.0</v>
      </c>
      <c r="F33" s="71">
        <v>212.0</v>
      </c>
      <c r="G33" s="71">
        <v>223.0</v>
      </c>
      <c r="H33" s="71">
        <v>170.0</v>
      </c>
      <c r="I33" s="71">
        <v>205.0</v>
      </c>
      <c r="J33" s="71">
        <v>200.0</v>
      </c>
      <c r="K33" s="71">
        <v>181.0</v>
      </c>
      <c r="L33" s="71">
        <v>206.0</v>
      </c>
      <c r="M33" s="71">
        <v>208.0</v>
      </c>
      <c r="N33" s="71">
        <v>292.0</v>
      </c>
      <c r="O33" s="71">
        <v>216.0</v>
      </c>
      <c r="P33" s="71">
        <v>209.0</v>
      </c>
      <c r="Q33" s="71">
        <v>259.0</v>
      </c>
      <c r="R33" s="71">
        <v>221.0</v>
      </c>
      <c r="S33" s="71">
        <v>197.0</v>
      </c>
      <c r="T33" s="71">
        <v>175.0</v>
      </c>
      <c r="U33" s="71">
        <v>197.0</v>
      </c>
      <c r="V33" s="71">
        <v>284.0</v>
      </c>
      <c r="W33" s="71">
        <v>267.0</v>
      </c>
      <c r="X33" s="71">
        <v>270.0</v>
      </c>
      <c r="Y33" s="71">
        <v>188.0</v>
      </c>
      <c r="Z33" s="71">
        <v>235.0</v>
      </c>
      <c r="AA33" s="71">
        <v>252.0</v>
      </c>
      <c r="AB33" s="71">
        <v>155.0</v>
      </c>
      <c r="AC33" s="71">
        <v>190.0</v>
      </c>
      <c r="AD33" s="6">
        <f t="shared" ref="AD33:AD36" si="10">SUM(E33:AC33)</f>
        <v>5422</v>
      </c>
    </row>
    <row r="34" ht="12.75" customHeight="1">
      <c r="A34" s="13">
        <v>2.0</v>
      </c>
      <c r="B34" s="14" t="s">
        <v>28</v>
      </c>
      <c r="C34" s="8"/>
      <c r="D34" s="9"/>
      <c r="E34" s="73">
        <v>164.0</v>
      </c>
      <c r="F34" s="73">
        <v>145.0</v>
      </c>
      <c r="G34" s="73">
        <v>168.0</v>
      </c>
      <c r="H34" s="73">
        <v>166.0</v>
      </c>
      <c r="I34" s="73">
        <v>153.0</v>
      </c>
      <c r="J34" s="73">
        <v>154.0</v>
      </c>
      <c r="K34" s="73">
        <v>135.0</v>
      </c>
      <c r="L34" s="73">
        <v>171.0</v>
      </c>
      <c r="M34" s="73">
        <v>167.0</v>
      </c>
      <c r="N34" s="73">
        <v>219.0</v>
      </c>
      <c r="O34" s="73">
        <v>173.0</v>
      </c>
      <c r="P34" s="73">
        <v>186.0</v>
      </c>
      <c r="Q34" s="73">
        <v>230.0</v>
      </c>
      <c r="R34" s="73">
        <v>188.0</v>
      </c>
      <c r="S34" s="73">
        <v>163.0</v>
      </c>
      <c r="T34" s="73">
        <v>160.0</v>
      </c>
      <c r="U34" s="73">
        <v>172.0</v>
      </c>
      <c r="V34" s="73">
        <v>225.0</v>
      </c>
      <c r="W34" s="73">
        <v>212.0</v>
      </c>
      <c r="X34" s="73">
        <v>223.0</v>
      </c>
      <c r="Y34" s="73">
        <v>158.0</v>
      </c>
      <c r="Z34" s="73">
        <v>187.0</v>
      </c>
      <c r="AA34" s="73">
        <v>209.0</v>
      </c>
      <c r="AB34" s="73">
        <v>138.0</v>
      </c>
      <c r="AC34" s="73">
        <v>147.0</v>
      </c>
      <c r="AD34" s="6">
        <f t="shared" si="10"/>
        <v>4413</v>
      </c>
    </row>
    <row r="35" ht="12.75" customHeight="1">
      <c r="A35" s="13">
        <v>3.0</v>
      </c>
      <c r="B35" s="14" t="s">
        <v>29</v>
      </c>
      <c r="C35" s="8"/>
      <c r="D35" s="9"/>
      <c r="E35" s="71">
        <v>0.0</v>
      </c>
      <c r="F35" s="71">
        <v>0.0</v>
      </c>
      <c r="G35" s="71">
        <v>0.0</v>
      </c>
      <c r="H35" s="71">
        <v>1.0</v>
      </c>
      <c r="I35" s="71">
        <v>0.0</v>
      </c>
      <c r="J35" s="71">
        <v>0.0</v>
      </c>
      <c r="K35" s="71">
        <v>0.0</v>
      </c>
      <c r="L35" s="71">
        <v>0.0</v>
      </c>
      <c r="M35" s="71">
        <v>0.0</v>
      </c>
      <c r="N35" s="71">
        <v>0.0</v>
      </c>
      <c r="O35" s="71">
        <v>0.0</v>
      </c>
      <c r="P35" s="71">
        <v>0.0</v>
      </c>
      <c r="Q35" s="71">
        <v>0.0</v>
      </c>
      <c r="R35" s="71">
        <v>0.0</v>
      </c>
      <c r="S35" s="71">
        <v>0.0</v>
      </c>
      <c r="T35" s="71">
        <v>0.0</v>
      </c>
      <c r="U35" s="71">
        <v>0.0</v>
      </c>
      <c r="V35" s="71">
        <v>0.0</v>
      </c>
      <c r="W35" s="71">
        <v>0.0</v>
      </c>
      <c r="X35" s="71">
        <v>0.0</v>
      </c>
      <c r="Y35" s="71">
        <v>0.0</v>
      </c>
      <c r="Z35" s="71">
        <v>0.0</v>
      </c>
      <c r="AA35" s="71">
        <v>0.0</v>
      </c>
      <c r="AB35" s="71">
        <v>0.0</v>
      </c>
      <c r="AC35" s="71">
        <v>0.0</v>
      </c>
      <c r="AD35" s="6">
        <f t="shared" si="10"/>
        <v>1</v>
      </c>
    </row>
    <row r="36" ht="12.75" customHeight="1">
      <c r="A36" s="13">
        <v>4.0</v>
      </c>
      <c r="B36" s="14" t="s">
        <v>30</v>
      </c>
      <c r="C36" s="8"/>
      <c r="D36" s="9"/>
      <c r="E36" s="6">
        <f t="shared" ref="E36:AC36" si="11">E33-(E34+E35)</f>
        <v>46</v>
      </c>
      <c r="F36" s="6">
        <f t="shared" si="11"/>
        <v>67</v>
      </c>
      <c r="G36" s="6">
        <f t="shared" si="11"/>
        <v>55</v>
      </c>
      <c r="H36" s="6">
        <f t="shared" si="11"/>
        <v>3</v>
      </c>
      <c r="I36" s="6">
        <f t="shared" si="11"/>
        <v>52</v>
      </c>
      <c r="J36" s="6">
        <f t="shared" si="11"/>
        <v>46</v>
      </c>
      <c r="K36" s="6">
        <f t="shared" si="11"/>
        <v>46</v>
      </c>
      <c r="L36" s="6">
        <f t="shared" si="11"/>
        <v>35</v>
      </c>
      <c r="M36" s="6">
        <f t="shared" si="11"/>
        <v>41</v>
      </c>
      <c r="N36" s="6">
        <f t="shared" si="11"/>
        <v>73</v>
      </c>
      <c r="O36" s="6">
        <f t="shared" si="11"/>
        <v>43</v>
      </c>
      <c r="P36" s="6">
        <f t="shared" si="11"/>
        <v>23</v>
      </c>
      <c r="Q36" s="6">
        <f t="shared" si="11"/>
        <v>29</v>
      </c>
      <c r="R36" s="6">
        <f t="shared" si="11"/>
        <v>33</v>
      </c>
      <c r="S36" s="6">
        <f t="shared" si="11"/>
        <v>34</v>
      </c>
      <c r="T36" s="6">
        <f t="shared" si="11"/>
        <v>15</v>
      </c>
      <c r="U36" s="6">
        <f t="shared" si="11"/>
        <v>25</v>
      </c>
      <c r="V36" s="6">
        <f t="shared" si="11"/>
        <v>59</v>
      </c>
      <c r="W36" s="6">
        <f t="shared" si="11"/>
        <v>55</v>
      </c>
      <c r="X36" s="6">
        <f t="shared" si="11"/>
        <v>47</v>
      </c>
      <c r="Y36" s="6">
        <f t="shared" si="11"/>
        <v>30</v>
      </c>
      <c r="Z36" s="6">
        <f t="shared" si="11"/>
        <v>48</v>
      </c>
      <c r="AA36" s="6">
        <f t="shared" si="11"/>
        <v>43</v>
      </c>
      <c r="AB36" s="6">
        <f t="shared" si="11"/>
        <v>17</v>
      </c>
      <c r="AC36" s="6">
        <f t="shared" si="11"/>
        <v>43</v>
      </c>
      <c r="AD36" s="6">
        <f t="shared" si="10"/>
        <v>1008</v>
      </c>
    </row>
    <row r="37" ht="12.75" customHeight="1">
      <c r="A37" s="30"/>
      <c r="B37" s="8"/>
      <c r="C37" s="8"/>
      <c r="D37" s="8"/>
      <c r="E37" s="30"/>
      <c r="F37" s="8"/>
      <c r="G37" s="8"/>
      <c r="H37" s="8"/>
      <c r="I37" s="9"/>
      <c r="J37" s="13"/>
      <c r="K37" s="13"/>
      <c r="L37" s="13"/>
      <c r="M37" s="13"/>
      <c r="N37" s="72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6"/>
    </row>
    <row r="38" ht="12.75" customHeight="1">
      <c r="A38" s="46" t="s">
        <v>31</v>
      </c>
      <c r="B38" s="7" t="s">
        <v>32</v>
      </c>
      <c r="C38" s="8"/>
      <c r="D38" s="9"/>
      <c r="E38" s="6"/>
      <c r="F38" s="6"/>
      <c r="G38" s="6"/>
      <c r="H38" s="6"/>
      <c r="I38" s="6"/>
      <c r="J38" s="6"/>
      <c r="K38" s="6"/>
      <c r="L38" s="6"/>
      <c r="M38" s="6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6"/>
    </row>
    <row r="39" ht="12.75" customHeight="1">
      <c r="A39" s="33"/>
      <c r="B39" s="47" t="s">
        <v>33</v>
      </c>
      <c r="C39" s="20"/>
      <c r="D39" s="13" t="s">
        <v>12</v>
      </c>
      <c r="E39" s="71">
        <v>1.0</v>
      </c>
      <c r="F39" s="71">
        <v>2.0</v>
      </c>
      <c r="G39" s="71">
        <v>0.0</v>
      </c>
      <c r="H39" s="71">
        <v>0.0</v>
      </c>
      <c r="I39" s="71">
        <v>2.0</v>
      </c>
      <c r="J39" s="71">
        <v>0.0</v>
      </c>
      <c r="K39" s="71">
        <v>0.0</v>
      </c>
      <c r="L39" s="71">
        <v>0.0</v>
      </c>
      <c r="M39" s="71">
        <v>0.0</v>
      </c>
      <c r="N39" s="71">
        <v>0.0</v>
      </c>
      <c r="O39" s="71">
        <v>0.0</v>
      </c>
      <c r="P39" s="71">
        <v>1.0</v>
      </c>
      <c r="Q39" s="71">
        <v>0.0</v>
      </c>
      <c r="R39" s="71">
        <v>0.0</v>
      </c>
      <c r="S39" s="71">
        <v>0.0</v>
      </c>
      <c r="T39" s="71">
        <v>0.0</v>
      </c>
      <c r="U39" s="71">
        <v>0.0</v>
      </c>
      <c r="V39" s="71">
        <v>0.0</v>
      </c>
      <c r="W39" s="71">
        <v>0.0</v>
      </c>
      <c r="X39" s="71">
        <v>1.0</v>
      </c>
      <c r="Y39" s="71">
        <v>0.0</v>
      </c>
      <c r="Z39" s="71">
        <v>0.0</v>
      </c>
      <c r="AA39" s="71">
        <v>0.0</v>
      </c>
      <c r="AB39" s="71">
        <v>0.0</v>
      </c>
      <c r="AC39" s="71">
        <v>0.0</v>
      </c>
      <c r="AD39" s="6">
        <f t="shared" ref="AD39:AD41" si="12">SUM(E39:AC39)</f>
        <v>7</v>
      </c>
    </row>
    <row r="40" ht="12.75" customHeight="1">
      <c r="A40" s="36"/>
      <c r="C40" s="26"/>
      <c r="D40" s="13" t="s">
        <v>13</v>
      </c>
      <c r="E40" s="71">
        <v>0.0</v>
      </c>
      <c r="F40" s="71">
        <v>1.0</v>
      </c>
      <c r="G40" s="71">
        <v>0.0</v>
      </c>
      <c r="H40" s="71">
        <v>0.0</v>
      </c>
      <c r="I40" s="71">
        <v>1.0</v>
      </c>
      <c r="J40" s="71">
        <v>0.0</v>
      </c>
      <c r="K40" s="71">
        <v>0.0</v>
      </c>
      <c r="L40" s="71">
        <v>0.0</v>
      </c>
      <c r="M40" s="71">
        <v>0.0</v>
      </c>
      <c r="N40" s="71">
        <v>0.0</v>
      </c>
      <c r="O40" s="71">
        <v>0.0</v>
      </c>
      <c r="P40" s="71">
        <v>0.0</v>
      </c>
      <c r="Q40" s="71">
        <v>0.0</v>
      </c>
      <c r="R40" s="71">
        <v>0.0</v>
      </c>
      <c r="S40" s="71">
        <v>0.0</v>
      </c>
      <c r="T40" s="71">
        <v>0.0</v>
      </c>
      <c r="U40" s="71">
        <v>0.0</v>
      </c>
      <c r="V40" s="71">
        <v>0.0</v>
      </c>
      <c r="W40" s="71">
        <v>0.0</v>
      </c>
      <c r="X40" s="71">
        <v>1.0</v>
      </c>
      <c r="Y40" s="71">
        <v>0.0</v>
      </c>
      <c r="Z40" s="71">
        <v>0.0</v>
      </c>
      <c r="AA40" s="71">
        <v>0.0</v>
      </c>
      <c r="AB40" s="71">
        <v>0.0</v>
      </c>
      <c r="AC40" s="71">
        <v>0.0</v>
      </c>
      <c r="AD40" s="6">
        <f t="shared" si="12"/>
        <v>3</v>
      </c>
    </row>
    <row r="41" ht="12.75" customHeight="1">
      <c r="A41" s="43"/>
      <c r="B41" s="48"/>
      <c r="C41" s="27"/>
      <c r="D41" s="6" t="s">
        <v>14</v>
      </c>
      <c r="E41" s="6">
        <f t="shared" ref="E41:AC41" si="13">SUM(E39:E40)</f>
        <v>1</v>
      </c>
      <c r="F41" s="6">
        <f t="shared" si="13"/>
        <v>3</v>
      </c>
      <c r="G41" s="6">
        <f t="shared" si="13"/>
        <v>0</v>
      </c>
      <c r="H41" s="6">
        <f t="shared" si="13"/>
        <v>0</v>
      </c>
      <c r="I41" s="6">
        <f t="shared" si="13"/>
        <v>3</v>
      </c>
      <c r="J41" s="6">
        <f t="shared" si="13"/>
        <v>0</v>
      </c>
      <c r="K41" s="6">
        <f t="shared" si="13"/>
        <v>0</v>
      </c>
      <c r="L41" s="6">
        <f t="shared" si="13"/>
        <v>0</v>
      </c>
      <c r="M41" s="6">
        <f t="shared" si="13"/>
        <v>0</v>
      </c>
      <c r="N41" s="6">
        <f t="shared" si="13"/>
        <v>0</v>
      </c>
      <c r="O41" s="6">
        <f t="shared" si="13"/>
        <v>0</v>
      </c>
      <c r="P41" s="6">
        <f t="shared" si="13"/>
        <v>1</v>
      </c>
      <c r="Q41" s="6">
        <f t="shared" si="13"/>
        <v>0</v>
      </c>
      <c r="R41" s="6">
        <f t="shared" si="13"/>
        <v>0</v>
      </c>
      <c r="S41" s="6">
        <f t="shared" si="13"/>
        <v>0</v>
      </c>
      <c r="T41" s="6">
        <f t="shared" si="13"/>
        <v>0</v>
      </c>
      <c r="U41" s="6">
        <f t="shared" si="13"/>
        <v>0</v>
      </c>
      <c r="V41" s="6">
        <f t="shared" si="13"/>
        <v>0</v>
      </c>
      <c r="W41" s="6">
        <f t="shared" si="13"/>
        <v>0</v>
      </c>
      <c r="X41" s="6">
        <f t="shared" si="13"/>
        <v>2</v>
      </c>
      <c r="Y41" s="6">
        <f t="shared" si="13"/>
        <v>0</v>
      </c>
      <c r="Z41" s="6">
        <f t="shared" si="13"/>
        <v>0</v>
      </c>
      <c r="AA41" s="6">
        <f t="shared" si="13"/>
        <v>0</v>
      </c>
      <c r="AB41" s="6">
        <f t="shared" si="13"/>
        <v>0</v>
      </c>
      <c r="AC41" s="6">
        <f t="shared" si="13"/>
        <v>0</v>
      </c>
      <c r="AD41" s="6">
        <f t="shared" si="12"/>
        <v>10</v>
      </c>
    </row>
    <row r="42" ht="12.75" customHeight="1">
      <c r="A42" s="49"/>
      <c r="B42" s="48"/>
      <c r="C42" s="48"/>
      <c r="D42" s="27"/>
      <c r="E42" s="30"/>
      <c r="F42" s="8"/>
      <c r="G42" s="8"/>
      <c r="H42" s="8"/>
      <c r="I42" s="9"/>
      <c r="J42" s="13"/>
      <c r="K42" s="13"/>
      <c r="L42" s="13"/>
      <c r="M42" s="13"/>
      <c r="N42" s="72"/>
      <c r="AD42" s="6"/>
    </row>
    <row r="43" ht="12.75" customHeight="1">
      <c r="A43" s="46" t="s">
        <v>34</v>
      </c>
      <c r="B43" s="7" t="s">
        <v>35</v>
      </c>
      <c r="C43" s="8"/>
      <c r="D43" s="9"/>
      <c r="E43" s="28"/>
      <c r="F43" s="6"/>
      <c r="G43" s="6"/>
      <c r="H43" s="6"/>
      <c r="I43" s="6"/>
      <c r="J43" s="6"/>
      <c r="K43" s="6"/>
      <c r="L43" s="6"/>
      <c r="M43" s="6"/>
      <c r="N43" s="74"/>
      <c r="AD43" s="6"/>
    </row>
    <row r="44" ht="12.75" customHeight="1">
      <c r="A44" s="47" t="s">
        <v>36</v>
      </c>
      <c r="B44" s="50"/>
      <c r="C44" s="50"/>
      <c r="D44" s="20"/>
      <c r="E44" s="30"/>
      <c r="F44" s="13"/>
      <c r="G44" s="13"/>
      <c r="H44" s="13"/>
      <c r="I44" s="13"/>
      <c r="J44" s="13"/>
      <c r="K44" s="13"/>
      <c r="L44" s="13"/>
      <c r="M44" s="13"/>
      <c r="N44" s="72"/>
      <c r="AD44" s="6"/>
    </row>
    <row r="45" ht="12.75" customHeight="1">
      <c r="A45" s="33" t="s">
        <v>37</v>
      </c>
      <c r="B45" s="51" t="s">
        <v>17</v>
      </c>
      <c r="C45" s="52" t="s">
        <v>38</v>
      </c>
      <c r="D45" s="9"/>
      <c r="E45" s="71">
        <v>19.0</v>
      </c>
      <c r="F45" s="71">
        <v>0.0</v>
      </c>
      <c r="G45" s="71">
        <v>5.0</v>
      </c>
      <c r="H45" s="71">
        <v>4.0</v>
      </c>
      <c r="I45" s="71">
        <v>7.0</v>
      </c>
      <c r="J45" s="71">
        <v>8.0</v>
      </c>
      <c r="K45" s="71">
        <v>8.0</v>
      </c>
      <c r="L45" s="71">
        <v>20.0</v>
      </c>
      <c r="M45" s="71">
        <v>12.0</v>
      </c>
      <c r="N45" s="71">
        <v>15.0</v>
      </c>
      <c r="O45" s="71">
        <v>8.0</v>
      </c>
      <c r="P45" s="71">
        <v>9.0</v>
      </c>
      <c r="Q45" s="71">
        <v>9.0</v>
      </c>
      <c r="R45" s="71">
        <v>1.0</v>
      </c>
      <c r="S45" s="71">
        <v>9.0</v>
      </c>
      <c r="T45" s="71">
        <v>5.0</v>
      </c>
      <c r="U45" s="71">
        <v>7.0</v>
      </c>
      <c r="V45" s="71">
        <v>15.0</v>
      </c>
      <c r="W45" s="71">
        <v>17.0</v>
      </c>
      <c r="X45" s="71">
        <v>6.0</v>
      </c>
      <c r="Y45" s="71">
        <v>3.0</v>
      </c>
      <c r="Z45" s="71">
        <v>9.0</v>
      </c>
      <c r="AA45" s="71">
        <v>18.0</v>
      </c>
      <c r="AB45" s="71">
        <v>11.0</v>
      </c>
      <c r="AC45" s="71">
        <v>3.0</v>
      </c>
      <c r="AD45" s="6">
        <f t="shared" ref="AD45:AD52" si="14">SUM(E45:AC45)</f>
        <v>228</v>
      </c>
    </row>
    <row r="46" ht="12.75" customHeight="1">
      <c r="A46" s="33" t="s">
        <v>39</v>
      </c>
      <c r="B46" s="54">
        <v>1.0</v>
      </c>
      <c r="C46" s="55" t="s">
        <v>40</v>
      </c>
      <c r="D46" s="56"/>
      <c r="E46" s="71">
        <v>14.0</v>
      </c>
      <c r="F46" s="71">
        <v>13.0</v>
      </c>
      <c r="G46" s="71">
        <v>22.0</v>
      </c>
      <c r="H46" s="71">
        <v>12.0</v>
      </c>
      <c r="I46" s="71">
        <v>8.0</v>
      </c>
      <c r="J46" s="71">
        <v>11.0</v>
      </c>
      <c r="K46" s="71">
        <v>7.0</v>
      </c>
      <c r="L46" s="71">
        <v>13.0</v>
      </c>
      <c r="M46" s="71">
        <v>21.0</v>
      </c>
      <c r="N46" s="71">
        <v>16.0</v>
      </c>
      <c r="O46" s="71">
        <v>5.0</v>
      </c>
      <c r="P46" s="71">
        <v>16.0</v>
      </c>
      <c r="Q46" s="71">
        <v>10.0</v>
      </c>
      <c r="R46" s="71">
        <v>10.0</v>
      </c>
      <c r="S46" s="71">
        <v>15.0</v>
      </c>
      <c r="T46" s="71">
        <v>14.0</v>
      </c>
      <c r="U46" s="71">
        <v>10.0</v>
      </c>
      <c r="V46" s="71">
        <v>21.0</v>
      </c>
      <c r="W46" s="71">
        <v>22.0</v>
      </c>
      <c r="X46" s="71">
        <v>18.0</v>
      </c>
      <c r="Y46" s="71">
        <v>8.0</v>
      </c>
      <c r="Z46" s="71">
        <v>13.0</v>
      </c>
      <c r="AA46" s="71">
        <v>31.0</v>
      </c>
      <c r="AB46" s="71">
        <v>22.0</v>
      </c>
      <c r="AC46" s="71">
        <v>10.0</v>
      </c>
      <c r="AD46" s="6">
        <f t="shared" si="14"/>
        <v>362</v>
      </c>
    </row>
    <row r="47" ht="12.75" customHeight="1">
      <c r="A47" s="18"/>
      <c r="B47" s="54">
        <v>2.0</v>
      </c>
      <c r="C47" s="55" t="s">
        <v>41</v>
      </c>
      <c r="D47" s="56"/>
      <c r="E47" s="71">
        <v>0.0</v>
      </c>
      <c r="F47" s="71">
        <v>0.0</v>
      </c>
      <c r="G47" s="71">
        <v>3.0</v>
      </c>
      <c r="H47" s="71">
        <v>1.0</v>
      </c>
      <c r="I47" s="71">
        <v>0.0</v>
      </c>
      <c r="J47" s="71">
        <v>1.0</v>
      </c>
      <c r="K47" s="71">
        <v>1.0</v>
      </c>
      <c r="L47" s="71">
        <v>6.0</v>
      </c>
      <c r="M47" s="71">
        <v>0.0</v>
      </c>
      <c r="N47" s="71">
        <v>0.0</v>
      </c>
      <c r="O47" s="71">
        <v>0.0</v>
      </c>
      <c r="P47" s="71">
        <v>3.0</v>
      </c>
      <c r="Q47" s="71">
        <v>5.0</v>
      </c>
      <c r="R47" s="71">
        <v>1.0</v>
      </c>
      <c r="S47" s="71">
        <v>1.0</v>
      </c>
      <c r="T47" s="71">
        <v>2.0</v>
      </c>
      <c r="U47" s="71">
        <v>1.0</v>
      </c>
      <c r="V47" s="71">
        <v>1.0</v>
      </c>
      <c r="W47" s="71">
        <v>1.0</v>
      </c>
      <c r="X47" s="71">
        <v>1.0</v>
      </c>
      <c r="Y47" s="71">
        <v>2.0</v>
      </c>
      <c r="Z47" s="71">
        <v>0.0</v>
      </c>
      <c r="AA47" s="71">
        <v>8.0</v>
      </c>
      <c r="AB47" s="71">
        <v>58.0</v>
      </c>
      <c r="AC47" s="71">
        <v>8.0</v>
      </c>
      <c r="AD47" s="6">
        <f t="shared" si="14"/>
        <v>104</v>
      </c>
    </row>
    <row r="48" ht="12.75" customHeight="1">
      <c r="A48" s="18"/>
      <c r="B48" s="54">
        <v>3.0</v>
      </c>
      <c r="C48" s="55" t="s">
        <v>42</v>
      </c>
      <c r="D48" s="56"/>
      <c r="E48" s="71">
        <v>2.0</v>
      </c>
      <c r="F48" s="71">
        <v>3.0</v>
      </c>
      <c r="G48" s="71">
        <v>2.0</v>
      </c>
      <c r="H48" s="71">
        <v>1.0</v>
      </c>
      <c r="I48" s="71">
        <v>3.0</v>
      </c>
      <c r="J48" s="71">
        <v>2.0</v>
      </c>
      <c r="K48" s="71">
        <v>0.0</v>
      </c>
      <c r="L48" s="71">
        <v>0.0</v>
      </c>
      <c r="M48" s="71">
        <v>1.0</v>
      </c>
      <c r="N48" s="71">
        <v>0.0</v>
      </c>
      <c r="O48" s="71">
        <v>0.0</v>
      </c>
      <c r="P48" s="71">
        <v>0.0</v>
      </c>
      <c r="Q48" s="71">
        <v>1.0</v>
      </c>
      <c r="R48" s="71">
        <v>1.0</v>
      </c>
      <c r="S48" s="71">
        <v>0.0</v>
      </c>
      <c r="T48" s="71">
        <v>1.0</v>
      </c>
      <c r="U48" s="71">
        <v>0.0</v>
      </c>
      <c r="V48" s="71">
        <v>1.0</v>
      </c>
      <c r="W48" s="71">
        <v>2.0</v>
      </c>
      <c r="X48" s="71">
        <v>1.0</v>
      </c>
      <c r="Y48" s="71">
        <v>1.0</v>
      </c>
      <c r="Z48" s="71">
        <v>1.0</v>
      </c>
      <c r="AA48" s="71">
        <v>0.0</v>
      </c>
      <c r="AB48" s="71">
        <v>6.0</v>
      </c>
      <c r="AC48" s="71">
        <v>1.0</v>
      </c>
      <c r="AD48" s="6">
        <f t="shared" si="14"/>
        <v>30</v>
      </c>
    </row>
    <row r="49" ht="12.75" customHeight="1">
      <c r="A49" s="18"/>
      <c r="B49" s="54">
        <v>4.0</v>
      </c>
      <c r="C49" s="55" t="s">
        <v>43</v>
      </c>
      <c r="D49" s="56"/>
      <c r="E49" s="71">
        <v>0.0</v>
      </c>
      <c r="F49" s="71">
        <v>0.0</v>
      </c>
      <c r="G49" s="71">
        <v>0.0</v>
      </c>
      <c r="H49" s="71">
        <v>2.0</v>
      </c>
      <c r="I49" s="71">
        <v>0.0</v>
      </c>
      <c r="J49" s="71">
        <v>0.0</v>
      </c>
      <c r="K49" s="71">
        <v>1.0</v>
      </c>
      <c r="L49" s="71">
        <v>0.0</v>
      </c>
      <c r="M49" s="71">
        <v>0.0</v>
      </c>
      <c r="N49" s="71">
        <v>1.0</v>
      </c>
      <c r="O49" s="71">
        <v>0.0</v>
      </c>
      <c r="P49" s="71">
        <v>0.0</v>
      </c>
      <c r="Q49" s="71">
        <v>0.0</v>
      </c>
      <c r="R49" s="71">
        <v>0.0</v>
      </c>
      <c r="S49" s="71">
        <v>0.0</v>
      </c>
      <c r="T49" s="71">
        <v>0.0</v>
      </c>
      <c r="U49" s="71">
        <v>0.0</v>
      </c>
      <c r="V49" s="71">
        <v>3.0</v>
      </c>
      <c r="W49" s="71">
        <v>2.0</v>
      </c>
      <c r="X49" s="71">
        <v>0.0</v>
      </c>
      <c r="Y49" s="71">
        <v>0.0</v>
      </c>
      <c r="Z49" s="71">
        <v>1.0</v>
      </c>
      <c r="AA49" s="71">
        <v>1.0</v>
      </c>
      <c r="AB49" s="71">
        <v>1.0</v>
      </c>
      <c r="AC49" s="71">
        <v>1.0</v>
      </c>
      <c r="AD49" s="6">
        <f t="shared" si="14"/>
        <v>13</v>
      </c>
    </row>
    <row r="50" ht="12.75" customHeight="1">
      <c r="A50" s="18"/>
      <c r="B50" s="54">
        <v>5.0</v>
      </c>
      <c r="C50" s="55" t="s">
        <v>44</v>
      </c>
      <c r="D50" s="56"/>
      <c r="E50" s="71">
        <v>0.0</v>
      </c>
      <c r="F50" s="71">
        <v>0.0</v>
      </c>
      <c r="G50" s="71">
        <v>1.0</v>
      </c>
      <c r="H50" s="71">
        <v>0.0</v>
      </c>
      <c r="I50" s="71">
        <v>1.0</v>
      </c>
      <c r="J50" s="71">
        <v>0.0</v>
      </c>
      <c r="K50" s="71">
        <v>0.0</v>
      </c>
      <c r="L50" s="71">
        <v>1.0</v>
      </c>
      <c r="M50" s="71">
        <v>0.0</v>
      </c>
      <c r="N50" s="71">
        <v>0.0</v>
      </c>
      <c r="O50" s="71">
        <v>0.0</v>
      </c>
      <c r="P50" s="71">
        <v>0.0</v>
      </c>
      <c r="Q50" s="71">
        <v>0.0</v>
      </c>
      <c r="R50" s="71">
        <v>0.0</v>
      </c>
      <c r="S50" s="71">
        <v>0.0</v>
      </c>
      <c r="T50" s="71">
        <v>0.0</v>
      </c>
      <c r="U50" s="71">
        <v>0.0</v>
      </c>
      <c r="V50" s="71">
        <v>0.0</v>
      </c>
      <c r="W50" s="71">
        <v>0.0</v>
      </c>
      <c r="X50" s="71">
        <v>0.0</v>
      </c>
      <c r="Y50" s="71">
        <v>0.0</v>
      </c>
      <c r="Z50" s="71">
        <v>0.0</v>
      </c>
      <c r="AA50" s="71">
        <v>0.0</v>
      </c>
      <c r="AB50" s="71">
        <v>0.0</v>
      </c>
      <c r="AC50" s="71">
        <v>0.0</v>
      </c>
      <c r="AD50" s="6">
        <f t="shared" si="14"/>
        <v>3</v>
      </c>
    </row>
    <row r="51" ht="12.75" customHeight="1">
      <c r="A51" s="18"/>
      <c r="B51" s="54">
        <v>6.0</v>
      </c>
      <c r="C51" s="55" t="s">
        <v>45</v>
      </c>
      <c r="D51" s="56"/>
      <c r="E51" s="71">
        <v>0.0</v>
      </c>
      <c r="F51" s="71">
        <v>0.0</v>
      </c>
      <c r="G51" s="71">
        <v>0.0</v>
      </c>
      <c r="H51" s="71">
        <v>0.0</v>
      </c>
      <c r="I51" s="71">
        <v>0.0</v>
      </c>
      <c r="J51" s="71">
        <v>0.0</v>
      </c>
      <c r="K51" s="71">
        <v>0.0</v>
      </c>
      <c r="L51" s="71">
        <v>0.0</v>
      </c>
      <c r="M51" s="71">
        <v>1.0</v>
      </c>
      <c r="N51" s="71">
        <v>0.0</v>
      </c>
      <c r="O51" s="71">
        <v>0.0</v>
      </c>
      <c r="P51" s="71">
        <v>0.0</v>
      </c>
      <c r="Q51" s="71">
        <v>0.0</v>
      </c>
      <c r="R51" s="71">
        <v>0.0</v>
      </c>
      <c r="S51" s="71">
        <v>0.0</v>
      </c>
      <c r="T51" s="71">
        <v>1.0</v>
      </c>
      <c r="U51" s="71">
        <v>0.0</v>
      </c>
      <c r="V51" s="71">
        <v>0.0</v>
      </c>
      <c r="W51" s="71">
        <v>1.0</v>
      </c>
      <c r="X51" s="71">
        <v>0.0</v>
      </c>
      <c r="Y51" s="71">
        <v>1.0</v>
      </c>
      <c r="Z51" s="71">
        <v>0.0</v>
      </c>
      <c r="AA51" s="71">
        <v>0.0</v>
      </c>
      <c r="AB51" s="71">
        <v>0.0</v>
      </c>
      <c r="AC51" s="71">
        <v>2.0</v>
      </c>
      <c r="AD51" s="6">
        <f t="shared" si="14"/>
        <v>6</v>
      </c>
    </row>
    <row r="52" ht="12.75" customHeight="1">
      <c r="A52" s="13" t="s">
        <v>15</v>
      </c>
      <c r="B52" s="51" t="s">
        <v>46</v>
      </c>
      <c r="C52" s="8"/>
      <c r="D52" s="9"/>
      <c r="E52" s="57">
        <f t="shared" ref="E52:AC52" si="15">SUM(E45:E51)</f>
        <v>35</v>
      </c>
      <c r="F52" s="57">
        <f t="shared" si="15"/>
        <v>16</v>
      </c>
      <c r="G52" s="57">
        <f t="shared" si="15"/>
        <v>33</v>
      </c>
      <c r="H52" s="57">
        <f t="shared" si="15"/>
        <v>20</v>
      </c>
      <c r="I52" s="57">
        <f t="shared" si="15"/>
        <v>19</v>
      </c>
      <c r="J52" s="57">
        <f t="shared" si="15"/>
        <v>22</v>
      </c>
      <c r="K52" s="57">
        <f t="shared" si="15"/>
        <v>17</v>
      </c>
      <c r="L52" s="57">
        <f t="shared" si="15"/>
        <v>40</v>
      </c>
      <c r="M52" s="57">
        <f t="shared" si="15"/>
        <v>35</v>
      </c>
      <c r="N52" s="57">
        <f t="shared" si="15"/>
        <v>32</v>
      </c>
      <c r="O52" s="57">
        <f t="shared" si="15"/>
        <v>13</v>
      </c>
      <c r="P52" s="57">
        <f t="shared" si="15"/>
        <v>28</v>
      </c>
      <c r="Q52" s="57">
        <f t="shared" si="15"/>
        <v>25</v>
      </c>
      <c r="R52" s="57">
        <f t="shared" si="15"/>
        <v>13</v>
      </c>
      <c r="S52" s="57">
        <f t="shared" si="15"/>
        <v>25</v>
      </c>
      <c r="T52" s="57">
        <f t="shared" si="15"/>
        <v>23</v>
      </c>
      <c r="U52" s="57">
        <f t="shared" si="15"/>
        <v>18</v>
      </c>
      <c r="V52" s="57">
        <f t="shared" si="15"/>
        <v>41</v>
      </c>
      <c r="W52" s="57">
        <f t="shared" si="15"/>
        <v>45</v>
      </c>
      <c r="X52" s="57">
        <f t="shared" si="15"/>
        <v>26</v>
      </c>
      <c r="Y52" s="57">
        <f t="shared" si="15"/>
        <v>15</v>
      </c>
      <c r="Z52" s="57">
        <f t="shared" si="15"/>
        <v>24</v>
      </c>
      <c r="AA52" s="57">
        <f t="shared" si="15"/>
        <v>58</v>
      </c>
      <c r="AB52" s="57">
        <f t="shared" si="15"/>
        <v>98</v>
      </c>
      <c r="AC52" s="57">
        <f t="shared" si="15"/>
        <v>25</v>
      </c>
      <c r="AD52" s="6">
        <f t="shared" si="14"/>
        <v>746</v>
      </c>
    </row>
    <row r="53" ht="12.75" customHeight="1">
      <c r="A53" s="68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"/>
    </row>
    <row r="54" ht="12.75" customHeight="1">
      <c r="A54" s="33" t="s">
        <v>37</v>
      </c>
      <c r="B54" s="51" t="s">
        <v>19</v>
      </c>
      <c r="C54" s="52" t="s">
        <v>47</v>
      </c>
      <c r="D54" s="9"/>
      <c r="E54" s="71">
        <v>7.0</v>
      </c>
      <c r="F54" s="71">
        <v>12.0</v>
      </c>
      <c r="G54" s="71">
        <v>5.0</v>
      </c>
      <c r="H54" s="71">
        <v>7.0</v>
      </c>
      <c r="I54" s="71">
        <v>4.0</v>
      </c>
      <c r="J54" s="71">
        <v>3.0</v>
      </c>
      <c r="K54" s="71">
        <v>9.0</v>
      </c>
      <c r="L54" s="71">
        <v>3.0</v>
      </c>
      <c r="M54" s="71">
        <v>14.0</v>
      </c>
      <c r="N54" s="71">
        <v>11.0</v>
      </c>
      <c r="O54" s="71">
        <v>3.0</v>
      </c>
      <c r="P54" s="71">
        <v>7.0</v>
      </c>
      <c r="Q54" s="71">
        <v>15.0</v>
      </c>
      <c r="R54" s="71">
        <v>9.0</v>
      </c>
      <c r="S54" s="71">
        <v>5.0</v>
      </c>
      <c r="T54" s="71">
        <v>6.0</v>
      </c>
      <c r="U54" s="71">
        <v>4.0</v>
      </c>
      <c r="V54" s="71">
        <v>15.0</v>
      </c>
      <c r="W54" s="71">
        <v>14.0</v>
      </c>
      <c r="X54" s="71">
        <v>8.0</v>
      </c>
      <c r="Y54" s="71">
        <v>8.0</v>
      </c>
      <c r="Z54" s="71">
        <v>13.0</v>
      </c>
      <c r="AA54" s="71">
        <v>31.0</v>
      </c>
      <c r="AB54" s="71">
        <v>6.0</v>
      </c>
      <c r="AC54" s="71">
        <v>1.0</v>
      </c>
      <c r="AD54" s="6">
        <f t="shared" ref="AD54:AD61" si="16">SUM(E54:AC54)</f>
        <v>220</v>
      </c>
    </row>
    <row r="55" ht="12.75" customHeight="1">
      <c r="A55" s="33" t="s">
        <v>39</v>
      </c>
      <c r="B55" s="54">
        <v>1.0</v>
      </c>
      <c r="C55" s="55" t="s">
        <v>48</v>
      </c>
      <c r="D55" s="56"/>
      <c r="E55" s="71">
        <v>13.0</v>
      </c>
      <c r="F55" s="71">
        <v>10.0</v>
      </c>
      <c r="G55" s="71">
        <v>3.0</v>
      </c>
      <c r="H55" s="71">
        <v>16.0</v>
      </c>
      <c r="I55" s="71">
        <v>1.0</v>
      </c>
      <c r="J55" s="71">
        <v>1.0</v>
      </c>
      <c r="K55" s="71">
        <v>6.0</v>
      </c>
      <c r="L55" s="71">
        <v>2.0</v>
      </c>
      <c r="M55" s="71">
        <v>16.0</v>
      </c>
      <c r="N55" s="71">
        <v>12.0</v>
      </c>
      <c r="O55" s="71">
        <v>3.0</v>
      </c>
      <c r="P55" s="71">
        <v>5.0</v>
      </c>
      <c r="Q55" s="71">
        <v>9.0</v>
      </c>
      <c r="R55" s="71">
        <v>9.0</v>
      </c>
      <c r="S55" s="71">
        <v>11.0</v>
      </c>
      <c r="T55" s="71">
        <v>13.0</v>
      </c>
      <c r="U55" s="71">
        <v>2.0</v>
      </c>
      <c r="V55" s="71">
        <v>15.0</v>
      </c>
      <c r="W55" s="71">
        <v>12.0</v>
      </c>
      <c r="X55" s="71">
        <v>4.0</v>
      </c>
      <c r="Y55" s="71">
        <v>6.0</v>
      </c>
      <c r="Z55" s="71">
        <v>11.0</v>
      </c>
      <c r="AA55" s="71">
        <v>14.0</v>
      </c>
      <c r="AB55" s="71">
        <v>3.0</v>
      </c>
      <c r="AC55" s="71">
        <v>4.0</v>
      </c>
      <c r="AD55" s="6">
        <f t="shared" si="16"/>
        <v>201</v>
      </c>
    </row>
    <row r="56" ht="12.75" customHeight="1">
      <c r="A56" s="18"/>
      <c r="B56" s="54">
        <v>2.0</v>
      </c>
      <c r="C56" s="55" t="s">
        <v>49</v>
      </c>
      <c r="D56" s="56"/>
      <c r="E56" s="71">
        <v>2.0</v>
      </c>
      <c r="F56" s="71">
        <v>2.0</v>
      </c>
      <c r="G56" s="71">
        <v>3.0</v>
      </c>
      <c r="H56" s="71">
        <v>2.0</v>
      </c>
      <c r="I56" s="71">
        <v>3.0</v>
      </c>
      <c r="J56" s="71">
        <v>1.0</v>
      </c>
      <c r="K56" s="71">
        <v>3.0</v>
      </c>
      <c r="L56" s="71">
        <v>2.0</v>
      </c>
      <c r="M56" s="71">
        <v>0.0</v>
      </c>
      <c r="N56" s="71">
        <v>8.0</v>
      </c>
      <c r="O56" s="71">
        <v>1.0</v>
      </c>
      <c r="P56" s="71">
        <v>5.0</v>
      </c>
      <c r="Q56" s="71">
        <v>2.0</v>
      </c>
      <c r="R56" s="71">
        <v>1.0</v>
      </c>
      <c r="S56" s="71">
        <v>1.0</v>
      </c>
      <c r="T56" s="71">
        <v>4.0</v>
      </c>
      <c r="U56" s="71">
        <v>1.0</v>
      </c>
      <c r="V56" s="71">
        <v>4.0</v>
      </c>
      <c r="W56" s="71">
        <v>4.0</v>
      </c>
      <c r="X56" s="71">
        <v>10.0</v>
      </c>
      <c r="Y56" s="71">
        <v>1.0</v>
      </c>
      <c r="Z56" s="71">
        <v>1.0</v>
      </c>
      <c r="AA56" s="71">
        <v>6.0</v>
      </c>
      <c r="AB56" s="71">
        <v>1.0</v>
      </c>
      <c r="AC56" s="71">
        <v>1.0</v>
      </c>
      <c r="AD56" s="6">
        <f t="shared" si="16"/>
        <v>69</v>
      </c>
    </row>
    <row r="57" ht="12.75" customHeight="1">
      <c r="A57" s="18"/>
      <c r="B57" s="54">
        <v>3.0</v>
      </c>
      <c r="C57" s="55" t="s">
        <v>50</v>
      </c>
      <c r="D57" s="56"/>
      <c r="E57" s="71">
        <v>1.0</v>
      </c>
      <c r="F57" s="71">
        <v>0.0</v>
      </c>
      <c r="G57" s="71">
        <v>1.0</v>
      </c>
      <c r="H57" s="71">
        <v>0.0</v>
      </c>
      <c r="I57" s="71">
        <v>0.0</v>
      </c>
      <c r="J57" s="71">
        <v>0.0</v>
      </c>
      <c r="K57" s="71">
        <v>0.0</v>
      </c>
      <c r="L57" s="71">
        <v>0.0</v>
      </c>
      <c r="M57" s="71">
        <v>0.0</v>
      </c>
      <c r="N57" s="71">
        <v>0.0</v>
      </c>
      <c r="O57" s="71">
        <v>0.0</v>
      </c>
      <c r="P57" s="71">
        <v>1.0</v>
      </c>
      <c r="Q57" s="71">
        <v>1.0</v>
      </c>
      <c r="R57" s="71">
        <v>0.0</v>
      </c>
      <c r="S57" s="71">
        <v>0.0</v>
      </c>
      <c r="T57" s="71">
        <v>2.0</v>
      </c>
      <c r="U57" s="71">
        <v>0.0</v>
      </c>
      <c r="V57" s="71">
        <v>0.0</v>
      </c>
      <c r="W57" s="71">
        <v>1.0</v>
      </c>
      <c r="X57" s="71">
        <v>0.0</v>
      </c>
      <c r="Y57" s="71">
        <v>0.0</v>
      </c>
      <c r="Z57" s="71">
        <v>1.0</v>
      </c>
      <c r="AA57" s="71">
        <v>1.0</v>
      </c>
      <c r="AB57" s="71">
        <v>1.0</v>
      </c>
      <c r="AC57" s="71">
        <v>0.0</v>
      </c>
      <c r="AD57" s="6">
        <f t="shared" si="16"/>
        <v>10</v>
      </c>
    </row>
    <row r="58" ht="12.75" customHeight="1">
      <c r="A58" s="18"/>
      <c r="B58" s="54">
        <v>4.0</v>
      </c>
      <c r="C58" s="55" t="s">
        <v>51</v>
      </c>
      <c r="D58" s="56"/>
      <c r="E58" s="71">
        <v>0.0</v>
      </c>
      <c r="F58" s="71">
        <v>0.0</v>
      </c>
      <c r="G58" s="71">
        <v>0.0</v>
      </c>
      <c r="H58" s="71">
        <v>0.0</v>
      </c>
      <c r="I58" s="71">
        <v>2.0</v>
      </c>
      <c r="J58" s="71">
        <v>0.0</v>
      </c>
      <c r="K58" s="71">
        <v>1.0</v>
      </c>
      <c r="L58" s="71">
        <v>0.0</v>
      </c>
      <c r="M58" s="71">
        <v>0.0</v>
      </c>
      <c r="N58" s="71">
        <v>1.0</v>
      </c>
      <c r="O58" s="71">
        <v>0.0</v>
      </c>
      <c r="P58" s="71">
        <v>0.0</v>
      </c>
      <c r="Q58" s="71">
        <v>1.0</v>
      </c>
      <c r="R58" s="71">
        <v>1.0</v>
      </c>
      <c r="S58" s="71">
        <v>0.0</v>
      </c>
      <c r="T58" s="71">
        <v>0.0</v>
      </c>
      <c r="U58" s="71">
        <v>0.0</v>
      </c>
      <c r="V58" s="71">
        <v>0.0</v>
      </c>
      <c r="W58" s="71">
        <v>0.0</v>
      </c>
      <c r="X58" s="71">
        <v>0.0</v>
      </c>
      <c r="Y58" s="71">
        <v>0.0</v>
      </c>
      <c r="Z58" s="71">
        <v>0.0</v>
      </c>
      <c r="AA58" s="71">
        <v>1.0</v>
      </c>
      <c r="AB58" s="71">
        <v>0.0</v>
      </c>
      <c r="AC58" s="71">
        <v>0.0</v>
      </c>
      <c r="AD58" s="6">
        <f t="shared" si="16"/>
        <v>7</v>
      </c>
    </row>
    <row r="59" ht="12.75" customHeight="1">
      <c r="A59" s="18"/>
      <c r="B59" s="54">
        <v>5.0</v>
      </c>
      <c r="C59" s="55" t="s">
        <v>52</v>
      </c>
      <c r="D59" s="56"/>
      <c r="E59" s="71">
        <v>0.0</v>
      </c>
      <c r="F59" s="71">
        <v>0.0</v>
      </c>
      <c r="G59" s="71">
        <v>1.0</v>
      </c>
      <c r="H59" s="71">
        <v>0.0</v>
      </c>
      <c r="I59" s="71">
        <v>0.0</v>
      </c>
      <c r="J59" s="71">
        <v>1.0</v>
      </c>
      <c r="K59" s="71">
        <v>0.0</v>
      </c>
      <c r="L59" s="71">
        <v>0.0</v>
      </c>
      <c r="M59" s="71">
        <v>0.0</v>
      </c>
      <c r="N59" s="71">
        <v>1.0</v>
      </c>
      <c r="O59" s="71">
        <v>0.0</v>
      </c>
      <c r="P59" s="71">
        <v>1.0</v>
      </c>
      <c r="Q59" s="71">
        <v>0.0</v>
      </c>
      <c r="R59" s="71">
        <v>0.0</v>
      </c>
      <c r="S59" s="71">
        <v>0.0</v>
      </c>
      <c r="T59" s="71">
        <v>0.0</v>
      </c>
      <c r="U59" s="71">
        <v>0.0</v>
      </c>
      <c r="V59" s="71">
        <v>0.0</v>
      </c>
      <c r="W59" s="71">
        <v>0.0</v>
      </c>
      <c r="X59" s="71">
        <v>0.0</v>
      </c>
      <c r="Y59" s="71">
        <v>1.0</v>
      </c>
      <c r="Z59" s="71">
        <v>0.0</v>
      </c>
      <c r="AA59" s="71">
        <v>0.0</v>
      </c>
      <c r="AB59" s="71">
        <v>0.0</v>
      </c>
      <c r="AC59" s="71">
        <v>0.0</v>
      </c>
      <c r="AD59" s="6">
        <f t="shared" si="16"/>
        <v>5</v>
      </c>
    </row>
    <row r="60" ht="12.75" customHeight="1">
      <c r="A60" s="18"/>
      <c r="B60" s="54">
        <v>6.0</v>
      </c>
      <c r="C60" s="55" t="s">
        <v>53</v>
      </c>
      <c r="D60" s="56"/>
      <c r="E60" s="71">
        <v>1.0</v>
      </c>
      <c r="F60" s="71">
        <v>1.0</v>
      </c>
      <c r="G60" s="71">
        <v>0.0</v>
      </c>
      <c r="H60" s="71">
        <v>2.0</v>
      </c>
      <c r="I60" s="71">
        <v>10.0</v>
      </c>
      <c r="J60" s="71">
        <v>1.0</v>
      </c>
      <c r="K60" s="71">
        <v>2.0</v>
      </c>
      <c r="L60" s="71">
        <v>1.0</v>
      </c>
      <c r="M60" s="71">
        <v>2.0</v>
      </c>
      <c r="N60" s="71">
        <v>6.0</v>
      </c>
      <c r="O60" s="71">
        <v>2.0</v>
      </c>
      <c r="P60" s="71">
        <v>0.0</v>
      </c>
      <c r="Q60" s="71">
        <v>1.0</v>
      </c>
      <c r="R60" s="71">
        <v>7.0</v>
      </c>
      <c r="S60" s="71">
        <v>1.0</v>
      </c>
      <c r="T60" s="71">
        <v>1.0</v>
      </c>
      <c r="U60" s="71">
        <v>2.0</v>
      </c>
      <c r="V60" s="71">
        <v>1.0</v>
      </c>
      <c r="W60" s="71">
        <v>0.0</v>
      </c>
      <c r="X60" s="71">
        <v>3.0</v>
      </c>
      <c r="Y60" s="71">
        <v>1.0</v>
      </c>
      <c r="Z60" s="71">
        <v>4.0</v>
      </c>
      <c r="AA60" s="71">
        <v>1.0</v>
      </c>
      <c r="AB60" s="71">
        <v>0.0</v>
      </c>
      <c r="AC60" s="71">
        <v>20.0</v>
      </c>
      <c r="AD60" s="6">
        <f t="shared" si="16"/>
        <v>70</v>
      </c>
    </row>
    <row r="61" ht="12.75" customHeight="1">
      <c r="A61" s="13" t="s">
        <v>15</v>
      </c>
      <c r="B61" s="51" t="s">
        <v>46</v>
      </c>
      <c r="C61" s="8"/>
      <c r="D61" s="9"/>
      <c r="E61" s="57">
        <f t="shared" ref="E61:AC61" si="17">SUM(E54:E60)</f>
        <v>24</v>
      </c>
      <c r="F61" s="57">
        <f t="shared" si="17"/>
        <v>25</v>
      </c>
      <c r="G61" s="57">
        <f t="shared" si="17"/>
        <v>13</v>
      </c>
      <c r="H61" s="57">
        <f t="shared" si="17"/>
        <v>27</v>
      </c>
      <c r="I61" s="57">
        <f t="shared" si="17"/>
        <v>20</v>
      </c>
      <c r="J61" s="57">
        <f t="shared" si="17"/>
        <v>7</v>
      </c>
      <c r="K61" s="57">
        <f t="shared" si="17"/>
        <v>21</v>
      </c>
      <c r="L61" s="57">
        <f t="shared" si="17"/>
        <v>8</v>
      </c>
      <c r="M61" s="57">
        <f t="shared" si="17"/>
        <v>32</v>
      </c>
      <c r="N61" s="57">
        <f t="shared" si="17"/>
        <v>39</v>
      </c>
      <c r="O61" s="57">
        <f t="shared" si="17"/>
        <v>9</v>
      </c>
      <c r="P61" s="57">
        <f t="shared" si="17"/>
        <v>19</v>
      </c>
      <c r="Q61" s="57">
        <f t="shared" si="17"/>
        <v>29</v>
      </c>
      <c r="R61" s="57">
        <f t="shared" si="17"/>
        <v>27</v>
      </c>
      <c r="S61" s="57">
        <f t="shared" si="17"/>
        <v>18</v>
      </c>
      <c r="T61" s="57">
        <f t="shared" si="17"/>
        <v>26</v>
      </c>
      <c r="U61" s="57">
        <f t="shared" si="17"/>
        <v>9</v>
      </c>
      <c r="V61" s="57">
        <f t="shared" si="17"/>
        <v>35</v>
      </c>
      <c r="W61" s="57">
        <f t="shared" si="17"/>
        <v>31</v>
      </c>
      <c r="X61" s="57">
        <f t="shared" si="17"/>
        <v>25</v>
      </c>
      <c r="Y61" s="57">
        <f t="shared" si="17"/>
        <v>17</v>
      </c>
      <c r="Z61" s="57">
        <f t="shared" si="17"/>
        <v>30</v>
      </c>
      <c r="AA61" s="57">
        <f t="shared" si="17"/>
        <v>54</v>
      </c>
      <c r="AB61" s="57">
        <f t="shared" si="17"/>
        <v>11</v>
      </c>
      <c r="AC61" s="57">
        <f t="shared" si="17"/>
        <v>26</v>
      </c>
      <c r="AD61" s="6">
        <f t="shared" si="16"/>
        <v>582</v>
      </c>
    </row>
    <row r="62" ht="12.75" customHeight="1">
      <c r="A62" s="68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"/>
    </row>
    <row r="63" ht="12.75" customHeight="1">
      <c r="A63" s="33" t="s">
        <v>37</v>
      </c>
      <c r="B63" s="51" t="s">
        <v>21</v>
      </c>
      <c r="C63" s="52" t="s">
        <v>54</v>
      </c>
      <c r="D63" s="9"/>
      <c r="E63" s="71">
        <v>4.0</v>
      </c>
      <c r="F63" s="71">
        <v>6.0</v>
      </c>
      <c r="G63" s="71">
        <v>4.0</v>
      </c>
      <c r="H63" s="71">
        <v>3.0</v>
      </c>
      <c r="I63" s="71">
        <v>2.0</v>
      </c>
      <c r="J63" s="71">
        <v>2.0</v>
      </c>
      <c r="K63" s="71">
        <v>4.0</v>
      </c>
      <c r="L63" s="71">
        <v>4.0</v>
      </c>
      <c r="M63" s="71">
        <v>3.0</v>
      </c>
      <c r="N63" s="71">
        <v>4.0</v>
      </c>
      <c r="O63" s="71">
        <v>1.0</v>
      </c>
      <c r="P63" s="71">
        <v>5.0</v>
      </c>
      <c r="Q63" s="71">
        <v>4.0</v>
      </c>
      <c r="R63" s="71">
        <v>6.0</v>
      </c>
      <c r="S63" s="71">
        <v>6.0</v>
      </c>
      <c r="T63" s="71">
        <v>3.0</v>
      </c>
      <c r="U63" s="71">
        <v>2.0</v>
      </c>
      <c r="V63" s="71">
        <v>9.0</v>
      </c>
      <c r="W63" s="71">
        <v>5.0</v>
      </c>
      <c r="X63" s="71">
        <v>6.0</v>
      </c>
      <c r="Y63" s="71">
        <v>2.0</v>
      </c>
      <c r="Z63" s="71">
        <v>8.0</v>
      </c>
      <c r="AA63" s="71">
        <v>6.0</v>
      </c>
      <c r="AB63" s="71">
        <v>0.0</v>
      </c>
      <c r="AC63" s="71">
        <v>3.0</v>
      </c>
      <c r="AD63" s="6">
        <f t="shared" ref="AD63:AD70" si="18">SUM(E63:AC63)</f>
        <v>102</v>
      </c>
    </row>
    <row r="64" ht="12.75" customHeight="1">
      <c r="A64" s="33" t="s">
        <v>39</v>
      </c>
      <c r="B64" s="54">
        <v>1.0</v>
      </c>
      <c r="C64" s="55" t="s">
        <v>55</v>
      </c>
      <c r="D64" s="56"/>
      <c r="E64" s="71">
        <v>7.0</v>
      </c>
      <c r="F64" s="71">
        <v>1.0</v>
      </c>
      <c r="G64" s="71">
        <v>0.0</v>
      </c>
      <c r="H64" s="71">
        <v>2.0</v>
      </c>
      <c r="I64" s="71">
        <v>2.0</v>
      </c>
      <c r="J64" s="71">
        <v>3.0</v>
      </c>
      <c r="K64" s="71">
        <v>8.0</v>
      </c>
      <c r="L64" s="71">
        <v>5.0</v>
      </c>
      <c r="M64" s="71">
        <v>4.0</v>
      </c>
      <c r="N64" s="71">
        <v>2.0</v>
      </c>
      <c r="O64" s="71">
        <v>1.0</v>
      </c>
      <c r="P64" s="71">
        <v>3.0</v>
      </c>
      <c r="Q64" s="71">
        <v>3.0</v>
      </c>
      <c r="R64" s="71">
        <v>2.0</v>
      </c>
      <c r="S64" s="71">
        <v>2.0</v>
      </c>
      <c r="T64" s="71">
        <v>0.0</v>
      </c>
      <c r="U64" s="71">
        <v>2.0</v>
      </c>
      <c r="V64" s="71">
        <v>2.0</v>
      </c>
      <c r="W64" s="71">
        <v>3.0</v>
      </c>
      <c r="X64" s="71">
        <v>3.0</v>
      </c>
      <c r="Y64" s="71">
        <v>10.0</v>
      </c>
      <c r="Z64" s="71">
        <v>4.0</v>
      </c>
      <c r="AA64" s="71">
        <v>2.0</v>
      </c>
      <c r="AB64" s="71">
        <v>0.0</v>
      </c>
      <c r="AC64" s="71">
        <v>1.0</v>
      </c>
      <c r="AD64" s="6">
        <f t="shared" si="18"/>
        <v>72</v>
      </c>
    </row>
    <row r="65" ht="12.75" customHeight="1">
      <c r="A65" s="18"/>
      <c r="B65" s="54">
        <v>2.0</v>
      </c>
      <c r="C65" s="55" t="s">
        <v>56</v>
      </c>
      <c r="D65" s="56"/>
      <c r="E65" s="71">
        <v>3.0</v>
      </c>
      <c r="F65" s="71">
        <v>1.0</v>
      </c>
      <c r="G65" s="71">
        <v>0.0</v>
      </c>
      <c r="H65" s="71">
        <v>0.0</v>
      </c>
      <c r="I65" s="71">
        <v>0.0</v>
      </c>
      <c r="J65" s="71">
        <v>0.0</v>
      </c>
      <c r="K65" s="71">
        <v>1.0</v>
      </c>
      <c r="L65" s="71">
        <v>1.0</v>
      </c>
      <c r="M65" s="71">
        <v>2.0</v>
      </c>
      <c r="N65" s="71">
        <v>0.0</v>
      </c>
      <c r="O65" s="71">
        <v>1.0</v>
      </c>
      <c r="P65" s="71">
        <v>1.0</v>
      </c>
      <c r="Q65" s="71">
        <v>0.0</v>
      </c>
      <c r="R65" s="71">
        <v>2.0</v>
      </c>
      <c r="S65" s="71">
        <v>1.0</v>
      </c>
      <c r="T65" s="71">
        <v>1.0</v>
      </c>
      <c r="U65" s="71">
        <v>1.0</v>
      </c>
      <c r="V65" s="71">
        <v>2.0</v>
      </c>
      <c r="W65" s="71">
        <v>2.0</v>
      </c>
      <c r="X65" s="71">
        <v>2.0</v>
      </c>
      <c r="Y65" s="71">
        <v>0.0</v>
      </c>
      <c r="Z65" s="71">
        <v>2.0</v>
      </c>
      <c r="AA65" s="71">
        <v>0.0</v>
      </c>
      <c r="AB65" s="71">
        <v>0.0</v>
      </c>
      <c r="AC65" s="71">
        <v>0.0</v>
      </c>
      <c r="AD65" s="6">
        <f t="shared" si="18"/>
        <v>23</v>
      </c>
    </row>
    <row r="66" ht="12.75" customHeight="1">
      <c r="A66" s="18"/>
      <c r="B66" s="54">
        <v>3.0</v>
      </c>
      <c r="C66" s="55" t="s">
        <v>57</v>
      </c>
      <c r="D66" s="56"/>
      <c r="E66" s="71">
        <v>2.0</v>
      </c>
      <c r="F66" s="71">
        <v>0.0</v>
      </c>
      <c r="G66" s="71">
        <v>0.0</v>
      </c>
      <c r="H66" s="71">
        <v>0.0</v>
      </c>
      <c r="I66" s="71">
        <v>1.0</v>
      </c>
      <c r="J66" s="71">
        <v>1.0</v>
      </c>
      <c r="K66" s="71">
        <v>0.0</v>
      </c>
      <c r="L66" s="71">
        <v>0.0</v>
      </c>
      <c r="M66" s="71">
        <v>0.0</v>
      </c>
      <c r="N66" s="71">
        <v>1.0</v>
      </c>
      <c r="O66" s="71">
        <v>0.0</v>
      </c>
      <c r="P66" s="71">
        <v>0.0</v>
      </c>
      <c r="Q66" s="71">
        <v>0.0</v>
      </c>
      <c r="R66" s="71">
        <v>0.0</v>
      </c>
      <c r="S66" s="71">
        <v>2.0</v>
      </c>
      <c r="T66" s="71">
        <v>0.0</v>
      </c>
      <c r="U66" s="71">
        <v>2.0</v>
      </c>
      <c r="V66" s="71">
        <v>2.0</v>
      </c>
      <c r="W66" s="71">
        <v>2.0</v>
      </c>
      <c r="X66" s="71">
        <v>1.0</v>
      </c>
      <c r="Y66" s="71">
        <v>1.0</v>
      </c>
      <c r="Z66" s="71">
        <v>2.0</v>
      </c>
      <c r="AA66" s="71">
        <v>0.0</v>
      </c>
      <c r="AB66" s="71">
        <v>0.0</v>
      </c>
      <c r="AC66" s="71">
        <v>1.0</v>
      </c>
      <c r="AD66" s="6">
        <f t="shared" si="18"/>
        <v>18</v>
      </c>
    </row>
    <row r="67" ht="12.75" customHeight="1">
      <c r="A67" s="18"/>
      <c r="B67" s="54">
        <v>4.0</v>
      </c>
      <c r="C67" s="55" t="s">
        <v>58</v>
      </c>
      <c r="D67" s="56"/>
      <c r="E67" s="71">
        <v>0.0</v>
      </c>
      <c r="F67" s="71">
        <v>2.0</v>
      </c>
      <c r="G67" s="71">
        <v>1.0</v>
      </c>
      <c r="H67" s="71">
        <v>7.0</v>
      </c>
      <c r="I67" s="71">
        <v>1.0</v>
      </c>
      <c r="J67" s="71">
        <v>0.0</v>
      </c>
      <c r="K67" s="71">
        <v>1.0</v>
      </c>
      <c r="L67" s="71">
        <v>0.0</v>
      </c>
      <c r="M67" s="71">
        <v>4.0</v>
      </c>
      <c r="N67" s="71">
        <v>1.0</v>
      </c>
      <c r="O67" s="71">
        <v>0.0</v>
      </c>
      <c r="P67" s="71">
        <v>1.0</v>
      </c>
      <c r="Q67" s="71">
        <v>3.0</v>
      </c>
      <c r="R67" s="71">
        <v>72.0</v>
      </c>
      <c r="S67" s="71">
        <v>1.0</v>
      </c>
      <c r="T67" s="71">
        <v>2.0</v>
      </c>
      <c r="U67" s="71">
        <v>1.0</v>
      </c>
      <c r="V67" s="71">
        <v>15.0</v>
      </c>
      <c r="W67" s="71">
        <v>25.0</v>
      </c>
      <c r="X67" s="71">
        <v>5.0</v>
      </c>
      <c r="Y67" s="71">
        <v>1.0</v>
      </c>
      <c r="Z67" s="71">
        <v>1.0</v>
      </c>
      <c r="AA67" s="71">
        <v>0.0</v>
      </c>
      <c r="AB67" s="71">
        <v>1.0</v>
      </c>
      <c r="AC67" s="71">
        <v>20.0</v>
      </c>
      <c r="AD67" s="6">
        <f t="shared" si="18"/>
        <v>165</v>
      </c>
    </row>
    <row r="68" ht="12.75" customHeight="1">
      <c r="A68" s="18"/>
      <c r="B68" s="54">
        <v>5.0</v>
      </c>
      <c r="C68" s="55" t="s">
        <v>59</v>
      </c>
      <c r="D68" s="56"/>
      <c r="E68" s="71">
        <v>3.0</v>
      </c>
      <c r="F68" s="71">
        <v>6.0</v>
      </c>
      <c r="G68" s="71">
        <v>21.0</v>
      </c>
      <c r="H68" s="71">
        <v>8.0</v>
      </c>
      <c r="I68" s="71">
        <v>2.0</v>
      </c>
      <c r="J68" s="71">
        <v>17.0</v>
      </c>
      <c r="K68" s="71">
        <v>8.0</v>
      </c>
      <c r="L68" s="71">
        <v>4.0</v>
      </c>
      <c r="M68" s="71">
        <v>10.0</v>
      </c>
      <c r="N68" s="71">
        <v>6.0</v>
      </c>
      <c r="O68" s="71">
        <v>2.0</v>
      </c>
      <c r="P68" s="71">
        <v>10.0</v>
      </c>
      <c r="Q68" s="71">
        <v>2.0</v>
      </c>
      <c r="R68" s="71">
        <v>1.0</v>
      </c>
      <c r="S68" s="71">
        <v>1.0</v>
      </c>
      <c r="T68" s="71">
        <v>1.0</v>
      </c>
      <c r="U68" s="71">
        <v>3.0</v>
      </c>
      <c r="V68" s="71">
        <v>2.0</v>
      </c>
      <c r="W68" s="71">
        <v>0.0</v>
      </c>
      <c r="X68" s="71">
        <v>6.0</v>
      </c>
      <c r="Y68" s="71">
        <v>4.0</v>
      </c>
      <c r="Z68" s="71">
        <v>10.0</v>
      </c>
      <c r="AA68" s="71">
        <v>2.0</v>
      </c>
      <c r="AB68" s="71">
        <v>0.0</v>
      </c>
      <c r="AC68" s="71">
        <v>3.0</v>
      </c>
      <c r="AD68" s="6">
        <f t="shared" si="18"/>
        <v>132</v>
      </c>
    </row>
    <row r="69" ht="12.75" customHeight="1">
      <c r="A69" s="18"/>
      <c r="B69" s="54">
        <v>6.0</v>
      </c>
      <c r="C69" s="55" t="s">
        <v>60</v>
      </c>
      <c r="D69" s="56"/>
      <c r="E69" s="71">
        <v>2.0</v>
      </c>
      <c r="F69" s="71">
        <v>2.0</v>
      </c>
      <c r="G69" s="71">
        <v>1.0</v>
      </c>
      <c r="H69" s="71">
        <v>0.0</v>
      </c>
      <c r="I69" s="71">
        <v>0.0</v>
      </c>
      <c r="J69" s="71">
        <v>0.0</v>
      </c>
      <c r="K69" s="71">
        <v>0.0</v>
      </c>
      <c r="L69" s="71">
        <v>0.0</v>
      </c>
      <c r="M69" s="71">
        <v>0.0</v>
      </c>
      <c r="N69" s="71">
        <v>1.0</v>
      </c>
      <c r="O69" s="71">
        <v>0.0</v>
      </c>
      <c r="P69" s="71">
        <v>0.0</v>
      </c>
      <c r="Q69" s="71">
        <v>0.0</v>
      </c>
      <c r="R69" s="71">
        <v>0.0</v>
      </c>
      <c r="S69" s="71">
        <v>0.0</v>
      </c>
      <c r="T69" s="71">
        <v>0.0</v>
      </c>
      <c r="U69" s="71">
        <v>0.0</v>
      </c>
      <c r="V69" s="71">
        <v>0.0</v>
      </c>
      <c r="W69" s="71">
        <v>0.0</v>
      </c>
      <c r="X69" s="71">
        <v>0.0</v>
      </c>
      <c r="Y69" s="71">
        <v>0.0</v>
      </c>
      <c r="Z69" s="71">
        <v>0.0</v>
      </c>
      <c r="AA69" s="71">
        <v>0.0</v>
      </c>
      <c r="AB69" s="71">
        <v>0.0</v>
      </c>
      <c r="AC69" s="71">
        <v>0.0</v>
      </c>
      <c r="AD69" s="6">
        <f t="shared" si="18"/>
        <v>6</v>
      </c>
    </row>
    <row r="70" ht="12.75" customHeight="1">
      <c r="A70" s="13" t="s">
        <v>15</v>
      </c>
      <c r="B70" s="51" t="s">
        <v>46</v>
      </c>
      <c r="C70" s="8"/>
      <c r="D70" s="9"/>
      <c r="E70" s="57">
        <f t="shared" ref="E70:AC70" si="19">SUM(E63:E69)</f>
        <v>21</v>
      </c>
      <c r="F70" s="57">
        <f t="shared" si="19"/>
        <v>18</v>
      </c>
      <c r="G70" s="57">
        <f t="shared" si="19"/>
        <v>27</v>
      </c>
      <c r="H70" s="57">
        <f t="shared" si="19"/>
        <v>20</v>
      </c>
      <c r="I70" s="57">
        <f t="shared" si="19"/>
        <v>8</v>
      </c>
      <c r="J70" s="57">
        <f t="shared" si="19"/>
        <v>23</v>
      </c>
      <c r="K70" s="57">
        <f t="shared" si="19"/>
        <v>22</v>
      </c>
      <c r="L70" s="57">
        <f t="shared" si="19"/>
        <v>14</v>
      </c>
      <c r="M70" s="57">
        <f t="shared" si="19"/>
        <v>23</v>
      </c>
      <c r="N70" s="57">
        <f t="shared" si="19"/>
        <v>15</v>
      </c>
      <c r="O70" s="57">
        <f t="shared" si="19"/>
        <v>5</v>
      </c>
      <c r="P70" s="57">
        <f t="shared" si="19"/>
        <v>20</v>
      </c>
      <c r="Q70" s="57">
        <f t="shared" si="19"/>
        <v>12</v>
      </c>
      <c r="R70" s="57">
        <f t="shared" si="19"/>
        <v>83</v>
      </c>
      <c r="S70" s="57">
        <f t="shared" si="19"/>
        <v>13</v>
      </c>
      <c r="T70" s="57">
        <f t="shared" si="19"/>
        <v>7</v>
      </c>
      <c r="U70" s="57">
        <f t="shared" si="19"/>
        <v>11</v>
      </c>
      <c r="V70" s="57">
        <f t="shared" si="19"/>
        <v>32</v>
      </c>
      <c r="W70" s="57">
        <f t="shared" si="19"/>
        <v>37</v>
      </c>
      <c r="X70" s="57">
        <f t="shared" si="19"/>
        <v>23</v>
      </c>
      <c r="Y70" s="57">
        <f t="shared" si="19"/>
        <v>18</v>
      </c>
      <c r="Z70" s="57">
        <f t="shared" si="19"/>
        <v>27</v>
      </c>
      <c r="AA70" s="57">
        <f t="shared" si="19"/>
        <v>10</v>
      </c>
      <c r="AB70" s="57">
        <f t="shared" si="19"/>
        <v>1</v>
      </c>
      <c r="AC70" s="57">
        <f t="shared" si="19"/>
        <v>28</v>
      </c>
      <c r="AD70" s="6">
        <f t="shared" si="18"/>
        <v>518</v>
      </c>
    </row>
    <row r="71" ht="12.75" customHeight="1">
      <c r="A71" s="68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"/>
    </row>
    <row r="72" ht="12.75" customHeight="1">
      <c r="A72" s="33" t="s">
        <v>37</v>
      </c>
      <c r="B72" s="51" t="s">
        <v>23</v>
      </c>
      <c r="C72" s="52" t="s">
        <v>61</v>
      </c>
      <c r="D72" s="9"/>
      <c r="E72" s="71">
        <v>5.0</v>
      </c>
      <c r="F72" s="71">
        <v>5.0</v>
      </c>
      <c r="G72" s="71">
        <v>3.0</v>
      </c>
      <c r="H72" s="71">
        <v>7.0</v>
      </c>
      <c r="I72" s="71">
        <v>4.0</v>
      </c>
      <c r="J72" s="71">
        <v>3.0</v>
      </c>
      <c r="K72" s="71">
        <v>1.0</v>
      </c>
      <c r="L72" s="71">
        <v>5.0</v>
      </c>
      <c r="M72" s="71">
        <v>0.0</v>
      </c>
      <c r="N72" s="71">
        <v>6.0</v>
      </c>
      <c r="O72" s="71">
        <v>17.0</v>
      </c>
      <c r="P72" s="71">
        <v>11.0</v>
      </c>
      <c r="Q72" s="71">
        <v>12.0</v>
      </c>
      <c r="R72" s="71">
        <v>6.0</v>
      </c>
      <c r="S72" s="71">
        <v>2.0</v>
      </c>
      <c r="T72" s="71">
        <v>9.0</v>
      </c>
      <c r="U72" s="71">
        <v>4.0</v>
      </c>
      <c r="V72" s="71">
        <v>4.0</v>
      </c>
      <c r="W72" s="71">
        <v>10.0</v>
      </c>
      <c r="X72" s="71">
        <v>14.0</v>
      </c>
      <c r="Y72" s="71">
        <v>5.0</v>
      </c>
      <c r="Z72" s="71">
        <v>9.0</v>
      </c>
      <c r="AA72" s="71">
        <v>5.0</v>
      </c>
      <c r="AB72" s="71">
        <v>0.0</v>
      </c>
      <c r="AC72" s="71">
        <v>6.0</v>
      </c>
      <c r="AD72" s="6">
        <f t="shared" ref="AD72:AD79" si="20">SUM(E72:AC72)</f>
        <v>153</v>
      </c>
    </row>
    <row r="73" ht="12.75" customHeight="1">
      <c r="A73" s="33" t="s">
        <v>39</v>
      </c>
      <c r="B73" s="54">
        <v>1.0</v>
      </c>
      <c r="C73" s="55" t="s">
        <v>62</v>
      </c>
      <c r="D73" s="56"/>
      <c r="E73" s="71">
        <v>7.0</v>
      </c>
      <c r="F73" s="71">
        <v>27.0</v>
      </c>
      <c r="G73" s="71">
        <v>14.0</v>
      </c>
      <c r="H73" s="71">
        <v>35.0</v>
      </c>
      <c r="I73" s="71">
        <v>22.0</v>
      </c>
      <c r="J73" s="71">
        <v>13.0</v>
      </c>
      <c r="K73" s="71">
        <v>4.0</v>
      </c>
      <c r="L73" s="71">
        <v>23.0</v>
      </c>
      <c r="M73" s="71">
        <v>1.0</v>
      </c>
      <c r="N73" s="71">
        <v>28.0</v>
      </c>
      <c r="O73" s="71">
        <v>101.0</v>
      </c>
      <c r="P73" s="71">
        <v>38.0</v>
      </c>
      <c r="Q73" s="71">
        <v>20.0</v>
      </c>
      <c r="R73" s="71">
        <v>13.0</v>
      </c>
      <c r="S73" s="71">
        <v>7.0</v>
      </c>
      <c r="T73" s="71">
        <v>2.0</v>
      </c>
      <c r="U73" s="71">
        <v>4.0</v>
      </c>
      <c r="V73" s="71">
        <v>10.0</v>
      </c>
      <c r="W73" s="71">
        <v>9.0</v>
      </c>
      <c r="X73" s="71">
        <v>27.0</v>
      </c>
      <c r="Y73" s="71">
        <v>44.0</v>
      </c>
      <c r="Z73" s="71">
        <v>16.0</v>
      </c>
      <c r="AA73" s="71">
        <v>12.0</v>
      </c>
      <c r="AB73" s="71">
        <v>4.0</v>
      </c>
      <c r="AC73" s="71">
        <v>46.0</v>
      </c>
      <c r="AD73" s="6">
        <f t="shared" si="20"/>
        <v>527</v>
      </c>
    </row>
    <row r="74" ht="12.75" customHeight="1">
      <c r="A74" s="18"/>
      <c r="B74" s="54">
        <v>2.0</v>
      </c>
      <c r="C74" s="55" t="s">
        <v>63</v>
      </c>
      <c r="D74" s="56"/>
      <c r="E74" s="71">
        <v>2.0</v>
      </c>
      <c r="F74" s="71">
        <v>2.0</v>
      </c>
      <c r="G74" s="71">
        <v>0.0</v>
      </c>
      <c r="H74" s="71">
        <v>0.0</v>
      </c>
      <c r="I74" s="71">
        <v>1.0</v>
      </c>
      <c r="J74" s="71">
        <v>4.0</v>
      </c>
      <c r="K74" s="71">
        <v>0.0</v>
      </c>
      <c r="L74" s="71">
        <v>0.0</v>
      </c>
      <c r="M74" s="71">
        <v>7.0</v>
      </c>
      <c r="N74" s="71">
        <v>0.0</v>
      </c>
      <c r="O74" s="71">
        <v>4.0</v>
      </c>
      <c r="P74" s="71">
        <v>20.0</v>
      </c>
      <c r="Q74" s="71">
        <v>1.0</v>
      </c>
      <c r="R74" s="71">
        <v>1.0</v>
      </c>
      <c r="S74" s="71">
        <v>17.0</v>
      </c>
      <c r="T74" s="71">
        <v>51.0</v>
      </c>
      <c r="U74" s="71">
        <v>13.0</v>
      </c>
      <c r="V74" s="71">
        <v>9.0</v>
      </c>
      <c r="W74" s="71">
        <v>11.0</v>
      </c>
      <c r="X74" s="71">
        <v>0.0</v>
      </c>
      <c r="Y74" s="71">
        <v>4.0</v>
      </c>
      <c r="Z74" s="71">
        <v>14.0</v>
      </c>
      <c r="AA74" s="71">
        <v>8.0</v>
      </c>
      <c r="AB74" s="71">
        <v>7.0</v>
      </c>
      <c r="AC74" s="71">
        <v>1.0</v>
      </c>
      <c r="AD74" s="6">
        <f t="shared" si="20"/>
        <v>177</v>
      </c>
    </row>
    <row r="75" ht="12.75" customHeight="1">
      <c r="A75" s="18"/>
      <c r="B75" s="54">
        <v>3.0</v>
      </c>
      <c r="C75" s="55" t="s">
        <v>64</v>
      </c>
      <c r="D75" s="56"/>
      <c r="E75" s="71">
        <v>1.0</v>
      </c>
      <c r="F75" s="71">
        <v>0.0</v>
      </c>
      <c r="G75" s="71">
        <v>0.0</v>
      </c>
      <c r="H75" s="71">
        <v>0.0</v>
      </c>
      <c r="I75" s="71">
        <v>0.0</v>
      </c>
      <c r="J75" s="71">
        <v>0.0</v>
      </c>
      <c r="K75" s="71">
        <v>1.0</v>
      </c>
      <c r="L75" s="71">
        <v>0.0</v>
      </c>
      <c r="M75" s="71">
        <v>0.0</v>
      </c>
      <c r="N75" s="71">
        <v>0.0</v>
      </c>
      <c r="O75" s="71">
        <v>0.0</v>
      </c>
      <c r="P75" s="71">
        <v>0.0</v>
      </c>
      <c r="Q75" s="71">
        <v>0.0</v>
      </c>
      <c r="R75" s="71">
        <v>0.0</v>
      </c>
      <c r="S75" s="71">
        <v>1.0</v>
      </c>
      <c r="T75" s="71">
        <v>1.0</v>
      </c>
      <c r="U75" s="71">
        <v>0.0</v>
      </c>
      <c r="V75" s="71">
        <v>0.0</v>
      </c>
      <c r="W75" s="71">
        <v>0.0</v>
      </c>
      <c r="X75" s="71">
        <v>1.0</v>
      </c>
      <c r="Y75" s="71">
        <v>0.0</v>
      </c>
      <c r="Z75" s="71">
        <v>0.0</v>
      </c>
      <c r="AA75" s="71">
        <v>0.0</v>
      </c>
      <c r="AB75" s="71">
        <v>0.0</v>
      </c>
      <c r="AC75" s="71">
        <v>0.0</v>
      </c>
      <c r="AD75" s="6">
        <f t="shared" si="20"/>
        <v>5</v>
      </c>
    </row>
    <row r="76" ht="12.75" customHeight="1">
      <c r="A76" s="18"/>
      <c r="B76" s="54">
        <v>4.0</v>
      </c>
      <c r="C76" s="55" t="s">
        <v>65</v>
      </c>
      <c r="D76" s="56"/>
      <c r="E76" s="71">
        <v>0.0</v>
      </c>
      <c r="F76" s="71">
        <v>0.0</v>
      </c>
      <c r="G76" s="71">
        <v>0.0</v>
      </c>
      <c r="H76" s="71">
        <v>0.0</v>
      </c>
      <c r="I76" s="71">
        <v>0.0</v>
      </c>
      <c r="J76" s="71">
        <v>0.0</v>
      </c>
      <c r="K76" s="71">
        <v>0.0</v>
      </c>
      <c r="L76" s="71">
        <v>0.0</v>
      </c>
      <c r="M76" s="71">
        <v>0.0</v>
      </c>
      <c r="N76" s="71">
        <v>0.0</v>
      </c>
      <c r="O76" s="71">
        <v>0.0</v>
      </c>
      <c r="P76" s="71">
        <v>0.0</v>
      </c>
      <c r="Q76" s="71">
        <v>3.0</v>
      </c>
      <c r="R76" s="71">
        <v>0.0</v>
      </c>
      <c r="S76" s="71">
        <v>1.0</v>
      </c>
      <c r="T76" s="71">
        <v>0.0</v>
      </c>
      <c r="U76" s="71">
        <v>0.0</v>
      </c>
      <c r="V76" s="71">
        <v>0.0</v>
      </c>
      <c r="W76" s="71">
        <v>0.0</v>
      </c>
      <c r="X76" s="71">
        <v>1.0</v>
      </c>
      <c r="Y76" s="71">
        <v>0.0</v>
      </c>
      <c r="Z76" s="71">
        <v>0.0</v>
      </c>
      <c r="AA76" s="71">
        <v>0.0</v>
      </c>
      <c r="AB76" s="71">
        <v>0.0</v>
      </c>
      <c r="AC76" s="71">
        <v>0.0</v>
      </c>
      <c r="AD76" s="6">
        <f t="shared" si="20"/>
        <v>5</v>
      </c>
    </row>
    <row r="77" ht="12.75" customHeight="1">
      <c r="A77" s="18"/>
      <c r="B77" s="54">
        <v>5.0</v>
      </c>
      <c r="C77" s="55" t="s">
        <v>66</v>
      </c>
      <c r="D77" s="56"/>
      <c r="E77" s="71">
        <v>0.0</v>
      </c>
      <c r="F77" s="71">
        <v>0.0</v>
      </c>
      <c r="G77" s="71">
        <v>0.0</v>
      </c>
      <c r="H77" s="71">
        <v>0.0</v>
      </c>
      <c r="I77" s="71">
        <v>0.0</v>
      </c>
      <c r="J77" s="71">
        <v>0.0</v>
      </c>
      <c r="K77" s="71">
        <v>0.0</v>
      </c>
      <c r="L77" s="71">
        <v>0.0</v>
      </c>
      <c r="M77" s="71">
        <v>1.0</v>
      </c>
      <c r="N77" s="71">
        <v>0.0</v>
      </c>
      <c r="O77" s="71">
        <v>0.0</v>
      </c>
      <c r="P77" s="71">
        <v>0.0</v>
      </c>
      <c r="Q77" s="71">
        <v>0.0</v>
      </c>
      <c r="R77" s="71">
        <v>0.0</v>
      </c>
      <c r="S77" s="71">
        <v>0.0</v>
      </c>
      <c r="T77" s="71">
        <v>0.0</v>
      </c>
      <c r="U77" s="71">
        <v>0.0</v>
      </c>
      <c r="V77" s="71">
        <v>0.0</v>
      </c>
      <c r="W77" s="71">
        <v>1.0</v>
      </c>
      <c r="X77" s="71">
        <v>1.0</v>
      </c>
      <c r="Y77" s="71">
        <v>0.0</v>
      </c>
      <c r="Z77" s="71">
        <v>0.0</v>
      </c>
      <c r="AA77" s="71">
        <v>0.0</v>
      </c>
      <c r="AB77" s="71">
        <v>0.0</v>
      </c>
      <c r="AC77" s="71">
        <v>1.0</v>
      </c>
      <c r="AD77" s="6">
        <f t="shared" si="20"/>
        <v>4</v>
      </c>
    </row>
    <row r="78" ht="12.75" customHeight="1">
      <c r="A78" s="18"/>
      <c r="B78" s="54">
        <v>6.0</v>
      </c>
      <c r="C78" s="55" t="s">
        <v>67</v>
      </c>
      <c r="D78" s="56"/>
      <c r="E78" s="71">
        <v>0.0</v>
      </c>
      <c r="F78" s="71">
        <v>0.0</v>
      </c>
      <c r="G78" s="71">
        <v>0.0</v>
      </c>
      <c r="H78" s="71">
        <v>0.0</v>
      </c>
      <c r="I78" s="71">
        <v>0.0</v>
      </c>
      <c r="J78" s="71">
        <v>1.0</v>
      </c>
      <c r="K78" s="71">
        <v>0.0</v>
      </c>
      <c r="L78" s="71">
        <v>0.0</v>
      </c>
      <c r="M78" s="71">
        <v>0.0</v>
      </c>
      <c r="N78" s="71">
        <v>0.0</v>
      </c>
      <c r="O78" s="71">
        <v>0.0</v>
      </c>
      <c r="P78" s="71">
        <v>0.0</v>
      </c>
      <c r="Q78" s="71">
        <v>0.0</v>
      </c>
      <c r="R78" s="71">
        <v>0.0</v>
      </c>
      <c r="S78" s="71">
        <v>0.0</v>
      </c>
      <c r="T78" s="71">
        <v>0.0</v>
      </c>
      <c r="U78" s="71">
        <v>0.0</v>
      </c>
      <c r="V78" s="71">
        <v>0.0</v>
      </c>
      <c r="W78" s="71">
        <v>0.0</v>
      </c>
      <c r="X78" s="71">
        <v>0.0</v>
      </c>
      <c r="Y78" s="71">
        <v>0.0</v>
      </c>
      <c r="Z78" s="71">
        <v>0.0</v>
      </c>
      <c r="AA78" s="71">
        <v>0.0</v>
      </c>
      <c r="AB78" s="71">
        <v>0.0</v>
      </c>
      <c r="AC78" s="71">
        <v>0.0</v>
      </c>
      <c r="AD78" s="6">
        <f t="shared" si="20"/>
        <v>1</v>
      </c>
    </row>
    <row r="79" ht="12.75" customHeight="1">
      <c r="A79" s="13" t="s">
        <v>15</v>
      </c>
      <c r="B79" s="51" t="s">
        <v>46</v>
      </c>
      <c r="C79" s="8"/>
      <c r="D79" s="9"/>
      <c r="E79" s="57">
        <f t="shared" ref="E79:AC79" si="21">SUM(E72:E78)</f>
        <v>15</v>
      </c>
      <c r="F79" s="57">
        <f t="shared" si="21"/>
        <v>34</v>
      </c>
      <c r="G79" s="57">
        <f t="shared" si="21"/>
        <v>17</v>
      </c>
      <c r="H79" s="57">
        <f t="shared" si="21"/>
        <v>42</v>
      </c>
      <c r="I79" s="57">
        <f t="shared" si="21"/>
        <v>27</v>
      </c>
      <c r="J79" s="57">
        <f t="shared" si="21"/>
        <v>21</v>
      </c>
      <c r="K79" s="57">
        <f t="shared" si="21"/>
        <v>6</v>
      </c>
      <c r="L79" s="57">
        <f t="shared" si="21"/>
        <v>28</v>
      </c>
      <c r="M79" s="57">
        <f t="shared" si="21"/>
        <v>9</v>
      </c>
      <c r="N79" s="57">
        <f t="shared" si="21"/>
        <v>34</v>
      </c>
      <c r="O79" s="57">
        <f t="shared" si="21"/>
        <v>122</v>
      </c>
      <c r="P79" s="57">
        <f t="shared" si="21"/>
        <v>69</v>
      </c>
      <c r="Q79" s="57">
        <f t="shared" si="21"/>
        <v>36</v>
      </c>
      <c r="R79" s="57">
        <f t="shared" si="21"/>
        <v>20</v>
      </c>
      <c r="S79" s="57">
        <f t="shared" si="21"/>
        <v>28</v>
      </c>
      <c r="T79" s="57">
        <f t="shared" si="21"/>
        <v>63</v>
      </c>
      <c r="U79" s="57">
        <f t="shared" si="21"/>
        <v>21</v>
      </c>
      <c r="V79" s="57">
        <f t="shared" si="21"/>
        <v>23</v>
      </c>
      <c r="W79" s="57">
        <f t="shared" si="21"/>
        <v>31</v>
      </c>
      <c r="X79" s="57">
        <f t="shared" si="21"/>
        <v>44</v>
      </c>
      <c r="Y79" s="57">
        <f t="shared" si="21"/>
        <v>53</v>
      </c>
      <c r="Z79" s="57">
        <f t="shared" si="21"/>
        <v>39</v>
      </c>
      <c r="AA79" s="57">
        <f t="shared" si="21"/>
        <v>25</v>
      </c>
      <c r="AB79" s="57">
        <f t="shared" si="21"/>
        <v>11</v>
      </c>
      <c r="AC79" s="57">
        <f t="shared" si="21"/>
        <v>54</v>
      </c>
      <c r="AD79" s="6">
        <f t="shared" si="20"/>
        <v>872</v>
      </c>
    </row>
    <row r="80" ht="12.75" customHeight="1">
      <c r="A80" s="68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"/>
    </row>
    <row r="81" ht="12.75" customHeight="1">
      <c r="A81" s="33" t="s">
        <v>37</v>
      </c>
      <c r="B81" s="51" t="s">
        <v>68</v>
      </c>
      <c r="C81" s="52" t="s">
        <v>69</v>
      </c>
      <c r="D81" s="9"/>
      <c r="E81" s="71">
        <v>0.0</v>
      </c>
      <c r="F81" s="71">
        <v>0.0</v>
      </c>
      <c r="G81" s="71">
        <v>2.0</v>
      </c>
      <c r="H81" s="71">
        <v>1.0</v>
      </c>
      <c r="I81" s="71">
        <v>3.0</v>
      </c>
      <c r="J81" s="71">
        <v>2.0</v>
      </c>
      <c r="K81" s="71">
        <v>3.0</v>
      </c>
      <c r="L81" s="71">
        <v>0.0</v>
      </c>
      <c r="M81" s="71">
        <v>5.0</v>
      </c>
      <c r="N81" s="71">
        <v>2.0</v>
      </c>
      <c r="O81" s="71">
        <v>0.0</v>
      </c>
      <c r="P81" s="71">
        <v>1.0</v>
      </c>
      <c r="Q81" s="71">
        <v>3.0</v>
      </c>
      <c r="R81" s="71">
        <v>1.0</v>
      </c>
      <c r="S81" s="71">
        <v>10.0</v>
      </c>
      <c r="T81" s="71">
        <v>3.0</v>
      </c>
      <c r="U81" s="71">
        <v>8.0</v>
      </c>
      <c r="V81" s="71">
        <v>10.0</v>
      </c>
      <c r="W81" s="71">
        <v>0.0</v>
      </c>
      <c r="X81" s="71">
        <v>6.0</v>
      </c>
      <c r="Y81" s="71">
        <v>3.0</v>
      </c>
      <c r="Z81" s="71">
        <v>2.0</v>
      </c>
      <c r="AA81" s="71">
        <v>1.0</v>
      </c>
      <c r="AB81" s="71">
        <v>0.0</v>
      </c>
      <c r="AC81" s="71">
        <v>0.0</v>
      </c>
      <c r="AD81" s="6">
        <f t="shared" ref="AD81:AD87" si="22">SUM(E81:AC81)</f>
        <v>66</v>
      </c>
    </row>
    <row r="82" ht="12.75" customHeight="1">
      <c r="A82" s="33" t="s">
        <v>39</v>
      </c>
      <c r="B82" s="54">
        <v>1.0</v>
      </c>
      <c r="C82" s="55" t="s">
        <v>70</v>
      </c>
      <c r="D82" s="56"/>
      <c r="E82" s="71">
        <v>1.0</v>
      </c>
      <c r="F82" s="71">
        <v>2.0</v>
      </c>
      <c r="G82" s="71">
        <v>3.0</v>
      </c>
      <c r="H82" s="71">
        <v>9.0</v>
      </c>
      <c r="I82" s="71">
        <v>7.0</v>
      </c>
      <c r="J82" s="71">
        <v>8.0</v>
      </c>
      <c r="K82" s="71">
        <v>5.0</v>
      </c>
      <c r="L82" s="71">
        <v>1.0</v>
      </c>
      <c r="M82" s="71">
        <v>6.0</v>
      </c>
      <c r="N82" s="71">
        <v>1.0</v>
      </c>
      <c r="O82" s="71">
        <v>1.0</v>
      </c>
      <c r="P82" s="71">
        <v>2.0</v>
      </c>
      <c r="Q82" s="71">
        <v>1.0</v>
      </c>
      <c r="R82" s="71">
        <v>0.0</v>
      </c>
      <c r="S82" s="71">
        <v>46.0</v>
      </c>
      <c r="T82" s="71">
        <v>16.0</v>
      </c>
      <c r="U82" s="71">
        <v>70.0</v>
      </c>
      <c r="V82" s="71">
        <v>29.0</v>
      </c>
      <c r="W82" s="71">
        <v>12.0</v>
      </c>
      <c r="X82" s="71">
        <v>3.0</v>
      </c>
      <c r="Y82" s="71">
        <v>1.0</v>
      </c>
      <c r="Z82" s="71">
        <v>10.0</v>
      </c>
      <c r="AA82" s="71">
        <v>2.0</v>
      </c>
      <c r="AB82" s="71">
        <v>0.0</v>
      </c>
      <c r="AC82" s="71">
        <v>1.0</v>
      </c>
      <c r="AD82" s="6">
        <f t="shared" si="22"/>
        <v>237</v>
      </c>
    </row>
    <row r="83" ht="12.75" customHeight="1">
      <c r="A83" s="18"/>
      <c r="B83" s="54">
        <v>2.0</v>
      </c>
      <c r="C83" s="55" t="s">
        <v>71</v>
      </c>
      <c r="D83" s="56"/>
      <c r="E83" s="71">
        <v>0.0</v>
      </c>
      <c r="F83" s="71">
        <v>0.0</v>
      </c>
      <c r="G83" s="71">
        <v>0.0</v>
      </c>
      <c r="H83" s="71">
        <v>2.0</v>
      </c>
      <c r="I83" s="71">
        <v>1.0</v>
      </c>
      <c r="J83" s="71">
        <v>1.0</v>
      </c>
      <c r="K83" s="71">
        <v>0.0</v>
      </c>
      <c r="L83" s="71">
        <v>1.0</v>
      </c>
      <c r="M83" s="71">
        <v>0.0</v>
      </c>
      <c r="N83" s="71">
        <v>0.0</v>
      </c>
      <c r="O83" s="71">
        <v>0.0</v>
      </c>
      <c r="P83" s="71">
        <v>0.0</v>
      </c>
      <c r="Q83" s="71">
        <v>0.0</v>
      </c>
      <c r="R83" s="71">
        <v>0.0</v>
      </c>
      <c r="S83" s="71">
        <v>0.0</v>
      </c>
      <c r="T83" s="71">
        <v>0.0</v>
      </c>
      <c r="U83" s="71">
        <v>1.0</v>
      </c>
      <c r="V83" s="71">
        <v>0.0</v>
      </c>
      <c r="W83" s="71">
        <v>1.0</v>
      </c>
      <c r="X83" s="71">
        <v>1.0</v>
      </c>
      <c r="Y83" s="71">
        <v>0.0</v>
      </c>
      <c r="Z83" s="71">
        <v>0.0</v>
      </c>
      <c r="AA83" s="71">
        <v>0.0</v>
      </c>
      <c r="AB83" s="71">
        <v>0.0</v>
      </c>
      <c r="AC83" s="71">
        <v>0.0</v>
      </c>
      <c r="AD83" s="6">
        <f t="shared" si="22"/>
        <v>8</v>
      </c>
    </row>
    <row r="84" ht="12.75" customHeight="1">
      <c r="A84" s="18"/>
      <c r="B84" s="54">
        <v>3.0</v>
      </c>
      <c r="C84" s="55" t="s">
        <v>72</v>
      </c>
      <c r="D84" s="56"/>
      <c r="E84" s="71">
        <v>0.0</v>
      </c>
      <c r="F84" s="71">
        <v>0.0</v>
      </c>
      <c r="G84" s="71">
        <v>0.0</v>
      </c>
      <c r="H84" s="71">
        <v>1.0</v>
      </c>
      <c r="I84" s="71">
        <v>0.0</v>
      </c>
      <c r="J84" s="71">
        <v>0.0</v>
      </c>
      <c r="K84" s="71">
        <v>0.0</v>
      </c>
      <c r="L84" s="71">
        <v>0.0</v>
      </c>
      <c r="M84" s="71">
        <v>0.0</v>
      </c>
      <c r="N84" s="71">
        <v>1.0</v>
      </c>
      <c r="O84" s="71">
        <v>0.0</v>
      </c>
      <c r="P84" s="71">
        <v>0.0</v>
      </c>
      <c r="Q84" s="71">
        <v>0.0</v>
      </c>
      <c r="R84" s="71">
        <v>0.0</v>
      </c>
      <c r="S84" s="71">
        <v>0.0</v>
      </c>
      <c r="T84" s="71">
        <v>0.0</v>
      </c>
      <c r="U84" s="71">
        <v>1.0</v>
      </c>
      <c r="V84" s="71">
        <v>0.0</v>
      </c>
      <c r="W84" s="71">
        <v>0.0</v>
      </c>
      <c r="X84" s="71">
        <v>1.0</v>
      </c>
      <c r="Y84" s="71">
        <v>0.0</v>
      </c>
      <c r="Z84" s="71">
        <v>0.0</v>
      </c>
      <c r="AA84" s="71">
        <v>0.0</v>
      </c>
      <c r="AB84" s="71">
        <v>0.0</v>
      </c>
      <c r="AC84" s="71">
        <v>0.0</v>
      </c>
      <c r="AD84" s="6">
        <f t="shared" si="22"/>
        <v>4</v>
      </c>
    </row>
    <row r="85" ht="12.75" customHeight="1">
      <c r="A85" s="18"/>
      <c r="B85" s="54">
        <v>4.0</v>
      </c>
      <c r="C85" s="55" t="s">
        <v>73</v>
      </c>
      <c r="D85" s="56"/>
      <c r="E85" s="71">
        <v>0.0</v>
      </c>
      <c r="F85" s="71">
        <v>0.0</v>
      </c>
      <c r="G85" s="71">
        <v>0.0</v>
      </c>
      <c r="H85" s="71">
        <v>0.0</v>
      </c>
      <c r="I85" s="71">
        <v>0.0</v>
      </c>
      <c r="J85" s="71">
        <v>0.0</v>
      </c>
      <c r="K85" s="71">
        <v>0.0</v>
      </c>
      <c r="L85" s="71">
        <v>0.0</v>
      </c>
      <c r="M85" s="71">
        <v>0.0</v>
      </c>
      <c r="N85" s="71">
        <v>0.0</v>
      </c>
      <c r="O85" s="71">
        <v>0.0</v>
      </c>
      <c r="P85" s="71">
        <v>0.0</v>
      </c>
      <c r="Q85" s="71">
        <v>0.0</v>
      </c>
      <c r="R85" s="71">
        <v>0.0</v>
      </c>
      <c r="S85" s="71">
        <v>0.0</v>
      </c>
      <c r="T85" s="71">
        <v>0.0</v>
      </c>
      <c r="U85" s="71">
        <v>0.0</v>
      </c>
      <c r="V85" s="71">
        <v>0.0</v>
      </c>
      <c r="W85" s="71">
        <v>0.0</v>
      </c>
      <c r="X85" s="71">
        <v>1.0</v>
      </c>
      <c r="Y85" s="71">
        <v>0.0</v>
      </c>
      <c r="Z85" s="71">
        <v>0.0</v>
      </c>
      <c r="AA85" s="71">
        <v>0.0</v>
      </c>
      <c r="AB85" s="71">
        <v>0.0</v>
      </c>
      <c r="AC85" s="71">
        <v>0.0</v>
      </c>
      <c r="AD85" s="6">
        <f t="shared" si="22"/>
        <v>1</v>
      </c>
    </row>
    <row r="86" ht="12.75" customHeight="1">
      <c r="A86" s="18"/>
      <c r="B86" s="54">
        <v>5.0</v>
      </c>
      <c r="C86" s="55" t="s">
        <v>74</v>
      </c>
      <c r="D86" s="56"/>
      <c r="E86" s="71">
        <v>1.0</v>
      </c>
      <c r="F86" s="71">
        <v>0.0</v>
      </c>
      <c r="G86" s="71">
        <v>1.0</v>
      </c>
      <c r="H86" s="71">
        <v>1.0</v>
      </c>
      <c r="I86" s="71">
        <v>6.0</v>
      </c>
      <c r="J86" s="71">
        <v>6.0</v>
      </c>
      <c r="K86" s="71">
        <v>3.0</v>
      </c>
      <c r="L86" s="71">
        <v>3.0</v>
      </c>
      <c r="M86" s="71">
        <v>2.0</v>
      </c>
      <c r="N86" s="71">
        <v>0.0</v>
      </c>
      <c r="O86" s="71">
        <v>0.0</v>
      </c>
      <c r="P86" s="71">
        <v>1.0</v>
      </c>
      <c r="Q86" s="71">
        <v>2.0</v>
      </c>
      <c r="R86" s="71">
        <v>0.0</v>
      </c>
      <c r="S86" s="71">
        <v>1.0</v>
      </c>
      <c r="T86" s="71">
        <v>0.0</v>
      </c>
      <c r="U86" s="71">
        <v>0.0</v>
      </c>
      <c r="V86" s="71">
        <v>0.0</v>
      </c>
      <c r="W86" s="71">
        <v>0.0</v>
      </c>
      <c r="X86" s="71">
        <v>17.0</v>
      </c>
      <c r="Y86" s="71">
        <v>15.0</v>
      </c>
      <c r="Z86" s="71">
        <v>6.0</v>
      </c>
      <c r="AA86" s="71">
        <v>0.0</v>
      </c>
      <c r="AB86" s="71">
        <v>0.0</v>
      </c>
      <c r="AC86" s="71">
        <v>0.0</v>
      </c>
      <c r="AD86" s="6">
        <f t="shared" si="22"/>
        <v>65</v>
      </c>
    </row>
    <row r="87" ht="12.75" customHeight="1">
      <c r="A87" s="18"/>
      <c r="B87" s="54">
        <v>6.0</v>
      </c>
      <c r="C87" s="55" t="s">
        <v>75</v>
      </c>
      <c r="D87" s="56"/>
      <c r="E87" s="71">
        <v>4.0</v>
      </c>
      <c r="F87" s="71">
        <v>0.0</v>
      </c>
      <c r="G87" s="71">
        <v>0.0</v>
      </c>
      <c r="H87" s="71">
        <v>0.0</v>
      </c>
      <c r="I87" s="71">
        <v>4.0</v>
      </c>
      <c r="J87" s="71">
        <v>2.0</v>
      </c>
      <c r="K87" s="71">
        <v>1.0</v>
      </c>
      <c r="L87" s="71">
        <v>0.0</v>
      </c>
      <c r="M87" s="71">
        <v>6.0</v>
      </c>
      <c r="N87" s="71">
        <v>1.0</v>
      </c>
      <c r="O87" s="71">
        <v>1.0</v>
      </c>
      <c r="P87" s="71">
        <v>0.0</v>
      </c>
      <c r="Q87" s="71">
        <v>4.0</v>
      </c>
      <c r="R87" s="71">
        <v>0.0</v>
      </c>
      <c r="S87" s="71">
        <v>1.0</v>
      </c>
      <c r="T87" s="71">
        <v>0.0</v>
      </c>
      <c r="U87" s="71">
        <v>1.0</v>
      </c>
      <c r="V87" s="71">
        <v>0.0</v>
      </c>
      <c r="W87" s="71">
        <v>0.0</v>
      </c>
      <c r="X87" s="71">
        <v>0.0</v>
      </c>
      <c r="Y87" s="71">
        <v>0.0</v>
      </c>
      <c r="Z87" s="71">
        <v>1.0</v>
      </c>
      <c r="AA87" s="71">
        <v>0.0</v>
      </c>
      <c r="AB87" s="71">
        <v>0.0</v>
      </c>
      <c r="AC87" s="71">
        <v>0.0</v>
      </c>
      <c r="AD87" s="6">
        <f t="shared" si="22"/>
        <v>26</v>
      </c>
    </row>
    <row r="88" ht="12.75" customHeight="1">
      <c r="A88" s="13" t="s">
        <v>15</v>
      </c>
      <c r="B88" s="51" t="s">
        <v>46</v>
      </c>
      <c r="C88" s="8"/>
      <c r="D88" s="9"/>
      <c r="E88" s="62">
        <f t="shared" ref="E88:AD88" si="23">sum(E81:E87)</f>
        <v>6</v>
      </c>
      <c r="F88" s="62">
        <f t="shared" si="23"/>
        <v>2</v>
      </c>
      <c r="G88" s="62">
        <f t="shared" si="23"/>
        <v>6</v>
      </c>
      <c r="H88" s="62">
        <f t="shared" si="23"/>
        <v>14</v>
      </c>
      <c r="I88" s="62">
        <f t="shared" si="23"/>
        <v>21</v>
      </c>
      <c r="J88" s="62">
        <f t="shared" si="23"/>
        <v>19</v>
      </c>
      <c r="K88" s="62">
        <f t="shared" si="23"/>
        <v>12</v>
      </c>
      <c r="L88" s="62">
        <f t="shared" si="23"/>
        <v>5</v>
      </c>
      <c r="M88" s="62">
        <f t="shared" si="23"/>
        <v>19</v>
      </c>
      <c r="N88" s="62">
        <f t="shared" si="23"/>
        <v>5</v>
      </c>
      <c r="O88" s="62">
        <f t="shared" si="23"/>
        <v>2</v>
      </c>
      <c r="P88" s="62">
        <f t="shared" si="23"/>
        <v>4</v>
      </c>
      <c r="Q88" s="62">
        <f t="shared" si="23"/>
        <v>10</v>
      </c>
      <c r="R88" s="62">
        <f t="shared" si="23"/>
        <v>1</v>
      </c>
      <c r="S88" s="62">
        <f t="shared" si="23"/>
        <v>58</v>
      </c>
      <c r="T88" s="62">
        <f t="shared" si="23"/>
        <v>19</v>
      </c>
      <c r="U88" s="62">
        <f t="shared" si="23"/>
        <v>81</v>
      </c>
      <c r="V88" s="62">
        <f t="shared" si="23"/>
        <v>39</v>
      </c>
      <c r="W88" s="62">
        <f t="shared" si="23"/>
        <v>13</v>
      </c>
      <c r="X88" s="62">
        <f t="shared" si="23"/>
        <v>29</v>
      </c>
      <c r="Y88" s="62">
        <f t="shared" si="23"/>
        <v>19</v>
      </c>
      <c r="Z88" s="62">
        <f t="shared" si="23"/>
        <v>19</v>
      </c>
      <c r="AA88" s="62">
        <f t="shared" si="23"/>
        <v>3</v>
      </c>
      <c r="AB88" s="62">
        <f t="shared" si="23"/>
        <v>0</v>
      </c>
      <c r="AC88" s="62">
        <f t="shared" si="23"/>
        <v>1</v>
      </c>
      <c r="AD88" s="62">
        <f t="shared" si="23"/>
        <v>407</v>
      </c>
    </row>
    <row r="89" ht="12.75" customHeight="1">
      <c r="A89" s="68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"/>
    </row>
    <row r="90" ht="12.75" customHeight="1">
      <c r="A90" s="33" t="s">
        <v>37</v>
      </c>
      <c r="B90" s="51" t="s">
        <v>76</v>
      </c>
      <c r="C90" s="52" t="s">
        <v>77</v>
      </c>
      <c r="D90" s="9"/>
      <c r="E90" s="71">
        <v>1.0</v>
      </c>
      <c r="F90" s="71">
        <v>1.0</v>
      </c>
      <c r="G90" s="71">
        <v>1.0</v>
      </c>
      <c r="H90" s="71">
        <v>1.0</v>
      </c>
      <c r="I90" s="71">
        <v>0.0</v>
      </c>
      <c r="J90" s="71">
        <v>5.0</v>
      </c>
      <c r="K90" s="71">
        <v>1.0</v>
      </c>
      <c r="L90" s="71">
        <v>0.0</v>
      </c>
      <c r="M90" s="71">
        <v>1.0</v>
      </c>
      <c r="N90" s="71">
        <v>0.0</v>
      </c>
      <c r="O90" s="71">
        <v>1.0</v>
      </c>
      <c r="P90" s="71">
        <v>1.0</v>
      </c>
      <c r="Q90" s="71">
        <v>0.0</v>
      </c>
      <c r="R90" s="71">
        <v>0.0</v>
      </c>
      <c r="S90" s="71">
        <v>0.0</v>
      </c>
      <c r="T90" s="71">
        <v>0.0</v>
      </c>
      <c r="U90" s="71">
        <v>2.0</v>
      </c>
      <c r="V90" s="71">
        <v>0.0</v>
      </c>
      <c r="W90" s="71">
        <v>1.0</v>
      </c>
      <c r="X90" s="71">
        <v>0.0</v>
      </c>
      <c r="Y90" s="71">
        <v>0.0</v>
      </c>
      <c r="Z90" s="71">
        <v>1.0</v>
      </c>
      <c r="AA90" s="71">
        <v>0.0</v>
      </c>
      <c r="AB90" s="71">
        <v>0.0</v>
      </c>
      <c r="AC90" s="71">
        <v>0.0</v>
      </c>
      <c r="AD90" s="6">
        <f t="shared" ref="AD90:AD92" si="24">SUM(E90:AC90)</f>
        <v>17</v>
      </c>
    </row>
    <row r="91" ht="12.75" customHeight="1">
      <c r="A91" s="33" t="s">
        <v>39</v>
      </c>
      <c r="B91" s="54"/>
      <c r="C91" s="55" t="s">
        <v>78</v>
      </c>
      <c r="D91" s="9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6">
        <f t="shared" si="24"/>
        <v>0</v>
      </c>
    </row>
    <row r="92" ht="12.75" customHeight="1">
      <c r="A92" s="13" t="s">
        <v>15</v>
      </c>
      <c r="B92" s="51" t="s">
        <v>46</v>
      </c>
      <c r="C92" s="8"/>
      <c r="D92" s="9"/>
      <c r="E92" s="57">
        <f t="shared" ref="E92:AC92" si="25">SUM(E90:E91)</f>
        <v>1</v>
      </c>
      <c r="F92" s="57">
        <f t="shared" si="25"/>
        <v>1</v>
      </c>
      <c r="G92" s="57">
        <f t="shared" si="25"/>
        <v>1</v>
      </c>
      <c r="H92" s="57">
        <f t="shared" si="25"/>
        <v>1</v>
      </c>
      <c r="I92" s="57">
        <f t="shared" si="25"/>
        <v>0</v>
      </c>
      <c r="J92" s="57">
        <f t="shared" si="25"/>
        <v>5</v>
      </c>
      <c r="K92" s="57">
        <f t="shared" si="25"/>
        <v>1</v>
      </c>
      <c r="L92" s="57">
        <f t="shared" si="25"/>
        <v>0</v>
      </c>
      <c r="M92" s="57">
        <f t="shared" si="25"/>
        <v>1</v>
      </c>
      <c r="N92" s="57">
        <f t="shared" si="25"/>
        <v>0</v>
      </c>
      <c r="O92" s="57">
        <f t="shared" si="25"/>
        <v>1</v>
      </c>
      <c r="P92" s="57">
        <f t="shared" si="25"/>
        <v>1</v>
      </c>
      <c r="Q92" s="57">
        <f t="shared" si="25"/>
        <v>0</v>
      </c>
      <c r="R92" s="57">
        <f t="shared" si="25"/>
        <v>0</v>
      </c>
      <c r="S92" s="57">
        <f t="shared" si="25"/>
        <v>0</v>
      </c>
      <c r="T92" s="57">
        <f t="shared" si="25"/>
        <v>0</v>
      </c>
      <c r="U92" s="57">
        <f t="shared" si="25"/>
        <v>2</v>
      </c>
      <c r="V92" s="57">
        <f t="shared" si="25"/>
        <v>0</v>
      </c>
      <c r="W92" s="57">
        <f t="shared" si="25"/>
        <v>1</v>
      </c>
      <c r="X92" s="57">
        <f t="shared" si="25"/>
        <v>0</v>
      </c>
      <c r="Y92" s="57">
        <f t="shared" si="25"/>
        <v>0</v>
      </c>
      <c r="Z92" s="57">
        <f t="shared" si="25"/>
        <v>1</v>
      </c>
      <c r="AA92" s="57">
        <f t="shared" si="25"/>
        <v>0</v>
      </c>
      <c r="AB92" s="57">
        <f t="shared" si="25"/>
        <v>0</v>
      </c>
      <c r="AC92" s="57">
        <f t="shared" si="25"/>
        <v>0</v>
      </c>
      <c r="AD92" s="6">
        <f t="shared" si="24"/>
        <v>17</v>
      </c>
    </row>
    <row r="93" ht="12.75" customHeight="1">
      <c r="A93" s="68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"/>
    </row>
    <row r="94" ht="12.75" customHeight="1">
      <c r="A94" s="33" t="s">
        <v>37</v>
      </c>
      <c r="B94" s="51" t="s">
        <v>79</v>
      </c>
      <c r="C94" s="52" t="s">
        <v>80</v>
      </c>
      <c r="D94" s="9"/>
      <c r="E94" s="71">
        <v>0.0</v>
      </c>
      <c r="F94" s="71">
        <v>1.0</v>
      </c>
      <c r="G94" s="71">
        <v>1.0</v>
      </c>
      <c r="H94" s="71">
        <v>0.0</v>
      </c>
      <c r="I94" s="71">
        <v>0.0</v>
      </c>
      <c r="J94" s="71">
        <v>0.0</v>
      </c>
      <c r="K94" s="71">
        <v>4.0</v>
      </c>
      <c r="L94" s="71">
        <v>2.0</v>
      </c>
      <c r="M94" s="71">
        <v>0.0</v>
      </c>
      <c r="N94" s="71">
        <v>0.0</v>
      </c>
      <c r="O94" s="71">
        <v>0.0</v>
      </c>
      <c r="P94" s="71">
        <v>0.0</v>
      </c>
      <c r="Q94" s="71">
        <v>0.0</v>
      </c>
      <c r="R94" s="71">
        <v>0.0</v>
      </c>
      <c r="S94" s="71">
        <v>0.0</v>
      </c>
      <c r="T94" s="71">
        <v>0.0</v>
      </c>
      <c r="U94" s="71">
        <v>0.0</v>
      </c>
      <c r="V94" s="71">
        <v>1.0</v>
      </c>
      <c r="W94" s="71">
        <v>0.0</v>
      </c>
      <c r="X94" s="71">
        <v>0.0</v>
      </c>
      <c r="Y94" s="71">
        <v>0.0</v>
      </c>
      <c r="Z94" s="71">
        <v>2.0</v>
      </c>
      <c r="AA94" s="71">
        <v>2.0</v>
      </c>
      <c r="AB94" s="71">
        <v>0.0</v>
      </c>
      <c r="AC94" s="71">
        <v>2.0</v>
      </c>
      <c r="AD94" s="6">
        <f t="shared" ref="AD94:AD99" si="26">SUM(E94:AC94)</f>
        <v>15</v>
      </c>
    </row>
    <row r="95" ht="12.75" customHeight="1">
      <c r="A95" s="33" t="s">
        <v>39</v>
      </c>
      <c r="B95" s="54">
        <v>1.0</v>
      </c>
      <c r="C95" s="55" t="s">
        <v>81</v>
      </c>
      <c r="D95" s="56"/>
      <c r="E95" s="71">
        <v>0.0</v>
      </c>
      <c r="F95" s="71">
        <v>0.0</v>
      </c>
      <c r="G95" s="71">
        <v>0.0</v>
      </c>
      <c r="H95" s="71">
        <v>1.0</v>
      </c>
      <c r="I95" s="71">
        <v>0.0</v>
      </c>
      <c r="J95" s="71">
        <v>0.0</v>
      </c>
      <c r="K95" s="71">
        <v>0.0</v>
      </c>
      <c r="L95" s="71">
        <v>0.0</v>
      </c>
      <c r="M95" s="71">
        <v>0.0</v>
      </c>
      <c r="N95" s="71">
        <v>0.0</v>
      </c>
      <c r="O95" s="71">
        <v>1.0</v>
      </c>
      <c r="P95" s="71">
        <v>2.0</v>
      </c>
      <c r="Q95" s="71">
        <v>0.0</v>
      </c>
      <c r="R95" s="71">
        <v>0.0</v>
      </c>
      <c r="S95" s="71">
        <v>0.0</v>
      </c>
      <c r="T95" s="71">
        <v>0.0</v>
      </c>
      <c r="U95" s="71">
        <v>0.0</v>
      </c>
      <c r="V95" s="71">
        <v>0.0</v>
      </c>
      <c r="W95" s="71">
        <v>0.0</v>
      </c>
      <c r="X95" s="71">
        <v>0.0</v>
      </c>
      <c r="Y95" s="71">
        <v>0.0</v>
      </c>
      <c r="Z95" s="71">
        <v>0.0</v>
      </c>
      <c r="AA95" s="71">
        <v>0.0</v>
      </c>
      <c r="AB95" s="71">
        <v>0.0</v>
      </c>
      <c r="AC95" s="71">
        <v>0.0</v>
      </c>
      <c r="AD95" s="6">
        <f t="shared" si="26"/>
        <v>4</v>
      </c>
    </row>
    <row r="96" ht="12.75" customHeight="1">
      <c r="A96" s="33"/>
      <c r="B96" s="54">
        <v>2.0</v>
      </c>
      <c r="C96" s="55" t="s">
        <v>82</v>
      </c>
      <c r="D96" s="56"/>
      <c r="E96" s="71">
        <v>0.0</v>
      </c>
      <c r="F96" s="71">
        <v>0.0</v>
      </c>
      <c r="G96" s="71">
        <v>0.0</v>
      </c>
      <c r="H96" s="71">
        <v>0.0</v>
      </c>
      <c r="I96" s="71">
        <v>0.0</v>
      </c>
      <c r="J96" s="71">
        <v>0.0</v>
      </c>
      <c r="K96" s="71">
        <v>0.0</v>
      </c>
      <c r="L96" s="71">
        <v>0.0</v>
      </c>
      <c r="M96" s="71">
        <v>0.0</v>
      </c>
      <c r="N96" s="71">
        <v>0.0</v>
      </c>
      <c r="O96" s="71">
        <v>0.0</v>
      </c>
      <c r="P96" s="71">
        <v>0.0</v>
      </c>
      <c r="Q96" s="71">
        <v>0.0</v>
      </c>
      <c r="R96" s="71">
        <v>0.0</v>
      </c>
      <c r="S96" s="71">
        <v>0.0</v>
      </c>
      <c r="T96" s="71">
        <v>0.0</v>
      </c>
      <c r="U96" s="71">
        <v>0.0</v>
      </c>
      <c r="V96" s="71">
        <v>0.0</v>
      </c>
      <c r="W96" s="71">
        <v>0.0</v>
      </c>
      <c r="X96" s="71">
        <v>0.0</v>
      </c>
      <c r="Y96" s="71">
        <v>0.0</v>
      </c>
      <c r="Z96" s="71">
        <v>0.0</v>
      </c>
      <c r="AA96" s="71">
        <v>0.0</v>
      </c>
      <c r="AB96" s="71">
        <v>0.0</v>
      </c>
      <c r="AC96" s="71">
        <v>0.0</v>
      </c>
      <c r="AD96" s="6">
        <f t="shared" si="26"/>
        <v>0</v>
      </c>
    </row>
    <row r="97" ht="12.75" customHeight="1">
      <c r="A97" s="33"/>
      <c r="B97" s="54">
        <v>3.0</v>
      </c>
      <c r="C97" s="55" t="s">
        <v>83</v>
      </c>
      <c r="D97" s="56"/>
      <c r="E97" s="71">
        <v>0.0</v>
      </c>
      <c r="F97" s="71">
        <v>0.0</v>
      </c>
      <c r="G97" s="71">
        <v>0.0</v>
      </c>
      <c r="H97" s="71">
        <v>0.0</v>
      </c>
      <c r="I97" s="71">
        <v>0.0</v>
      </c>
      <c r="J97" s="71">
        <v>0.0</v>
      </c>
      <c r="K97" s="71">
        <v>0.0</v>
      </c>
      <c r="L97" s="71">
        <v>0.0</v>
      </c>
      <c r="M97" s="71">
        <v>0.0</v>
      </c>
      <c r="N97" s="71">
        <v>0.0</v>
      </c>
      <c r="O97" s="71">
        <v>0.0</v>
      </c>
      <c r="P97" s="71">
        <v>0.0</v>
      </c>
      <c r="Q97" s="71">
        <v>0.0</v>
      </c>
      <c r="R97" s="71">
        <v>0.0</v>
      </c>
      <c r="S97" s="71">
        <v>0.0</v>
      </c>
      <c r="T97" s="71">
        <v>0.0</v>
      </c>
      <c r="U97" s="71">
        <v>0.0</v>
      </c>
      <c r="V97" s="71">
        <v>0.0</v>
      </c>
      <c r="W97" s="71">
        <v>0.0</v>
      </c>
      <c r="X97" s="71">
        <v>0.0</v>
      </c>
      <c r="Y97" s="71">
        <v>0.0</v>
      </c>
      <c r="Z97" s="71">
        <v>0.0</v>
      </c>
      <c r="AA97" s="71">
        <v>0.0</v>
      </c>
      <c r="AB97" s="71">
        <v>0.0</v>
      </c>
      <c r="AC97" s="71">
        <v>0.0</v>
      </c>
      <c r="AD97" s="6">
        <f t="shared" si="26"/>
        <v>0</v>
      </c>
    </row>
    <row r="98" ht="12.75" customHeight="1">
      <c r="A98" s="33"/>
      <c r="B98" s="54">
        <v>4.0</v>
      </c>
      <c r="C98" s="55" t="s">
        <v>84</v>
      </c>
      <c r="D98" s="56"/>
      <c r="E98" s="71">
        <v>0.0</v>
      </c>
      <c r="F98" s="71">
        <v>0.0</v>
      </c>
      <c r="G98" s="71">
        <v>0.0</v>
      </c>
      <c r="H98" s="71">
        <v>0.0</v>
      </c>
      <c r="I98" s="71">
        <v>0.0</v>
      </c>
      <c r="J98" s="71">
        <v>1.0</v>
      </c>
      <c r="K98" s="71">
        <v>0.0</v>
      </c>
      <c r="L98" s="71">
        <v>1.0</v>
      </c>
      <c r="M98" s="71">
        <v>0.0</v>
      </c>
      <c r="N98" s="71">
        <v>0.0</v>
      </c>
      <c r="O98" s="71">
        <v>0.0</v>
      </c>
      <c r="P98" s="71">
        <v>0.0</v>
      </c>
      <c r="Q98" s="71">
        <v>0.0</v>
      </c>
      <c r="R98" s="71">
        <v>0.0</v>
      </c>
      <c r="S98" s="71">
        <v>0.0</v>
      </c>
      <c r="T98" s="71">
        <v>0.0</v>
      </c>
      <c r="U98" s="71">
        <v>0.0</v>
      </c>
      <c r="V98" s="71">
        <v>0.0</v>
      </c>
      <c r="W98" s="71">
        <v>0.0</v>
      </c>
      <c r="X98" s="71">
        <v>0.0</v>
      </c>
      <c r="Y98" s="71">
        <v>0.0</v>
      </c>
      <c r="Z98" s="71">
        <v>0.0</v>
      </c>
      <c r="AA98" s="71">
        <v>0.0</v>
      </c>
      <c r="AB98" s="71">
        <v>0.0</v>
      </c>
      <c r="AC98" s="71">
        <v>0.0</v>
      </c>
      <c r="AD98" s="6">
        <f t="shared" si="26"/>
        <v>2</v>
      </c>
    </row>
    <row r="99" ht="12.75" customHeight="1">
      <c r="A99" s="13" t="s">
        <v>15</v>
      </c>
      <c r="B99" s="51" t="s">
        <v>46</v>
      </c>
      <c r="C99" s="8"/>
      <c r="D99" s="9"/>
      <c r="E99" s="57">
        <f t="shared" ref="E99:AC99" si="27">SUM(E94:E98)</f>
        <v>0</v>
      </c>
      <c r="F99" s="57">
        <f t="shared" si="27"/>
        <v>1</v>
      </c>
      <c r="G99" s="57">
        <f t="shared" si="27"/>
        <v>1</v>
      </c>
      <c r="H99" s="57">
        <f t="shared" si="27"/>
        <v>1</v>
      </c>
      <c r="I99" s="57">
        <f t="shared" si="27"/>
        <v>0</v>
      </c>
      <c r="J99" s="57">
        <f t="shared" si="27"/>
        <v>1</v>
      </c>
      <c r="K99" s="57">
        <f t="shared" si="27"/>
        <v>4</v>
      </c>
      <c r="L99" s="57">
        <f t="shared" si="27"/>
        <v>3</v>
      </c>
      <c r="M99" s="57">
        <f t="shared" si="27"/>
        <v>0</v>
      </c>
      <c r="N99" s="57">
        <f t="shared" si="27"/>
        <v>0</v>
      </c>
      <c r="O99" s="57">
        <f t="shared" si="27"/>
        <v>1</v>
      </c>
      <c r="P99" s="57">
        <f t="shared" si="27"/>
        <v>2</v>
      </c>
      <c r="Q99" s="57">
        <f t="shared" si="27"/>
        <v>0</v>
      </c>
      <c r="R99" s="57">
        <f t="shared" si="27"/>
        <v>0</v>
      </c>
      <c r="S99" s="57">
        <f t="shared" si="27"/>
        <v>0</v>
      </c>
      <c r="T99" s="57">
        <f t="shared" si="27"/>
        <v>0</v>
      </c>
      <c r="U99" s="57">
        <f t="shared" si="27"/>
        <v>0</v>
      </c>
      <c r="V99" s="57">
        <f t="shared" si="27"/>
        <v>1</v>
      </c>
      <c r="W99" s="57">
        <f t="shared" si="27"/>
        <v>0</v>
      </c>
      <c r="X99" s="57">
        <f t="shared" si="27"/>
        <v>0</v>
      </c>
      <c r="Y99" s="57">
        <f t="shared" si="27"/>
        <v>0</v>
      </c>
      <c r="Z99" s="57">
        <f t="shared" si="27"/>
        <v>2</v>
      </c>
      <c r="AA99" s="57">
        <f t="shared" si="27"/>
        <v>2</v>
      </c>
      <c r="AB99" s="57">
        <f t="shared" si="27"/>
        <v>0</v>
      </c>
      <c r="AC99" s="57">
        <f t="shared" si="27"/>
        <v>2</v>
      </c>
      <c r="AD99" s="6">
        <f t="shared" si="26"/>
        <v>21</v>
      </c>
    </row>
    <row r="100" ht="12.75" customHeight="1">
      <c r="A100" s="68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"/>
    </row>
    <row r="101" ht="12.75" customHeight="1">
      <c r="A101" s="33" t="s">
        <v>37</v>
      </c>
      <c r="B101" s="51" t="s">
        <v>85</v>
      </c>
      <c r="C101" s="52" t="s">
        <v>86</v>
      </c>
      <c r="D101" s="9"/>
      <c r="E101" s="71">
        <v>0.0</v>
      </c>
      <c r="F101" s="71">
        <v>2.0</v>
      </c>
      <c r="G101" s="71">
        <v>2.0</v>
      </c>
      <c r="H101" s="71">
        <v>2.0</v>
      </c>
      <c r="I101" s="71">
        <v>0.0</v>
      </c>
      <c r="J101" s="71">
        <v>0.0</v>
      </c>
      <c r="K101" s="71">
        <v>1.0</v>
      </c>
      <c r="L101" s="71">
        <v>8.0</v>
      </c>
      <c r="M101" s="71">
        <v>5.0</v>
      </c>
      <c r="N101" s="71">
        <v>6.0</v>
      </c>
      <c r="O101" s="71">
        <v>0.0</v>
      </c>
      <c r="P101" s="71">
        <v>0.0</v>
      </c>
      <c r="Q101" s="71">
        <v>1.0</v>
      </c>
      <c r="R101" s="71">
        <v>0.0</v>
      </c>
      <c r="S101" s="71">
        <v>0.0</v>
      </c>
      <c r="T101" s="71">
        <v>0.0</v>
      </c>
      <c r="U101" s="71">
        <v>0.0</v>
      </c>
      <c r="V101" s="71">
        <v>0.0</v>
      </c>
      <c r="W101" s="71">
        <v>1.0</v>
      </c>
      <c r="X101" s="71">
        <v>0.0</v>
      </c>
      <c r="Y101" s="71">
        <v>2.0</v>
      </c>
      <c r="Z101" s="71">
        <v>0.0</v>
      </c>
      <c r="AA101" s="71">
        <v>2.0</v>
      </c>
      <c r="AB101" s="71">
        <v>0.0</v>
      </c>
      <c r="AC101" s="71">
        <v>1.0</v>
      </c>
      <c r="AD101" s="6">
        <f t="shared" ref="AD101:AD108" si="28">SUM(E101:AC101)</f>
        <v>33</v>
      </c>
    </row>
    <row r="102" ht="12.75" customHeight="1">
      <c r="A102" s="33" t="s">
        <v>39</v>
      </c>
      <c r="B102" s="54">
        <v>1.0</v>
      </c>
      <c r="C102" s="55" t="s">
        <v>87</v>
      </c>
      <c r="D102" s="56"/>
      <c r="E102" s="71">
        <v>19.0</v>
      </c>
      <c r="F102" s="71">
        <v>9.0</v>
      </c>
      <c r="G102" s="71">
        <v>13.0</v>
      </c>
      <c r="H102" s="71">
        <v>1.0</v>
      </c>
      <c r="I102" s="71">
        <v>3.0</v>
      </c>
      <c r="J102" s="71">
        <v>3.0</v>
      </c>
      <c r="K102" s="71">
        <v>20.0</v>
      </c>
      <c r="L102" s="71">
        <v>47.0</v>
      </c>
      <c r="M102" s="71">
        <v>21.0</v>
      </c>
      <c r="N102" s="71">
        <v>15.0</v>
      </c>
      <c r="O102" s="71">
        <v>0.0</v>
      </c>
      <c r="P102" s="71">
        <v>4.0</v>
      </c>
      <c r="Q102" s="71">
        <v>12.0</v>
      </c>
      <c r="R102" s="71">
        <v>3.0</v>
      </c>
      <c r="S102" s="71">
        <v>0.0</v>
      </c>
      <c r="T102" s="71">
        <v>6.0</v>
      </c>
      <c r="U102" s="71">
        <v>0.0</v>
      </c>
      <c r="V102" s="71">
        <v>1.0</v>
      </c>
      <c r="W102" s="71">
        <v>9.0</v>
      </c>
      <c r="X102" s="71">
        <v>0.0</v>
      </c>
      <c r="Y102" s="71">
        <v>7.0</v>
      </c>
      <c r="Z102" s="71">
        <v>2.0</v>
      </c>
      <c r="AA102" s="71">
        <v>9.0</v>
      </c>
      <c r="AB102" s="71">
        <v>4.0</v>
      </c>
      <c r="AC102" s="71">
        <v>1.0</v>
      </c>
      <c r="AD102" s="6">
        <f t="shared" si="28"/>
        <v>209</v>
      </c>
    </row>
    <row r="103" ht="12.75" customHeight="1">
      <c r="A103" s="18"/>
      <c r="B103" s="54">
        <v>2.0</v>
      </c>
      <c r="C103" s="55" t="s">
        <v>88</v>
      </c>
      <c r="D103" s="56"/>
      <c r="E103" s="71">
        <v>0.0</v>
      </c>
      <c r="F103" s="71">
        <v>1.0</v>
      </c>
      <c r="G103" s="71">
        <v>0.0</v>
      </c>
      <c r="H103" s="71">
        <v>0.0</v>
      </c>
      <c r="I103" s="71">
        <v>2.0</v>
      </c>
      <c r="J103" s="71">
        <v>3.0</v>
      </c>
      <c r="K103" s="71">
        <v>0.0</v>
      </c>
      <c r="L103" s="71">
        <v>2.0</v>
      </c>
      <c r="M103" s="71">
        <v>0.0</v>
      </c>
      <c r="N103" s="71">
        <v>0.0</v>
      </c>
      <c r="O103" s="71">
        <v>0.0</v>
      </c>
      <c r="P103" s="71">
        <v>0.0</v>
      </c>
      <c r="Q103" s="71">
        <v>1.0</v>
      </c>
      <c r="R103" s="71">
        <v>0.0</v>
      </c>
      <c r="S103" s="71">
        <v>0.0</v>
      </c>
      <c r="T103" s="71">
        <v>0.0</v>
      </c>
      <c r="U103" s="71">
        <v>3.0</v>
      </c>
      <c r="V103" s="71">
        <v>0.0</v>
      </c>
      <c r="W103" s="71">
        <v>0.0</v>
      </c>
      <c r="X103" s="71">
        <v>2.0</v>
      </c>
      <c r="Y103" s="71">
        <v>1.0</v>
      </c>
      <c r="Z103" s="71">
        <v>0.0</v>
      </c>
      <c r="AA103" s="71">
        <v>0.0</v>
      </c>
      <c r="AB103" s="71">
        <v>0.0</v>
      </c>
      <c r="AC103" s="71">
        <v>0.0</v>
      </c>
      <c r="AD103" s="6">
        <f t="shared" si="28"/>
        <v>15</v>
      </c>
    </row>
    <row r="104" ht="12.75" customHeight="1">
      <c r="A104" s="18"/>
      <c r="B104" s="54">
        <v>3.0</v>
      </c>
      <c r="C104" s="55" t="s">
        <v>89</v>
      </c>
      <c r="D104" s="56"/>
      <c r="E104" s="71">
        <v>1.0</v>
      </c>
      <c r="F104" s="71">
        <v>0.0</v>
      </c>
      <c r="G104" s="71">
        <v>0.0</v>
      </c>
      <c r="H104" s="71">
        <v>0.0</v>
      </c>
      <c r="I104" s="71">
        <v>0.0</v>
      </c>
      <c r="J104" s="71">
        <v>0.0</v>
      </c>
      <c r="K104" s="71">
        <v>2.0</v>
      </c>
      <c r="L104" s="71">
        <v>0.0</v>
      </c>
      <c r="M104" s="71">
        <v>2.0</v>
      </c>
      <c r="N104" s="71">
        <v>0.0</v>
      </c>
      <c r="O104" s="71">
        <v>0.0</v>
      </c>
      <c r="P104" s="71">
        <v>0.0</v>
      </c>
      <c r="Q104" s="71">
        <v>1.0</v>
      </c>
      <c r="R104" s="71">
        <v>0.0</v>
      </c>
      <c r="S104" s="71">
        <v>0.0</v>
      </c>
      <c r="T104" s="71">
        <v>0.0</v>
      </c>
      <c r="U104" s="71">
        <v>0.0</v>
      </c>
      <c r="V104" s="71">
        <v>0.0</v>
      </c>
      <c r="W104" s="71">
        <v>0.0</v>
      </c>
      <c r="X104" s="71">
        <v>0.0</v>
      </c>
      <c r="Y104" s="71">
        <v>0.0</v>
      </c>
      <c r="Z104" s="71">
        <v>0.0</v>
      </c>
      <c r="AA104" s="71">
        <v>0.0</v>
      </c>
      <c r="AB104" s="71">
        <v>0.0</v>
      </c>
      <c r="AC104" s="71">
        <v>0.0</v>
      </c>
      <c r="AD104" s="6">
        <f t="shared" si="28"/>
        <v>6</v>
      </c>
    </row>
    <row r="105" ht="12.75" customHeight="1">
      <c r="A105" s="18"/>
      <c r="B105" s="54">
        <v>4.0</v>
      </c>
      <c r="C105" s="55" t="s">
        <v>90</v>
      </c>
      <c r="D105" s="56"/>
      <c r="E105" s="71">
        <v>0.0</v>
      </c>
      <c r="F105" s="71">
        <v>0.0</v>
      </c>
      <c r="G105" s="71">
        <v>0.0</v>
      </c>
      <c r="H105" s="71">
        <v>0.0</v>
      </c>
      <c r="I105" s="71">
        <v>0.0</v>
      </c>
      <c r="J105" s="71">
        <v>0.0</v>
      </c>
      <c r="K105" s="71">
        <v>0.0</v>
      </c>
      <c r="L105" s="71">
        <v>0.0</v>
      </c>
      <c r="M105" s="71">
        <v>0.0</v>
      </c>
      <c r="N105" s="71">
        <v>0.0</v>
      </c>
      <c r="O105" s="71">
        <v>0.0</v>
      </c>
      <c r="P105" s="71">
        <v>0.0</v>
      </c>
      <c r="Q105" s="71">
        <v>0.0</v>
      </c>
      <c r="R105" s="71">
        <v>0.0</v>
      </c>
      <c r="S105" s="71">
        <v>0.0</v>
      </c>
      <c r="T105" s="71">
        <v>0.0</v>
      </c>
      <c r="U105" s="71">
        <v>0.0</v>
      </c>
      <c r="V105" s="71">
        <v>0.0</v>
      </c>
      <c r="W105" s="71">
        <v>0.0</v>
      </c>
      <c r="X105" s="71">
        <v>0.0</v>
      </c>
      <c r="Y105" s="71">
        <v>0.0</v>
      </c>
      <c r="Z105" s="71">
        <v>0.0</v>
      </c>
      <c r="AA105" s="71">
        <v>0.0</v>
      </c>
      <c r="AB105" s="71">
        <v>0.0</v>
      </c>
      <c r="AC105" s="71">
        <v>0.0</v>
      </c>
      <c r="AD105" s="6">
        <f t="shared" si="28"/>
        <v>0</v>
      </c>
    </row>
    <row r="106" ht="12.75" customHeight="1">
      <c r="A106" s="18"/>
      <c r="B106" s="54">
        <v>5.0</v>
      </c>
      <c r="C106" s="55" t="s">
        <v>91</v>
      </c>
      <c r="D106" s="56"/>
      <c r="E106" s="71">
        <v>0.0</v>
      </c>
      <c r="F106" s="71">
        <v>0.0</v>
      </c>
      <c r="G106" s="71">
        <v>0.0</v>
      </c>
      <c r="H106" s="71">
        <v>0.0</v>
      </c>
      <c r="I106" s="71">
        <v>0.0</v>
      </c>
      <c r="J106" s="71">
        <v>0.0</v>
      </c>
      <c r="K106" s="71">
        <v>2.0</v>
      </c>
      <c r="L106" s="71">
        <v>0.0</v>
      </c>
      <c r="M106" s="71">
        <v>0.0</v>
      </c>
      <c r="N106" s="71">
        <v>0.0</v>
      </c>
      <c r="O106" s="71">
        <v>0.0</v>
      </c>
      <c r="P106" s="71">
        <v>0.0</v>
      </c>
      <c r="Q106" s="71">
        <v>0.0</v>
      </c>
      <c r="R106" s="71">
        <v>0.0</v>
      </c>
      <c r="S106" s="71">
        <v>0.0</v>
      </c>
      <c r="T106" s="71">
        <v>0.0</v>
      </c>
      <c r="U106" s="71">
        <v>0.0</v>
      </c>
      <c r="V106" s="71">
        <v>0.0</v>
      </c>
      <c r="W106" s="71">
        <v>0.0</v>
      </c>
      <c r="X106" s="71">
        <v>0.0</v>
      </c>
      <c r="Y106" s="71">
        <v>0.0</v>
      </c>
      <c r="Z106" s="71">
        <v>0.0</v>
      </c>
      <c r="AA106" s="71">
        <v>0.0</v>
      </c>
      <c r="AB106" s="71">
        <v>0.0</v>
      </c>
      <c r="AC106" s="71">
        <v>0.0</v>
      </c>
      <c r="AD106" s="6">
        <f t="shared" si="28"/>
        <v>2</v>
      </c>
    </row>
    <row r="107" ht="12.75" customHeight="1">
      <c r="A107" s="18"/>
      <c r="B107" s="54">
        <v>6.0</v>
      </c>
      <c r="C107" s="55" t="s">
        <v>92</v>
      </c>
      <c r="D107" s="56"/>
      <c r="E107" s="71">
        <v>1.0</v>
      </c>
      <c r="F107" s="71">
        <v>0.0</v>
      </c>
      <c r="G107" s="71">
        <v>0.0</v>
      </c>
      <c r="H107" s="71">
        <v>1.0</v>
      </c>
      <c r="I107" s="71">
        <v>0.0</v>
      </c>
      <c r="J107" s="71">
        <v>3.0</v>
      </c>
      <c r="K107" s="71">
        <v>3.0</v>
      </c>
      <c r="L107" s="71">
        <v>0.0</v>
      </c>
      <c r="M107" s="71">
        <v>6.0</v>
      </c>
      <c r="N107" s="71">
        <v>0.0</v>
      </c>
      <c r="O107" s="71">
        <v>0.0</v>
      </c>
      <c r="P107" s="71">
        <v>0.0</v>
      </c>
      <c r="Q107" s="71">
        <v>1.0</v>
      </c>
      <c r="R107" s="71">
        <v>0.0</v>
      </c>
      <c r="S107" s="71">
        <v>1.0</v>
      </c>
      <c r="T107" s="71">
        <v>0.0</v>
      </c>
      <c r="U107" s="71">
        <v>0.0</v>
      </c>
      <c r="V107" s="71">
        <v>1.0</v>
      </c>
      <c r="W107" s="71">
        <v>0.0</v>
      </c>
      <c r="X107" s="71">
        <v>1.0</v>
      </c>
      <c r="Y107" s="71">
        <v>1.0</v>
      </c>
      <c r="Z107" s="71">
        <v>0.0</v>
      </c>
      <c r="AA107" s="71">
        <v>0.0</v>
      </c>
      <c r="AB107" s="71">
        <v>0.0</v>
      </c>
      <c r="AC107" s="71">
        <v>4.0</v>
      </c>
      <c r="AD107" s="6">
        <f t="shared" si="28"/>
        <v>23</v>
      </c>
    </row>
    <row r="108" ht="12.75" customHeight="1">
      <c r="A108" s="13" t="s">
        <v>15</v>
      </c>
      <c r="B108" s="51" t="s">
        <v>46</v>
      </c>
      <c r="C108" s="8"/>
      <c r="D108" s="9"/>
      <c r="E108" s="57">
        <f t="shared" ref="E108:AC108" si="29">SUM(E101:E107)</f>
        <v>21</v>
      </c>
      <c r="F108" s="57">
        <f t="shared" si="29"/>
        <v>12</v>
      </c>
      <c r="G108" s="57">
        <f t="shared" si="29"/>
        <v>15</v>
      </c>
      <c r="H108" s="57">
        <f t="shared" si="29"/>
        <v>4</v>
      </c>
      <c r="I108" s="57">
        <f t="shared" si="29"/>
        <v>5</v>
      </c>
      <c r="J108" s="57">
        <f t="shared" si="29"/>
        <v>9</v>
      </c>
      <c r="K108" s="57">
        <f t="shared" si="29"/>
        <v>28</v>
      </c>
      <c r="L108" s="57">
        <f t="shared" si="29"/>
        <v>57</v>
      </c>
      <c r="M108" s="57">
        <f t="shared" si="29"/>
        <v>34</v>
      </c>
      <c r="N108" s="57">
        <f t="shared" si="29"/>
        <v>21</v>
      </c>
      <c r="O108" s="57">
        <f t="shared" si="29"/>
        <v>0</v>
      </c>
      <c r="P108" s="57">
        <f t="shared" si="29"/>
        <v>4</v>
      </c>
      <c r="Q108" s="57">
        <f t="shared" si="29"/>
        <v>16</v>
      </c>
      <c r="R108" s="57">
        <f t="shared" si="29"/>
        <v>3</v>
      </c>
      <c r="S108" s="57">
        <f t="shared" si="29"/>
        <v>1</v>
      </c>
      <c r="T108" s="57">
        <f t="shared" si="29"/>
        <v>6</v>
      </c>
      <c r="U108" s="57">
        <f t="shared" si="29"/>
        <v>3</v>
      </c>
      <c r="V108" s="57">
        <f t="shared" si="29"/>
        <v>2</v>
      </c>
      <c r="W108" s="57">
        <f t="shared" si="29"/>
        <v>10</v>
      </c>
      <c r="X108" s="57">
        <f t="shared" si="29"/>
        <v>3</v>
      </c>
      <c r="Y108" s="57">
        <f t="shared" si="29"/>
        <v>11</v>
      </c>
      <c r="Z108" s="57">
        <f t="shared" si="29"/>
        <v>2</v>
      </c>
      <c r="AA108" s="57">
        <f t="shared" si="29"/>
        <v>11</v>
      </c>
      <c r="AB108" s="57">
        <f t="shared" si="29"/>
        <v>4</v>
      </c>
      <c r="AC108" s="57">
        <f t="shared" si="29"/>
        <v>6</v>
      </c>
      <c r="AD108" s="6">
        <f t="shared" si="28"/>
        <v>288</v>
      </c>
    </row>
    <row r="109" ht="12.75" customHeight="1">
      <c r="A109" s="68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"/>
    </row>
    <row r="110" ht="12.75" customHeight="1">
      <c r="A110" s="33" t="s">
        <v>37</v>
      </c>
      <c r="B110" s="51" t="s">
        <v>93</v>
      </c>
      <c r="C110" s="52" t="s">
        <v>94</v>
      </c>
      <c r="D110" s="9"/>
      <c r="E110" s="71">
        <v>0.0</v>
      </c>
      <c r="F110" s="71">
        <v>0.0</v>
      </c>
      <c r="G110" s="71">
        <v>1.0</v>
      </c>
      <c r="H110" s="71">
        <v>0.0</v>
      </c>
      <c r="I110" s="71">
        <v>0.0</v>
      </c>
      <c r="J110" s="71">
        <v>0.0</v>
      </c>
      <c r="K110" s="71">
        <v>0.0</v>
      </c>
      <c r="L110" s="71">
        <v>0.0</v>
      </c>
      <c r="M110" s="71">
        <v>0.0</v>
      </c>
      <c r="N110" s="71">
        <v>0.0</v>
      </c>
      <c r="O110" s="71">
        <v>0.0</v>
      </c>
      <c r="P110" s="71">
        <v>0.0</v>
      </c>
      <c r="Q110" s="71">
        <v>0.0</v>
      </c>
      <c r="R110" s="71">
        <v>0.0</v>
      </c>
      <c r="S110" s="71">
        <v>0.0</v>
      </c>
      <c r="T110" s="71">
        <v>0.0</v>
      </c>
      <c r="U110" s="71">
        <v>0.0</v>
      </c>
      <c r="V110" s="71">
        <v>0.0</v>
      </c>
      <c r="W110" s="71">
        <v>0.0</v>
      </c>
      <c r="X110" s="71">
        <v>0.0</v>
      </c>
      <c r="Y110" s="71">
        <v>0.0</v>
      </c>
      <c r="Z110" s="71">
        <v>0.0</v>
      </c>
      <c r="AA110" s="71">
        <v>0.0</v>
      </c>
      <c r="AB110" s="71">
        <v>0.0</v>
      </c>
      <c r="AC110" s="71">
        <v>0.0</v>
      </c>
      <c r="AD110" s="6">
        <f t="shared" ref="AD110:AD114" si="30">SUM(E110:AC110)</f>
        <v>1</v>
      </c>
    </row>
    <row r="111" ht="12.75" customHeight="1">
      <c r="A111" s="33"/>
      <c r="B111" s="54">
        <v>1.0</v>
      </c>
      <c r="C111" s="55" t="s">
        <v>95</v>
      </c>
      <c r="D111" s="63"/>
      <c r="E111" s="71">
        <v>0.0</v>
      </c>
      <c r="F111" s="71">
        <v>0.0</v>
      </c>
      <c r="G111" s="71">
        <v>0.0</v>
      </c>
      <c r="H111" s="71">
        <v>0.0</v>
      </c>
      <c r="I111" s="71">
        <v>0.0</v>
      </c>
      <c r="J111" s="71">
        <v>0.0</v>
      </c>
      <c r="K111" s="71">
        <v>0.0</v>
      </c>
      <c r="L111" s="71">
        <v>0.0</v>
      </c>
      <c r="M111" s="71">
        <v>0.0</v>
      </c>
      <c r="N111" s="71">
        <v>0.0</v>
      </c>
      <c r="O111" s="71">
        <v>0.0</v>
      </c>
      <c r="P111" s="71">
        <v>0.0</v>
      </c>
      <c r="Q111" s="71">
        <v>0.0</v>
      </c>
      <c r="R111" s="71">
        <v>0.0</v>
      </c>
      <c r="S111" s="71">
        <v>0.0</v>
      </c>
      <c r="T111" s="71">
        <v>0.0</v>
      </c>
      <c r="U111" s="71">
        <v>0.0</v>
      </c>
      <c r="V111" s="71">
        <v>0.0</v>
      </c>
      <c r="W111" s="71">
        <v>0.0</v>
      </c>
      <c r="X111" s="71">
        <v>0.0</v>
      </c>
      <c r="Y111" s="71">
        <v>0.0</v>
      </c>
      <c r="Z111" s="71">
        <v>0.0</v>
      </c>
      <c r="AA111" s="71">
        <v>0.0</v>
      </c>
      <c r="AB111" s="71">
        <v>0.0</v>
      </c>
      <c r="AC111" s="71">
        <v>0.0</v>
      </c>
      <c r="AD111" s="6">
        <f t="shared" si="30"/>
        <v>0</v>
      </c>
    </row>
    <row r="112" ht="12.75" customHeight="1">
      <c r="A112" s="33"/>
      <c r="B112" s="54">
        <v>2.0</v>
      </c>
      <c r="C112" s="55" t="s">
        <v>96</v>
      </c>
      <c r="D112" s="63"/>
      <c r="E112" s="71">
        <v>0.0</v>
      </c>
      <c r="F112" s="71">
        <v>0.0</v>
      </c>
      <c r="G112" s="71">
        <v>0.0</v>
      </c>
      <c r="H112" s="71">
        <v>0.0</v>
      </c>
      <c r="I112" s="71">
        <v>0.0</v>
      </c>
      <c r="J112" s="71">
        <v>0.0</v>
      </c>
      <c r="K112" s="71">
        <v>0.0</v>
      </c>
      <c r="L112" s="71">
        <v>0.0</v>
      </c>
      <c r="M112" s="71">
        <v>0.0</v>
      </c>
      <c r="N112" s="71">
        <v>0.0</v>
      </c>
      <c r="O112" s="71">
        <v>0.0</v>
      </c>
      <c r="P112" s="71">
        <v>0.0</v>
      </c>
      <c r="Q112" s="71">
        <v>0.0</v>
      </c>
      <c r="R112" s="71">
        <v>0.0</v>
      </c>
      <c r="S112" s="71">
        <v>0.0</v>
      </c>
      <c r="T112" s="71">
        <v>0.0</v>
      </c>
      <c r="U112" s="71">
        <v>0.0</v>
      </c>
      <c r="V112" s="71">
        <v>0.0</v>
      </c>
      <c r="W112" s="71">
        <v>0.0</v>
      </c>
      <c r="X112" s="71">
        <v>0.0</v>
      </c>
      <c r="Y112" s="71">
        <v>0.0</v>
      </c>
      <c r="Z112" s="71">
        <v>0.0</v>
      </c>
      <c r="AA112" s="71">
        <v>0.0</v>
      </c>
      <c r="AB112" s="71">
        <v>0.0</v>
      </c>
      <c r="AC112" s="71">
        <v>0.0</v>
      </c>
      <c r="AD112" s="6">
        <f t="shared" si="30"/>
        <v>0</v>
      </c>
    </row>
    <row r="113" ht="12.75" customHeight="1">
      <c r="A113" s="33"/>
      <c r="B113" s="54">
        <v>3.0</v>
      </c>
      <c r="C113" s="55" t="s">
        <v>97</v>
      </c>
      <c r="D113" s="63"/>
      <c r="E113" s="71">
        <v>0.0</v>
      </c>
      <c r="F113" s="71">
        <v>0.0</v>
      </c>
      <c r="G113" s="71">
        <v>0.0</v>
      </c>
      <c r="H113" s="71">
        <v>0.0</v>
      </c>
      <c r="I113" s="71">
        <v>0.0</v>
      </c>
      <c r="J113" s="71">
        <v>0.0</v>
      </c>
      <c r="K113" s="71">
        <v>0.0</v>
      </c>
      <c r="L113" s="71">
        <v>0.0</v>
      </c>
      <c r="M113" s="71">
        <v>0.0</v>
      </c>
      <c r="N113" s="71">
        <v>0.0</v>
      </c>
      <c r="O113" s="71">
        <v>0.0</v>
      </c>
      <c r="P113" s="71">
        <v>0.0</v>
      </c>
      <c r="Q113" s="71">
        <v>0.0</v>
      </c>
      <c r="R113" s="71">
        <v>0.0</v>
      </c>
      <c r="S113" s="71">
        <v>0.0</v>
      </c>
      <c r="T113" s="71">
        <v>0.0</v>
      </c>
      <c r="U113" s="71">
        <v>0.0</v>
      </c>
      <c r="V113" s="71">
        <v>0.0</v>
      </c>
      <c r="W113" s="71">
        <v>0.0</v>
      </c>
      <c r="X113" s="71">
        <v>0.0</v>
      </c>
      <c r="Y113" s="71">
        <v>0.0</v>
      </c>
      <c r="Z113" s="71">
        <v>0.0</v>
      </c>
      <c r="AA113" s="71">
        <v>0.0</v>
      </c>
      <c r="AB113" s="71">
        <v>0.0</v>
      </c>
      <c r="AC113" s="71">
        <v>0.0</v>
      </c>
      <c r="AD113" s="6">
        <f t="shared" si="30"/>
        <v>0</v>
      </c>
    </row>
    <row r="114" ht="12.75" customHeight="1">
      <c r="A114" s="13" t="s">
        <v>15</v>
      </c>
      <c r="B114" s="51" t="s">
        <v>46</v>
      </c>
      <c r="C114" s="8"/>
      <c r="D114" s="9"/>
      <c r="E114" s="57">
        <f t="shared" ref="E114:AC114" si="31">SUM(E110:E113)</f>
        <v>0</v>
      </c>
      <c r="F114" s="57">
        <f t="shared" si="31"/>
        <v>0</v>
      </c>
      <c r="G114" s="57">
        <f t="shared" si="31"/>
        <v>1</v>
      </c>
      <c r="H114" s="57">
        <f t="shared" si="31"/>
        <v>0</v>
      </c>
      <c r="I114" s="57">
        <f t="shared" si="31"/>
        <v>0</v>
      </c>
      <c r="J114" s="57">
        <f t="shared" si="31"/>
        <v>0</v>
      </c>
      <c r="K114" s="57">
        <f t="shared" si="31"/>
        <v>0</v>
      </c>
      <c r="L114" s="57">
        <f t="shared" si="31"/>
        <v>0</v>
      </c>
      <c r="M114" s="57">
        <f t="shared" si="31"/>
        <v>0</v>
      </c>
      <c r="N114" s="57">
        <f t="shared" si="31"/>
        <v>0</v>
      </c>
      <c r="O114" s="57">
        <f t="shared" si="31"/>
        <v>0</v>
      </c>
      <c r="P114" s="57">
        <f t="shared" si="31"/>
        <v>0</v>
      </c>
      <c r="Q114" s="57">
        <f t="shared" si="31"/>
        <v>0</v>
      </c>
      <c r="R114" s="57">
        <f t="shared" si="31"/>
        <v>0</v>
      </c>
      <c r="S114" s="57">
        <f t="shared" si="31"/>
        <v>0</v>
      </c>
      <c r="T114" s="57">
        <f t="shared" si="31"/>
        <v>0</v>
      </c>
      <c r="U114" s="57">
        <f t="shared" si="31"/>
        <v>0</v>
      </c>
      <c r="V114" s="57">
        <f t="shared" si="31"/>
        <v>0</v>
      </c>
      <c r="W114" s="57">
        <f t="shared" si="31"/>
        <v>0</v>
      </c>
      <c r="X114" s="57">
        <f t="shared" si="31"/>
        <v>0</v>
      </c>
      <c r="Y114" s="57">
        <f t="shared" si="31"/>
        <v>0</v>
      </c>
      <c r="Z114" s="57">
        <f t="shared" si="31"/>
        <v>0</v>
      </c>
      <c r="AA114" s="57">
        <f t="shared" si="31"/>
        <v>0</v>
      </c>
      <c r="AB114" s="57">
        <f t="shared" si="31"/>
        <v>0</v>
      </c>
      <c r="AC114" s="57">
        <f t="shared" si="31"/>
        <v>0</v>
      </c>
      <c r="AD114" s="6">
        <f t="shared" si="30"/>
        <v>1</v>
      </c>
    </row>
    <row r="115" ht="12.75" customHeight="1">
      <c r="A115" s="68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"/>
    </row>
    <row r="116" ht="12.75" customHeight="1">
      <c r="A116" s="33" t="s">
        <v>37</v>
      </c>
      <c r="B116" s="51" t="s">
        <v>98</v>
      </c>
      <c r="C116" s="52" t="s">
        <v>99</v>
      </c>
      <c r="D116" s="9"/>
      <c r="E116" s="71">
        <v>0.0</v>
      </c>
      <c r="F116" s="71">
        <v>0.0</v>
      </c>
      <c r="G116" s="71">
        <v>7.0</v>
      </c>
      <c r="H116" s="71">
        <v>1.0</v>
      </c>
      <c r="I116" s="71">
        <v>0.0</v>
      </c>
      <c r="J116" s="71">
        <v>0.0</v>
      </c>
      <c r="K116" s="71">
        <v>0.0</v>
      </c>
      <c r="L116" s="71">
        <v>0.0</v>
      </c>
      <c r="M116" s="71">
        <v>0.0</v>
      </c>
      <c r="N116" s="71">
        <v>1.0</v>
      </c>
      <c r="O116" s="71">
        <v>0.0</v>
      </c>
      <c r="P116" s="71">
        <v>0.0</v>
      </c>
      <c r="Q116" s="71">
        <v>0.0</v>
      </c>
      <c r="R116" s="71">
        <v>1.0</v>
      </c>
      <c r="S116" s="71">
        <v>0.0</v>
      </c>
      <c r="T116" s="71">
        <v>0.0</v>
      </c>
      <c r="U116" s="71">
        <v>1.0</v>
      </c>
      <c r="V116" s="71">
        <v>0.0</v>
      </c>
      <c r="W116" s="71">
        <v>0.0</v>
      </c>
      <c r="X116" s="71">
        <v>0.0</v>
      </c>
      <c r="Y116" s="71">
        <v>0.0</v>
      </c>
      <c r="Z116" s="71">
        <v>0.0</v>
      </c>
      <c r="AA116" s="71">
        <v>0.0</v>
      </c>
      <c r="AB116" s="71">
        <v>0.0</v>
      </c>
      <c r="AC116" s="71">
        <v>0.0</v>
      </c>
      <c r="AD116" s="6">
        <f t="shared" ref="AD116:AD123" si="32">SUM(E116:AC116)</f>
        <v>11</v>
      </c>
    </row>
    <row r="117" ht="12.75" customHeight="1">
      <c r="A117" s="33" t="s">
        <v>39</v>
      </c>
      <c r="B117" s="54">
        <v>1.0</v>
      </c>
      <c r="C117" s="55" t="s">
        <v>100</v>
      </c>
      <c r="D117" s="56"/>
      <c r="E117" s="71">
        <v>1.0</v>
      </c>
      <c r="F117" s="71">
        <v>1.0</v>
      </c>
      <c r="G117" s="71">
        <v>14.0</v>
      </c>
      <c r="H117" s="71">
        <v>2.0</v>
      </c>
      <c r="I117" s="71">
        <v>0.0</v>
      </c>
      <c r="J117" s="71">
        <v>0.0</v>
      </c>
      <c r="K117" s="71">
        <v>6.0</v>
      </c>
      <c r="L117" s="71">
        <v>0.0</v>
      </c>
      <c r="M117" s="71">
        <v>0.0</v>
      </c>
      <c r="N117" s="71">
        <v>0.0</v>
      </c>
      <c r="O117" s="71">
        <v>0.0</v>
      </c>
      <c r="P117" s="71">
        <v>0.0</v>
      </c>
      <c r="Q117" s="71">
        <v>0.0</v>
      </c>
      <c r="R117" s="71">
        <v>1.0</v>
      </c>
      <c r="S117" s="71">
        <v>0.0</v>
      </c>
      <c r="T117" s="71">
        <v>0.0</v>
      </c>
      <c r="U117" s="71">
        <v>0.0</v>
      </c>
      <c r="V117" s="71">
        <v>0.0</v>
      </c>
      <c r="W117" s="71">
        <v>0.0</v>
      </c>
      <c r="X117" s="71">
        <v>5.0</v>
      </c>
      <c r="Y117" s="71">
        <v>0.0</v>
      </c>
      <c r="Z117" s="71">
        <v>0.0</v>
      </c>
      <c r="AA117" s="71">
        <v>2.0</v>
      </c>
      <c r="AB117" s="71">
        <v>0.0</v>
      </c>
      <c r="AC117" s="71">
        <v>0.0</v>
      </c>
      <c r="AD117" s="6">
        <f t="shared" si="32"/>
        <v>32</v>
      </c>
    </row>
    <row r="118" ht="12.75" customHeight="1">
      <c r="A118" s="18"/>
      <c r="B118" s="54">
        <v>2.0</v>
      </c>
      <c r="C118" s="55" t="s">
        <v>101</v>
      </c>
      <c r="D118" s="56"/>
      <c r="E118" s="71">
        <v>0.0</v>
      </c>
      <c r="F118" s="71">
        <v>0.0</v>
      </c>
      <c r="G118" s="71">
        <v>2.0</v>
      </c>
      <c r="H118" s="71">
        <v>0.0</v>
      </c>
      <c r="I118" s="71">
        <v>0.0</v>
      </c>
      <c r="J118" s="71">
        <v>1.0</v>
      </c>
      <c r="K118" s="71">
        <v>0.0</v>
      </c>
      <c r="L118" s="71">
        <v>0.0</v>
      </c>
      <c r="M118" s="71">
        <v>0.0</v>
      </c>
      <c r="N118" s="71">
        <v>0.0</v>
      </c>
      <c r="O118" s="71">
        <v>0.0</v>
      </c>
      <c r="P118" s="71">
        <v>0.0</v>
      </c>
      <c r="Q118" s="71">
        <v>0.0</v>
      </c>
      <c r="R118" s="71">
        <v>0.0</v>
      </c>
      <c r="S118" s="71">
        <v>0.0</v>
      </c>
      <c r="T118" s="71">
        <v>0.0</v>
      </c>
      <c r="U118" s="71">
        <v>0.0</v>
      </c>
      <c r="V118" s="71">
        <v>0.0</v>
      </c>
      <c r="W118" s="71">
        <v>0.0</v>
      </c>
      <c r="X118" s="71">
        <v>0.0</v>
      </c>
      <c r="Y118" s="71">
        <v>0.0</v>
      </c>
      <c r="Z118" s="71">
        <v>0.0</v>
      </c>
      <c r="AA118" s="71">
        <v>0.0</v>
      </c>
      <c r="AB118" s="71">
        <v>0.0</v>
      </c>
      <c r="AC118" s="71">
        <v>0.0</v>
      </c>
      <c r="AD118" s="6">
        <f t="shared" si="32"/>
        <v>3</v>
      </c>
    </row>
    <row r="119" ht="12.75" customHeight="1">
      <c r="A119" s="18"/>
      <c r="B119" s="54">
        <v>3.0</v>
      </c>
      <c r="C119" s="55" t="s">
        <v>102</v>
      </c>
      <c r="D119" s="56"/>
      <c r="E119" s="71">
        <v>0.0</v>
      </c>
      <c r="F119" s="71">
        <v>0.0</v>
      </c>
      <c r="G119" s="71">
        <v>1.0</v>
      </c>
      <c r="H119" s="71">
        <v>0.0</v>
      </c>
      <c r="I119" s="71">
        <v>0.0</v>
      </c>
      <c r="J119" s="71">
        <v>0.0</v>
      </c>
      <c r="K119" s="71">
        <v>0.0</v>
      </c>
      <c r="L119" s="71">
        <v>0.0</v>
      </c>
      <c r="M119" s="71">
        <v>0.0</v>
      </c>
      <c r="N119" s="71">
        <v>0.0</v>
      </c>
      <c r="O119" s="71">
        <v>0.0</v>
      </c>
      <c r="P119" s="71">
        <v>0.0</v>
      </c>
      <c r="Q119" s="71">
        <v>0.0</v>
      </c>
      <c r="R119" s="71">
        <v>0.0</v>
      </c>
      <c r="S119" s="71">
        <v>0.0</v>
      </c>
      <c r="T119" s="71">
        <v>0.0</v>
      </c>
      <c r="U119" s="71">
        <v>0.0</v>
      </c>
      <c r="V119" s="71">
        <v>1.0</v>
      </c>
      <c r="W119" s="71">
        <v>0.0</v>
      </c>
      <c r="X119" s="71">
        <v>0.0</v>
      </c>
      <c r="Y119" s="71">
        <v>0.0</v>
      </c>
      <c r="Z119" s="71">
        <v>0.0</v>
      </c>
      <c r="AA119" s="71">
        <v>0.0</v>
      </c>
      <c r="AB119" s="71">
        <v>1.0</v>
      </c>
      <c r="AC119" s="71">
        <v>0.0</v>
      </c>
      <c r="AD119" s="6">
        <f t="shared" si="32"/>
        <v>3</v>
      </c>
    </row>
    <row r="120" ht="12.75" customHeight="1">
      <c r="A120" s="18"/>
      <c r="B120" s="54">
        <v>4.0</v>
      </c>
      <c r="C120" s="55" t="s">
        <v>103</v>
      </c>
      <c r="D120" s="56"/>
      <c r="E120" s="71">
        <v>0.0</v>
      </c>
      <c r="F120" s="71">
        <v>1.0</v>
      </c>
      <c r="G120" s="71">
        <v>0.0</v>
      </c>
      <c r="H120" s="71">
        <v>0.0</v>
      </c>
      <c r="I120" s="71">
        <v>0.0</v>
      </c>
      <c r="J120" s="71">
        <v>0.0</v>
      </c>
      <c r="K120" s="71">
        <v>0.0</v>
      </c>
      <c r="L120" s="71">
        <v>0.0</v>
      </c>
      <c r="M120" s="71">
        <v>0.0</v>
      </c>
      <c r="N120" s="71">
        <v>0.0</v>
      </c>
      <c r="O120" s="71">
        <v>0.0</v>
      </c>
      <c r="P120" s="71">
        <v>0.0</v>
      </c>
      <c r="Q120" s="71">
        <v>0.0</v>
      </c>
      <c r="R120" s="71">
        <v>0.0</v>
      </c>
      <c r="S120" s="71">
        <v>0.0</v>
      </c>
      <c r="T120" s="71">
        <v>0.0</v>
      </c>
      <c r="U120" s="71">
        <v>0.0</v>
      </c>
      <c r="V120" s="71">
        <v>0.0</v>
      </c>
      <c r="W120" s="71">
        <v>0.0</v>
      </c>
      <c r="X120" s="71">
        <v>0.0</v>
      </c>
      <c r="Y120" s="71">
        <v>0.0</v>
      </c>
      <c r="Z120" s="71">
        <v>0.0</v>
      </c>
      <c r="AA120" s="71">
        <v>0.0</v>
      </c>
      <c r="AB120" s="71">
        <v>0.0</v>
      </c>
      <c r="AC120" s="71">
        <v>0.0</v>
      </c>
      <c r="AD120" s="6">
        <f t="shared" si="32"/>
        <v>1</v>
      </c>
    </row>
    <row r="121" ht="12.75" customHeight="1">
      <c r="A121" s="18"/>
      <c r="B121" s="54">
        <v>5.0</v>
      </c>
      <c r="C121" s="55" t="s">
        <v>104</v>
      </c>
      <c r="D121" s="56"/>
      <c r="E121" s="71">
        <v>0.0</v>
      </c>
      <c r="F121" s="71">
        <v>0.0</v>
      </c>
      <c r="G121" s="71">
        <v>0.0</v>
      </c>
      <c r="H121" s="71">
        <v>0.0</v>
      </c>
      <c r="I121" s="71">
        <v>0.0</v>
      </c>
      <c r="J121" s="71">
        <v>0.0</v>
      </c>
      <c r="K121" s="71">
        <v>0.0</v>
      </c>
      <c r="L121" s="71">
        <v>0.0</v>
      </c>
      <c r="M121" s="71">
        <v>0.0</v>
      </c>
      <c r="N121" s="71">
        <v>0.0</v>
      </c>
      <c r="O121" s="71">
        <v>0.0</v>
      </c>
      <c r="P121" s="71">
        <v>0.0</v>
      </c>
      <c r="Q121" s="71">
        <v>0.0</v>
      </c>
      <c r="R121" s="71">
        <v>0.0</v>
      </c>
      <c r="S121" s="71">
        <v>0.0</v>
      </c>
      <c r="T121" s="71">
        <v>0.0</v>
      </c>
      <c r="U121" s="71">
        <v>0.0</v>
      </c>
      <c r="V121" s="71">
        <v>0.0</v>
      </c>
      <c r="W121" s="71">
        <v>0.0</v>
      </c>
      <c r="X121" s="71">
        <v>0.0</v>
      </c>
      <c r="Y121" s="71">
        <v>0.0</v>
      </c>
      <c r="Z121" s="71">
        <v>0.0</v>
      </c>
      <c r="AA121" s="71">
        <v>0.0</v>
      </c>
      <c r="AB121" s="71">
        <v>0.0</v>
      </c>
      <c r="AC121" s="71">
        <v>0.0</v>
      </c>
      <c r="AD121" s="6">
        <f t="shared" si="32"/>
        <v>0</v>
      </c>
    </row>
    <row r="122" ht="12.75" customHeight="1">
      <c r="A122" s="18"/>
      <c r="B122" s="54">
        <v>6.0</v>
      </c>
      <c r="C122" s="55" t="s">
        <v>105</v>
      </c>
      <c r="D122" s="56"/>
      <c r="E122" s="71">
        <v>0.0</v>
      </c>
      <c r="F122" s="71">
        <v>0.0</v>
      </c>
      <c r="G122" s="71">
        <v>0.0</v>
      </c>
      <c r="H122" s="71">
        <v>0.0</v>
      </c>
      <c r="I122" s="71">
        <v>0.0</v>
      </c>
      <c r="J122" s="71">
        <v>0.0</v>
      </c>
      <c r="K122" s="71">
        <v>0.0</v>
      </c>
      <c r="L122" s="71">
        <v>0.0</v>
      </c>
      <c r="M122" s="71">
        <v>0.0</v>
      </c>
      <c r="N122" s="71">
        <v>0.0</v>
      </c>
      <c r="O122" s="71">
        <v>0.0</v>
      </c>
      <c r="P122" s="71">
        <v>0.0</v>
      </c>
      <c r="Q122" s="71">
        <v>0.0</v>
      </c>
      <c r="R122" s="71">
        <v>0.0</v>
      </c>
      <c r="S122" s="71">
        <v>0.0</v>
      </c>
      <c r="T122" s="71">
        <v>0.0</v>
      </c>
      <c r="U122" s="71">
        <v>0.0</v>
      </c>
      <c r="V122" s="71">
        <v>0.0</v>
      </c>
      <c r="W122" s="71">
        <v>0.0</v>
      </c>
      <c r="X122" s="71">
        <v>0.0</v>
      </c>
      <c r="Y122" s="71">
        <v>0.0</v>
      </c>
      <c r="Z122" s="71">
        <v>0.0</v>
      </c>
      <c r="AA122" s="71">
        <v>0.0</v>
      </c>
      <c r="AB122" s="71">
        <v>0.0</v>
      </c>
      <c r="AC122" s="71">
        <v>0.0</v>
      </c>
      <c r="AD122" s="6">
        <f t="shared" si="32"/>
        <v>0</v>
      </c>
    </row>
    <row r="123" ht="12.75" customHeight="1">
      <c r="A123" s="13" t="s">
        <v>15</v>
      </c>
      <c r="B123" s="51" t="s">
        <v>46</v>
      </c>
      <c r="C123" s="8"/>
      <c r="D123" s="9"/>
      <c r="E123" s="57">
        <f t="shared" ref="E123:AC123" si="33">SUM(E116:E122)</f>
        <v>1</v>
      </c>
      <c r="F123" s="57">
        <f t="shared" si="33"/>
        <v>2</v>
      </c>
      <c r="G123" s="57">
        <f t="shared" si="33"/>
        <v>24</v>
      </c>
      <c r="H123" s="57">
        <f t="shared" si="33"/>
        <v>3</v>
      </c>
      <c r="I123" s="57">
        <f t="shared" si="33"/>
        <v>0</v>
      </c>
      <c r="J123" s="57">
        <f t="shared" si="33"/>
        <v>1</v>
      </c>
      <c r="K123" s="57">
        <f t="shared" si="33"/>
        <v>6</v>
      </c>
      <c r="L123" s="57">
        <f t="shared" si="33"/>
        <v>0</v>
      </c>
      <c r="M123" s="57">
        <f t="shared" si="33"/>
        <v>0</v>
      </c>
      <c r="N123" s="57">
        <f t="shared" si="33"/>
        <v>1</v>
      </c>
      <c r="O123" s="57">
        <f t="shared" si="33"/>
        <v>0</v>
      </c>
      <c r="P123" s="57">
        <f t="shared" si="33"/>
        <v>0</v>
      </c>
      <c r="Q123" s="57">
        <f t="shared" si="33"/>
        <v>0</v>
      </c>
      <c r="R123" s="57">
        <f t="shared" si="33"/>
        <v>2</v>
      </c>
      <c r="S123" s="57">
        <f t="shared" si="33"/>
        <v>0</v>
      </c>
      <c r="T123" s="57">
        <f t="shared" si="33"/>
        <v>0</v>
      </c>
      <c r="U123" s="57">
        <f t="shared" si="33"/>
        <v>1</v>
      </c>
      <c r="V123" s="57">
        <f t="shared" si="33"/>
        <v>1</v>
      </c>
      <c r="W123" s="57">
        <f t="shared" si="33"/>
        <v>0</v>
      </c>
      <c r="X123" s="57">
        <f t="shared" si="33"/>
        <v>5</v>
      </c>
      <c r="Y123" s="57">
        <f t="shared" si="33"/>
        <v>0</v>
      </c>
      <c r="Z123" s="57">
        <f t="shared" si="33"/>
        <v>0</v>
      </c>
      <c r="AA123" s="57">
        <f t="shared" si="33"/>
        <v>2</v>
      </c>
      <c r="AB123" s="57">
        <f t="shared" si="33"/>
        <v>1</v>
      </c>
      <c r="AC123" s="57">
        <f t="shared" si="33"/>
        <v>0</v>
      </c>
      <c r="AD123" s="6">
        <f t="shared" si="32"/>
        <v>50</v>
      </c>
    </row>
    <row r="124" ht="12.75" customHeight="1">
      <c r="A124" s="68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"/>
    </row>
    <row r="125" ht="12.75" customHeight="1">
      <c r="A125" s="33" t="s">
        <v>37</v>
      </c>
      <c r="B125" s="51" t="s">
        <v>106</v>
      </c>
      <c r="C125" s="52" t="s">
        <v>107</v>
      </c>
      <c r="D125" s="9"/>
      <c r="E125" s="71">
        <v>0.0</v>
      </c>
      <c r="F125" s="71">
        <v>0.0</v>
      </c>
      <c r="G125" s="71">
        <v>1.0</v>
      </c>
      <c r="H125" s="71">
        <v>0.0</v>
      </c>
      <c r="I125" s="71">
        <v>0.0</v>
      </c>
      <c r="J125" s="71">
        <v>0.0</v>
      </c>
      <c r="K125" s="71">
        <v>0.0</v>
      </c>
      <c r="L125" s="71">
        <v>0.0</v>
      </c>
      <c r="M125" s="71">
        <v>1.0</v>
      </c>
      <c r="N125" s="71">
        <v>0.0</v>
      </c>
      <c r="O125" s="71">
        <v>0.0</v>
      </c>
      <c r="P125" s="71">
        <v>0.0</v>
      </c>
      <c r="Q125" s="71">
        <v>0.0</v>
      </c>
      <c r="R125" s="71">
        <v>0.0</v>
      </c>
      <c r="S125" s="71">
        <v>0.0</v>
      </c>
      <c r="T125" s="71">
        <v>0.0</v>
      </c>
      <c r="U125" s="71">
        <v>0.0</v>
      </c>
      <c r="V125" s="71">
        <v>0.0</v>
      </c>
      <c r="W125" s="71">
        <v>0.0</v>
      </c>
      <c r="X125" s="71">
        <v>0.0</v>
      </c>
      <c r="Y125" s="71">
        <v>0.0</v>
      </c>
      <c r="Z125" s="71">
        <v>0.0</v>
      </c>
      <c r="AA125" s="71">
        <v>0.0</v>
      </c>
      <c r="AB125" s="71">
        <v>0.0</v>
      </c>
      <c r="AC125" s="71">
        <v>0.0</v>
      </c>
      <c r="AD125" s="6">
        <f t="shared" ref="AD125:AD127" si="34">SUM(E125:AC125)</f>
        <v>2</v>
      </c>
    </row>
    <row r="126" ht="12.75" customHeight="1">
      <c r="A126" s="33" t="s">
        <v>39</v>
      </c>
      <c r="B126" s="54"/>
      <c r="C126" s="55" t="s">
        <v>78</v>
      </c>
      <c r="D126" s="56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6">
        <f t="shared" si="34"/>
        <v>0</v>
      </c>
    </row>
    <row r="127" ht="12.75" customHeight="1">
      <c r="A127" s="13" t="s">
        <v>15</v>
      </c>
      <c r="B127" s="51" t="s">
        <v>46</v>
      </c>
      <c r="C127" s="8"/>
      <c r="D127" s="9"/>
      <c r="E127" s="57">
        <f t="shared" ref="E127:AC127" si="35">SUM(E125:E126)</f>
        <v>0</v>
      </c>
      <c r="F127" s="57">
        <f t="shared" si="35"/>
        <v>0</v>
      </c>
      <c r="G127" s="57">
        <f t="shared" si="35"/>
        <v>1</v>
      </c>
      <c r="H127" s="57">
        <f t="shared" si="35"/>
        <v>0</v>
      </c>
      <c r="I127" s="57">
        <f t="shared" si="35"/>
        <v>0</v>
      </c>
      <c r="J127" s="57">
        <f t="shared" si="35"/>
        <v>0</v>
      </c>
      <c r="K127" s="57">
        <f t="shared" si="35"/>
        <v>0</v>
      </c>
      <c r="L127" s="57">
        <f t="shared" si="35"/>
        <v>0</v>
      </c>
      <c r="M127" s="57">
        <f t="shared" si="35"/>
        <v>1</v>
      </c>
      <c r="N127" s="57">
        <f t="shared" si="35"/>
        <v>0</v>
      </c>
      <c r="O127" s="57">
        <f t="shared" si="35"/>
        <v>0</v>
      </c>
      <c r="P127" s="57">
        <f t="shared" si="35"/>
        <v>0</v>
      </c>
      <c r="Q127" s="57">
        <f t="shared" si="35"/>
        <v>0</v>
      </c>
      <c r="R127" s="57">
        <f t="shared" si="35"/>
        <v>0</v>
      </c>
      <c r="S127" s="57">
        <f t="shared" si="35"/>
        <v>0</v>
      </c>
      <c r="T127" s="57">
        <f t="shared" si="35"/>
        <v>0</v>
      </c>
      <c r="U127" s="57">
        <f t="shared" si="35"/>
        <v>0</v>
      </c>
      <c r="V127" s="57">
        <f t="shared" si="35"/>
        <v>0</v>
      </c>
      <c r="W127" s="57">
        <f t="shared" si="35"/>
        <v>0</v>
      </c>
      <c r="X127" s="57">
        <f t="shared" si="35"/>
        <v>0</v>
      </c>
      <c r="Y127" s="57">
        <f t="shared" si="35"/>
        <v>0</v>
      </c>
      <c r="Z127" s="57">
        <f t="shared" si="35"/>
        <v>0</v>
      </c>
      <c r="AA127" s="57">
        <f t="shared" si="35"/>
        <v>0</v>
      </c>
      <c r="AB127" s="57">
        <f t="shared" si="35"/>
        <v>0</v>
      </c>
      <c r="AC127" s="57">
        <f t="shared" si="35"/>
        <v>0</v>
      </c>
      <c r="AD127" s="6">
        <f t="shared" si="34"/>
        <v>2</v>
      </c>
    </row>
    <row r="128" ht="12.75" customHeight="1">
      <c r="A128" s="68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"/>
    </row>
    <row r="129" ht="12.75" customHeight="1">
      <c r="A129" s="33" t="s">
        <v>37</v>
      </c>
      <c r="B129" s="51" t="s">
        <v>108</v>
      </c>
      <c r="C129" s="52" t="s">
        <v>109</v>
      </c>
      <c r="D129" s="9"/>
      <c r="E129" s="71">
        <v>2.0</v>
      </c>
      <c r="F129" s="71">
        <v>2.0</v>
      </c>
      <c r="G129" s="71">
        <v>0.0</v>
      </c>
      <c r="H129" s="71">
        <v>1.0</v>
      </c>
      <c r="I129" s="71">
        <v>3.0</v>
      </c>
      <c r="J129" s="71">
        <v>2.0</v>
      </c>
      <c r="K129" s="71">
        <v>1.0</v>
      </c>
      <c r="L129" s="71">
        <v>0.0</v>
      </c>
      <c r="M129" s="71">
        <v>0.0</v>
      </c>
      <c r="N129" s="71">
        <v>0.0</v>
      </c>
      <c r="O129" s="71">
        <v>0.0</v>
      </c>
      <c r="P129" s="71">
        <v>0.0</v>
      </c>
      <c r="Q129" s="71">
        <v>0.0</v>
      </c>
      <c r="R129" s="71">
        <v>0.0</v>
      </c>
      <c r="S129" s="71">
        <v>0.0</v>
      </c>
      <c r="T129" s="71">
        <v>0.0</v>
      </c>
      <c r="U129" s="71">
        <v>2.0</v>
      </c>
      <c r="V129" s="71">
        <v>1.0</v>
      </c>
      <c r="W129" s="71">
        <v>0.0</v>
      </c>
      <c r="X129" s="71">
        <v>2.0</v>
      </c>
      <c r="Y129" s="71">
        <v>0.0</v>
      </c>
      <c r="Z129" s="71">
        <v>0.0</v>
      </c>
      <c r="AA129" s="71">
        <v>0.0</v>
      </c>
      <c r="AB129" s="71">
        <v>0.0</v>
      </c>
      <c r="AC129" s="71">
        <v>0.0</v>
      </c>
      <c r="AD129" s="6">
        <f t="shared" ref="AD129:AD136" si="36">SUM(E129:AC129)</f>
        <v>16</v>
      </c>
    </row>
    <row r="130" ht="12.75" customHeight="1">
      <c r="A130" s="33" t="s">
        <v>39</v>
      </c>
      <c r="B130" s="54">
        <v>1.0</v>
      </c>
      <c r="C130" s="55" t="s">
        <v>110</v>
      </c>
      <c r="D130" s="56"/>
      <c r="E130" s="71">
        <v>7.0</v>
      </c>
      <c r="F130" s="71">
        <v>0.0</v>
      </c>
      <c r="G130" s="71">
        <v>0.0</v>
      </c>
      <c r="H130" s="71">
        <v>0.0</v>
      </c>
      <c r="I130" s="71">
        <v>15.0</v>
      </c>
      <c r="J130" s="71">
        <v>8.0</v>
      </c>
      <c r="K130" s="71">
        <v>0.0</v>
      </c>
      <c r="L130" s="71">
        <v>0.0</v>
      </c>
      <c r="M130" s="71">
        <v>0.0</v>
      </c>
      <c r="N130" s="71">
        <v>1.0</v>
      </c>
      <c r="O130" s="71">
        <v>0.0</v>
      </c>
      <c r="P130" s="71">
        <v>0.0</v>
      </c>
      <c r="Q130" s="71">
        <v>0.0</v>
      </c>
      <c r="R130" s="71">
        <v>0.0</v>
      </c>
      <c r="S130" s="71">
        <v>0.0</v>
      </c>
      <c r="T130" s="71">
        <v>0.0</v>
      </c>
      <c r="U130" s="71">
        <v>0.0</v>
      </c>
      <c r="V130" s="71">
        <v>0.0</v>
      </c>
      <c r="W130" s="71">
        <v>1.0</v>
      </c>
      <c r="X130" s="71">
        <v>1.0</v>
      </c>
      <c r="Y130" s="71">
        <v>1.0</v>
      </c>
      <c r="Z130" s="71">
        <v>0.0</v>
      </c>
      <c r="AA130" s="71">
        <v>0.0</v>
      </c>
      <c r="AB130" s="71">
        <v>0.0</v>
      </c>
      <c r="AC130" s="71">
        <v>0.0</v>
      </c>
      <c r="AD130" s="6">
        <f t="shared" si="36"/>
        <v>34</v>
      </c>
    </row>
    <row r="131" ht="12.75" customHeight="1">
      <c r="A131" s="18"/>
      <c r="B131" s="54">
        <v>2.0</v>
      </c>
      <c r="C131" s="55" t="s">
        <v>111</v>
      </c>
      <c r="D131" s="56"/>
      <c r="E131" s="71">
        <v>0.0</v>
      </c>
      <c r="F131" s="71">
        <v>0.0</v>
      </c>
      <c r="G131" s="71">
        <v>0.0</v>
      </c>
      <c r="H131" s="71">
        <v>0.0</v>
      </c>
      <c r="I131" s="71">
        <v>1.0</v>
      </c>
      <c r="J131" s="71">
        <v>0.0</v>
      </c>
      <c r="K131" s="71">
        <v>0.0</v>
      </c>
      <c r="L131" s="71">
        <v>0.0</v>
      </c>
      <c r="M131" s="71">
        <v>0.0</v>
      </c>
      <c r="N131" s="71">
        <v>0.0</v>
      </c>
      <c r="O131" s="71">
        <v>0.0</v>
      </c>
      <c r="P131" s="71">
        <v>0.0</v>
      </c>
      <c r="Q131" s="71">
        <v>0.0</v>
      </c>
      <c r="R131" s="71">
        <v>0.0</v>
      </c>
      <c r="S131" s="71">
        <v>0.0</v>
      </c>
      <c r="T131" s="71">
        <v>0.0</v>
      </c>
      <c r="U131" s="71">
        <v>0.0</v>
      </c>
      <c r="V131" s="71">
        <v>0.0</v>
      </c>
      <c r="W131" s="71">
        <v>0.0</v>
      </c>
      <c r="X131" s="71">
        <v>3.0</v>
      </c>
      <c r="Y131" s="71">
        <v>0.0</v>
      </c>
      <c r="Z131" s="71">
        <v>0.0</v>
      </c>
      <c r="AA131" s="71">
        <v>0.0</v>
      </c>
      <c r="AB131" s="71">
        <v>0.0</v>
      </c>
      <c r="AC131" s="71">
        <v>0.0</v>
      </c>
      <c r="AD131" s="6">
        <f t="shared" si="36"/>
        <v>4</v>
      </c>
    </row>
    <row r="132" ht="12.75" customHeight="1">
      <c r="A132" s="18"/>
      <c r="B132" s="54">
        <v>3.0</v>
      </c>
      <c r="C132" s="55" t="s">
        <v>112</v>
      </c>
      <c r="D132" s="56"/>
      <c r="E132" s="71">
        <v>0.0</v>
      </c>
      <c r="F132" s="71">
        <v>0.0</v>
      </c>
      <c r="G132" s="71">
        <v>0.0</v>
      </c>
      <c r="H132" s="71">
        <v>0.0</v>
      </c>
      <c r="I132" s="71">
        <v>0.0</v>
      </c>
      <c r="J132" s="71">
        <v>0.0</v>
      </c>
      <c r="K132" s="71">
        <v>0.0</v>
      </c>
      <c r="L132" s="71">
        <v>0.0</v>
      </c>
      <c r="M132" s="71">
        <v>0.0</v>
      </c>
      <c r="N132" s="71">
        <v>0.0</v>
      </c>
      <c r="O132" s="71">
        <v>0.0</v>
      </c>
      <c r="P132" s="71">
        <v>0.0</v>
      </c>
      <c r="Q132" s="71">
        <v>0.0</v>
      </c>
      <c r="R132" s="71">
        <v>0.0</v>
      </c>
      <c r="S132" s="71">
        <v>0.0</v>
      </c>
      <c r="T132" s="71">
        <v>0.0</v>
      </c>
      <c r="U132" s="71">
        <v>0.0</v>
      </c>
      <c r="V132" s="71">
        <v>0.0</v>
      </c>
      <c r="W132" s="71">
        <v>0.0</v>
      </c>
      <c r="X132" s="71">
        <v>0.0</v>
      </c>
      <c r="Y132" s="71">
        <v>0.0</v>
      </c>
      <c r="Z132" s="71">
        <v>0.0</v>
      </c>
      <c r="AA132" s="71">
        <v>0.0</v>
      </c>
      <c r="AB132" s="71">
        <v>0.0</v>
      </c>
      <c r="AC132" s="71">
        <v>0.0</v>
      </c>
      <c r="AD132" s="6">
        <f t="shared" si="36"/>
        <v>0</v>
      </c>
    </row>
    <row r="133" ht="12.75" customHeight="1">
      <c r="A133" s="18"/>
      <c r="B133" s="54">
        <v>4.0</v>
      </c>
      <c r="C133" s="55" t="s">
        <v>113</v>
      </c>
      <c r="D133" s="56"/>
      <c r="E133" s="71">
        <v>0.0</v>
      </c>
      <c r="F133" s="71">
        <v>0.0</v>
      </c>
      <c r="G133" s="71">
        <v>0.0</v>
      </c>
      <c r="H133" s="71">
        <v>0.0</v>
      </c>
      <c r="I133" s="71">
        <v>0.0</v>
      </c>
      <c r="J133" s="71">
        <v>0.0</v>
      </c>
      <c r="K133" s="71">
        <v>0.0</v>
      </c>
      <c r="L133" s="71">
        <v>0.0</v>
      </c>
      <c r="M133" s="71">
        <v>0.0</v>
      </c>
      <c r="N133" s="71">
        <v>0.0</v>
      </c>
      <c r="O133" s="71">
        <v>0.0</v>
      </c>
      <c r="P133" s="71">
        <v>0.0</v>
      </c>
      <c r="Q133" s="71">
        <v>0.0</v>
      </c>
      <c r="R133" s="71">
        <v>0.0</v>
      </c>
      <c r="S133" s="71">
        <v>0.0</v>
      </c>
      <c r="T133" s="71">
        <v>0.0</v>
      </c>
      <c r="U133" s="71">
        <v>0.0</v>
      </c>
      <c r="V133" s="71">
        <v>0.0</v>
      </c>
      <c r="W133" s="71">
        <v>0.0</v>
      </c>
      <c r="X133" s="71">
        <v>1.0</v>
      </c>
      <c r="Y133" s="71">
        <v>0.0</v>
      </c>
      <c r="Z133" s="71">
        <v>0.0</v>
      </c>
      <c r="AA133" s="71">
        <v>0.0</v>
      </c>
      <c r="AB133" s="71">
        <v>0.0</v>
      </c>
      <c r="AC133" s="71">
        <v>0.0</v>
      </c>
      <c r="AD133" s="6">
        <f t="shared" si="36"/>
        <v>1</v>
      </c>
    </row>
    <row r="134" ht="12.75" customHeight="1">
      <c r="A134" s="18"/>
      <c r="B134" s="54">
        <v>5.0</v>
      </c>
      <c r="C134" s="55" t="s">
        <v>114</v>
      </c>
      <c r="D134" s="56"/>
      <c r="E134" s="71">
        <v>0.0</v>
      </c>
      <c r="F134" s="71">
        <v>0.0</v>
      </c>
      <c r="G134" s="71">
        <v>0.0</v>
      </c>
      <c r="H134" s="71">
        <v>0.0</v>
      </c>
      <c r="I134" s="71">
        <v>0.0</v>
      </c>
      <c r="J134" s="71">
        <v>0.0</v>
      </c>
      <c r="K134" s="71">
        <v>0.0</v>
      </c>
      <c r="L134" s="71">
        <v>0.0</v>
      </c>
      <c r="M134" s="71">
        <v>0.0</v>
      </c>
      <c r="N134" s="71">
        <v>0.0</v>
      </c>
      <c r="O134" s="71">
        <v>0.0</v>
      </c>
      <c r="P134" s="71">
        <v>0.0</v>
      </c>
      <c r="Q134" s="71">
        <v>0.0</v>
      </c>
      <c r="R134" s="71">
        <v>0.0</v>
      </c>
      <c r="S134" s="71">
        <v>0.0</v>
      </c>
      <c r="T134" s="71">
        <v>0.0</v>
      </c>
      <c r="U134" s="71">
        <v>0.0</v>
      </c>
      <c r="V134" s="71">
        <v>0.0</v>
      </c>
      <c r="W134" s="71">
        <v>0.0</v>
      </c>
      <c r="X134" s="71">
        <v>0.0</v>
      </c>
      <c r="Y134" s="71">
        <v>0.0</v>
      </c>
      <c r="Z134" s="71">
        <v>0.0</v>
      </c>
      <c r="AA134" s="71">
        <v>0.0</v>
      </c>
      <c r="AB134" s="71">
        <v>0.0</v>
      </c>
      <c r="AC134" s="71">
        <v>0.0</v>
      </c>
      <c r="AD134" s="6">
        <f t="shared" si="36"/>
        <v>0</v>
      </c>
    </row>
    <row r="135" ht="12.75" customHeight="1">
      <c r="A135" s="18"/>
      <c r="B135" s="54">
        <v>6.0</v>
      </c>
      <c r="C135" s="55" t="s">
        <v>115</v>
      </c>
      <c r="D135" s="56"/>
      <c r="E135" s="71">
        <v>0.0</v>
      </c>
      <c r="F135" s="71">
        <v>0.0</v>
      </c>
      <c r="G135" s="71">
        <v>0.0</v>
      </c>
      <c r="H135" s="71">
        <v>0.0</v>
      </c>
      <c r="I135" s="71">
        <v>0.0</v>
      </c>
      <c r="J135" s="71">
        <v>0.0</v>
      </c>
      <c r="K135" s="71">
        <v>0.0</v>
      </c>
      <c r="L135" s="71">
        <v>0.0</v>
      </c>
      <c r="M135" s="71">
        <v>0.0</v>
      </c>
      <c r="N135" s="71">
        <v>0.0</v>
      </c>
      <c r="O135" s="71">
        <v>0.0</v>
      </c>
      <c r="P135" s="71">
        <v>0.0</v>
      </c>
      <c r="Q135" s="71">
        <v>0.0</v>
      </c>
      <c r="R135" s="71">
        <v>0.0</v>
      </c>
      <c r="S135" s="71">
        <v>0.0</v>
      </c>
      <c r="T135" s="71">
        <v>0.0</v>
      </c>
      <c r="U135" s="71">
        <v>0.0</v>
      </c>
      <c r="V135" s="71">
        <v>0.0</v>
      </c>
      <c r="W135" s="71">
        <v>0.0</v>
      </c>
      <c r="X135" s="71">
        <v>0.0</v>
      </c>
      <c r="Y135" s="71">
        <v>0.0</v>
      </c>
      <c r="Z135" s="71">
        <v>0.0</v>
      </c>
      <c r="AA135" s="71">
        <v>0.0</v>
      </c>
      <c r="AB135" s="71">
        <v>0.0</v>
      </c>
      <c r="AC135" s="71">
        <v>0.0</v>
      </c>
      <c r="AD135" s="6">
        <f t="shared" si="36"/>
        <v>0</v>
      </c>
    </row>
    <row r="136" ht="12.75" customHeight="1">
      <c r="A136" s="13" t="s">
        <v>15</v>
      </c>
      <c r="B136" s="51" t="s">
        <v>46</v>
      </c>
      <c r="C136" s="8"/>
      <c r="D136" s="9"/>
      <c r="E136" s="57">
        <f t="shared" ref="E136:AC136" si="37">SUM(E129:E135)</f>
        <v>9</v>
      </c>
      <c r="F136" s="57">
        <f t="shared" si="37"/>
        <v>2</v>
      </c>
      <c r="G136" s="57">
        <f t="shared" si="37"/>
        <v>0</v>
      </c>
      <c r="H136" s="57">
        <f t="shared" si="37"/>
        <v>1</v>
      </c>
      <c r="I136" s="57">
        <f t="shared" si="37"/>
        <v>19</v>
      </c>
      <c r="J136" s="57">
        <f t="shared" si="37"/>
        <v>10</v>
      </c>
      <c r="K136" s="57">
        <f t="shared" si="37"/>
        <v>1</v>
      </c>
      <c r="L136" s="57">
        <f t="shared" si="37"/>
        <v>0</v>
      </c>
      <c r="M136" s="57">
        <f t="shared" si="37"/>
        <v>0</v>
      </c>
      <c r="N136" s="57">
        <f t="shared" si="37"/>
        <v>1</v>
      </c>
      <c r="O136" s="57">
        <f t="shared" si="37"/>
        <v>0</v>
      </c>
      <c r="P136" s="57">
        <f t="shared" si="37"/>
        <v>0</v>
      </c>
      <c r="Q136" s="57">
        <f t="shared" si="37"/>
        <v>0</v>
      </c>
      <c r="R136" s="57">
        <f t="shared" si="37"/>
        <v>0</v>
      </c>
      <c r="S136" s="57">
        <f t="shared" si="37"/>
        <v>0</v>
      </c>
      <c r="T136" s="57">
        <f t="shared" si="37"/>
        <v>0</v>
      </c>
      <c r="U136" s="57">
        <f t="shared" si="37"/>
        <v>2</v>
      </c>
      <c r="V136" s="57">
        <f t="shared" si="37"/>
        <v>1</v>
      </c>
      <c r="W136" s="57">
        <f t="shared" si="37"/>
        <v>1</v>
      </c>
      <c r="X136" s="57">
        <f t="shared" si="37"/>
        <v>7</v>
      </c>
      <c r="Y136" s="57">
        <f t="shared" si="37"/>
        <v>1</v>
      </c>
      <c r="Z136" s="57">
        <f t="shared" si="37"/>
        <v>0</v>
      </c>
      <c r="AA136" s="57">
        <f t="shared" si="37"/>
        <v>0</v>
      </c>
      <c r="AB136" s="57">
        <f t="shared" si="37"/>
        <v>0</v>
      </c>
      <c r="AC136" s="57">
        <f t="shared" si="37"/>
        <v>0</v>
      </c>
      <c r="AD136" s="6">
        <f t="shared" si="36"/>
        <v>55</v>
      </c>
    </row>
    <row r="137" ht="12.75" customHeight="1">
      <c r="A137" s="68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"/>
    </row>
    <row r="138" ht="12.75" customHeight="1">
      <c r="A138" s="33" t="s">
        <v>37</v>
      </c>
      <c r="B138" s="51" t="s">
        <v>116</v>
      </c>
      <c r="C138" s="52" t="s">
        <v>117</v>
      </c>
      <c r="D138" s="9"/>
      <c r="E138" s="71">
        <v>0.0</v>
      </c>
      <c r="F138" s="71">
        <v>0.0</v>
      </c>
      <c r="G138" s="71">
        <v>1.0</v>
      </c>
      <c r="H138" s="71">
        <v>0.0</v>
      </c>
      <c r="I138" s="71">
        <v>0.0</v>
      </c>
      <c r="J138" s="71">
        <v>2.0</v>
      </c>
      <c r="K138" s="71">
        <v>0.0</v>
      </c>
      <c r="L138" s="71">
        <v>0.0</v>
      </c>
      <c r="M138" s="71">
        <v>0.0</v>
      </c>
      <c r="N138" s="71">
        <v>1.0</v>
      </c>
      <c r="O138" s="71">
        <v>0.0</v>
      </c>
      <c r="P138" s="71">
        <v>0.0</v>
      </c>
      <c r="Q138" s="71">
        <v>0.0</v>
      </c>
      <c r="R138" s="71">
        <v>0.0</v>
      </c>
      <c r="S138" s="71">
        <v>0.0</v>
      </c>
      <c r="T138" s="71">
        <v>1.0</v>
      </c>
      <c r="U138" s="71">
        <v>0.0</v>
      </c>
      <c r="V138" s="71">
        <v>1.0</v>
      </c>
      <c r="W138" s="71">
        <v>0.0</v>
      </c>
      <c r="X138" s="71">
        <v>0.0</v>
      </c>
      <c r="Y138" s="71">
        <v>0.0</v>
      </c>
      <c r="Z138" s="71">
        <v>0.0</v>
      </c>
      <c r="AA138" s="71">
        <v>0.0</v>
      </c>
      <c r="AB138" s="71">
        <v>0.0</v>
      </c>
      <c r="AC138" s="71">
        <v>0.0</v>
      </c>
      <c r="AD138" s="6">
        <f t="shared" ref="AD138:AD144" si="38">SUM(E138:AC138)</f>
        <v>6</v>
      </c>
    </row>
    <row r="139" ht="12.75" customHeight="1">
      <c r="A139" s="33" t="s">
        <v>39</v>
      </c>
      <c r="B139" s="54">
        <v>1.0</v>
      </c>
      <c r="C139" s="55" t="s">
        <v>118</v>
      </c>
      <c r="D139" s="56"/>
      <c r="E139" s="71">
        <v>1.0</v>
      </c>
      <c r="F139" s="71">
        <v>0.0</v>
      </c>
      <c r="G139" s="71">
        <v>1.0</v>
      </c>
      <c r="H139" s="71">
        <v>0.0</v>
      </c>
      <c r="I139" s="71">
        <v>0.0</v>
      </c>
      <c r="J139" s="71">
        <v>0.0</v>
      </c>
      <c r="K139" s="71">
        <v>0.0</v>
      </c>
      <c r="L139" s="71">
        <v>0.0</v>
      </c>
      <c r="M139" s="71">
        <v>0.0</v>
      </c>
      <c r="N139" s="71">
        <v>0.0</v>
      </c>
      <c r="O139" s="71">
        <v>0.0</v>
      </c>
      <c r="P139" s="71">
        <v>0.0</v>
      </c>
      <c r="Q139" s="71">
        <v>0.0</v>
      </c>
      <c r="R139" s="71">
        <v>0.0</v>
      </c>
      <c r="S139" s="71">
        <v>0.0</v>
      </c>
      <c r="T139" s="71">
        <v>0.0</v>
      </c>
      <c r="U139" s="71">
        <v>0.0</v>
      </c>
      <c r="V139" s="71">
        <v>0.0</v>
      </c>
      <c r="W139" s="71">
        <v>0.0</v>
      </c>
      <c r="X139" s="71">
        <v>0.0</v>
      </c>
      <c r="Y139" s="71">
        <v>0.0</v>
      </c>
      <c r="Z139" s="71">
        <v>0.0</v>
      </c>
      <c r="AA139" s="71">
        <v>0.0</v>
      </c>
      <c r="AB139" s="71">
        <v>0.0</v>
      </c>
      <c r="AC139" s="71">
        <v>0.0</v>
      </c>
      <c r="AD139" s="6">
        <f t="shared" si="38"/>
        <v>2</v>
      </c>
    </row>
    <row r="140" ht="12.75" customHeight="1">
      <c r="A140" s="18"/>
      <c r="B140" s="54">
        <v>2.0</v>
      </c>
      <c r="C140" s="55" t="s">
        <v>119</v>
      </c>
      <c r="D140" s="56"/>
      <c r="E140" s="71">
        <v>0.0</v>
      </c>
      <c r="F140" s="71">
        <v>0.0</v>
      </c>
      <c r="G140" s="71">
        <v>0.0</v>
      </c>
      <c r="H140" s="71">
        <v>0.0</v>
      </c>
      <c r="I140" s="71">
        <v>0.0</v>
      </c>
      <c r="J140" s="71">
        <v>7.0</v>
      </c>
      <c r="K140" s="71">
        <v>0.0</v>
      </c>
      <c r="L140" s="71">
        <v>0.0</v>
      </c>
      <c r="M140" s="71">
        <v>0.0</v>
      </c>
      <c r="N140" s="71">
        <v>0.0</v>
      </c>
      <c r="O140" s="71">
        <v>0.0</v>
      </c>
      <c r="P140" s="71">
        <v>0.0</v>
      </c>
      <c r="Q140" s="71">
        <v>0.0</v>
      </c>
      <c r="R140" s="71">
        <v>0.0</v>
      </c>
      <c r="S140" s="71">
        <v>0.0</v>
      </c>
      <c r="T140" s="71">
        <v>0.0</v>
      </c>
      <c r="U140" s="71">
        <v>1.0</v>
      </c>
      <c r="V140" s="71">
        <v>0.0</v>
      </c>
      <c r="W140" s="71">
        <v>0.0</v>
      </c>
      <c r="X140" s="71">
        <v>0.0</v>
      </c>
      <c r="Y140" s="71">
        <v>0.0</v>
      </c>
      <c r="Z140" s="71">
        <v>0.0</v>
      </c>
      <c r="AA140" s="71">
        <v>0.0</v>
      </c>
      <c r="AB140" s="71">
        <v>0.0</v>
      </c>
      <c r="AC140" s="71">
        <v>0.0</v>
      </c>
      <c r="AD140" s="6">
        <f t="shared" si="38"/>
        <v>8</v>
      </c>
    </row>
    <row r="141" ht="12.75" customHeight="1">
      <c r="A141" s="18"/>
      <c r="B141" s="54">
        <v>3.0</v>
      </c>
      <c r="C141" s="55" t="s">
        <v>120</v>
      </c>
      <c r="D141" s="56"/>
      <c r="E141" s="71">
        <v>1.0</v>
      </c>
      <c r="F141" s="71">
        <v>0.0</v>
      </c>
      <c r="G141" s="71">
        <v>0.0</v>
      </c>
      <c r="H141" s="71">
        <v>0.0</v>
      </c>
      <c r="I141" s="71">
        <v>0.0</v>
      </c>
      <c r="J141" s="71">
        <v>0.0</v>
      </c>
      <c r="K141" s="71">
        <v>0.0</v>
      </c>
      <c r="L141" s="71">
        <v>0.0</v>
      </c>
      <c r="M141" s="71">
        <v>0.0</v>
      </c>
      <c r="N141" s="71">
        <v>0.0</v>
      </c>
      <c r="O141" s="71">
        <v>0.0</v>
      </c>
      <c r="P141" s="71">
        <v>0.0</v>
      </c>
      <c r="Q141" s="71">
        <v>0.0</v>
      </c>
      <c r="R141" s="71">
        <v>0.0</v>
      </c>
      <c r="S141" s="71">
        <v>0.0</v>
      </c>
      <c r="T141" s="71">
        <v>0.0</v>
      </c>
      <c r="U141" s="71">
        <v>0.0</v>
      </c>
      <c r="V141" s="71">
        <v>0.0</v>
      </c>
      <c r="W141" s="71">
        <v>0.0</v>
      </c>
      <c r="X141" s="71">
        <v>0.0</v>
      </c>
      <c r="Y141" s="71">
        <v>0.0</v>
      </c>
      <c r="Z141" s="71">
        <v>0.0</v>
      </c>
      <c r="AA141" s="71">
        <v>0.0</v>
      </c>
      <c r="AB141" s="71">
        <v>0.0</v>
      </c>
      <c r="AC141" s="71">
        <v>0.0</v>
      </c>
      <c r="AD141" s="6">
        <f t="shared" si="38"/>
        <v>1</v>
      </c>
    </row>
    <row r="142" ht="12.75" customHeight="1">
      <c r="A142" s="18"/>
      <c r="B142" s="54">
        <v>4.0</v>
      </c>
      <c r="C142" s="55" t="s">
        <v>121</v>
      </c>
      <c r="D142" s="56"/>
      <c r="E142" s="71">
        <v>0.0</v>
      </c>
      <c r="F142" s="71">
        <v>0.0</v>
      </c>
      <c r="G142" s="71">
        <v>0.0</v>
      </c>
      <c r="H142" s="71">
        <v>0.0</v>
      </c>
      <c r="I142" s="71">
        <v>0.0</v>
      </c>
      <c r="J142" s="71">
        <v>0.0</v>
      </c>
      <c r="K142" s="71">
        <v>0.0</v>
      </c>
      <c r="L142" s="71">
        <v>0.0</v>
      </c>
      <c r="M142" s="71">
        <v>0.0</v>
      </c>
      <c r="N142" s="71">
        <v>0.0</v>
      </c>
      <c r="O142" s="71">
        <v>0.0</v>
      </c>
      <c r="P142" s="71">
        <v>0.0</v>
      </c>
      <c r="Q142" s="71">
        <v>0.0</v>
      </c>
      <c r="R142" s="71">
        <v>0.0</v>
      </c>
      <c r="S142" s="71">
        <v>0.0</v>
      </c>
      <c r="T142" s="71">
        <v>0.0</v>
      </c>
      <c r="U142" s="71">
        <v>0.0</v>
      </c>
      <c r="V142" s="71">
        <v>0.0</v>
      </c>
      <c r="W142" s="71">
        <v>0.0</v>
      </c>
      <c r="X142" s="71">
        <v>0.0</v>
      </c>
      <c r="Y142" s="71">
        <v>0.0</v>
      </c>
      <c r="Z142" s="71">
        <v>0.0</v>
      </c>
      <c r="AA142" s="71">
        <v>0.0</v>
      </c>
      <c r="AB142" s="71">
        <v>0.0</v>
      </c>
      <c r="AC142" s="71">
        <v>0.0</v>
      </c>
      <c r="AD142" s="6">
        <f t="shared" si="38"/>
        <v>0</v>
      </c>
    </row>
    <row r="143" ht="12.75" customHeight="1">
      <c r="A143" s="18"/>
      <c r="B143" s="54">
        <v>5.0</v>
      </c>
      <c r="C143" s="55" t="s">
        <v>122</v>
      </c>
      <c r="D143" s="56"/>
      <c r="E143" s="71">
        <v>0.0</v>
      </c>
      <c r="F143" s="71">
        <v>0.0</v>
      </c>
      <c r="G143" s="71">
        <v>0.0</v>
      </c>
      <c r="H143" s="71">
        <v>0.0</v>
      </c>
      <c r="I143" s="71">
        <v>0.0</v>
      </c>
      <c r="J143" s="71">
        <v>0.0</v>
      </c>
      <c r="K143" s="71">
        <v>0.0</v>
      </c>
      <c r="L143" s="71">
        <v>0.0</v>
      </c>
      <c r="M143" s="71">
        <v>0.0</v>
      </c>
      <c r="N143" s="71">
        <v>0.0</v>
      </c>
      <c r="O143" s="71">
        <v>0.0</v>
      </c>
      <c r="P143" s="71">
        <v>0.0</v>
      </c>
      <c r="Q143" s="71">
        <v>0.0</v>
      </c>
      <c r="R143" s="71">
        <v>0.0</v>
      </c>
      <c r="S143" s="71">
        <v>0.0</v>
      </c>
      <c r="T143" s="71">
        <v>0.0</v>
      </c>
      <c r="U143" s="71">
        <v>0.0</v>
      </c>
      <c r="V143" s="71">
        <v>1.0</v>
      </c>
      <c r="W143" s="71">
        <v>0.0</v>
      </c>
      <c r="X143" s="71">
        <v>0.0</v>
      </c>
      <c r="Y143" s="71">
        <v>0.0</v>
      </c>
      <c r="Z143" s="71">
        <v>0.0</v>
      </c>
      <c r="AA143" s="71">
        <v>0.0</v>
      </c>
      <c r="AB143" s="71">
        <v>0.0</v>
      </c>
      <c r="AC143" s="71">
        <v>0.0</v>
      </c>
      <c r="AD143" s="6">
        <f t="shared" si="38"/>
        <v>1</v>
      </c>
    </row>
    <row r="144" ht="12.75" customHeight="1">
      <c r="A144" s="13" t="s">
        <v>15</v>
      </c>
      <c r="B144" s="51" t="s">
        <v>46</v>
      </c>
      <c r="C144" s="8"/>
      <c r="D144" s="9"/>
      <c r="E144" s="57">
        <f t="shared" ref="E144:AC144" si="39">SUM(E138:E143)</f>
        <v>2</v>
      </c>
      <c r="F144" s="57">
        <f t="shared" si="39"/>
        <v>0</v>
      </c>
      <c r="G144" s="57">
        <f t="shared" si="39"/>
        <v>2</v>
      </c>
      <c r="H144" s="57">
        <f t="shared" si="39"/>
        <v>0</v>
      </c>
      <c r="I144" s="57">
        <f t="shared" si="39"/>
        <v>0</v>
      </c>
      <c r="J144" s="57">
        <f t="shared" si="39"/>
        <v>9</v>
      </c>
      <c r="K144" s="57">
        <f t="shared" si="39"/>
        <v>0</v>
      </c>
      <c r="L144" s="57">
        <f t="shared" si="39"/>
        <v>0</v>
      </c>
      <c r="M144" s="57">
        <f t="shared" si="39"/>
        <v>0</v>
      </c>
      <c r="N144" s="57">
        <f t="shared" si="39"/>
        <v>1</v>
      </c>
      <c r="O144" s="57">
        <f t="shared" si="39"/>
        <v>0</v>
      </c>
      <c r="P144" s="57">
        <f t="shared" si="39"/>
        <v>0</v>
      </c>
      <c r="Q144" s="57">
        <f t="shared" si="39"/>
        <v>0</v>
      </c>
      <c r="R144" s="57">
        <f t="shared" si="39"/>
        <v>0</v>
      </c>
      <c r="S144" s="57">
        <f t="shared" si="39"/>
        <v>0</v>
      </c>
      <c r="T144" s="57">
        <f t="shared" si="39"/>
        <v>1</v>
      </c>
      <c r="U144" s="57">
        <f t="shared" si="39"/>
        <v>1</v>
      </c>
      <c r="V144" s="57">
        <f t="shared" si="39"/>
        <v>2</v>
      </c>
      <c r="W144" s="57">
        <f t="shared" si="39"/>
        <v>0</v>
      </c>
      <c r="X144" s="57">
        <f t="shared" si="39"/>
        <v>0</v>
      </c>
      <c r="Y144" s="57">
        <f t="shared" si="39"/>
        <v>0</v>
      </c>
      <c r="Z144" s="57">
        <f t="shared" si="39"/>
        <v>0</v>
      </c>
      <c r="AA144" s="57">
        <f t="shared" si="39"/>
        <v>0</v>
      </c>
      <c r="AB144" s="57">
        <f t="shared" si="39"/>
        <v>0</v>
      </c>
      <c r="AC144" s="57">
        <f t="shared" si="39"/>
        <v>0</v>
      </c>
      <c r="AD144" s="6">
        <f t="shared" si="38"/>
        <v>18</v>
      </c>
    </row>
    <row r="145" ht="12.75" customHeight="1">
      <c r="A145" s="68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"/>
    </row>
    <row r="146" ht="12.75" customHeight="1">
      <c r="A146" s="33" t="s">
        <v>37</v>
      </c>
      <c r="B146" s="51" t="s">
        <v>123</v>
      </c>
      <c r="C146" s="52" t="s">
        <v>124</v>
      </c>
      <c r="D146" s="9"/>
      <c r="E146" s="71">
        <v>4.0</v>
      </c>
      <c r="F146" s="71">
        <v>0.0</v>
      </c>
      <c r="G146" s="71">
        <v>0.0</v>
      </c>
      <c r="H146" s="71">
        <v>2.0</v>
      </c>
      <c r="I146" s="71">
        <v>0.0</v>
      </c>
      <c r="J146" s="71">
        <v>2.0</v>
      </c>
      <c r="K146" s="71">
        <v>0.0</v>
      </c>
      <c r="L146" s="71">
        <v>0.0</v>
      </c>
      <c r="M146" s="71">
        <v>2.0</v>
      </c>
      <c r="N146" s="71">
        <v>0.0</v>
      </c>
      <c r="O146" s="71">
        <v>0.0</v>
      </c>
      <c r="P146" s="71">
        <v>0.0</v>
      </c>
      <c r="Q146" s="71">
        <v>1.0</v>
      </c>
      <c r="R146" s="71">
        <v>0.0</v>
      </c>
      <c r="S146" s="71">
        <v>4.0</v>
      </c>
      <c r="T146" s="71">
        <v>1.0</v>
      </c>
      <c r="U146" s="71">
        <v>0.0</v>
      </c>
      <c r="V146" s="71">
        <v>0.0</v>
      </c>
      <c r="W146" s="71">
        <v>4.0</v>
      </c>
      <c r="X146" s="71">
        <v>6.0</v>
      </c>
      <c r="Y146" s="71">
        <v>2.0</v>
      </c>
      <c r="Z146" s="71">
        <v>3.0</v>
      </c>
      <c r="AA146" s="71">
        <v>3.0</v>
      </c>
      <c r="AB146" s="71">
        <v>0.0</v>
      </c>
      <c r="AC146" s="71">
        <v>1.0</v>
      </c>
      <c r="AD146" s="6">
        <f t="shared" ref="AD146:AD153" si="40">SUM(E146:AC146)</f>
        <v>35</v>
      </c>
    </row>
    <row r="147" ht="12.75" customHeight="1">
      <c r="A147" s="33" t="s">
        <v>39</v>
      </c>
      <c r="B147" s="54">
        <v>1.0</v>
      </c>
      <c r="C147" s="55" t="s">
        <v>125</v>
      </c>
      <c r="D147" s="56"/>
      <c r="E147" s="71">
        <v>0.0</v>
      </c>
      <c r="F147" s="71">
        <v>0.0</v>
      </c>
      <c r="G147" s="71">
        <v>0.0</v>
      </c>
      <c r="H147" s="71">
        <v>0.0</v>
      </c>
      <c r="I147" s="71">
        <v>4.0</v>
      </c>
      <c r="J147" s="71">
        <v>0.0</v>
      </c>
      <c r="K147" s="71">
        <v>0.0</v>
      </c>
      <c r="L147" s="71">
        <v>2.0</v>
      </c>
      <c r="M147" s="71">
        <v>0.0</v>
      </c>
      <c r="N147" s="71">
        <v>1.0</v>
      </c>
      <c r="O147" s="71">
        <v>0.0</v>
      </c>
      <c r="P147" s="71">
        <v>3.0</v>
      </c>
      <c r="Q147" s="71">
        <v>0.0</v>
      </c>
      <c r="R147" s="71">
        <v>1.0</v>
      </c>
      <c r="S147" s="71">
        <v>0.0</v>
      </c>
      <c r="T147" s="71">
        <v>1.0</v>
      </c>
      <c r="U147" s="71">
        <v>0.0</v>
      </c>
      <c r="V147" s="71">
        <v>1.0</v>
      </c>
      <c r="W147" s="71">
        <v>0.0</v>
      </c>
      <c r="X147" s="71">
        <v>2.0</v>
      </c>
      <c r="Y147" s="71">
        <v>1.0</v>
      </c>
      <c r="Z147" s="71">
        <v>0.0</v>
      </c>
      <c r="AA147" s="71">
        <v>0.0</v>
      </c>
      <c r="AB147" s="71">
        <v>0.0</v>
      </c>
      <c r="AC147" s="71">
        <v>0.0</v>
      </c>
      <c r="AD147" s="6">
        <f t="shared" si="40"/>
        <v>16</v>
      </c>
    </row>
    <row r="148" ht="12.75" customHeight="1">
      <c r="A148" s="18"/>
      <c r="B148" s="54">
        <v>2.0</v>
      </c>
      <c r="C148" s="55" t="s">
        <v>126</v>
      </c>
      <c r="D148" s="56"/>
      <c r="E148" s="71">
        <v>13.0</v>
      </c>
      <c r="F148" s="71">
        <v>2.0</v>
      </c>
      <c r="G148" s="71">
        <v>3.0</v>
      </c>
      <c r="H148" s="71">
        <v>6.0</v>
      </c>
      <c r="I148" s="71">
        <v>1.0</v>
      </c>
      <c r="J148" s="71">
        <v>0.0</v>
      </c>
      <c r="K148" s="71">
        <v>1.0</v>
      </c>
      <c r="L148" s="71">
        <v>2.0</v>
      </c>
      <c r="M148" s="71">
        <v>0.0</v>
      </c>
      <c r="N148" s="71">
        <v>19.0</v>
      </c>
      <c r="O148" s="71">
        <v>0.0</v>
      </c>
      <c r="P148" s="71">
        <v>1.0</v>
      </c>
      <c r="Q148" s="71">
        <v>26.0</v>
      </c>
      <c r="R148" s="71">
        <v>8.0</v>
      </c>
      <c r="S148" s="71">
        <v>2.0</v>
      </c>
      <c r="T148" s="71">
        <v>0.0</v>
      </c>
      <c r="U148" s="71">
        <v>2.0</v>
      </c>
      <c r="V148" s="71">
        <v>5.0</v>
      </c>
      <c r="W148" s="71">
        <v>12.0</v>
      </c>
      <c r="X148" s="71">
        <v>23.0</v>
      </c>
      <c r="Y148" s="71">
        <v>6.0</v>
      </c>
      <c r="Z148" s="71">
        <v>8.0</v>
      </c>
      <c r="AA148" s="71">
        <v>18.0</v>
      </c>
      <c r="AB148" s="71">
        <v>3.0</v>
      </c>
      <c r="AC148" s="71">
        <v>0.0</v>
      </c>
      <c r="AD148" s="6">
        <f t="shared" si="40"/>
        <v>161</v>
      </c>
    </row>
    <row r="149" ht="12.75" customHeight="1">
      <c r="A149" s="18"/>
      <c r="B149" s="54">
        <v>3.0</v>
      </c>
      <c r="C149" s="55" t="s">
        <v>127</v>
      </c>
      <c r="D149" s="56"/>
      <c r="E149" s="71">
        <v>0.0</v>
      </c>
      <c r="F149" s="71">
        <v>1.0</v>
      </c>
      <c r="G149" s="71">
        <v>0.0</v>
      </c>
      <c r="H149" s="71">
        <v>0.0</v>
      </c>
      <c r="I149" s="71">
        <v>0.0</v>
      </c>
      <c r="J149" s="71">
        <v>0.0</v>
      </c>
      <c r="K149" s="71">
        <v>0.0</v>
      </c>
      <c r="L149" s="71">
        <v>0.0</v>
      </c>
      <c r="M149" s="71">
        <v>0.0</v>
      </c>
      <c r="N149" s="71">
        <v>0.0</v>
      </c>
      <c r="O149" s="71">
        <v>0.0</v>
      </c>
      <c r="P149" s="71">
        <v>0.0</v>
      </c>
      <c r="Q149" s="71">
        <v>0.0</v>
      </c>
      <c r="R149" s="71">
        <v>0.0</v>
      </c>
      <c r="S149" s="71">
        <v>1.0</v>
      </c>
      <c r="T149" s="71">
        <v>0.0</v>
      </c>
      <c r="U149" s="71">
        <v>0.0</v>
      </c>
      <c r="V149" s="71">
        <v>0.0</v>
      </c>
      <c r="W149" s="71">
        <v>0.0</v>
      </c>
      <c r="X149" s="71">
        <v>0.0</v>
      </c>
      <c r="Y149" s="71">
        <v>0.0</v>
      </c>
      <c r="Z149" s="71">
        <v>0.0</v>
      </c>
      <c r="AA149" s="71">
        <v>0.0</v>
      </c>
      <c r="AB149" s="71">
        <v>0.0</v>
      </c>
      <c r="AC149" s="71">
        <v>0.0</v>
      </c>
      <c r="AD149" s="6">
        <f t="shared" si="40"/>
        <v>2</v>
      </c>
    </row>
    <row r="150" ht="12.75" customHeight="1">
      <c r="A150" s="18"/>
      <c r="B150" s="54">
        <v>4.0</v>
      </c>
      <c r="C150" s="55" t="s">
        <v>128</v>
      </c>
      <c r="D150" s="56"/>
      <c r="E150" s="71">
        <v>0.0</v>
      </c>
      <c r="F150" s="71">
        <v>0.0</v>
      </c>
      <c r="G150" s="71">
        <v>0.0</v>
      </c>
      <c r="H150" s="71">
        <v>0.0</v>
      </c>
      <c r="I150" s="71">
        <v>0.0</v>
      </c>
      <c r="J150" s="71">
        <v>0.0</v>
      </c>
      <c r="K150" s="71">
        <v>0.0</v>
      </c>
      <c r="L150" s="71">
        <v>0.0</v>
      </c>
      <c r="M150" s="71">
        <v>0.0</v>
      </c>
      <c r="N150" s="71">
        <v>0.0</v>
      </c>
      <c r="O150" s="71">
        <v>0.0</v>
      </c>
      <c r="P150" s="71">
        <v>0.0</v>
      </c>
      <c r="Q150" s="71">
        <v>0.0</v>
      </c>
      <c r="R150" s="71">
        <v>0.0</v>
      </c>
      <c r="S150" s="71">
        <v>0.0</v>
      </c>
      <c r="T150" s="71">
        <v>1.0</v>
      </c>
      <c r="U150" s="71">
        <v>0.0</v>
      </c>
      <c r="V150" s="71">
        <v>1.0</v>
      </c>
      <c r="W150" s="71">
        <v>1.0</v>
      </c>
      <c r="X150" s="71">
        <v>0.0</v>
      </c>
      <c r="Y150" s="71">
        <v>0.0</v>
      </c>
      <c r="Z150" s="71">
        <v>0.0</v>
      </c>
      <c r="AA150" s="71">
        <v>0.0</v>
      </c>
      <c r="AB150" s="71">
        <v>0.0</v>
      </c>
      <c r="AC150" s="71">
        <v>0.0</v>
      </c>
      <c r="AD150" s="6">
        <f t="shared" si="40"/>
        <v>3</v>
      </c>
    </row>
    <row r="151" ht="12.75" customHeight="1">
      <c r="A151" s="18"/>
      <c r="B151" s="54">
        <v>5.0</v>
      </c>
      <c r="C151" s="55" t="s">
        <v>129</v>
      </c>
      <c r="D151" s="56"/>
      <c r="E151" s="71">
        <v>0.0</v>
      </c>
      <c r="F151" s="71">
        <v>0.0</v>
      </c>
      <c r="G151" s="71">
        <v>0.0</v>
      </c>
      <c r="H151" s="71">
        <v>0.0</v>
      </c>
      <c r="I151" s="71">
        <v>0.0</v>
      </c>
      <c r="J151" s="71">
        <v>0.0</v>
      </c>
      <c r="K151" s="71">
        <v>0.0</v>
      </c>
      <c r="L151" s="71">
        <v>0.0</v>
      </c>
      <c r="M151" s="71">
        <v>0.0</v>
      </c>
      <c r="N151" s="71">
        <v>0.0</v>
      </c>
      <c r="O151" s="71">
        <v>0.0</v>
      </c>
      <c r="P151" s="71">
        <v>0.0</v>
      </c>
      <c r="Q151" s="71">
        <v>0.0</v>
      </c>
      <c r="R151" s="71">
        <v>0.0</v>
      </c>
      <c r="S151" s="71">
        <v>0.0</v>
      </c>
      <c r="T151" s="71">
        <v>0.0</v>
      </c>
      <c r="U151" s="71">
        <v>0.0</v>
      </c>
      <c r="V151" s="71">
        <v>0.0</v>
      </c>
      <c r="W151" s="71">
        <v>0.0</v>
      </c>
      <c r="X151" s="71">
        <v>0.0</v>
      </c>
      <c r="Y151" s="71">
        <v>1.0</v>
      </c>
      <c r="Z151" s="71">
        <v>1.0</v>
      </c>
      <c r="AA151" s="71">
        <v>0.0</v>
      </c>
      <c r="AB151" s="71">
        <v>0.0</v>
      </c>
      <c r="AC151" s="71">
        <v>0.0</v>
      </c>
      <c r="AD151" s="6">
        <f t="shared" si="40"/>
        <v>2</v>
      </c>
    </row>
    <row r="152" ht="12.75" customHeight="1">
      <c r="A152" s="18"/>
      <c r="B152" s="54">
        <v>6.0</v>
      </c>
      <c r="C152" s="55" t="s">
        <v>130</v>
      </c>
      <c r="D152" s="56"/>
      <c r="E152" s="71">
        <v>0.0</v>
      </c>
      <c r="F152" s="71">
        <v>0.0</v>
      </c>
      <c r="G152" s="71">
        <v>0.0</v>
      </c>
      <c r="H152" s="71">
        <v>1.0</v>
      </c>
      <c r="I152" s="71">
        <v>0.0</v>
      </c>
      <c r="J152" s="71">
        <v>0.0</v>
      </c>
      <c r="K152" s="71">
        <v>0.0</v>
      </c>
      <c r="L152" s="71">
        <v>0.0</v>
      </c>
      <c r="M152" s="71">
        <v>0.0</v>
      </c>
      <c r="N152" s="71">
        <v>0.0</v>
      </c>
      <c r="O152" s="71">
        <v>0.0</v>
      </c>
      <c r="P152" s="71">
        <v>0.0</v>
      </c>
      <c r="Q152" s="71">
        <v>0.0</v>
      </c>
      <c r="R152" s="71">
        <v>1.0</v>
      </c>
      <c r="S152" s="71">
        <v>0.0</v>
      </c>
      <c r="T152" s="71">
        <v>0.0</v>
      </c>
      <c r="U152" s="71">
        <v>0.0</v>
      </c>
      <c r="V152" s="71">
        <v>0.0</v>
      </c>
      <c r="W152" s="71">
        <v>0.0</v>
      </c>
      <c r="X152" s="71">
        <v>0.0</v>
      </c>
      <c r="Y152" s="71">
        <v>0.0</v>
      </c>
      <c r="Z152" s="71">
        <v>0.0</v>
      </c>
      <c r="AA152" s="71">
        <v>0.0</v>
      </c>
      <c r="AB152" s="71">
        <v>2.0</v>
      </c>
      <c r="AC152" s="71">
        <v>0.0</v>
      </c>
      <c r="AD152" s="6">
        <f t="shared" si="40"/>
        <v>4</v>
      </c>
    </row>
    <row r="153" ht="12.75" customHeight="1">
      <c r="A153" s="13" t="s">
        <v>15</v>
      </c>
      <c r="B153" s="51" t="s">
        <v>46</v>
      </c>
      <c r="C153" s="8"/>
      <c r="D153" s="9"/>
      <c r="E153" s="57">
        <f t="shared" ref="E153:AC153" si="41">SUM(E146:E152)</f>
        <v>17</v>
      </c>
      <c r="F153" s="57">
        <f t="shared" si="41"/>
        <v>3</v>
      </c>
      <c r="G153" s="57">
        <f t="shared" si="41"/>
        <v>3</v>
      </c>
      <c r="H153" s="57">
        <f t="shared" si="41"/>
        <v>9</v>
      </c>
      <c r="I153" s="57">
        <f t="shared" si="41"/>
        <v>5</v>
      </c>
      <c r="J153" s="57">
        <f t="shared" si="41"/>
        <v>2</v>
      </c>
      <c r="K153" s="57">
        <f t="shared" si="41"/>
        <v>1</v>
      </c>
      <c r="L153" s="57">
        <f t="shared" si="41"/>
        <v>4</v>
      </c>
      <c r="M153" s="57">
        <f t="shared" si="41"/>
        <v>2</v>
      </c>
      <c r="N153" s="57">
        <f t="shared" si="41"/>
        <v>20</v>
      </c>
      <c r="O153" s="57">
        <f t="shared" si="41"/>
        <v>0</v>
      </c>
      <c r="P153" s="57">
        <f t="shared" si="41"/>
        <v>4</v>
      </c>
      <c r="Q153" s="57">
        <f t="shared" si="41"/>
        <v>27</v>
      </c>
      <c r="R153" s="57">
        <f t="shared" si="41"/>
        <v>10</v>
      </c>
      <c r="S153" s="57">
        <f t="shared" si="41"/>
        <v>7</v>
      </c>
      <c r="T153" s="57">
        <f t="shared" si="41"/>
        <v>3</v>
      </c>
      <c r="U153" s="57">
        <f t="shared" si="41"/>
        <v>2</v>
      </c>
      <c r="V153" s="57">
        <f t="shared" si="41"/>
        <v>7</v>
      </c>
      <c r="W153" s="57">
        <f t="shared" si="41"/>
        <v>17</v>
      </c>
      <c r="X153" s="57">
        <f t="shared" si="41"/>
        <v>31</v>
      </c>
      <c r="Y153" s="57">
        <f t="shared" si="41"/>
        <v>10</v>
      </c>
      <c r="Z153" s="57">
        <f t="shared" si="41"/>
        <v>12</v>
      </c>
      <c r="AA153" s="57">
        <f t="shared" si="41"/>
        <v>21</v>
      </c>
      <c r="AB153" s="57">
        <f t="shared" si="41"/>
        <v>5</v>
      </c>
      <c r="AC153" s="57">
        <f t="shared" si="41"/>
        <v>1</v>
      </c>
      <c r="AD153" s="6">
        <f t="shared" si="40"/>
        <v>223</v>
      </c>
    </row>
    <row r="154" ht="12.75" customHeight="1">
      <c r="A154" s="68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"/>
    </row>
    <row r="155" ht="12.75" customHeight="1">
      <c r="A155" s="33" t="s">
        <v>37</v>
      </c>
      <c r="B155" s="51" t="s">
        <v>131</v>
      </c>
      <c r="C155" s="52" t="s">
        <v>132</v>
      </c>
      <c r="D155" s="9"/>
      <c r="E155" s="71">
        <v>0.0</v>
      </c>
      <c r="F155" s="71">
        <v>0.0</v>
      </c>
      <c r="G155" s="71">
        <v>2.0</v>
      </c>
      <c r="H155" s="71">
        <v>0.0</v>
      </c>
      <c r="I155" s="71">
        <v>1.0</v>
      </c>
      <c r="J155" s="71">
        <v>0.0</v>
      </c>
      <c r="K155" s="71">
        <v>1.0</v>
      </c>
      <c r="L155" s="71">
        <v>0.0</v>
      </c>
      <c r="M155" s="71">
        <v>0.0</v>
      </c>
      <c r="N155" s="71">
        <v>0.0</v>
      </c>
      <c r="O155" s="71">
        <v>0.0</v>
      </c>
      <c r="P155" s="71">
        <v>1.0</v>
      </c>
      <c r="Q155" s="71">
        <v>1.0</v>
      </c>
      <c r="R155" s="71">
        <v>0.0</v>
      </c>
      <c r="S155" s="71">
        <v>0.0</v>
      </c>
      <c r="T155" s="71">
        <v>0.0</v>
      </c>
      <c r="U155" s="71">
        <v>0.0</v>
      </c>
      <c r="V155" s="71">
        <v>1.0</v>
      </c>
      <c r="W155" s="71">
        <v>1.0</v>
      </c>
      <c r="X155" s="71">
        <v>0.0</v>
      </c>
      <c r="Y155" s="71">
        <v>0.0</v>
      </c>
      <c r="Z155" s="71">
        <v>0.0</v>
      </c>
      <c r="AA155" s="71">
        <v>0.0</v>
      </c>
      <c r="AB155" s="71">
        <v>1.0</v>
      </c>
      <c r="AC155" s="71">
        <v>0.0</v>
      </c>
      <c r="AD155" s="6">
        <f t="shared" ref="AD155:AD158" si="42">SUM(E155:AC155)</f>
        <v>9</v>
      </c>
    </row>
    <row r="156" ht="12.75" customHeight="1">
      <c r="A156" s="33" t="s">
        <v>39</v>
      </c>
      <c r="B156" s="54">
        <v>1.0</v>
      </c>
      <c r="C156" s="55" t="s">
        <v>133</v>
      </c>
      <c r="D156" s="56"/>
      <c r="E156" s="71">
        <v>0.0</v>
      </c>
      <c r="F156" s="71">
        <v>0.0</v>
      </c>
      <c r="G156" s="71">
        <v>1.0</v>
      </c>
      <c r="H156" s="71">
        <v>2.0</v>
      </c>
      <c r="I156" s="71">
        <v>1.0</v>
      </c>
      <c r="J156" s="71">
        <v>1.0</v>
      </c>
      <c r="K156" s="71">
        <v>1.0</v>
      </c>
      <c r="L156" s="71">
        <v>0.0</v>
      </c>
      <c r="M156" s="71">
        <v>4.0</v>
      </c>
      <c r="N156" s="71">
        <v>0.0</v>
      </c>
      <c r="O156" s="71">
        <v>0.0</v>
      </c>
      <c r="P156" s="71">
        <v>0.0</v>
      </c>
      <c r="Q156" s="71">
        <v>0.0</v>
      </c>
      <c r="R156" s="71">
        <v>0.0</v>
      </c>
      <c r="S156" s="71">
        <v>0.0</v>
      </c>
      <c r="T156" s="71">
        <v>2.0</v>
      </c>
      <c r="U156" s="71">
        <v>2.0</v>
      </c>
      <c r="V156" s="71">
        <v>2.0</v>
      </c>
      <c r="W156" s="71">
        <v>1.0</v>
      </c>
      <c r="X156" s="71">
        <v>0.0</v>
      </c>
      <c r="Y156" s="71">
        <v>0.0</v>
      </c>
      <c r="Z156" s="71">
        <v>6.0</v>
      </c>
      <c r="AA156" s="71">
        <v>0.0</v>
      </c>
      <c r="AB156" s="71">
        <v>0.0</v>
      </c>
      <c r="AC156" s="71">
        <v>0.0</v>
      </c>
      <c r="AD156" s="6">
        <f t="shared" si="42"/>
        <v>23</v>
      </c>
    </row>
    <row r="157" ht="12.75" customHeight="1">
      <c r="A157" s="33"/>
      <c r="B157" s="54">
        <v>2.0</v>
      </c>
      <c r="C157" s="55" t="s">
        <v>134</v>
      </c>
      <c r="D157" s="56"/>
      <c r="E157" s="71">
        <v>0.0</v>
      </c>
      <c r="F157" s="71">
        <v>0.0</v>
      </c>
      <c r="G157" s="71">
        <v>0.0</v>
      </c>
      <c r="H157" s="71">
        <v>2.0</v>
      </c>
      <c r="I157" s="71">
        <v>1.0</v>
      </c>
      <c r="J157" s="71">
        <v>0.0</v>
      </c>
      <c r="K157" s="71">
        <v>1.0</v>
      </c>
      <c r="L157" s="71">
        <v>0.0</v>
      </c>
      <c r="M157" s="71">
        <v>0.0</v>
      </c>
      <c r="N157" s="71">
        <v>0.0</v>
      </c>
      <c r="O157" s="71">
        <v>0.0</v>
      </c>
      <c r="P157" s="71">
        <v>2.0</v>
      </c>
      <c r="Q157" s="71">
        <v>0.0</v>
      </c>
      <c r="R157" s="71">
        <v>0.0</v>
      </c>
      <c r="S157" s="71">
        <v>1.0</v>
      </c>
      <c r="T157" s="71">
        <v>0.0</v>
      </c>
      <c r="U157" s="71">
        <v>0.0</v>
      </c>
      <c r="V157" s="71">
        <v>0.0</v>
      </c>
      <c r="W157" s="71">
        <v>1.0</v>
      </c>
      <c r="X157" s="71">
        <v>0.0</v>
      </c>
      <c r="Y157" s="71">
        <v>0.0</v>
      </c>
      <c r="Z157" s="71">
        <v>0.0</v>
      </c>
      <c r="AA157" s="71">
        <v>0.0</v>
      </c>
      <c r="AB157" s="71">
        <v>0.0</v>
      </c>
      <c r="AC157" s="71">
        <v>0.0</v>
      </c>
      <c r="AD157" s="6">
        <f t="shared" si="42"/>
        <v>8</v>
      </c>
    </row>
    <row r="158" ht="12.75" customHeight="1">
      <c r="A158" s="13" t="s">
        <v>15</v>
      </c>
      <c r="B158" s="51" t="s">
        <v>46</v>
      </c>
      <c r="C158" s="8"/>
      <c r="D158" s="9"/>
      <c r="E158" s="57">
        <f t="shared" ref="E158:AC158" si="43">SUM(E155:E157)</f>
        <v>0</v>
      </c>
      <c r="F158" s="57">
        <f t="shared" si="43"/>
        <v>0</v>
      </c>
      <c r="G158" s="57">
        <f t="shared" si="43"/>
        <v>3</v>
      </c>
      <c r="H158" s="57">
        <f t="shared" si="43"/>
        <v>4</v>
      </c>
      <c r="I158" s="57">
        <f t="shared" si="43"/>
        <v>3</v>
      </c>
      <c r="J158" s="57">
        <f t="shared" si="43"/>
        <v>1</v>
      </c>
      <c r="K158" s="57">
        <f t="shared" si="43"/>
        <v>3</v>
      </c>
      <c r="L158" s="57">
        <f t="shared" si="43"/>
        <v>0</v>
      </c>
      <c r="M158" s="57">
        <f t="shared" si="43"/>
        <v>4</v>
      </c>
      <c r="N158" s="57">
        <f t="shared" si="43"/>
        <v>0</v>
      </c>
      <c r="O158" s="57">
        <f t="shared" si="43"/>
        <v>0</v>
      </c>
      <c r="P158" s="57">
        <f t="shared" si="43"/>
        <v>3</v>
      </c>
      <c r="Q158" s="57">
        <f t="shared" si="43"/>
        <v>1</v>
      </c>
      <c r="R158" s="57">
        <f t="shared" si="43"/>
        <v>0</v>
      </c>
      <c r="S158" s="57">
        <f t="shared" si="43"/>
        <v>1</v>
      </c>
      <c r="T158" s="57">
        <f t="shared" si="43"/>
        <v>2</v>
      </c>
      <c r="U158" s="57">
        <f t="shared" si="43"/>
        <v>2</v>
      </c>
      <c r="V158" s="57">
        <f t="shared" si="43"/>
        <v>3</v>
      </c>
      <c r="W158" s="57">
        <f t="shared" si="43"/>
        <v>3</v>
      </c>
      <c r="X158" s="57">
        <f t="shared" si="43"/>
        <v>0</v>
      </c>
      <c r="Y158" s="57">
        <f t="shared" si="43"/>
        <v>0</v>
      </c>
      <c r="Z158" s="57">
        <f t="shared" si="43"/>
        <v>6</v>
      </c>
      <c r="AA158" s="57">
        <f t="shared" si="43"/>
        <v>0</v>
      </c>
      <c r="AB158" s="57">
        <f t="shared" si="43"/>
        <v>1</v>
      </c>
      <c r="AC158" s="57">
        <f t="shared" si="43"/>
        <v>0</v>
      </c>
      <c r="AD158" s="6">
        <f t="shared" si="42"/>
        <v>40</v>
      </c>
    </row>
    <row r="159" ht="12.75" customHeight="1">
      <c r="A159" s="68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"/>
    </row>
    <row r="160" ht="12.75" customHeight="1">
      <c r="A160" s="33" t="s">
        <v>37</v>
      </c>
      <c r="B160" s="51" t="s">
        <v>135</v>
      </c>
      <c r="C160" s="52" t="s">
        <v>136</v>
      </c>
      <c r="D160" s="9"/>
      <c r="E160" s="71">
        <v>0.0</v>
      </c>
      <c r="F160" s="71">
        <v>0.0</v>
      </c>
      <c r="G160" s="71">
        <v>1.0</v>
      </c>
      <c r="H160" s="71">
        <v>2.0</v>
      </c>
      <c r="I160" s="71">
        <v>0.0</v>
      </c>
      <c r="J160" s="71">
        <v>0.0</v>
      </c>
      <c r="K160" s="71">
        <v>0.0</v>
      </c>
      <c r="L160" s="71">
        <v>0.0</v>
      </c>
      <c r="M160" s="71">
        <v>0.0</v>
      </c>
      <c r="N160" s="71">
        <v>0.0</v>
      </c>
      <c r="O160" s="71">
        <v>0.0</v>
      </c>
      <c r="P160" s="71">
        <v>0.0</v>
      </c>
      <c r="Q160" s="71">
        <v>0.0</v>
      </c>
      <c r="R160" s="71">
        <v>0.0</v>
      </c>
      <c r="S160" s="71">
        <v>0.0</v>
      </c>
      <c r="T160" s="71">
        <v>0.0</v>
      </c>
      <c r="U160" s="71">
        <v>0.0</v>
      </c>
      <c r="V160" s="71">
        <v>0.0</v>
      </c>
      <c r="W160" s="71">
        <v>0.0</v>
      </c>
      <c r="X160" s="71">
        <v>0.0</v>
      </c>
      <c r="Y160" s="71">
        <v>0.0</v>
      </c>
      <c r="Z160" s="71">
        <v>0.0</v>
      </c>
      <c r="AA160" s="71">
        <v>0.0</v>
      </c>
      <c r="AB160" s="71">
        <v>0.0</v>
      </c>
      <c r="AC160" s="71">
        <v>0.0</v>
      </c>
      <c r="AD160" s="6">
        <f t="shared" ref="AD160:AD164" si="44">SUM(E160:AC160)</f>
        <v>3</v>
      </c>
    </row>
    <row r="161" ht="12.75" customHeight="1">
      <c r="A161" s="33"/>
      <c r="B161" s="54">
        <v>1.0</v>
      </c>
      <c r="C161" s="55" t="s">
        <v>137</v>
      </c>
      <c r="D161" s="63"/>
      <c r="E161" s="71">
        <v>0.0</v>
      </c>
      <c r="F161" s="71">
        <v>0.0</v>
      </c>
      <c r="G161" s="71">
        <v>1.0</v>
      </c>
      <c r="H161" s="71">
        <v>0.0</v>
      </c>
      <c r="I161" s="71">
        <v>0.0</v>
      </c>
      <c r="J161" s="71">
        <v>0.0</v>
      </c>
      <c r="K161" s="71">
        <v>0.0</v>
      </c>
      <c r="L161" s="71">
        <v>0.0</v>
      </c>
      <c r="M161" s="71">
        <v>0.0</v>
      </c>
      <c r="N161" s="71">
        <v>0.0</v>
      </c>
      <c r="O161" s="71">
        <v>1.0</v>
      </c>
      <c r="P161" s="71">
        <v>0.0</v>
      </c>
      <c r="Q161" s="71">
        <v>0.0</v>
      </c>
      <c r="R161" s="71">
        <v>0.0</v>
      </c>
      <c r="S161" s="71">
        <v>0.0</v>
      </c>
      <c r="T161" s="71">
        <v>0.0</v>
      </c>
      <c r="U161" s="71">
        <v>0.0</v>
      </c>
      <c r="V161" s="71">
        <v>0.0</v>
      </c>
      <c r="W161" s="71">
        <v>0.0</v>
      </c>
      <c r="X161" s="71">
        <v>0.0</v>
      </c>
      <c r="Y161" s="71">
        <v>0.0</v>
      </c>
      <c r="Z161" s="71">
        <v>0.0</v>
      </c>
      <c r="AA161" s="71">
        <v>0.0</v>
      </c>
      <c r="AB161" s="71">
        <v>0.0</v>
      </c>
      <c r="AC161" s="71">
        <v>1.0</v>
      </c>
      <c r="AD161" s="6">
        <f t="shared" si="44"/>
        <v>3</v>
      </c>
    </row>
    <row r="162" ht="12.75" customHeight="1">
      <c r="A162" s="33"/>
      <c r="B162" s="54">
        <v>2.0</v>
      </c>
      <c r="C162" s="55" t="s">
        <v>138</v>
      </c>
      <c r="D162" s="63"/>
      <c r="E162" s="71">
        <v>0.0</v>
      </c>
      <c r="F162" s="71">
        <v>0.0</v>
      </c>
      <c r="G162" s="71">
        <v>1.0</v>
      </c>
      <c r="H162" s="71">
        <v>0.0</v>
      </c>
      <c r="I162" s="71">
        <v>0.0</v>
      </c>
      <c r="J162" s="71">
        <v>0.0</v>
      </c>
      <c r="K162" s="71">
        <v>0.0</v>
      </c>
      <c r="L162" s="71">
        <v>0.0</v>
      </c>
      <c r="M162" s="71">
        <v>0.0</v>
      </c>
      <c r="N162" s="71">
        <v>0.0</v>
      </c>
      <c r="O162" s="71">
        <v>0.0</v>
      </c>
      <c r="P162" s="71">
        <v>0.0</v>
      </c>
      <c r="Q162" s="71">
        <v>0.0</v>
      </c>
      <c r="R162" s="71">
        <v>0.0</v>
      </c>
      <c r="S162" s="71">
        <v>1.0</v>
      </c>
      <c r="T162" s="71">
        <v>0.0</v>
      </c>
      <c r="U162" s="71">
        <v>0.0</v>
      </c>
      <c r="V162" s="71">
        <v>0.0</v>
      </c>
      <c r="W162" s="71">
        <v>0.0</v>
      </c>
      <c r="X162" s="71">
        <v>1.0</v>
      </c>
      <c r="Y162" s="71">
        <v>0.0</v>
      </c>
      <c r="Z162" s="71">
        <v>0.0</v>
      </c>
      <c r="AA162" s="71">
        <v>0.0</v>
      </c>
      <c r="AB162" s="71">
        <v>0.0</v>
      </c>
      <c r="AC162" s="71">
        <v>0.0</v>
      </c>
      <c r="AD162" s="6">
        <f t="shared" si="44"/>
        <v>3</v>
      </c>
    </row>
    <row r="163" ht="12.75" customHeight="1">
      <c r="A163" s="33"/>
      <c r="B163" s="54">
        <v>3.0</v>
      </c>
      <c r="C163" s="55" t="s">
        <v>139</v>
      </c>
      <c r="D163" s="63"/>
      <c r="E163" s="71">
        <v>0.0</v>
      </c>
      <c r="F163" s="71">
        <v>2.0</v>
      </c>
      <c r="G163" s="71">
        <v>7.0</v>
      </c>
      <c r="H163" s="71">
        <v>5.0</v>
      </c>
      <c r="I163" s="71">
        <v>0.0</v>
      </c>
      <c r="J163" s="71">
        <v>0.0</v>
      </c>
      <c r="K163" s="71">
        <v>0.0</v>
      </c>
      <c r="L163" s="71">
        <v>0.0</v>
      </c>
      <c r="M163" s="71">
        <v>0.0</v>
      </c>
      <c r="N163" s="71">
        <v>3.0</v>
      </c>
      <c r="O163" s="71">
        <v>1.0</v>
      </c>
      <c r="P163" s="71">
        <v>0.0</v>
      </c>
      <c r="Q163" s="71">
        <v>0.0</v>
      </c>
      <c r="R163" s="71">
        <v>0.0</v>
      </c>
      <c r="S163" s="71">
        <v>0.0</v>
      </c>
      <c r="T163" s="71">
        <v>0.0</v>
      </c>
      <c r="U163" s="71">
        <v>0.0</v>
      </c>
      <c r="V163" s="71">
        <v>0.0</v>
      </c>
      <c r="W163" s="71">
        <v>0.0</v>
      </c>
      <c r="X163" s="71">
        <v>0.0</v>
      </c>
      <c r="Y163" s="71">
        <v>0.0</v>
      </c>
      <c r="Z163" s="71">
        <v>1.0</v>
      </c>
      <c r="AA163" s="71">
        <v>0.0</v>
      </c>
      <c r="AB163" s="71">
        <v>0.0</v>
      </c>
      <c r="AC163" s="71">
        <v>0.0</v>
      </c>
      <c r="AD163" s="6">
        <f t="shared" si="44"/>
        <v>19</v>
      </c>
    </row>
    <row r="164" ht="12.75" customHeight="1">
      <c r="A164" s="13" t="s">
        <v>15</v>
      </c>
      <c r="B164" s="51" t="s">
        <v>46</v>
      </c>
      <c r="C164" s="8"/>
      <c r="D164" s="9"/>
      <c r="E164" s="57">
        <f t="shared" ref="E164:AC164" si="45">SUM(E160:E163)</f>
        <v>0</v>
      </c>
      <c r="F164" s="57">
        <f t="shared" si="45"/>
        <v>2</v>
      </c>
      <c r="G164" s="57">
        <f t="shared" si="45"/>
        <v>10</v>
      </c>
      <c r="H164" s="57">
        <f t="shared" si="45"/>
        <v>7</v>
      </c>
      <c r="I164" s="57">
        <f t="shared" si="45"/>
        <v>0</v>
      </c>
      <c r="J164" s="57">
        <f t="shared" si="45"/>
        <v>0</v>
      </c>
      <c r="K164" s="57">
        <f t="shared" si="45"/>
        <v>0</v>
      </c>
      <c r="L164" s="57">
        <f t="shared" si="45"/>
        <v>0</v>
      </c>
      <c r="M164" s="57">
        <f t="shared" si="45"/>
        <v>0</v>
      </c>
      <c r="N164" s="57">
        <f t="shared" si="45"/>
        <v>3</v>
      </c>
      <c r="O164" s="57">
        <f t="shared" si="45"/>
        <v>2</v>
      </c>
      <c r="P164" s="57">
        <f t="shared" si="45"/>
        <v>0</v>
      </c>
      <c r="Q164" s="57">
        <f t="shared" si="45"/>
        <v>0</v>
      </c>
      <c r="R164" s="57">
        <f t="shared" si="45"/>
        <v>0</v>
      </c>
      <c r="S164" s="57">
        <f t="shared" si="45"/>
        <v>1</v>
      </c>
      <c r="T164" s="57">
        <f t="shared" si="45"/>
        <v>0</v>
      </c>
      <c r="U164" s="57">
        <f t="shared" si="45"/>
        <v>0</v>
      </c>
      <c r="V164" s="57">
        <f t="shared" si="45"/>
        <v>0</v>
      </c>
      <c r="W164" s="57">
        <f t="shared" si="45"/>
        <v>0</v>
      </c>
      <c r="X164" s="57">
        <f t="shared" si="45"/>
        <v>1</v>
      </c>
      <c r="Y164" s="57">
        <f t="shared" si="45"/>
        <v>0</v>
      </c>
      <c r="Z164" s="57">
        <f t="shared" si="45"/>
        <v>1</v>
      </c>
      <c r="AA164" s="57">
        <f t="shared" si="45"/>
        <v>0</v>
      </c>
      <c r="AB164" s="57">
        <f t="shared" si="45"/>
        <v>0</v>
      </c>
      <c r="AC164" s="57">
        <f t="shared" si="45"/>
        <v>1</v>
      </c>
      <c r="AD164" s="6">
        <f t="shared" si="44"/>
        <v>28</v>
      </c>
    </row>
    <row r="165" ht="12.75" customHeight="1">
      <c r="A165" s="68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"/>
    </row>
    <row r="166" ht="12.75" customHeight="1">
      <c r="A166" s="33" t="s">
        <v>37</v>
      </c>
      <c r="B166" s="51" t="s">
        <v>140</v>
      </c>
      <c r="C166" s="52" t="s">
        <v>141</v>
      </c>
      <c r="D166" s="9"/>
      <c r="E166" s="71">
        <v>1.0</v>
      </c>
      <c r="F166" s="71">
        <v>0.0</v>
      </c>
      <c r="G166" s="71">
        <v>1.0</v>
      </c>
      <c r="H166" s="71">
        <v>0.0</v>
      </c>
      <c r="I166" s="71">
        <v>0.0</v>
      </c>
      <c r="J166" s="71">
        <v>0.0</v>
      </c>
      <c r="K166" s="71">
        <v>0.0</v>
      </c>
      <c r="L166" s="71">
        <v>1.0</v>
      </c>
      <c r="M166" s="71">
        <v>0.0</v>
      </c>
      <c r="N166" s="71">
        <v>4.0</v>
      </c>
      <c r="O166" s="71">
        <v>1.0</v>
      </c>
      <c r="P166" s="71">
        <v>1.0</v>
      </c>
      <c r="Q166" s="71">
        <v>11.0</v>
      </c>
      <c r="R166" s="71">
        <v>2.0</v>
      </c>
      <c r="S166" s="71">
        <v>0.0</v>
      </c>
      <c r="T166" s="71">
        <v>1.0</v>
      </c>
      <c r="U166" s="71">
        <v>2.0</v>
      </c>
      <c r="V166" s="71">
        <v>1.0</v>
      </c>
      <c r="W166" s="71">
        <v>2.0</v>
      </c>
      <c r="X166" s="71">
        <v>4.0</v>
      </c>
      <c r="Y166" s="71">
        <v>0.0</v>
      </c>
      <c r="Z166" s="71">
        <v>0.0</v>
      </c>
      <c r="AA166" s="71">
        <v>2.0</v>
      </c>
      <c r="AB166" s="71">
        <v>0.0</v>
      </c>
      <c r="AC166" s="71">
        <v>0.0</v>
      </c>
      <c r="AD166" s="6">
        <f t="shared" ref="AD166:AD173" si="46">SUM(E166:AC166)</f>
        <v>34</v>
      </c>
    </row>
    <row r="167" ht="12.75" customHeight="1">
      <c r="A167" s="33" t="s">
        <v>39</v>
      </c>
      <c r="B167" s="54">
        <v>1.0</v>
      </c>
      <c r="C167" s="55" t="s">
        <v>142</v>
      </c>
      <c r="D167" s="56"/>
      <c r="E167" s="71">
        <v>0.0</v>
      </c>
      <c r="F167" s="71">
        <v>0.0</v>
      </c>
      <c r="G167" s="71">
        <v>0.0</v>
      </c>
      <c r="H167" s="71">
        <v>1.0</v>
      </c>
      <c r="I167" s="71">
        <v>0.0</v>
      </c>
      <c r="J167" s="71">
        <v>0.0</v>
      </c>
      <c r="K167" s="71">
        <v>0.0</v>
      </c>
      <c r="L167" s="71">
        <v>0.0</v>
      </c>
      <c r="M167" s="71">
        <v>0.0</v>
      </c>
      <c r="N167" s="71">
        <v>3.0</v>
      </c>
      <c r="O167" s="71">
        <v>0.0</v>
      </c>
      <c r="P167" s="71">
        <v>0.0</v>
      </c>
      <c r="Q167" s="71">
        <v>2.0</v>
      </c>
      <c r="R167" s="71">
        <v>1.0</v>
      </c>
      <c r="S167" s="71">
        <v>0.0</v>
      </c>
      <c r="T167" s="71">
        <v>0.0</v>
      </c>
      <c r="U167" s="71">
        <v>2.0</v>
      </c>
      <c r="V167" s="71">
        <v>2.0</v>
      </c>
      <c r="W167" s="71">
        <v>0.0</v>
      </c>
      <c r="X167" s="71">
        <v>1.0</v>
      </c>
      <c r="Y167" s="71">
        <v>0.0</v>
      </c>
      <c r="Z167" s="71">
        <v>1.0</v>
      </c>
      <c r="AA167" s="71">
        <v>1.0</v>
      </c>
      <c r="AB167" s="71">
        <v>0.0</v>
      </c>
      <c r="AC167" s="71">
        <v>0.0</v>
      </c>
      <c r="AD167" s="6">
        <f t="shared" si="46"/>
        <v>14</v>
      </c>
    </row>
    <row r="168" ht="12.75" customHeight="1">
      <c r="A168" s="18"/>
      <c r="B168" s="54">
        <v>2.0</v>
      </c>
      <c r="C168" s="55" t="s">
        <v>143</v>
      </c>
      <c r="D168" s="56"/>
      <c r="E168" s="71">
        <v>1.0</v>
      </c>
      <c r="F168" s="71">
        <v>0.0</v>
      </c>
      <c r="G168" s="71">
        <v>0.0</v>
      </c>
      <c r="H168" s="71">
        <v>0.0</v>
      </c>
      <c r="I168" s="71">
        <v>0.0</v>
      </c>
      <c r="J168" s="71">
        <v>1.0</v>
      </c>
      <c r="K168" s="71">
        <v>0.0</v>
      </c>
      <c r="L168" s="71">
        <v>0.0</v>
      </c>
      <c r="M168" s="71">
        <v>0.0</v>
      </c>
      <c r="N168" s="71">
        <v>16.0</v>
      </c>
      <c r="O168" s="71">
        <v>0.0</v>
      </c>
      <c r="P168" s="71">
        <v>10.0</v>
      </c>
      <c r="Q168" s="71">
        <v>40.0</v>
      </c>
      <c r="R168" s="71">
        <v>14.0</v>
      </c>
      <c r="S168" s="71">
        <v>2.0</v>
      </c>
      <c r="T168" s="71">
        <v>0.0</v>
      </c>
      <c r="U168" s="71">
        <v>0.0</v>
      </c>
      <c r="V168" s="71">
        <v>1.0</v>
      </c>
      <c r="W168" s="71">
        <v>0.0</v>
      </c>
      <c r="X168" s="71">
        <v>0.0</v>
      </c>
      <c r="Y168" s="71">
        <v>0.0</v>
      </c>
      <c r="Z168" s="71">
        <v>2.0</v>
      </c>
      <c r="AA168" s="71">
        <v>0.0</v>
      </c>
      <c r="AB168" s="71">
        <v>0.0</v>
      </c>
      <c r="AC168" s="71">
        <v>0.0</v>
      </c>
      <c r="AD168" s="6">
        <f t="shared" si="46"/>
        <v>87</v>
      </c>
    </row>
    <row r="169" ht="12.75" customHeight="1">
      <c r="A169" s="18"/>
      <c r="B169" s="54">
        <v>3.0</v>
      </c>
      <c r="C169" s="55" t="s">
        <v>144</v>
      </c>
      <c r="D169" s="56"/>
      <c r="E169" s="71">
        <v>0.0</v>
      </c>
      <c r="F169" s="71">
        <v>0.0</v>
      </c>
      <c r="G169" s="71">
        <v>0.0</v>
      </c>
      <c r="H169" s="71">
        <v>0.0</v>
      </c>
      <c r="I169" s="71">
        <v>0.0</v>
      </c>
      <c r="J169" s="71">
        <v>1.0</v>
      </c>
      <c r="K169" s="71">
        <v>0.0</v>
      </c>
      <c r="L169" s="71">
        <v>1.0</v>
      </c>
      <c r="M169" s="71">
        <v>0.0</v>
      </c>
      <c r="N169" s="71">
        <v>0.0</v>
      </c>
      <c r="O169" s="71">
        <v>0.0</v>
      </c>
      <c r="P169" s="71">
        <v>0.0</v>
      </c>
      <c r="Q169" s="71">
        <v>0.0</v>
      </c>
      <c r="R169" s="71">
        <v>1.0</v>
      </c>
      <c r="S169" s="71">
        <v>0.0</v>
      </c>
      <c r="T169" s="71">
        <v>0.0</v>
      </c>
      <c r="U169" s="71">
        <v>0.0</v>
      </c>
      <c r="V169" s="71">
        <v>0.0</v>
      </c>
      <c r="W169" s="71">
        <v>0.0</v>
      </c>
      <c r="X169" s="71">
        <v>2.0</v>
      </c>
      <c r="Y169" s="71">
        <v>0.0</v>
      </c>
      <c r="Z169" s="71">
        <v>0.0</v>
      </c>
      <c r="AA169" s="71">
        <v>0.0</v>
      </c>
      <c r="AB169" s="71">
        <v>0.0</v>
      </c>
      <c r="AC169" s="71">
        <v>0.0</v>
      </c>
      <c r="AD169" s="6">
        <f t="shared" si="46"/>
        <v>5</v>
      </c>
    </row>
    <row r="170" ht="12.75" customHeight="1">
      <c r="A170" s="18"/>
      <c r="B170" s="54">
        <v>4.0</v>
      </c>
      <c r="C170" s="55" t="s">
        <v>145</v>
      </c>
      <c r="D170" s="56"/>
      <c r="E170" s="71">
        <v>0.0</v>
      </c>
      <c r="F170" s="71">
        <v>1.0</v>
      </c>
      <c r="G170" s="71">
        <v>0.0</v>
      </c>
      <c r="H170" s="71">
        <v>0.0</v>
      </c>
      <c r="I170" s="71">
        <v>0.0</v>
      </c>
      <c r="J170" s="71">
        <v>0.0</v>
      </c>
      <c r="K170" s="71">
        <v>0.0</v>
      </c>
      <c r="L170" s="71">
        <v>0.0</v>
      </c>
      <c r="M170" s="71">
        <v>0.0</v>
      </c>
      <c r="N170" s="71">
        <v>0.0</v>
      </c>
      <c r="O170" s="71">
        <v>0.0</v>
      </c>
      <c r="P170" s="71">
        <v>0.0</v>
      </c>
      <c r="Q170" s="71">
        <v>0.0</v>
      </c>
      <c r="R170" s="71">
        <v>1.0</v>
      </c>
      <c r="S170" s="71">
        <v>0.0</v>
      </c>
      <c r="T170" s="71">
        <v>0.0</v>
      </c>
      <c r="U170" s="71">
        <v>1.0</v>
      </c>
      <c r="V170" s="71">
        <v>0.0</v>
      </c>
      <c r="W170" s="71">
        <v>0.0</v>
      </c>
      <c r="X170" s="71">
        <v>0.0</v>
      </c>
      <c r="Y170" s="71">
        <v>0.0</v>
      </c>
      <c r="Z170" s="71">
        <v>0.0</v>
      </c>
      <c r="AA170" s="71">
        <v>0.0</v>
      </c>
      <c r="AB170" s="71">
        <v>0.0</v>
      </c>
      <c r="AC170" s="71">
        <v>0.0</v>
      </c>
      <c r="AD170" s="6">
        <f t="shared" si="46"/>
        <v>3</v>
      </c>
    </row>
    <row r="171" ht="12.75" customHeight="1">
      <c r="A171" s="18"/>
      <c r="B171" s="54">
        <v>5.0</v>
      </c>
      <c r="C171" s="55" t="s">
        <v>146</v>
      </c>
      <c r="D171" s="56"/>
      <c r="E171" s="71">
        <v>0.0</v>
      </c>
      <c r="F171" s="71">
        <v>0.0</v>
      </c>
      <c r="G171" s="71">
        <v>0.0</v>
      </c>
      <c r="H171" s="71">
        <v>0.0</v>
      </c>
      <c r="I171" s="71">
        <v>0.0</v>
      </c>
      <c r="J171" s="71">
        <v>0.0</v>
      </c>
      <c r="K171" s="71">
        <v>0.0</v>
      </c>
      <c r="L171" s="71">
        <v>0.0</v>
      </c>
      <c r="M171" s="71">
        <v>0.0</v>
      </c>
      <c r="N171" s="71">
        <v>0.0</v>
      </c>
      <c r="O171" s="71">
        <v>0.0</v>
      </c>
      <c r="P171" s="71">
        <v>3.0</v>
      </c>
      <c r="Q171" s="71">
        <v>0.0</v>
      </c>
      <c r="R171" s="71">
        <v>0.0</v>
      </c>
      <c r="S171" s="71">
        <v>0.0</v>
      </c>
      <c r="T171" s="71">
        <v>0.0</v>
      </c>
      <c r="U171" s="71">
        <v>0.0</v>
      </c>
      <c r="V171" s="71">
        <v>0.0</v>
      </c>
      <c r="W171" s="71">
        <v>0.0</v>
      </c>
      <c r="X171" s="71">
        <v>0.0</v>
      </c>
      <c r="Y171" s="71">
        <v>0.0</v>
      </c>
      <c r="Z171" s="71">
        <v>0.0</v>
      </c>
      <c r="AA171" s="71">
        <v>0.0</v>
      </c>
      <c r="AB171" s="71">
        <v>0.0</v>
      </c>
      <c r="AC171" s="71">
        <v>0.0</v>
      </c>
      <c r="AD171" s="6">
        <f t="shared" si="46"/>
        <v>3</v>
      </c>
    </row>
    <row r="172" ht="12.75" customHeight="1">
      <c r="A172" s="18"/>
      <c r="B172" s="54">
        <v>6.0</v>
      </c>
      <c r="C172" s="55" t="s">
        <v>147</v>
      </c>
      <c r="D172" s="56"/>
      <c r="E172" s="71">
        <v>0.0</v>
      </c>
      <c r="F172" s="71">
        <v>1.0</v>
      </c>
      <c r="G172" s="71">
        <v>0.0</v>
      </c>
      <c r="H172" s="71">
        <v>0.0</v>
      </c>
      <c r="I172" s="71">
        <v>0.0</v>
      </c>
      <c r="J172" s="71">
        <v>0.0</v>
      </c>
      <c r="K172" s="71">
        <v>0.0</v>
      </c>
      <c r="L172" s="71">
        <v>0.0</v>
      </c>
      <c r="M172" s="71">
        <v>0.0</v>
      </c>
      <c r="N172" s="71">
        <v>0.0</v>
      </c>
      <c r="O172" s="71">
        <v>0.0</v>
      </c>
      <c r="P172" s="71">
        <v>0.0</v>
      </c>
      <c r="Q172" s="71">
        <v>0.0</v>
      </c>
      <c r="R172" s="71">
        <v>0.0</v>
      </c>
      <c r="S172" s="71">
        <v>0.0</v>
      </c>
      <c r="T172" s="71">
        <v>0.0</v>
      </c>
      <c r="U172" s="71">
        <v>0.0</v>
      </c>
      <c r="V172" s="71">
        <v>0.0</v>
      </c>
      <c r="W172" s="71">
        <v>0.0</v>
      </c>
      <c r="X172" s="71">
        <v>0.0</v>
      </c>
      <c r="Y172" s="71">
        <v>0.0</v>
      </c>
      <c r="Z172" s="71">
        <v>0.0</v>
      </c>
      <c r="AA172" s="71">
        <v>0.0</v>
      </c>
      <c r="AB172" s="71">
        <v>0.0</v>
      </c>
      <c r="AC172" s="71">
        <v>0.0</v>
      </c>
      <c r="AD172" s="6">
        <f t="shared" si="46"/>
        <v>1</v>
      </c>
    </row>
    <row r="173" ht="12.75" customHeight="1">
      <c r="A173" s="13" t="s">
        <v>15</v>
      </c>
      <c r="B173" s="51" t="s">
        <v>46</v>
      </c>
      <c r="C173" s="8"/>
      <c r="D173" s="9"/>
      <c r="E173" s="57">
        <f t="shared" ref="E173:AC173" si="47">SUM(E166:E172)</f>
        <v>2</v>
      </c>
      <c r="F173" s="57">
        <f t="shared" si="47"/>
        <v>2</v>
      </c>
      <c r="G173" s="57">
        <f t="shared" si="47"/>
        <v>1</v>
      </c>
      <c r="H173" s="57">
        <f t="shared" si="47"/>
        <v>1</v>
      </c>
      <c r="I173" s="57">
        <f t="shared" si="47"/>
        <v>0</v>
      </c>
      <c r="J173" s="57">
        <f t="shared" si="47"/>
        <v>2</v>
      </c>
      <c r="K173" s="57">
        <f t="shared" si="47"/>
        <v>0</v>
      </c>
      <c r="L173" s="57">
        <f t="shared" si="47"/>
        <v>2</v>
      </c>
      <c r="M173" s="57">
        <f t="shared" si="47"/>
        <v>0</v>
      </c>
      <c r="N173" s="57">
        <f t="shared" si="47"/>
        <v>23</v>
      </c>
      <c r="O173" s="57">
        <f t="shared" si="47"/>
        <v>1</v>
      </c>
      <c r="P173" s="57">
        <f t="shared" si="47"/>
        <v>14</v>
      </c>
      <c r="Q173" s="57">
        <f t="shared" si="47"/>
        <v>53</v>
      </c>
      <c r="R173" s="57">
        <f t="shared" si="47"/>
        <v>19</v>
      </c>
      <c r="S173" s="57">
        <f t="shared" si="47"/>
        <v>2</v>
      </c>
      <c r="T173" s="57">
        <f t="shared" si="47"/>
        <v>1</v>
      </c>
      <c r="U173" s="57">
        <f t="shared" si="47"/>
        <v>5</v>
      </c>
      <c r="V173" s="57">
        <f t="shared" si="47"/>
        <v>4</v>
      </c>
      <c r="W173" s="57">
        <f t="shared" si="47"/>
        <v>2</v>
      </c>
      <c r="X173" s="57">
        <f t="shared" si="47"/>
        <v>7</v>
      </c>
      <c r="Y173" s="57">
        <f t="shared" si="47"/>
        <v>0</v>
      </c>
      <c r="Z173" s="57">
        <f t="shared" si="47"/>
        <v>3</v>
      </c>
      <c r="AA173" s="57">
        <f t="shared" si="47"/>
        <v>3</v>
      </c>
      <c r="AB173" s="57">
        <f t="shared" si="47"/>
        <v>0</v>
      </c>
      <c r="AC173" s="57">
        <f t="shared" si="47"/>
        <v>0</v>
      </c>
      <c r="AD173" s="6">
        <f t="shared" si="46"/>
        <v>147</v>
      </c>
    </row>
    <row r="174" ht="12.75" customHeight="1">
      <c r="A174" s="68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"/>
    </row>
    <row r="175" ht="12.75" customHeight="1">
      <c r="A175" s="33" t="s">
        <v>37</v>
      </c>
      <c r="B175" s="51" t="s">
        <v>148</v>
      </c>
      <c r="C175" s="52" t="s">
        <v>149</v>
      </c>
      <c r="D175" s="9"/>
      <c r="E175" s="71">
        <v>0.0</v>
      </c>
      <c r="F175" s="71">
        <v>0.0</v>
      </c>
      <c r="G175" s="71">
        <v>0.0</v>
      </c>
      <c r="H175" s="71">
        <v>0.0</v>
      </c>
      <c r="I175" s="71">
        <v>1.0</v>
      </c>
      <c r="J175" s="71">
        <v>2.0</v>
      </c>
      <c r="K175" s="71">
        <v>0.0</v>
      </c>
      <c r="L175" s="71">
        <v>0.0</v>
      </c>
      <c r="M175" s="71">
        <v>1.0</v>
      </c>
      <c r="N175" s="71">
        <v>0.0</v>
      </c>
      <c r="O175" s="71">
        <v>0.0</v>
      </c>
      <c r="P175" s="71">
        <v>2.0</v>
      </c>
      <c r="Q175" s="71">
        <v>1.0</v>
      </c>
      <c r="R175" s="71">
        <v>0.0</v>
      </c>
      <c r="S175" s="71">
        <v>0.0</v>
      </c>
      <c r="T175" s="71">
        <v>1.0</v>
      </c>
      <c r="U175" s="71">
        <v>1.0</v>
      </c>
      <c r="V175" s="71">
        <v>2.0</v>
      </c>
      <c r="W175" s="71">
        <v>1.0</v>
      </c>
      <c r="X175" s="71">
        <v>0.0</v>
      </c>
      <c r="Y175" s="71">
        <v>1.0</v>
      </c>
      <c r="Z175" s="71">
        <v>0.0</v>
      </c>
      <c r="AA175" s="71">
        <v>0.0</v>
      </c>
      <c r="AB175" s="71">
        <v>0.0</v>
      </c>
      <c r="AC175" s="71">
        <v>0.0</v>
      </c>
      <c r="AD175" s="6">
        <f t="shared" ref="AD175:AD178" si="48">SUM(E175:AC175)</f>
        <v>13</v>
      </c>
    </row>
    <row r="176" ht="12.75" customHeight="1">
      <c r="A176" s="33"/>
      <c r="B176" s="51">
        <v>1.0</v>
      </c>
      <c r="C176" s="52" t="s">
        <v>150</v>
      </c>
      <c r="D176" s="63"/>
      <c r="E176" s="71">
        <v>1.0</v>
      </c>
      <c r="F176" s="71">
        <v>0.0</v>
      </c>
      <c r="G176" s="71">
        <v>0.0</v>
      </c>
      <c r="H176" s="71">
        <v>0.0</v>
      </c>
      <c r="I176" s="71">
        <v>0.0</v>
      </c>
      <c r="J176" s="71">
        <v>0.0</v>
      </c>
      <c r="K176" s="71">
        <v>0.0</v>
      </c>
      <c r="L176" s="71">
        <v>0.0</v>
      </c>
      <c r="M176" s="71">
        <v>0.0</v>
      </c>
      <c r="N176" s="71">
        <v>0.0</v>
      </c>
      <c r="O176" s="71">
        <v>0.0</v>
      </c>
      <c r="P176" s="71">
        <v>1.0</v>
      </c>
      <c r="Q176" s="71">
        <v>0.0</v>
      </c>
      <c r="R176" s="71">
        <v>0.0</v>
      </c>
      <c r="S176" s="71">
        <v>0.0</v>
      </c>
      <c r="T176" s="71">
        <v>0.0</v>
      </c>
      <c r="U176" s="71">
        <v>0.0</v>
      </c>
      <c r="V176" s="71">
        <v>1.0</v>
      </c>
      <c r="W176" s="71">
        <v>0.0</v>
      </c>
      <c r="X176" s="71">
        <v>0.0</v>
      </c>
      <c r="Y176" s="71">
        <v>0.0</v>
      </c>
      <c r="Z176" s="71">
        <v>0.0</v>
      </c>
      <c r="AA176" s="71">
        <v>0.0</v>
      </c>
      <c r="AB176" s="71">
        <v>0.0</v>
      </c>
      <c r="AC176" s="71">
        <v>0.0</v>
      </c>
      <c r="AD176" s="6">
        <f t="shared" si="48"/>
        <v>3</v>
      </c>
    </row>
    <row r="177" ht="12.75" customHeight="1">
      <c r="A177" s="33" t="s">
        <v>39</v>
      </c>
      <c r="B177" s="54">
        <v>2.0</v>
      </c>
      <c r="C177" s="55" t="s">
        <v>151</v>
      </c>
      <c r="D177" s="56"/>
      <c r="E177" s="71">
        <v>0.0</v>
      </c>
      <c r="F177" s="71">
        <v>0.0</v>
      </c>
      <c r="G177" s="71">
        <v>0.0</v>
      </c>
      <c r="H177" s="71">
        <v>0.0</v>
      </c>
      <c r="I177" s="71">
        <v>0.0</v>
      </c>
      <c r="J177" s="71">
        <v>0.0</v>
      </c>
      <c r="K177" s="71">
        <v>0.0</v>
      </c>
      <c r="L177" s="71">
        <v>0.0</v>
      </c>
      <c r="M177" s="71">
        <v>0.0</v>
      </c>
      <c r="N177" s="71">
        <v>0.0</v>
      </c>
      <c r="O177" s="71">
        <v>0.0</v>
      </c>
      <c r="P177" s="71">
        <v>0.0</v>
      </c>
      <c r="Q177" s="71">
        <v>0.0</v>
      </c>
      <c r="R177" s="71">
        <v>0.0</v>
      </c>
      <c r="S177" s="71">
        <v>0.0</v>
      </c>
      <c r="T177" s="71">
        <v>0.0</v>
      </c>
      <c r="U177" s="71">
        <v>0.0</v>
      </c>
      <c r="V177" s="71">
        <v>0.0</v>
      </c>
      <c r="W177" s="71">
        <v>0.0</v>
      </c>
      <c r="X177" s="71">
        <v>0.0</v>
      </c>
      <c r="Y177" s="71">
        <v>0.0</v>
      </c>
      <c r="Z177" s="71">
        <v>0.0</v>
      </c>
      <c r="AA177" s="71">
        <v>0.0</v>
      </c>
      <c r="AB177" s="71">
        <v>0.0</v>
      </c>
      <c r="AC177" s="71">
        <v>0.0</v>
      </c>
      <c r="AD177" s="6">
        <f t="shared" si="48"/>
        <v>0</v>
      </c>
    </row>
    <row r="178" ht="12.75" customHeight="1">
      <c r="A178" s="13" t="s">
        <v>15</v>
      </c>
      <c r="B178" s="51" t="s">
        <v>46</v>
      </c>
      <c r="C178" s="8"/>
      <c r="D178" s="9"/>
      <c r="E178" s="57">
        <f t="shared" ref="E178:AC178" si="49">SUM(E175:E177)</f>
        <v>1</v>
      </c>
      <c r="F178" s="57">
        <f t="shared" si="49"/>
        <v>0</v>
      </c>
      <c r="G178" s="57">
        <f t="shared" si="49"/>
        <v>0</v>
      </c>
      <c r="H178" s="57">
        <f t="shared" si="49"/>
        <v>0</v>
      </c>
      <c r="I178" s="57">
        <f t="shared" si="49"/>
        <v>1</v>
      </c>
      <c r="J178" s="57">
        <f t="shared" si="49"/>
        <v>2</v>
      </c>
      <c r="K178" s="57">
        <f t="shared" si="49"/>
        <v>0</v>
      </c>
      <c r="L178" s="57">
        <f t="shared" si="49"/>
        <v>0</v>
      </c>
      <c r="M178" s="57">
        <f t="shared" si="49"/>
        <v>1</v>
      </c>
      <c r="N178" s="57">
        <f t="shared" si="49"/>
        <v>0</v>
      </c>
      <c r="O178" s="57">
        <f t="shared" si="49"/>
        <v>0</v>
      </c>
      <c r="P178" s="57">
        <f t="shared" si="49"/>
        <v>3</v>
      </c>
      <c r="Q178" s="57">
        <f t="shared" si="49"/>
        <v>1</v>
      </c>
      <c r="R178" s="57">
        <f t="shared" si="49"/>
        <v>0</v>
      </c>
      <c r="S178" s="57">
        <f t="shared" si="49"/>
        <v>0</v>
      </c>
      <c r="T178" s="57">
        <f t="shared" si="49"/>
        <v>1</v>
      </c>
      <c r="U178" s="57">
        <f t="shared" si="49"/>
        <v>1</v>
      </c>
      <c r="V178" s="57">
        <f t="shared" si="49"/>
        <v>3</v>
      </c>
      <c r="W178" s="57">
        <f t="shared" si="49"/>
        <v>1</v>
      </c>
      <c r="X178" s="57">
        <f t="shared" si="49"/>
        <v>0</v>
      </c>
      <c r="Y178" s="57">
        <f t="shared" si="49"/>
        <v>1</v>
      </c>
      <c r="Z178" s="57">
        <f t="shared" si="49"/>
        <v>0</v>
      </c>
      <c r="AA178" s="57">
        <f t="shared" si="49"/>
        <v>0</v>
      </c>
      <c r="AB178" s="57">
        <f t="shared" si="49"/>
        <v>0</v>
      </c>
      <c r="AC178" s="57">
        <f t="shared" si="49"/>
        <v>0</v>
      </c>
      <c r="AD178" s="6">
        <f t="shared" si="48"/>
        <v>16</v>
      </c>
    </row>
    <row r="179" ht="12.75" customHeight="1">
      <c r="A179" s="49"/>
      <c r="B179" s="48"/>
      <c r="C179" s="48"/>
      <c r="D179" s="27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6"/>
    </row>
    <row r="180" ht="12.75" customHeight="1">
      <c r="A180" s="46" t="s">
        <v>152</v>
      </c>
      <c r="B180" s="7" t="s">
        <v>153</v>
      </c>
      <c r="C180" s="8"/>
      <c r="D180" s="9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6"/>
    </row>
    <row r="181" ht="12.75" customHeight="1">
      <c r="A181" s="46"/>
      <c r="B181" s="64" t="s">
        <v>154</v>
      </c>
      <c r="C181" s="65" t="s">
        <v>155</v>
      </c>
      <c r="D181" s="9"/>
      <c r="E181" s="71">
        <v>142.0</v>
      </c>
      <c r="F181" s="71">
        <v>124.0</v>
      </c>
      <c r="G181" s="71">
        <v>158.0</v>
      </c>
      <c r="H181" s="71">
        <v>154.0</v>
      </c>
      <c r="I181" s="71">
        <v>137.0</v>
      </c>
      <c r="J181" s="71">
        <v>136.0</v>
      </c>
      <c r="K181" s="71">
        <v>122.0</v>
      </c>
      <c r="L181" s="71">
        <v>161.0</v>
      </c>
      <c r="M181" s="71">
        <v>161.0</v>
      </c>
      <c r="N181" s="71">
        <v>195.0</v>
      </c>
      <c r="O181" s="71">
        <v>156.0</v>
      </c>
      <c r="P181" s="71">
        <v>171.0</v>
      </c>
      <c r="Q181" s="71">
        <v>210.0</v>
      </c>
      <c r="R181" s="71">
        <v>178.0</v>
      </c>
      <c r="S181" s="71">
        <v>154.0</v>
      </c>
      <c r="T181" s="71">
        <v>152.0</v>
      </c>
      <c r="U181" s="71">
        <v>159.0</v>
      </c>
      <c r="V181" s="71">
        <v>195.0</v>
      </c>
      <c r="W181" s="71">
        <v>192.0</v>
      </c>
      <c r="X181" s="71">
        <v>201.0</v>
      </c>
      <c r="Y181" s="71">
        <v>145.0</v>
      </c>
      <c r="Z181" s="71">
        <v>166.0</v>
      </c>
      <c r="AA181" s="71">
        <v>189.0</v>
      </c>
      <c r="AB181" s="71">
        <v>132.0</v>
      </c>
      <c r="AC181" s="71">
        <v>144.0</v>
      </c>
      <c r="AD181" s="6">
        <f t="shared" ref="AD181:AD183" si="50">SUM(E181:AC181)</f>
        <v>4034</v>
      </c>
    </row>
    <row r="182" ht="12.75" customHeight="1">
      <c r="A182" s="38"/>
      <c r="B182" s="64" t="s">
        <v>156</v>
      </c>
      <c r="C182" s="65" t="s">
        <v>157</v>
      </c>
      <c r="D182" s="9"/>
      <c r="E182" s="71">
        <v>22.0</v>
      </c>
      <c r="F182" s="71">
        <v>21.0</v>
      </c>
      <c r="G182" s="71">
        <v>10.0</v>
      </c>
      <c r="H182" s="71">
        <v>12.0</v>
      </c>
      <c r="I182" s="71">
        <v>16.0</v>
      </c>
      <c r="J182" s="71">
        <v>18.0</v>
      </c>
      <c r="K182" s="71">
        <v>13.0</v>
      </c>
      <c r="L182" s="71">
        <v>10.0</v>
      </c>
      <c r="M182" s="71">
        <v>6.0</v>
      </c>
      <c r="N182" s="71">
        <v>24.0</v>
      </c>
      <c r="O182" s="71">
        <v>17.0</v>
      </c>
      <c r="P182" s="71">
        <v>15.0</v>
      </c>
      <c r="Q182" s="71">
        <v>20.0</v>
      </c>
      <c r="R182" s="71">
        <v>10.0</v>
      </c>
      <c r="S182" s="71">
        <v>9.0</v>
      </c>
      <c r="T182" s="71">
        <v>8.0</v>
      </c>
      <c r="U182" s="71">
        <v>13.0</v>
      </c>
      <c r="V182" s="71">
        <v>30.0</v>
      </c>
      <c r="W182" s="71">
        <v>20.0</v>
      </c>
      <c r="X182" s="71">
        <v>22.0</v>
      </c>
      <c r="Y182" s="71">
        <v>13.0</v>
      </c>
      <c r="Z182" s="71">
        <v>21.0</v>
      </c>
      <c r="AA182" s="71">
        <v>20.0</v>
      </c>
      <c r="AB182" s="71">
        <v>6.0</v>
      </c>
      <c r="AC182" s="71">
        <v>3.0</v>
      </c>
      <c r="AD182" s="6">
        <f t="shared" si="50"/>
        <v>379</v>
      </c>
    </row>
    <row r="183" ht="12.75" customHeight="1">
      <c r="A183" s="43"/>
      <c r="B183" s="64" t="s">
        <v>158</v>
      </c>
      <c r="C183" s="65" t="s">
        <v>159</v>
      </c>
      <c r="D183" s="9"/>
      <c r="E183" s="28">
        <f t="shared" ref="E183:AC183" si="51">SUM(E181:E182)</f>
        <v>164</v>
      </c>
      <c r="F183" s="28">
        <f t="shared" si="51"/>
        <v>145</v>
      </c>
      <c r="G183" s="28">
        <f t="shared" si="51"/>
        <v>168</v>
      </c>
      <c r="H183" s="28">
        <f t="shared" si="51"/>
        <v>166</v>
      </c>
      <c r="I183" s="28">
        <f t="shared" si="51"/>
        <v>153</v>
      </c>
      <c r="J183" s="28">
        <f t="shared" si="51"/>
        <v>154</v>
      </c>
      <c r="K183" s="28">
        <f t="shared" si="51"/>
        <v>135</v>
      </c>
      <c r="L183" s="28">
        <f t="shared" si="51"/>
        <v>171</v>
      </c>
      <c r="M183" s="28">
        <f t="shared" si="51"/>
        <v>167</v>
      </c>
      <c r="N183" s="28">
        <f t="shared" si="51"/>
        <v>219</v>
      </c>
      <c r="O183" s="28">
        <f t="shared" si="51"/>
        <v>173</v>
      </c>
      <c r="P183" s="28">
        <f t="shared" si="51"/>
        <v>186</v>
      </c>
      <c r="Q183" s="28">
        <f t="shared" si="51"/>
        <v>230</v>
      </c>
      <c r="R183" s="28">
        <f t="shared" si="51"/>
        <v>188</v>
      </c>
      <c r="S183" s="28">
        <f t="shared" si="51"/>
        <v>163</v>
      </c>
      <c r="T183" s="28">
        <f t="shared" si="51"/>
        <v>160</v>
      </c>
      <c r="U183" s="28">
        <f t="shared" si="51"/>
        <v>172</v>
      </c>
      <c r="V183" s="28">
        <f t="shared" si="51"/>
        <v>225</v>
      </c>
      <c r="W183" s="28">
        <f t="shared" si="51"/>
        <v>212</v>
      </c>
      <c r="X183" s="28">
        <f t="shared" si="51"/>
        <v>223</v>
      </c>
      <c r="Y183" s="28">
        <f t="shared" si="51"/>
        <v>158</v>
      </c>
      <c r="Z183" s="28">
        <f t="shared" si="51"/>
        <v>187</v>
      </c>
      <c r="AA183" s="28">
        <f t="shared" si="51"/>
        <v>209</v>
      </c>
      <c r="AB183" s="28">
        <f t="shared" si="51"/>
        <v>138</v>
      </c>
      <c r="AC183" s="28">
        <f t="shared" si="51"/>
        <v>147</v>
      </c>
      <c r="AD183" s="6">
        <f t="shared" si="50"/>
        <v>4413</v>
      </c>
    </row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1">
    <mergeCell ref="C101:D101"/>
    <mergeCell ref="B108:D108"/>
    <mergeCell ref="C110:D110"/>
    <mergeCell ref="B114:D114"/>
    <mergeCell ref="C116:D116"/>
    <mergeCell ref="B123:D123"/>
    <mergeCell ref="C125:D125"/>
    <mergeCell ref="B127:D127"/>
    <mergeCell ref="C129:D129"/>
    <mergeCell ref="B136:D136"/>
    <mergeCell ref="C138:D138"/>
    <mergeCell ref="B144:D144"/>
    <mergeCell ref="C146:D146"/>
    <mergeCell ref="B153:D153"/>
    <mergeCell ref="B178:D178"/>
    <mergeCell ref="A179:D179"/>
    <mergeCell ref="B180:D180"/>
    <mergeCell ref="C181:D181"/>
    <mergeCell ref="C182:D182"/>
    <mergeCell ref="C183:D183"/>
    <mergeCell ref="C155:D155"/>
    <mergeCell ref="B158:D158"/>
    <mergeCell ref="C160:D160"/>
    <mergeCell ref="B164:D164"/>
    <mergeCell ref="C166:D166"/>
    <mergeCell ref="B173:D173"/>
    <mergeCell ref="C175:D175"/>
    <mergeCell ref="B12:D12"/>
    <mergeCell ref="E12:AC12"/>
    <mergeCell ref="AD12:AD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C91:D91"/>
    <mergeCell ref="B92:D92"/>
    <mergeCell ref="C94:D94"/>
    <mergeCell ref="B99:D99"/>
  </mergeCells>
  <conditionalFormatting sqref="E30:T30">
    <cfRule type="expression" dxfId="0" priority="1">
      <formula>E30&lt;&gt;E62</formula>
    </cfRule>
  </conditionalFormatting>
  <conditionalFormatting sqref="E34:W34">
    <cfRule type="expression" dxfId="0" priority="2">
      <formula>E34&lt;&gt;E62</formula>
    </cfRule>
  </conditionalFormatting>
  <conditionalFormatting sqref="E14:AC15">
    <cfRule type="containsBlanks" dxfId="1" priority="3">
      <formula>LEN(TRIM(E14))=0</formula>
    </cfRule>
  </conditionalFormatting>
  <conditionalFormatting sqref="E19:AC20">
    <cfRule type="containsBlanks" dxfId="1" priority="4">
      <formula>LEN(TRIM(E19))=0</formula>
    </cfRule>
  </conditionalFormatting>
  <conditionalFormatting sqref="E22:AC23 E25:AC26 E33:AC33 E35:AC35 E39:AC40">
    <cfRule type="containsBlanks" dxfId="1" priority="5">
      <formula>LEN(TRIM(E22))=0</formula>
    </cfRule>
  </conditionalFormatting>
  <conditionalFormatting sqref="E30:AC30">
    <cfRule type="expression" dxfId="0" priority="6">
      <formula>E30&lt;&gt;E34</formula>
    </cfRule>
  </conditionalFormatting>
  <conditionalFormatting sqref="E34:AC34">
    <cfRule type="expression" dxfId="2" priority="7">
      <formula>E30&lt;&gt;E34</formula>
    </cfRule>
  </conditionalFormatting>
  <conditionalFormatting sqref="E34:AC34">
    <cfRule type="expression" dxfId="3" priority="8">
      <formula>E30=E34</formula>
    </cfRule>
  </conditionalFormatting>
  <conditionalFormatting sqref="E34:AC34">
    <cfRule type="expression" dxfId="0" priority="9">
      <formula>E34&lt;&gt;E30</formula>
    </cfRule>
  </conditionalFormatting>
  <conditionalFormatting sqref="E45:AC51">
    <cfRule type="containsBlanks" dxfId="1" priority="10">
      <formula>LEN(TRIM(E45))=0</formula>
    </cfRule>
  </conditionalFormatting>
  <conditionalFormatting sqref="E54:AC60">
    <cfRule type="containsBlanks" dxfId="1" priority="11">
      <formula>LEN(TRIM(E54))=0</formula>
    </cfRule>
  </conditionalFormatting>
  <conditionalFormatting sqref="E63:AC69">
    <cfRule type="containsBlanks" dxfId="1" priority="12">
      <formula>LEN(TRIM(E63))=0</formula>
    </cfRule>
  </conditionalFormatting>
  <conditionalFormatting sqref="E72:AC78">
    <cfRule type="containsBlanks" dxfId="1" priority="13">
      <formula>LEN(TRIM(E72))=0</formula>
    </cfRule>
  </conditionalFormatting>
  <conditionalFormatting sqref="E81:AC87">
    <cfRule type="containsBlanks" dxfId="1" priority="14">
      <formula>LEN(TRIM(E81))=0</formula>
    </cfRule>
  </conditionalFormatting>
  <conditionalFormatting sqref="E90:AC91">
    <cfRule type="containsBlanks" dxfId="1" priority="15">
      <formula>LEN(TRIM(E90))=0</formula>
    </cfRule>
  </conditionalFormatting>
  <conditionalFormatting sqref="E94:AC98">
    <cfRule type="containsBlanks" dxfId="1" priority="16">
      <formula>LEN(TRIM(E94))=0</formula>
    </cfRule>
  </conditionalFormatting>
  <conditionalFormatting sqref="E101:AC107">
    <cfRule type="containsBlanks" dxfId="1" priority="17">
      <formula>LEN(TRIM(E101))=0</formula>
    </cfRule>
  </conditionalFormatting>
  <conditionalFormatting sqref="E110:AC113">
    <cfRule type="containsBlanks" dxfId="1" priority="18">
      <formula>LEN(TRIM(E110))=0</formula>
    </cfRule>
  </conditionalFormatting>
  <conditionalFormatting sqref="E116:AC122">
    <cfRule type="containsBlanks" dxfId="1" priority="19">
      <formula>LEN(TRIM(E116))=0</formula>
    </cfRule>
  </conditionalFormatting>
  <conditionalFormatting sqref="E125:AC126">
    <cfRule type="containsBlanks" dxfId="1" priority="20">
      <formula>LEN(TRIM(E125))=0</formula>
    </cfRule>
  </conditionalFormatting>
  <conditionalFormatting sqref="E129:AC135">
    <cfRule type="containsBlanks" dxfId="1" priority="21">
      <formula>LEN(TRIM(E129))=0</formula>
    </cfRule>
  </conditionalFormatting>
  <conditionalFormatting sqref="E138:AC143">
    <cfRule type="containsBlanks" dxfId="1" priority="22">
      <formula>LEN(TRIM(E138))=0</formula>
    </cfRule>
  </conditionalFormatting>
  <conditionalFormatting sqref="E146:AC152">
    <cfRule type="containsBlanks" dxfId="1" priority="23">
      <formula>LEN(TRIM(E146))=0</formula>
    </cfRule>
  </conditionalFormatting>
  <conditionalFormatting sqref="E155:AC157">
    <cfRule type="containsBlanks" dxfId="1" priority="24">
      <formula>LEN(TRIM(E155))=0</formula>
    </cfRule>
  </conditionalFormatting>
  <conditionalFormatting sqref="E160:AC163">
    <cfRule type="containsBlanks" dxfId="1" priority="25">
      <formula>LEN(TRIM(E160))=0</formula>
    </cfRule>
  </conditionalFormatting>
  <conditionalFormatting sqref="E166:AC172">
    <cfRule type="containsBlanks" dxfId="1" priority="26">
      <formula>LEN(TRIM(E166))=0</formula>
    </cfRule>
  </conditionalFormatting>
  <conditionalFormatting sqref="E175:AC177">
    <cfRule type="containsBlanks" dxfId="1" priority="27">
      <formula>LEN(TRIM(E175))=0</formula>
    </cfRule>
  </conditionalFormatting>
  <conditionalFormatting sqref="E181:AC182">
    <cfRule type="containsBlanks" dxfId="1" priority="28">
      <formula>LEN(TRIM(E181))=0</formula>
    </cfRule>
  </conditionalFormatting>
  <conditionalFormatting sqref="E183:AC183">
    <cfRule type="expression" dxfId="0" priority="29">
      <formula>E183&lt;&gt;E30</formula>
    </cfRule>
  </conditionalFormatting>
  <conditionalFormatting sqref="E183:AC183">
    <cfRule type="expression" dxfId="0" priority="30">
      <formula>E183&lt;&gt;E34</formula>
    </cfRule>
  </conditionalFormatting>
  <conditionalFormatting sqref="U30:AC30">
    <cfRule type="expression" dxfId="0" priority="31">
      <formula>U30&lt;&gt;U47</formula>
    </cfRule>
  </conditionalFormatting>
  <conditionalFormatting sqref="U34:AC34">
    <cfRule type="expression" dxfId="0" priority="32">
      <formula>U34&lt;&gt;U47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2026-01-14T02:26:54Z</dcterms:created>
  <dc:creator>TEKHUM KPU BWI</dc:creator>
</cp:coreProperties>
</file>